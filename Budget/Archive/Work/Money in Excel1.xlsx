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02"/>
  <workbookPr filterPrivacy="1" defaultThemeVersion="166925"/>
  <xr:revisionPtr revIDLastSave="0" documentId="13_ncr:11_{C366AEC0-507D-404B-9979-6B57D6D7F4B8}" xr6:coauthVersionLast="46" xr6:coauthVersionMax="46" xr10:uidLastSave="{00000000-0000-0000-0000-000000000000}"/>
  <bookViews>
    <workbookView xWindow="28680" yWindow="-120" windowWidth="29040" windowHeight="15990" tabRatio="705" activeTab="7" xr2:uid="{7DB8FD3D-0037-45C3-AFB0-EEA7B912FC3B}"/>
  </bookViews>
  <sheets>
    <sheet name="Transactions" sheetId="4" r:id="rId1"/>
    <sheet name="Spotify" sheetId="38" r:id="rId2"/>
    <sheet name="Verizon" sheetId="37" r:id="rId3"/>
    <sheet name="Amazon Prime" sheetId="36" r:id="rId4"/>
    <sheet name="Shen Life" sheetId="35" r:id="rId5"/>
    <sheet name="Paymentus" sheetId="34" r:id="rId6"/>
    <sheet name="TransAmerica" sheetId="33" r:id="rId7"/>
    <sheet name="RecurringExpenses" sheetId="32" r:id="rId8"/>
    <sheet name="Snapshot" sheetId="13" r:id="rId9"/>
    <sheet name="Categories_deprecated_2jdI" sheetId="12" state="hidden" r:id="rId10"/>
    <sheet name="Categories" sheetId="29" r:id="rId11"/>
    <sheet name="HiddenCategories" sheetId="30" state="hidden" r:id="rId12"/>
    <sheet name="Institutions" sheetId="31" state="hidden" r:id="rId13"/>
  </sheets>
  <definedNames>
    <definedName name="Categories">OFFSET(Categories_deprecated_2jdI!$J$7,0,0,COUNTIF(Categories_deprecated_2jdI!$J$7:$J$44,"&lt;&gt;"&amp;"--"),1)</definedName>
    <definedName name="CategoryIdentifiers">Categories!$B$8:$B$100</definedName>
    <definedName name="CategoryNames">Categories!$C$8:$C$100</definedName>
    <definedName name="FrequencyKey" localSheetId="7">RecurringExpenses!$X$8:$X$11</definedName>
    <definedName name="FrequencyValue" localSheetId="7">RecurringExpenses!$Y$8:$Y$11</definedName>
    <definedName name="HiddenCategoriesCategoryNames">_xlfn.ANCHORARRAY(HiddenCategories!$B$2)</definedName>
    <definedName name="HiddenCategoriesSubcategoryNames">HiddenCategories!$C$2:$C$100</definedName>
    <definedName name="HiddenCategoriesSubcategoryNamesRows">HiddenCategories!$C$2:$CX$100</definedName>
    <definedName name="Months">OFFSET(Snapshot!$V$7,0,0,COUNTIF(Snapshot!$V$7:$V$200,"&lt;&gt;"&amp;"--"),1)</definedName>
    <definedName name="snapshot_month">Snapshot!$Q$4</definedName>
    <definedName name="SubcategoryNames">Categories!$I$8:$I$100</definedName>
    <definedName name="user_custom_categories">Categories_deprecated_2jdI!$C$25:$E$44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1" i="32" l="1"/>
  <c r="K21" i="32" s="1"/>
  <c r="P21" i="32"/>
  <c r="Q21" i="32" s="1"/>
  <c r="O20" i="32"/>
  <c r="K20" i="32" s="1"/>
  <c r="P20" i="32"/>
  <c r="Q20" i="32" s="1"/>
  <c r="O19" i="32"/>
  <c r="K19" i="32" s="1"/>
  <c r="P19" i="32"/>
  <c r="Q19" i="32" s="1"/>
  <c r="O18" i="32"/>
  <c r="K18" i="32" s="1"/>
  <c r="P18" i="32"/>
  <c r="Q18" i="32" s="1"/>
  <c r="O17" i="32"/>
  <c r="K17" i="32" s="1"/>
  <c r="P17" i="32"/>
  <c r="Q17" i="32" s="1"/>
  <c r="O16" i="32"/>
  <c r="K16" i="32" s="1"/>
  <c r="P16" i="32"/>
  <c r="Q16" i="32" s="1"/>
  <c r="O15" i="32"/>
  <c r="K15" i="32" s="1"/>
  <c r="P15" i="32"/>
  <c r="Q15" i="32" s="1"/>
  <c r="O14" i="32"/>
  <c r="K14" i="32" s="1"/>
  <c r="P14" i="32"/>
  <c r="Q14" i="32" s="1"/>
  <c r="J3" i="33"/>
  <c r="J4" i="33"/>
  <c r="J2" i="33"/>
  <c r="F3" i="33"/>
  <c r="F4" i="33"/>
  <c r="F5" i="33"/>
  <c r="F6" i="33"/>
  <c r="F7" i="33"/>
  <c r="F8" i="33"/>
  <c r="F9" i="33"/>
  <c r="F10" i="33"/>
  <c r="F11" i="33"/>
  <c r="F12" i="33"/>
  <c r="F13" i="33"/>
  <c r="F14" i="33"/>
  <c r="F15" i="33"/>
  <c r="F16" i="33"/>
  <c r="F17" i="33"/>
  <c r="F18" i="33"/>
  <c r="F19" i="33"/>
  <c r="F20" i="33"/>
  <c r="F21" i="33"/>
  <c r="F22" i="33"/>
  <c r="F23" i="33"/>
  <c r="F24" i="33"/>
  <c r="F25" i="33"/>
  <c r="F26" i="33"/>
  <c r="F27" i="33"/>
  <c r="F28" i="33"/>
  <c r="F29" i="33"/>
  <c r="F30" i="33"/>
  <c r="F31" i="33"/>
  <c r="F32" i="33"/>
  <c r="F33" i="33"/>
  <c r="F34" i="33"/>
  <c r="F35" i="33"/>
  <c r="F36" i="33"/>
  <c r="F2" i="33"/>
  <c r="O11" i="32"/>
  <c r="K11" i="32" s="1"/>
  <c r="O13" i="32"/>
  <c r="K13" i="32" s="1"/>
  <c r="O12" i="32"/>
  <c r="K12" i="32" s="1"/>
  <c r="O9" i="32"/>
  <c r="K9" i="32" s="1"/>
  <c r="O10" i="32"/>
  <c r="K10" i="32" s="1"/>
  <c r="O22" i="32"/>
  <c r="K22" i="32" s="1"/>
  <c r="O23" i="32"/>
  <c r="K23" i="32" s="1"/>
  <c r="O24" i="32"/>
  <c r="K24" i="32" s="1"/>
  <c r="R24" i="32" s="1"/>
  <c r="O25" i="32"/>
  <c r="K25" i="32" s="1"/>
  <c r="R25" i="32" s="1"/>
  <c r="O26" i="32"/>
  <c r="K26" i="32" s="1"/>
  <c r="R26" i="32" s="1"/>
  <c r="O27" i="32"/>
  <c r="K27" i="32" s="1"/>
  <c r="R27" i="32" s="1"/>
  <c r="O28" i="32"/>
  <c r="K28" i="32" s="1"/>
  <c r="R28" i="32" s="1"/>
  <c r="O29" i="32"/>
  <c r="K29" i="32" s="1"/>
  <c r="R29" i="32" s="1"/>
  <c r="O30" i="32"/>
  <c r="K30" i="32" s="1"/>
  <c r="R30" i="32" s="1"/>
  <c r="O31" i="32"/>
  <c r="K31" i="32" s="1"/>
  <c r="R31" i="32" s="1"/>
  <c r="P11" i="32"/>
  <c r="P13" i="32"/>
  <c r="P12" i="32"/>
  <c r="Q12" i="32" s="1"/>
  <c r="P9" i="32"/>
  <c r="P10" i="32"/>
  <c r="P22" i="32"/>
  <c r="Q22" i="32" s="1"/>
  <c r="P23" i="32"/>
  <c r="Q23" i="32" s="1"/>
  <c r="P24" i="32"/>
  <c r="Q24" i="32" s="1"/>
  <c r="P25" i="32"/>
  <c r="Q25" i="32" s="1"/>
  <c r="P26" i="32"/>
  <c r="Q26" i="32" s="1"/>
  <c r="P27" i="32"/>
  <c r="Q27" i="32" s="1"/>
  <c r="P28" i="32"/>
  <c r="Q28" i="32" s="1"/>
  <c r="P29" i="32"/>
  <c r="Q29" i="32" s="1"/>
  <c r="P30" i="32"/>
  <c r="Q30" i="32" s="1"/>
  <c r="P31" i="32"/>
  <c r="Q31" i="32" s="1"/>
  <c r="M1190" i="4" a="1"/>
  <c r="M1190" i="4" s="1"/>
  <c r="M1191" i="4" a="1"/>
  <c r="M1191" i="4" s="1"/>
  <c r="M1192" i="4" a="1"/>
  <c r="M1192" i="4" s="1"/>
  <c r="M1193" i="4" a="1"/>
  <c r="M1193" i="4" s="1"/>
  <c r="M1194" i="4" a="1"/>
  <c r="M1194" i="4" s="1"/>
  <c r="M1195" i="4" a="1"/>
  <c r="M1195" i="4" s="1"/>
  <c r="M1196" i="4" a="1"/>
  <c r="M1196" i="4" s="1"/>
  <c r="M1197" i="4" a="1"/>
  <c r="M1197" i="4" s="1"/>
  <c r="M1198" i="4" a="1"/>
  <c r="M1198" i="4" s="1"/>
  <c r="M1199" i="4" a="1"/>
  <c r="M1199" i="4" s="1"/>
  <c r="M1200" i="4" a="1"/>
  <c r="M1200" i="4" s="1"/>
  <c r="M1201" i="4" a="1"/>
  <c r="M1201" i="4" s="1"/>
  <c r="M1202" i="4" a="1"/>
  <c r="M1202" i="4" s="1"/>
  <c r="M1203" i="4" a="1"/>
  <c r="M1203" i="4" s="1"/>
  <c r="M1204" i="4" a="1"/>
  <c r="M1204" i="4" s="1"/>
  <c r="M1205" i="4" a="1"/>
  <c r="M1205" i="4" s="1"/>
  <c r="M1206" i="4" a="1"/>
  <c r="M1206" i="4" s="1"/>
  <c r="M1207" i="4" a="1"/>
  <c r="M1207" i="4" s="1"/>
  <c r="M1208" i="4" a="1"/>
  <c r="M1208" i="4" s="1"/>
  <c r="M1209" i="4" a="1"/>
  <c r="M1209" i="4" s="1"/>
  <c r="M1210" i="4" a="1"/>
  <c r="M1210" i="4" s="1"/>
  <c r="M1211" i="4" a="1"/>
  <c r="M1211" i="4" s="1"/>
  <c r="M1212" i="4" a="1"/>
  <c r="M1212" i="4" s="1"/>
  <c r="M1213" i="4" a="1"/>
  <c r="M1213" i="4" s="1"/>
  <c r="M1214" i="4" a="1"/>
  <c r="M1214" i="4" s="1"/>
  <c r="M1215" i="4" a="1"/>
  <c r="M1215" i="4" s="1"/>
  <c r="M1216" i="4" a="1"/>
  <c r="M1216" i="4" s="1"/>
  <c r="M1217" i="4" a="1"/>
  <c r="M1217" i="4" s="1"/>
  <c r="M1218" i="4" a="1"/>
  <c r="M1218" i="4" s="1"/>
  <c r="M1219" i="4" a="1"/>
  <c r="M1219" i="4" s="1"/>
  <c r="M1220" i="4" a="1"/>
  <c r="M1220" i="4" s="1"/>
  <c r="M1221" i="4" a="1"/>
  <c r="M1221" i="4" s="1"/>
  <c r="M1222" i="4" a="1"/>
  <c r="M1222" i="4" s="1"/>
  <c r="M1223" i="4" a="1"/>
  <c r="M1223" i="4" s="1"/>
  <c r="M1224" i="4" a="1"/>
  <c r="M1224" i="4" s="1"/>
  <c r="M1225" i="4" a="1"/>
  <c r="M1225" i="4" s="1"/>
  <c r="M1226" i="4" a="1"/>
  <c r="M1226" i="4" s="1"/>
  <c r="M1227" i="4" a="1"/>
  <c r="M1227" i="4" s="1"/>
  <c r="M1228" i="4" a="1"/>
  <c r="M1228" i="4" s="1"/>
  <c r="M1229" i="4" a="1"/>
  <c r="M1229" i="4" s="1"/>
  <c r="M1230" i="4" a="1"/>
  <c r="M1230" i="4" s="1"/>
  <c r="M1231" i="4" a="1"/>
  <c r="M1231" i="4" s="1"/>
  <c r="M1232" i="4" a="1"/>
  <c r="M1232" i="4" s="1"/>
  <c r="M1233" i="4" a="1"/>
  <c r="M1233" i="4" s="1"/>
  <c r="M1234" i="4" a="1"/>
  <c r="M1234" i="4" s="1"/>
  <c r="M1235" i="4" a="1"/>
  <c r="M1235" i="4" s="1"/>
  <c r="M1236" i="4" a="1"/>
  <c r="M1236" i="4" s="1"/>
  <c r="M1237" i="4" a="1"/>
  <c r="M1237" i="4" s="1"/>
  <c r="M1238" i="4" a="1"/>
  <c r="M1238" i="4" s="1"/>
  <c r="M1239" i="4" a="1"/>
  <c r="M1239" i="4" s="1"/>
  <c r="M1240" i="4" a="1"/>
  <c r="M1240" i="4" s="1"/>
  <c r="M1241" i="4" a="1"/>
  <c r="M1241" i="4" s="1"/>
  <c r="M1242" i="4" a="1"/>
  <c r="M1242" i="4" s="1"/>
  <c r="M1243" i="4" a="1"/>
  <c r="M1243" i="4" s="1"/>
  <c r="M1244" i="4" a="1"/>
  <c r="M1244" i="4" s="1"/>
  <c r="M1245" i="4" a="1"/>
  <c r="M1245" i="4" s="1"/>
  <c r="M1246" i="4" a="1"/>
  <c r="M1246" i="4" s="1"/>
  <c r="M1247" i="4" a="1"/>
  <c r="M1247" i="4" s="1"/>
  <c r="M1248" i="4" a="1"/>
  <c r="M1248" i="4" s="1"/>
  <c r="M1249" i="4" a="1"/>
  <c r="M1249" i="4" s="1"/>
  <c r="M1250" i="4" a="1"/>
  <c r="M1250" i="4" s="1"/>
  <c r="O1190" i="4"/>
  <c r="R1190" i="4" s="1"/>
  <c r="O1191" i="4"/>
  <c r="R1191" i="4" s="1"/>
  <c r="O1192" i="4"/>
  <c r="R1192" i="4" s="1"/>
  <c r="O1193" i="4"/>
  <c r="R1193" i="4" s="1"/>
  <c r="O1194" i="4"/>
  <c r="R1194" i="4" s="1"/>
  <c r="O1195" i="4"/>
  <c r="R1195" i="4" s="1"/>
  <c r="O1196" i="4"/>
  <c r="R1196" i="4" s="1"/>
  <c r="O1197" i="4"/>
  <c r="R1197" i="4" s="1"/>
  <c r="O1198" i="4"/>
  <c r="R1198" i="4" s="1"/>
  <c r="O1199" i="4"/>
  <c r="R1199" i="4" s="1"/>
  <c r="O1200" i="4"/>
  <c r="R1200" i="4" s="1"/>
  <c r="O1201" i="4"/>
  <c r="R1201" i="4" s="1"/>
  <c r="O1202" i="4"/>
  <c r="R1202" i="4" s="1"/>
  <c r="O1203" i="4"/>
  <c r="R1203" i="4" s="1"/>
  <c r="O1204" i="4"/>
  <c r="R1204" i="4" s="1"/>
  <c r="O1205" i="4"/>
  <c r="R1205" i="4" s="1"/>
  <c r="O1206" i="4"/>
  <c r="R1206" i="4" s="1"/>
  <c r="O1207" i="4"/>
  <c r="R1207" i="4" s="1"/>
  <c r="O1208" i="4"/>
  <c r="R1208" i="4" s="1"/>
  <c r="O1209" i="4"/>
  <c r="R1209" i="4" s="1"/>
  <c r="O1210" i="4"/>
  <c r="R1210" i="4" s="1"/>
  <c r="O1211" i="4"/>
  <c r="R1211" i="4" s="1"/>
  <c r="O1212" i="4"/>
  <c r="R1212" i="4" s="1"/>
  <c r="O1213" i="4"/>
  <c r="R1213" i="4" s="1"/>
  <c r="O1214" i="4"/>
  <c r="R1214" i="4" s="1"/>
  <c r="O1215" i="4"/>
  <c r="R1215" i="4" s="1"/>
  <c r="O1216" i="4"/>
  <c r="R1216" i="4" s="1"/>
  <c r="O1217" i="4"/>
  <c r="R1217" i="4" s="1"/>
  <c r="O1218" i="4"/>
  <c r="R1218" i="4" s="1"/>
  <c r="O1219" i="4"/>
  <c r="R1219" i="4" s="1"/>
  <c r="O1220" i="4"/>
  <c r="R1220" i="4" s="1"/>
  <c r="O1221" i="4"/>
  <c r="R1221" i="4" s="1"/>
  <c r="O1222" i="4"/>
  <c r="R1222" i="4" s="1"/>
  <c r="O1223" i="4"/>
  <c r="R1223" i="4" s="1"/>
  <c r="O1224" i="4"/>
  <c r="R1224" i="4" s="1"/>
  <c r="O1225" i="4"/>
  <c r="R1225" i="4" s="1"/>
  <c r="O1226" i="4"/>
  <c r="R1226" i="4" s="1"/>
  <c r="O1227" i="4"/>
  <c r="R1227" i="4" s="1"/>
  <c r="O1228" i="4"/>
  <c r="R1228" i="4" s="1"/>
  <c r="O1229" i="4"/>
  <c r="R1229" i="4" s="1"/>
  <c r="O1230" i="4"/>
  <c r="R1230" i="4" s="1"/>
  <c r="O1231" i="4"/>
  <c r="R1231" i="4" s="1"/>
  <c r="O1232" i="4"/>
  <c r="R1232" i="4" s="1"/>
  <c r="O1233" i="4"/>
  <c r="R1233" i="4" s="1"/>
  <c r="O1234" i="4"/>
  <c r="R1234" i="4" s="1"/>
  <c r="O1235" i="4"/>
  <c r="R1235" i="4" s="1"/>
  <c r="O1236" i="4"/>
  <c r="R1236" i="4" s="1"/>
  <c r="O1237" i="4"/>
  <c r="R1237" i="4" s="1"/>
  <c r="O1238" i="4"/>
  <c r="R1238" i="4" s="1"/>
  <c r="O1239" i="4"/>
  <c r="R1239" i="4" s="1"/>
  <c r="O1240" i="4"/>
  <c r="R1240" i="4" s="1"/>
  <c r="O1241" i="4"/>
  <c r="R1241" i="4" s="1"/>
  <c r="O1242" i="4"/>
  <c r="R1242" i="4" s="1"/>
  <c r="O1243" i="4"/>
  <c r="R1243" i="4" s="1"/>
  <c r="O1244" i="4"/>
  <c r="R1244" i="4" s="1"/>
  <c r="O1245" i="4"/>
  <c r="R1245" i="4" s="1"/>
  <c r="O1246" i="4"/>
  <c r="R1246" i="4" s="1"/>
  <c r="O1247" i="4"/>
  <c r="R1247" i="4" s="1"/>
  <c r="O1248" i="4"/>
  <c r="R1248" i="4" s="1"/>
  <c r="O1249" i="4"/>
  <c r="R1249" i="4" s="1"/>
  <c r="O1250" i="4"/>
  <c r="R1250" i="4" s="1"/>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M689" i="4" a="1"/>
  <c r="M689" i="4" s="1"/>
  <c r="M690" i="4" a="1"/>
  <c r="M690" i="4" s="1"/>
  <c r="M691" i="4" a="1"/>
  <c r="M691" i="4" s="1"/>
  <c r="M692" i="4" a="1"/>
  <c r="M692" i="4" s="1"/>
  <c r="M693" i="4" a="1"/>
  <c r="M693" i="4" s="1"/>
  <c r="M695" i="4" a="1"/>
  <c r="M695" i="4" s="1"/>
  <c r="M696" i="4" a="1"/>
  <c r="M696" i="4" s="1"/>
  <c r="M697" i="4" a="1"/>
  <c r="M697" i="4" s="1"/>
  <c r="M698" i="4" a="1"/>
  <c r="M698" i="4" s="1"/>
  <c r="M699" i="4" a="1"/>
  <c r="M699" i="4" s="1"/>
  <c r="M700" i="4" a="1"/>
  <c r="M700" i="4" s="1"/>
  <c r="M701" i="4" a="1"/>
  <c r="M701" i="4" s="1"/>
  <c r="M702" i="4" a="1"/>
  <c r="M702" i="4" s="1"/>
  <c r="M703" i="4" a="1"/>
  <c r="M703" i="4" s="1"/>
  <c r="M704" i="4" a="1"/>
  <c r="M704" i="4" s="1"/>
  <c r="M705" i="4" a="1"/>
  <c r="M705" i="4" s="1"/>
  <c r="M706" i="4" a="1"/>
  <c r="M706" i="4" s="1"/>
  <c r="M707" i="4" a="1"/>
  <c r="M707" i="4" s="1"/>
  <c r="M708" i="4" a="1"/>
  <c r="M708" i="4" s="1"/>
  <c r="M709" i="4" a="1"/>
  <c r="M709" i="4" s="1"/>
  <c r="M710" i="4" a="1"/>
  <c r="M710" i="4" s="1"/>
  <c r="M711" i="4" a="1"/>
  <c r="M711" i="4" s="1"/>
  <c r="M712" i="4" a="1"/>
  <c r="M712" i="4" s="1"/>
  <c r="M713" i="4" a="1"/>
  <c r="M713" i="4" s="1"/>
  <c r="M714" i="4" a="1"/>
  <c r="M714" i="4" s="1"/>
  <c r="M715" i="4" a="1"/>
  <c r="M715" i="4" s="1"/>
  <c r="M716" i="4" a="1"/>
  <c r="M716" i="4" s="1"/>
  <c r="M717" i="4" a="1"/>
  <c r="M717" i="4" s="1"/>
  <c r="M718" i="4" a="1"/>
  <c r="M718" i="4" s="1"/>
  <c r="M719" i="4" a="1"/>
  <c r="M719" i="4" s="1"/>
  <c r="M720" i="4" a="1"/>
  <c r="M720" i="4" s="1"/>
  <c r="M721" i="4" a="1"/>
  <c r="M721" i="4" s="1"/>
  <c r="M722" i="4" a="1"/>
  <c r="M722" i="4" s="1"/>
  <c r="M723" i="4" a="1"/>
  <c r="M723" i="4" s="1"/>
  <c r="M724" i="4" a="1"/>
  <c r="M724" i="4" s="1"/>
  <c r="M725" i="4" a="1"/>
  <c r="M725" i="4" s="1"/>
  <c r="M726" i="4" a="1"/>
  <c r="M726" i="4" s="1"/>
  <c r="M727" i="4" a="1"/>
  <c r="M727" i="4" s="1"/>
  <c r="M728" i="4" a="1"/>
  <c r="M728" i="4" s="1"/>
  <c r="M729" i="4" a="1"/>
  <c r="M729" i="4" s="1"/>
  <c r="M730" i="4" a="1"/>
  <c r="M730" i="4" s="1"/>
  <c r="M731" i="4" a="1"/>
  <c r="M731" i="4" s="1"/>
  <c r="M732" i="4" a="1"/>
  <c r="M732" i="4" s="1"/>
  <c r="M733" i="4" a="1"/>
  <c r="M733" i="4" s="1"/>
  <c r="M734" i="4" a="1"/>
  <c r="M734" i="4" s="1"/>
  <c r="M735" i="4" a="1"/>
  <c r="M735" i="4" s="1"/>
  <c r="M736" i="4" a="1"/>
  <c r="M736" i="4" s="1"/>
  <c r="M737" i="4" a="1"/>
  <c r="M737" i="4" s="1"/>
  <c r="M738" i="4" a="1"/>
  <c r="M738" i="4" s="1"/>
  <c r="M739" i="4" a="1"/>
  <c r="M739" i="4" s="1"/>
  <c r="M740" i="4" a="1"/>
  <c r="M740" i="4" s="1"/>
  <c r="M741" i="4" a="1"/>
  <c r="M741" i="4" s="1"/>
  <c r="M742" i="4" a="1"/>
  <c r="M742" i="4" s="1"/>
  <c r="M743" i="4" a="1"/>
  <c r="M743" i="4" s="1"/>
  <c r="M744" i="4" a="1"/>
  <c r="M744" i="4" s="1"/>
  <c r="M745" i="4" a="1"/>
  <c r="M745" i="4" s="1"/>
  <c r="M746" i="4" a="1"/>
  <c r="M746" i="4" s="1"/>
  <c r="M747" i="4" a="1"/>
  <c r="M747" i="4" s="1"/>
  <c r="M748" i="4" a="1"/>
  <c r="M748" i="4" s="1"/>
  <c r="M749" i="4" a="1"/>
  <c r="M749" i="4" s="1"/>
  <c r="M750" i="4" a="1"/>
  <c r="M750" i="4" s="1"/>
  <c r="M751" i="4" a="1"/>
  <c r="M751" i="4" s="1"/>
  <c r="M752" i="4" a="1"/>
  <c r="M752" i="4" s="1"/>
  <c r="M753" i="4" a="1"/>
  <c r="M753" i="4" s="1"/>
  <c r="M754" i="4" a="1"/>
  <c r="M754" i="4" s="1"/>
  <c r="M755" i="4" a="1"/>
  <c r="M755" i="4" s="1"/>
  <c r="M756" i="4" a="1"/>
  <c r="M756" i="4" s="1"/>
  <c r="M757" i="4" a="1"/>
  <c r="M757" i="4" s="1"/>
  <c r="M758" i="4" a="1"/>
  <c r="M758" i="4" s="1"/>
  <c r="M759" i="4" a="1"/>
  <c r="M759" i="4" s="1"/>
  <c r="M760" i="4" a="1"/>
  <c r="M760" i="4" s="1"/>
  <c r="M761" i="4" a="1"/>
  <c r="M761" i="4" s="1"/>
  <c r="M762" i="4" a="1"/>
  <c r="M762" i="4" s="1"/>
  <c r="M763" i="4" a="1"/>
  <c r="M763" i="4" s="1"/>
  <c r="M764" i="4" a="1"/>
  <c r="M764" i="4" s="1"/>
  <c r="M765" i="4" a="1"/>
  <c r="M765" i="4" s="1"/>
  <c r="M766" i="4" a="1"/>
  <c r="M766" i="4" s="1"/>
  <c r="M767" i="4" a="1"/>
  <c r="M767" i="4" s="1"/>
  <c r="M768" i="4" a="1"/>
  <c r="M768" i="4" s="1"/>
  <c r="M769" i="4" a="1"/>
  <c r="M769" i="4" s="1"/>
  <c r="M770" i="4" a="1"/>
  <c r="M770" i="4" s="1"/>
  <c r="M771" i="4" a="1"/>
  <c r="M771" i="4" s="1"/>
  <c r="M772" i="4" a="1"/>
  <c r="M772" i="4" s="1"/>
  <c r="M773" i="4" a="1"/>
  <c r="M773" i="4" s="1"/>
  <c r="M774" i="4" a="1"/>
  <c r="M774" i="4" s="1"/>
  <c r="M775" i="4" a="1"/>
  <c r="M775" i="4" s="1"/>
  <c r="M776" i="4" a="1"/>
  <c r="M776" i="4" s="1"/>
  <c r="M777" i="4" a="1"/>
  <c r="M777" i="4" s="1"/>
  <c r="M778" i="4" a="1"/>
  <c r="M778" i="4" s="1"/>
  <c r="M779" i="4" a="1"/>
  <c r="M779" i="4" s="1"/>
  <c r="M780" i="4" a="1"/>
  <c r="M780" i="4" s="1"/>
  <c r="M781" i="4" a="1"/>
  <c r="M781" i="4" s="1"/>
  <c r="M782" i="4" a="1"/>
  <c r="M782" i="4" s="1"/>
  <c r="M783" i="4" a="1"/>
  <c r="M783" i="4" s="1"/>
  <c r="M784" i="4" a="1"/>
  <c r="M784" i="4" s="1"/>
  <c r="M785" i="4" a="1"/>
  <c r="M785" i="4" s="1"/>
  <c r="M786" i="4" a="1"/>
  <c r="M786" i="4" s="1"/>
  <c r="M787" i="4" a="1"/>
  <c r="M787" i="4" s="1"/>
  <c r="M788" i="4" a="1"/>
  <c r="M788" i="4" s="1"/>
  <c r="M789" i="4" a="1"/>
  <c r="M789" i="4" s="1"/>
  <c r="M790" i="4" a="1"/>
  <c r="M790" i="4" s="1"/>
  <c r="M791" i="4" a="1"/>
  <c r="M791" i="4" s="1"/>
  <c r="M792" i="4" a="1"/>
  <c r="M792" i="4" s="1"/>
  <c r="M793" i="4" a="1"/>
  <c r="M793" i="4" s="1"/>
  <c r="M794" i="4" a="1"/>
  <c r="M794" i="4" s="1"/>
  <c r="M795" i="4" a="1"/>
  <c r="M795" i="4" s="1"/>
  <c r="M796" i="4" a="1"/>
  <c r="M796" i="4" s="1"/>
  <c r="M797" i="4" a="1"/>
  <c r="M797" i="4" s="1"/>
  <c r="M798" i="4" a="1"/>
  <c r="M798" i="4" s="1"/>
  <c r="M799" i="4" a="1"/>
  <c r="M799" i="4" s="1"/>
  <c r="M800" i="4" a="1"/>
  <c r="M800" i="4" s="1"/>
  <c r="M801" i="4" a="1"/>
  <c r="M801" i="4" s="1"/>
  <c r="M802" i="4" a="1"/>
  <c r="M802" i="4" s="1"/>
  <c r="M803" i="4" a="1"/>
  <c r="M803" i="4" s="1"/>
  <c r="M804" i="4" a="1"/>
  <c r="M804" i="4" s="1"/>
  <c r="M805" i="4" a="1"/>
  <c r="M805" i="4" s="1"/>
  <c r="M806" i="4" a="1"/>
  <c r="M806" i="4" s="1"/>
  <c r="M807" i="4" a="1"/>
  <c r="M807" i="4" s="1"/>
  <c r="M808" i="4" a="1"/>
  <c r="M808" i="4" s="1"/>
  <c r="M809" i="4" a="1"/>
  <c r="M809" i="4" s="1"/>
  <c r="M810" i="4" a="1"/>
  <c r="M810" i="4" s="1"/>
  <c r="M811" i="4" a="1"/>
  <c r="M811" i="4" s="1"/>
  <c r="M812" i="4" a="1"/>
  <c r="M812" i="4" s="1"/>
  <c r="M813" i="4" a="1"/>
  <c r="M813" i="4" s="1"/>
  <c r="M814" i="4" a="1"/>
  <c r="M814" i="4" s="1"/>
  <c r="M815" i="4" a="1"/>
  <c r="M815" i="4" s="1"/>
  <c r="M816" i="4" a="1"/>
  <c r="M816" i="4" s="1"/>
  <c r="M817" i="4" a="1"/>
  <c r="M817" i="4" s="1"/>
  <c r="M818" i="4" a="1"/>
  <c r="M818" i="4" s="1"/>
  <c r="M819" i="4" a="1"/>
  <c r="M819" i="4" s="1"/>
  <c r="M820" i="4" a="1"/>
  <c r="M820" i="4" s="1"/>
  <c r="M821" i="4" a="1"/>
  <c r="M821" i="4" s="1"/>
  <c r="M822" i="4" a="1"/>
  <c r="M822" i="4" s="1"/>
  <c r="M823" i="4" a="1"/>
  <c r="M823" i="4" s="1"/>
  <c r="M824" i="4" a="1"/>
  <c r="M824" i="4" s="1"/>
  <c r="M825" i="4" a="1"/>
  <c r="M825" i="4" s="1"/>
  <c r="M826" i="4" a="1"/>
  <c r="M826" i="4" s="1"/>
  <c r="M827" i="4" a="1"/>
  <c r="M827" i="4" s="1"/>
  <c r="M828" i="4" a="1"/>
  <c r="M828" i="4" s="1"/>
  <c r="M829" i="4" a="1"/>
  <c r="M829" i="4" s="1"/>
  <c r="M830" i="4" a="1"/>
  <c r="M830" i="4" s="1"/>
  <c r="M831" i="4" a="1"/>
  <c r="M831" i="4" s="1"/>
  <c r="M832" i="4" a="1"/>
  <c r="M832" i="4" s="1"/>
  <c r="M833" i="4" a="1"/>
  <c r="M833" i="4" s="1"/>
  <c r="M834" i="4" a="1"/>
  <c r="M834" i="4" s="1"/>
  <c r="M835" i="4" a="1"/>
  <c r="M835" i="4" s="1"/>
  <c r="M836" i="4" a="1"/>
  <c r="M836" i="4" s="1"/>
  <c r="M837" i="4" a="1"/>
  <c r="M837" i="4" s="1"/>
  <c r="M838" i="4" a="1"/>
  <c r="M838" i="4" s="1"/>
  <c r="M839" i="4" a="1"/>
  <c r="M839" i="4" s="1"/>
  <c r="M840" i="4" a="1"/>
  <c r="M840" i="4" s="1"/>
  <c r="M841" i="4" a="1"/>
  <c r="M841" i="4" s="1"/>
  <c r="M842" i="4" a="1"/>
  <c r="M842" i="4" s="1"/>
  <c r="M843" i="4" a="1"/>
  <c r="M843" i="4" s="1"/>
  <c r="M844" i="4" a="1"/>
  <c r="M844" i="4" s="1"/>
  <c r="M845" i="4" a="1"/>
  <c r="M845" i="4" s="1"/>
  <c r="M846" i="4" a="1"/>
  <c r="M846" i="4" s="1"/>
  <c r="M847" i="4" a="1"/>
  <c r="M847" i="4" s="1"/>
  <c r="M848" i="4" a="1"/>
  <c r="M848" i="4" s="1"/>
  <c r="M849" i="4" a="1"/>
  <c r="M849" i="4" s="1"/>
  <c r="M850" i="4" a="1"/>
  <c r="M850" i="4" s="1"/>
  <c r="M851" i="4" a="1"/>
  <c r="M851" i="4" s="1"/>
  <c r="M852" i="4" a="1"/>
  <c r="M852" i="4" s="1"/>
  <c r="M853" i="4" a="1"/>
  <c r="M853" i="4" s="1"/>
  <c r="M854" i="4" a="1"/>
  <c r="M854" i="4" s="1"/>
  <c r="M855" i="4" a="1"/>
  <c r="M855" i="4" s="1"/>
  <c r="M856" i="4" a="1"/>
  <c r="M856" i="4" s="1"/>
  <c r="M857" i="4" a="1"/>
  <c r="M857" i="4" s="1"/>
  <c r="M858" i="4" a="1"/>
  <c r="M858" i="4" s="1"/>
  <c r="M859" i="4" a="1"/>
  <c r="M859" i="4" s="1"/>
  <c r="M860" i="4" a="1"/>
  <c r="M860" i="4" s="1"/>
  <c r="M861" i="4" a="1"/>
  <c r="M861" i="4" s="1"/>
  <c r="M862" i="4" a="1"/>
  <c r="M862" i="4" s="1"/>
  <c r="M863" i="4" a="1"/>
  <c r="M863" i="4" s="1"/>
  <c r="M864" i="4" a="1"/>
  <c r="M864" i="4" s="1"/>
  <c r="M865" i="4" a="1"/>
  <c r="M865" i="4" s="1"/>
  <c r="M866" i="4" a="1"/>
  <c r="M866" i="4" s="1"/>
  <c r="M867" i="4" a="1"/>
  <c r="M867" i="4" s="1"/>
  <c r="M868" i="4" a="1"/>
  <c r="M868" i="4" s="1"/>
  <c r="M869" i="4" a="1"/>
  <c r="M869" i="4" s="1"/>
  <c r="M870" i="4" a="1"/>
  <c r="M870" i="4" s="1"/>
  <c r="M871" i="4" a="1"/>
  <c r="M871" i="4" s="1"/>
  <c r="M872" i="4" a="1"/>
  <c r="M872" i="4" s="1"/>
  <c r="M873" i="4" a="1"/>
  <c r="M873" i="4" s="1"/>
  <c r="M874" i="4" a="1"/>
  <c r="M874" i="4" s="1"/>
  <c r="M875" i="4" a="1"/>
  <c r="M875" i="4" s="1"/>
  <c r="M876" i="4" a="1"/>
  <c r="M876" i="4" s="1"/>
  <c r="M877" i="4" a="1"/>
  <c r="M877" i="4" s="1"/>
  <c r="M878" i="4" a="1"/>
  <c r="M878" i="4" s="1"/>
  <c r="M879" i="4" a="1"/>
  <c r="M879" i="4" s="1"/>
  <c r="M880" i="4" a="1"/>
  <c r="M880" i="4" s="1"/>
  <c r="M881" i="4" a="1"/>
  <c r="M881" i="4" s="1"/>
  <c r="M882" i="4" a="1"/>
  <c r="M882" i="4" s="1"/>
  <c r="M883" i="4" a="1"/>
  <c r="M883" i="4" s="1"/>
  <c r="M884" i="4" a="1"/>
  <c r="M884" i="4" s="1"/>
  <c r="M885" i="4" a="1"/>
  <c r="M885" i="4" s="1"/>
  <c r="M886" i="4" a="1"/>
  <c r="M886" i="4" s="1"/>
  <c r="M887" i="4" a="1"/>
  <c r="M887" i="4" s="1"/>
  <c r="M888" i="4" a="1"/>
  <c r="M888" i="4" s="1"/>
  <c r="M889" i="4" a="1"/>
  <c r="M889" i="4" s="1"/>
  <c r="M890" i="4" a="1"/>
  <c r="M890" i="4" s="1"/>
  <c r="M891" i="4" a="1"/>
  <c r="M891" i="4" s="1"/>
  <c r="M892" i="4" a="1"/>
  <c r="M892" i="4" s="1"/>
  <c r="M893" i="4" a="1"/>
  <c r="M893" i="4" s="1"/>
  <c r="M894" i="4" a="1"/>
  <c r="M894" i="4" s="1"/>
  <c r="M895" i="4" a="1"/>
  <c r="M895" i="4" s="1"/>
  <c r="M896" i="4" a="1"/>
  <c r="M896" i="4" s="1"/>
  <c r="M897" i="4" a="1"/>
  <c r="M897" i="4" s="1"/>
  <c r="M898" i="4" a="1"/>
  <c r="M898" i="4" s="1"/>
  <c r="M899" i="4" a="1"/>
  <c r="M899" i="4" s="1"/>
  <c r="M900" i="4" a="1"/>
  <c r="M900" i="4" s="1"/>
  <c r="M901" i="4" a="1"/>
  <c r="M901" i="4" s="1"/>
  <c r="M902" i="4" a="1"/>
  <c r="M902" i="4" s="1"/>
  <c r="M903" i="4" a="1"/>
  <c r="M903" i="4" s="1"/>
  <c r="M904" i="4" a="1"/>
  <c r="M904" i="4" s="1"/>
  <c r="M905" i="4" a="1"/>
  <c r="M905" i="4" s="1"/>
  <c r="M906" i="4" a="1"/>
  <c r="M906" i="4" s="1"/>
  <c r="M907" i="4" a="1"/>
  <c r="M907" i="4" s="1"/>
  <c r="M908" i="4" a="1"/>
  <c r="M908" i="4" s="1"/>
  <c r="M909" i="4" a="1"/>
  <c r="M909" i="4" s="1"/>
  <c r="M910" i="4" a="1"/>
  <c r="M910" i="4" s="1"/>
  <c r="M911" i="4" a="1"/>
  <c r="M911" i="4" s="1"/>
  <c r="M912" i="4" a="1"/>
  <c r="M912" i="4" s="1"/>
  <c r="M913" i="4" a="1"/>
  <c r="M913" i="4" s="1"/>
  <c r="M914" i="4" a="1"/>
  <c r="M914" i="4" s="1"/>
  <c r="M915" i="4" a="1"/>
  <c r="M915" i="4" s="1"/>
  <c r="M916" i="4" a="1"/>
  <c r="M916" i="4" s="1"/>
  <c r="M917" i="4" a="1"/>
  <c r="M917" i="4" s="1"/>
  <c r="M918" i="4" a="1"/>
  <c r="M918" i="4" s="1"/>
  <c r="M919" i="4" a="1"/>
  <c r="M919" i="4" s="1"/>
  <c r="M920" i="4" a="1"/>
  <c r="M920" i="4" s="1"/>
  <c r="M921" i="4" a="1"/>
  <c r="M921" i="4" s="1"/>
  <c r="M922" i="4" a="1"/>
  <c r="M922" i="4" s="1"/>
  <c r="M923" i="4" a="1"/>
  <c r="M923" i="4" s="1"/>
  <c r="M924" i="4" a="1"/>
  <c r="M924" i="4" s="1"/>
  <c r="M925" i="4" a="1"/>
  <c r="M925" i="4" s="1"/>
  <c r="M926" i="4" a="1"/>
  <c r="M926" i="4" s="1"/>
  <c r="M927" i="4" a="1"/>
  <c r="M927" i="4" s="1"/>
  <c r="M928" i="4" a="1"/>
  <c r="M928" i="4" s="1"/>
  <c r="M929" i="4" a="1"/>
  <c r="M929" i="4" s="1"/>
  <c r="M930" i="4" a="1"/>
  <c r="M930" i="4" s="1"/>
  <c r="M931" i="4" a="1"/>
  <c r="M931" i="4" s="1"/>
  <c r="M932" i="4" a="1"/>
  <c r="M932" i="4" s="1"/>
  <c r="M933" i="4" a="1"/>
  <c r="M933" i="4" s="1"/>
  <c r="M934" i="4" a="1"/>
  <c r="M934" i="4" s="1"/>
  <c r="M935" i="4" a="1"/>
  <c r="M935" i="4" s="1"/>
  <c r="M936" i="4" a="1"/>
  <c r="M936" i="4" s="1"/>
  <c r="M937" i="4" a="1"/>
  <c r="M937" i="4" s="1"/>
  <c r="M938" i="4" a="1"/>
  <c r="M938" i="4" s="1"/>
  <c r="M939" i="4" a="1"/>
  <c r="M939" i="4" s="1"/>
  <c r="M940" i="4" a="1"/>
  <c r="M940" i="4" s="1"/>
  <c r="M941" i="4" a="1"/>
  <c r="M941" i="4" s="1"/>
  <c r="M942" i="4" a="1"/>
  <c r="M942" i="4" s="1"/>
  <c r="M943" i="4" a="1"/>
  <c r="M943" i="4" s="1"/>
  <c r="M944" i="4" a="1"/>
  <c r="M944" i="4" s="1"/>
  <c r="M945" i="4" a="1"/>
  <c r="M945" i="4" s="1"/>
  <c r="M946" i="4" a="1"/>
  <c r="M946" i="4" s="1"/>
  <c r="M947" i="4" a="1"/>
  <c r="M947" i="4" s="1"/>
  <c r="M948" i="4" a="1"/>
  <c r="M948" i="4" s="1"/>
  <c r="M949" i="4" a="1"/>
  <c r="M949" i="4" s="1"/>
  <c r="M950" i="4" a="1"/>
  <c r="M950" i="4" s="1"/>
  <c r="M951" i="4" a="1"/>
  <c r="M951" i="4" s="1"/>
  <c r="M952" i="4" a="1"/>
  <c r="M952" i="4" s="1"/>
  <c r="M953" i="4" a="1"/>
  <c r="M953" i="4" s="1"/>
  <c r="M954" i="4" a="1"/>
  <c r="M954" i="4" s="1"/>
  <c r="M955" i="4" a="1"/>
  <c r="M955" i="4" s="1"/>
  <c r="M956" i="4" a="1"/>
  <c r="M956" i="4" s="1"/>
  <c r="M957" i="4" a="1"/>
  <c r="M957" i="4" s="1"/>
  <c r="M958" i="4" a="1"/>
  <c r="M958" i="4" s="1"/>
  <c r="M959" i="4" a="1"/>
  <c r="M959" i="4" s="1"/>
  <c r="M960" i="4" a="1"/>
  <c r="M960" i="4" s="1"/>
  <c r="M961" i="4" a="1"/>
  <c r="M961" i="4" s="1"/>
  <c r="M962" i="4" a="1"/>
  <c r="M962" i="4" s="1"/>
  <c r="M963" i="4" a="1"/>
  <c r="M963" i="4" s="1"/>
  <c r="M964" i="4" a="1"/>
  <c r="M964" i="4" s="1"/>
  <c r="M965" i="4" a="1"/>
  <c r="M965" i="4" s="1"/>
  <c r="M966" i="4" a="1"/>
  <c r="M966" i="4" s="1"/>
  <c r="M967" i="4" a="1"/>
  <c r="M967" i="4" s="1"/>
  <c r="M968" i="4" a="1"/>
  <c r="M968" i="4" s="1"/>
  <c r="M969" i="4" a="1"/>
  <c r="M969" i="4" s="1"/>
  <c r="M970" i="4" a="1"/>
  <c r="M970" i="4" s="1"/>
  <c r="M971" i="4" a="1"/>
  <c r="M971" i="4" s="1"/>
  <c r="M972" i="4" a="1"/>
  <c r="M972" i="4" s="1"/>
  <c r="M973" i="4" a="1"/>
  <c r="M973" i="4" s="1"/>
  <c r="M974" i="4" a="1"/>
  <c r="M974" i="4" s="1"/>
  <c r="M975" i="4" a="1"/>
  <c r="M975" i="4" s="1"/>
  <c r="M976" i="4" a="1"/>
  <c r="M976" i="4" s="1"/>
  <c r="M977" i="4" a="1"/>
  <c r="M977" i="4" s="1"/>
  <c r="M978" i="4" a="1"/>
  <c r="M978" i="4" s="1"/>
  <c r="M979" i="4" a="1"/>
  <c r="M979" i="4" s="1"/>
  <c r="M980" i="4" a="1"/>
  <c r="M980" i="4" s="1"/>
  <c r="M981" i="4" a="1"/>
  <c r="M981" i="4" s="1"/>
  <c r="M982" i="4" a="1"/>
  <c r="M982" i="4" s="1"/>
  <c r="M983" i="4" a="1"/>
  <c r="M983" i="4" s="1"/>
  <c r="M984" i="4" a="1"/>
  <c r="M984" i="4" s="1"/>
  <c r="M985" i="4" a="1"/>
  <c r="M985" i="4" s="1"/>
  <c r="M986" i="4" a="1"/>
  <c r="M986" i="4" s="1"/>
  <c r="M987" i="4" a="1"/>
  <c r="M987" i="4" s="1"/>
  <c r="M988" i="4" a="1"/>
  <c r="M988" i="4" s="1"/>
  <c r="M989" i="4" a="1"/>
  <c r="M989" i="4" s="1"/>
  <c r="M990" i="4" a="1"/>
  <c r="M990" i="4" s="1"/>
  <c r="M991" i="4" a="1"/>
  <c r="M991" i="4" s="1"/>
  <c r="M992" i="4" a="1"/>
  <c r="M992" i="4" s="1"/>
  <c r="M993" i="4" a="1"/>
  <c r="M993" i="4" s="1"/>
  <c r="M994" i="4" a="1"/>
  <c r="M994" i="4" s="1"/>
  <c r="M995" i="4" a="1"/>
  <c r="M995" i="4" s="1"/>
  <c r="M996" i="4" a="1"/>
  <c r="M996" i="4" s="1"/>
  <c r="M997" i="4" a="1"/>
  <c r="M997" i="4" s="1"/>
  <c r="M998" i="4" a="1"/>
  <c r="M998" i="4" s="1"/>
  <c r="M999" i="4" a="1"/>
  <c r="M999" i="4" s="1"/>
  <c r="M1000" i="4" a="1"/>
  <c r="M1000" i="4" s="1"/>
  <c r="M1001" i="4" a="1"/>
  <c r="M1001" i="4" s="1"/>
  <c r="M1002" i="4" a="1"/>
  <c r="M1002" i="4" s="1"/>
  <c r="M1003" i="4" a="1"/>
  <c r="M1003" i="4" s="1"/>
  <c r="M1004" i="4" a="1"/>
  <c r="M1004" i="4" s="1"/>
  <c r="M1005" i="4" a="1"/>
  <c r="M1005" i="4" s="1"/>
  <c r="M1006" i="4" a="1"/>
  <c r="M1006" i="4" s="1"/>
  <c r="M1007" i="4" a="1"/>
  <c r="M1007" i="4" s="1"/>
  <c r="M1008" i="4" a="1"/>
  <c r="M1008" i="4" s="1"/>
  <c r="M1009" i="4" a="1"/>
  <c r="M1009" i="4" s="1"/>
  <c r="M1010" i="4" a="1"/>
  <c r="M1010" i="4" s="1"/>
  <c r="M1011" i="4" a="1"/>
  <c r="M1011" i="4" s="1"/>
  <c r="M1012" i="4" a="1"/>
  <c r="M1012" i="4" s="1"/>
  <c r="M1013" i="4" a="1"/>
  <c r="M1013" i="4" s="1"/>
  <c r="M1014" i="4" a="1"/>
  <c r="M1014" i="4" s="1"/>
  <c r="M1015" i="4" a="1"/>
  <c r="M1015" i="4" s="1"/>
  <c r="M1016" i="4" a="1"/>
  <c r="M1016" i="4" s="1"/>
  <c r="M1017" i="4" a="1"/>
  <c r="M1017" i="4" s="1"/>
  <c r="M1018" i="4" a="1"/>
  <c r="M1018" i="4" s="1"/>
  <c r="M1019" i="4" a="1"/>
  <c r="M1019" i="4" s="1"/>
  <c r="M1020" i="4" a="1"/>
  <c r="M1020" i="4" s="1"/>
  <c r="M1021" i="4" a="1"/>
  <c r="M1021" i="4" s="1"/>
  <c r="M1022" i="4" a="1"/>
  <c r="M1022" i="4" s="1"/>
  <c r="M1023" i="4" a="1"/>
  <c r="M1023" i="4" s="1"/>
  <c r="M1024" i="4" a="1"/>
  <c r="M1024" i="4" s="1"/>
  <c r="M1025" i="4" a="1"/>
  <c r="M1025" i="4" s="1"/>
  <c r="M1026" i="4" a="1"/>
  <c r="M1026" i="4" s="1"/>
  <c r="M1027" i="4" a="1"/>
  <c r="M1027" i="4" s="1"/>
  <c r="M1028" i="4" a="1"/>
  <c r="M1028" i="4" s="1"/>
  <c r="M1029" i="4" a="1"/>
  <c r="M1029" i="4" s="1"/>
  <c r="M1030" i="4" a="1"/>
  <c r="M1030" i="4" s="1"/>
  <c r="M1031" i="4" a="1"/>
  <c r="M1031" i="4" s="1"/>
  <c r="M1032" i="4" a="1"/>
  <c r="M1032" i="4" s="1"/>
  <c r="M1033" i="4" a="1"/>
  <c r="M1033" i="4" s="1"/>
  <c r="M1034" i="4" a="1"/>
  <c r="M1034" i="4" s="1"/>
  <c r="M1035" i="4" a="1"/>
  <c r="M1035" i="4" s="1"/>
  <c r="M1036" i="4" a="1"/>
  <c r="M1036" i="4" s="1"/>
  <c r="M1037" i="4" a="1"/>
  <c r="M1037" i="4" s="1"/>
  <c r="M1038" i="4" a="1"/>
  <c r="M1038" i="4" s="1"/>
  <c r="M1039" i="4" a="1"/>
  <c r="M1039" i="4" s="1"/>
  <c r="M1040" i="4" a="1"/>
  <c r="M1040" i="4" s="1"/>
  <c r="M1041" i="4" a="1"/>
  <c r="M1041" i="4" s="1"/>
  <c r="M1042" i="4" a="1"/>
  <c r="M1042" i="4" s="1"/>
  <c r="M1043" i="4" a="1"/>
  <c r="M1043" i="4" s="1"/>
  <c r="M1044" i="4" a="1"/>
  <c r="M1044" i="4" s="1"/>
  <c r="M1045" i="4" a="1"/>
  <c r="M1045" i="4" s="1"/>
  <c r="M1046" i="4" a="1"/>
  <c r="M1046" i="4" s="1"/>
  <c r="M1047" i="4" a="1"/>
  <c r="M1047" i="4" s="1"/>
  <c r="M1048" i="4" a="1"/>
  <c r="M1048" i="4" s="1"/>
  <c r="M1049" i="4" a="1"/>
  <c r="M1049" i="4" s="1"/>
  <c r="M1050" i="4" a="1"/>
  <c r="M1050" i="4" s="1"/>
  <c r="M1051" i="4" a="1"/>
  <c r="M1051" i="4" s="1"/>
  <c r="M1052" i="4" a="1"/>
  <c r="M1052" i="4" s="1"/>
  <c r="M1053" i="4" a="1"/>
  <c r="M1053" i="4" s="1"/>
  <c r="M1054" i="4" a="1"/>
  <c r="M1054" i="4" s="1"/>
  <c r="M1055" i="4" a="1"/>
  <c r="M1055" i="4" s="1"/>
  <c r="M1056" i="4" a="1"/>
  <c r="M1056" i="4" s="1"/>
  <c r="M1057" i="4" a="1"/>
  <c r="M1057" i="4" s="1"/>
  <c r="M1058" i="4" a="1"/>
  <c r="M1058" i="4" s="1"/>
  <c r="M1059" i="4" a="1"/>
  <c r="M1059" i="4" s="1"/>
  <c r="M1060" i="4" a="1"/>
  <c r="M1060" i="4" s="1"/>
  <c r="M1061" i="4" a="1"/>
  <c r="M1061" i="4" s="1"/>
  <c r="M1062" i="4" a="1"/>
  <c r="M1062" i="4" s="1"/>
  <c r="M1063" i="4" a="1"/>
  <c r="M1063" i="4" s="1"/>
  <c r="M1064" i="4" a="1"/>
  <c r="M1064" i="4" s="1"/>
  <c r="M1065" i="4" a="1"/>
  <c r="M1065" i="4" s="1"/>
  <c r="M1066" i="4" a="1"/>
  <c r="M1066" i="4" s="1"/>
  <c r="M1067" i="4" a="1"/>
  <c r="M1067" i="4" s="1"/>
  <c r="M1068" i="4" a="1"/>
  <c r="M1068" i="4" s="1"/>
  <c r="M1069" i="4" a="1"/>
  <c r="M1069" i="4" s="1"/>
  <c r="M1070" i="4" a="1"/>
  <c r="M1070" i="4" s="1"/>
  <c r="M1071" i="4" a="1"/>
  <c r="M1071" i="4" s="1"/>
  <c r="M1072" i="4" a="1"/>
  <c r="M1072" i="4" s="1"/>
  <c r="M1073" i="4" a="1"/>
  <c r="M1073" i="4" s="1"/>
  <c r="M1074" i="4" a="1"/>
  <c r="M1074" i="4" s="1"/>
  <c r="M1075" i="4" a="1"/>
  <c r="M1075" i="4" s="1"/>
  <c r="M1076" i="4" a="1"/>
  <c r="M1076" i="4" s="1"/>
  <c r="M1077" i="4" a="1"/>
  <c r="M1077" i="4" s="1"/>
  <c r="M1078" i="4" a="1"/>
  <c r="M1078" i="4" s="1"/>
  <c r="M1079" i="4" a="1"/>
  <c r="M1079" i="4" s="1"/>
  <c r="M1080" i="4" a="1"/>
  <c r="M1080" i="4" s="1"/>
  <c r="M1081" i="4" a="1"/>
  <c r="M1081" i="4" s="1"/>
  <c r="M1082" i="4" a="1"/>
  <c r="M1082" i="4" s="1"/>
  <c r="M1083" i="4" a="1"/>
  <c r="M1083" i="4" s="1"/>
  <c r="M1084" i="4" a="1"/>
  <c r="M1084" i="4" s="1"/>
  <c r="M1085" i="4" a="1"/>
  <c r="M1085" i="4" s="1"/>
  <c r="M1086" i="4" a="1"/>
  <c r="M1086" i="4" s="1"/>
  <c r="M1087" i="4" a="1"/>
  <c r="M1087" i="4" s="1"/>
  <c r="M1088" i="4" a="1"/>
  <c r="M1088" i="4" s="1"/>
  <c r="M1089" i="4" a="1"/>
  <c r="M1089" i="4" s="1"/>
  <c r="M1090" i="4" a="1"/>
  <c r="M1090" i="4" s="1"/>
  <c r="M1091" i="4" a="1"/>
  <c r="M1091" i="4" s="1"/>
  <c r="M1092" i="4" a="1"/>
  <c r="M1092" i="4" s="1"/>
  <c r="M1093" i="4" a="1"/>
  <c r="M1093" i="4" s="1"/>
  <c r="M1094" i="4" a="1"/>
  <c r="M1094" i="4" s="1"/>
  <c r="M1095" i="4" a="1"/>
  <c r="M1095" i="4" s="1"/>
  <c r="M1096" i="4" a="1"/>
  <c r="M1096" i="4" s="1"/>
  <c r="M1097" i="4" a="1"/>
  <c r="M1097" i="4" s="1"/>
  <c r="M1098" i="4" a="1"/>
  <c r="M1098" i="4" s="1"/>
  <c r="M1099" i="4" a="1"/>
  <c r="M1099" i="4" s="1"/>
  <c r="M1100" i="4" a="1"/>
  <c r="M1100" i="4" s="1"/>
  <c r="M1101" i="4" a="1"/>
  <c r="M1101" i="4" s="1"/>
  <c r="M1102" i="4" a="1"/>
  <c r="M1102" i="4" s="1"/>
  <c r="M1103" i="4" a="1"/>
  <c r="M1103" i="4" s="1"/>
  <c r="M1104" i="4" a="1"/>
  <c r="M1104" i="4" s="1"/>
  <c r="M1105" i="4" a="1"/>
  <c r="M1105" i="4" s="1"/>
  <c r="M1106" i="4" a="1"/>
  <c r="M1106" i="4" s="1"/>
  <c r="M1107" i="4" a="1"/>
  <c r="M1107" i="4" s="1"/>
  <c r="M1108" i="4" a="1"/>
  <c r="M1108" i="4" s="1"/>
  <c r="M1109" i="4" a="1"/>
  <c r="M1109" i="4" s="1"/>
  <c r="M1110" i="4" a="1"/>
  <c r="M1110" i="4" s="1"/>
  <c r="M1111" i="4" a="1"/>
  <c r="M1111" i="4" s="1"/>
  <c r="M1112" i="4" a="1"/>
  <c r="M1112" i="4" s="1"/>
  <c r="M1113" i="4" a="1"/>
  <c r="M1113" i="4" s="1"/>
  <c r="M1114" i="4" a="1"/>
  <c r="M1114" i="4" s="1"/>
  <c r="M1115" i="4" a="1"/>
  <c r="M1115" i="4" s="1"/>
  <c r="M1116" i="4" a="1"/>
  <c r="M1116" i="4" s="1"/>
  <c r="M1117" i="4" a="1"/>
  <c r="M1117" i="4" s="1"/>
  <c r="M1118" i="4" a="1"/>
  <c r="M1118" i="4" s="1"/>
  <c r="M1119" i="4" a="1"/>
  <c r="M1119" i="4" s="1"/>
  <c r="M1120" i="4" a="1"/>
  <c r="M1120" i="4" s="1"/>
  <c r="M1121" i="4" a="1"/>
  <c r="M1121" i="4" s="1"/>
  <c r="M1122" i="4" a="1"/>
  <c r="M1122" i="4" s="1"/>
  <c r="M1123" i="4" a="1"/>
  <c r="M1123" i="4" s="1"/>
  <c r="M1124" i="4" a="1"/>
  <c r="M1124" i="4" s="1"/>
  <c r="M1125" i="4" a="1"/>
  <c r="M1125" i="4" s="1"/>
  <c r="M1126" i="4" a="1"/>
  <c r="M1126" i="4" s="1"/>
  <c r="M1127" i="4" a="1"/>
  <c r="M1127" i="4" s="1"/>
  <c r="M1128" i="4" a="1"/>
  <c r="M1128" i="4" s="1"/>
  <c r="M1129" i="4" a="1"/>
  <c r="M1129" i="4" s="1"/>
  <c r="M1130" i="4" a="1"/>
  <c r="M1130" i="4" s="1"/>
  <c r="M1131" i="4" a="1"/>
  <c r="M1131" i="4" s="1"/>
  <c r="M1132" i="4" a="1"/>
  <c r="M1132" i="4" s="1"/>
  <c r="M1133" i="4" a="1"/>
  <c r="M1133" i="4" s="1"/>
  <c r="M1134" i="4" a="1"/>
  <c r="M1134" i="4" s="1"/>
  <c r="M1135" i="4" a="1"/>
  <c r="M1135" i="4" s="1"/>
  <c r="M1136" i="4" a="1"/>
  <c r="M1136" i="4" s="1"/>
  <c r="M1137" i="4" a="1"/>
  <c r="M1137" i="4" s="1"/>
  <c r="M1138" i="4" a="1"/>
  <c r="M1138" i="4" s="1"/>
  <c r="M1139" i="4" a="1"/>
  <c r="M1139" i="4" s="1"/>
  <c r="M1140" i="4" a="1"/>
  <c r="M1140" i="4" s="1"/>
  <c r="M1141" i="4" a="1"/>
  <c r="M1141" i="4" s="1"/>
  <c r="M1142" i="4" a="1"/>
  <c r="M1142" i="4" s="1"/>
  <c r="M1143" i="4" a="1"/>
  <c r="M1143" i="4" s="1"/>
  <c r="M1144" i="4" a="1"/>
  <c r="M1144" i="4" s="1"/>
  <c r="M1145" i="4" a="1"/>
  <c r="M1145" i="4" s="1"/>
  <c r="M1146" i="4" a="1"/>
  <c r="M1146" i="4" s="1"/>
  <c r="M1147" i="4" a="1"/>
  <c r="M1147" i="4" s="1"/>
  <c r="M1148" i="4" a="1"/>
  <c r="M1148" i="4" s="1"/>
  <c r="M1149" i="4" a="1"/>
  <c r="M1149" i="4" s="1"/>
  <c r="M1150" i="4" a="1"/>
  <c r="M1150" i="4" s="1"/>
  <c r="M1151" i="4" a="1"/>
  <c r="M1151" i="4" s="1"/>
  <c r="M1152" i="4" a="1"/>
  <c r="M1152" i="4" s="1"/>
  <c r="M1153" i="4" a="1"/>
  <c r="M1153" i="4" s="1"/>
  <c r="M1154" i="4" a="1"/>
  <c r="M1154" i="4" s="1"/>
  <c r="M1155" i="4" a="1"/>
  <c r="M1155" i="4" s="1"/>
  <c r="M1156" i="4" a="1"/>
  <c r="M1156" i="4" s="1"/>
  <c r="M1157" i="4" a="1"/>
  <c r="M1157" i="4" s="1"/>
  <c r="M1158" i="4" a="1"/>
  <c r="M1158" i="4" s="1"/>
  <c r="M1159" i="4" a="1"/>
  <c r="M1159" i="4" s="1"/>
  <c r="M1160" i="4" a="1"/>
  <c r="M1160" i="4" s="1"/>
  <c r="M1161" i="4" a="1"/>
  <c r="M1161" i="4" s="1"/>
  <c r="M1162" i="4" a="1"/>
  <c r="M1162" i="4" s="1"/>
  <c r="M1163" i="4" a="1"/>
  <c r="M1163" i="4" s="1"/>
  <c r="M1164" i="4" a="1"/>
  <c r="M1164" i="4" s="1"/>
  <c r="M1165" i="4" a="1"/>
  <c r="M1165" i="4" s="1"/>
  <c r="M1166" i="4" a="1"/>
  <c r="M1166" i="4" s="1"/>
  <c r="M1167" i="4" a="1"/>
  <c r="M1167" i="4" s="1"/>
  <c r="M1168" i="4" a="1"/>
  <c r="M1168" i="4" s="1"/>
  <c r="M1169" i="4" a="1"/>
  <c r="M1169" i="4" s="1"/>
  <c r="M1170" i="4" a="1"/>
  <c r="M1170" i="4" s="1"/>
  <c r="M1171" i="4" a="1"/>
  <c r="M1171" i="4" s="1"/>
  <c r="M1172" i="4" a="1"/>
  <c r="M1172" i="4" s="1"/>
  <c r="M1173" i="4" a="1"/>
  <c r="M1173" i="4" s="1"/>
  <c r="M1174" i="4" a="1"/>
  <c r="M1174" i="4" s="1"/>
  <c r="M1175" i="4" a="1"/>
  <c r="M1175" i="4" s="1"/>
  <c r="M1176" i="4" a="1"/>
  <c r="M1176" i="4" s="1"/>
  <c r="M1177" i="4" a="1"/>
  <c r="M1177" i="4" s="1"/>
  <c r="M1178" i="4" a="1"/>
  <c r="M1178" i="4" s="1"/>
  <c r="M1179" i="4" a="1"/>
  <c r="M1179" i="4" s="1"/>
  <c r="M1180" i="4" a="1"/>
  <c r="M1180" i="4" s="1"/>
  <c r="M1181" i="4" a="1"/>
  <c r="M1181" i="4" s="1"/>
  <c r="M1182" i="4" a="1"/>
  <c r="M1182" i="4" s="1"/>
  <c r="M1183" i="4" a="1"/>
  <c r="M1183" i="4" s="1"/>
  <c r="M1184" i="4" a="1"/>
  <c r="M1184" i="4" s="1"/>
  <c r="M1185" i="4" a="1"/>
  <c r="M1185" i="4" s="1"/>
  <c r="M1186" i="4" a="1"/>
  <c r="M1186" i="4" s="1"/>
  <c r="M1187" i="4" a="1"/>
  <c r="M1187" i="4" s="1"/>
  <c r="M1188" i="4" a="1"/>
  <c r="M1188" i="4" s="1"/>
  <c r="M1189" i="4" a="1"/>
  <c r="M1189" i="4" s="1"/>
  <c r="O689" i="4"/>
  <c r="R689" i="4" s="1"/>
  <c r="O690" i="4"/>
  <c r="R690" i="4" s="1"/>
  <c r="O691" i="4"/>
  <c r="R691" i="4" s="1"/>
  <c r="O692" i="4"/>
  <c r="R692" i="4" s="1"/>
  <c r="O693" i="4"/>
  <c r="R693" i="4" s="1"/>
  <c r="O695" i="4"/>
  <c r="R695" i="4" s="1"/>
  <c r="O696" i="4"/>
  <c r="R696" i="4" s="1"/>
  <c r="O697" i="4"/>
  <c r="R697" i="4" s="1"/>
  <c r="O698" i="4"/>
  <c r="R698" i="4" s="1"/>
  <c r="O699" i="4"/>
  <c r="R699" i="4" s="1"/>
  <c r="O700" i="4"/>
  <c r="R700" i="4" s="1"/>
  <c r="O701" i="4"/>
  <c r="R701" i="4" s="1"/>
  <c r="O702" i="4"/>
  <c r="R702" i="4" s="1"/>
  <c r="O703" i="4"/>
  <c r="R703" i="4" s="1"/>
  <c r="O704" i="4"/>
  <c r="R704" i="4" s="1"/>
  <c r="O705" i="4"/>
  <c r="R705" i="4" s="1"/>
  <c r="O706" i="4"/>
  <c r="R706" i="4" s="1"/>
  <c r="O707" i="4"/>
  <c r="R707" i="4" s="1"/>
  <c r="O708" i="4"/>
  <c r="R708" i="4" s="1"/>
  <c r="O709" i="4"/>
  <c r="R709" i="4" s="1"/>
  <c r="O710" i="4"/>
  <c r="R710" i="4" s="1"/>
  <c r="O711" i="4"/>
  <c r="R711" i="4" s="1"/>
  <c r="O712" i="4"/>
  <c r="R712" i="4" s="1"/>
  <c r="O713" i="4"/>
  <c r="R713" i="4" s="1"/>
  <c r="O714" i="4"/>
  <c r="R714" i="4" s="1"/>
  <c r="O715" i="4"/>
  <c r="R715" i="4" s="1"/>
  <c r="O716" i="4"/>
  <c r="R716" i="4" s="1"/>
  <c r="O717" i="4"/>
  <c r="R717" i="4" s="1"/>
  <c r="O718" i="4"/>
  <c r="R718" i="4" s="1"/>
  <c r="O719" i="4"/>
  <c r="R719" i="4" s="1"/>
  <c r="O720" i="4"/>
  <c r="R720" i="4" s="1"/>
  <c r="O721" i="4"/>
  <c r="R721" i="4" s="1"/>
  <c r="O722" i="4"/>
  <c r="R722" i="4" s="1"/>
  <c r="O723" i="4"/>
  <c r="R723" i="4" s="1"/>
  <c r="O724" i="4"/>
  <c r="R724" i="4" s="1"/>
  <c r="O725" i="4"/>
  <c r="R725" i="4" s="1"/>
  <c r="O726" i="4"/>
  <c r="R726" i="4" s="1"/>
  <c r="O727" i="4"/>
  <c r="R727" i="4" s="1"/>
  <c r="O728" i="4"/>
  <c r="R728" i="4" s="1"/>
  <c r="O729" i="4"/>
  <c r="R729" i="4" s="1"/>
  <c r="O730" i="4"/>
  <c r="R730" i="4" s="1"/>
  <c r="O731" i="4"/>
  <c r="R731" i="4" s="1"/>
  <c r="O732" i="4"/>
  <c r="R732" i="4" s="1"/>
  <c r="O733" i="4"/>
  <c r="R733" i="4" s="1"/>
  <c r="O734" i="4"/>
  <c r="R734" i="4" s="1"/>
  <c r="O735" i="4"/>
  <c r="R735" i="4" s="1"/>
  <c r="O736" i="4"/>
  <c r="R736" i="4" s="1"/>
  <c r="O737" i="4"/>
  <c r="R737" i="4" s="1"/>
  <c r="O738" i="4"/>
  <c r="R738" i="4" s="1"/>
  <c r="O739" i="4"/>
  <c r="R739" i="4" s="1"/>
  <c r="O740" i="4"/>
  <c r="R740" i="4" s="1"/>
  <c r="O741" i="4"/>
  <c r="R741" i="4" s="1"/>
  <c r="O742" i="4"/>
  <c r="R742" i="4" s="1"/>
  <c r="O743" i="4"/>
  <c r="R743" i="4" s="1"/>
  <c r="O744" i="4"/>
  <c r="R744" i="4" s="1"/>
  <c r="O745" i="4"/>
  <c r="R745" i="4" s="1"/>
  <c r="O746" i="4"/>
  <c r="R746" i="4" s="1"/>
  <c r="O747" i="4"/>
  <c r="R747" i="4" s="1"/>
  <c r="O748" i="4"/>
  <c r="R748" i="4" s="1"/>
  <c r="O749" i="4"/>
  <c r="R749" i="4" s="1"/>
  <c r="O750" i="4"/>
  <c r="R750" i="4" s="1"/>
  <c r="O751" i="4"/>
  <c r="R751" i="4" s="1"/>
  <c r="O752" i="4"/>
  <c r="R752" i="4" s="1"/>
  <c r="O753" i="4"/>
  <c r="R753" i="4" s="1"/>
  <c r="O754" i="4"/>
  <c r="R754" i="4" s="1"/>
  <c r="O755" i="4"/>
  <c r="R755" i="4" s="1"/>
  <c r="O756" i="4"/>
  <c r="R756" i="4" s="1"/>
  <c r="O757" i="4"/>
  <c r="R757" i="4" s="1"/>
  <c r="O758" i="4"/>
  <c r="R758" i="4" s="1"/>
  <c r="O759" i="4"/>
  <c r="R759" i="4" s="1"/>
  <c r="O760" i="4"/>
  <c r="R760" i="4" s="1"/>
  <c r="O761" i="4"/>
  <c r="R761" i="4" s="1"/>
  <c r="O762" i="4"/>
  <c r="R762" i="4" s="1"/>
  <c r="O763" i="4"/>
  <c r="R763" i="4" s="1"/>
  <c r="O764" i="4"/>
  <c r="R764" i="4" s="1"/>
  <c r="O765" i="4"/>
  <c r="R765" i="4" s="1"/>
  <c r="O766" i="4"/>
  <c r="R766" i="4" s="1"/>
  <c r="O767" i="4"/>
  <c r="R767" i="4" s="1"/>
  <c r="O768" i="4"/>
  <c r="R768" i="4" s="1"/>
  <c r="O769" i="4"/>
  <c r="R769" i="4" s="1"/>
  <c r="O770" i="4"/>
  <c r="R770" i="4" s="1"/>
  <c r="O771" i="4"/>
  <c r="R771" i="4" s="1"/>
  <c r="O772" i="4"/>
  <c r="R772" i="4" s="1"/>
  <c r="O773" i="4"/>
  <c r="R773" i="4" s="1"/>
  <c r="O774" i="4"/>
  <c r="R774" i="4" s="1"/>
  <c r="O775" i="4"/>
  <c r="R775" i="4" s="1"/>
  <c r="O776" i="4"/>
  <c r="R776" i="4" s="1"/>
  <c r="O777" i="4"/>
  <c r="R777" i="4" s="1"/>
  <c r="O778" i="4"/>
  <c r="R778" i="4" s="1"/>
  <c r="O779" i="4"/>
  <c r="R779" i="4" s="1"/>
  <c r="O780" i="4"/>
  <c r="R780" i="4" s="1"/>
  <c r="O781" i="4"/>
  <c r="R781" i="4" s="1"/>
  <c r="O782" i="4"/>
  <c r="R782" i="4" s="1"/>
  <c r="O783" i="4"/>
  <c r="R783" i="4" s="1"/>
  <c r="O784" i="4"/>
  <c r="R784" i="4" s="1"/>
  <c r="O785" i="4"/>
  <c r="R785" i="4" s="1"/>
  <c r="O786" i="4"/>
  <c r="R786" i="4" s="1"/>
  <c r="O787" i="4"/>
  <c r="R787" i="4" s="1"/>
  <c r="O788" i="4"/>
  <c r="R788" i="4" s="1"/>
  <c r="O789" i="4"/>
  <c r="R789" i="4" s="1"/>
  <c r="O790" i="4"/>
  <c r="R790" i="4" s="1"/>
  <c r="O791" i="4"/>
  <c r="R791" i="4" s="1"/>
  <c r="O792" i="4"/>
  <c r="R792" i="4" s="1"/>
  <c r="O793" i="4"/>
  <c r="R793" i="4" s="1"/>
  <c r="O794" i="4"/>
  <c r="R794" i="4" s="1"/>
  <c r="O795" i="4"/>
  <c r="R795" i="4" s="1"/>
  <c r="O796" i="4"/>
  <c r="R796" i="4" s="1"/>
  <c r="O797" i="4"/>
  <c r="R797" i="4" s="1"/>
  <c r="O798" i="4"/>
  <c r="R798" i="4" s="1"/>
  <c r="O799" i="4"/>
  <c r="R799" i="4" s="1"/>
  <c r="O800" i="4"/>
  <c r="R800" i="4" s="1"/>
  <c r="O801" i="4"/>
  <c r="R801" i="4" s="1"/>
  <c r="O802" i="4"/>
  <c r="R802" i="4" s="1"/>
  <c r="O803" i="4"/>
  <c r="R803" i="4" s="1"/>
  <c r="O804" i="4"/>
  <c r="R804" i="4" s="1"/>
  <c r="O805" i="4"/>
  <c r="R805" i="4" s="1"/>
  <c r="O806" i="4"/>
  <c r="R806" i="4" s="1"/>
  <c r="O807" i="4"/>
  <c r="R807" i="4" s="1"/>
  <c r="O808" i="4"/>
  <c r="R808" i="4" s="1"/>
  <c r="O809" i="4"/>
  <c r="R809" i="4" s="1"/>
  <c r="O810" i="4"/>
  <c r="R810" i="4" s="1"/>
  <c r="O811" i="4"/>
  <c r="R811" i="4" s="1"/>
  <c r="O812" i="4"/>
  <c r="R812" i="4" s="1"/>
  <c r="O813" i="4"/>
  <c r="R813" i="4" s="1"/>
  <c r="O814" i="4"/>
  <c r="R814" i="4" s="1"/>
  <c r="O815" i="4"/>
  <c r="R815" i="4" s="1"/>
  <c r="O816" i="4"/>
  <c r="R816" i="4" s="1"/>
  <c r="O817" i="4"/>
  <c r="R817" i="4" s="1"/>
  <c r="O818" i="4"/>
  <c r="R818" i="4" s="1"/>
  <c r="O819" i="4"/>
  <c r="R819" i="4" s="1"/>
  <c r="O820" i="4"/>
  <c r="R820" i="4" s="1"/>
  <c r="O821" i="4"/>
  <c r="R821" i="4" s="1"/>
  <c r="O822" i="4"/>
  <c r="R822" i="4" s="1"/>
  <c r="O823" i="4"/>
  <c r="R823" i="4" s="1"/>
  <c r="O824" i="4"/>
  <c r="R824" i="4" s="1"/>
  <c r="O825" i="4"/>
  <c r="R825" i="4" s="1"/>
  <c r="O826" i="4"/>
  <c r="R826" i="4" s="1"/>
  <c r="O827" i="4"/>
  <c r="R827" i="4" s="1"/>
  <c r="O828" i="4"/>
  <c r="R828" i="4" s="1"/>
  <c r="O829" i="4"/>
  <c r="R829" i="4" s="1"/>
  <c r="O830" i="4"/>
  <c r="R830" i="4" s="1"/>
  <c r="O831" i="4"/>
  <c r="R831" i="4" s="1"/>
  <c r="O832" i="4"/>
  <c r="R832" i="4" s="1"/>
  <c r="O833" i="4"/>
  <c r="R833" i="4" s="1"/>
  <c r="O834" i="4"/>
  <c r="R834" i="4" s="1"/>
  <c r="O835" i="4"/>
  <c r="R835" i="4" s="1"/>
  <c r="O836" i="4"/>
  <c r="R836" i="4" s="1"/>
  <c r="O837" i="4"/>
  <c r="R837" i="4" s="1"/>
  <c r="O838" i="4"/>
  <c r="R838" i="4" s="1"/>
  <c r="O839" i="4"/>
  <c r="R839" i="4" s="1"/>
  <c r="O840" i="4"/>
  <c r="R840" i="4" s="1"/>
  <c r="O841" i="4"/>
  <c r="R841" i="4" s="1"/>
  <c r="O842" i="4"/>
  <c r="R842" i="4" s="1"/>
  <c r="O843" i="4"/>
  <c r="R843" i="4" s="1"/>
  <c r="O844" i="4"/>
  <c r="R844" i="4" s="1"/>
  <c r="O845" i="4"/>
  <c r="R845" i="4" s="1"/>
  <c r="O846" i="4"/>
  <c r="R846" i="4" s="1"/>
  <c r="O847" i="4"/>
  <c r="R847" i="4" s="1"/>
  <c r="O848" i="4"/>
  <c r="R848" i="4" s="1"/>
  <c r="O849" i="4"/>
  <c r="R849" i="4" s="1"/>
  <c r="O850" i="4"/>
  <c r="R850" i="4" s="1"/>
  <c r="O851" i="4"/>
  <c r="R851" i="4" s="1"/>
  <c r="O852" i="4"/>
  <c r="R852" i="4" s="1"/>
  <c r="O853" i="4"/>
  <c r="R853" i="4" s="1"/>
  <c r="O854" i="4"/>
  <c r="R854" i="4" s="1"/>
  <c r="O855" i="4"/>
  <c r="R855" i="4" s="1"/>
  <c r="O856" i="4"/>
  <c r="R856" i="4" s="1"/>
  <c r="O857" i="4"/>
  <c r="R857" i="4" s="1"/>
  <c r="O858" i="4"/>
  <c r="R858" i="4" s="1"/>
  <c r="O859" i="4"/>
  <c r="R859" i="4" s="1"/>
  <c r="O860" i="4"/>
  <c r="R860" i="4" s="1"/>
  <c r="O861" i="4"/>
  <c r="R861" i="4" s="1"/>
  <c r="O862" i="4"/>
  <c r="R862" i="4" s="1"/>
  <c r="O863" i="4"/>
  <c r="R863" i="4" s="1"/>
  <c r="O864" i="4"/>
  <c r="R864" i="4" s="1"/>
  <c r="O865" i="4"/>
  <c r="R865" i="4" s="1"/>
  <c r="O866" i="4"/>
  <c r="R866" i="4" s="1"/>
  <c r="O867" i="4"/>
  <c r="R867" i="4" s="1"/>
  <c r="O868" i="4"/>
  <c r="R868" i="4" s="1"/>
  <c r="O869" i="4"/>
  <c r="R869" i="4" s="1"/>
  <c r="O870" i="4"/>
  <c r="R870" i="4" s="1"/>
  <c r="O871" i="4"/>
  <c r="R871" i="4" s="1"/>
  <c r="O872" i="4"/>
  <c r="R872" i="4" s="1"/>
  <c r="O873" i="4"/>
  <c r="R873" i="4" s="1"/>
  <c r="O874" i="4"/>
  <c r="R874" i="4" s="1"/>
  <c r="O875" i="4"/>
  <c r="R875" i="4" s="1"/>
  <c r="O876" i="4"/>
  <c r="R876" i="4" s="1"/>
  <c r="O877" i="4"/>
  <c r="R877" i="4" s="1"/>
  <c r="O878" i="4"/>
  <c r="R878" i="4" s="1"/>
  <c r="O879" i="4"/>
  <c r="R879" i="4" s="1"/>
  <c r="O880" i="4"/>
  <c r="R880" i="4" s="1"/>
  <c r="O881" i="4"/>
  <c r="R881" i="4" s="1"/>
  <c r="O882" i="4"/>
  <c r="R882" i="4" s="1"/>
  <c r="O883" i="4"/>
  <c r="R883" i="4" s="1"/>
  <c r="O884" i="4"/>
  <c r="R884" i="4" s="1"/>
  <c r="O885" i="4"/>
  <c r="R885" i="4" s="1"/>
  <c r="O886" i="4"/>
  <c r="R886" i="4" s="1"/>
  <c r="O887" i="4"/>
  <c r="R887" i="4" s="1"/>
  <c r="O888" i="4"/>
  <c r="R888" i="4" s="1"/>
  <c r="O889" i="4"/>
  <c r="R889" i="4" s="1"/>
  <c r="O890" i="4"/>
  <c r="R890" i="4" s="1"/>
  <c r="O891" i="4"/>
  <c r="R891" i="4" s="1"/>
  <c r="O892" i="4"/>
  <c r="R892" i="4" s="1"/>
  <c r="O893" i="4"/>
  <c r="R893" i="4" s="1"/>
  <c r="O894" i="4"/>
  <c r="R894" i="4" s="1"/>
  <c r="O895" i="4"/>
  <c r="R895" i="4" s="1"/>
  <c r="O896" i="4"/>
  <c r="R896" i="4" s="1"/>
  <c r="O897" i="4"/>
  <c r="R897" i="4" s="1"/>
  <c r="O898" i="4"/>
  <c r="R898" i="4" s="1"/>
  <c r="O899" i="4"/>
  <c r="R899" i="4" s="1"/>
  <c r="O900" i="4"/>
  <c r="R900" i="4" s="1"/>
  <c r="O901" i="4"/>
  <c r="R901" i="4" s="1"/>
  <c r="O902" i="4"/>
  <c r="R902" i="4" s="1"/>
  <c r="O903" i="4"/>
  <c r="R903" i="4" s="1"/>
  <c r="O904" i="4"/>
  <c r="R904" i="4" s="1"/>
  <c r="O905" i="4"/>
  <c r="R905" i="4" s="1"/>
  <c r="O906" i="4"/>
  <c r="R906" i="4" s="1"/>
  <c r="O907" i="4"/>
  <c r="R907" i="4" s="1"/>
  <c r="O908" i="4"/>
  <c r="R908" i="4" s="1"/>
  <c r="O909" i="4"/>
  <c r="R909" i="4" s="1"/>
  <c r="O910" i="4"/>
  <c r="R910" i="4" s="1"/>
  <c r="O911" i="4"/>
  <c r="R911" i="4" s="1"/>
  <c r="O912" i="4"/>
  <c r="R912" i="4" s="1"/>
  <c r="O913" i="4"/>
  <c r="R913" i="4" s="1"/>
  <c r="O914" i="4"/>
  <c r="R914" i="4" s="1"/>
  <c r="O915" i="4"/>
  <c r="R915" i="4" s="1"/>
  <c r="O916" i="4"/>
  <c r="R916" i="4" s="1"/>
  <c r="O917" i="4"/>
  <c r="R917" i="4" s="1"/>
  <c r="O918" i="4"/>
  <c r="R918" i="4" s="1"/>
  <c r="O919" i="4"/>
  <c r="R919" i="4" s="1"/>
  <c r="O920" i="4"/>
  <c r="R920" i="4" s="1"/>
  <c r="O921" i="4"/>
  <c r="R921" i="4" s="1"/>
  <c r="O922" i="4"/>
  <c r="R922" i="4" s="1"/>
  <c r="O923" i="4"/>
  <c r="R923" i="4" s="1"/>
  <c r="O924" i="4"/>
  <c r="R924" i="4" s="1"/>
  <c r="O925" i="4"/>
  <c r="R925" i="4" s="1"/>
  <c r="O926" i="4"/>
  <c r="R926" i="4" s="1"/>
  <c r="O927" i="4"/>
  <c r="R927" i="4" s="1"/>
  <c r="O928" i="4"/>
  <c r="R928" i="4" s="1"/>
  <c r="O929" i="4"/>
  <c r="R929" i="4" s="1"/>
  <c r="O930" i="4"/>
  <c r="R930" i="4" s="1"/>
  <c r="O931" i="4"/>
  <c r="R931" i="4" s="1"/>
  <c r="O932" i="4"/>
  <c r="R932" i="4" s="1"/>
  <c r="O933" i="4"/>
  <c r="R933" i="4" s="1"/>
  <c r="O934" i="4"/>
  <c r="R934" i="4" s="1"/>
  <c r="O935" i="4"/>
  <c r="R935" i="4" s="1"/>
  <c r="O936" i="4"/>
  <c r="R936" i="4" s="1"/>
  <c r="O937" i="4"/>
  <c r="R937" i="4" s="1"/>
  <c r="O938" i="4"/>
  <c r="R938" i="4" s="1"/>
  <c r="O939" i="4"/>
  <c r="R939" i="4" s="1"/>
  <c r="O940" i="4"/>
  <c r="R940" i="4" s="1"/>
  <c r="O941" i="4"/>
  <c r="R941" i="4" s="1"/>
  <c r="O942" i="4"/>
  <c r="R942" i="4" s="1"/>
  <c r="O943" i="4"/>
  <c r="R943" i="4" s="1"/>
  <c r="O944" i="4"/>
  <c r="R944" i="4" s="1"/>
  <c r="O945" i="4"/>
  <c r="R945" i="4" s="1"/>
  <c r="O946" i="4"/>
  <c r="R946" i="4" s="1"/>
  <c r="O947" i="4"/>
  <c r="R947" i="4" s="1"/>
  <c r="O948" i="4"/>
  <c r="R948" i="4" s="1"/>
  <c r="O949" i="4"/>
  <c r="R949" i="4" s="1"/>
  <c r="O950" i="4"/>
  <c r="R950" i="4" s="1"/>
  <c r="O951" i="4"/>
  <c r="R951" i="4" s="1"/>
  <c r="O952" i="4"/>
  <c r="R952" i="4" s="1"/>
  <c r="O953" i="4"/>
  <c r="R953" i="4" s="1"/>
  <c r="O954" i="4"/>
  <c r="R954" i="4" s="1"/>
  <c r="O955" i="4"/>
  <c r="R955" i="4" s="1"/>
  <c r="O956" i="4"/>
  <c r="R956" i="4" s="1"/>
  <c r="O957" i="4"/>
  <c r="R957" i="4" s="1"/>
  <c r="O958" i="4"/>
  <c r="R958" i="4" s="1"/>
  <c r="O959" i="4"/>
  <c r="R959" i="4" s="1"/>
  <c r="O960" i="4"/>
  <c r="R960" i="4" s="1"/>
  <c r="O961" i="4"/>
  <c r="R961" i="4" s="1"/>
  <c r="O962" i="4"/>
  <c r="R962" i="4" s="1"/>
  <c r="O963" i="4"/>
  <c r="R963" i="4" s="1"/>
  <c r="O964" i="4"/>
  <c r="R964" i="4" s="1"/>
  <c r="O965" i="4"/>
  <c r="R965" i="4" s="1"/>
  <c r="O966" i="4"/>
  <c r="R966" i="4" s="1"/>
  <c r="O967" i="4"/>
  <c r="R967" i="4" s="1"/>
  <c r="O968" i="4"/>
  <c r="R968" i="4" s="1"/>
  <c r="O969" i="4"/>
  <c r="R969" i="4" s="1"/>
  <c r="O970" i="4"/>
  <c r="R970" i="4" s="1"/>
  <c r="O971" i="4"/>
  <c r="R971" i="4" s="1"/>
  <c r="O972" i="4"/>
  <c r="R972" i="4" s="1"/>
  <c r="O973" i="4"/>
  <c r="R973" i="4" s="1"/>
  <c r="O974" i="4"/>
  <c r="R974" i="4" s="1"/>
  <c r="O975" i="4"/>
  <c r="R975" i="4" s="1"/>
  <c r="O976" i="4"/>
  <c r="R976" i="4" s="1"/>
  <c r="O977" i="4"/>
  <c r="R977" i="4" s="1"/>
  <c r="O978" i="4"/>
  <c r="R978" i="4" s="1"/>
  <c r="O979" i="4"/>
  <c r="R979" i="4" s="1"/>
  <c r="O980" i="4"/>
  <c r="R980" i="4" s="1"/>
  <c r="O981" i="4"/>
  <c r="R981" i="4" s="1"/>
  <c r="O982" i="4"/>
  <c r="R982" i="4" s="1"/>
  <c r="O983" i="4"/>
  <c r="R983" i="4" s="1"/>
  <c r="O984" i="4"/>
  <c r="R984" i="4" s="1"/>
  <c r="O985" i="4"/>
  <c r="R985" i="4" s="1"/>
  <c r="O986" i="4"/>
  <c r="R986" i="4" s="1"/>
  <c r="O987" i="4"/>
  <c r="R987" i="4" s="1"/>
  <c r="O988" i="4"/>
  <c r="R988" i="4" s="1"/>
  <c r="O989" i="4"/>
  <c r="R989" i="4" s="1"/>
  <c r="O990" i="4"/>
  <c r="R990" i="4" s="1"/>
  <c r="O991" i="4"/>
  <c r="R991" i="4" s="1"/>
  <c r="O992" i="4"/>
  <c r="R992" i="4" s="1"/>
  <c r="O993" i="4"/>
  <c r="R993" i="4" s="1"/>
  <c r="O994" i="4"/>
  <c r="R994" i="4" s="1"/>
  <c r="O995" i="4"/>
  <c r="R995" i="4" s="1"/>
  <c r="O996" i="4"/>
  <c r="R996" i="4" s="1"/>
  <c r="O997" i="4"/>
  <c r="R997" i="4" s="1"/>
  <c r="O998" i="4"/>
  <c r="R998" i="4" s="1"/>
  <c r="O999" i="4"/>
  <c r="R999" i="4" s="1"/>
  <c r="O1000" i="4"/>
  <c r="R1000" i="4" s="1"/>
  <c r="O1001" i="4"/>
  <c r="R1001" i="4" s="1"/>
  <c r="O1002" i="4"/>
  <c r="R1002" i="4" s="1"/>
  <c r="O1003" i="4"/>
  <c r="R1003" i="4" s="1"/>
  <c r="O1004" i="4"/>
  <c r="R1004" i="4" s="1"/>
  <c r="O1005" i="4"/>
  <c r="R1005" i="4" s="1"/>
  <c r="O1006" i="4"/>
  <c r="R1006" i="4" s="1"/>
  <c r="O1007" i="4"/>
  <c r="R1007" i="4" s="1"/>
  <c r="O1008" i="4"/>
  <c r="R1008" i="4" s="1"/>
  <c r="O1009" i="4"/>
  <c r="R1009" i="4" s="1"/>
  <c r="O1010" i="4"/>
  <c r="R1010" i="4" s="1"/>
  <c r="O1011" i="4"/>
  <c r="R1011" i="4" s="1"/>
  <c r="O1012" i="4"/>
  <c r="R1012" i="4" s="1"/>
  <c r="O1013" i="4"/>
  <c r="R1013" i="4" s="1"/>
  <c r="O1014" i="4"/>
  <c r="R1014" i="4" s="1"/>
  <c r="O1015" i="4"/>
  <c r="R1015" i="4" s="1"/>
  <c r="O1016" i="4"/>
  <c r="R1016" i="4" s="1"/>
  <c r="O1017" i="4"/>
  <c r="R1017" i="4" s="1"/>
  <c r="O1018" i="4"/>
  <c r="R1018" i="4" s="1"/>
  <c r="O1019" i="4"/>
  <c r="R1019" i="4" s="1"/>
  <c r="O1020" i="4"/>
  <c r="R1020" i="4" s="1"/>
  <c r="O1021" i="4"/>
  <c r="R1021" i="4" s="1"/>
  <c r="O1022" i="4"/>
  <c r="R1022" i="4" s="1"/>
  <c r="O1023" i="4"/>
  <c r="R1023" i="4" s="1"/>
  <c r="O1024" i="4"/>
  <c r="R1024" i="4" s="1"/>
  <c r="O1025" i="4"/>
  <c r="R1025" i="4" s="1"/>
  <c r="O1026" i="4"/>
  <c r="R1026" i="4" s="1"/>
  <c r="O1027" i="4"/>
  <c r="R1027" i="4" s="1"/>
  <c r="O1028" i="4"/>
  <c r="R1028" i="4" s="1"/>
  <c r="O1029" i="4"/>
  <c r="R1029" i="4" s="1"/>
  <c r="O1030" i="4"/>
  <c r="R1030" i="4" s="1"/>
  <c r="O1031" i="4"/>
  <c r="R1031" i="4" s="1"/>
  <c r="O1032" i="4"/>
  <c r="R1032" i="4" s="1"/>
  <c r="O1033" i="4"/>
  <c r="R1033" i="4" s="1"/>
  <c r="O1034" i="4"/>
  <c r="R1034" i="4" s="1"/>
  <c r="O1035" i="4"/>
  <c r="R1035" i="4" s="1"/>
  <c r="O1036" i="4"/>
  <c r="R1036" i="4" s="1"/>
  <c r="O1037" i="4"/>
  <c r="R1037" i="4" s="1"/>
  <c r="O1038" i="4"/>
  <c r="R1038" i="4" s="1"/>
  <c r="O1039" i="4"/>
  <c r="R1039" i="4" s="1"/>
  <c r="O1040" i="4"/>
  <c r="R1040" i="4" s="1"/>
  <c r="O1041" i="4"/>
  <c r="R1041" i="4" s="1"/>
  <c r="O1042" i="4"/>
  <c r="R1042" i="4" s="1"/>
  <c r="O1043" i="4"/>
  <c r="R1043" i="4" s="1"/>
  <c r="O1044" i="4"/>
  <c r="R1044" i="4" s="1"/>
  <c r="O1045" i="4"/>
  <c r="R1045" i="4" s="1"/>
  <c r="O1046" i="4"/>
  <c r="R1046" i="4" s="1"/>
  <c r="O1047" i="4"/>
  <c r="R1047" i="4" s="1"/>
  <c r="O1048" i="4"/>
  <c r="R1048" i="4" s="1"/>
  <c r="O1049" i="4"/>
  <c r="R1049" i="4" s="1"/>
  <c r="O1050" i="4"/>
  <c r="R1050" i="4" s="1"/>
  <c r="O1051" i="4"/>
  <c r="R1051" i="4" s="1"/>
  <c r="O1052" i="4"/>
  <c r="R1052" i="4" s="1"/>
  <c r="O1053" i="4"/>
  <c r="R1053" i="4" s="1"/>
  <c r="O1054" i="4"/>
  <c r="R1054" i="4" s="1"/>
  <c r="O1055" i="4"/>
  <c r="R1055" i="4" s="1"/>
  <c r="O1056" i="4"/>
  <c r="R1056" i="4" s="1"/>
  <c r="O1057" i="4"/>
  <c r="R1057" i="4" s="1"/>
  <c r="O1058" i="4"/>
  <c r="R1058" i="4" s="1"/>
  <c r="O1059" i="4"/>
  <c r="R1059" i="4" s="1"/>
  <c r="O1060" i="4"/>
  <c r="R1060" i="4" s="1"/>
  <c r="O1061" i="4"/>
  <c r="R1061" i="4" s="1"/>
  <c r="O1062" i="4"/>
  <c r="R1062" i="4" s="1"/>
  <c r="O1063" i="4"/>
  <c r="R1063" i="4" s="1"/>
  <c r="O1064" i="4"/>
  <c r="R1064" i="4" s="1"/>
  <c r="O1065" i="4"/>
  <c r="R1065" i="4" s="1"/>
  <c r="O1066" i="4"/>
  <c r="R1066" i="4" s="1"/>
  <c r="O1067" i="4"/>
  <c r="R1067" i="4" s="1"/>
  <c r="O1068" i="4"/>
  <c r="R1068" i="4" s="1"/>
  <c r="O1069" i="4"/>
  <c r="R1069" i="4" s="1"/>
  <c r="O1070" i="4"/>
  <c r="R1070" i="4" s="1"/>
  <c r="O1071" i="4"/>
  <c r="R1071" i="4" s="1"/>
  <c r="O1072" i="4"/>
  <c r="R1072" i="4" s="1"/>
  <c r="O1073" i="4"/>
  <c r="R1073" i="4" s="1"/>
  <c r="O1074" i="4"/>
  <c r="R1074" i="4" s="1"/>
  <c r="O1075" i="4"/>
  <c r="R1075" i="4" s="1"/>
  <c r="O1076" i="4"/>
  <c r="R1076" i="4" s="1"/>
  <c r="O1077" i="4"/>
  <c r="R1077" i="4" s="1"/>
  <c r="O1078" i="4"/>
  <c r="R1078" i="4" s="1"/>
  <c r="O1079" i="4"/>
  <c r="R1079" i="4" s="1"/>
  <c r="O1080" i="4"/>
  <c r="R1080" i="4" s="1"/>
  <c r="O1081" i="4"/>
  <c r="R1081" i="4" s="1"/>
  <c r="O1082" i="4"/>
  <c r="R1082" i="4" s="1"/>
  <c r="O1083" i="4"/>
  <c r="R1083" i="4" s="1"/>
  <c r="O1084" i="4"/>
  <c r="R1084" i="4" s="1"/>
  <c r="O1085" i="4"/>
  <c r="R1085" i="4" s="1"/>
  <c r="O1086" i="4"/>
  <c r="R1086" i="4" s="1"/>
  <c r="O1087" i="4"/>
  <c r="R1087" i="4" s="1"/>
  <c r="O1088" i="4"/>
  <c r="R1088" i="4" s="1"/>
  <c r="O1089" i="4"/>
  <c r="R1089" i="4" s="1"/>
  <c r="O1090" i="4"/>
  <c r="R1090" i="4" s="1"/>
  <c r="O1091" i="4"/>
  <c r="R1091" i="4" s="1"/>
  <c r="O1092" i="4"/>
  <c r="R1092" i="4" s="1"/>
  <c r="O1093" i="4"/>
  <c r="R1093" i="4" s="1"/>
  <c r="O1094" i="4"/>
  <c r="R1094" i="4" s="1"/>
  <c r="O1095" i="4"/>
  <c r="R1095" i="4" s="1"/>
  <c r="O1096" i="4"/>
  <c r="R1096" i="4" s="1"/>
  <c r="O1097" i="4"/>
  <c r="R1097" i="4" s="1"/>
  <c r="O1098" i="4"/>
  <c r="R1098" i="4" s="1"/>
  <c r="O1099" i="4"/>
  <c r="R1099" i="4" s="1"/>
  <c r="O1100" i="4"/>
  <c r="R1100" i="4" s="1"/>
  <c r="O1101" i="4"/>
  <c r="R1101" i="4" s="1"/>
  <c r="O1102" i="4"/>
  <c r="R1102" i="4" s="1"/>
  <c r="O1103" i="4"/>
  <c r="R1103" i="4" s="1"/>
  <c r="O1104" i="4"/>
  <c r="R1104" i="4" s="1"/>
  <c r="O1105" i="4"/>
  <c r="R1105" i="4" s="1"/>
  <c r="O1106" i="4"/>
  <c r="R1106" i="4" s="1"/>
  <c r="O1107" i="4"/>
  <c r="R1107" i="4" s="1"/>
  <c r="O1108" i="4"/>
  <c r="R1108" i="4" s="1"/>
  <c r="O1109" i="4"/>
  <c r="R1109" i="4" s="1"/>
  <c r="O1110" i="4"/>
  <c r="R1110" i="4" s="1"/>
  <c r="O1111" i="4"/>
  <c r="R1111" i="4" s="1"/>
  <c r="O1112" i="4"/>
  <c r="R1112" i="4" s="1"/>
  <c r="O1113" i="4"/>
  <c r="R1113" i="4" s="1"/>
  <c r="O1114" i="4"/>
  <c r="R1114" i="4" s="1"/>
  <c r="O1115" i="4"/>
  <c r="R1115" i="4" s="1"/>
  <c r="O1116" i="4"/>
  <c r="R1116" i="4" s="1"/>
  <c r="O1117" i="4"/>
  <c r="R1117" i="4" s="1"/>
  <c r="O1118" i="4"/>
  <c r="R1118" i="4" s="1"/>
  <c r="O1119" i="4"/>
  <c r="R1119" i="4" s="1"/>
  <c r="O1120" i="4"/>
  <c r="R1120" i="4" s="1"/>
  <c r="O1121" i="4"/>
  <c r="R1121" i="4" s="1"/>
  <c r="O1122" i="4"/>
  <c r="R1122" i="4" s="1"/>
  <c r="O1123" i="4"/>
  <c r="R1123" i="4" s="1"/>
  <c r="O1124" i="4"/>
  <c r="R1124" i="4" s="1"/>
  <c r="O1125" i="4"/>
  <c r="R1125" i="4" s="1"/>
  <c r="O1126" i="4"/>
  <c r="R1126" i="4" s="1"/>
  <c r="O1127" i="4"/>
  <c r="R1127" i="4" s="1"/>
  <c r="O1128" i="4"/>
  <c r="R1128" i="4" s="1"/>
  <c r="O1129" i="4"/>
  <c r="R1129" i="4" s="1"/>
  <c r="O1130" i="4"/>
  <c r="R1130" i="4" s="1"/>
  <c r="O1131" i="4"/>
  <c r="R1131" i="4" s="1"/>
  <c r="O1132" i="4"/>
  <c r="R1132" i="4" s="1"/>
  <c r="O1133" i="4"/>
  <c r="R1133" i="4" s="1"/>
  <c r="O1134" i="4"/>
  <c r="R1134" i="4" s="1"/>
  <c r="O1135" i="4"/>
  <c r="R1135" i="4" s="1"/>
  <c r="O1136" i="4"/>
  <c r="R1136" i="4" s="1"/>
  <c r="O1137" i="4"/>
  <c r="R1137" i="4" s="1"/>
  <c r="O1138" i="4"/>
  <c r="R1138" i="4" s="1"/>
  <c r="O1139" i="4"/>
  <c r="R1139" i="4" s="1"/>
  <c r="O1140" i="4"/>
  <c r="R1140" i="4" s="1"/>
  <c r="O1141" i="4"/>
  <c r="R1141" i="4" s="1"/>
  <c r="O1142" i="4"/>
  <c r="R1142" i="4" s="1"/>
  <c r="O1143" i="4"/>
  <c r="R1143" i="4" s="1"/>
  <c r="O1144" i="4"/>
  <c r="R1144" i="4" s="1"/>
  <c r="O1145" i="4"/>
  <c r="R1145" i="4" s="1"/>
  <c r="O1146" i="4"/>
  <c r="R1146" i="4" s="1"/>
  <c r="O1147" i="4"/>
  <c r="R1147" i="4" s="1"/>
  <c r="O1148" i="4"/>
  <c r="R1148" i="4" s="1"/>
  <c r="O1149" i="4"/>
  <c r="R1149" i="4" s="1"/>
  <c r="O1150" i="4"/>
  <c r="R1150" i="4" s="1"/>
  <c r="O1151" i="4"/>
  <c r="R1151" i="4" s="1"/>
  <c r="O1152" i="4"/>
  <c r="R1152" i="4" s="1"/>
  <c r="O1153" i="4"/>
  <c r="R1153" i="4" s="1"/>
  <c r="O1154" i="4"/>
  <c r="R1154" i="4" s="1"/>
  <c r="O1155" i="4"/>
  <c r="R1155" i="4" s="1"/>
  <c r="O1156" i="4"/>
  <c r="R1156" i="4" s="1"/>
  <c r="O1157" i="4"/>
  <c r="R1157" i="4" s="1"/>
  <c r="O1158" i="4"/>
  <c r="R1158" i="4" s="1"/>
  <c r="O1159" i="4"/>
  <c r="R1159" i="4" s="1"/>
  <c r="O1160" i="4"/>
  <c r="R1160" i="4" s="1"/>
  <c r="O1161" i="4"/>
  <c r="R1161" i="4" s="1"/>
  <c r="O1162" i="4"/>
  <c r="R1162" i="4" s="1"/>
  <c r="O1163" i="4"/>
  <c r="R1163" i="4" s="1"/>
  <c r="O1164" i="4"/>
  <c r="R1164" i="4" s="1"/>
  <c r="O1165" i="4"/>
  <c r="R1165" i="4" s="1"/>
  <c r="O1166" i="4"/>
  <c r="R1166" i="4" s="1"/>
  <c r="O1167" i="4"/>
  <c r="R1167" i="4" s="1"/>
  <c r="O1168" i="4"/>
  <c r="R1168" i="4" s="1"/>
  <c r="O1169" i="4"/>
  <c r="R1169" i="4" s="1"/>
  <c r="O1170" i="4"/>
  <c r="R1170" i="4" s="1"/>
  <c r="O1171" i="4"/>
  <c r="R1171" i="4" s="1"/>
  <c r="O1172" i="4"/>
  <c r="R1172" i="4" s="1"/>
  <c r="O1173" i="4"/>
  <c r="R1173" i="4" s="1"/>
  <c r="O1174" i="4"/>
  <c r="R1174" i="4" s="1"/>
  <c r="O1175" i="4"/>
  <c r="R1175" i="4" s="1"/>
  <c r="O1176" i="4"/>
  <c r="R1176" i="4" s="1"/>
  <c r="O1177" i="4"/>
  <c r="R1177" i="4" s="1"/>
  <c r="O1178" i="4"/>
  <c r="R1178" i="4" s="1"/>
  <c r="O1179" i="4"/>
  <c r="R1179" i="4" s="1"/>
  <c r="O1180" i="4"/>
  <c r="R1180" i="4" s="1"/>
  <c r="O1181" i="4"/>
  <c r="R1181" i="4" s="1"/>
  <c r="O1182" i="4"/>
  <c r="R1182" i="4" s="1"/>
  <c r="O1183" i="4"/>
  <c r="R1183" i="4" s="1"/>
  <c r="O1184" i="4"/>
  <c r="R1184" i="4" s="1"/>
  <c r="O1185" i="4"/>
  <c r="R1185" i="4" s="1"/>
  <c r="O1186" i="4"/>
  <c r="R1186" i="4" s="1"/>
  <c r="O1187" i="4"/>
  <c r="R1187" i="4" s="1"/>
  <c r="O1188" i="4"/>
  <c r="R1188" i="4" s="1"/>
  <c r="O1189" i="4"/>
  <c r="R1189" i="4" s="1"/>
  <c r="Q689" i="4"/>
  <c r="Q690" i="4"/>
  <c r="Q691" i="4"/>
  <c r="Q692" i="4"/>
  <c r="Q693"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M184" i="4" a="1"/>
  <c r="M184" i="4" s="1"/>
  <c r="M187" i="4" a="1"/>
  <c r="M187" i="4" s="1"/>
  <c r="M192" i="4" a="1"/>
  <c r="M192" i="4" s="1"/>
  <c r="M193" i="4" a="1"/>
  <c r="M193" i="4" s="1"/>
  <c r="M194" i="4" a="1"/>
  <c r="M194" i="4" s="1"/>
  <c r="M195" i="4" a="1"/>
  <c r="M195" i="4" s="1"/>
  <c r="M196" i="4" a="1"/>
  <c r="M196" i="4" s="1"/>
  <c r="M197" i="4" a="1"/>
  <c r="M197" i="4" s="1"/>
  <c r="M198" i="4" a="1"/>
  <c r="M198" i="4" s="1"/>
  <c r="M199" i="4" a="1"/>
  <c r="M199" i="4" s="1"/>
  <c r="M200" i="4" a="1"/>
  <c r="M200" i="4" s="1"/>
  <c r="M201" i="4" a="1"/>
  <c r="M201" i="4" s="1"/>
  <c r="M202" i="4" a="1"/>
  <c r="M202" i="4" s="1"/>
  <c r="M203" i="4" a="1"/>
  <c r="M203" i="4" s="1"/>
  <c r="M204" i="4" a="1"/>
  <c r="M204" i="4" s="1"/>
  <c r="M205" i="4" a="1"/>
  <c r="M205" i="4" s="1"/>
  <c r="M206" i="4" a="1"/>
  <c r="M206" i="4" s="1"/>
  <c r="M207" i="4" a="1"/>
  <c r="M207" i="4" s="1"/>
  <c r="M208" i="4" a="1"/>
  <c r="M208" i="4" s="1"/>
  <c r="M209" i="4" a="1"/>
  <c r="M209" i="4" s="1"/>
  <c r="M210" i="4" a="1"/>
  <c r="M210" i="4" s="1"/>
  <c r="M211" i="4" a="1"/>
  <c r="M211" i="4" s="1"/>
  <c r="M212" i="4" a="1"/>
  <c r="M212" i="4" s="1"/>
  <c r="M213" i="4" a="1"/>
  <c r="M213" i="4" s="1"/>
  <c r="M214" i="4" a="1"/>
  <c r="M214" i="4" s="1"/>
  <c r="M215" i="4" a="1"/>
  <c r="M215" i="4" s="1"/>
  <c r="M216" i="4" a="1"/>
  <c r="M216" i="4" s="1"/>
  <c r="M217" i="4" a="1"/>
  <c r="M217" i="4" s="1"/>
  <c r="M218" i="4" a="1"/>
  <c r="M218" i="4" s="1"/>
  <c r="M219" i="4" a="1"/>
  <c r="M219" i="4" s="1"/>
  <c r="M220" i="4" a="1"/>
  <c r="M220" i="4" s="1"/>
  <c r="M221" i="4" a="1"/>
  <c r="M221" i="4" s="1"/>
  <c r="M222" i="4" a="1"/>
  <c r="M222" i="4" s="1"/>
  <c r="M223" i="4" a="1"/>
  <c r="M223" i="4" s="1"/>
  <c r="M224" i="4" a="1"/>
  <c r="M224" i="4" s="1"/>
  <c r="M225" i="4" a="1"/>
  <c r="M225" i="4" s="1"/>
  <c r="M226" i="4" a="1"/>
  <c r="M226" i="4" s="1"/>
  <c r="M227" i="4" a="1"/>
  <c r="M227" i="4" s="1"/>
  <c r="M228" i="4" a="1"/>
  <c r="M228" i="4" s="1"/>
  <c r="M229" i="4" a="1"/>
  <c r="M229" i="4" s="1"/>
  <c r="M230" i="4" a="1"/>
  <c r="M230" i="4" s="1"/>
  <c r="M231" i="4" a="1"/>
  <c r="M231" i="4" s="1"/>
  <c r="M232" i="4" a="1"/>
  <c r="M232" i="4" s="1"/>
  <c r="M233" i="4" a="1"/>
  <c r="M233" i="4" s="1"/>
  <c r="M234" i="4" a="1"/>
  <c r="M234" i="4" s="1"/>
  <c r="M235" i="4" a="1"/>
  <c r="M235" i="4" s="1"/>
  <c r="M236" i="4" a="1"/>
  <c r="M236" i="4" s="1"/>
  <c r="M237" i="4" a="1"/>
  <c r="M237" i="4" s="1"/>
  <c r="M238" i="4" a="1"/>
  <c r="M238" i="4" s="1"/>
  <c r="M239" i="4" a="1"/>
  <c r="M239" i="4" s="1"/>
  <c r="M240" i="4" a="1"/>
  <c r="M240" i="4" s="1"/>
  <c r="M241" i="4" a="1"/>
  <c r="M241" i="4" s="1"/>
  <c r="M242" i="4" a="1"/>
  <c r="M242" i="4" s="1"/>
  <c r="M243" i="4" a="1"/>
  <c r="M243" i="4" s="1"/>
  <c r="M244" i="4" a="1"/>
  <c r="M244" i="4" s="1"/>
  <c r="M245" i="4" a="1"/>
  <c r="M245" i="4" s="1"/>
  <c r="M246" i="4" a="1"/>
  <c r="M246" i="4" s="1"/>
  <c r="M247" i="4" a="1"/>
  <c r="M247" i="4" s="1"/>
  <c r="M248" i="4" a="1"/>
  <c r="M248" i="4" s="1"/>
  <c r="M249" i="4" a="1"/>
  <c r="M249" i="4" s="1"/>
  <c r="M250" i="4" a="1"/>
  <c r="M250" i="4" s="1"/>
  <c r="M251" i="4" a="1"/>
  <c r="M251" i="4" s="1"/>
  <c r="M252" i="4" a="1"/>
  <c r="M252" i="4" s="1"/>
  <c r="M253" i="4" a="1"/>
  <c r="M253" i="4" s="1"/>
  <c r="M254" i="4" a="1"/>
  <c r="M254" i="4" s="1"/>
  <c r="M255" i="4" a="1"/>
  <c r="M255" i="4" s="1"/>
  <c r="M256" i="4" a="1"/>
  <c r="M256" i="4" s="1"/>
  <c r="M257" i="4" a="1"/>
  <c r="M257" i="4" s="1"/>
  <c r="M258" i="4" a="1"/>
  <c r="M258" i="4" s="1"/>
  <c r="M259" i="4" a="1"/>
  <c r="M259" i="4" s="1"/>
  <c r="M260" i="4" a="1"/>
  <c r="M260" i="4" s="1"/>
  <c r="M261" i="4" a="1"/>
  <c r="M261" i="4" s="1"/>
  <c r="M262" i="4" a="1"/>
  <c r="M262" i="4" s="1"/>
  <c r="M263" i="4" a="1"/>
  <c r="M263" i="4" s="1"/>
  <c r="M264" i="4" a="1"/>
  <c r="M264" i="4" s="1"/>
  <c r="M265" i="4" a="1"/>
  <c r="M265" i="4" s="1"/>
  <c r="M266" i="4" a="1"/>
  <c r="M266" i="4" s="1"/>
  <c r="M267" i="4" a="1"/>
  <c r="M267" i="4" s="1"/>
  <c r="M268" i="4" a="1"/>
  <c r="M268" i="4" s="1"/>
  <c r="M269" i="4" a="1"/>
  <c r="M269" i="4" s="1"/>
  <c r="M270" i="4" a="1"/>
  <c r="M270" i="4" s="1"/>
  <c r="M271" i="4" a="1"/>
  <c r="M271" i="4" s="1"/>
  <c r="M272" i="4" a="1"/>
  <c r="M272" i="4" s="1"/>
  <c r="M273" i="4" a="1"/>
  <c r="M273" i="4" s="1"/>
  <c r="M274" i="4" a="1"/>
  <c r="M274" i="4" s="1"/>
  <c r="M275" i="4" a="1"/>
  <c r="M275" i="4" s="1"/>
  <c r="M276" i="4" a="1"/>
  <c r="M276" i="4" s="1"/>
  <c r="M277" i="4" a="1"/>
  <c r="M277" i="4" s="1"/>
  <c r="M278" i="4" a="1"/>
  <c r="M278" i="4" s="1"/>
  <c r="M279" i="4" a="1"/>
  <c r="M279" i="4" s="1"/>
  <c r="M280" i="4" a="1"/>
  <c r="M280" i="4" s="1"/>
  <c r="M281" i="4" a="1"/>
  <c r="M281" i="4" s="1"/>
  <c r="M282" i="4" a="1"/>
  <c r="M282" i="4" s="1"/>
  <c r="M283" i="4" a="1"/>
  <c r="M283" i="4" s="1"/>
  <c r="M284" i="4" a="1"/>
  <c r="M284" i="4" s="1"/>
  <c r="M285" i="4" a="1"/>
  <c r="M285" i="4" s="1"/>
  <c r="M286" i="4" a="1"/>
  <c r="M286" i="4" s="1"/>
  <c r="M287" i="4" a="1"/>
  <c r="M287" i="4" s="1"/>
  <c r="M288" i="4" a="1"/>
  <c r="M288" i="4" s="1"/>
  <c r="M289" i="4" a="1"/>
  <c r="M289" i="4" s="1"/>
  <c r="M290" i="4" a="1"/>
  <c r="M290" i="4" s="1"/>
  <c r="M291" i="4" a="1"/>
  <c r="M291" i="4" s="1"/>
  <c r="M292" i="4" a="1"/>
  <c r="M292" i="4" s="1"/>
  <c r="M293" i="4" a="1"/>
  <c r="M293" i="4" s="1"/>
  <c r="M294" i="4" a="1"/>
  <c r="M294" i="4" s="1"/>
  <c r="M295" i="4" a="1"/>
  <c r="M295" i="4" s="1"/>
  <c r="M296" i="4" a="1"/>
  <c r="M296" i="4" s="1"/>
  <c r="M297" i="4" a="1"/>
  <c r="M297" i="4" s="1"/>
  <c r="M298" i="4" a="1"/>
  <c r="M298" i="4" s="1"/>
  <c r="M299" i="4" a="1"/>
  <c r="M299" i="4" s="1"/>
  <c r="M300" i="4" a="1"/>
  <c r="M300" i="4" s="1"/>
  <c r="M301" i="4" a="1"/>
  <c r="M301" i="4" s="1"/>
  <c r="M302" i="4" a="1"/>
  <c r="M302" i="4" s="1"/>
  <c r="M303" i="4" a="1"/>
  <c r="M303" i="4" s="1"/>
  <c r="M304" i="4" a="1"/>
  <c r="M304" i="4" s="1"/>
  <c r="M305" i="4" a="1"/>
  <c r="M305" i="4" s="1"/>
  <c r="M306" i="4" a="1"/>
  <c r="M306" i="4" s="1"/>
  <c r="M307" i="4" a="1"/>
  <c r="M307" i="4" s="1"/>
  <c r="M308" i="4" a="1"/>
  <c r="M308" i="4" s="1"/>
  <c r="M309" i="4" a="1"/>
  <c r="M309" i="4" s="1"/>
  <c r="M310" i="4" a="1"/>
  <c r="M310" i="4" s="1"/>
  <c r="M311" i="4" a="1"/>
  <c r="M311" i="4" s="1"/>
  <c r="M312" i="4" a="1"/>
  <c r="M312" i="4" s="1"/>
  <c r="M313" i="4" a="1"/>
  <c r="M313" i="4" s="1"/>
  <c r="M314" i="4" a="1"/>
  <c r="M314" i="4" s="1"/>
  <c r="M315" i="4" a="1"/>
  <c r="M315" i="4" s="1"/>
  <c r="M316" i="4" a="1"/>
  <c r="M316" i="4" s="1"/>
  <c r="M317" i="4" a="1"/>
  <c r="M317" i="4" s="1"/>
  <c r="M318" i="4" a="1"/>
  <c r="M318" i="4" s="1"/>
  <c r="M319" i="4" a="1"/>
  <c r="M319" i="4" s="1"/>
  <c r="M320" i="4" a="1"/>
  <c r="M320" i="4" s="1"/>
  <c r="M321" i="4" a="1"/>
  <c r="M321" i="4" s="1"/>
  <c r="M322" i="4" a="1"/>
  <c r="M322" i="4" s="1"/>
  <c r="M323" i="4" a="1"/>
  <c r="M323" i="4" s="1"/>
  <c r="M324" i="4" a="1"/>
  <c r="M324" i="4" s="1"/>
  <c r="M325" i="4" a="1"/>
  <c r="M325" i="4" s="1"/>
  <c r="M326" i="4" a="1"/>
  <c r="M326" i="4" s="1"/>
  <c r="M327" i="4" a="1"/>
  <c r="M327" i="4" s="1"/>
  <c r="M328" i="4" a="1"/>
  <c r="M328" i="4" s="1"/>
  <c r="M329" i="4" a="1"/>
  <c r="M329" i="4" s="1"/>
  <c r="M330" i="4" a="1"/>
  <c r="M330" i="4" s="1"/>
  <c r="M331" i="4" a="1"/>
  <c r="M331" i="4" s="1"/>
  <c r="M332" i="4" a="1"/>
  <c r="M332" i="4" s="1"/>
  <c r="M333" i="4" a="1"/>
  <c r="M333" i="4" s="1"/>
  <c r="M334" i="4" a="1"/>
  <c r="M334" i="4" s="1"/>
  <c r="M335" i="4" a="1"/>
  <c r="M335" i="4" s="1"/>
  <c r="M336" i="4" a="1"/>
  <c r="M336" i="4" s="1"/>
  <c r="M337" i="4" a="1"/>
  <c r="M337" i="4" s="1"/>
  <c r="M338" i="4" a="1"/>
  <c r="M338" i="4" s="1"/>
  <c r="M339" i="4" a="1"/>
  <c r="M339" i="4" s="1"/>
  <c r="M340" i="4" a="1"/>
  <c r="M340" i="4" s="1"/>
  <c r="M341" i="4" a="1"/>
  <c r="M341" i="4" s="1"/>
  <c r="M342" i="4" a="1"/>
  <c r="M342" i="4" s="1"/>
  <c r="M343" i="4" a="1"/>
  <c r="M343" i="4" s="1"/>
  <c r="M344" i="4" a="1"/>
  <c r="M344" i="4" s="1"/>
  <c r="M345" i="4" a="1"/>
  <c r="M345" i="4" s="1"/>
  <c r="M346" i="4" a="1"/>
  <c r="M346" i="4" s="1"/>
  <c r="M347" i="4" a="1"/>
  <c r="M347" i="4" s="1"/>
  <c r="M348" i="4" a="1"/>
  <c r="M348" i="4" s="1"/>
  <c r="M349" i="4" a="1"/>
  <c r="M349" i="4" s="1"/>
  <c r="M350" i="4" a="1"/>
  <c r="M350" i="4" s="1"/>
  <c r="M351" i="4" a="1"/>
  <c r="M351" i="4" s="1"/>
  <c r="M352" i="4" a="1"/>
  <c r="M352" i="4" s="1"/>
  <c r="M353" i="4" a="1"/>
  <c r="M353" i="4" s="1"/>
  <c r="M354" i="4" a="1"/>
  <c r="M354" i="4" s="1"/>
  <c r="M355" i="4" a="1"/>
  <c r="M355" i="4" s="1"/>
  <c r="M356" i="4" a="1"/>
  <c r="M356" i="4" s="1"/>
  <c r="M357" i="4" a="1"/>
  <c r="M357" i="4" s="1"/>
  <c r="M358" i="4" a="1"/>
  <c r="M358" i="4" s="1"/>
  <c r="M359" i="4" a="1"/>
  <c r="M359" i="4" s="1"/>
  <c r="M360" i="4" a="1"/>
  <c r="M360" i="4" s="1"/>
  <c r="M361" i="4" a="1"/>
  <c r="M361" i="4" s="1"/>
  <c r="M362" i="4" a="1"/>
  <c r="M362" i="4" s="1"/>
  <c r="M363" i="4" a="1"/>
  <c r="M363" i="4" s="1"/>
  <c r="M364" i="4" a="1"/>
  <c r="M364" i="4" s="1"/>
  <c r="M365" i="4" a="1"/>
  <c r="M365" i="4" s="1"/>
  <c r="M366" i="4" a="1"/>
  <c r="M366" i="4" s="1"/>
  <c r="M367" i="4" a="1"/>
  <c r="M367" i="4" s="1"/>
  <c r="M368" i="4" a="1"/>
  <c r="M368" i="4" s="1"/>
  <c r="M369" i="4" a="1"/>
  <c r="M369" i="4" s="1"/>
  <c r="M370" i="4" a="1"/>
  <c r="M370" i="4" s="1"/>
  <c r="M371" i="4" a="1"/>
  <c r="M371" i="4" s="1"/>
  <c r="M372" i="4" a="1"/>
  <c r="M372" i="4" s="1"/>
  <c r="M373" i="4" a="1"/>
  <c r="M373" i="4" s="1"/>
  <c r="M374" i="4" a="1"/>
  <c r="M374" i="4" s="1"/>
  <c r="M375" i="4" a="1"/>
  <c r="M375" i="4" s="1"/>
  <c r="M376" i="4" a="1"/>
  <c r="M376" i="4" s="1"/>
  <c r="M377" i="4" a="1"/>
  <c r="M377" i="4" s="1"/>
  <c r="M378" i="4" a="1"/>
  <c r="M378" i="4" s="1"/>
  <c r="M379" i="4" a="1"/>
  <c r="M379" i="4" s="1"/>
  <c r="M380" i="4" a="1"/>
  <c r="M380" i="4" s="1"/>
  <c r="M381" i="4" a="1"/>
  <c r="M381" i="4" s="1"/>
  <c r="M382" i="4" a="1"/>
  <c r="M382" i="4" s="1"/>
  <c r="M383" i="4" a="1"/>
  <c r="M383" i="4" s="1"/>
  <c r="M384" i="4" a="1"/>
  <c r="M384" i="4" s="1"/>
  <c r="M385" i="4" a="1"/>
  <c r="M385" i="4" s="1"/>
  <c r="M386" i="4" a="1"/>
  <c r="M386" i="4" s="1"/>
  <c r="M387" i="4" a="1"/>
  <c r="M387" i="4" s="1"/>
  <c r="M388" i="4" a="1"/>
  <c r="M388" i="4" s="1"/>
  <c r="M389" i="4" a="1"/>
  <c r="M389" i="4" s="1"/>
  <c r="M390" i="4" a="1"/>
  <c r="M390" i="4" s="1"/>
  <c r="M391" i="4" a="1"/>
  <c r="M391" i="4" s="1"/>
  <c r="M392" i="4" a="1"/>
  <c r="M392" i="4" s="1"/>
  <c r="M393" i="4" a="1"/>
  <c r="M393" i="4" s="1"/>
  <c r="M394" i="4" a="1"/>
  <c r="M394" i="4" s="1"/>
  <c r="M395" i="4" a="1"/>
  <c r="M395" i="4" s="1"/>
  <c r="M396" i="4" a="1"/>
  <c r="M396" i="4" s="1"/>
  <c r="M397" i="4" a="1"/>
  <c r="M397" i="4" s="1"/>
  <c r="M398" i="4" a="1"/>
  <c r="M398" i="4" s="1"/>
  <c r="M399" i="4" a="1"/>
  <c r="M399" i="4" s="1"/>
  <c r="M400" i="4" a="1"/>
  <c r="M400" i="4" s="1"/>
  <c r="M401" i="4" a="1"/>
  <c r="M401" i="4" s="1"/>
  <c r="M402" i="4" a="1"/>
  <c r="M402" i="4" s="1"/>
  <c r="M403" i="4" a="1"/>
  <c r="M403" i="4" s="1"/>
  <c r="M404" i="4" a="1"/>
  <c r="M404" i="4" s="1"/>
  <c r="M405" i="4" a="1"/>
  <c r="M405" i="4" s="1"/>
  <c r="M406" i="4" a="1"/>
  <c r="M406" i="4" s="1"/>
  <c r="M407" i="4" a="1"/>
  <c r="M407" i="4" s="1"/>
  <c r="M408" i="4" a="1"/>
  <c r="M408" i="4" s="1"/>
  <c r="M409" i="4" a="1"/>
  <c r="M409" i="4" s="1"/>
  <c r="M410" i="4" a="1"/>
  <c r="M410" i="4" s="1"/>
  <c r="M411" i="4" a="1"/>
  <c r="M411" i="4" s="1"/>
  <c r="M412" i="4" a="1"/>
  <c r="M412" i="4" s="1"/>
  <c r="M413" i="4" a="1"/>
  <c r="M413" i="4" s="1"/>
  <c r="M414" i="4" a="1"/>
  <c r="M414" i="4" s="1"/>
  <c r="M415" i="4" a="1"/>
  <c r="M415" i="4" s="1"/>
  <c r="M416" i="4" a="1"/>
  <c r="M416" i="4" s="1"/>
  <c r="M417" i="4" a="1"/>
  <c r="M417" i="4" s="1"/>
  <c r="M418" i="4" a="1"/>
  <c r="M418" i="4" s="1"/>
  <c r="M419" i="4" a="1"/>
  <c r="M419" i="4" s="1"/>
  <c r="M420" i="4" a="1"/>
  <c r="M420" i="4" s="1"/>
  <c r="M421" i="4" a="1"/>
  <c r="M421" i="4" s="1"/>
  <c r="M422" i="4" a="1"/>
  <c r="M422" i="4" s="1"/>
  <c r="M423" i="4" a="1"/>
  <c r="M423" i="4" s="1"/>
  <c r="M424" i="4" a="1"/>
  <c r="M424" i="4" s="1"/>
  <c r="M425" i="4" a="1"/>
  <c r="M425" i="4" s="1"/>
  <c r="M426" i="4" a="1"/>
  <c r="M426" i="4" s="1"/>
  <c r="M427" i="4" a="1"/>
  <c r="M427" i="4" s="1"/>
  <c r="M428" i="4" a="1"/>
  <c r="M428" i="4" s="1"/>
  <c r="M429" i="4" a="1"/>
  <c r="M429" i="4" s="1"/>
  <c r="M430" i="4" a="1"/>
  <c r="M430" i="4" s="1"/>
  <c r="M431" i="4" a="1"/>
  <c r="M431" i="4" s="1"/>
  <c r="M432" i="4" a="1"/>
  <c r="M432" i="4" s="1"/>
  <c r="M433" i="4" a="1"/>
  <c r="M433" i="4" s="1"/>
  <c r="M434" i="4" a="1"/>
  <c r="M434" i="4" s="1"/>
  <c r="M435" i="4" a="1"/>
  <c r="M435" i="4" s="1"/>
  <c r="M436" i="4" a="1"/>
  <c r="M436" i="4" s="1"/>
  <c r="M437" i="4" a="1"/>
  <c r="M437" i="4" s="1"/>
  <c r="M438" i="4" a="1"/>
  <c r="M438" i="4" s="1"/>
  <c r="M439" i="4" a="1"/>
  <c r="M439" i="4" s="1"/>
  <c r="M440" i="4" a="1"/>
  <c r="M440" i="4" s="1"/>
  <c r="M441" i="4" a="1"/>
  <c r="M441" i="4" s="1"/>
  <c r="M442" i="4" a="1"/>
  <c r="M442" i="4" s="1"/>
  <c r="M443" i="4" a="1"/>
  <c r="M443" i="4" s="1"/>
  <c r="M444" i="4" a="1"/>
  <c r="M444" i="4" s="1"/>
  <c r="M445" i="4" a="1"/>
  <c r="M445" i="4" s="1"/>
  <c r="M446" i="4" a="1"/>
  <c r="M446" i="4" s="1"/>
  <c r="M447" i="4" a="1"/>
  <c r="M447" i="4" s="1"/>
  <c r="M448" i="4" a="1"/>
  <c r="M448" i="4" s="1"/>
  <c r="M449" i="4" a="1"/>
  <c r="M449" i="4" s="1"/>
  <c r="M450" i="4" a="1"/>
  <c r="M450" i="4" s="1"/>
  <c r="M451" i="4" a="1"/>
  <c r="M451" i="4" s="1"/>
  <c r="M452" i="4" a="1"/>
  <c r="M452" i="4" s="1"/>
  <c r="M453" i="4" a="1"/>
  <c r="M453" i="4" s="1"/>
  <c r="M454" i="4" a="1"/>
  <c r="M454" i="4" s="1"/>
  <c r="M455" i="4" a="1"/>
  <c r="M455" i="4" s="1"/>
  <c r="M456" i="4" a="1"/>
  <c r="M456" i="4" s="1"/>
  <c r="M457" i="4" a="1"/>
  <c r="M457" i="4" s="1"/>
  <c r="M458" i="4" a="1"/>
  <c r="M458" i="4" s="1"/>
  <c r="M459" i="4" a="1"/>
  <c r="M459" i="4" s="1"/>
  <c r="M460" i="4" a="1"/>
  <c r="M460" i="4" s="1"/>
  <c r="M461" i="4" a="1"/>
  <c r="M461" i="4" s="1"/>
  <c r="M462" i="4" a="1"/>
  <c r="M462" i="4" s="1"/>
  <c r="M463" i="4" a="1"/>
  <c r="M463" i="4" s="1"/>
  <c r="M464" i="4" a="1"/>
  <c r="M464" i="4" s="1"/>
  <c r="M465" i="4" a="1"/>
  <c r="M465" i="4" s="1"/>
  <c r="M466" i="4" a="1"/>
  <c r="M466" i="4" s="1"/>
  <c r="M467" i="4" a="1"/>
  <c r="M467" i="4" s="1"/>
  <c r="M468" i="4" a="1"/>
  <c r="M468" i="4" s="1"/>
  <c r="M469" i="4" a="1"/>
  <c r="M469" i="4" s="1"/>
  <c r="M470" i="4" a="1"/>
  <c r="M470" i="4" s="1"/>
  <c r="M471" i="4" a="1"/>
  <c r="M471" i="4" s="1"/>
  <c r="M472" i="4" a="1"/>
  <c r="M472" i="4" s="1"/>
  <c r="M473" i="4" a="1"/>
  <c r="M473" i="4" s="1"/>
  <c r="M474" i="4" a="1"/>
  <c r="M474" i="4" s="1"/>
  <c r="M475" i="4" a="1"/>
  <c r="M475" i="4" s="1"/>
  <c r="M476" i="4" a="1"/>
  <c r="M476" i="4" s="1"/>
  <c r="M477" i="4" a="1"/>
  <c r="M477" i="4" s="1"/>
  <c r="M478" i="4" a="1"/>
  <c r="M478" i="4" s="1"/>
  <c r="M479" i="4" a="1"/>
  <c r="M479" i="4" s="1"/>
  <c r="M480" i="4" a="1"/>
  <c r="M480" i="4" s="1"/>
  <c r="M481" i="4" a="1"/>
  <c r="M481" i="4" s="1"/>
  <c r="M482" i="4" a="1"/>
  <c r="M482" i="4" s="1"/>
  <c r="M483" i="4" a="1"/>
  <c r="M483" i="4" s="1"/>
  <c r="M484" i="4" a="1"/>
  <c r="M484" i="4" s="1"/>
  <c r="M485" i="4" a="1"/>
  <c r="M485" i="4" s="1"/>
  <c r="M486" i="4" a="1"/>
  <c r="M486" i="4" s="1"/>
  <c r="M487" i="4" a="1"/>
  <c r="M487" i="4" s="1"/>
  <c r="M488" i="4" a="1"/>
  <c r="M488" i="4" s="1"/>
  <c r="M489" i="4" a="1"/>
  <c r="M489" i="4" s="1"/>
  <c r="M490" i="4" a="1"/>
  <c r="M490" i="4" s="1"/>
  <c r="M491" i="4" a="1"/>
  <c r="M491" i="4" s="1"/>
  <c r="M492" i="4" a="1"/>
  <c r="M492" i="4" s="1"/>
  <c r="M493" i="4" a="1"/>
  <c r="M493" i="4" s="1"/>
  <c r="M494" i="4" a="1"/>
  <c r="M494" i="4" s="1"/>
  <c r="M495" i="4" a="1"/>
  <c r="M495" i="4" s="1"/>
  <c r="M496" i="4" a="1"/>
  <c r="M496" i="4" s="1"/>
  <c r="M497" i="4" a="1"/>
  <c r="M497" i="4" s="1"/>
  <c r="M498" i="4" a="1"/>
  <c r="M498" i="4" s="1"/>
  <c r="M499" i="4" a="1"/>
  <c r="M499" i="4" s="1"/>
  <c r="M500" i="4" a="1"/>
  <c r="M500" i="4" s="1"/>
  <c r="M501" i="4" a="1"/>
  <c r="M501" i="4" s="1"/>
  <c r="M502" i="4" a="1"/>
  <c r="M502" i="4" s="1"/>
  <c r="M503" i="4" a="1"/>
  <c r="M503" i="4" s="1"/>
  <c r="M504" i="4" a="1"/>
  <c r="M504" i="4" s="1"/>
  <c r="M505" i="4" a="1"/>
  <c r="M505" i="4" s="1"/>
  <c r="M506" i="4" a="1"/>
  <c r="M506" i="4" s="1"/>
  <c r="M507" i="4" a="1"/>
  <c r="M507" i="4" s="1"/>
  <c r="M508" i="4" a="1"/>
  <c r="M508" i="4" s="1"/>
  <c r="M509" i="4" a="1"/>
  <c r="M509" i="4" s="1"/>
  <c r="M510" i="4" a="1"/>
  <c r="M510" i="4" s="1"/>
  <c r="M511" i="4" a="1"/>
  <c r="M511" i="4" s="1"/>
  <c r="M512" i="4" a="1"/>
  <c r="M512" i="4" s="1"/>
  <c r="M513" i="4" a="1"/>
  <c r="M513" i="4" s="1"/>
  <c r="M514" i="4" a="1"/>
  <c r="M514" i="4" s="1"/>
  <c r="M515" i="4" a="1"/>
  <c r="M515" i="4" s="1"/>
  <c r="M516" i="4" a="1"/>
  <c r="M516" i="4" s="1"/>
  <c r="M517" i="4" a="1"/>
  <c r="M517" i="4" s="1"/>
  <c r="M518" i="4" a="1"/>
  <c r="M518" i="4" s="1"/>
  <c r="M519" i="4" a="1"/>
  <c r="M519" i="4" s="1"/>
  <c r="M520" i="4" a="1"/>
  <c r="M520" i="4" s="1"/>
  <c r="M521" i="4" a="1"/>
  <c r="M521" i="4" s="1"/>
  <c r="M522" i="4" a="1"/>
  <c r="M522" i="4" s="1"/>
  <c r="M523" i="4" a="1"/>
  <c r="M523" i="4" s="1"/>
  <c r="M524" i="4" a="1"/>
  <c r="M524" i="4" s="1"/>
  <c r="M525" i="4" a="1"/>
  <c r="M525" i="4" s="1"/>
  <c r="M526" i="4" a="1"/>
  <c r="M526" i="4" s="1"/>
  <c r="M527" i="4" a="1"/>
  <c r="M527" i="4" s="1"/>
  <c r="M528" i="4" a="1"/>
  <c r="M528" i="4" s="1"/>
  <c r="M529" i="4" a="1"/>
  <c r="M529" i="4" s="1"/>
  <c r="M530" i="4" a="1"/>
  <c r="M530" i="4" s="1"/>
  <c r="M531" i="4" a="1"/>
  <c r="M531" i="4" s="1"/>
  <c r="M532" i="4" a="1"/>
  <c r="M532" i="4" s="1"/>
  <c r="M533" i="4" a="1"/>
  <c r="M533" i="4" s="1"/>
  <c r="M534" i="4" a="1"/>
  <c r="M534" i="4" s="1"/>
  <c r="M535" i="4" a="1"/>
  <c r="M535" i="4" s="1"/>
  <c r="M536" i="4" a="1"/>
  <c r="M536" i="4" s="1"/>
  <c r="M537" i="4" a="1"/>
  <c r="M537" i="4" s="1"/>
  <c r="M538" i="4" a="1"/>
  <c r="M538" i="4" s="1"/>
  <c r="M539" i="4" a="1"/>
  <c r="M539" i="4" s="1"/>
  <c r="M540" i="4" a="1"/>
  <c r="M540" i="4" s="1"/>
  <c r="M541" i="4" a="1"/>
  <c r="M541" i="4" s="1"/>
  <c r="M542" i="4" a="1"/>
  <c r="M542" i="4" s="1"/>
  <c r="M543" i="4" a="1"/>
  <c r="M543" i="4" s="1"/>
  <c r="M544" i="4" a="1"/>
  <c r="M544" i="4" s="1"/>
  <c r="M545" i="4" a="1"/>
  <c r="M545" i="4" s="1"/>
  <c r="M546" i="4" a="1"/>
  <c r="M546" i="4" s="1"/>
  <c r="M547" i="4" a="1"/>
  <c r="M547" i="4" s="1"/>
  <c r="M548" i="4" a="1"/>
  <c r="M548" i="4" s="1"/>
  <c r="M549" i="4" a="1"/>
  <c r="M549" i="4" s="1"/>
  <c r="M550" i="4" a="1"/>
  <c r="M550" i="4" s="1"/>
  <c r="M551" i="4" a="1"/>
  <c r="M551" i="4" s="1"/>
  <c r="M552" i="4" a="1"/>
  <c r="M552" i="4" s="1"/>
  <c r="M553" i="4" a="1"/>
  <c r="M553" i="4" s="1"/>
  <c r="M554" i="4" a="1"/>
  <c r="M554" i="4" s="1"/>
  <c r="M555" i="4" a="1"/>
  <c r="M555" i="4" s="1"/>
  <c r="M556" i="4" a="1"/>
  <c r="M556" i="4" s="1"/>
  <c r="M557" i="4" a="1"/>
  <c r="M557" i="4" s="1"/>
  <c r="M558" i="4" a="1"/>
  <c r="M558" i="4" s="1"/>
  <c r="M559" i="4" a="1"/>
  <c r="M559" i="4" s="1"/>
  <c r="M560" i="4" a="1"/>
  <c r="M560" i="4" s="1"/>
  <c r="M561" i="4" a="1"/>
  <c r="M561" i="4" s="1"/>
  <c r="M562" i="4" a="1"/>
  <c r="M562" i="4" s="1"/>
  <c r="M563" i="4" a="1"/>
  <c r="M563" i="4" s="1"/>
  <c r="M564" i="4" a="1"/>
  <c r="M564" i="4" s="1"/>
  <c r="M565" i="4" a="1"/>
  <c r="M565" i="4" s="1"/>
  <c r="M566" i="4" a="1"/>
  <c r="M566" i="4" s="1"/>
  <c r="M567" i="4" a="1"/>
  <c r="M567" i="4" s="1"/>
  <c r="M568" i="4" a="1"/>
  <c r="M568" i="4" s="1"/>
  <c r="M569" i="4" a="1"/>
  <c r="M569" i="4" s="1"/>
  <c r="M570" i="4" a="1"/>
  <c r="M570" i="4" s="1"/>
  <c r="M571" i="4" a="1"/>
  <c r="M571" i="4" s="1"/>
  <c r="M572" i="4" a="1"/>
  <c r="M572" i="4" s="1"/>
  <c r="M573" i="4" a="1"/>
  <c r="M573" i="4" s="1"/>
  <c r="M574" i="4" a="1"/>
  <c r="M574" i="4" s="1"/>
  <c r="M575" i="4" a="1"/>
  <c r="M575" i="4" s="1"/>
  <c r="M576" i="4" a="1"/>
  <c r="M576" i="4" s="1"/>
  <c r="M577" i="4" a="1"/>
  <c r="M577" i="4" s="1"/>
  <c r="M578" i="4" a="1"/>
  <c r="M578" i="4" s="1"/>
  <c r="M579" i="4" a="1"/>
  <c r="M579" i="4" s="1"/>
  <c r="M580" i="4" a="1"/>
  <c r="M580" i="4" s="1"/>
  <c r="M581" i="4" a="1"/>
  <c r="M581" i="4" s="1"/>
  <c r="M582" i="4" a="1"/>
  <c r="M582" i="4" s="1"/>
  <c r="M583" i="4" a="1"/>
  <c r="M583" i="4" s="1"/>
  <c r="M584" i="4" a="1"/>
  <c r="M584" i="4" s="1"/>
  <c r="M585" i="4" a="1"/>
  <c r="M585" i="4" s="1"/>
  <c r="M586" i="4" a="1"/>
  <c r="M586" i="4" s="1"/>
  <c r="M587" i="4" a="1"/>
  <c r="M587" i="4" s="1"/>
  <c r="M588" i="4" a="1"/>
  <c r="M588" i="4" s="1"/>
  <c r="M589" i="4" a="1"/>
  <c r="M589" i="4" s="1"/>
  <c r="M590" i="4" a="1"/>
  <c r="M590" i="4" s="1"/>
  <c r="M591" i="4" a="1"/>
  <c r="M591" i="4" s="1"/>
  <c r="M592" i="4" a="1"/>
  <c r="M592" i="4" s="1"/>
  <c r="M593" i="4" a="1"/>
  <c r="M593" i="4" s="1"/>
  <c r="M594" i="4" a="1"/>
  <c r="M594" i="4" s="1"/>
  <c r="M595" i="4" a="1"/>
  <c r="M595" i="4" s="1"/>
  <c r="M596" i="4" a="1"/>
  <c r="M596" i="4" s="1"/>
  <c r="M597" i="4" a="1"/>
  <c r="M597" i="4" s="1"/>
  <c r="M598" i="4" a="1"/>
  <c r="M598" i="4" s="1"/>
  <c r="M599" i="4" a="1"/>
  <c r="M599" i="4" s="1"/>
  <c r="M600" i="4" a="1"/>
  <c r="M600" i="4" s="1"/>
  <c r="M601" i="4" a="1"/>
  <c r="M601" i="4" s="1"/>
  <c r="M602" i="4" a="1"/>
  <c r="M602" i="4" s="1"/>
  <c r="M603" i="4" a="1"/>
  <c r="M603" i="4" s="1"/>
  <c r="M604" i="4" a="1"/>
  <c r="M604" i="4" s="1"/>
  <c r="M605" i="4" a="1"/>
  <c r="M605" i="4" s="1"/>
  <c r="M606" i="4" a="1"/>
  <c r="M606" i="4" s="1"/>
  <c r="M607" i="4" a="1"/>
  <c r="M607" i="4" s="1"/>
  <c r="M608" i="4" a="1"/>
  <c r="M608" i="4" s="1"/>
  <c r="M609" i="4" a="1"/>
  <c r="M609" i="4" s="1"/>
  <c r="M610" i="4" a="1"/>
  <c r="M610" i="4" s="1"/>
  <c r="M611" i="4" a="1"/>
  <c r="M611" i="4" s="1"/>
  <c r="M612" i="4" a="1"/>
  <c r="M612" i="4" s="1"/>
  <c r="M613" i="4" a="1"/>
  <c r="M613" i="4" s="1"/>
  <c r="M614" i="4" a="1"/>
  <c r="M614" i="4" s="1"/>
  <c r="M615" i="4" a="1"/>
  <c r="M615" i="4" s="1"/>
  <c r="M616" i="4" a="1"/>
  <c r="M616" i="4" s="1"/>
  <c r="M617" i="4" a="1"/>
  <c r="M617" i="4" s="1"/>
  <c r="M618" i="4" a="1"/>
  <c r="M618" i="4" s="1"/>
  <c r="M619" i="4" a="1"/>
  <c r="M619" i="4" s="1"/>
  <c r="M620" i="4" a="1"/>
  <c r="M620" i="4" s="1"/>
  <c r="M621" i="4" a="1"/>
  <c r="M621" i="4" s="1"/>
  <c r="M622" i="4" a="1"/>
  <c r="M622" i="4" s="1"/>
  <c r="M623" i="4" a="1"/>
  <c r="M623" i="4" s="1"/>
  <c r="M624" i="4" a="1"/>
  <c r="M624" i="4" s="1"/>
  <c r="M625" i="4" a="1"/>
  <c r="M625" i="4" s="1"/>
  <c r="M626" i="4" a="1"/>
  <c r="M626" i="4" s="1"/>
  <c r="M627" i="4" a="1"/>
  <c r="M627" i="4" s="1"/>
  <c r="M628" i="4" a="1"/>
  <c r="M628" i="4" s="1"/>
  <c r="M629" i="4" a="1"/>
  <c r="M629" i="4" s="1"/>
  <c r="M630" i="4" a="1"/>
  <c r="M630" i="4" s="1"/>
  <c r="M631" i="4" a="1"/>
  <c r="M631" i="4" s="1"/>
  <c r="M632" i="4" a="1"/>
  <c r="M632" i="4" s="1"/>
  <c r="M633" i="4" a="1"/>
  <c r="M633" i="4" s="1"/>
  <c r="M634" i="4" a="1"/>
  <c r="M634" i="4" s="1"/>
  <c r="M635" i="4" a="1"/>
  <c r="M635" i="4" s="1"/>
  <c r="M636" i="4" a="1"/>
  <c r="M636" i="4" s="1"/>
  <c r="M637" i="4" a="1"/>
  <c r="M637" i="4" s="1"/>
  <c r="M638" i="4" a="1"/>
  <c r="M638" i="4" s="1"/>
  <c r="M639" i="4" a="1"/>
  <c r="M639" i="4" s="1"/>
  <c r="M640" i="4" a="1"/>
  <c r="M640" i="4" s="1"/>
  <c r="M641" i="4" a="1"/>
  <c r="M641" i="4" s="1"/>
  <c r="M642" i="4" a="1"/>
  <c r="M642" i="4" s="1"/>
  <c r="M643" i="4" a="1"/>
  <c r="M643" i="4" s="1"/>
  <c r="M644" i="4" a="1"/>
  <c r="M644" i="4" s="1"/>
  <c r="M645" i="4" a="1"/>
  <c r="M645" i="4" s="1"/>
  <c r="M646" i="4" a="1"/>
  <c r="M646" i="4" s="1"/>
  <c r="M647" i="4" a="1"/>
  <c r="M647" i="4" s="1"/>
  <c r="M648" i="4" a="1"/>
  <c r="M648" i="4" s="1"/>
  <c r="M649" i="4" a="1"/>
  <c r="M649" i="4" s="1"/>
  <c r="M650" i="4" a="1"/>
  <c r="M650" i="4" s="1"/>
  <c r="M651" i="4" a="1"/>
  <c r="M651" i="4" s="1"/>
  <c r="M652" i="4" a="1"/>
  <c r="M652" i="4" s="1"/>
  <c r="M653" i="4" a="1"/>
  <c r="M653" i="4" s="1"/>
  <c r="M654" i="4" a="1"/>
  <c r="M654" i="4" s="1"/>
  <c r="M655" i="4" a="1"/>
  <c r="M655" i="4" s="1"/>
  <c r="M656" i="4" a="1"/>
  <c r="M656" i="4" s="1"/>
  <c r="M657" i="4" a="1"/>
  <c r="M657" i="4" s="1"/>
  <c r="M658" i="4" a="1"/>
  <c r="M658" i="4" s="1"/>
  <c r="M659" i="4" a="1"/>
  <c r="M659" i="4" s="1"/>
  <c r="M660" i="4" a="1"/>
  <c r="M660" i="4" s="1"/>
  <c r="M661" i="4" a="1"/>
  <c r="M661" i="4" s="1"/>
  <c r="M662" i="4" a="1"/>
  <c r="M662" i="4" s="1"/>
  <c r="M663" i="4" a="1"/>
  <c r="M663" i="4" s="1"/>
  <c r="M664" i="4" a="1"/>
  <c r="M664" i="4" s="1"/>
  <c r="M665" i="4" a="1"/>
  <c r="M665" i="4" s="1"/>
  <c r="M666" i="4" a="1"/>
  <c r="M666" i="4" s="1"/>
  <c r="M667" i="4" a="1"/>
  <c r="M667" i="4" s="1"/>
  <c r="M668" i="4" a="1"/>
  <c r="M668" i="4" s="1"/>
  <c r="M669" i="4" a="1"/>
  <c r="M669" i="4" s="1"/>
  <c r="M670" i="4" a="1"/>
  <c r="M670" i="4" s="1"/>
  <c r="M671" i="4" a="1"/>
  <c r="M671" i="4" s="1"/>
  <c r="M672" i="4" a="1"/>
  <c r="M672" i="4" s="1"/>
  <c r="M673" i="4" a="1"/>
  <c r="M673" i="4" s="1"/>
  <c r="M674" i="4" a="1"/>
  <c r="M674" i="4" s="1"/>
  <c r="M675" i="4" a="1"/>
  <c r="M675" i="4" s="1"/>
  <c r="M676" i="4" a="1"/>
  <c r="M676" i="4" s="1"/>
  <c r="M677" i="4" a="1"/>
  <c r="M677" i="4" s="1"/>
  <c r="M678" i="4" a="1"/>
  <c r="M678" i="4" s="1"/>
  <c r="M679" i="4" a="1"/>
  <c r="M679" i="4" s="1"/>
  <c r="M680" i="4" a="1"/>
  <c r="M680" i="4" s="1"/>
  <c r="M681" i="4" a="1"/>
  <c r="M681" i="4" s="1"/>
  <c r="M682" i="4" a="1"/>
  <c r="M682" i="4" s="1"/>
  <c r="M683" i="4" a="1"/>
  <c r="M683" i="4" s="1"/>
  <c r="M684" i="4" a="1"/>
  <c r="M684" i="4" s="1"/>
  <c r="M685" i="4" a="1"/>
  <c r="M685" i="4" s="1"/>
  <c r="M686" i="4" a="1"/>
  <c r="M686" i="4" s="1"/>
  <c r="M687" i="4" a="1"/>
  <c r="M687" i="4" s="1"/>
  <c r="M688" i="4" a="1"/>
  <c r="M688" i="4" s="1"/>
  <c r="M694" i="4" a="1"/>
  <c r="M694" i="4" s="1"/>
  <c r="O184" i="4"/>
  <c r="R184" i="4" s="1"/>
  <c r="O187" i="4"/>
  <c r="R187" i="4" s="1"/>
  <c r="O192" i="4"/>
  <c r="R192" i="4" s="1"/>
  <c r="O193" i="4"/>
  <c r="R193" i="4" s="1"/>
  <c r="O194" i="4"/>
  <c r="R194" i="4" s="1"/>
  <c r="O195" i="4"/>
  <c r="R195" i="4" s="1"/>
  <c r="O196" i="4"/>
  <c r="R196" i="4" s="1"/>
  <c r="O197" i="4"/>
  <c r="R197" i="4" s="1"/>
  <c r="O198" i="4"/>
  <c r="R198" i="4" s="1"/>
  <c r="O199" i="4"/>
  <c r="R199" i="4" s="1"/>
  <c r="O200" i="4"/>
  <c r="R200" i="4" s="1"/>
  <c r="O201" i="4"/>
  <c r="R201" i="4" s="1"/>
  <c r="O202" i="4"/>
  <c r="R202" i="4" s="1"/>
  <c r="O203" i="4"/>
  <c r="R203" i="4" s="1"/>
  <c r="O204" i="4"/>
  <c r="R204" i="4" s="1"/>
  <c r="O205" i="4"/>
  <c r="R205" i="4" s="1"/>
  <c r="O206" i="4"/>
  <c r="R206" i="4" s="1"/>
  <c r="O207" i="4"/>
  <c r="R207" i="4" s="1"/>
  <c r="O208" i="4"/>
  <c r="R208" i="4" s="1"/>
  <c r="O209" i="4"/>
  <c r="R209" i="4" s="1"/>
  <c r="O210" i="4"/>
  <c r="R210" i="4" s="1"/>
  <c r="O211" i="4"/>
  <c r="R211" i="4" s="1"/>
  <c r="O212" i="4"/>
  <c r="R212" i="4" s="1"/>
  <c r="O213" i="4"/>
  <c r="R213" i="4" s="1"/>
  <c r="O214" i="4"/>
  <c r="R214" i="4" s="1"/>
  <c r="O215" i="4"/>
  <c r="R215" i="4" s="1"/>
  <c r="O216" i="4"/>
  <c r="R216" i="4" s="1"/>
  <c r="O217" i="4"/>
  <c r="R217" i="4" s="1"/>
  <c r="O218" i="4"/>
  <c r="R218" i="4" s="1"/>
  <c r="O219" i="4"/>
  <c r="R219" i="4" s="1"/>
  <c r="O220" i="4"/>
  <c r="R220" i="4" s="1"/>
  <c r="O221" i="4"/>
  <c r="R221" i="4" s="1"/>
  <c r="O222" i="4"/>
  <c r="R222" i="4" s="1"/>
  <c r="O223" i="4"/>
  <c r="R223" i="4" s="1"/>
  <c r="O224" i="4"/>
  <c r="R224" i="4" s="1"/>
  <c r="O225" i="4"/>
  <c r="R225" i="4" s="1"/>
  <c r="O226" i="4"/>
  <c r="R226" i="4" s="1"/>
  <c r="O227" i="4"/>
  <c r="R227" i="4" s="1"/>
  <c r="O228" i="4"/>
  <c r="R228" i="4" s="1"/>
  <c r="O229" i="4"/>
  <c r="R229" i="4" s="1"/>
  <c r="O230" i="4"/>
  <c r="R230" i="4" s="1"/>
  <c r="O231" i="4"/>
  <c r="R231" i="4" s="1"/>
  <c r="O232" i="4"/>
  <c r="R232" i="4" s="1"/>
  <c r="O233" i="4"/>
  <c r="R233" i="4" s="1"/>
  <c r="O234" i="4"/>
  <c r="R234" i="4" s="1"/>
  <c r="O235" i="4"/>
  <c r="R235" i="4" s="1"/>
  <c r="O236" i="4"/>
  <c r="R236" i="4" s="1"/>
  <c r="O237" i="4"/>
  <c r="R237" i="4" s="1"/>
  <c r="O238" i="4"/>
  <c r="R238" i="4" s="1"/>
  <c r="O239" i="4"/>
  <c r="R239" i="4" s="1"/>
  <c r="O240" i="4"/>
  <c r="R240" i="4" s="1"/>
  <c r="O241" i="4"/>
  <c r="R241" i="4" s="1"/>
  <c r="O242" i="4"/>
  <c r="R242" i="4" s="1"/>
  <c r="O243" i="4"/>
  <c r="R243" i="4" s="1"/>
  <c r="O244" i="4"/>
  <c r="R244" i="4" s="1"/>
  <c r="O245" i="4"/>
  <c r="R245" i="4" s="1"/>
  <c r="O246" i="4"/>
  <c r="R246" i="4" s="1"/>
  <c r="O247" i="4"/>
  <c r="R247" i="4" s="1"/>
  <c r="O248" i="4"/>
  <c r="R248" i="4" s="1"/>
  <c r="O249" i="4"/>
  <c r="R249" i="4" s="1"/>
  <c r="O250" i="4"/>
  <c r="R250" i="4" s="1"/>
  <c r="O251" i="4"/>
  <c r="R251" i="4" s="1"/>
  <c r="O252" i="4"/>
  <c r="R252" i="4" s="1"/>
  <c r="O253" i="4"/>
  <c r="R253" i="4" s="1"/>
  <c r="O254" i="4"/>
  <c r="R254" i="4" s="1"/>
  <c r="O255" i="4"/>
  <c r="R255" i="4" s="1"/>
  <c r="O256" i="4"/>
  <c r="R256" i="4" s="1"/>
  <c r="O257" i="4"/>
  <c r="R257" i="4" s="1"/>
  <c r="O258" i="4"/>
  <c r="R258" i="4" s="1"/>
  <c r="O259" i="4"/>
  <c r="R259" i="4" s="1"/>
  <c r="O260" i="4"/>
  <c r="R260" i="4" s="1"/>
  <c r="O261" i="4"/>
  <c r="R261" i="4" s="1"/>
  <c r="O262" i="4"/>
  <c r="R262" i="4" s="1"/>
  <c r="O263" i="4"/>
  <c r="R263" i="4" s="1"/>
  <c r="O264" i="4"/>
  <c r="R264" i="4" s="1"/>
  <c r="O265" i="4"/>
  <c r="R265" i="4" s="1"/>
  <c r="O266" i="4"/>
  <c r="R266" i="4" s="1"/>
  <c r="O267" i="4"/>
  <c r="R267" i="4" s="1"/>
  <c r="O268" i="4"/>
  <c r="R268" i="4" s="1"/>
  <c r="O269" i="4"/>
  <c r="R269" i="4" s="1"/>
  <c r="O270" i="4"/>
  <c r="R270" i="4" s="1"/>
  <c r="O271" i="4"/>
  <c r="R271" i="4" s="1"/>
  <c r="O272" i="4"/>
  <c r="R272" i="4" s="1"/>
  <c r="O273" i="4"/>
  <c r="R273" i="4" s="1"/>
  <c r="O274" i="4"/>
  <c r="R274" i="4" s="1"/>
  <c r="O275" i="4"/>
  <c r="R275" i="4" s="1"/>
  <c r="O276" i="4"/>
  <c r="R276" i="4" s="1"/>
  <c r="O277" i="4"/>
  <c r="R277" i="4" s="1"/>
  <c r="O278" i="4"/>
  <c r="R278" i="4" s="1"/>
  <c r="O279" i="4"/>
  <c r="R279" i="4" s="1"/>
  <c r="O280" i="4"/>
  <c r="R280" i="4" s="1"/>
  <c r="O281" i="4"/>
  <c r="R281" i="4" s="1"/>
  <c r="O282" i="4"/>
  <c r="R282" i="4" s="1"/>
  <c r="O283" i="4"/>
  <c r="R283" i="4" s="1"/>
  <c r="O284" i="4"/>
  <c r="R284" i="4" s="1"/>
  <c r="O285" i="4"/>
  <c r="R285" i="4" s="1"/>
  <c r="O286" i="4"/>
  <c r="R286" i="4" s="1"/>
  <c r="O287" i="4"/>
  <c r="R287" i="4" s="1"/>
  <c r="O288" i="4"/>
  <c r="R288" i="4" s="1"/>
  <c r="O289" i="4"/>
  <c r="R289" i="4" s="1"/>
  <c r="O290" i="4"/>
  <c r="R290" i="4" s="1"/>
  <c r="O291" i="4"/>
  <c r="R291" i="4" s="1"/>
  <c r="O292" i="4"/>
  <c r="R292" i="4" s="1"/>
  <c r="O293" i="4"/>
  <c r="R293" i="4" s="1"/>
  <c r="O294" i="4"/>
  <c r="R294" i="4" s="1"/>
  <c r="O295" i="4"/>
  <c r="R295" i="4" s="1"/>
  <c r="O296" i="4"/>
  <c r="R296" i="4" s="1"/>
  <c r="O297" i="4"/>
  <c r="R297" i="4" s="1"/>
  <c r="O298" i="4"/>
  <c r="R298" i="4" s="1"/>
  <c r="O299" i="4"/>
  <c r="R299" i="4" s="1"/>
  <c r="O300" i="4"/>
  <c r="R300" i="4" s="1"/>
  <c r="O301" i="4"/>
  <c r="R301" i="4" s="1"/>
  <c r="O302" i="4"/>
  <c r="R302" i="4" s="1"/>
  <c r="O303" i="4"/>
  <c r="R303" i="4" s="1"/>
  <c r="O304" i="4"/>
  <c r="R304" i="4" s="1"/>
  <c r="O305" i="4"/>
  <c r="R305" i="4" s="1"/>
  <c r="O306" i="4"/>
  <c r="R306" i="4" s="1"/>
  <c r="O307" i="4"/>
  <c r="R307" i="4" s="1"/>
  <c r="O308" i="4"/>
  <c r="R308" i="4" s="1"/>
  <c r="O309" i="4"/>
  <c r="R309" i="4" s="1"/>
  <c r="O310" i="4"/>
  <c r="R310" i="4" s="1"/>
  <c r="O311" i="4"/>
  <c r="R311" i="4" s="1"/>
  <c r="O312" i="4"/>
  <c r="R312" i="4" s="1"/>
  <c r="O313" i="4"/>
  <c r="R313" i="4" s="1"/>
  <c r="O314" i="4"/>
  <c r="R314" i="4" s="1"/>
  <c r="O315" i="4"/>
  <c r="R315" i="4" s="1"/>
  <c r="O316" i="4"/>
  <c r="R316" i="4" s="1"/>
  <c r="O317" i="4"/>
  <c r="R317" i="4" s="1"/>
  <c r="O318" i="4"/>
  <c r="R318" i="4" s="1"/>
  <c r="O319" i="4"/>
  <c r="R319" i="4" s="1"/>
  <c r="O320" i="4"/>
  <c r="R320" i="4" s="1"/>
  <c r="O321" i="4"/>
  <c r="R321" i="4" s="1"/>
  <c r="O322" i="4"/>
  <c r="R322" i="4" s="1"/>
  <c r="O323" i="4"/>
  <c r="R323" i="4" s="1"/>
  <c r="O324" i="4"/>
  <c r="R324" i="4" s="1"/>
  <c r="O325" i="4"/>
  <c r="R325" i="4" s="1"/>
  <c r="O326" i="4"/>
  <c r="R326" i="4" s="1"/>
  <c r="O327" i="4"/>
  <c r="R327" i="4" s="1"/>
  <c r="O328" i="4"/>
  <c r="R328" i="4" s="1"/>
  <c r="O329" i="4"/>
  <c r="R329" i="4" s="1"/>
  <c r="O330" i="4"/>
  <c r="R330" i="4" s="1"/>
  <c r="O331" i="4"/>
  <c r="R331" i="4" s="1"/>
  <c r="O332" i="4"/>
  <c r="R332" i="4" s="1"/>
  <c r="O333" i="4"/>
  <c r="R333" i="4" s="1"/>
  <c r="O334" i="4"/>
  <c r="R334" i="4" s="1"/>
  <c r="O335" i="4"/>
  <c r="R335" i="4" s="1"/>
  <c r="O336" i="4"/>
  <c r="R336" i="4" s="1"/>
  <c r="O337" i="4"/>
  <c r="R337" i="4" s="1"/>
  <c r="O338" i="4"/>
  <c r="R338" i="4" s="1"/>
  <c r="O339" i="4"/>
  <c r="R339" i="4" s="1"/>
  <c r="O340" i="4"/>
  <c r="R340" i="4" s="1"/>
  <c r="O341" i="4"/>
  <c r="R341" i="4" s="1"/>
  <c r="O342" i="4"/>
  <c r="R342" i="4" s="1"/>
  <c r="O343" i="4"/>
  <c r="R343" i="4" s="1"/>
  <c r="O344" i="4"/>
  <c r="R344" i="4" s="1"/>
  <c r="O345" i="4"/>
  <c r="R345" i="4" s="1"/>
  <c r="O346" i="4"/>
  <c r="R346" i="4" s="1"/>
  <c r="O347" i="4"/>
  <c r="R347" i="4" s="1"/>
  <c r="O348" i="4"/>
  <c r="R348" i="4" s="1"/>
  <c r="O349" i="4"/>
  <c r="R349" i="4" s="1"/>
  <c r="O350" i="4"/>
  <c r="R350" i="4" s="1"/>
  <c r="O351" i="4"/>
  <c r="R351" i="4" s="1"/>
  <c r="O352" i="4"/>
  <c r="R352" i="4" s="1"/>
  <c r="O353" i="4"/>
  <c r="R353" i="4" s="1"/>
  <c r="O354" i="4"/>
  <c r="R354" i="4" s="1"/>
  <c r="O355" i="4"/>
  <c r="R355" i="4" s="1"/>
  <c r="O356" i="4"/>
  <c r="R356" i="4" s="1"/>
  <c r="O357" i="4"/>
  <c r="R357" i="4" s="1"/>
  <c r="O358" i="4"/>
  <c r="R358" i="4" s="1"/>
  <c r="O359" i="4"/>
  <c r="R359" i="4" s="1"/>
  <c r="O360" i="4"/>
  <c r="R360" i="4" s="1"/>
  <c r="O361" i="4"/>
  <c r="R361" i="4" s="1"/>
  <c r="O362" i="4"/>
  <c r="R362" i="4" s="1"/>
  <c r="O363" i="4"/>
  <c r="R363" i="4" s="1"/>
  <c r="O364" i="4"/>
  <c r="R364" i="4" s="1"/>
  <c r="O365" i="4"/>
  <c r="R365" i="4" s="1"/>
  <c r="O366" i="4"/>
  <c r="R366" i="4" s="1"/>
  <c r="O367" i="4"/>
  <c r="R367" i="4" s="1"/>
  <c r="O368" i="4"/>
  <c r="R368" i="4" s="1"/>
  <c r="O369" i="4"/>
  <c r="R369" i="4" s="1"/>
  <c r="O370" i="4"/>
  <c r="R370" i="4" s="1"/>
  <c r="O371" i="4"/>
  <c r="R371" i="4" s="1"/>
  <c r="O372" i="4"/>
  <c r="R372" i="4" s="1"/>
  <c r="O373" i="4"/>
  <c r="R373" i="4" s="1"/>
  <c r="O374" i="4"/>
  <c r="R374" i="4" s="1"/>
  <c r="O375" i="4"/>
  <c r="R375" i="4" s="1"/>
  <c r="O376" i="4"/>
  <c r="R376" i="4" s="1"/>
  <c r="O377" i="4"/>
  <c r="R377" i="4" s="1"/>
  <c r="O378" i="4"/>
  <c r="R378" i="4" s="1"/>
  <c r="O379" i="4"/>
  <c r="R379" i="4" s="1"/>
  <c r="O380" i="4"/>
  <c r="R380" i="4" s="1"/>
  <c r="O381" i="4"/>
  <c r="R381" i="4" s="1"/>
  <c r="O382" i="4"/>
  <c r="R382" i="4" s="1"/>
  <c r="O383" i="4"/>
  <c r="R383" i="4" s="1"/>
  <c r="O384" i="4"/>
  <c r="R384" i="4" s="1"/>
  <c r="O385" i="4"/>
  <c r="R385" i="4" s="1"/>
  <c r="O386" i="4"/>
  <c r="R386" i="4" s="1"/>
  <c r="O387" i="4"/>
  <c r="R387" i="4" s="1"/>
  <c r="O388" i="4"/>
  <c r="R388" i="4" s="1"/>
  <c r="O389" i="4"/>
  <c r="R389" i="4" s="1"/>
  <c r="O390" i="4"/>
  <c r="R390" i="4" s="1"/>
  <c r="O391" i="4"/>
  <c r="R391" i="4" s="1"/>
  <c r="O392" i="4"/>
  <c r="R392" i="4" s="1"/>
  <c r="O393" i="4"/>
  <c r="R393" i="4" s="1"/>
  <c r="O394" i="4"/>
  <c r="R394" i="4" s="1"/>
  <c r="O395" i="4"/>
  <c r="R395" i="4" s="1"/>
  <c r="O396" i="4"/>
  <c r="R396" i="4" s="1"/>
  <c r="O397" i="4"/>
  <c r="R397" i="4" s="1"/>
  <c r="O398" i="4"/>
  <c r="R398" i="4" s="1"/>
  <c r="O399" i="4"/>
  <c r="R399" i="4" s="1"/>
  <c r="O400" i="4"/>
  <c r="R400" i="4" s="1"/>
  <c r="O401" i="4"/>
  <c r="R401" i="4" s="1"/>
  <c r="O402" i="4"/>
  <c r="R402" i="4" s="1"/>
  <c r="O403" i="4"/>
  <c r="R403" i="4" s="1"/>
  <c r="O404" i="4"/>
  <c r="R404" i="4" s="1"/>
  <c r="O405" i="4"/>
  <c r="R405" i="4" s="1"/>
  <c r="O406" i="4"/>
  <c r="R406" i="4" s="1"/>
  <c r="O407" i="4"/>
  <c r="R407" i="4" s="1"/>
  <c r="O408" i="4"/>
  <c r="R408" i="4" s="1"/>
  <c r="O409" i="4"/>
  <c r="R409" i="4" s="1"/>
  <c r="O410" i="4"/>
  <c r="R410" i="4" s="1"/>
  <c r="O411" i="4"/>
  <c r="R411" i="4" s="1"/>
  <c r="O412" i="4"/>
  <c r="R412" i="4" s="1"/>
  <c r="O413" i="4"/>
  <c r="R413" i="4" s="1"/>
  <c r="O414" i="4"/>
  <c r="R414" i="4" s="1"/>
  <c r="O415" i="4"/>
  <c r="R415" i="4" s="1"/>
  <c r="O416" i="4"/>
  <c r="R416" i="4" s="1"/>
  <c r="O417" i="4"/>
  <c r="R417" i="4" s="1"/>
  <c r="O418" i="4"/>
  <c r="R418" i="4" s="1"/>
  <c r="O419" i="4"/>
  <c r="R419" i="4" s="1"/>
  <c r="O420" i="4"/>
  <c r="R420" i="4" s="1"/>
  <c r="O421" i="4"/>
  <c r="R421" i="4" s="1"/>
  <c r="O422" i="4"/>
  <c r="R422" i="4" s="1"/>
  <c r="O423" i="4"/>
  <c r="R423" i="4" s="1"/>
  <c r="O424" i="4"/>
  <c r="R424" i="4" s="1"/>
  <c r="O425" i="4"/>
  <c r="R425" i="4" s="1"/>
  <c r="O426" i="4"/>
  <c r="R426" i="4" s="1"/>
  <c r="O427" i="4"/>
  <c r="R427" i="4" s="1"/>
  <c r="O428" i="4"/>
  <c r="R428" i="4" s="1"/>
  <c r="O429" i="4"/>
  <c r="R429" i="4" s="1"/>
  <c r="O430" i="4"/>
  <c r="R430" i="4" s="1"/>
  <c r="O431" i="4"/>
  <c r="R431" i="4" s="1"/>
  <c r="O432" i="4"/>
  <c r="R432" i="4" s="1"/>
  <c r="O433" i="4"/>
  <c r="R433" i="4" s="1"/>
  <c r="O434" i="4"/>
  <c r="R434" i="4" s="1"/>
  <c r="O435" i="4"/>
  <c r="R435" i="4" s="1"/>
  <c r="O436" i="4"/>
  <c r="R436" i="4" s="1"/>
  <c r="O437" i="4"/>
  <c r="R437" i="4" s="1"/>
  <c r="O438" i="4"/>
  <c r="R438" i="4" s="1"/>
  <c r="O439" i="4"/>
  <c r="R439" i="4" s="1"/>
  <c r="O440" i="4"/>
  <c r="R440" i="4" s="1"/>
  <c r="O441" i="4"/>
  <c r="R441" i="4" s="1"/>
  <c r="O442" i="4"/>
  <c r="R442" i="4" s="1"/>
  <c r="O443" i="4"/>
  <c r="R443" i="4" s="1"/>
  <c r="O444" i="4"/>
  <c r="R444" i="4" s="1"/>
  <c r="O445" i="4"/>
  <c r="R445" i="4" s="1"/>
  <c r="O446" i="4"/>
  <c r="R446" i="4" s="1"/>
  <c r="O447" i="4"/>
  <c r="R447" i="4" s="1"/>
  <c r="O448" i="4"/>
  <c r="R448" i="4" s="1"/>
  <c r="O449" i="4"/>
  <c r="R449" i="4" s="1"/>
  <c r="O450" i="4"/>
  <c r="R450" i="4" s="1"/>
  <c r="O451" i="4"/>
  <c r="R451" i="4" s="1"/>
  <c r="O452" i="4"/>
  <c r="R452" i="4" s="1"/>
  <c r="O453" i="4"/>
  <c r="R453" i="4" s="1"/>
  <c r="O454" i="4"/>
  <c r="R454" i="4" s="1"/>
  <c r="O455" i="4"/>
  <c r="R455" i="4" s="1"/>
  <c r="O456" i="4"/>
  <c r="R456" i="4" s="1"/>
  <c r="O457" i="4"/>
  <c r="R457" i="4" s="1"/>
  <c r="O458" i="4"/>
  <c r="R458" i="4" s="1"/>
  <c r="O459" i="4"/>
  <c r="R459" i="4" s="1"/>
  <c r="O460" i="4"/>
  <c r="R460" i="4" s="1"/>
  <c r="O461" i="4"/>
  <c r="R461" i="4" s="1"/>
  <c r="O462" i="4"/>
  <c r="R462" i="4" s="1"/>
  <c r="O463" i="4"/>
  <c r="R463" i="4" s="1"/>
  <c r="O464" i="4"/>
  <c r="R464" i="4" s="1"/>
  <c r="O465" i="4"/>
  <c r="R465" i="4" s="1"/>
  <c r="O466" i="4"/>
  <c r="R466" i="4" s="1"/>
  <c r="O467" i="4"/>
  <c r="R467" i="4" s="1"/>
  <c r="O468" i="4"/>
  <c r="R468" i="4" s="1"/>
  <c r="O469" i="4"/>
  <c r="R469" i="4" s="1"/>
  <c r="O470" i="4"/>
  <c r="R470" i="4" s="1"/>
  <c r="O471" i="4"/>
  <c r="R471" i="4" s="1"/>
  <c r="O472" i="4"/>
  <c r="R472" i="4" s="1"/>
  <c r="O473" i="4"/>
  <c r="R473" i="4" s="1"/>
  <c r="O474" i="4"/>
  <c r="R474" i="4" s="1"/>
  <c r="O475" i="4"/>
  <c r="R475" i="4" s="1"/>
  <c r="O476" i="4"/>
  <c r="R476" i="4" s="1"/>
  <c r="O477" i="4"/>
  <c r="R477" i="4" s="1"/>
  <c r="O478" i="4"/>
  <c r="R478" i="4" s="1"/>
  <c r="O479" i="4"/>
  <c r="R479" i="4" s="1"/>
  <c r="O480" i="4"/>
  <c r="R480" i="4" s="1"/>
  <c r="O481" i="4"/>
  <c r="R481" i="4" s="1"/>
  <c r="O482" i="4"/>
  <c r="R482" i="4" s="1"/>
  <c r="O483" i="4"/>
  <c r="R483" i="4" s="1"/>
  <c r="O484" i="4"/>
  <c r="R484" i="4" s="1"/>
  <c r="O485" i="4"/>
  <c r="R485" i="4" s="1"/>
  <c r="O486" i="4"/>
  <c r="R486" i="4" s="1"/>
  <c r="O487" i="4"/>
  <c r="R487" i="4" s="1"/>
  <c r="O488" i="4"/>
  <c r="R488" i="4" s="1"/>
  <c r="O489" i="4"/>
  <c r="R489" i="4" s="1"/>
  <c r="O490" i="4"/>
  <c r="R490" i="4" s="1"/>
  <c r="O491" i="4"/>
  <c r="R491" i="4" s="1"/>
  <c r="O492" i="4"/>
  <c r="R492" i="4" s="1"/>
  <c r="O493" i="4"/>
  <c r="R493" i="4" s="1"/>
  <c r="O494" i="4"/>
  <c r="R494" i="4" s="1"/>
  <c r="O495" i="4"/>
  <c r="R495" i="4" s="1"/>
  <c r="O496" i="4"/>
  <c r="R496" i="4" s="1"/>
  <c r="O497" i="4"/>
  <c r="R497" i="4" s="1"/>
  <c r="O498" i="4"/>
  <c r="R498" i="4" s="1"/>
  <c r="O499" i="4"/>
  <c r="R499" i="4" s="1"/>
  <c r="O500" i="4"/>
  <c r="R500" i="4" s="1"/>
  <c r="O501" i="4"/>
  <c r="R501" i="4" s="1"/>
  <c r="O502" i="4"/>
  <c r="R502" i="4" s="1"/>
  <c r="O503" i="4"/>
  <c r="R503" i="4" s="1"/>
  <c r="O504" i="4"/>
  <c r="R504" i="4" s="1"/>
  <c r="O505" i="4"/>
  <c r="R505" i="4" s="1"/>
  <c r="O506" i="4"/>
  <c r="R506" i="4" s="1"/>
  <c r="O507" i="4"/>
  <c r="R507" i="4" s="1"/>
  <c r="O508" i="4"/>
  <c r="R508" i="4" s="1"/>
  <c r="O509" i="4"/>
  <c r="R509" i="4" s="1"/>
  <c r="O510" i="4"/>
  <c r="R510" i="4" s="1"/>
  <c r="O511" i="4"/>
  <c r="R511" i="4" s="1"/>
  <c r="O512" i="4"/>
  <c r="R512" i="4" s="1"/>
  <c r="O513" i="4"/>
  <c r="R513" i="4" s="1"/>
  <c r="O514" i="4"/>
  <c r="R514" i="4" s="1"/>
  <c r="O515" i="4"/>
  <c r="R515" i="4" s="1"/>
  <c r="O516" i="4"/>
  <c r="R516" i="4" s="1"/>
  <c r="O517" i="4"/>
  <c r="R517" i="4" s="1"/>
  <c r="O518" i="4"/>
  <c r="R518" i="4" s="1"/>
  <c r="O519" i="4"/>
  <c r="R519" i="4" s="1"/>
  <c r="O520" i="4"/>
  <c r="R520" i="4" s="1"/>
  <c r="O521" i="4"/>
  <c r="R521" i="4" s="1"/>
  <c r="O522" i="4"/>
  <c r="R522" i="4" s="1"/>
  <c r="O523" i="4"/>
  <c r="R523" i="4" s="1"/>
  <c r="O524" i="4"/>
  <c r="R524" i="4" s="1"/>
  <c r="O525" i="4"/>
  <c r="R525" i="4" s="1"/>
  <c r="O526" i="4"/>
  <c r="R526" i="4" s="1"/>
  <c r="O527" i="4"/>
  <c r="R527" i="4" s="1"/>
  <c r="O528" i="4"/>
  <c r="R528" i="4" s="1"/>
  <c r="O529" i="4"/>
  <c r="R529" i="4" s="1"/>
  <c r="O530" i="4"/>
  <c r="R530" i="4" s="1"/>
  <c r="O531" i="4"/>
  <c r="R531" i="4" s="1"/>
  <c r="O532" i="4"/>
  <c r="R532" i="4" s="1"/>
  <c r="O533" i="4"/>
  <c r="R533" i="4" s="1"/>
  <c r="O534" i="4"/>
  <c r="R534" i="4" s="1"/>
  <c r="O535" i="4"/>
  <c r="R535" i="4" s="1"/>
  <c r="O536" i="4"/>
  <c r="R536" i="4" s="1"/>
  <c r="O537" i="4"/>
  <c r="R537" i="4" s="1"/>
  <c r="O538" i="4"/>
  <c r="R538" i="4" s="1"/>
  <c r="O539" i="4"/>
  <c r="R539" i="4" s="1"/>
  <c r="O540" i="4"/>
  <c r="R540" i="4" s="1"/>
  <c r="O541" i="4"/>
  <c r="R541" i="4" s="1"/>
  <c r="O542" i="4"/>
  <c r="R542" i="4" s="1"/>
  <c r="O543" i="4"/>
  <c r="R543" i="4" s="1"/>
  <c r="O544" i="4"/>
  <c r="R544" i="4" s="1"/>
  <c r="O545" i="4"/>
  <c r="R545" i="4" s="1"/>
  <c r="O546" i="4"/>
  <c r="R546" i="4" s="1"/>
  <c r="O547" i="4"/>
  <c r="R547" i="4" s="1"/>
  <c r="O548" i="4"/>
  <c r="R548" i="4" s="1"/>
  <c r="O549" i="4"/>
  <c r="R549" i="4" s="1"/>
  <c r="O550" i="4"/>
  <c r="R550" i="4" s="1"/>
  <c r="O551" i="4"/>
  <c r="R551" i="4" s="1"/>
  <c r="O552" i="4"/>
  <c r="R552" i="4" s="1"/>
  <c r="O553" i="4"/>
  <c r="R553" i="4" s="1"/>
  <c r="O554" i="4"/>
  <c r="R554" i="4" s="1"/>
  <c r="O555" i="4"/>
  <c r="R555" i="4" s="1"/>
  <c r="O556" i="4"/>
  <c r="R556" i="4" s="1"/>
  <c r="O557" i="4"/>
  <c r="R557" i="4" s="1"/>
  <c r="O558" i="4"/>
  <c r="R558" i="4" s="1"/>
  <c r="O559" i="4"/>
  <c r="R559" i="4" s="1"/>
  <c r="O560" i="4"/>
  <c r="R560" i="4" s="1"/>
  <c r="O561" i="4"/>
  <c r="R561" i="4" s="1"/>
  <c r="O562" i="4"/>
  <c r="R562" i="4" s="1"/>
  <c r="O563" i="4"/>
  <c r="R563" i="4" s="1"/>
  <c r="O564" i="4"/>
  <c r="R564" i="4" s="1"/>
  <c r="O565" i="4"/>
  <c r="R565" i="4" s="1"/>
  <c r="O566" i="4"/>
  <c r="R566" i="4" s="1"/>
  <c r="O567" i="4"/>
  <c r="R567" i="4" s="1"/>
  <c r="O568" i="4"/>
  <c r="R568" i="4" s="1"/>
  <c r="O569" i="4"/>
  <c r="R569" i="4" s="1"/>
  <c r="O570" i="4"/>
  <c r="R570" i="4" s="1"/>
  <c r="O571" i="4"/>
  <c r="R571" i="4" s="1"/>
  <c r="O572" i="4"/>
  <c r="R572" i="4" s="1"/>
  <c r="O573" i="4"/>
  <c r="R573" i="4" s="1"/>
  <c r="O574" i="4"/>
  <c r="R574" i="4" s="1"/>
  <c r="O575" i="4"/>
  <c r="R575" i="4" s="1"/>
  <c r="O576" i="4"/>
  <c r="R576" i="4" s="1"/>
  <c r="O577" i="4"/>
  <c r="R577" i="4" s="1"/>
  <c r="O578" i="4"/>
  <c r="R578" i="4" s="1"/>
  <c r="O579" i="4"/>
  <c r="R579" i="4" s="1"/>
  <c r="O580" i="4"/>
  <c r="R580" i="4" s="1"/>
  <c r="O581" i="4"/>
  <c r="R581" i="4" s="1"/>
  <c r="O582" i="4"/>
  <c r="R582" i="4" s="1"/>
  <c r="O583" i="4"/>
  <c r="R583" i="4" s="1"/>
  <c r="O584" i="4"/>
  <c r="R584" i="4" s="1"/>
  <c r="O585" i="4"/>
  <c r="R585" i="4" s="1"/>
  <c r="O586" i="4"/>
  <c r="R586" i="4" s="1"/>
  <c r="O587" i="4"/>
  <c r="R587" i="4" s="1"/>
  <c r="O588" i="4"/>
  <c r="R588" i="4" s="1"/>
  <c r="O589" i="4"/>
  <c r="R589" i="4" s="1"/>
  <c r="O590" i="4"/>
  <c r="R590" i="4" s="1"/>
  <c r="O591" i="4"/>
  <c r="R591" i="4" s="1"/>
  <c r="O592" i="4"/>
  <c r="R592" i="4" s="1"/>
  <c r="O593" i="4"/>
  <c r="R593" i="4" s="1"/>
  <c r="O594" i="4"/>
  <c r="R594" i="4" s="1"/>
  <c r="O595" i="4"/>
  <c r="R595" i="4" s="1"/>
  <c r="O596" i="4"/>
  <c r="R596" i="4" s="1"/>
  <c r="O597" i="4"/>
  <c r="R597" i="4" s="1"/>
  <c r="O598" i="4"/>
  <c r="R598" i="4" s="1"/>
  <c r="O599" i="4"/>
  <c r="R599" i="4" s="1"/>
  <c r="O600" i="4"/>
  <c r="R600" i="4" s="1"/>
  <c r="O601" i="4"/>
  <c r="R601" i="4" s="1"/>
  <c r="O602" i="4"/>
  <c r="R602" i="4" s="1"/>
  <c r="O603" i="4"/>
  <c r="R603" i="4" s="1"/>
  <c r="O604" i="4"/>
  <c r="R604" i="4" s="1"/>
  <c r="O605" i="4"/>
  <c r="R605" i="4" s="1"/>
  <c r="O606" i="4"/>
  <c r="R606" i="4" s="1"/>
  <c r="O607" i="4"/>
  <c r="R607" i="4" s="1"/>
  <c r="O608" i="4"/>
  <c r="R608" i="4" s="1"/>
  <c r="O609" i="4"/>
  <c r="R609" i="4" s="1"/>
  <c r="O610" i="4"/>
  <c r="R610" i="4" s="1"/>
  <c r="O611" i="4"/>
  <c r="R611" i="4" s="1"/>
  <c r="O612" i="4"/>
  <c r="R612" i="4" s="1"/>
  <c r="O613" i="4"/>
  <c r="R613" i="4" s="1"/>
  <c r="O614" i="4"/>
  <c r="R614" i="4" s="1"/>
  <c r="O615" i="4"/>
  <c r="R615" i="4" s="1"/>
  <c r="O616" i="4"/>
  <c r="R616" i="4" s="1"/>
  <c r="O617" i="4"/>
  <c r="R617" i="4" s="1"/>
  <c r="O618" i="4"/>
  <c r="R618" i="4" s="1"/>
  <c r="O619" i="4"/>
  <c r="R619" i="4" s="1"/>
  <c r="O620" i="4"/>
  <c r="R620" i="4" s="1"/>
  <c r="O621" i="4"/>
  <c r="R621" i="4" s="1"/>
  <c r="O622" i="4"/>
  <c r="R622" i="4" s="1"/>
  <c r="O623" i="4"/>
  <c r="R623" i="4" s="1"/>
  <c r="O624" i="4"/>
  <c r="R624" i="4" s="1"/>
  <c r="O625" i="4"/>
  <c r="R625" i="4" s="1"/>
  <c r="O626" i="4"/>
  <c r="R626" i="4" s="1"/>
  <c r="O627" i="4"/>
  <c r="R627" i="4" s="1"/>
  <c r="O628" i="4"/>
  <c r="R628" i="4" s="1"/>
  <c r="O629" i="4"/>
  <c r="R629" i="4" s="1"/>
  <c r="O630" i="4"/>
  <c r="R630" i="4" s="1"/>
  <c r="O631" i="4"/>
  <c r="R631" i="4" s="1"/>
  <c r="O632" i="4"/>
  <c r="R632" i="4" s="1"/>
  <c r="O633" i="4"/>
  <c r="R633" i="4" s="1"/>
  <c r="O634" i="4"/>
  <c r="R634" i="4" s="1"/>
  <c r="O635" i="4"/>
  <c r="R635" i="4" s="1"/>
  <c r="O636" i="4"/>
  <c r="R636" i="4" s="1"/>
  <c r="O637" i="4"/>
  <c r="R637" i="4" s="1"/>
  <c r="O638" i="4"/>
  <c r="R638" i="4" s="1"/>
  <c r="O639" i="4"/>
  <c r="R639" i="4" s="1"/>
  <c r="O640" i="4"/>
  <c r="R640" i="4" s="1"/>
  <c r="O641" i="4"/>
  <c r="R641" i="4" s="1"/>
  <c r="O642" i="4"/>
  <c r="R642" i="4" s="1"/>
  <c r="O643" i="4"/>
  <c r="R643" i="4" s="1"/>
  <c r="O644" i="4"/>
  <c r="R644" i="4" s="1"/>
  <c r="O645" i="4"/>
  <c r="R645" i="4" s="1"/>
  <c r="O646" i="4"/>
  <c r="R646" i="4" s="1"/>
  <c r="O647" i="4"/>
  <c r="R647" i="4" s="1"/>
  <c r="O648" i="4"/>
  <c r="R648" i="4" s="1"/>
  <c r="O649" i="4"/>
  <c r="R649" i="4" s="1"/>
  <c r="O650" i="4"/>
  <c r="R650" i="4" s="1"/>
  <c r="O651" i="4"/>
  <c r="R651" i="4" s="1"/>
  <c r="O652" i="4"/>
  <c r="R652" i="4" s="1"/>
  <c r="O653" i="4"/>
  <c r="R653" i="4" s="1"/>
  <c r="O654" i="4"/>
  <c r="R654" i="4" s="1"/>
  <c r="O655" i="4"/>
  <c r="R655" i="4" s="1"/>
  <c r="O656" i="4"/>
  <c r="R656" i="4" s="1"/>
  <c r="O657" i="4"/>
  <c r="R657" i="4" s="1"/>
  <c r="O658" i="4"/>
  <c r="R658" i="4" s="1"/>
  <c r="O659" i="4"/>
  <c r="R659" i="4" s="1"/>
  <c r="O660" i="4"/>
  <c r="R660" i="4" s="1"/>
  <c r="O661" i="4"/>
  <c r="R661" i="4" s="1"/>
  <c r="O662" i="4"/>
  <c r="R662" i="4" s="1"/>
  <c r="O663" i="4"/>
  <c r="R663" i="4" s="1"/>
  <c r="O664" i="4"/>
  <c r="R664" i="4" s="1"/>
  <c r="O665" i="4"/>
  <c r="R665" i="4" s="1"/>
  <c r="O666" i="4"/>
  <c r="R666" i="4" s="1"/>
  <c r="O667" i="4"/>
  <c r="R667" i="4" s="1"/>
  <c r="O668" i="4"/>
  <c r="R668" i="4" s="1"/>
  <c r="O669" i="4"/>
  <c r="R669" i="4" s="1"/>
  <c r="O670" i="4"/>
  <c r="R670" i="4" s="1"/>
  <c r="O671" i="4"/>
  <c r="R671" i="4" s="1"/>
  <c r="O672" i="4"/>
  <c r="R672" i="4" s="1"/>
  <c r="O673" i="4"/>
  <c r="R673" i="4" s="1"/>
  <c r="O674" i="4"/>
  <c r="R674" i="4" s="1"/>
  <c r="O675" i="4"/>
  <c r="R675" i="4" s="1"/>
  <c r="O676" i="4"/>
  <c r="R676" i="4" s="1"/>
  <c r="O677" i="4"/>
  <c r="R677" i="4" s="1"/>
  <c r="O678" i="4"/>
  <c r="R678" i="4" s="1"/>
  <c r="O679" i="4"/>
  <c r="R679" i="4" s="1"/>
  <c r="O680" i="4"/>
  <c r="R680" i="4" s="1"/>
  <c r="O681" i="4"/>
  <c r="R681" i="4" s="1"/>
  <c r="O682" i="4"/>
  <c r="R682" i="4" s="1"/>
  <c r="O683" i="4"/>
  <c r="R683" i="4" s="1"/>
  <c r="O684" i="4"/>
  <c r="R684" i="4" s="1"/>
  <c r="O685" i="4"/>
  <c r="R685" i="4" s="1"/>
  <c r="O686" i="4"/>
  <c r="R686" i="4" s="1"/>
  <c r="O687" i="4"/>
  <c r="R687" i="4" s="1"/>
  <c r="O688" i="4"/>
  <c r="R688" i="4" s="1"/>
  <c r="O694" i="4"/>
  <c r="R694" i="4" s="1"/>
  <c r="Q184" i="4"/>
  <c r="Q187"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94" i="4"/>
  <c r="M7" i="4" a="1"/>
  <c r="M7" i="4" s="1"/>
  <c r="M8" i="4" a="1"/>
  <c r="M8" i="4" s="1"/>
  <c r="M9" i="4" a="1"/>
  <c r="M9" i="4" s="1"/>
  <c r="M10" i="4" a="1"/>
  <c r="M10" i="4" s="1"/>
  <c r="M11" i="4" a="1"/>
  <c r="M11" i="4" s="1"/>
  <c r="M12" i="4" a="1"/>
  <c r="M12" i="4" s="1"/>
  <c r="M13" i="4" a="1"/>
  <c r="M13" i="4" s="1"/>
  <c r="M14" i="4" a="1"/>
  <c r="M14" i="4" s="1"/>
  <c r="M15" i="4" a="1"/>
  <c r="M15" i="4" s="1"/>
  <c r="M16" i="4" a="1"/>
  <c r="M16" i="4" s="1"/>
  <c r="M17" i="4" a="1"/>
  <c r="M17" i="4" s="1"/>
  <c r="M18" i="4" a="1"/>
  <c r="M18" i="4" s="1"/>
  <c r="M19" i="4" a="1"/>
  <c r="M19" i="4" s="1"/>
  <c r="M20" i="4" a="1"/>
  <c r="M20" i="4" s="1"/>
  <c r="M21" i="4" a="1"/>
  <c r="M21" i="4" s="1"/>
  <c r="M22" i="4" a="1"/>
  <c r="M22" i="4" s="1"/>
  <c r="M23" i="4" a="1"/>
  <c r="M23" i="4" s="1"/>
  <c r="M24" i="4" a="1"/>
  <c r="M24" i="4" s="1"/>
  <c r="M25" i="4" a="1"/>
  <c r="M25" i="4" s="1"/>
  <c r="M26" i="4" a="1"/>
  <c r="M26" i="4" s="1"/>
  <c r="M27" i="4" a="1"/>
  <c r="M27" i="4" s="1"/>
  <c r="M28" i="4" a="1"/>
  <c r="M28" i="4" s="1"/>
  <c r="M29" i="4" a="1"/>
  <c r="M29" i="4" s="1"/>
  <c r="M30" i="4" a="1"/>
  <c r="M30" i="4" s="1"/>
  <c r="M31" i="4" a="1"/>
  <c r="M31" i="4" s="1"/>
  <c r="M32" i="4" a="1"/>
  <c r="M32" i="4" s="1"/>
  <c r="M33" i="4" a="1"/>
  <c r="M33" i="4" s="1"/>
  <c r="M34" i="4" a="1"/>
  <c r="M34" i="4" s="1"/>
  <c r="M35" i="4" a="1"/>
  <c r="M35" i="4" s="1"/>
  <c r="M36" i="4" a="1"/>
  <c r="M36" i="4" s="1"/>
  <c r="M37" i="4" a="1"/>
  <c r="M37" i="4" s="1"/>
  <c r="M38" i="4" a="1"/>
  <c r="M38" i="4" s="1"/>
  <c r="M39" i="4" a="1"/>
  <c r="M39" i="4" s="1"/>
  <c r="M40" i="4" a="1"/>
  <c r="M40" i="4" s="1"/>
  <c r="M41" i="4" a="1"/>
  <c r="M41" i="4" s="1"/>
  <c r="M42" i="4" a="1"/>
  <c r="M42" i="4" s="1"/>
  <c r="M43" i="4" a="1"/>
  <c r="M43" i="4" s="1"/>
  <c r="M44" i="4" a="1"/>
  <c r="M44" i="4" s="1"/>
  <c r="M45" i="4" a="1"/>
  <c r="M45" i="4" s="1"/>
  <c r="M46" i="4" a="1"/>
  <c r="M46" i="4" s="1"/>
  <c r="M47" i="4" a="1"/>
  <c r="M47" i="4" s="1"/>
  <c r="M48" i="4" a="1"/>
  <c r="M48" i="4" s="1"/>
  <c r="M49" i="4" a="1"/>
  <c r="M49" i="4" s="1"/>
  <c r="M50" i="4" a="1"/>
  <c r="M50" i="4" s="1"/>
  <c r="M51" i="4" a="1"/>
  <c r="M51" i="4" s="1"/>
  <c r="M52" i="4" a="1"/>
  <c r="M52" i="4" s="1"/>
  <c r="M53" i="4" a="1"/>
  <c r="M53" i="4" s="1"/>
  <c r="M54" i="4" a="1"/>
  <c r="M54" i="4" s="1"/>
  <c r="M55" i="4" a="1"/>
  <c r="M55" i="4" s="1"/>
  <c r="M56" i="4" a="1"/>
  <c r="M56" i="4" s="1"/>
  <c r="M57" i="4" a="1"/>
  <c r="M57" i="4" s="1"/>
  <c r="M58" i="4" a="1"/>
  <c r="M58" i="4" s="1"/>
  <c r="M59" i="4" a="1"/>
  <c r="M59" i="4" s="1"/>
  <c r="M60" i="4" a="1"/>
  <c r="M60" i="4" s="1"/>
  <c r="M61" i="4" a="1"/>
  <c r="M61" i="4" s="1"/>
  <c r="M62" i="4" a="1"/>
  <c r="M62" i="4" s="1"/>
  <c r="M63" i="4" a="1"/>
  <c r="M63" i="4" s="1"/>
  <c r="M64" i="4" a="1"/>
  <c r="M64" i="4" s="1"/>
  <c r="M65" i="4" a="1"/>
  <c r="M65" i="4" s="1"/>
  <c r="M66" i="4" a="1"/>
  <c r="M66" i="4" s="1"/>
  <c r="M67" i="4" a="1"/>
  <c r="M67" i="4" s="1"/>
  <c r="M68" i="4" a="1"/>
  <c r="M68" i="4" s="1"/>
  <c r="M69" i="4" a="1"/>
  <c r="M69" i="4" s="1"/>
  <c r="M70" i="4" a="1"/>
  <c r="M70" i="4" s="1"/>
  <c r="M71" i="4" a="1"/>
  <c r="M71" i="4" s="1"/>
  <c r="M72" i="4" a="1"/>
  <c r="M72" i="4" s="1"/>
  <c r="M73" i="4" a="1"/>
  <c r="M73" i="4" s="1"/>
  <c r="M74" i="4" a="1"/>
  <c r="M74" i="4" s="1"/>
  <c r="M75" i="4" a="1"/>
  <c r="M75" i="4" s="1"/>
  <c r="M76" i="4" a="1"/>
  <c r="M76" i="4" s="1"/>
  <c r="M77" i="4" a="1"/>
  <c r="M77" i="4" s="1"/>
  <c r="M78" i="4" a="1"/>
  <c r="M78" i="4" s="1"/>
  <c r="M79" i="4" a="1"/>
  <c r="M79" i="4" s="1"/>
  <c r="M80" i="4" a="1"/>
  <c r="M80" i="4" s="1"/>
  <c r="M81" i="4" a="1"/>
  <c r="M81" i="4" s="1"/>
  <c r="M82" i="4" a="1"/>
  <c r="M82" i="4" s="1"/>
  <c r="M83" i="4" a="1"/>
  <c r="M83" i="4" s="1"/>
  <c r="M84" i="4" a="1"/>
  <c r="M84" i="4" s="1"/>
  <c r="M85" i="4" a="1"/>
  <c r="M85" i="4" s="1"/>
  <c r="M86" i="4" a="1"/>
  <c r="M86" i="4" s="1"/>
  <c r="M87" i="4" a="1"/>
  <c r="M87" i="4" s="1"/>
  <c r="M88" i="4" a="1"/>
  <c r="M88" i="4" s="1"/>
  <c r="M89" i="4" a="1"/>
  <c r="M89" i="4" s="1"/>
  <c r="M90" i="4" a="1"/>
  <c r="M90" i="4" s="1"/>
  <c r="M91" i="4" a="1"/>
  <c r="M91" i="4" s="1"/>
  <c r="M92" i="4" a="1"/>
  <c r="M92" i="4" s="1"/>
  <c r="M93" i="4" a="1"/>
  <c r="M93" i="4" s="1"/>
  <c r="M94" i="4" a="1"/>
  <c r="M94" i="4" s="1"/>
  <c r="M95" i="4" a="1"/>
  <c r="M95" i="4" s="1"/>
  <c r="M96" i="4" a="1"/>
  <c r="M96" i="4" s="1"/>
  <c r="M97" i="4" a="1"/>
  <c r="M97" i="4" s="1"/>
  <c r="M98" i="4" a="1"/>
  <c r="M98" i="4" s="1"/>
  <c r="M99" i="4" a="1"/>
  <c r="M99" i="4" s="1"/>
  <c r="M100" i="4" a="1"/>
  <c r="M100" i="4" s="1"/>
  <c r="M101" i="4" a="1"/>
  <c r="M101" i="4" s="1"/>
  <c r="M102" i="4" a="1"/>
  <c r="M102" i="4" s="1"/>
  <c r="M103" i="4" a="1"/>
  <c r="M103" i="4" s="1"/>
  <c r="M104" i="4" a="1"/>
  <c r="M104" i="4" s="1"/>
  <c r="M105" i="4" a="1"/>
  <c r="M105" i="4" s="1"/>
  <c r="M106" i="4" a="1"/>
  <c r="M106" i="4" s="1"/>
  <c r="M107" i="4" a="1"/>
  <c r="M107" i="4" s="1"/>
  <c r="M108" i="4" a="1"/>
  <c r="M108" i="4" s="1"/>
  <c r="M109" i="4" a="1"/>
  <c r="M109" i="4" s="1"/>
  <c r="M110" i="4" a="1"/>
  <c r="M110" i="4" s="1"/>
  <c r="M111" i="4" a="1"/>
  <c r="M111" i="4" s="1"/>
  <c r="M112" i="4" a="1"/>
  <c r="M112" i="4" s="1"/>
  <c r="M113" i="4" a="1"/>
  <c r="M113" i="4" s="1"/>
  <c r="M114" i="4" a="1"/>
  <c r="M114" i="4" s="1"/>
  <c r="M115" i="4" a="1"/>
  <c r="M115" i="4" s="1"/>
  <c r="M116" i="4" a="1"/>
  <c r="M116" i="4" s="1"/>
  <c r="M117" i="4" a="1"/>
  <c r="M117" i="4" s="1"/>
  <c r="M118" i="4" a="1"/>
  <c r="M118" i="4" s="1"/>
  <c r="M119" i="4" a="1"/>
  <c r="M119" i="4" s="1"/>
  <c r="M120" i="4" a="1"/>
  <c r="M120" i="4" s="1"/>
  <c r="M121" i="4" a="1"/>
  <c r="M121" i="4" s="1"/>
  <c r="M122" i="4" a="1"/>
  <c r="M122" i="4" s="1"/>
  <c r="M123" i="4" a="1"/>
  <c r="M123" i="4" s="1"/>
  <c r="M124" i="4" a="1"/>
  <c r="M124" i="4" s="1"/>
  <c r="M125" i="4" a="1"/>
  <c r="M125" i="4" s="1"/>
  <c r="M126" i="4" a="1"/>
  <c r="M126" i="4" s="1"/>
  <c r="M127" i="4" a="1"/>
  <c r="M127" i="4" s="1"/>
  <c r="M128" i="4" a="1"/>
  <c r="M128" i="4" s="1"/>
  <c r="M129" i="4" a="1"/>
  <c r="M129" i="4" s="1"/>
  <c r="M130" i="4" a="1"/>
  <c r="M130" i="4" s="1"/>
  <c r="M131" i="4" a="1"/>
  <c r="M131" i="4" s="1"/>
  <c r="M132" i="4" a="1"/>
  <c r="M132" i="4" s="1"/>
  <c r="M133" i="4" a="1"/>
  <c r="M133" i="4" s="1"/>
  <c r="M134" i="4" a="1"/>
  <c r="M134" i="4" s="1"/>
  <c r="M135" i="4" a="1"/>
  <c r="M135" i="4" s="1"/>
  <c r="M136" i="4" a="1"/>
  <c r="M136" i="4" s="1"/>
  <c r="M137" i="4" a="1"/>
  <c r="M137" i="4" s="1"/>
  <c r="M138" i="4" a="1"/>
  <c r="M138" i="4" s="1"/>
  <c r="M139" i="4" a="1"/>
  <c r="M139" i="4" s="1"/>
  <c r="M140" i="4" a="1"/>
  <c r="M140" i="4" s="1"/>
  <c r="M141" i="4" a="1"/>
  <c r="M141" i="4" s="1"/>
  <c r="M142" i="4" a="1"/>
  <c r="M142" i="4" s="1"/>
  <c r="M143" i="4" a="1"/>
  <c r="M143" i="4" s="1"/>
  <c r="M144" i="4" a="1"/>
  <c r="M144" i="4" s="1"/>
  <c r="M145" i="4" a="1"/>
  <c r="M145" i="4" s="1"/>
  <c r="M146" i="4" a="1"/>
  <c r="M146" i="4" s="1"/>
  <c r="M147" i="4" a="1"/>
  <c r="M147" i="4" s="1"/>
  <c r="M148" i="4" a="1"/>
  <c r="M148" i="4" s="1"/>
  <c r="M149" i="4" a="1"/>
  <c r="M149" i="4" s="1"/>
  <c r="M150" i="4" a="1"/>
  <c r="M150" i="4" s="1"/>
  <c r="M151" i="4" a="1"/>
  <c r="M151" i="4" s="1"/>
  <c r="M152" i="4" a="1"/>
  <c r="M152" i="4" s="1"/>
  <c r="M153" i="4" a="1"/>
  <c r="M153" i="4" s="1"/>
  <c r="M154" i="4" a="1"/>
  <c r="M154" i="4" s="1"/>
  <c r="M155" i="4" a="1"/>
  <c r="M155" i="4" s="1"/>
  <c r="M156" i="4" a="1"/>
  <c r="M156" i="4" s="1"/>
  <c r="M157" i="4" a="1"/>
  <c r="M157" i="4" s="1"/>
  <c r="M158" i="4" a="1"/>
  <c r="M158" i="4" s="1"/>
  <c r="M159" i="4" a="1"/>
  <c r="M159" i="4" s="1"/>
  <c r="M160" i="4" a="1"/>
  <c r="M160" i="4" s="1"/>
  <c r="M161" i="4" a="1"/>
  <c r="M161" i="4" s="1"/>
  <c r="M162" i="4" a="1"/>
  <c r="M162" i="4" s="1"/>
  <c r="M163" i="4" a="1"/>
  <c r="M163" i="4" s="1"/>
  <c r="M164" i="4" a="1"/>
  <c r="M164" i="4" s="1"/>
  <c r="M165" i="4" a="1"/>
  <c r="M165" i="4" s="1"/>
  <c r="M166" i="4" a="1"/>
  <c r="M166" i="4" s="1"/>
  <c r="M167" i="4" a="1"/>
  <c r="M167" i="4" s="1"/>
  <c r="M168" i="4" a="1"/>
  <c r="M168" i="4" s="1"/>
  <c r="M169" i="4" a="1"/>
  <c r="M169" i="4" s="1"/>
  <c r="M170" i="4" a="1"/>
  <c r="M170" i="4" s="1"/>
  <c r="M171" i="4" a="1"/>
  <c r="M171" i="4" s="1"/>
  <c r="M172" i="4" a="1"/>
  <c r="M172" i="4" s="1"/>
  <c r="M173" i="4" a="1"/>
  <c r="M173" i="4" s="1"/>
  <c r="M174" i="4" a="1"/>
  <c r="M174" i="4" s="1"/>
  <c r="M175" i="4" a="1"/>
  <c r="M175" i="4" s="1"/>
  <c r="M176" i="4" a="1"/>
  <c r="M176" i="4" s="1"/>
  <c r="M177" i="4" a="1"/>
  <c r="M177" i="4" s="1"/>
  <c r="M178" i="4" a="1"/>
  <c r="M178" i="4" s="1"/>
  <c r="M179" i="4" a="1"/>
  <c r="M179" i="4" s="1"/>
  <c r="M180" i="4" a="1"/>
  <c r="M180" i="4" s="1"/>
  <c r="M181" i="4" a="1"/>
  <c r="M181" i="4" s="1"/>
  <c r="M182" i="4" a="1"/>
  <c r="M182" i="4" s="1"/>
  <c r="M183" i="4" a="1"/>
  <c r="M183" i="4" s="1"/>
  <c r="M185" i="4" a="1"/>
  <c r="M185" i="4" s="1"/>
  <c r="M186" i="4" a="1"/>
  <c r="M186" i="4" s="1"/>
  <c r="M188" i="4" a="1"/>
  <c r="M188" i="4" s="1"/>
  <c r="M189" i="4" a="1"/>
  <c r="M189" i="4" s="1"/>
  <c r="M190" i="4" a="1"/>
  <c r="M190" i="4" s="1"/>
  <c r="M191" i="4" a="1"/>
  <c r="M191" i="4" s="1"/>
  <c r="O7" i="4"/>
  <c r="R7" i="4" s="1"/>
  <c r="O8" i="4"/>
  <c r="R8" i="4" s="1"/>
  <c r="O9" i="4"/>
  <c r="R9" i="4" s="1"/>
  <c r="O10" i="4"/>
  <c r="R10" i="4" s="1"/>
  <c r="O11" i="4"/>
  <c r="R11" i="4" s="1"/>
  <c r="O12" i="4"/>
  <c r="R12" i="4" s="1"/>
  <c r="O13" i="4"/>
  <c r="R13" i="4" s="1"/>
  <c r="O14" i="4"/>
  <c r="R14" i="4" s="1"/>
  <c r="O15" i="4"/>
  <c r="R15" i="4" s="1"/>
  <c r="O16" i="4"/>
  <c r="R16" i="4" s="1"/>
  <c r="O17" i="4"/>
  <c r="R17" i="4" s="1"/>
  <c r="O18" i="4"/>
  <c r="R18" i="4" s="1"/>
  <c r="O19" i="4"/>
  <c r="R19" i="4" s="1"/>
  <c r="O20" i="4"/>
  <c r="R20" i="4" s="1"/>
  <c r="O21" i="4"/>
  <c r="R21" i="4" s="1"/>
  <c r="O22" i="4"/>
  <c r="R22" i="4" s="1"/>
  <c r="O23" i="4"/>
  <c r="R23" i="4" s="1"/>
  <c r="O24" i="4"/>
  <c r="R24" i="4" s="1"/>
  <c r="O25" i="4"/>
  <c r="R25" i="4" s="1"/>
  <c r="O26" i="4"/>
  <c r="R26" i="4" s="1"/>
  <c r="O27" i="4"/>
  <c r="R27" i="4" s="1"/>
  <c r="O28" i="4"/>
  <c r="R28" i="4" s="1"/>
  <c r="O29" i="4"/>
  <c r="R29" i="4" s="1"/>
  <c r="O30" i="4"/>
  <c r="R30" i="4" s="1"/>
  <c r="O31" i="4"/>
  <c r="R31" i="4" s="1"/>
  <c r="O32" i="4"/>
  <c r="R32" i="4" s="1"/>
  <c r="O33" i="4"/>
  <c r="R33" i="4" s="1"/>
  <c r="O34" i="4"/>
  <c r="R34" i="4" s="1"/>
  <c r="O35" i="4"/>
  <c r="R35" i="4" s="1"/>
  <c r="O36" i="4"/>
  <c r="R36" i="4" s="1"/>
  <c r="O37" i="4"/>
  <c r="R37" i="4" s="1"/>
  <c r="O38" i="4"/>
  <c r="R38" i="4" s="1"/>
  <c r="O39" i="4"/>
  <c r="R39" i="4" s="1"/>
  <c r="O40" i="4"/>
  <c r="R40" i="4" s="1"/>
  <c r="O41" i="4"/>
  <c r="R41" i="4" s="1"/>
  <c r="O42" i="4"/>
  <c r="R42" i="4" s="1"/>
  <c r="O43" i="4"/>
  <c r="R43" i="4" s="1"/>
  <c r="O44" i="4"/>
  <c r="R44" i="4" s="1"/>
  <c r="O45" i="4"/>
  <c r="R45" i="4" s="1"/>
  <c r="O46" i="4"/>
  <c r="R46" i="4" s="1"/>
  <c r="O47" i="4"/>
  <c r="R47" i="4" s="1"/>
  <c r="O48" i="4"/>
  <c r="R48" i="4" s="1"/>
  <c r="O49" i="4"/>
  <c r="R49" i="4" s="1"/>
  <c r="O50" i="4"/>
  <c r="R50" i="4" s="1"/>
  <c r="O51" i="4"/>
  <c r="R51" i="4" s="1"/>
  <c r="O52" i="4"/>
  <c r="R52" i="4" s="1"/>
  <c r="O53" i="4"/>
  <c r="R53" i="4" s="1"/>
  <c r="O54" i="4"/>
  <c r="R54" i="4" s="1"/>
  <c r="O55" i="4"/>
  <c r="R55" i="4" s="1"/>
  <c r="O56" i="4"/>
  <c r="R56" i="4" s="1"/>
  <c r="O57" i="4"/>
  <c r="R57" i="4" s="1"/>
  <c r="O58" i="4"/>
  <c r="R58" i="4" s="1"/>
  <c r="O59" i="4"/>
  <c r="R59" i="4" s="1"/>
  <c r="O60" i="4"/>
  <c r="R60" i="4" s="1"/>
  <c r="O61" i="4"/>
  <c r="R61" i="4" s="1"/>
  <c r="O62" i="4"/>
  <c r="R62" i="4" s="1"/>
  <c r="O63" i="4"/>
  <c r="R63" i="4" s="1"/>
  <c r="O64" i="4"/>
  <c r="R64" i="4" s="1"/>
  <c r="O65" i="4"/>
  <c r="R65" i="4" s="1"/>
  <c r="O66" i="4"/>
  <c r="R66" i="4" s="1"/>
  <c r="O67" i="4"/>
  <c r="R67" i="4" s="1"/>
  <c r="O68" i="4"/>
  <c r="R68" i="4" s="1"/>
  <c r="O69" i="4"/>
  <c r="R69" i="4" s="1"/>
  <c r="O70" i="4"/>
  <c r="R70" i="4" s="1"/>
  <c r="O71" i="4"/>
  <c r="R71" i="4" s="1"/>
  <c r="O72" i="4"/>
  <c r="R72" i="4" s="1"/>
  <c r="O73" i="4"/>
  <c r="R73" i="4" s="1"/>
  <c r="O74" i="4"/>
  <c r="R74" i="4" s="1"/>
  <c r="O75" i="4"/>
  <c r="R75" i="4" s="1"/>
  <c r="O76" i="4"/>
  <c r="R76" i="4" s="1"/>
  <c r="O77" i="4"/>
  <c r="R77" i="4" s="1"/>
  <c r="O78" i="4"/>
  <c r="R78" i="4" s="1"/>
  <c r="O79" i="4"/>
  <c r="R79" i="4" s="1"/>
  <c r="O80" i="4"/>
  <c r="R80" i="4" s="1"/>
  <c r="O81" i="4"/>
  <c r="R81" i="4" s="1"/>
  <c r="O82" i="4"/>
  <c r="R82" i="4" s="1"/>
  <c r="O83" i="4"/>
  <c r="R83" i="4" s="1"/>
  <c r="O84" i="4"/>
  <c r="R84" i="4" s="1"/>
  <c r="O85" i="4"/>
  <c r="R85" i="4" s="1"/>
  <c r="O86" i="4"/>
  <c r="R86" i="4" s="1"/>
  <c r="O87" i="4"/>
  <c r="R87" i="4" s="1"/>
  <c r="O88" i="4"/>
  <c r="R88" i="4" s="1"/>
  <c r="O89" i="4"/>
  <c r="R89" i="4" s="1"/>
  <c r="O90" i="4"/>
  <c r="R90" i="4" s="1"/>
  <c r="O91" i="4"/>
  <c r="R91" i="4" s="1"/>
  <c r="O92" i="4"/>
  <c r="R92" i="4" s="1"/>
  <c r="O93" i="4"/>
  <c r="R93" i="4" s="1"/>
  <c r="O94" i="4"/>
  <c r="R94" i="4" s="1"/>
  <c r="O95" i="4"/>
  <c r="R95" i="4" s="1"/>
  <c r="O96" i="4"/>
  <c r="R96" i="4" s="1"/>
  <c r="O97" i="4"/>
  <c r="R97" i="4" s="1"/>
  <c r="O98" i="4"/>
  <c r="R98" i="4" s="1"/>
  <c r="O99" i="4"/>
  <c r="R99" i="4" s="1"/>
  <c r="O100" i="4"/>
  <c r="R100" i="4" s="1"/>
  <c r="O101" i="4"/>
  <c r="R101" i="4" s="1"/>
  <c r="O102" i="4"/>
  <c r="R102" i="4" s="1"/>
  <c r="O103" i="4"/>
  <c r="R103" i="4" s="1"/>
  <c r="O104" i="4"/>
  <c r="R104" i="4" s="1"/>
  <c r="O105" i="4"/>
  <c r="R105" i="4" s="1"/>
  <c r="O106" i="4"/>
  <c r="R106" i="4" s="1"/>
  <c r="O107" i="4"/>
  <c r="R107" i="4" s="1"/>
  <c r="O108" i="4"/>
  <c r="R108" i="4" s="1"/>
  <c r="O109" i="4"/>
  <c r="R109" i="4" s="1"/>
  <c r="O110" i="4"/>
  <c r="R110" i="4" s="1"/>
  <c r="O111" i="4"/>
  <c r="R111" i="4" s="1"/>
  <c r="O112" i="4"/>
  <c r="R112" i="4" s="1"/>
  <c r="O113" i="4"/>
  <c r="R113" i="4" s="1"/>
  <c r="O114" i="4"/>
  <c r="R114" i="4" s="1"/>
  <c r="O115" i="4"/>
  <c r="R115" i="4" s="1"/>
  <c r="O116" i="4"/>
  <c r="R116" i="4" s="1"/>
  <c r="O117" i="4"/>
  <c r="R117" i="4" s="1"/>
  <c r="O118" i="4"/>
  <c r="R118" i="4" s="1"/>
  <c r="O119" i="4"/>
  <c r="R119" i="4" s="1"/>
  <c r="O120" i="4"/>
  <c r="R120" i="4" s="1"/>
  <c r="O121" i="4"/>
  <c r="R121" i="4" s="1"/>
  <c r="O122" i="4"/>
  <c r="R122" i="4" s="1"/>
  <c r="O123" i="4"/>
  <c r="R123" i="4" s="1"/>
  <c r="O124" i="4"/>
  <c r="R124" i="4" s="1"/>
  <c r="O125" i="4"/>
  <c r="R125" i="4" s="1"/>
  <c r="O126" i="4"/>
  <c r="R126" i="4" s="1"/>
  <c r="O127" i="4"/>
  <c r="R127" i="4" s="1"/>
  <c r="O128" i="4"/>
  <c r="R128" i="4" s="1"/>
  <c r="O129" i="4"/>
  <c r="R129" i="4" s="1"/>
  <c r="O130" i="4"/>
  <c r="R130" i="4" s="1"/>
  <c r="O131" i="4"/>
  <c r="R131" i="4" s="1"/>
  <c r="O132" i="4"/>
  <c r="R132" i="4" s="1"/>
  <c r="O133" i="4"/>
  <c r="R133" i="4" s="1"/>
  <c r="O134" i="4"/>
  <c r="R134" i="4" s="1"/>
  <c r="O135" i="4"/>
  <c r="R135" i="4" s="1"/>
  <c r="O136" i="4"/>
  <c r="R136" i="4" s="1"/>
  <c r="O137" i="4"/>
  <c r="R137" i="4" s="1"/>
  <c r="O138" i="4"/>
  <c r="R138" i="4" s="1"/>
  <c r="O139" i="4"/>
  <c r="R139" i="4" s="1"/>
  <c r="O140" i="4"/>
  <c r="R140" i="4" s="1"/>
  <c r="O141" i="4"/>
  <c r="R141" i="4" s="1"/>
  <c r="O142" i="4"/>
  <c r="R142" i="4" s="1"/>
  <c r="O143" i="4"/>
  <c r="R143" i="4" s="1"/>
  <c r="O144" i="4"/>
  <c r="R144" i="4" s="1"/>
  <c r="O145" i="4"/>
  <c r="R145" i="4" s="1"/>
  <c r="O146" i="4"/>
  <c r="R146" i="4" s="1"/>
  <c r="O147" i="4"/>
  <c r="R147" i="4" s="1"/>
  <c r="O148" i="4"/>
  <c r="R148" i="4" s="1"/>
  <c r="O149" i="4"/>
  <c r="R149" i="4" s="1"/>
  <c r="O150" i="4"/>
  <c r="R150" i="4" s="1"/>
  <c r="O151" i="4"/>
  <c r="R151" i="4" s="1"/>
  <c r="O152" i="4"/>
  <c r="R152" i="4" s="1"/>
  <c r="O153" i="4"/>
  <c r="R153" i="4" s="1"/>
  <c r="O154" i="4"/>
  <c r="R154" i="4" s="1"/>
  <c r="O155" i="4"/>
  <c r="R155" i="4" s="1"/>
  <c r="O156" i="4"/>
  <c r="R156" i="4" s="1"/>
  <c r="O157" i="4"/>
  <c r="R157" i="4" s="1"/>
  <c r="O158" i="4"/>
  <c r="R158" i="4" s="1"/>
  <c r="O159" i="4"/>
  <c r="R159" i="4" s="1"/>
  <c r="O160" i="4"/>
  <c r="R160" i="4" s="1"/>
  <c r="O161" i="4"/>
  <c r="R161" i="4" s="1"/>
  <c r="O162" i="4"/>
  <c r="R162" i="4" s="1"/>
  <c r="O163" i="4"/>
  <c r="R163" i="4" s="1"/>
  <c r="O164" i="4"/>
  <c r="R164" i="4" s="1"/>
  <c r="O165" i="4"/>
  <c r="R165" i="4" s="1"/>
  <c r="O166" i="4"/>
  <c r="R166" i="4" s="1"/>
  <c r="O167" i="4"/>
  <c r="R167" i="4" s="1"/>
  <c r="O168" i="4"/>
  <c r="R168" i="4" s="1"/>
  <c r="O169" i="4"/>
  <c r="R169" i="4" s="1"/>
  <c r="O170" i="4"/>
  <c r="R170" i="4" s="1"/>
  <c r="O171" i="4"/>
  <c r="R171" i="4" s="1"/>
  <c r="O172" i="4"/>
  <c r="R172" i="4" s="1"/>
  <c r="O173" i="4"/>
  <c r="R173" i="4" s="1"/>
  <c r="O174" i="4"/>
  <c r="R174" i="4" s="1"/>
  <c r="O175" i="4"/>
  <c r="R175" i="4" s="1"/>
  <c r="O176" i="4"/>
  <c r="R176" i="4" s="1"/>
  <c r="O177" i="4"/>
  <c r="R177" i="4" s="1"/>
  <c r="O178" i="4"/>
  <c r="R178" i="4" s="1"/>
  <c r="O179" i="4"/>
  <c r="R179" i="4" s="1"/>
  <c r="O180" i="4"/>
  <c r="R180" i="4" s="1"/>
  <c r="O181" i="4"/>
  <c r="R181" i="4" s="1"/>
  <c r="O182" i="4"/>
  <c r="R182" i="4" s="1"/>
  <c r="O183" i="4"/>
  <c r="R183" i="4" s="1"/>
  <c r="O185" i="4"/>
  <c r="R185" i="4" s="1"/>
  <c r="O186" i="4"/>
  <c r="R186" i="4" s="1"/>
  <c r="O188" i="4"/>
  <c r="R188" i="4" s="1"/>
  <c r="O189" i="4"/>
  <c r="R189" i="4" s="1"/>
  <c r="O190" i="4"/>
  <c r="R190" i="4" s="1"/>
  <c r="O191" i="4"/>
  <c r="R191" i="4" s="1"/>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5" i="4"/>
  <c r="Q186" i="4"/>
  <c r="Q188" i="4"/>
  <c r="Q189" i="4"/>
  <c r="Q190" i="4"/>
  <c r="Q191" i="4"/>
  <c r="J8" i="29"/>
  <c r="J9" i="29"/>
  <c r="J10" i="29"/>
  <c r="J11" i="29"/>
  <c r="J12" i="29"/>
  <c r="J13" i="29"/>
  <c r="J14" i="29"/>
  <c r="J15" i="29"/>
  <c r="J16" i="29"/>
  <c r="J17" i="29"/>
  <c r="J18" i="29"/>
  <c r="J19" i="29"/>
  <c r="J20" i="29"/>
  <c r="J21" i="29"/>
  <c r="J22" i="29"/>
  <c r="J23" i="29"/>
  <c r="J24" i="29"/>
  <c r="J25" i="29"/>
  <c r="J26" i="29"/>
  <c r="J27" i="29"/>
  <c r="J28" i="29"/>
  <c r="J29" i="29"/>
  <c r="J30" i="29"/>
  <c r="J31" i="29"/>
  <c r="J32" i="29"/>
  <c r="J33" i="29"/>
  <c r="J34" i="29"/>
  <c r="J35" i="29"/>
  <c r="J36" i="29"/>
  <c r="J37" i="29"/>
  <c r="J38" i="29"/>
  <c r="J39" i="29"/>
  <c r="J40" i="29"/>
  <c r="J41" i="29"/>
  <c r="J42" i="29"/>
  <c r="J43" i="29"/>
  <c r="J44" i="29"/>
  <c r="J45" i="29"/>
  <c r="J46" i="29"/>
  <c r="J47" i="29"/>
  <c r="J48" i="29"/>
  <c r="J49" i="29"/>
  <c r="J50" i="29"/>
  <c r="J51" i="29"/>
  <c r="J52" i="29"/>
  <c r="J53" i="29"/>
  <c r="J54" i="29"/>
  <c r="J55" i="29"/>
  <c r="J56" i="29"/>
  <c r="J57" i="29"/>
  <c r="J58" i="29"/>
  <c r="J59" i="29"/>
  <c r="J60" i="29"/>
  <c r="J61" i="29"/>
  <c r="J62" i="29"/>
  <c r="J63" i="29"/>
  <c r="J64" i="29"/>
  <c r="J65" i="29"/>
  <c r="J66" i="29"/>
  <c r="J67" i="29"/>
  <c r="J68" i="29"/>
  <c r="J69" i="29"/>
  <c r="J70" i="29"/>
  <c r="J71" i="29"/>
  <c r="J72" i="29"/>
  <c r="J73" i="29"/>
  <c r="J74" i="29"/>
  <c r="J75" i="29"/>
  <c r="J76" i="29"/>
  <c r="J77" i="29"/>
  <c r="J78" i="29"/>
  <c r="J79" i="29"/>
  <c r="J80" i="29"/>
  <c r="J81" i="29"/>
  <c r="J82" i="29"/>
  <c r="J83" i="29"/>
  <c r="J84" i="29"/>
  <c r="J85" i="29"/>
  <c r="J86" i="29"/>
  <c r="J87" i="29"/>
  <c r="J88" i="29"/>
  <c r="J89" i="29"/>
  <c r="J90" i="29"/>
  <c r="J91" i="29"/>
  <c r="J92" i="29"/>
  <c r="J93" i="29"/>
  <c r="J94" i="29"/>
  <c r="J95" i="29"/>
  <c r="J96" i="29"/>
  <c r="J97" i="29"/>
  <c r="J98" i="29"/>
  <c r="J99" i="29"/>
  <c r="J100" i="29"/>
  <c r="AU200" i="13"/>
  <c r="AU199" i="13"/>
  <c r="AU198" i="13"/>
  <c r="AU197" i="13"/>
  <c r="AU196" i="13"/>
  <c r="AU195" i="13"/>
  <c r="AU194" i="13"/>
  <c r="AU193" i="13"/>
  <c r="AU192" i="13"/>
  <c r="AU191" i="13"/>
  <c r="AU190" i="13"/>
  <c r="AU189" i="13"/>
  <c r="AU188" i="13"/>
  <c r="AU187" i="13"/>
  <c r="AU186" i="13"/>
  <c r="AU185" i="13"/>
  <c r="AU184" i="13"/>
  <c r="AU183" i="13"/>
  <c r="AU182" i="13"/>
  <c r="AU181" i="13"/>
  <c r="AU180" i="13"/>
  <c r="AU179" i="13"/>
  <c r="AU178" i="13"/>
  <c r="AU177" i="13"/>
  <c r="AU176" i="13"/>
  <c r="AU175" i="13"/>
  <c r="AU174" i="13"/>
  <c r="AU173" i="13"/>
  <c r="AU172" i="13"/>
  <c r="AU171" i="13"/>
  <c r="AU170" i="13"/>
  <c r="AU169" i="13"/>
  <c r="AU168" i="13"/>
  <c r="AU167" i="13"/>
  <c r="AU166" i="13"/>
  <c r="AU165" i="13"/>
  <c r="AU164" i="13"/>
  <c r="AU163" i="13"/>
  <c r="AU162" i="13"/>
  <c r="AU161" i="13"/>
  <c r="AU160" i="13"/>
  <c r="AU159" i="13"/>
  <c r="AU158" i="13"/>
  <c r="AU157" i="13"/>
  <c r="AU156" i="13"/>
  <c r="AU155" i="13"/>
  <c r="AU154" i="13"/>
  <c r="AU153" i="13"/>
  <c r="AU152" i="13"/>
  <c r="AU151" i="13"/>
  <c r="AU150" i="13"/>
  <c r="AU149" i="13"/>
  <c r="AU148" i="13"/>
  <c r="AU147" i="13"/>
  <c r="AU146" i="13"/>
  <c r="AU145" i="13"/>
  <c r="AU144" i="13"/>
  <c r="AU143" i="13"/>
  <c r="AU142" i="13"/>
  <c r="AU141" i="13"/>
  <c r="AU140" i="13"/>
  <c r="AU139" i="13"/>
  <c r="AU138" i="13"/>
  <c r="AU137" i="13"/>
  <c r="AU136" i="13"/>
  <c r="AU135" i="13"/>
  <c r="AU134" i="13"/>
  <c r="AU133" i="13"/>
  <c r="AU132" i="13"/>
  <c r="AU131" i="13"/>
  <c r="AU130" i="13"/>
  <c r="AU129" i="13"/>
  <c r="AU128" i="13"/>
  <c r="AU127" i="13"/>
  <c r="AU126" i="13"/>
  <c r="AU125" i="13"/>
  <c r="AU124" i="13"/>
  <c r="AU123" i="13"/>
  <c r="AU122" i="13"/>
  <c r="AU121" i="13"/>
  <c r="AU120" i="13"/>
  <c r="AU119" i="13"/>
  <c r="AU118" i="13"/>
  <c r="AU117" i="13"/>
  <c r="AU116" i="13"/>
  <c r="AU115" i="13"/>
  <c r="AU114" i="13"/>
  <c r="AU113" i="13"/>
  <c r="AU112" i="13"/>
  <c r="AU111" i="13"/>
  <c r="AU110" i="13"/>
  <c r="AU109" i="13"/>
  <c r="AU108" i="13"/>
  <c r="AU107" i="13"/>
  <c r="AU106" i="13"/>
  <c r="AU105" i="13"/>
  <c r="AU104" i="13"/>
  <c r="AU103" i="13"/>
  <c r="AU102" i="13"/>
  <c r="AU101" i="13"/>
  <c r="AU100" i="13"/>
  <c r="AU99" i="13"/>
  <c r="AU98" i="13"/>
  <c r="AU97" i="13"/>
  <c r="AU96" i="13"/>
  <c r="AU95" i="13"/>
  <c r="AU94" i="13"/>
  <c r="AU93" i="13"/>
  <c r="AU92" i="13"/>
  <c r="AU91" i="13"/>
  <c r="AU90" i="13"/>
  <c r="AU89" i="13"/>
  <c r="AU88" i="13"/>
  <c r="AU87" i="13"/>
  <c r="AU86" i="13"/>
  <c r="AU85" i="13"/>
  <c r="AU84" i="13"/>
  <c r="AU83" i="13"/>
  <c r="AU82" i="13"/>
  <c r="AU81" i="13"/>
  <c r="AU80" i="13"/>
  <c r="AU79" i="13"/>
  <c r="AU78" i="13"/>
  <c r="AU77" i="13"/>
  <c r="AU76" i="13"/>
  <c r="AU75" i="13"/>
  <c r="AU74" i="13"/>
  <c r="AU73" i="13"/>
  <c r="AU72" i="13"/>
  <c r="AU71" i="13"/>
  <c r="AU70" i="13"/>
  <c r="AU69" i="13"/>
  <c r="AU68" i="13"/>
  <c r="AU67" i="13"/>
  <c r="AU66" i="13"/>
  <c r="AU65" i="13"/>
  <c r="AU64" i="13"/>
  <c r="AU63" i="13"/>
  <c r="AU62" i="13"/>
  <c r="AU61" i="13"/>
  <c r="AU60" i="13"/>
  <c r="AU59" i="13"/>
  <c r="AU58" i="13"/>
  <c r="AU57" i="13"/>
  <c r="AU56" i="13"/>
  <c r="AU55" i="13"/>
  <c r="AU54" i="13"/>
  <c r="AU53" i="13"/>
  <c r="AU52" i="13"/>
  <c r="AU51" i="13"/>
  <c r="AU50" i="13"/>
  <c r="AU49" i="13"/>
  <c r="AC6" i="13" a="1"/>
  <c r="AC6" i="13" s="1"/>
  <c r="O1251" i="4"/>
  <c r="M1251" i="4" a="1"/>
  <c r="M1251" i="4" s="1"/>
  <c r="N1251" i="4"/>
  <c r="P1251" i="4"/>
  <c r="Q1251" i="4"/>
  <c r="R1251" i="4"/>
  <c r="B2" i="30" a="1"/>
  <c r="B2" i="30" s="1"/>
  <c r="V200" i="13"/>
  <c r="V106" i="13"/>
  <c r="V107" i="13"/>
  <c r="V108" i="13"/>
  <c r="V109" i="13"/>
  <c r="V110" i="13"/>
  <c r="V111" i="13"/>
  <c r="V112" i="13"/>
  <c r="V113" i="13"/>
  <c r="V114" i="13"/>
  <c r="V115" i="13"/>
  <c r="V116" i="13"/>
  <c r="V117" i="13"/>
  <c r="V118" i="13"/>
  <c r="V119" i="13"/>
  <c r="V120" i="13"/>
  <c r="V121" i="13"/>
  <c r="V122" i="13"/>
  <c r="V123" i="13"/>
  <c r="V124" i="13"/>
  <c r="V125" i="13"/>
  <c r="V126" i="13"/>
  <c r="V127" i="13"/>
  <c r="V128" i="13"/>
  <c r="V129" i="13"/>
  <c r="V130" i="13"/>
  <c r="V131" i="13"/>
  <c r="V132" i="13"/>
  <c r="V133" i="13"/>
  <c r="V134" i="13"/>
  <c r="V135" i="13"/>
  <c r="V136" i="13"/>
  <c r="V137" i="13"/>
  <c r="V138" i="13"/>
  <c r="V139" i="13"/>
  <c r="V140" i="13"/>
  <c r="V141" i="13"/>
  <c r="V142" i="13"/>
  <c r="V143" i="13"/>
  <c r="V144" i="13"/>
  <c r="V145" i="13"/>
  <c r="V146" i="13"/>
  <c r="V147" i="13"/>
  <c r="V148" i="13"/>
  <c r="V149" i="13"/>
  <c r="V150" i="13"/>
  <c r="V151" i="13"/>
  <c r="V152" i="13"/>
  <c r="V153" i="13"/>
  <c r="V154" i="13"/>
  <c r="V155" i="13"/>
  <c r="V156" i="13"/>
  <c r="V157" i="13"/>
  <c r="V158" i="13"/>
  <c r="V159" i="13"/>
  <c r="V160" i="13"/>
  <c r="V161" i="13"/>
  <c r="V162" i="13"/>
  <c r="V163" i="13"/>
  <c r="V164" i="13"/>
  <c r="V165" i="13"/>
  <c r="V166" i="13"/>
  <c r="V167" i="13"/>
  <c r="V168" i="13"/>
  <c r="V169" i="13"/>
  <c r="V170" i="13"/>
  <c r="V171" i="13"/>
  <c r="V172" i="13"/>
  <c r="V173" i="13"/>
  <c r="V174" i="13"/>
  <c r="V175" i="13"/>
  <c r="V176" i="13"/>
  <c r="V177" i="13"/>
  <c r="V178" i="13"/>
  <c r="V179" i="13"/>
  <c r="V180" i="13"/>
  <c r="V181" i="13"/>
  <c r="V182" i="13"/>
  <c r="V183" i="13"/>
  <c r="V184" i="13"/>
  <c r="V185" i="13"/>
  <c r="V186" i="13"/>
  <c r="V187" i="13"/>
  <c r="V188" i="13"/>
  <c r="V189" i="13"/>
  <c r="V190" i="13"/>
  <c r="V191" i="13"/>
  <c r="V192" i="13"/>
  <c r="V193" i="13"/>
  <c r="V194" i="13"/>
  <c r="V195" i="13"/>
  <c r="V196" i="13"/>
  <c r="V197" i="13"/>
  <c r="V198" i="13"/>
  <c r="V199" i="13"/>
  <c r="V100" i="13"/>
  <c r="V101" i="13"/>
  <c r="V102" i="13"/>
  <c r="V103" i="13"/>
  <c r="V104" i="13"/>
  <c r="V105" i="13"/>
  <c r="V65" i="13"/>
  <c r="V66" i="13"/>
  <c r="V67" i="13"/>
  <c r="V68" i="13"/>
  <c r="V69" i="13"/>
  <c r="V70" i="13"/>
  <c r="V71" i="13"/>
  <c r="V72" i="13"/>
  <c r="V73" i="13"/>
  <c r="V74" i="13"/>
  <c r="V75" i="13"/>
  <c r="V76" i="13"/>
  <c r="V77" i="13"/>
  <c r="V78" i="13"/>
  <c r="V79" i="13"/>
  <c r="V80" i="13"/>
  <c r="V81" i="13"/>
  <c r="V82" i="13"/>
  <c r="V83" i="13"/>
  <c r="V84" i="13"/>
  <c r="V85" i="13"/>
  <c r="V86" i="13"/>
  <c r="V87" i="13"/>
  <c r="V88" i="13"/>
  <c r="V89" i="13"/>
  <c r="V90" i="13"/>
  <c r="V91" i="13"/>
  <c r="V92" i="13"/>
  <c r="V93" i="13"/>
  <c r="V94" i="13"/>
  <c r="V95" i="13"/>
  <c r="V96" i="13"/>
  <c r="V97" i="13"/>
  <c r="V98" i="13"/>
  <c r="V99" i="13"/>
  <c r="V43" i="13"/>
  <c r="V44" i="13"/>
  <c r="V45" i="13"/>
  <c r="V46" i="13"/>
  <c r="V47" i="13"/>
  <c r="V48" i="13"/>
  <c r="V49" i="13"/>
  <c r="V50" i="13"/>
  <c r="V51" i="13"/>
  <c r="V52" i="13"/>
  <c r="V53" i="13"/>
  <c r="V54" i="13"/>
  <c r="V55" i="13"/>
  <c r="V56" i="13"/>
  <c r="V57" i="13"/>
  <c r="V58" i="13"/>
  <c r="V59" i="13"/>
  <c r="V60" i="13"/>
  <c r="V61" i="13"/>
  <c r="V62" i="13"/>
  <c r="V63" i="13"/>
  <c r="V64" i="13"/>
  <c r="C36" i="30" a="1"/>
  <c r="C12" i="30" a="1"/>
  <c r="C26" i="30" a="1"/>
  <c r="C8" i="30" a="1"/>
  <c r="C38" i="30" a="1"/>
  <c r="C37" i="30" a="1"/>
  <c r="C100" i="30" a="1"/>
  <c r="C92" i="30" a="1"/>
  <c r="C84" i="30" a="1"/>
  <c r="C76" i="30" a="1"/>
  <c r="C68" i="30" a="1"/>
  <c r="C60" i="30" a="1"/>
  <c r="C52" i="30" a="1"/>
  <c r="C44" i="30" a="1"/>
  <c r="C28" i="30" a="1"/>
  <c r="C20" i="30" a="1"/>
  <c r="C4" i="30" a="1"/>
  <c r="C3" i="30" a="1"/>
  <c r="C9" i="30" a="1"/>
  <c r="C39" i="30" a="1"/>
  <c r="C22" i="30" a="1"/>
  <c r="C13" i="30" a="1"/>
  <c r="C59" i="30" a="1"/>
  <c r="C27" i="30" a="1"/>
  <c r="C11" i="30" a="1"/>
  <c r="C18" i="30" a="1"/>
  <c r="C78" i="30" a="1"/>
  <c r="C85" i="30" a="1"/>
  <c r="C99" i="30" a="1"/>
  <c r="C91" i="30" a="1"/>
  <c r="C83" i="30" a="1"/>
  <c r="C75" i="30" a="1"/>
  <c r="C67" i="30" a="1"/>
  <c r="C51" i="30" a="1"/>
  <c r="C43" i="30" a="1"/>
  <c r="C35" i="30" a="1"/>
  <c r="C19" i="30" a="1"/>
  <c r="C25" i="30" a="1"/>
  <c r="C7" i="30" a="1"/>
  <c r="C94" i="30" a="1"/>
  <c r="C77" i="30" a="1"/>
  <c r="C58" i="30" a="1"/>
  <c r="C34" i="30" a="1"/>
  <c r="C17" i="30" a="1"/>
  <c r="C70" i="30" a="1"/>
  <c r="C53" i="30" a="1"/>
  <c r="C98" i="30" a="1"/>
  <c r="C90" i="30" a="1"/>
  <c r="C82" i="30" a="1"/>
  <c r="C74" i="30" a="1"/>
  <c r="C66" i="30" a="1"/>
  <c r="C50" i="30" a="1"/>
  <c r="C42" i="30" a="1"/>
  <c r="C10" i="30" a="1"/>
  <c r="C16" i="30" a="1"/>
  <c r="C30" i="30" a="1"/>
  <c r="C29" i="30" a="1"/>
  <c r="C73" i="30" a="1"/>
  <c r="C41" i="30" a="1"/>
  <c r="C47" i="30" a="1"/>
  <c r="C14" i="30" a="1"/>
  <c r="C21" i="30" a="1"/>
  <c r="C97" i="30" a="1"/>
  <c r="C89" i="30" a="1"/>
  <c r="C81" i="30" a="1"/>
  <c r="C65" i="30" a="1"/>
  <c r="C57" i="30" a="1"/>
  <c r="C49" i="30" a="1"/>
  <c r="C33" i="30" a="1"/>
  <c r="C31" i="30" a="1"/>
  <c r="C6" i="30" a="1"/>
  <c r="C5" i="30" a="1"/>
  <c r="C72" i="30" a="1"/>
  <c r="C48" i="30" a="1"/>
  <c r="C32" i="30" a="1"/>
  <c r="C62" i="30" a="1"/>
  <c r="C69" i="30" a="1"/>
  <c r="C96" i="30" a="1"/>
  <c r="C88" i="30" a="1"/>
  <c r="C80" i="30" a="1"/>
  <c r="C64" i="30" a="1"/>
  <c r="C56" i="30" a="1"/>
  <c r="C40" i="30" a="1"/>
  <c r="C24" i="30" a="1"/>
  <c r="C86" i="30" a="1"/>
  <c r="C61" i="30" a="1"/>
  <c r="C71" i="30" a="1"/>
  <c r="C15" i="30" a="1"/>
  <c r="C46" i="30" a="1"/>
  <c r="C93" i="30" a="1"/>
  <c r="C95" i="30" a="1"/>
  <c r="C87" i="30" a="1"/>
  <c r="C79" i="30" a="1"/>
  <c r="C63" i="30" a="1"/>
  <c r="C55" i="30" a="1"/>
  <c r="C23" i="30" a="1"/>
  <c r="C54" i="30" a="1"/>
  <c r="C45" i="30" a="1"/>
  <c r="C2" i="30" a="1"/>
  <c r="R23" i="32" l="1"/>
  <c r="R22" i="32"/>
  <c r="R21" i="32"/>
  <c r="R20" i="32"/>
  <c r="R19" i="32"/>
  <c r="R18" i="32"/>
  <c r="R17" i="32"/>
  <c r="R16" i="32"/>
  <c r="R15" i="32"/>
  <c r="R14" i="32"/>
  <c r="Q10" i="32"/>
  <c r="Q9" i="32"/>
  <c r="R10" i="32"/>
  <c r="R9" i="32"/>
  <c r="R12" i="32"/>
  <c r="R13" i="32"/>
  <c r="R11" i="32"/>
  <c r="Q13" i="32"/>
  <c r="Q11" i="32"/>
  <c r="C45" i="30"/>
  <c r="C54" i="30"/>
  <c r="C23" i="30"/>
  <c r="C55" i="30"/>
  <c r="C63" i="30"/>
  <c r="C79" i="30"/>
  <c r="C87" i="30"/>
  <c r="C95" i="30"/>
  <c r="C93" i="30"/>
  <c r="C46" i="30"/>
  <c r="C15" i="30"/>
  <c r="C71" i="30"/>
  <c r="C61" i="30"/>
  <c r="C86" i="30"/>
  <c r="C24" i="30"/>
  <c r="C40" i="30"/>
  <c r="C56" i="30"/>
  <c r="C64" i="30"/>
  <c r="C80" i="30"/>
  <c r="C88" i="30"/>
  <c r="C96" i="30"/>
  <c r="C69" i="30"/>
  <c r="C62" i="30"/>
  <c r="C32" i="30"/>
  <c r="C48" i="30"/>
  <c r="C72" i="30"/>
  <c r="C5" i="30"/>
  <c r="C6" i="30"/>
  <c r="C31" i="30"/>
  <c r="C33" i="30"/>
  <c r="C49" i="30"/>
  <c r="C57" i="30"/>
  <c r="C65" i="30"/>
  <c r="C81" i="30"/>
  <c r="C89" i="30"/>
  <c r="C97" i="30"/>
  <c r="C21" i="30"/>
  <c r="C14" i="30"/>
  <c r="C47" i="30"/>
  <c r="C41" i="30"/>
  <c r="C73" i="30"/>
  <c r="C29" i="30"/>
  <c r="C30" i="30"/>
  <c r="C16" i="30"/>
  <c r="C10" i="30"/>
  <c r="C42" i="30"/>
  <c r="C50" i="30"/>
  <c r="C66" i="30"/>
  <c r="C74" i="30"/>
  <c r="C82" i="30"/>
  <c r="C90" i="30"/>
  <c r="C98" i="30"/>
  <c r="C53" i="30"/>
  <c r="C70" i="30"/>
  <c r="C17" i="30"/>
  <c r="C34" i="30"/>
  <c r="C58" i="30"/>
  <c r="C77" i="30"/>
  <c r="C94" i="30"/>
  <c r="C7" i="30"/>
  <c r="C25" i="30"/>
  <c r="C19" i="30"/>
  <c r="C35" i="30"/>
  <c r="C43" i="30"/>
  <c r="C51" i="30"/>
  <c r="C67" i="30"/>
  <c r="C75" i="30"/>
  <c r="C83" i="30"/>
  <c r="C91" i="30"/>
  <c r="C99" i="30"/>
  <c r="C85" i="30"/>
  <c r="C78" i="30"/>
  <c r="C18" i="30"/>
  <c r="C11" i="30"/>
  <c r="C27" i="30"/>
  <c r="C59" i="30"/>
  <c r="C13" i="30"/>
  <c r="C22" i="30"/>
  <c r="C39" i="30"/>
  <c r="C9" i="30"/>
  <c r="C3" i="30"/>
  <c r="C4" i="30"/>
  <c r="C20" i="30"/>
  <c r="C28" i="30"/>
  <c r="C44" i="30"/>
  <c r="C52" i="30"/>
  <c r="C60" i="30"/>
  <c r="C68" i="30"/>
  <c r="C76" i="30"/>
  <c r="C84" i="30"/>
  <c r="C92" i="30"/>
  <c r="C100" i="30"/>
  <c r="C37" i="30"/>
  <c r="C38" i="30"/>
  <c r="C8" i="30"/>
  <c r="C26" i="30"/>
  <c r="C12" i="30"/>
  <c r="C36" i="30"/>
  <c r="C2" i="30"/>
  <c r="G23" i="12"/>
  <c r="G24" i="12"/>
  <c r="G25" i="12"/>
  <c r="H25" i="12" s="1"/>
  <c r="G26" i="12"/>
  <c r="H26" i="12" s="1"/>
  <c r="G27" i="12"/>
  <c r="G28" i="12"/>
  <c r="G29" i="12"/>
  <c r="H29" i="12" s="1"/>
  <c r="G30" i="12"/>
  <c r="G31" i="12"/>
  <c r="G32" i="12"/>
  <c r="G33" i="12"/>
  <c r="H33" i="12" s="1"/>
  <c r="G34" i="12"/>
  <c r="H34" i="12" s="1"/>
  <c r="G35" i="12"/>
  <c r="G36" i="12"/>
  <c r="H36" i="12" s="1"/>
  <c r="G37" i="12"/>
  <c r="G38" i="12"/>
  <c r="H38" i="12" s="1"/>
  <c r="G39" i="12"/>
  <c r="H39" i="12" s="1"/>
  <c r="G40" i="12"/>
  <c r="G41" i="12"/>
  <c r="G42" i="12"/>
  <c r="H42" i="12" s="1"/>
  <c r="G43" i="12"/>
  <c r="G44" i="12"/>
  <c r="G22" i="12"/>
  <c r="G21" i="12"/>
  <c r="G20" i="12"/>
  <c r="G19" i="12"/>
  <c r="G18" i="12"/>
  <c r="G17" i="12"/>
  <c r="G16" i="12"/>
  <c r="G15" i="12"/>
  <c r="H15" i="12" s="1"/>
  <c r="G14" i="12"/>
  <c r="G13" i="12"/>
  <c r="G12" i="12"/>
  <c r="G11" i="12"/>
  <c r="G10" i="12"/>
  <c r="G9" i="12"/>
  <c r="H9" i="12" s="1"/>
  <c r="G8" i="12"/>
  <c r="G7" i="12"/>
  <c r="H11" i="12"/>
  <c r="C21" i="32" l="1"/>
  <c r="D10" i="32" a="1"/>
  <c r="D10" i="32" s="1"/>
  <c r="D22" i="32" a="1"/>
  <c r="D22" i="32" s="1"/>
  <c r="C10" i="32" a="1"/>
  <c r="C10" i="32" s="1"/>
  <c r="C11" i="32" a="1"/>
  <c r="C11" i="32" s="1"/>
  <c r="D9" i="32" a="1"/>
  <c r="D9" i="32" s="1"/>
  <c r="D12" i="32" a="1"/>
  <c r="D12" i="32" s="1"/>
  <c r="D13" i="32" a="1"/>
  <c r="D13" i="32" s="1"/>
  <c r="C9" i="32" a="1"/>
  <c r="C9" i="32" s="1"/>
  <c r="C12" i="32" a="1"/>
  <c r="C12" i="32" s="1"/>
  <c r="D11" i="32" a="1"/>
  <c r="D11" i="32" s="1"/>
  <c r="C13" i="32" a="1"/>
  <c r="C13" i="32" s="1"/>
  <c r="C22" i="32"/>
  <c r="C20" i="32"/>
  <c r="E20" i="32" a="1"/>
  <c r="E20" i="32" s="1"/>
  <c r="D20" i="32" a="1"/>
  <c r="D20" i="32" s="1"/>
  <c r="E22" i="32" a="1"/>
  <c r="E22" i="32" s="1"/>
  <c r="E21" i="32" a="1"/>
  <c r="E21" i="32" s="1"/>
  <c r="C19" i="32"/>
  <c r="D19" i="32" a="1"/>
  <c r="D19" i="32" s="1"/>
  <c r="D21" i="32" a="1"/>
  <c r="D21" i="32" s="1"/>
  <c r="E19" i="32" a="1"/>
  <c r="E19" i="32" s="1"/>
  <c r="H37" i="12"/>
  <c r="H43" i="12"/>
  <c r="H31" i="12"/>
  <c r="H32" i="12"/>
  <c r="H35" i="12"/>
  <c r="H44" i="12"/>
  <c r="H40" i="12"/>
  <c r="H41" i="12"/>
  <c r="H27" i="12"/>
  <c r="H13" i="12"/>
  <c r="H17" i="12"/>
  <c r="H22" i="12"/>
  <c r="H21" i="12"/>
  <c r="H30" i="12"/>
  <c r="H19" i="12"/>
  <c r="H23" i="12"/>
  <c r="H16" i="12"/>
  <c r="H7" i="12"/>
  <c r="H20" i="12"/>
  <c r="H10" i="12"/>
  <c r="H18" i="12"/>
  <c r="H8" i="12"/>
  <c r="H12" i="12"/>
  <c r="H24" i="12"/>
  <c r="H28" i="12"/>
  <c r="H14" i="12"/>
  <c r="I42" i="12" l="1"/>
  <c r="J42" i="12" s="1" a="1"/>
  <c r="J42" i="12" s="1"/>
  <c r="I22" i="12"/>
  <c r="J22" i="12" s="1" a="1"/>
  <c r="J22" i="12" s="1"/>
  <c r="I19" i="12"/>
  <c r="J19" i="12" s="1" a="1"/>
  <c r="J19" i="12" s="1"/>
  <c r="I35" i="12"/>
  <c r="J35" i="12" s="1" a="1"/>
  <c r="J35" i="12" s="1"/>
  <c r="I10" i="12"/>
  <c r="J10" i="12" s="1" a="1"/>
  <c r="J10" i="12" s="1"/>
  <c r="I8" i="12"/>
  <c r="J8" i="12" s="1" a="1"/>
  <c r="J8" i="12" s="1"/>
  <c r="I24" i="12"/>
  <c r="J24" i="12" s="1" a="1"/>
  <c r="J24" i="12" s="1"/>
  <c r="I40" i="12"/>
  <c r="J40" i="12" s="1" a="1"/>
  <c r="J40" i="12" s="1"/>
  <c r="I25" i="12"/>
  <c r="J25" i="12" s="1" a="1"/>
  <c r="J25" i="12" s="1"/>
  <c r="I41" i="12"/>
  <c r="J41" i="12" s="1" a="1"/>
  <c r="J41" i="12" s="1"/>
  <c r="I30" i="12"/>
  <c r="J30" i="12" s="1" a="1"/>
  <c r="J30" i="12" s="1"/>
  <c r="I15" i="12"/>
  <c r="J15" i="12" s="1" a="1"/>
  <c r="J15" i="12" s="1"/>
  <c r="I17" i="12"/>
  <c r="J17" i="12" s="1" a="1"/>
  <c r="J17" i="12" s="1"/>
  <c r="I20" i="12"/>
  <c r="J20" i="12" s="1" a="1"/>
  <c r="J20" i="12" s="1"/>
  <c r="I21" i="12"/>
  <c r="J21" i="12" s="1" a="1"/>
  <c r="J21" i="12" s="1"/>
  <c r="I7" i="12"/>
  <c r="I23" i="12"/>
  <c r="J23" i="12" s="1" a="1"/>
  <c r="J23" i="12" s="1"/>
  <c r="I39" i="12"/>
  <c r="J39" i="12" s="1" a="1"/>
  <c r="J39" i="12" s="1"/>
  <c r="I18" i="12"/>
  <c r="J18" i="12" s="1" a="1"/>
  <c r="J18" i="12" s="1"/>
  <c r="I12" i="12"/>
  <c r="J12" i="12" s="1" a="1"/>
  <c r="J12" i="12" s="1"/>
  <c r="I28" i="12"/>
  <c r="J28" i="12" s="1" a="1"/>
  <c r="J28" i="12" s="1"/>
  <c r="I44" i="12"/>
  <c r="J44" i="12" s="1" a="1"/>
  <c r="J44" i="12" s="1"/>
  <c r="I29" i="12"/>
  <c r="J29" i="12" s="1" a="1"/>
  <c r="J29" i="12" s="1"/>
  <c r="I13" i="12"/>
  <c r="J13" i="12" s="1" a="1"/>
  <c r="J13" i="12" s="1"/>
  <c r="I34" i="12"/>
  <c r="J34" i="12" s="1" a="1"/>
  <c r="J34" i="12" s="1"/>
  <c r="I31" i="12"/>
  <c r="J31" i="12" s="1" a="1"/>
  <c r="J31" i="12" s="1"/>
  <c r="I38" i="12"/>
  <c r="J38" i="12" s="1" a="1"/>
  <c r="J38" i="12" s="1"/>
  <c r="I36" i="12"/>
  <c r="J36" i="12" s="1" a="1"/>
  <c r="J36" i="12" s="1"/>
  <c r="I37" i="12"/>
  <c r="J37" i="12" s="1" a="1"/>
  <c r="J37" i="12" s="1"/>
  <c r="I11" i="12"/>
  <c r="J11" i="12" s="1" a="1"/>
  <c r="J11" i="12" s="1"/>
  <c r="I27" i="12"/>
  <c r="J27" i="12" s="1" a="1"/>
  <c r="J27" i="12" s="1"/>
  <c r="I43" i="12"/>
  <c r="J43" i="12" s="1" a="1"/>
  <c r="J43" i="12" s="1"/>
  <c r="I26" i="12"/>
  <c r="J26" i="12" s="1" a="1"/>
  <c r="J26" i="12" s="1"/>
  <c r="I16" i="12"/>
  <c r="J16" i="12" s="1" a="1"/>
  <c r="J16" i="12" s="1"/>
  <c r="I32" i="12"/>
  <c r="J32" i="12" s="1" a="1"/>
  <c r="J32" i="12" s="1"/>
  <c r="I9" i="12"/>
  <c r="J9" i="12" s="1" a="1"/>
  <c r="J9" i="12" s="1"/>
  <c r="I33" i="12"/>
  <c r="J33" i="12" s="1" a="1"/>
  <c r="J33" i="12" s="1"/>
  <c r="I14" i="12"/>
  <c r="J14" i="12" s="1" a="1"/>
  <c r="J14" i="12" s="1"/>
  <c r="K7" i="12" l="1" a="1"/>
  <c r="K7" i="12" s="1"/>
  <c r="J7" i="12" a="1"/>
  <c r="J7" i="12" s="1"/>
  <c r="L1252" i="4" a="1"/>
  <c r="L1252" i="4" s="1"/>
  <c r="W7" i="13" l="1" a="1"/>
  <c r="W7" i="13" s="1"/>
  <c r="AV200" i="13"/>
  <c r="AV199" i="13"/>
  <c r="AV198" i="13"/>
  <c r="AV197" i="13"/>
  <c r="AV196" i="13"/>
  <c r="AV195" i="13"/>
  <c r="AV194" i="13"/>
  <c r="AV193" i="13"/>
  <c r="AV192" i="13"/>
  <c r="AV191" i="13"/>
  <c r="AV190" i="13"/>
  <c r="AV189" i="13"/>
  <c r="AV188" i="13"/>
  <c r="AV187" i="13"/>
  <c r="AV186" i="13"/>
  <c r="AV185" i="13"/>
  <c r="AV184" i="13"/>
  <c r="AV183" i="13"/>
  <c r="AV182" i="13"/>
  <c r="AV181" i="13"/>
  <c r="AV180" i="13"/>
  <c r="AV179" i="13"/>
  <c r="AV178" i="13"/>
  <c r="AV177" i="13"/>
  <c r="AV176" i="13"/>
  <c r="AV175" i="13"/>
  <c r="AV174" i="13"/>
  <c r="AV173" i="13"/>
  <c r="AV172" i="13"/>
  <c r="AV171" i="13"/>
  <c r="AV170" i="13"/>
  <c r="AV169" i="13"/>
  <c r="AV168" i="13"/>
  <c r="AV167" i="13"/>
  <c r="AV166" i="13"/>
  <c r="AV165" i="13"/>
  <c r="AV164" i="13"/>
  <c r="AV163" i="13"/>
  <c r="AV162" i="13"/>
  <c r="AV161" i="13"/>
  <c r="AV160" i="13"/>
  <c r="AV159" i="13"/>
  <c r="AV158" i="13"/>
  <c r="AV157" i="13"/>
  <c r="AV156" i="13"/>
  <c r="AV155" i="13"/>
  <c r="AV154" i="13"/>
  <c r="AV153" i="13"/>
  <c r="AV152" i="13"/>
  <c r="AV151" i="13"/>
  <c r="AV150" i="13"/>
  <c r="AV149" i="13"/>
  <c r="AV148" i="13"/>
  <c r="AV147" i="13"/>
  <c r="AV146" i="13"/>
  <c r="AV145" i="13"/>
  <c r="AV144" i="13"/>
  <c r="AV143" i="13"/>
  <c r="AV142" i="13"/>
  <c r="AV141" i="13"/>
  <c r="AV140" i="13"/>
  <c r="AV139" i="13"/>
  <c r="AV138" i="13"/>
  <c r="AV137" i="13"/>
  <c r="AV136" i="13"/>
  <c r="AV135" i="13"/>
  <c r="AV134" i="13"/>
  <c r="AV133" i="13"/>
  <c r="AV132" i="13"/>
  <c r="AV131" i="13"/>
  <c r="AV130" i="13"/>
  <c r="AV129" i="13"/>
  <c r="AV128" i="13"/>
  <c r="AV127" i="13"/>
  <c r="AV126" i="13"/>
  <c r="AV125" i="13"/>
  <c r="AV124" i="13"/>
  <c r="AV123" i="13"/>
  <c r="AV122" i="13"/>
  <c r="AV121" i="13"/>
  <c r="AV120" i="13"/>
  <c r="AV119" i="13"/>
  <c r="AV118" i="13"/>
  <c r="AV117" i="13"/>
  <c r="AV116" i="13"/>
  <c r="AV115" i="13"/>
  <c r="AV114" i="13"/>
  <c r="AV113" i="13"/>
  <c r="AV112" i="13"/>
  <c r="AV111" i="13"/>
  <c r="AV110" i="13"/>
  <c r="AV109" i="13"/>
  <c r="AV108" i="13"/>
  <c r="AV107" i="13"/>
  <c r="AV106" i="13"/>
  <c r="AV105" i="13"/>
  <c r="AV104" i="13"/>
  <c r="AV103" i="13"/>
  <c r="AV102" i="13"/>
  <c r="AV101" i="13"/>
  <c r="AV100" i="13"/>
  <c r="AV99" i="13"/>
  <c r="AV98" i="13"/>
  <c r="AV97" i="13"/>
  <c r="AV96" i="13"/>
  <c r="AV95" i="13"/>
  <c r="AV94" i="13"/>
  <c r="AV93" i="13"/>
  <c r="AV92" i="13"/>
  <c r="AV91" i="13"/>
  <c r="AV90" i="13"/>
  <c r="AV89" i="13"/>
  <c r="AV88" i="13"/>
  <c r="AV87" i="13"/>
  <c r="AV86" i="13"/>
  <c r="AV85" i="13"/>
  <c r="AV84" i="13"/>
  <c r="AV83" i="13"/>
  <c r="AV82" i="13"/>
  <c r="AV81" i="13"/>
  <c r="AV80" i="13"/>
  <c r="AV79" i="13"/>
  <c r="AV78" i="13"/>
  <c r="AV77" i="13"/>
  <c r="AV76" i="13"/>
  <c r="AV75" i="13"/>
  <c r="AV74" i="13"/>
  <c r="AV73" i="13"/>
  <c r="AV72" i="13"/>
  <c r="AV71" i="13"/>
  <c r="AV70" i="13"/>
  <c r="AV69" i="13"/>
  <c r="AV68" i="13"/>
  <c r="AV67" i="13"/>
  <c r="AV66" i="13"/>
  <c r="AV65" i="13"/>
  <c r="AV64" i="13"/>
  <c r="V42" i="13" l="1"/>
  <c r="V41" i="13"/>
  <c r="V40" i="13"/>
  <c r="V39" i="13"/>
  <c r="V38" i="13"/>
  <c r="V37" i="13"/>
  <c r="AJ6" i="13" l="1"/>
  <c r="AJ7" i="13" s="1"/>
  <c r="AJ8" i="13" s="1"/>
  <c r="AJ9" i="13" s="1"/>
  <c r="AJ10" i="13" s="1"/>
  <c r="AJ11" i="13" s="1"/>
  <c r="AJ12" i="13" s="1"/>
  <c r="AJ13" i="13" s="1"/>
  <c r="AJ14" i="13" s="1"/>
  <c r="AJ15" i="13" s="1"/>
  <c r="AJ16" i="13" s="1"/>
  <c r="AJ17" i="13" s="1"/>
  <c r="AJ18" i="13" s="1"/>
  <c r="AJ19" i="13" s="1"/>
  <c r="AJ20" i="13" s="1"/>
  <c r="AJ21" i="13" s="1"/>
  <c r="AJ22" i="13" s="1"/>
  <c r="AJ23" i="13" s="1"/>
  <c r="AJ24" i="13" s="1"/>
  <c r="AJ25" i="13" s="1"/>
  <c r="AJ26" i="13" s="1"/>
  <c r="AJ27" i="13" s="1"/>
  <c r="AJ28" i="13" s="1"/>
  <c r="AJ29" i="13" s="1"/>
  <c r="AJ30" i="13" s="1"/>
  <c r="AJ31" i="13" s="1"/>
  <c r="AJ32" i="13" s="1"/>
  <c r="AJ33" i="13" s="1"/>
  <c r="AJ34" i="13" s="1"/>
  <c r="AJ35" i="13" s="1"/>
  <c r="AJ36" i="13" s="1"/>
  <c r="AK38" i="13"/>
  <c r="AO38" i="13" s="1"/>
  <c r="B48" i="13" l="1"/>
  <c r="B49" i="13" l="1"/>
  <c r="B50" i="13" l="1"/>
  <c r="V36" i="13"/>
  <c r="V10" i="13" l="1"/>
  <c r="V34" i="13"/>
  <c r="V30" i="13"/>
  <c r="V26" i="13"/>
  <c r="V22" i="13"/>
  <c r="V18" i="13"/>
  <c r="V14" i="13"/>
  <c r="V33" i="13"/>
  <c r="V29" i="13"/>
  <c r="V25" i="13"/>
  <c r="V21" i="13"/>
  <c r="V17" i="13"/>
  <c r="V13" i="13"/>
  <c r="V32" i="13"/>
  <c r="V28" i="13"/>
  <c r="V24" i="13"/>
  <c r="V20" i="13"/>
  <c r="V16" i="13"/>
  <c r="V12" i="13"/>
  <c r="V35" i="13"/>
  <c r="V31" i="13"/>
  <c r="V27" i="13"/>
  <c r="V23" i="13"/>
  <c r="V19" i="13"/>
  <c r="V15" i="13"/>
  <c r="V11" i="13"/>
  <c r="V8" i="13"/>
  <c r="V9" i="13"/>
  <c r="V7" i="13"/>
  <c r="B51" i="13"/>
  <c r="W4" i="13" l="1"/>
  <c r="AD35" i="13" s="1"/>
  <c r="B52" i="13"/>
  <c r="AT6" i="13" l="1" a="1"/>
  <c r="AU16" i="13" s="1"/>
  <c r="AU39" i="13"/>
  <c r="AU38" i="13"/>
  <c r="AU47" i="13"/>
  <c r="AU48" i="13"/>
  <c r="AU46" i="13"/>
  <c r="AU44" i="13"/>
  <c r="AU45" i="13"/>
  <c r="AU41" i="13"/>
  <c r="AU43" i="13"/>
  <c r="AU42" i="13"/>
  <c r="AU40" i="13"/>
  <c r="AU37" i="13"/>
  <c r="AD8" i="13"/>
  <c r="AD20" i="13"/>
  <c r="Z7" i="13"/>
  <c r="AD7" i="13"/>
  <c r="AD30" i="13"/>
  <c r="AD11" i="13"/>
  <c r="AD12" i="13"/>
  <c r="AD26" i="13"/>
  <c r="AD13" i="13"/>
  <c r="AD17" i="13"/>
  <c r="AD19" i="13"/>
  <c r="AD32" i="13"/>
  <c r="AD34" i="13"/>
  <c r="AD21" i="13"/>
  <c r="AD23" i="13"/>
  <c r="AD14" i="13"/>
  <c r="AD18" i="13"/>
  <c r="AD28" i="13"/>
  <c r="AD25" i="13"/>
  <c r="AD31" i="13"/>
  <c r="AD22" i="13"/>
  <c r="AD24" i="13"/>
  <c r="Z8" i="13"/>
  <c r="AD29" i="13"/>
  <c r="AD15" i="13"/>
  <c r="AD10" i="13"/>
  <c r="AD16" i="13"/>
  <c r="AD9" i="13"/>
  <c r="AD33" i="13"/>
  <c r="AD27" i="13"/>
  <c r="AD6" i="13"/>
  <c r="AK6" i="13"/>
  <c r="AV60" i="13"/>
  <c r="AV56" i="13"/>
  <c r="AV61" i="13"/>
  <c r="AV63" i="13"/>
  <c r="AV59" i="13"/>
  <c r="AV57" i="13"/>
  <c r="AV62" i="13"/>
  <c r="AV58" i="13"/>
  <c r="AV52" i="13"/>
  <c r="AV49" i="13"/>
  <c r="AV55" i="13"/>
  <c r="AV51" i="13"/>
  <c r="AV54" i="13"/>
  <c r="AV50" i="13"/>
  <c r="AV53" i="13"/>
  <c r="AV48" i="13"/>
  <c r="AV45" i="13"/>
  <c r="AV47" i="13"/>
  <c r="AV46" i="13"/>
  <c r="AV37" i="13"/>
  <c r="AV38" i="13"/>
  <c r="AV44" i="13"/>
  <c r="AV40" i="13"/>
  <c r="AV41" i="13"/>
  <c r="AV43" i="13"/>
  <c r="AV42" i="13"/>
  <c r="AV39" i="13"/>
  <c r="B53" i="13"/>
  <c r="AU36" i="13" l="1"/>
  <c r="AV36" i="13"/>
  <c r="AV18" i="13"/>
  <c r="AV32" i="13"/>
  <c r="AU18" i="13"/>
  <c r="AU26" i="13"/>
  <c r="AU34" i="13"/>
  <c r="AU12" i="13"/>
  <c r="AU19" i="13"/>
  <c r="AU29" i="13"/>
  <c r="AU35" i="13"/>
  <c r="AU8" i="13"/>
  <c r="AU14" i="13"/>
  <c r="AU20" i="13"/>
  <c r="AU24" i="13"/>
  <c r="AU22" i="13"/>
  <c r="AU9" i="13"/>
  <c r="AV14" i="13"/>
  <c r="AU31" i="13"/>
  <c r="AU21" i="13"/>
  <c r="AU10" i="13"/>
  <c r="AV16" i="13"/>
  <c r="AV21" i="13"/>
  <c r="AV12" i="13"/>
  <c r="AU11" i="13"/>
  <c r="AU25" i="13"/>
  <c r="AU7" i="13"/>
  <c r="AU33" i="13"/>
  <c r="AV23" i="13"/>
  <c r="AV35" i="13"/>
  <c r="AV13" i="13"/>
  <c r="AV34" i="13"/>
  <c r="AU27" i="13"/>
  <c r="AU30" i="13"/>
  <c r="AU23" i="13"/>
  <c r="AU17" i="13"/>
  <c r="AV22" i="13"/>
  <c r="AU15" i="13"/>
  <c r="AV28" i="13"/>
  <c r="AU32" i="13"/>
  <c r="AV11" i="13"/>
  <c r="AV26" i="13"/>
  <c r="AV17" i="13"/>
  <c r="AU28" i="13"/>
  <c r="AT6" i="13"/>
  <c r="AU6" i="13" s="1"/>
  <c r="AV33" i="13"/>
  <c r="AV7" i="13"/>
  <c r="AV24" i="13"/>
  <c r="AU13" i="13"/>
  <c r="AV10" i="13"/>
  <c r="AV15" i="13"/>
  <c r="AV19" i="13"/>
  <c r="AV31" i="13"/>
  <c r="AV9" i="13"/>
  <c r="AV25" i="13"/>
  <c r="AV20" i="13"/>
  <c r="AV27" i="13"/>
  <c r="AV29" i="13"/>
  <c r="AV30" i="13"/>
  <c r="AV8" i="13"/>
  <c r="Y8" i="13"/>
  <c r="AL6" i="13"/>
  <c r="AM6" i="13" s="1"/>
  <c r="AN6" i="13" s="1"/>
  <c r="AM4" i="13"/>
  <c r="AK7" i="13"/>
  <c r="AO6" i="13"/>
  <c r="AQ4" i="13" s="1"/>
  <c r="AE13" i="13"/>
  <c r="AE23" i="13"/>
  <c r="AE19" i="13"/>
  <c r="AE7" i="13"/>
  <c r="AE30" i="13"/>
  <c r="AE9" i="13"/>
  <c r="AE26" i="13"/>
  <c r="AE18" i="13"/>
  <c r="Z9" i="13"/>
  <c r="Y6" i="13" s="1"/>
  <c r="AE21" i="13"/>
  <c r="AE22" i="13"/>
  <c r="AE34" i="13"/>
  <c r="AE16" i="13"/>
  <c r="AE31" i="13"/>
  <c r="AE14" i="13"/>
  <c r="AE17" i="13"/>
  <c r="AE20" i="13"/>
  <c r="AE10" i="13"/>
  <c r="AE33" i="13"/>
  <c r="AE29" i="13"/>
  <c r="AE24" i="13"/>
  <c r="AE32" i="13"/>
  <c r="AE27" i="13"/>
  <c r="AE28" i="13"/>
  <c r="AE15" i="13"/>
  <c r="AE12" i="13"/>
  <c r="AE11" i="13"/>
  <c r="AE8" i="13"/>
  <c r="AE25" i="13"/>
  <c r="AE6" i="13"/>
  <c r="AE35" i="13"/>
  <c r="B54" i="13"/>
  <c r="AV6" i="13" l="1"/>
  <c r="AW58" i="13" s="1"/>
  <c r="AX12" i="13"/>
  <c r="AX172" i="13"/>
  <c r="AX13" i="13"/>
  <c r="AX27" i="13"/>
  <c r="AX144" i="13"/>
  <c r="AX22" i="13"/>
  <c r="AX24" i="13"/>
  <c r="AX20" i="13"/>
  <c r="AX14" i="13"/>
  <c r="AX59" i="13"/>
  <c r="AX122" i="13"/>
  <c r="AX66" i="13"/>
  <c r="AX49" i="13"/>
  <c r="AX72" i="13"/>
  <c r="AX199" i="13"/>
  <c r="AX53" i="13"/>
  <c r="AX50" i="13"/>
  <c r="AX77" i="13"/>
  <c r="AX25" i="13"/>
  <c r="AX188" i="13"/>
  <c r="AX191" i="13"/>
  <c r="AX124" i="13"/>
  <c r="AX80" i="13"/>
  <c r="AX48" i="13"/>
  <c r="AX171" i="13"/>
  <c r="AX134" i="13"/>
  <c r="AX105" i="13"/>
  <c r="AX42" i="13"/>
  <c r="AX181" i="13"/>
  <c r="AX142" i="13"/>
  <c r="AX182" i="13"/>
  <c r="AX173" i="13"/>
  <c r="AX165" i="13"/>
  <c r="AX75" i="13"/>
  <c r="AX137" i="13"/>
  <c r="AX10" i="13"/>
  <c r="AX106" i="13"/>
  <c r="AX73" i="13"/>
  <c r="AX35" i="13"/>
  <c r="AX113" i="13"/>
  <c r="AX154" i="13"/>
  <c r="AX193" i="13"/>
  <c r="AX140" i="13"/>
  <c r="AX116" i="13"/>
  <c r="AX91" i="13"/>
  <c r="AX101" i="13"/>
  <c r="AX131" i="13"/>
  <c r="AX45" i="13"/>
  <c r="AX166" i="13"/>
  <c r="AX190" i="13"/>
  <c r="AX109" i="13"/>
  <c r="AX162" i="13"/>
  <c r="AX174" i="13"/>
  <c r="AX130" i="13"/>
  <c r="AX40" i="13"/>
  <c r="AX164" i="13"/>
  <c r="AX180" i="13"/>
  <c r="AX177" i="13"/>
  <c r="AX120" i="13"/>
  <c r="AX135" i="13"/>
  <c r="AX92" i="13"/>
  <c r="AX184" i="13"/>
  <c r="AX84" i="13"/>
  <c r="AX152" i="13"/>
  <c r="AX65" i="13"/>
  <c r="AX85" i="13"/>
  <c r="AX138" i="13"/>
  <c r="AX179" i="13"/>
  <c r="AX141" i="13"/>
  <c r="AX70" i="13"/>
  <c r="AX94" i="13"/>
  <c r="AX98" i="13"/>
  <c r="AX176" i="13"/>
  <c r="AX96" i="13"/>
  <c r="AX161" i="13"/>
  <c r="AX31" i="13"/>
  <c r="AX54" i="13"/>
  <c r="AX19" i="13"/>
  <c r="AX32" i="13"/>
  <c r="AX107" i="13"/>
  <c r="AX95" i="13"/>
  <c r="AX26" i="13"/>
  <c r="AX82" i="13"/>
  <c r="AX16" i="13"/>
  <c r="AX115" i="13"/>
  <c r="AX21" i="13"/>
  <c r="AX156" i="13"/>
  <c r="AX57" i="13"/>
  <c r="AX6" i="13"/>
  <c r="AX175" i="13"/>
  <c r="AX121" i="13"/>
  <c r="AX86" i="13"/>
  <c r="AX102" i="13"/>
  <c r="AX17" i="13"/>
  <c r="AX167" i="13"/>
  <c r="AX74" i="13"/>
  <c r="AX7" i="13"/>
  <c r="AX189" i="13"/>
  <c r="AX153" i="13"/>
  <c r="AX148" i="13"/>
  <c r="AX110" i="13"/>
  <c r="AX9" i="13"/>
  <c r="AX79" i="13"/>
  <c r="AX196" i="13"/>
  <c r="AX11" i="13"/>
  <c r="AX178" i="13"/>
  <c r="AX87" i="13"/>
  <c r="AX112" i="13"/>
  <c r="AX104" i="13"/>
  <c r="AX60" i="13"/>
  <c r="AX159" i="13"/>
  <c r="AX33" i="13"/>
  <c r="AX129" i="13"/>
  <c r="AX29" i="13"/>
  <c r="AX15" i="13"/>
  <c r="AX200" i="13"/>
  <c r="AX151" i="13"/>
  <c r="AX36" i="13"/>
  <c r="AX119" i="13"/>
  <c r="AX186" i="13"/>
  <c r="AX99" i="13"/>
  <c r="AX58" i="13"/>
  <c r="AX46" i="13"/>
  <c r="AX88" i="13"/>
  <c r="AX149" i="13"/>
  <c r="AX157" i="13"/>
  <c r="AX67" i="13"/>
  <c r="AX55" i="13"/>
  <c r="AX69" i="13"/>
  <c r="AX198" i="13"/>
  <c r="AX63" i="13"/>
  <c r="AX133" i="13"/>
  <c r="AX44" i="13"/>
  <c r="AX43" i="13"/>
  <c r="AX128" i="13"/>
  <c r="AX18" i="13"/>
  <c r="AX108" i="13"/>
  <c r="AX93" i="13"/>
  <c r="AX34" i="13"/>
  <c r="AX163" i="13"/>
  <c r="AX147" i="13"/>
  <c r="AX125" i="13"/>
  <c r="AX41" i="13"/>
  <c r="AX150" i="13"/>
  <c r="AX64" i="13"/>
  <c r="AX136" i="13"/>
  <c r="AX155" i="13"/>
  <c r="AX169" i="13"/>
  <c r="AX100" i="13"/>
  <c r="AX62" i="13"/>
  <c r="AX192" i="13"/>
  <c r="AX197" i="13"/>
  <c r="AX183" i="13"/>
  <c r="AX68" i="13"/>
  <c r="AX139" i="13"/>
  <c r="AX52" i="13"/>
  <c r="AX8" i="13"/>
  <c r="AX103" i="13"/>
  <c r="AX97" i="13"/>
  <c r="AX30" i="13"/>
  <c r="AX38" i="13"/>
  <c r="AX39" i="13"/>
  <c r="AX118" i="13"/>
  <c r="AX194" i="13"/>
  <c r="AX132" i="13"/>
  <c r="AX47" i="13"/>
  <c r="AX127" i="13"/>
  <c r="AX71" i="13"/>
  <c r="AX90" i="13"/>
  <c r="AX126" i="13"/>
  <c r="AX123" i="13"/>
  <c r="AX158" i="13"/>
  <c r="AX170" i="13"/>
  <c r="AX117" i="13"/>
  <c r="AX61" i="13"/>
  <c r="AX28" i="13"/>
  <c r="AX195" i="13"/>
  <c r="AX78" i="13"/>
  <c r="AX23" i="13"/>
  <c r="AX185" i="13"/>
  <c r="AX160" i="13"/>
  <c r="AX111" i="13"/>
  <c r="AX51" i="13"/>
  <c r="AX187" i="13"/>
  <c r="AX145" i="13"/>
  <c r="AX143" i="13"/>
  <c r="AX76" i="13"/>
  <c r="AX83" i="13"/>
  <c r="AX114" i="13"/>
  <c r="AX146" i="13"/>
  <c r="AX168" i="13"/>
  <c r="AX89" i="13"/>
  <c r="AX37" i="13"/>
  <c r="AX81" i="13"/>
  <c r="AX56" i="13"/>
  <c r="Y7" i="13"/>
  <c r="AP6" i="13"/>
  <c r="AQ6" i="13" s="1"/>
  <c r="AK8" i="13"/>
  <c r="AL8" i="13" s="1"/>
  <c r="AL7" i="13"/>
  <c r="AM7" i="13" s="1"/>
  <c r="AN7" i="13" s="1"/>
  <c r="D8" i="13"/>
  <c r="AO7" i="13"/>
  <c r="AR6" i="13"/>
  <c r="AG10" i="13" a="1"/>
  <c r="AG10" i="13" s="1"/>
  <c r="Q18" i="13" s="1" a="1"/>
  <c r="Q18" i="13" s="1"/>
  <c r="AH10" i="13" a="1"/>
  <c r="AH10" i="13" s="1"/>
  <c r="S18" i="13" s="1" a="1"/>
  <c r="S18" i="13" s="1"/>
  <c r="AG7" i="13" a="1"/>
  <c r="AG7" i="13" s="1"/>
  <c r="Q12" i="13" s="1" a="1"/>
  <c r="Q12" i="13" s="1"/>
  <c r="AH7" i="13" a="1"/>
  <c r="AH7" i="13" s="1"/>
  <c r="S12" i="13" s="1" a="1"/>
  <c r="S12" i="13" s="1"/>
  <c r="AG6" i="13" a="1"/>
  <c r="AG6" i="13" s="1"/>
  <c r="Q10" i="13" s="1" a="1"/>
  <c r="Q10" i="13" s="1"/>
  <c r="AH6" i="13" a="1"/>
  <c r="AH6" i="13" s="1"/>
  <c r="S10" i="13" s="1" a="1"/>
  <c r="S10" i="13" s="1"/>
  <c r="AG8" i="13" a="1"/>
  <c r="AG8" i="13" s="1"/>
  <c r="Q14" i="13" s="1" a="1"/>
  <c r="Q14" i="13" s="1"/>
  <c r="AH9" i="13" a="1"/>
  <c r="AH9" i="13" s="1"/>
  <c r="S16" i="13" s="1" a="1"/>
  <c r="S16" i="13" s="1"/>
  <c r="AH8" i="13" a="1"/>
  <c r="AH8" i="13" s="1"/>
  <c r="S14" i="13" s="1" a="1"/>
  <c r="S14" i="13" s="1"/>
  <c r="AG9" i="13" a="1"/>
  <c r="AG9" i="13" s="1"/>
  <c r="Q16" i="13" s="1" a="1"/>
  <c r="Q16" i="13" s="1"/>
  <c r="AW69" i="13"/>
  <c r="AW83" i="13"/>
  <c r="AW148" i="13"/>
  <c r="AW158" i="13"/>
  <c r="AW94" i="13"/>
  <c r="AW135" i="13"/>
  <c r="AW150" i="13"/>
  <c r="AW46" i="13"/>
  <c r="AW59" i="13"/>
  <c r="AW27" i="13"/>
  <c r="AW106" i="13"/>
  <c r="AW121" i="13"/>
  <c r="AW78" i="13"/>
  <c r="AW165" i="13"/>
  <c r="AW95" i="13"/>
  <c r="AW151" i="13"/>
  <c r="AW104" i="13"/>
  <c r="AW196" i="13"/>
  <c r="AW110" i="13"/>
  <c r="AW13" i="13"/>
  <c r="AW200" i="13"/>
  <c r="AW184" i="13"/>
  <c r="AW137" i="13"/>
  <c r="AW79" i="13"/>
  <c r="AW15" i="13"/>
  <c r="AW188" i="13"/>
  <c r="AW36" i="13"/>
  <c r="AW37" i="13"/>
  <c r="AW29" i="13"/>
  <c r="AW55" i="13"/>
  <c r="AW16" i="13"/>
  <c r="AW101" i="13"/>
  <c r="AW195" i="13"/>
  <c r="AW72" i="13"/>
  <c r="AW134" i="13"/>
  <c r="AW155" i="13"/>
  <c r="AW44" i="13"/>
  <c r="AW169" i="13"/>
  <c r="AW14" i="13"/>
  <c r="AW171" i="13"/>
  <c r="AW24" i="13"/>
  <c r="AW90" i="13"/>
  <c r="AW139" i="13"/>
  <c r="AW111" i="13"/>
  <c r="AW11" i="13"/>
  <c r="AW123" i="13"/>
  <c r="AW182" i="13"/>
  <c r="AW136" i="13"/>
  <c r="AW100" i="13"/>
  <c r="AW142" i="13"/>
  <c r="AW23" i="13"/>
  <c r="AW39" i="13"/>
  <c r="AW34" i="13"/>
  <c r="AW115" i="13"/>
  <c r="AW65" i="13"/>
  <c r="AW154" i="13"/>
  <c r="AW88" i="13"/>
  <c r="AW17" i="13"/>
  <c r="AW31" i="13"/>
  <c r="AW166" i="13"/>
  <c r="AW75" i="13"/>
  <c r="AW45" i="13"/>
  <c r="AW47" i="13"/>
  <c r="AW89" i="13"/>
  <c r="AW97" i="13"/>
  <c r="AW186" i="13"/>
  <c r="AW82" i="13"/>
  <c r="AW156" i="13"/>
  <c r="AW162" i="13"/>
  <c r="AW120" i="13"/>
  <c r="AW181" i="13"/>
  <c r="AW113" i="13"/>
  <c r="AW99" i="13"/>
  <c r="AW48" i="13"/>
  <c r="AW35" i="13"/>
  <c r="AW87" i="13"/>
  <c r="AW38" i="13"/>
  <c r="AW76" i="13"/>
  <c r="AW128" i="13"/>
  <c r="AW21" i="13"/>
  <c r="AW177" i="13"/>
  <c r="AW190" i="13"/>
  <c r="AW32" i="13"/>
  <c r="AW180" i="13"/>
  <c r="AW81" i="13"/>
  <c r="AW147" i="13"/>
  <c r="AW189" i="13"/>
  <c r="AW91" i="13"/>
  <c r="AW126" i="13"/>
  <c r="AW122" i="13"/>
  <c r="AW145" i="13"/>
  <c r="AW163" i="13"/>
  <c r="AW193" i="13"/>
  <c r="AW164" i="13"/>
  <c r="AW28" i="13"/>
  <c r="AW124" i="13"/>
  <c r="AW173" i="13"/>
  <c r="AW85" i="13"/>
  <c r="AW67" i="13"/>
  <c r="AW84" i="13"/>
  <c r="AW53" i="13"/>
  <c r="AW157" i="13"/>
  <c r="AW62" i="13"/>
  <c r="AW74" i="13"/>
  <c r="AW57" i="13"/>
  <c r="AW119" i="13"/>
  <c r="AW51" i="13"/>
  <c r="AW132" i="13"/>
  <c r="AW49" i="13"/>
  <c r="AW112" i="13"/>
  <c r="AW168" i="13"/>
  <c r="AW108" i="13"/>
  <c r="AW73" i="13"/>
  <c r="AW130" i="13"/>
  <c r="AW149" i="13"/>
  <c r="AW172" i="13"/>
  <c r="AW152" i="13"/>
  <c r="AW114" i="13"/>
  <c r="AW77" i="13"/>
  <c r="AW10" i="13"/>
  <c r="AW146" i="13"/>
  <c r="AW8" i="13"/>
  <c r="AW118" i="13"/>
  <c r="AW160" i="13"/>
  <c r="AW129" i="13"/>
  <c r="AW6" i="13"/>
  <c r="AW116" i="13"/>
  <c r="AW66" i="13"/>
  <c r="AW167" i="13"/>
  <c r="AW170" i="13"/>
  <c r="AW174" i="13"/>
  <c r="AW54" i="13"/>
  <c r="AW109" i="13"/>
  <c r="AW43" i="13"/>
  <c r="AW30" i="13"/>
  <c r="AW20" i="13"/>
  <c r="AW102" i="13"/>
  <c r="AW60" i="13"/>
  <c r="AW42" i="13"/>
  <c r="AW138" i="13"/>
  <c r="AW140" i="13"/>
  <c r="AW107" i="13"/>
  <c r="AW161" i="13"/>
  <c r="AW192" i="13"/>
  <c r="AW22" i="13"/>
  <c r="AW41" i="13"/>
  <c r="AW191" i="13"/>
  <c r="AW197" i="13"/>
  <c r="AW98" i="13"/>
  <c r="AW26" i="13"/>
  <c r="AW61" i="13"/>
  <c r="AW198" i="13"/>
  <c r="AW93" i="13"/>
  <c r="AW117" i="13"/>
  <c r="AW56" i="13"/>
  <c r="AW179" i="13"/>
  <c r="AW183" i="13"/>
  <c r="AW7" i="13"/>
  <c r="AW12" i="13"/>
  <c r="AW33" i="13"/>
  <c r="AW9" i="13"/>
  <c r="AW144" i="13"/>
  <c r="AW52" i="13"/>
  <c r="AW86" i="13"/>
  <c r="AW64" i="13"/>
  <c r="AW176" i="13"/>
  <c r="AW80" i="13"/>
  <c r="AW159" i="13"/>
  <c r="AW71" i="13"/>
  <c r="AW194" i="13"/>
  <c r="AW25" i="13"/>
  <c r="AW185" i="13"/>
  <c r="AW92" i="13"/>
  <c r="AW68" i="13"/>
  <c r="AW50" i="13"/>
  <c r="AW70" i="13"/>
  <c r="AW125" i="13"/>
  <c r="AW18" i="13"/>
  <c r="AW105" i="13"/>
  <c r="AW153" i="13"/>
  <c r="AW127" i="13"/>
  <c r="AW96" i="13"/>
  <c r="AW19" i="13"/>
  <c r="AW40" i="13"/>
  <c r="AW141" i="13"/>
  <c r="AW187" i="13"/>
  <c r="AW131" i="13"/>
  <c r="AW103" i="13"/>
  <c r="AW178" i="13"/>
  <c r="AW175" i="13"/>
  <c r="AW63" i="13"/>
  <c r="AW133" i="13"/>
  <c r="AW199" i="13"/>
  <c r="AW143" i="13"/>
  <c r="B55" i="13"/>
  <c r="S47" i="13" l="1" a="1"/>
  <c r="S47" i="13" s="1"/>
  <c r="M47" i="13" a="1"/>
  <c r="M47" i="13" s="1"/>
  <c r="Q47" i="13" s="1" a="1"/>
  <c r="Q47" i="13" s="1"/>
  <c r="M53" i="13" a="1"/>
  <c r="M53" i="13" s="1"/>
  <c r="Q53" i="13" s="1" a="1"/>
  <c r="Q53" i="13" s="1"/>
  <c r="S53" i="13" a="1"/>
  <c r="S53" i="13" s="1"/>
  <c r="S48" i="13" a="1"/>
  <c r="S48" i="13" s="1"/>
  <c r="M48" i="13" a="1"/>
  <c r="M48" i="13" s="1"/>
  <c r="Q48" i="13" s="1" a="1"/>
  <c r="Q48" i="13" s="1"/>
  <c r="M50" i="13" a="1"/>
  <c r="M50" i="13" s="1"/>
  <c r="Q50" i="13" s="1" a="1"/>
  <c r="Q50" i="13" s="1"/>
  <c r="S52" i="13" a="1"/>
  <c r="S52" i="13" s="1"/>
  <c r="M52" i="13" a="1"/>
  <c r="M52" i="13" s="1"/>
  <c r="Q52" i="13" s="1" a="1"/>
  <c r="Q52" i="13" s="1"/>
  <c r="S51" i="13" a="1"/>
  <c r="S51" i="13" s="1"/>
  <c r="M49" i="13" a="1"/>
  <c r="M49" i="13" s="1"/>
  <c r="Q49" i="13" s="1" a="1"/>
  <c r="Q49" i="13" s="1"/>
  <c r="M51" i="13" a="1"/>
  <c r="M51" i="13" s="1"/>
  <c r="Q51" i="13" s="1" a="1"/>
  <c r="Q51" i="13" s="1"/>
  <c r="S50" i="13" a="1"/>
  <c r="S50" i="13" s="1"/>
  <c r="AK9" i="13"/>
  <c r="AL9" i="13" s="1"/>
  <c r="AM9" i="13" s="1"/>
  <c r="S49" i="13" a="1"/>
  <c r="S49" i="13" s="1"/>
  <c r="S54" i="13" a="1"/>
  <c r="S54" i="13" s="1"/>
  <c r="AN8" i="13"/>
  <c r="M54" i="13" a="1"/>
  <c r="M54" i="13" s="1"/>
  <c r="Q54" i="13" s="1" a="1"/>
  <c r="Q54" i="13" s="1"/>
  <c r="AM8" i="13"/>
  <c r="AR7" i="13"/>
  <c r="AP7" i="13"/>
  <c r="AQ7" i="13" s="1"/>
  <c r="AO8" i="13"/>
  <c r="AG11" i="13"/>
  <c r="Q20" i="13" s="1" a="1"/>
  <c r="Q20" i="13" s="1"/>
  <c r="AH11" i="13"/>
  <c r="AH12" i="13" s="1"/>
  <c r="G47" i="13" a="1"/>
  <c r="G47" i="13" s="1"/>
  <c r="D50" i="13" a="1"/>
  <c r="D50" i="13" s="1"/>
  <c r="D49" i="13" a="1"/>
  <c r="D49" i="13" s="1"/>
  <c r="I49" i="13" a="1"/>
  <c r="I49" i="13" s="1"/>
  <c r="G54" i="13" a="1"/>
  <c r="G54" i="13" s="1"/>
  <c r="D51" i="13" a="1"/>
  <c r="D51" i="13" s="1"/>
  <c r="D53" i="13" a="1"/>
  <c r="D53" i="13" s="1"/>
  <c r="I54" i="13" a="1"/>
  <c r="I54" i="13" s="1"/>
  <c r="G49" i="13" a="1"/>
  <c r="G49" i="13" s="1"/>
  <c r="D48" i="13" a="1"/>
  <c r="D48" i="13" s="1"/>
  <c r="I48" i="13" a="1"/>
  <c r="I48" i="13" s="1"/>
  <c r="D54" i="13" a="1"/>
  <c r="D54" i="13" s="1"/>
  <c r="G51" i="13" a="1"/>
  <c r="G51" i="13" s="1"/>
  <c r="G48" i="13" a="1"/>
  <c r="G48" i="13" s="1"/>
  <c r="G52" i="13" a="1"/>
  <c r="G52" i="13" s="1"/>
  <c r="I53" i="13" a="1"/>
  <c r="I53" i="13" s="1"/>
  <c r="G50" i="13" a="1"/>
  <c r="G50" i="13" s="1"/>
  <c r="I52" i="13" a="1"/>
  <c r="I52" i="13" s="1"/>
  <c r="I51" i="13" a="1"/>
  <c r="I51" i="13" s="1"/>
  <c r="D52" i="13" a="1"/>
  <c r="D52" i="13" s="1"/>
  <c r="G53" i="13" a="1"/>
  <c r="G53" i="13" s="1"/>
  <c r="I50" i="13" a="1"/>
  <c r="I50" i="13" s="1"/>
  <c r="D47" i="13" a="1"/>
  <c r="D47" i="13" s="1"/>
  <c r="I47" i="13" a="1"/>
  <c r="I47" i="13" s="1"/>
  <c r="M55" i="13" a="1"/>
  <c r="M55" i="13" s="1"/>
  <c r="Q55" i="13" s="1" a="1"/>
  <c r="Q55" i="13" s="1"/>
  <c r="S55" i="13" a="1"/>
  <c r="S55" i="13" s="1"/>
  <c r="I55" i="13" a="1"/>
  <c r="I55" i="13" s="1"/>
  <c r="G55" i="13" a="1"/>
  <c r="G55" i="13" s="1"/>
  <c r="D55" i="13" a="1"/>
  <c r="D55" i="13" s="1"/>
  <c r="B56" i="13"/>
  <c r="AK10" i="13" l="1"/>
  <c r="AL10" i="13" s="1"/>
  <c r="AM10" i="13" s="1"/>
  <c r="AN9" i="13"/>
  <c r="S20" i="13" a="1"/>
  <c r="S20" i="13" s="1"/>
  <c r="S22" i="13" s="1"/>
  <c r="M8" i="13" s="1"/>
  <c r="AR8" i="13"/>
  <c r="AP8" i="13"/>
  <c r="AQ8" i="13" s="1"/>
  <c r="AO9" i="13"/>
  <c r="S56" i="13" a="1"/>
  <c r="S56" i="13" s="1"/>
  <c r="M56" i="13" a="1"/>
  <c r="M56" i="13" s="1"/>
  <c r="Q56" i="13" s="1" a="1"/>
  <c r="Q56" i="13" s="1"/>
  <c r="D56" i="13" a="1"/>
  <c r="D56" i="13" s="1"/>
  <c r="I56" i="13" a="1"/>
  <c r="I56" i="13" s="1"/>
  <c r="G56" i="13" a="1"/>
  <c r="G56" i="13" s="1"/>
  <c r="AK11" i="13" l="1"/>
  <c r="AL11" i="13" s="1"/>
  <c r="AM11" i="13" s="1"/>
  <c r="AN11" i="13" s="1"/>
  <c r="AN10" i="13"/>
  <c r="AP9" i="13"/>
  <c r="AQ9" i="13" s="1"/>
  <c r="AR9" i="13"/>
  <c r="AO10" i="13"/>
  <c r="AK12" i="13" l="1"/>
  <c r="AL12" i="13" s="1"/>
  <c r="AM12" i="13" s="1"/>
  <c r="AN12" i="13" s="1"/>
  <c r="AP10" i="13"/>
  <c r="AQ10" i="13" s="1"/>
  <c r="AO11" i="13"/>
  <c r="AR10" i="13"/>
  <c r="AK13" i="13" l="1"/>
  <c r="AL13" i="13" s="1"/>
  <c r="AR11" i="13"/>
  <c r="AP11" i="13"/>
  <c r="AQ11" i="13" s="1"/>
  <c r="AO12" i="13"/>
  <c r="AM13" i="13" l="1"/>
  <c r="AK14" i="13"/>
  <c r="AL14" i="13" s="1"/>
  <c r="AM14" i="13" s="1"/>
  <c r="AN13" i="13"/>
  <c r="AR12" i="13"/>
  <c r="AP12" i="13"/>
  <c r="AQ12" i="13" s="1"/>
  <c r="AO13" i="13"/>
  <c r="AN14" i="13" l="1"/>
  <c r="AK15" i="13"/>
  <c r="AL15" i="13" s="1"/>
  <c r="AR13" i="13"/>
  <c r="AP13" i="13"/>
  <c r="AQ13" i="13" s="1"/>
  <c r="AO14" i="13"/>
  <c r="AM15" i="13" l="1"/>
  <c r="AN15" i="13"/>
  <c r="AK16" i="13"/>
  <c r="AL16" i="13" s="1"/>
  <c r="AR14" i="13"/>
  <c r="AP14" i="13"/>
  <c r="AQ14" i="13" s="1"/>
  <c r="AO15" i="13"/>
  <c r="AM16" i="13" l="1"/>
  <c r="AN16" i="13"/>
  <c r="AK17" i="13"/>
  <c r="AL17" i="13" s="1"/>
  <c r="AR15" i="13"/>
  <c r="AP15" i="13"/>
  <c r="AQ15" i="13" s="1"/>
  <c r="AO16" i="13"/>
  <c r="AN17" i="13" l="1"/>
  <c r="AM17" i="13"/>
  <c r="AK18" i="13"/>
  <c r="AL18" i="13" s="1"/>
  <c r="AR16" i="13"/>
  <c r="AP16" i="13"/>
  <c r="AQ16" i="13" s="1"/>
  <c r="AO17" i="13"/>
  <c r="AN18" i="13" l="1"/>
  <c r="AK19" i="13"/>
  <c r="AL19" i="13" s="1"/>
  <c r="AM18" i="13"/>
  <c r="AR17" i="13"/>
  <c r="AP17" i="13"/>
  <c r="AQ17" i="13" s="1"/>
  <c r="AO18" i="13"/>
  <c r="AN19" i="13" l="1"/>
  <c r="AM19" i="13"/>
  <c r="AK20" i="13"/>
  <c r="AL20" i="13" s="1"/>
  <c r="AR18" i="13"/>
  <c r="AO19" i="13"/>
  <c r="AP19" i="13" s="1"/>
  <c r="AP18" i="13"/>
  <c r="AQ18" i="13" s="1"/>
  <c r="AM20" i="13" l="1"/>
  <c r="AN20" i="13"/>
  <c r="AK21" i="13"/>
  <c r="AL21" i="13" s="1"/>
  <c r="AO20" i="13"/>
  <c r="AP20" i="13" s="1"/>
  <c r="AQ20" i="13" s="1"/>
  <c r="AR19" i="13"/>
  <c r="AQ19" i="13"/>
  <c r="AM21" i="13" l="1"/>
  <c r="AN21" i="13"/>
  <c r="AK22" i="13"/>
  <c r="AL22" i="13" s="1"/>
  <c r="AR20" i="13"/>
  <c r="AO21" i="13"/>
  <c r="AP21" i="13" s="1"/>
  <c r="AM22" i="13" l="1"/>
  <c r="AN22" i="13"/>
  <c r="AK23" i="13"/>
  <c r="AL23" i="13" s="1"/>
  <c r="AR21" i="13"/>
  <c r="AQ21" i="13"/>
  <c r="AO22" i="13"/>
  <c r="AP22" i="13" s="1"/>
  <c r="AN23" i="13" l="1"/>
  <c r="AM23" i="13"/>
  <c r="AK24" i="13"/>
  <c r="AL24" i="13" s="1"/>
  <c r="AO23" i="13"/>
  <c r="AP23" i="13" s="1"/>
  <c r="AR22" i="13"/>
  <c r="AQ22" i="13"/>
  <c r="AN24" i="13" l="1"/>
  <c r="AM24" i="13"/>
  <c r="AK25" i="13"/>
  <c r="AL25" i="13" s="1"/>
  <c r="AR23" i="13"/>
  <c r="AQ23" i="13"/>
  <c r="AO24" i="13"/>
  <c r="AP24" i="13" s="1"/>
  <c r="AM25" i="13" l="1"/>
  <c r="AN25" i="13" s="1"/>
  <c r="AK26" i="13"/>
  <c r="AL26" i="13" s="1"/>
  <c r="AO25" i="13"/>
  <c r="AP25" i="13" s="1"/>
  <c r="AR24" i="13"/>
  <c r="AQ24" i="13"/>
  <c r="AM26" i="13" l="1"/>
  <c r="AN26" i="13"/>
  <c r="AK27" i="13"/>
  <c r="AL27" i="13" s="1"/>
  <c r="AR25" i="13"/>
  <c r="AO26" i="13"/>
  <c r="AP26" i="13" s="1"/>
  <c r="AQ25" i="13"/>
  <c r="AN27" i="13" l="1"/>
  <c r="AM27" i="13"/>
  <c r="AK28" i="13"/>
  <c r="AL28" i="13" s="1"/>
  <c r="AM28" i="13" s="1"/>
  <c r="AR26" i="13"/>
  <c r="AO27" i="13"/>
  <c r="AP27" i="13" s="1"/>
  <c r="AQ26" i="13"/>
  <c r="AN28" i="13" l="1"/>
  <c r="AK29" i="13"/>
  <c r="AL29" i="13" s="1"/>
  <c r="AM29" i="13" s="1"/>
  <c r="AO28" i="13"/>
  <c r="AP28" i="13" s="1"/>
  <c r="AR27" i="13"/>
  <c r="AQ27" i="13"/>
  <c r="AN29" i="13" l="1"/>
  <c r="AK30" i="13"/>
  <c r="AL30" i="13" s="1"/>
  <c r="AM30" i="13" s="1"/>
  <c r="AO29" i="13"/>
  <c r="AP29" i="13" s="1"/>
  <c r="AR28" i="13"/>
  <c r="AQ28" i="13"/>
  <c r="AN30" i="13" l="1"/>
  <c r="AK31" i="13"/>
  <c r="AL31" i="13" s="1"/>
  <c r="AR29" i="13"/>
  <c r="AO30" i="13"/>
  <c r="AP30" i="13" s="1"/>
  <c r="AQ29" i="13"/>
  <c r="AM31" i="13" l="1"/>
  <c r="AK32" i="13"/>
  <c r="AL32" i="13" s="1"/>
  <c r="AN31" i="13"/>
  <c r="AR30" i="13"/>
  <c r="AO31" i="13"/>
  <c r="AP31" i="13" s="1"/>
  <c r="AQ31" i="13" s="1"/>
  <c r="AQ30" i="13"/>
  <c r="AN32" i="13" l="1"/>
  <c r="AM32" i="13"/>
  <c r="AK33" i="13"/>
  <c r="AL33" i="13" s="1"/>
  <c r="AR31" i="13"/>
  <c r="AO32" i="13"/>
  <c r="AP32" i="13" s="1"/>
  <c r="AK34" i="13" l="1"/>
  <c r="AL34" i="13" s="1"/>
  <c r="AM33" i="13"/>
  <c r="AN33" i="13"/>
  <c r="AR32" i="13"/>
  <c r="AO33" i="13"/>
  <c r="AP33" i="13" s="1"/>
  <c r="AQ32" i="13"/>
  <c r="AK35" i="13" l="1"/>
  <c r="AL35" i="13" s="1"/>
  <c r="AM35" i="13" s="1"/>
  <c r="AN35" i="13" s="1"/>
  <c r="AM34" i="13"/>
  <c r="AN34" i="13" s="1"/>
  <c r="AR33" i="13"/>
  <c r="AQ33" i="13"/>
  <c r="AO34" i="13"/>
  <c r="AP34" i="13" s="1"/>
  <c r="AK36" i="13" l="1"/>
  <c r="AO35" i="13"/>
  <c r="AP35" i="13" s="1"/>
  <c r="AQ35" i="13" s="1"/>
  <c r="AR35" i="13" s="1"/>
  <c r="AQ34" i="13"/>
  <c r="AR34" i="13" s="1"/>
  <c r="AM38" i="13" a="1"/>
  <c r="AM38" i="13" s="1"/>
  <c r="AL36" i="13"/>
  <c r="AK41" i="13"/>
  <c r="AM36" i="13"/>
  <c r="AN36" i="13" s="1"/>
  <c r="AO36" i="13" l="1"/>
  <c r="AQ38" i="13" s="1" a="1"/>
  <c r="AQ38" i="13" s="1"/>
  <c r="AK39" i="13" s="1"/>
  <c r="AM41" i="13" a="1"/>
  <c r="AM41" i="13" s="1"/>
  <c r="AO41" i="13" l="1"/>
  <c r="AP36" i="13"/>
  <c r="AQ36" i="13" s="1"/>
  <c r="AR36" i="13" s="1"/>
  <c r="AQ41" i="13" l="1" a="1"/>
  <c r="AQ41" i="13" s="1"/>
  <c r="AK42" i="13" s="1"/>
  <c r="D28"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<sst xmlns="http://schemas.openxmlformats.org/spreadsheetml/2006/main" count="6741" uniqueCount="1584">
  <si>
    <t>Snapshot</t>
  </si>
  <si>
    <t>Choose month below</t>
  </si>
  <si>
    <t>See your spending trends month over month with easy to read graphs. To switch months, click on the blue date box to the right.</t>
  </si>
  <si>
    <t>Monthly Summary</t>
  </si>
  <si>
    <t>Category</t>
  </si>
  <si>
    <t>Count</t>
  </si>
  <si>
    <t>Rank</t>
  </si>
  <si>
    <t>Order</t>
  </si>
  <si>
    <t>$</t>
  </si>
  <si>
    <t>Display Axis</t>
  </si>
  <si>
    <t>Current Mon.</t>
  </si>
  <si>
    <t>Max Date</t>
  </si>
  <si>
    <t>Last Mon.</t>
  </si>
  <si>
    <t>Merchants</t>
  </si>
  <si>
    <t>Trans Count</t>
  </si>
  <si>
    <t>Trans Rank</t>
  </si>
  <si>
    <t>$ Rank</t>
  </si>
  <si>
    <t>Input</t>
  </si>
  <si>
    <t>Month Filter</t>
  </si>
  <si>
    <t>Current vs. previous month spending</t>
  </si>
  <si>
    <t>This month's top spending categories</t>
  </si>
  <si>
    <t>Difference</t>
  </si>
  <si>
    <t>Total</t>
  </si>
  <si>
    <t>Cumulative spending throughout month</t>
  </si>
  <si>
    <t>Frequented merchants</t>
  </si>
  <si>
    <t>Merchants where the most was spent</t>
  </si>
  <si>
    <t>Merchant</t>
  </si>
  <si>
    <t>Transactions</t>
  </si>
  <si>
    <r>
      <t xml:space="preserve">Transactions from your added accounts are automatically imported here. Click </t>
    </r>
    <r>
      <rPr>
        <b/>
        <sz val="12"/>
        <color theme="1" tint="0.249977111117893"/>
        <rFont val="Calibri"/>
        <family val="2"/>
        <scheme val="minor"/>
      </rPr>
      <t>Update</t>
    </r>
    <r>
      <rPr>
        <sz val="12"/>
        <color theme="1" tint="0.249977111117893"/>
        <rFont val="Calibri"/>
        <family val="2"/>
        <scheme val="minor"/>
      </rPr>
      <t xml:space="preserve"> in the task pane to import more transactions. Edit the </t>
    </r>
    <r>
      <rPr>
        <b/>
        <sz val="12"/>
        <color theme="1" tint="0.249977111117893"/>
        <rFont val="Calibri"/>
        <family val="2"/>
        <scheme val="minor"/>
      </rPr>
      <t>Merchant</t>
    </r>
    <r>
      <rPr>
        <sz val="12"/>
        <color theme="1" tint="0.249977111117893"/>
        <rFont val="Calibri"/>
        <family val="2"/>
        <scheme val="minor"/>
      </rPr>
      <t xml:space="preserve"> and </t>
    </r>
    <r>
      <rPr>
        <b/>
        <sz val="12"/>
        <color theme="1" tint="0.249977111117893"/>
        <rFont val="Calibri"/>
        <family val="2"/>
        <scheme val="minor"/>
      </rPr>
      <t>Category</t>
    </r>
    <r>
      <rPr>
        <sz val="12"/>
        <color theme="1" tint="0.249977111117893"/>
        <rFont val="Calibri"/>
        <family val="2"/>
        <scheme val="minor"/>
      </rPr>
      <t xml:space="preserve"> columns to better reflect where and how you spend your money.</t>
    </r>
  </si>
  <si>
    <t>Date</t>
  </si>
  <si>
    <t>Amount $</t>
  </si>
  <si>
    <t>Account</t>
  </si>
  <si>
    <t>Account Number</t>
  </si>
  <si>
    <t>Institution</t>
  </si>
  <si>
    <t>Transaction_ID</t>
  </si>
  <si>
    <t>Account_ID</t>
  </si>
  <si>
    <t>Institution_ID</t>
  </si>
  <si>
    <t>Category Type</t>
  </si>
  <si>
    <t>Date_Day</t>
  </si>
  <si>
    <t>Date_Month</t>
  </si>
  <si>
    <t>Date_Year</t>
  </si>
  <si>
    <t>Beginning of Week</t>
  </si>
  <si>
    <t>Month</t>
  </si>
  <si>
    <t>Categories</t>
  </si>
  <si>
    <t>Create and edit categories in the blue cells (below the default categories) to fit your specific financial needs. Make transactions glanceable across every sheet.</t>
  </si>
  <si>
    <t>Id</t>
  </si>
  <si>
    <t>Category Name</t>
  </si>
  <si>
    <t>Yes / No</t>
  </si>
  <si>
    <t>Full Categories</t>
  </si>
  <si>
    <t>Clean Categories</t>
  </si>
  <si>
    <t>Income</t>
  </si>
  <si>
    <t>Refund</t>
  </si>
  <si>
    <t>Transfer</t>
  </si>
  <si>
    <t>Auto/Transport</t>
  </si>
  <si>
    <t>Expense</t>
  </si>
  <si>
    <t>Bills/Utilities</t>
  </si>
  <si>
    <t>Entertainment</t>
  </si>
  <si>
    <t>Fees/Charges</t>
  </si>
  <si>
    <t>Groceries</t>
  </si>
  <si>
    <t>Health/Fitness</t>
  </si>
  <si>
    <t>Home</t>
  </si>
  <si>
    <t>Misc</t>
  </si>
  <si>
    <t>Mortgage/Rent</t>
  </si>
  <si>
    <t>Payment</t>
  </si>
  <si>
    <t>Professional Services</t>
  </si>
  <si>
    <t>Restaurants/Dining</t>
  </si>
  <si>
    <t>Shopping</t>
  </si>
  <si>
    <t>Travel</t>
  </si>
  <si>
    <t>Uncategorized</t>
  </si>
  <si>
    <t>June 2020</t>
  </si>
  <si>
    <t>Total spending</t>
  </si>
  <si>
    <t>Total cost</t>
  </si>
  <si>
    <r>
      <t xml:space="preserve">
Default categories
</t>
    </r>
    <r>
      <rPr>
        <sz val="12"/>
        <color theme="1" tint="0.249977111117893"/>
        <rFont val="Calibri"/>
        <family val="2"/>
        <scheme val="minor"/>
      </rPr>
      <t>These categories cannot be edited.</t>
    </r>
  </si>
  <si>
    <r>
      <t xml:space="preserve">
Custom categories
</t>
    </r>
    <r>
      <rPr>
        <sz val="12"/>
        <color theme="1" tint="0.249977111117893"/>
        <rFont val="Calibri"/>
        <family val="2"/>
        <scheme val="minor"/>
      </rPr>
      <t>Add your own categories in column D and set the category type in column E.</t>
    </r>
    <r>
      <rPr>
        <b/>
        <sz val="16"/>
        <color theme="1" tint="0.249977111117893"/>
        <rFont val="Calibri"/>
        <family val="2"/>
        <scheme val="minor"/>
      </rPr>
      <t xml:space="preserve">
</t>
    </r>
    <r>
      <rPr>
        <sz val="12"/>
        <color theme="1" tint="0.249977111117893"/>
        <rFont val="Calibri"/>
        <family val="2"/>
        <scheme val="minor"/>
      </rPr>
      <t xml:space="preserve">
We'll remove duplicate categories automatically.</t>
    </r>
  </si>
  <si>
    <t>Column1</t>
  </si>
  <si>
    <t>ID</t>
  </si>
  <si>
    <t>Category name</t>
  </si>
  <si>
    <t>Category type</t>
  </si>
  <si>
    <t>Default</t>
  </si>
  <si>
    <t>Subcategory name</t>
  </si>
  <si>
    <t>Category ID</t>
  </si>
  <si>
    <t>Add custom categories and subcategories below, then assign them to your transactions in the transactions sheet. You can only edit or delete the categories and subcategories you've added.</t>
  </si>
  <si>
    <t>Add custom categories in the empty rows below the default categories.
Make sure to select expenses, income, or transfers under category type.</t>
  </si>
  <si>
    <t>Subcategories</t>
  </si>
  <si>
    <t>To add custom subcategories in the table below, select a category from the
dropdown menu and add the related subcategory in the next column.</t>
  </si>
  <si>
    <t>Institution name</t>
  </si>
  <si>
    <t>Institution nickname</t>
  </si>
  <si>
    <t>Institution ID</t>
  </si>
  <si>
    <t>Account#</t>
  </si>
  <si>
    <t>Account name</t>
  </si>
  <si>
    <t>Account nickname</t>
  </si>
  <si>
    <t>Subcategory</t>
  </si>
  <si>
    <t>ea384fdcbf004c91a2b37c336a74368a</t>
  </si>
  <si>
    <t>Principal Financial Group - Participant Logon</t>
  </si>
  <si>
    <t>90bb019b232a41839a8b1ee417c22781</t>
  </si>
  <si>
    <t>TD Ameritrade</t>
  </si>
  <si>
    <t>8bea4ec256a4491cb9bcafd4029691c5</t>
  </si>
  <si>
    <t>Wells Fargo</t>
  </si>
  <si>
    <t>1047e720dc9c4e08a5a78dcd4ad86b97</t>
  </si>
  <si>
    <t>Robinhood</t>
  </si>
  <si>
    <t>6dc51233b6fb471d952c564dcf5dce13</t>
  </si>
  <si>
    <t>Discover</t>
  </si>
  <si>
    <t>febeaf892c0d42ca953f873555a77366</t>
  </si>
  <si>
    <t>5568</t>
  </si>
  <si>
    <t>Sean Lewis</t>
  </si>
  <si>
    <t>21141238982c4fb29d514707963012ad</t>
  </si>
  <si>
    <t>4951</t>
  </si>
  <si>
    <t>Brokerage Account - 4951</t>
  </si>
  <si>
    <t>3f579d95c4b947338c4b835b7035b14c</t>
  </si>
  <si>
    <t>4636</t>
  </si>
  <si>
    <t>EVERYDAY CHECKING</t>
  </si>
  <si>
    <t>36960db26bba4391860647c82c94f97b</t>
  </si>
  <si>
    <t>4480</t>
  </si>
  <si>
    <t>Checking - 4480</t>
  </si>
  <si>
    <t>4e6bb00cf0324f5aa6b6988462123810</t>
  </si>
  <si>
    <t>Brokerage Account - 4480</t>
  </si>
  <si>
    <t>c0ea6fc12dab42a6995744767fe779bd</t>
  </si>
  <si>
    <t>7328</t>
  </si>
  <si>
    <t>Discover it chrome Card</t>
  </si>
  <si>
    <t>Home Depot</t>
  </si>
  <si>
    <t>Cvs</t>
  </si>
  <si>
    <t>Mcdonald's</t>
  </si>
  <si>
    <t>Apps</t>
  </si>
  <si>
    <t>Netflix</t>
  </si>
  <si>
    <t>Spotify</t>
  </si>
  <si>
    <t>Five Guys</t>
  </si>
  <si>
    <t>Education</t>
  </si>
  <si>
    <t>Gas</t>
  </si>
  <si>
    <t>Exxonmobil</t>
  </si>
  <si>
    <t>T Mobile</t>
  </si>
  <si>
    <t>Steam Games</t>
  </si>
  <si>
    <t>Investment</t>
  </si>
  <si>
    <t>Government</t>
  </si>
  <si>
    <t>Taco Bell</t>
  </si>
  <si>
    <t>Chipotle Mexican Grill</t>
  </si>
  <si>
    <t>Sunoco</t>
  </si>
  <si>
    <t>Target</t>
  </si>
  <si>
    <t>Best Buy</t>
  </si>
  <si>
    <t>Amazon Prime</t>
  </si>
  <si>
    <t>Uber</t>
  </si>
  <si>
    <t>Chick Fil A</t>
  </si>
  <si>
    <t>Starbucks</t>
  </si>
  <si>
    <t>Shell</t>
  </si>
  <si>
    <t>Popeyes</t>
  </si>
  <si>
    <t>Citgo</t>
  </si>
  <si>
    <t>7 Eleven</t>
  </si>
  <si>
    <t>Safeway</t>
  </si>
  <si>
    <t>Blizzard Entertainment</t>
  </si>
  <si>
    <t>Dunkin' Donuts</t>
  </si>
  <si>
    <t>Burger King</t>
  </si>
  <si>
    <t>Ihop</t>
  </si>
  <si>
    <t>c0719b622f4546f1b497c50df9768cb0</t>
  </si>
  <si>
    <t>89f91b72f72a4dd68a16b583d4720595</t>
  </si>
  <si>
    <t>4144f48502914015b998277a326fcedc</t>
  </si>
  <si>
    <t>176bb18879794c26920d3f8de43e9847</t>
  </si>
  <si>
    <t>ca8ac7c19b84437194c3fe5508eb8bda</t>
  </si>
  <si>
    <t>de9b1d2511bc45a9bb2d484aa9e33b31</t>
  </si>
  <si>
    <t>75e762f3a92a4fdc84f7e263d1d6f29a</t>
  </si>
  <si>
    <t>9fa283df10474311b55af8d4cf39d146</t>
  </si>
  <si>
    <t>1c7ed344fd3c47f1b0c4926eb05c305c</t>
  </si>
  <si>
    <t>cc336735a5324e28bf4f3414f7548cf1</t>
  </si>
  <si>
    <t>fabfe582932d48b78ac2846c1ec3d43f</t>
  </si>
  <si>
    <t>63ce88a532384b29bb84b6dda00d978b</t>
  </si>
  <si>
    <t>Savings</t>
  </si>
  <si>
    <t>013119218f2e4bdd86aa9097992873f8</t>
  </si>
  <si>
    <t>0c9f3488736a4d97bd78b9c29fbb29fb</t>
  </si>
  <si>
    <t>0613345f0a8b4edfb294d0fdc6fe7382</t>
  </si>
  <si>
    <t>31cc220e25c84daf9b641cfb0e376681</t>
  </si>
  <si>
    <t>23fe5da83519415dae0687f037d51b09</t>
  </si>
  <si>
    <t>6385c1768b814d3d89087c436c9cab15</t>
  </si>
  <si>
    <t>fca5dd8329b743f7b77704e23a1e63ad</t>
  </si>
  <si>
    <t>3dafc6bd8d7c45ae9840ff09e01567d1</t>
  </si>
  <si>
    <t>1c99e2ba30f14dbfb79dfa7d009e0924</t>
  </si>
  <si>
    <t>e428eb09b5454450b5ffff66b9b935be</t>
  </si>
  <si>
    <t>01a08ee0780d41da979351ef7694e331</t>
  </si>
  <si>
    <t>0223204f73754797a10ae9c56a61ed0d</t>
  </si>
  <si>
    <t>SunTrust - Online Banking</t>
  </si>
  <si>
    <t>0ced1dbbb4a747578f3268aacbdce68e</t>
  </si>
  <si>
    <t>5413</t>
  </si>
  <si>
    <t>Checking</t>
  </si>
  <si>
    <t>Atm Cash Withdrawal Aspen</t>
  </si>
  <si>
    <t>985572e216794b238fa7213245412ee0</t>
  </si>
  <si>
    <t>Electronic Debit Transamerica Ins</t>
  </si>
  <si>
    <t>8f8a985455a44a4ea7676fcc75a84c51</t>
  </si>
  <si>
    <t>Recurring Check Card Purchase</t>
  </si>
  <si>
    <t>5eba4e9093fe4a9f99d838f562920cbd</t>
  </si>
  <si>
    <t>ee49fc1d1a9243b58afc9b778fb8afac</t>
  </si>
  <si>
    <t>539dad513aac4b72a195f704cd2d6ca4</t>
  </si>
  <si>
    <t>ede53e3ac5064dc1a5c3dad531e6647b</t>
  </si>
  <si>
    <t>Cinnabon</t>
  </si>
  <si>
    <t>4dd1e4b6530548948e5422244c00fed8</t>
  </si>
  <si>
    <t>6a91c9cd36f142ed96634e1f701a58f6</t>
  </si>
  <si>
    <t>fd7d2fd0c9ca4bd9ab4782bc4771e628</t>
  </si>
  <si>
    <t>Point Of Sale Debit</t>
  </si>
  <si>
    <t>3821a77aaba34a279fe744b4121cce26</t>
  </si>
  <si>
    <t>7b73ea380fe54ba8b6cf0298c5a4e78a</t>
  </si>
  <si>
    <t>Electronic Credit TreasXxciv Serv</t>
  </si>
  <si>
    <t>54e8ad2e0b5345eb9ae1a55dd18e6af1</t>
  </si>
  <si>
    <t>c14a70a441874b8e92631eb9e5c5fa0e</t>
  </si>
  <si>
    <t>Check Card Purchase Doordash</t>
  </si>
  <si>
    <t>04469cc0eef84f99bc31af90addc09a5</t>
  </si>
  <si>
    <t>fe763b27e7a74bc1bf7275c2f6ee4689</t>
  </si>
  <si>
    <t>Electronic Debit Tran Life</t>
  </si>
  <si>
    <t>c38f820354294b1a957ffc140fb39628</t>
  </si>
  <si>
    <t>7d178a80f8af49bf999ba24998279a49</t>
  </si>
  <si>
    <t>985512882cf04985b6e8621a677db323</t>
  </si>
  <si>
    <t>232e72d80fe54495b95f931871148019</t>
  </si>
  <si>
    <t>874ba8558c5743f8932edc83ab55636b</t>
  </si>
  <si>
    <t>Electronic Debit Shen Life</t>
  </si>
  <si>
    <t>75734cfd9599403d8814a1851cc921ed</t>
  </si>
  <si>
    <t>fa7cc132d6a841a4a0f1a418601c8029</t>
  </si>
  <si>
    <t>Jcpenney</t>
  </si>
  <si>
    <t>ca04f881db3d485a84a088b7865bc1d0</t>
  </si>
  <si>
    <t>abef10e296c4468a806a4fb4e1d89351</t>
  </si>
  <si>
    <t>Check Card Purchase Credit</t>
  </si>
  <si>
    <t>8a79fa0e1b1b49538d02767bde554049</t>
  </si>
  <si>
    <t>Check Card Purchase Paymentus</t>
  </si>
  <si>
    <t>cfae36df30b845a8866fe937401c674a</t>
  </si>
  <si>
    <t>cf725d9371154abdb1f78adfe7face0e</t>
  </si>
  <si>
    <t>abf41b635db64d4c8e4e2a2c597a893c</t>
  </si>
  <si>
    <t>7f51e9ca55df46b2b49c2947dd6b2607</t>
  </si>
  <si>
    <t>adc3ae7ed32c4151bf58ba460db39a59</t>
  </si>
  <si>
    <t>Check Card Purchase Cash</t>
  </si>
  <si>
    <t>8e4361d668af48c6bf3f2cc65071b52c</t>
  </si>
  <si>
    <t>b30760886a5a4fc397e37ba8784aa396</t>
  </si>
  <si>
    <t>7677f0a893c748889d82f99ea948b58e</t>
  </si>
  <si>
    <t>53104d032c5c43f78482b1b699aea344</t>
  </si>
  <si>
    <t>Check Card Purchase Speedy</t>
  </si>
  <si>
    <t>b32c980a106c4d7e9214394288673681</t>
  </si>
  <si>
    <t>Pizza Hut</t>
  </si>
  <si>
    <t>d603bae6b772436da97fb38a861f1310</t>
  </si>
  <si>
    <t>f9d4823e82904ceb8f1a9985151de90b</t>
  </si>
  <si>
    <t>b2ef088fb4214be4a515acc2551b1f49</t>
  </si>
  <si>
    <t>178f88eaf7644fe5ab3db03ea354a96b</t>
  </si>
  <si>
    <t>1f8bc8b486de4555bfd331476f536a54</t>
  </si>
  <si>
    <t>545b102e653546d2b8f2abb06042a05d</t>
  </si>
  <si>
    <t>78cac52806cf431680c314cd093c7c4a</t>
  </si>
  <si>
    <t>41eb0fed9469494c90eeeeb124721b83</t>
  </si>
  <si>
    <t>10b107e64c1a4cadbb2bed58327cc9dd</t>
  </si>
  <si>
    <t>b99a05ce5377458bbb7c0e8aac58c082</t>
  </si>
  <si>
    <t>10b0139091b947bb8979a8c993ede152</t>
  </si>
  <si>
    <t>62eaf0260524444796a6d359a05e9e98</t>
  </si>
  <si>
    <t>3c867d58075b405b91d82154ef6c216b</t>
  </si>
  <si>
    <t>86b848574a10456987ddea4d47e34cc4</t>
  </si>
  <si>
    <t>72cab8fb3d114af9a9ba23275c666aec</t>
  </si>
  <si>
    <t>f5aa6b1a454f4c25bc454ffd59fbf3db</t>
  </si>
  <si>
    <t>a74dc07777554cf9951c27a16ce5bcb4</t>
  </si>
  <si>
    <t>Check Card Purchase Subway</t>
  </si>
  <si>
    <t>4659ffaced4e46f49b9624d08087dded</t>
  </si>
  <si>
    <t>Check</t>
  </si>
  <si>
    <t>7de2794737d94ca685fc173588e17f5a</t>
  </si>
  <si>
    <t>3a5eb4659fa3474893c02c8b2b23d69e</t>
  </si>
  <si>
    <t>8b8584785b2a43fb8a2da68dd868de20</t>
  </si>
  <si>
    <t>604fd5d5e82a4f599ee2efbb9aa0676a</t>
  </si>
  <si>
    <t>952eadc9558b4c4e9755aa366df8d05f</t>
  </si>
  <si>
    <t>707dd2bdf0fa46d3b3274f6ef42da936</t>
  </si>
  <si>
    <t>a68f7d5f99114799b4fdabc21a5bde7f</t>
  </si>
  <si>
    <t>5da6daa3ece747599e58180673b75cf5</t>
  </si>
  <si>
    <t>26dbdc9117c64d11a7789903ccaad71a</t>
  </si>
  <si>
    <t>9bb694e236294e7d99858a677ba9baac</t>
  </si>
  <si>
    <t>2b8395634e4b45248681c588b5152932</t>
  </si>
  <si>
    <t>6d1b1a3350444562bc1ba358f61caac7</t>
  </si>
  <si>
    <t>7dc8627f57ca46e790c937adb6de8f92</t>
  </si>
  <si>
    <t>f8695a62efb74b2b8e7fca3efd513ebb</t>
  </si>
  <si>
    <t>c25f7a9c37b04b329487d784e6c97a45</t>
  </si>
  <si>
    <t>24ba5191f19b4a3a98a364cac691ceeb</t>
  </si>
  <si>
    <t>e12fe6a6d99242949aeff61cadd925e0</t>
  </si>
  <si>
    <t>89632165a1644b3aa358f87a35b12f2e</t>
  </si>
  <si>
    <t>78fd9abf59284b59ad6e0e37c26b2867</t>
  </si>
  <si>
    <t>9233323f13db464a82b02a74daa43ac4</t>
  </si>
  <si>
    <t>98b533d36f394920b973fb9a263aed23</t>
  </si>
  <si>
    <t>6c263f0a51724baf8d3e0a7291554abf</t>
  </si>
  <si>
    <t>4e2e83d238ad433b91001d6a05d4f976</t>
  </si>
  <si>
    <t>8976868bb1934179b375c6dec5119e02</t>
  </si>
  <si>
    <t>56ab4f23c1474c418aae4625fe828ff0</t>
  </si>
  <si>
    <t>0185d84ba10346018bc2491939b9c02d</t>
  </si>
  <si>
    <t>b038f27eac734c11a7f71f90ee38b8a3</t>
  </si>
  <si>
    <t>c80c9045ec6940d0b02c4e0a3df79d8a</t>
  </si>
  <si>
    <t>486b84ad48c54023bd3a2b804982fc27</t>
  </si>
  <si>
    <t>44fc4d774bf64a54812a105e31b85545</t>
  </si>
  <si>
    <t>23b6f548d84242c3a49ad9cc42f0046b</t>
  </si>
  <si>
    <t>e9a9168786cb4e89a77c900d3c4bdbe1</t>
  </si>
  <si>
    <t>3b1bf730ebde4066bb26f91f05144d6a</t>
  </si>
  <si>
    <t>d8cc0082d0484840b81cd5b50976f8ec</t>
  </si>
  <si>
    <t>Electronic Debit Chase Credit</t>
  </si>
  <si>
    <t>500c50ee3b73449fb1202e2466edfb8d</t>
  </si>
  <si>
    <t>5016bd761ad54560abb553ba133d5f79</t>
  </si>
  <si>
    <t>91411052754f46a0acd3be14290a58ca</t>
  </si>
  <si>
    <t>e1044c9eb89e440b8f6c9902f0b9da98</t>
  </si>
  <si>
    <t>eef15d77372b437f95aa9329f11ddeef</t>
  </si>
  <si>
    <t>1a44d3cb09094bcb9e0344b10526f00f</t>
  </si>
  <si>
    <t>93893e6d1b314c3dba1797ed2c75adb8</t>
  </si>
  <si>
    <t>3ee3cb32f26b41b18d101c678cc3c9a4</t>
  </si>
  <si>
    <t>62648ab8c8f349a9817390b5162d924a</t>
  </si>
  <si>
    <t>afbf54459ddf4035b69bb32bd1dc2b7b</t>
  </si>
  <si>
    <t>Check Card Purchase Patient</t>
  </si>
  <si>
    <t>a7773659dd064a3390a45dcef91e5ad6</t>
  </si>
  <si>
    <t>9f7cb3f1369a4e81a37b977d0efc4a1d</t>
  </si>
  <si>
    <t>5b0e1b1bd5cf43ce98bc05fd7566b2b1</t>
  </si>
  <si>
    <t>d3e7cd22b5ef4532acd5c8be924f3ee6</t>
  </si>
  <si>
    <t>fef4539725e841bfb1c385f13a0a4f51</t>
  </si>
  <si>
    <t>6982fb11d9914577a514ec37484eb58d</t>
  </si>
  <si>
    <t>55c753c8f8234ef2a9700345b5f99838</t>
  </si>
  <si>
    <t>516ca240b3b14b8d8732c0a9b28de703</t>
  </si>
  <si>
    <t>be84ec14120f49799d7d53b0d1ca2763</t>
  </si>
  <si>
    <t>1d627e85260d47849d516f8b250e634d</t>
  </si>
  <si>
    <t>1e613d54d4834df78bcbcf21478f4f25</t>
  </si>
  <si>
    <t>eff7495aa971403aaf292aafaec73e76</t>
  </si>
  <si>
    <t>6321f6a516864c2e90fd47e484972225</t>
  </si>
  <si>
    <t>138087ed2dbd4f46b0e7244445489317</t>
  </si>
  <si>
    <t>31c99eb41d174a9ea0cd59734df708d9</t>
  </si>
  <si>
    <t>d8879f2504a64dddb4ec7a189eb3c28e</t>
  </si>
  <si>
    <t>6e0b0dfbf42042d9b6574cd8486956bf</t>
  </si>
  <si>
    <t>Electronic Debit Kohl S</t>
  </si>
  <si>
    <t>be0c28ff73494e5fbf845560ed39ab91</t>
  </si>
  <si>
    <t>Smoothie King</t>
  </si>
  <si>
    <t>dbd1564b236e4c0ea9212d044f13650e</t>
  </si>
  <si>
    <t>3e64a673d85a472a9b381e79f73b4cea</t>
  </si>
  <si>
    <t>dd6f27c4bfb843d4aef65cf496be2188</t>
  </si>
  <si>
    <t>622373c37c2b4211b70257f86a71834f</t>
  </si>
  <si>
    <t>Kmart</t>
  </si>
  <si>
    <t>4e85539034c34335bd48d2f4d6b357b5</t>
  </si>
  <si>
    <t>6de3b0c9569a4f5a863ef976ead2b55e</t>
  </si>
  <si>
    <t>26f51f5aec48422db7fb8da4ab529f25</t>
  </si>
  <si>
    <t>Check Card Purchase Mid</t>
  </si>
  <si>
    <t>3e6a9b6a0b744cd1851d1f64b04e162c</t>
  </si>
  <si>
    <t>b5a77fda1b9e472e91316bcd7cc4b740</t>
  </si>
  <si>
    <t>aefc835efe6341878aa74e1056c67ecd</t>
  </si>
  <si>
    <t>3e387f79f94444a1bdfa4d82e6569508</t>
  </si>
  <si>
    <t>d28e32ce3a494456898805a6907d680b</t>
  </si>
  <si>
    <t>fc4cf24dbdb34195a6f7d0bf7ea334d4</t>
  </si>
  <si>
    <t>73a181be3481431882401e2d534cc132</t>
  </si>
  <si>
    <t>38033dc3a29a4b52bb35ca43170dbf61</t>
  </si>
  <si>
    <t>7996f7e58c734b53b145a9b377a59c17</t>
  </si>
  <si>
    <t>4bc0e4501f544b419a21591f414c122c</t>
  </si>
  <si>
    <t>57273dc416984c6f972c54f63a36e2df</t>
  </si>
  <si>
    <t>528ea75deb934c7fa25bbe7ec2e4c44f</t>
  </si>
  <si>
    <t>8647b6c11181418da49b623fbf80c1d4</t>
  </si>
  <si>
    <t>8f8c8896a623405a9301568f48c7bc2c</t>
  </si>
  <si>
    <t>9b15bb8bfa2e4779b837f3aa2abfaefe</t>
  </si>
  <si>
    <t>beda3e32a4ea446d85bfb91f503e9d91</t>
  </si>
  <si>
    <t>a300bded25094c7eaf6940c39309a316</t>
  </si>
  <si>
    <t>4eca8808aaf945f28180b17b2886bede</t>
  </si>
  <si>
    <t>d4b19f5ac8434de0a1712b474b65e632</t>
  </si>
  <si>
    <t>bdd7f39ecf604f6fad859215c7247744</t>
  </si>
  <si>
    <t>15fa7118ffcb4cf096021fc70414a816</t>
  </si>
  <si>
    <t>eb109dc6e10c458bb3cc3f77b58b41de</t>
  </si>
  <si>
    <t>fc5ca436a1e844dea9b4d7fb94c8e78a</t>
  </si>
  <si>
    <t>bd3c3d17ad7147a192fa81e3cec65b60</t>
  </si>
  <si>
    <t>316a586554124366be2fbe20cc1045d3</t>
  </si>
  <si>
    <t>cdf791a5ffa8476583893d763771db44</t>
  </si>
  <si>
    <t>dfeb1ded37034ad5a894f0b8d3ae3172</t>
  </si>
  <si>
    <t>d212f428e9c940e1863194f6920aa140</t>
  </si>
  <si>
    <t>d65543cfd73c445a81aaa2061ec56ce9</t>
  </si>
  <si>
    <t>b0b8ab0e3aa04b76b3ba451874f8c8ad</t>
  </si>
  <si>
    <t>Check Card Purchase Kfc</t>
  </si>
  <si>
    <t>2131688c21f443bea90b50d6b9c4e7d4</t>
  </si>
  <si>
    <t>f0c336d9de5240f9829b209a055a1ae7</t>
  </si>
  <si>
    <t>Overdraft Item Fee For</t>
  </si>
  <si>
    <t>3ef1650cf57343c18d3305a1d67c7218</t>
  </si>
  <si>
    <t>Point Of Sale Credit</t>
  </si>
  <si>
    <t>f3ed098b8d6349febb43ae796d906c4d</t>
  </si>
  <si>
    <t>062c47d486b64141b38f682c965c5186</t>
  </si>
  <si>
    <t>Check Card Purchase Cricket</t>
  </si>
  <si>
    <t>4db111d050bc4f43b18aaa12601bb668</t>
  </si>
  <si>
    <t>cd419c264ba84dd2962a18e84e441857</t>
  </si>
  <si>
    <t>7c8d97d1e0554beba9c5d9b0ca3fe59d</t>
  </si>
  <si>
    <t>dd81ae92f77b48fd925bb96e6a40a1f9</t>
  </si>
  <si>
    <t>1918086351b548c998d6014a8bcff969</t>
  </si>
  <si>
    <t>06c7c2887cd1424182d56a9c52bde5be</t>
  </si>
  <si>
    <t>f9cf4424aff7429a9335a910396ac67b</t>
  </si>
  <si>
    <t>7d6c490a4edb4ac4817fdbb5dec5c19e</t>
  </si>
  <si>
    <t>81b0114cc64a481c85175adeb57ab7ef</t>
  </si>
  <si>
    <t>49b83b740efd41229c8ad445cc5de965</t>
  </si>
  <si>
    <t>1009b0f4b25a4e7d83a89e74ebaca2f4</t>
  </si>
  <si>
    <t>c95e6933ef11439ca426ed14f82ebb3a</t>
  </si>
  <si>
    <t>04abb323090341e7b3ce72e2b8a49d5e</t>
  </si>
  <si>
    <t>cf07f2925b864bfbbbedca6851292c00</t>
  </si>
  <si>
    <t>2ea3371f99d04bcdab58482fa9c27541</t>
  </si>
  <si>
    <t>999f3516ff3540868e748f024fd12c3c</t>
  </si>
  <si>
    <t>6deb8faf3398401c967de2e6c0323d5b</t>
  </si>
  <si>
    <t>9e3aa85a937f48498abac4cdf85c6dab</t>
  </si>
  <si>
    <t>17e8111ed44b4f1881214a0e14c27342</t>
  </si>
  <si>
    <t>625fc50007e94dc49baab93d456a316f</t>
  </si>
  <si>
    <t>f2acc5f14bfe43e3a46560c3150e6b58</t>
  </si>
  <si>
    <t>4da24e7d927840cba3cf8630480202bb</t>
  </si>
  <si>
    <t>589b2029731647b8b45592693d854e61</t>
  </si>
  <si>
    <t>800bbf15e63941ed8ee09e67467ad274</t>
  </si>
  <si>
    <t>615585d85c3246179a2d716c329273ce</t>
  </si>
  <si>
    <t>5f642d8a2f2e400aa8af5e87e5537c49</t>
  </si>
  <si>
    <t>b240ff22407a4484a3abefadfe6e3f92</t>
  </si>
  <si>
    <t>a3b2f8bac31d4bf8a59bccd0d6c912ce</t>
  </si>
  <si>
    <t>d5ba882603874bf68eeaad8708d3c9c1</t>
  </si>
  <si>
    <t>1cd39fe0a57d4bcfaed13df3f473a740</t>
  </si>
  <si>
    <t>3edb033ff5414b37a1675f05dc3c928f</t>
  </si>
  <si>
    <t>1e1721804fdd4b39952201a975e2c160</t>
  </si>
  <si>
    <t>a4f80069b222479e8139ec55b17724df</t>
  </si>
  <si>
    <t>49c3dd395e95420d84c3e922b80dd7a4</t>
  </si>
  <si>
    <t>55612e2ef1c64515a100a6dad6261f78</t>
  </si>
  <si>
    <t>4080000b4dc3447292d00ef32757ef5a</t>
  </si>
  <si>
    <t>3cfa9e1b8d72455b8060ecc125d6b68a</t>
  </si>
  <si>
    <t>1f6a4071649d40a09fda2e509e458c39</t>
  </si>
  <si>
    <t>e749e959d5e6477a80efa11899fb5f68</t>
  </si>
  <si>
    <t>f4cfbf6c50694b15b24fdc007b2db105</t>
  </si>
  <si>
    <t>0ddcec30cbe64e0997564dfad1bf9133</t>
  </si>
  <si>
    <t>a6691abffe644bc7a3063b2a2e673464</t>
  </si>
  <si>
    <t>743dde59bac942e58ce691b78233ad23</t>
  </si>
  <si>
    <t>Atm Cash Withdrawal Glen</t>
  </si>
  <si>
    <t>1afd3b44f6b94e3893ab78eca402bc6f</t>
  </si>
  <si>
    <t>8b707fca59aa47f4b72d72d9a0172f2b</t>
  </si>
  <si>
    <t>82afe20de3d34167bd6adc5d255273ca</t>
  </si>
  <si>
    <t>493bd1fc4ace45bcbe89e6a5a28f1f57</t>
  </si>
  <si>
    <t>a6a89c2262084878af9d42b9b3c602ea</t>
  </si>
  <si>
    <t>e45afa64513a43b8928af39b26367752</t>
  </si>
  <si>
    <t>b4087e9a2b3e4f3f8f01045910f3c0da</t>
  </si>
  <si>
    <t>7d65a994082f42fda9506618eb8f7454</t>
  </si>
  <si>
    <t>826e3884d842452f97cd2d24d2d7741f</t>
  </si>
  <si>
    <t>912c28f42a6f441baf3ef2b26bf17bb5</t>
  </si>
  <si>
    <t>4ae900e93ddd40499e821606000f0bd6</t>
  </si>
  <si>
    <t>2bafaf5cd34a473fb27d7ba0146c4cd4</t>
  </si>
  <si>
    <t>f5e9c0c583874243a361a1061a452256</t>
  </si>
  <si>
    <t>6bdf49ebe2b94d1db95fd86117c46b66</t>
  </si>
  <si>
    <t>e7f610624a374bafa8427bc732522d3e</t>
  </si>
  <si>
    <t>6dfdbbb952d649c7b5a63d052db2ea4c</t>
  </si>
  <si>
    <t>937494d210e44f0798d10a2c37037632</t>
  </si>
  <si>
    <t>33638682af4245bfbcfc57fd9cfd2f9d</t>
  </si>
  <si>
    <t>75c3b325660f4191ba8fac061652b0e6</t>
  </si>
  <si>
    <t>e8ac3ad6e75547b4862d94ab22d719c5</t>
  </si>
  <si>
    <t>6293cf12e23d48feb354d14ca14deb0a</t>
  </si>
  <si>
    <t>0be81df1ae2d4686a691439e8e690c9f</t>
  </si>
  <si>
    <t>6cca2e282f6f4dbfa4cc9b3686d8cd68</t>
  </si>
  <si>
    <t>3e25270562654d9dba686ae585f2e920</t>
  </si>
  <si>
    <t>b2bcafd10e6040d2b1292752a935a014</t>
  </si>
  <si>
    <t>4f2452632da844f4b106283542face1b</t>
  </si>
  <si>
    <t>5fe8ef63572c420f94755ccf24156723</t>
  </si>
  <si>
    <t>5458f0150e7f453d893b3da8ca2b151d</t>
  </si>
  <si>
    <t>19c06bda333144f29e106a9ca0c0c6f7</t>
  </si>
  <si>
    <t>c3e1b2a699f04c2a8960957655c75e8c</t>
  </si>
  <si>
    <t>abbaaa189aa140a28f01beea23adcfbf</t>
  </si>
  <si>
    <t>de0fb3a9b6c54ab783b5279ac12a089a</t>
  </si>
  <si>
    <t>f6113609611d45c2b11a4e25a6c1b0bc</t>
  </si>
  <si>
    <t>a9b4796d5c4741c98c34584fe66f7bbd</t>
  </si>
  <si>
    <t>867a4af8d7294290892698d7336fbaa4</t>
  </si>
  <si>
    <t>f251fcfb22594b9db668a041ba56d40f</t>
  </si>
  <si>
    <t>0b2a5a30232c4871b7fee7fb376cc0a1</t>
  </si>
  <si>
    <t>dda74e962a8a4bf4b942b44775c7778c</t>
  </si>
  <si>
    <t>c706ccb74e8f48d08264d7b16bdda036</t>
  </si>
  <si>
    <t>3064cfe76fbc48adaf6da3206a185630</t>
  </si>
  <si>
    <t>effd6f2441694650bbdeedef5d82ed9b</t>
  </si>
  <si>
    <t>da870c48f93d4a29916dcae199ebe947</t>
  </si>
  <si>
    <t>8426e036540645a2afa05e686ff942c5</t>
  </si>
  <si>
    <t>ce18a40fa93b4ee89f41bcad244e1c76</t>
  </si>
  <si>
    <t>e65cecff7bfd4212896620a9ceffa356</t>
  </si>
  <si>
    <t>d1150eb987364b469abd967439b12fdd</t>
  </si>
  <si>
    <t>159334c6684d44d5970303d0b8bf30ff</t>
  </si>
  <si>
    <t>14698df41c284aafad0dd6ccbae95f0c</t>
  </si>
  <si>
    <t>ec90a217b81c4538adfa695823702022</t>
  </si>
  <si>
    <t>54b56977035a4f74a7a21b4704b6488d</t>
  </si>
  <si>
    <t>13fd116f4e62460981d71f0bbe349add</t>
  </si>
  <si>
    <t>c34e38200fe749729359e5f2ecc0c6ff</t>
  </si>
  <si>
    <t>6d8b1b93d8174ec8afac1db512775075</t>
  </si>
  <si>
    <t>df501d7b98fc400e9ba5bf80944fb232</t>
  </si>
  <si>
    <t>c92eb3f16260415e8993df8a7babd079</t>
  </si>
  <si>
    <t>dd36195a335544f7ade7a3612032a4d3</t>
  </si>
  <si>
    <t>9c05e1f672254f7eac05d746c5afdf01</t>
  </si>
  <si>
    <t>Electronic Debit Mariner Finance</t>
  </si>
  <si>
    <t>1fc6f986cead458ca23f12a5fbbb6dd8</t>
  </si>
  <si>
    <t>5ae43b1828df40f2bca04711f8428dee</t>
  </si>
  <si>
    <t>40998a1ef87c42b9b9d452f8612bb994</t>
  </si>
  <si>
    <t>8e0caacff8d548cda7119e8436bf7940</t>
  </si>
  <si>
    <t>92c57f108a7343e7bc3cb69516ce8cde</t>
  </si>
  <si>
    <t>3a52f8e697a74816894abf4761562399</t>
  </si>
  <si>
    <t>ee1a0c25c1464f7fa8f16bf2ae67654f</t>
  </si>
  <si>
    <t>dab0fbc077354d66a8a1a38da3bb2694</t>
  </si>
  <si>
    <t>56e5400dce7d4ab08cdf2e88a5fca9b4</t>
  </si>
  <si>
    <t>56298af2c50b4c21b962f8dbe78cf246</t>
  </si>
  <si>
    <t>b0b0df90b2894e9a89c80f8ee8c25e45</t>
  </si>
  <si>
    <t>b2aad586f03e477c9b381920cb6be2f0</t>
  </si>
  <si>
    <t>f84116e4eb9747b7bdc89d4b02de238e</t>
  </si>
  <si>
    <t>25608419a651435e951e5d968febb6a0</t>
  </si>
  <si>
    <t>aeeea13ef75f4221aad90becd8764b14</t>
  </si>
  <si>
    <t>f891b9275a6f4960a1a838177d10b428</t>
  </si>
  <si>
    <t>914fcbe548f04a86ba66dd78dc019408</t>
  </si>
  <si>
    <t>7d2d54af9b75445d97efae46412dec0b</t>
  </si>
  <si>
    <t>b8ca65a4b29343bb92e515aca3b2cfa7</t>
  </si>
  <si>
    <t>dc07eec8be1246079dfb6f8f76c61208</t>
  </si>
  <si>
    <t>Atm Deposit</t>
  </si>
  <si>
    <t>9f4d671f1b644643ac019d6089dd5195</t>
  </si>
  <si>
    <t>24de737a18934deab499a509bbf14c5f</t>
  </si>
  <si>
    <t>df8ccef8698742d38098126cdcfc17c9</t>
  </si>
  <si>
    <t>4dc9fb6caa5044cc80f77360eef49e48</t>
  </si>
  <si>
    <t>283a48c0e5494663beaa376e8df3c2ec</t>
  </si>
  <si>
    <t>9d2ba82c01f44bc1b2f975b31c9d6d02</t>
  </si>
  <si>
    <t>7e5aad6b32d946dd8999791328d5f7d2</t>
  </si>
  <si>
    <t>30aee0821b70417e8f99de757c95d1e7</t>
  </si>
  <si>
    <t>7352023fcd174bc982d750189e8935bc</t>
  </si>
  <si>
    <t>a1d1f23d27fb4e7b9b4bb9d88b163c66</t>
  </si>
  <si>
    <t>Dairy Queen</t>
  </si>
  <si>
    <t>a575ea3cbc19493fa43f1a33f101483e</t>
  </si>
  <si>
    <t>e72558b062a84053ad319edd94bf069e</t>
  </si>
  <si>
    <t>a637bf39235143508419fe3f4321ecde</t>
  </si>
  <si>
    <t>d722eca0d0ab4db6a131a6034825cdee</t>
  </si>
  <si>
    <t>16abb09b75224fb2a93f8330fd3d5e4c</t>
  </si>
  <si>
    <t>ea1fd52fe47b40ebb93b9d27fd1d9ffe</t>
  </si>
  <si>
    <t>Check Card Purchase Flowers</t>
  </si>
  <si>
    <t>c1bcc9bfc55e4e2d80dc718a412e42ae</t>
  </si>
  <si>
    <t>2d533298f0ef4b77b431696572e747f7</t>
  </si>
  <si>
    <t>84f9592f0654415385f9b88cf0d376f6</t>
  </si>
  <si>
    <t>8899857b9f464a78937e69d41c756d24</t>
  </si>
  <si>
    <t>73b0d4982dcf4fb99e4e85a5333640de</t>
  </si>
  <si>
    <t>6f3beed6863e4123a48ac032757300cf</t>
  </si>
  <si>
    <t>34db0b6133ac4eb08d4c9e96e1eda6b5</t>
  </si>
  <si>
    <t>4ea0b6e5ff99461ca6fa68fff9d9d732</t>
  </si>
  <si>
    <t>83b9ce386e6b472fbc22a4e699314d6e</t>
  </si>
  <si>
    <t>4905110eaaad4b349386d86ed7328fad</t>
  </si>
  <si>
    <t>61b9ca6615de494bbbb834211b33e23b</t>
  </si>
  <si>
    <t>84bb8152312946a597a8ab195b5e4a1c</t>
  </si>
  <si>
    <t>0c38e4f5bdf34149835d32a0c67e09ed</t>
  </si>
  <si>
    <t>a4a06ac4478b48d3a32aa4fe2a0539de</t>
  </si>
  <si>
    <t>82d5ccb857b142feb4b32c55d5d5afde</t>
  </si>
  <si>
    <t>6c32a8fc81664ff3a2f84a19b50ed53d</t>
  </si>
  <si>
    <t>87c76aafe4434d59b5d4cfb2629b8cc8</t>
  </si>
  <si>
    <t>fe173132e8cb424aa7af28c00d32e58e</t>
  </si>
  <si>
    <t>85267761d85648ebba8af13eaa14a1a8</t>
  </si>
  <si>
    <t>6da11922e33c414a9dd889206be9e99f</t>
  </si>
  <si>
    <t>ef913bb77f8d47fa897eef9064b84d4f</t>
  </si>
  <si>
    <t>431a71b98a654a88aa74194704b047d6</t>
  </si>
  <si>
    <t>880a6a8903374fa3b1dd5dfc79e1f395</t>
  </si>
  <si>
    <t>0c5973414be3455eb66cde08600ceb99</t>
  </si>
  <si>
    <t>b7165f20f2da4c32a9789ab0032d723b</t>
  </si>
  <si>
    <t>e922fa4c552a4345a54bbbbe99542b2c</t>
  </si>
  <si>
    <t>a4d9fe8a3a42410395db9ddc843cfc2b</t>
  </si>
  <si>
    <t>ebd36d62776b40a7a224e824e6c5bfce</t>
  </si>
  <si>
    <t>7fe01dab457743bd801309b293631fe7</t>
  </si>
  <si>
    <t>e5e4257a801145fd86dbabf4edca4393</t>
  </si>
  <si>
    <t>d3c5becca3944333aa71c0042758078a</t>
  </si>
  <si>
    <t>39e1b3d16a0248918f3caea29366c30f</t>
  </si>
  <si>
    <t>864580467f1142ed9dbb3174ea438575</t>
  </si>
  <si>
    <t>7f92250564404495a30890116e7c6d62</t>
  </si>
  <si>
    <t>8044ee7d3e8749969c290ce08b935c2e</t>
  </si>
  <si>
    <t>73d2acbbd4e04108a73884d35e9bd67d</t>
  </si>
  <si>
    <t>68a6c0f37e044dc992a2ea18796496b3</t>
  </si>
  <si>
    <t>26e60a133662444ba996c0cc277fbe89</t>
  </si>
  <si>
    <t>38d67edd210243c2ae91a4ab5fd3083c</t>
  </si>
  <si>
    <t>65da269ae7104ccd9c4a55853d09e027</t>
  </si>
  <si>
    <t>29947cdb0d594e68b42f1bf323c5eb64</t>
  </si>
  <si>
    <t>8309064bb0ae4d118cc656a8e3955eb2</t>
  </si>
  <si>
    <t>7b7c4810d9d541e483484ded8a036cef</t>
  </si>
  <si>
    <t>ac10fee4a9ea40078caca09c230a853f</t>
  </si>
  <si>
    <t>47cd1989456740348374b49cc75d0b1f</t>
  </si>
  <si>
    <t>9e3fcdd4b125403a8da1c1b53b3f2894</t>
  </si>
  <si>
    <t>6160f35ccb2c458d80d49d77727df411</t>
  </si>
  <si>
    <t>d6c4dc0f12234972ab559bb5f598f6c8</t>
  </si>
  <si>
    <t>80195e47fb604693993a2eeef9131cc9</t>
  </si>
  <si>
    <t>850d8af1f92c46479c213604df9c1c82</t>
  </si>
  <si>
    <t>042cd2d2f9cf4ef6a5f2273101e2bf50</t>
  </si>
  <si>
    <t>0f611cd556c34f9b8b210c59520dbb34</t>
  </si>
  <si>
    <t>6e656790264d4898bafae7c54472143e</t>
  </si>
  <si>
    <t>1f988db687fb4dbbb44930d8c552ab93</t>
  </si>
  <si>
    <t>5f11de8b31254935b81686b194486168</t>
  </si>
  <si>
    <t>cc26901d8a57481db1d1c2cf2cd230c3</t>
  </si>
  <si>
    <t>8e51bb5faaca4ceab8c4b6a6b9dbd00e</t>
  </si>
  <si>
    <t>20d5c0193aad4324b97ae72c8b2d6bdd</t>
  </si>
  <si>
    <t>8c7469c8f27a4df0b550f5bed6f30db6</t>
  </si>
  <si>
    <t>b9d93df2226948d88b278a19d142fe78</t>
  </si>
  <si>
    <t>39f647f87d714f38a7df7537123790c7</t>
  </si>
  <si>
    <t>1c030bcfde264ed1b8579139f6386125</t>
  </si>
  <si>
    <t>d354b9fc69ff47739e77bd492daabbd4</t>
  </si>
  <si>
    <t>d33d28073cfc44ebaa29bc09549fe060</t>
  </si>
  <si>
    <t>c99c1f7292cf4e748ef8c4a854291b12</t>
  </si>
  <si>
    <t>3a49bc4e431549769e723aeeb08bdba7</t>
  </si>
  <si>
    <t>be86660c7d344fa6a396c9d71c4529d9</t>
  </si>
  <si>
    <t>Electronic Debit Billmatrix Billpayfee</t>
  </si>
  <si>
    <t>798eeef9464140c3b030d134bc76676f</t>
  </si>
  <si>
    <t>Electronic Debit Fis Verizon</t>
  </si>
  <si>
    <t>601aa93e015c41f99973e0d8a56f4eea</t>
  </si>
  <si>
    <t>Boston Market</t>
  </si>
  <si>
    <t>4383cfdc6672424fa145c4747c0ecb07</t>
  </si>
  <si>
    <t>e7dc1caea9564ca5bfb4e5bea11e515d</t>
  </si>
  <si>
    <t>c6cfafc36f374150b9d87a4c9c85a5d1</t>
  </si>
  <si>
    <t>51465b6a39a242fcb4ddd2124a2faedb</t>
  </si>
  <si>
    <t>0a328b91693c425cb0b2efab3fb0c7ea</t>
  </si>
  <si>
    <t>3336fffa13534e8cad90472b28679408</t>
  </si>
  <si>
    <t>235329db9b724aa6a08de9dd455c0c45</t>
  </si>
  <si>
    <t>8fbb8c4283934038b93d70d40e1818e5</t>
  </si>
  <si>
    <t>e339f5c63dab4176a2b86369a270f527</t>
  </si>
  <si>
    <t>4e210300056e49d69110662e7f4e6508</t>
  </si>
  <si>
    <t>986cffd0b482454aa78c2d3a9aad9cc3</t>
  </si>
  <si>
    <t>Sarku Japan</t>
  </si>
  <si>
    <t>5669bcf49aa3434ea41643a6f3814ae2</t>
  </si>
  <si>
    <t>27ae83ea75244ebab91d33fa977bb856</t>
  </si>
  <si>
    <t>2d0d6fbefad04a4e8ac5a27f02e877f3</t>
  </si>
  <si>
    <t>235907de5dbe42758f2ad499b7ec34d6</t>
  </si>
  <si>
    <t>Check Card Purchase Danettes</t>
  </si>
  <si>
    <t>4c3002c5e9e2414c80446ca030222204</t>
  </si>
  <si>
    <t>564dbebe3a974bb2a57f7c11fb293499</t>
  </si>
  <si>
    <t>2535dfe8aa654c3d9a512d6582fb8803</t>
  </si>
  <si>
    <t>e4e6c59255d84740aed75660e06afa45</t>
  </si>
  <si>
    <t>e0d562e07bac4ad3a627e9abbddcb36d</t>
  </si>
  <si>
    <t>797ce99f63944013aa1320379c812776</t>
  </si>
  <si>
    <t>464469f5af7445ec912fae573bc86d69</t>
  </si>
  <si>
    <t>7921ae89f1464d1698f9c45c243ef7ba</t>
  </si>
  <si>
    <t>9b732872a3f74612a0e8f4f93c50f64a</t>
  </si>
  <si>
    <t>7c4877b310dc4ecc83facebc0e62c706</t>
  </si>
  <si>
    <t>621dff29aeee49028c4784a0717df826</t>
  </si>
  <si>
    <t>9b3430fad2154e438099b11d414dc32c</t>
  </si>
  <si>
    <t>Electronic Debit Aft A</t>
  </si>
  <si>
    <t>e9323af66edb46a4bfaafaf0d361f397</t>
  </si>
  <si>
    <t>Costco</t>
  </si>
  <si>
    <t>5ed47a8808914fe8bb8cc5bc0af0ea1e</t>
  </si>
  <si>
    <t>df910f7d5c524f3189dd058f6e6d5ca7</t>
  </si>
  <si>
    <t>dea40a623f224c289eac2f14c7d2f2a2</t>
  </si>
  <si>
    <t>42fbccac2c1f42d381a4b33dcca7a83c</t>
  </si>
  <si>
    <t>30e3e8a378bc416d98bc02c90595152f</t>
  </si>
  <si>
    <t>77840430bd574a8daa5db2c9cea95ac2</t>
  </si>
  <si>
    <t>dbb4be6ea39e4a0fa9f9eeb5ca3db975</t>
  </si>
  <si>
    <t>8f38304ed0d7426d83ee254d60e7747a</t>
  </si>
  <si>
    <t>5b9136d5a3734e48a63892f804bd18e8</t>
  </si>
  <si>
    <t>6f7b79c63eb747e3a5bf57fe519bedb7</t>
  </si>
  <si>
    <t>476360942b4c42d7b2fd6af1006aa847</t>
  </si>
  <si>
    <t>8d506f9de0044e7cb83671c5dc4831cd</t>
  </si>
  <si>
    <t>7b66a07261ec47c08b1f80162e72f149</t>
  </si>
  <si>
    <t>1d80513d23a9464e8b26636764b1e978</t>
  </si>
  <si>
    <t>4c1cf066ac694818a7814bcc4d23e793</t>
  </si>
  <si>
    <t>8977f83dc58f49aa9669b1e05babcd7a</t>
  </si>
  <si>
    <t>4020a20f7d8244c48658b655846df4d1</t>
  </si>
  <si>
    <t>40dc87ad300f4d3bbf111b48486ef7f4</t>
  </si>
  <si>
    <t>94b7b0085fc34f3c85e8930cb13df571</t>
  </si>
  <si>
    <t>Check Card Purchase Reliance</t>
  </si>
  <si>
    <t>74fbc2259696482696348f38783c0b94</t>
  </si>
  <si>
    <t>4b45dc9e89b248aa830b4f9d02f285c1</t>
  </si>
  <si>
    <t>ae1fcabebff7433e885d1ce9a2a62e1a</t>
  </si>
  <si>
    <t>11f61203502742409eb12e4c31929f49</t>
  </si>
  <si>
    <t>f65079409cef408b956891dc33980ddc</t>
  </si>
  <si>
    <t>Check Card Purchase Don</t>
  </si>
  <si>
    <t>847e3be39f7e4c59846aebf58ed4306c</t>
  </si>
  <si>
    <t>Check Card Purchase Med</t>
  </si>
  <si>
    <t>250ae3b8fbf74b4fb3a3cdfc7be36801</t>
  </si>
  <si>
    <t>53d044ee4afa46198bf6b33fdc6c77c5</t>
  </si>
  <si>
    <t>762b609d92eb44ebbc188f6b1068a7dd</t>
  </si>
  <si>
    <t>0f64fb0c5f254a10a3d16debb2cf2893</t>
  </si>
  <si>
    <t>939989259fca41d08acd13d6bb711f40</t>
  </si>
  <si>
    <t>1dac56fdef37425cad1d7777a1e32615</t>
  </si>
  <si>
    <t>a22420170d884462b2fc00b180dea429</t>
  </si>
  <si>
    <t>6b990e461fad48899f094d643ce6158c</t>
  </si>
  <si>
    <t>a8e08fc140ad4a4088c1f29a7feecc2b</t>
  </si>
  <si>
    <t>5619794ca10b40c29c0acb203ae4b912</t>
  </si>
  <si>
    <t>e180e5e9f039463a8ab06ecaa9637958</t>
  </si>
  <si>
    <t>c8be43ce6d5448f5894969c1764271d4</t>
  </si>
  <si>
    <t>db085b8607fe47bb86ed920c66a1d668</t>
  </si>
  <si>
    <t>2dbc572057484c55a88c35bb514d2b71</t>
  </si>
  <si>
    <t>b8a83b797dbc449b8ef57693c45e561f</t>
  </si>
  <si>
    <t>fe153187e18d483290b820af563260ff</t>
  </si>
  <si>
    <t>72ca7da8d1f04c799b6734deab03a05b</t>
  </si>
  <si>
    <t>Check Card Purchase El</t>
  </si>
  <si>
    <t>ca8461f9f66846be8c8f41e6beb13b4c</t>
  </si>
  <si>
    <t>93c54937c9ec40a98b28a2c8dca9e2c6</t>
  </si>
  <si>
    <t>0e1a6119dea94d7d8554123de7ea6c44</t>
  </si>
  <si>
    <t>e43411806b3e484f86034883c373eb52</t>
  </si>
  <si>
    <t>e3b9ed2d497b45aa8523763da8496cf7</t>
  </si>
  <si>
    <t>481ae88ef66047429c4450101f2cadb0</t>
  </si>
  <si>
    <t>5d73f4c81ff64785a67a9c0f1b5db3f9</t>
  </si>
  <si>
    <t>5eea784b2880402c9637fdcf0650f4f8</t>
  </si>
  <si>
    <t>0ebde77ddbe74cec8910aeac64ffb77e</t>
  </si>
  <si>
    <t>Electronic Debit Schwan S</t>
  </si>
  <si>
    <t>2992e7d0c00d4cf593a272f9e2da30fe</t>
  </si>
  <si>
    <t>3f3ce26ea636454485ff98a0c8f9f537</t>
  </si>
  <si>
    <t>81374cbd6cca411a989cf1bc59100753</t>
  </si>
  <si>
    <t>e255e8891f2a47c7a930691d7e702fe5</t>
  </si>
  <si>
    <t>18acb57a4bff4c5f81dbad7369c5bca6</t>
  </si>
  <si>
    <t>6f135d5ff03645398709033155f17870</t>
  </si>
  <si>
    <t>2cc2bfd5ae2c4909be00a5933dad34a3</t>
  </si>
  <si>
    <t>ca1296ac2e064169b676f211e5d39b8a</t>
  </si>
  <si>
    <t>ee1248401b4c420ba4692414aa0d58b0</t>
  </si>
  <si>
    <t>a1b311c3ae714f419c9b7d9013ab0d85</t>
  </si>
  <si>
    <t>24bcd4dd18994f52ad872e252b97afda</t>
  </si>
  <si>
    <t>aef863ea40c54090b33c8448022573d8</t>
  </si>
  <si>
    <t>5acc3e133be54c4cbe88ca4749c9d319</t>
  </si>
  <si>
    <t>4df6afdbe2de4507ba52f838e6171315</t>
  </si>
  <si>
    <t>6342454094a94f4c9d841221515462a8</t>
  </si>
  <si>
    <t>Electronic Debit Td Auto</t>
  </si>
  <si>
    <t>c1b5dcf7a26c4e96be110c9cd445d46e</t>
  </si>
  <si>
    <t>a4cae73e3b3a4f33a985a920db23aa2d</t>
  </si>
  <si>
    <t>af7a233729bf449495432e6373caeea5</t>
  </si>
  <si>
    <t>e3013637af8b4c70b04bd5543ead798f</t>
  </si>
  <si>
    <t>184c618aa6694cb4bc330a24a2052cd8</t>
  </si>
  <si>
    <t>eb25581868834497a1bb35bbdfa29347</t>
  </si>
  <si>
    <t>bcd50542e33d4607b7c738c965fc096e</t>
  </si>
  <si>
    <t>5c38f1e1497d467fa728c74b926d4c90</t>
  </si>
  <si>
    <t>909cfca72e924649b8e2b4a021df7bb9</t>
  </si>
  <si>
    <t>afdd932972b94221abb6a425a4b81ad3</t>
  </si>
  <si>
    <t>d0ab7e9ac14042d7afff8ca95c29f807</t>
  </si>
  <si>
    <t>0680803d6b5243f5b0fe3c9fb2c47673</t>
  </si>
  <si>
    <t>dbf7718547914e5d98d4023b109a6c05</t>
  </si>
  <si>
    <t>bed5f603138340ed9dc38a07df47151e</t>
  </si>
  <si>
    <t>4d6b300f3a1e44c0829a4a2e77616fab</t>
  </si>
  <si>
    <t>c67f9bd8c21a41c1aa177329ad22e9e5</t>
  </si>
  <si>
    <t>c8fd4c6f1969454791b1c5fa8545342c</t>
  </si>
  <si>
    <t>875397c3a98940f9b25814ae8b5bc0e9</t>
  </si>
  <si>
    <t>dbfc0f3b59dc479d8fe1b03f5a310235</t>
  </si>
  <si>
    <t>3a73165e044a4dcc88e6d04d746662d6</t>
  </si>
  <si>
    <t>697cd4ae2b7d40faa790b6246b3eac29</t>
  </si>
  <si>
    <t>Check Card Purchase Juicy</t>
  </si>
  <si>
    <t>91494c9496c8463897a2536ce76ca906</t>
  </si>
  <si>
    <t>f14706b1a15c4c8787b3a04ff7b2c25e</t>
  </si>
  <si>
    <t>b752ba92e9dc44d7a65c5a5cce462320</t>
  </si>
  <si>
    <t>e27cec12173543fe920b50a7d2c1305b</t>
  </si>
  <si>
    <t>3baccf1b6ae84bf390d3ee418ae875ad</t>
  </si>
  <si>
    <t>f57d70461a294744bffea076405a6f48</t>
  </si>
  <si>
    <t>acda657ee2de442e844da217a481ad9d</t>
  </si>
  <si>
    <t>0fe8fbd2962a428985fce441d627f1f2</t>
  </si>
  <si>
    <t>38e175e684114dbb95e494de67675034</t>
  </si>
  <si>
    <t>4ad27360975d4548a7234b5587efc266</t>
  </si>
  <si>
    <t>8171624c665146809276bb1d4d200172</t>
  </si>
  <si>
    <t>e55ef78badec4400b99cc6e206058a60</t>
  </si>
  <si>
    <t>Electronic Debit Transamerica Tpl</t>
  </si>
  <si>
    <t>6cce3f55a7e5448a9c7cf42001ba863c</t>
  </si>
  <si>
    <t>9c511b9774cf4ec3b25a1b66444d1e9a</t>
  </si>
  <si>
    <t>2f5b85c1e00445ba8db5de105bd6a851</t>
  </si>
  <si>
    <t>52777990537a44ae917cd815c5878498</t>
  </si>
  <si>
    <t>da5660e3e74547479d07947763d0f214</t>
  </si>
  <si>
    <t>b3c1c19d3d2a4be98ca7425e24e51fda</t>
  </si>
  <si>
    <t>110630f416ef48a59fcf0de5a4720740</t>
  </si>
  <si>
    <t>91bea36eba7048bc8e74cfe9f826ac11</t>
  </si>
  <si>
    <t>Check Card Purchase Online</t>
  </si>
  <si>
    <t>ba9a7a7b3c06481bbe7d34681efb7600</t>
  </si>
  <si>
    <t>fe0e37eb655e4fb58ccc566786b2004e</t>
  </si>
  <si>
    <t>261bb0d6cd4848e1976d3ea80dce304e</t>
  </si>
  <si>
    <t>Check Card Purchase Urban</t>
  </si>
  <si>
    <t>f6a944cb8b4b4b2d80ff7efb9db0702e</t>
  </si>
  <si>
    <t>0c0efcc432f74ed383393f7f10d3ef3c</t>
  </si>
  <si>
    <t>1edde2f8b9ab497ab778a3122e67be59</t>
  </si>
  <si>
    <t>048dd16bd92243cfbe6c04552b571293</t>
  </si>
  <si>
    <t>3bdb198cdaf242d58bec6235b8aca025</t>
  </si>
  <si>
    <t>effc70e2b5ea44ee98f78ceeea8b4194</t>
  </si>
  <si>
    <t>de2dda48086e422c9371a23e85de070d</t>
  </si>
  <si>
    <t>6a4d73331635466eb623aa02e551d0a9</t>
  </si>
  <si>
    <t>1eeeb7b4b25147a18bd7aae9eb831b80</t>
  </si>
  <si>
    <t>Check Card Purchase Ammodern</t>
  </si>
  <si>
    <t>9c602487f6d64d7e8486c5556cca4f05</t>
  </si>
  <si>
    <t>3cb48723050d49168224f2ac1d6f7f05</t>
  </si>
  <si>
    <t>bd933895dd0c4bc28fce3cb70e4e2d31</t>
  </si>
  <si>
    <t>a101c3c2e5a340039652f26ef59f5269</t>
  </si>
  <si>
    <t>b30d9e0b6ff64cb0b95d27ce1b6ad06a</t>
  </si>
  <si>
    <t>4460c8598d964b908332e5df1b37944f</t>
  </si>
  <si>
    <t>e0ba3cf6a0c042adbf16475baf260c7a</t>
  </si>
  <si>
    <t>04705d5b1af045b9b2262e3f01e47775</t>
  </si>
  <si>
    <t>fbbfec8e7e4d4d6fb849934a191de013</t>
  </si>
  <si>
    <t>a98ec15064ec485e8103b952d61daa9e</t>
  </si>
  <si>
    <t>af4a28deffa047bb8dc94db7fbf34d99</t>
  </si>
  <si>
    <t>Credit Card Payment For</t>
  </si>
  <si>
    <t>cc82e2d71459411ebc4242a3c8e5fdcf</t>
  </si>
  <si>
    <t>85025f625af548fd82a8772e13e48647</t>
  </si>
  <si>
    <t>dd50c5d9100a4593b01447b2a9c08ebc</t>
  </si>
  <si>
    <t>041cbb70736749f78a83576410291ab2</t>
  </si>
  <si>
    <t>1255911f28cb42298e7fc61c35e767b1</t>
  </si>
  <si>
    <t>bd05c3b944a343c5b85f13eb74f72045</t>
  </si>
  <si>
    <t>d503011114da40729b13bf8d5f1742ae</t>
  </si>
  <si>
    <t>a9e96eacbfab439abfd848ad7baae81a</t>
  </si>
  <si>
    <t>87a98a74eb2a4163a907d8994a5b91cf</t>
  </si>
  <si>
    <t>5fcb5d6efe7b423fad233d8d998e3a4c</t>
  </si>
  <si>
    <t>f0a6adbfcc9646c9bcd87b3076b84096</t>
  </si>
  <si>
    <t>03e805db3b7f4da688990c25a04bd399</t>
  </si>
  <si>
    <t>3333c31811cb40bb8ee844846388a3a5</t>
  </si>
  <si>
    <t>80a93527338044769be12acbae40d0f0</t>
  </si>
  <si>
    <t>d392bfe1896c415ab938862c12f1874f</t>
  </si>
  <si>
    <t>edbf4dd3fc4e4df0a8fdedcff4e88efa</t>
  </si>
  <si>
    <t>4669663915054a46858a6d96200e9767</t>
  </si>
  <si>
    <t>15a9be42f9cc438b9b91ea6f788767b0</t>
  </si>
  <si>
    <t>Check Card Purchase China</t>
  </si>
  <si>
    <t>e301efb218714a3886810dc1873d5b36</t>
  </si>
  <si>
    <t>Check Card Purchase Jerry</t>
  </si>
  <si>
    <t>bec28beeea1d427c8867ccde564486ba</t>
  </si>
  <si>
    <t>297be784c65f4d52aafb7144d090cf36</t>
  </si>
  <si>
    <t>0cdb05c4df004ab5bea35a5bc7e5d6ba</t>
  </si>
  <si>
    <t>c0fde172a80f47558f8cb5408d2dce6f</t>
  </si>
  <si>
    <t>d7487db1a23f48828160107d665b17b7</t>
  </si>
  <si>
    <t>a16b7f5799624bffa21f534937a0afe1</t>
  </si>
  <si>
    <t>f735c69653d84b93af4f2bac10dbb396</t>
  </si>
  <si>
    <t>06b92821e0b841cdba72be68beacd184</t>
  </si>
  <si>
    <t>7cbeb545ee334c6c940e3637a7b96480</t>
  </si>
  <si>
    <t>84cb581c47ab494ca166260a7eda6065</t>
  </si>
  <si>
    <t>0e2e6a5a3db549a3a18179a5ffe777e3</t>
  </si>
  <si>
    <t>fdba0b694fb74a5081f90d9def227c23</t>
  </si>
  <si>
    <t>Check Card Purchase Avedon</t>
  </si>
  <si>
    <t>2422ca67630a4900b5d944a149fa1778</t>
  </si>
  <si>
    <t>ca3583ce1a6d45cf8e6e7faf7fc4b1a8</t>
  </si>
  <si>
    <t>cb49498a4c814bca80e4b604eab8d7df</t>
  </si>
  <si>
    <t>ba458bc744924e2eb374f8d4491cc913</t>
  </si>
  <si>
    <t>Returned Item Fee For</t>
  </si>
  <si>
    <t>eff1f2a76de04070987e2a083c1c096e</t>
  </si>
  <si>
    <t>85a4ad9c4f954020ae218b55544456f3</t>
  </si>
  <si>
    <t>Extended Overdraft Fee</t>
  </si>
  <si>
    <t>12799557b28041c19f9b5cc1654e8005</t>
  </si>
  <si>
    <t>1413a3482ea6401b9256f7084d029300</t>
  </si>
  <si>
    <t>00d26d95d22240d49ee2c5bf0450609f</t>
  </si>
  <si>
    <t>adfb069cd8f64568966a6b8d6b08513a</t>
  </si>
  <si>
    <t>60c0384ef8f745ffae722b51cb847da8</t>
  </si>
  <si>
    <t>19472b6d502a423fbdb324c9aa45419e</t>
  </si>
  <si>
    <t>cbaca486a3af4554a2d28b4afdf65e72</t>
  </si>
  <si>
    <t>Wingstop</t>
  </si>
  <si>
    <t>b3d316cb389c41e1be9929e36c3e0604</t>
  </si>
  <si>
    <t>604972a7e76d4c46b27ab8d285893eb8</t>
  </si>
  <si>
    <t>Credit Card Overdraft Transfer</t>
  </si>
  <si>
    <t>1e1c1070de654f178234ef48d1b3128a</t>
  </si>
  <si>
    <t>e650756ed6fd4e79b1ae23ba895f6673</t>
  </si>
  <si>
    <t>Overdraft Protection Transfer Fee</t>
  </si>
  <si>
    <t>f8806b06e6e344a9bc5c10df8963daf1</t>
  </si>
  <si>
    <t>d09c2a16c2ad4c96a7d15cc500f7f0b8</t>
  </si>
  <si>
    <t>4e78b6b601404148960dabccdda2ad8b</t>
  </si>
  <si>
    <t>662595395cc74d4485708d16c8eead5f</t>
  </si>
  <si>
    <t>da48b2a6109247b9a021199982b29708</t>
  </si>
  <si>
    <t>7982f9d388504535bb6bc6f29d1bcdec</t>
  </si>
  <si>
    <t>3aab6c8e208447acb026acc0fead510b</t>
  </si>
  <si>
    <t>ea9c289e91734f76921b197e1a203d8f</t>
  </si>
  <si>
    <t>f84bc178276d4532884db1fcccbeb000</t>
  </si>
  <si>
    <t>9c894200152341389e44a60bbddbafbd</t>
  </si>
  <si>
    <t>9344aeefabda4071834e38cd3390534f</t>
  </si>
  <si>
    <t>6a16da41fe674a8ab8079a9824098b90</t>
  </si>
  <si>
    <t>5a6ba86ee3de45dca490c9f425c796b6</t>
  </si>
  <si>
    <t>e4c006d48b804ab0a060d810cc23322f</t>
  </si>
  <si>
    <t>fec020e59eaa4079908ed611422d7395</t>
  </si>
  <si>
    <t>Electronic Debit Western Res</t>
  </si>
  <si>
    <t>a102e4f70efa431f9cf1793dc4d5a2d7</t>
  </si>
  <si>
    <t>87ba8e41437d40d7897f82ea58128bb7</t>
  </si>
  <si>
    <t>20d2f27dc53a4ac4a325f75bfb0d5e86</t>
  </si>
  <si>
    <t>52230b7d495e46a0a049badbda2c7dd7</t>
  </si>
  <si>
    <t>683bf9a52ac24d5da342fdf03fec599f</t>
  </si>
  <si>
    <t>2b10dac214c243e48969f4a741c05d79</t>
  </si>
  <si>
    <t>7dfbaf55c49e47ff9212a3be9368776c</t>
  </si>
  <si>
    <t>25cec8dc2ece4e05a27e743954685e6f</t>
  </si>
  <si>
    <t>5c6bf1aa14a4459d9dd332306c28ca28</t>
  </si>
  <si>
    <t>5f22a7c884574798a50f58349105e916</t>
  </si>
  <si>
    <t>24c6a52a9797405bbce9ac1f034f2798</t>
  </si>
  <si>
    <t>Electronic Debit Pmntus Svc</t>
  </si>
  <si>
    <t>2376f4461554483eb8f4fba73efde4bd</t>
  </si>
  <si>
    <t>47b6de42c12b476ebb53a535a1b98b5b</t>
  </si>
  <si>
    <t>6950837bdbcc4a09ae30de0f8b58f0ca</t>
  </si>
  <si>
    <t>a6be847eb24f474d84ac3c5ec31e7d26</t>
  </si>
  <si>
    <t>7c37442c731543e3bfd5f61872dfbeef</t>
  </si>
  <si>
    <t>Electronic Debit Potomac Elec</t>
  </si>
  <si>
    <t>3913b3a980fb4fae9bdb2cf57c71dfdc</t>
  </si>
  <si>
    <t>c8a75f2dbecd4b76b978b80ad605007a</t>
  </si>
  <si>
    <t>b411a472551d43159fcdcef068fc9835</t>
  </si>
  <si>
    <t>d0a5f9f996fb4ae8aefeaad0eb4281fe</t>
  </si>
  <si>
    <t>Electronic Debit Verizon Main</t>
  </si>
  <si>
    <t>838a475acccf4a99a76adb516ae82e34</t>
  </si>
  <si>
    <t>09b9bd8c27964234a8a68d4101d39907</t>
  </si>
  <si>
    <t>168182231caf4a5aa66f6607ff16bdad</t>
  </si>
  <si>
    <t>9201e2a5d53c4e9c82fe2f7eca315533</t>
  </si>
  <si>
    <t>9c1aefa5cf144bd59d6b1fbe4eee1fb6</t>
  </si>
  <si>
    <t>5ffb65669e074831889b4d615ae5d9c2</t>
  </si>
  <si>
    <t>99e0d30635dc4039a1af8b30cdf46596</t>
  </si>
  <si>
    <t>d0f7cd87414c4bfdb57bc6a039177c15</t>
  </si>
  <si>
    <t>195af6f36e47462893c2545f60c89d4c</t>
  </si>
  <si>
    <t>fc0853eaac4548fe82f0e487a619ed91</t>
  </si>
  <si>
    <t>2186f99c2ecc46c5979689e0e5355441</t>
  </si>
  <si>
    <t>7c94c7b916144ab8989f909ee72f3369</t>
  </si>
  <si>
    <t>4972d69b75c341ada595e7e41a23ee5d</t>
  </si>
  <si>
    <t>e9995b40868d4cc48fe2a79c07c2803f</t>
  </si>
  <si>
    <t>d97d91232a734bab872aa00ff071741c</t>
  </si>
  <si>
    <t>f1c0c4ee34414edfb1adc8b1f84fa867</t>
  </si>
  <si>
    <t>eb6af402263b4211a9a33ddefbdee1ec</t>
  </si>
  <si>
    <t>e289b2396bc14877a471526aece44afc</t>
  </si>
  <si>
    <t>5d52a56785d64b74b1f7bea045e8b31a</t>
  </si>
  <si>
    <t>65e40e548a5a45dfa3f290057cc58a41</t>
  </si>
  <si>
    <t>1195b1ca59484b7994e9826b38d3d5c1</t>
  </si>
  <si>
    <t>67a20e88e83f46e8ac893a32f47f24db</t>
  </si>
  <si>
    <t>ab3434096368484193e88bba309b866b</t>
  </si>
  <si>
    <t>3318ea8850d0431a9732b309efed626c</t>
  </si>
  <si>
    <t>23fb3d2326994d7395a88d886418d240</t>
  </si>
  <si>
    <t>a892208b27ff474bb1289a07509ae360</t>
  </si>
  <si>
    <t>88e21c195ef848cba432a6c48e995d3c</t>
  </si>
  <si>
    <t>6a2d79eb6b904d199f1b96fc139a1a33</t>
  </si>
  <si>
    <t>ba355f5351cc4507997afdc834b41d01</t>
  </si>
  <si>
    <t>99f60d91d7174af4954044582658ac6d</t>
  </si>
  <si>
    <t>ab37a4b7842f4fa6aa3955d87ff1a1db</t>
  </si>
  <si>
    <t>d51617dba52a4931bd681feb7fcbee83</t>
  </si>
  <si>
    <t>5a8a8af475a14e089905c84aef506a1b</t>
  </si>
  <si>
    <t>e7bb0c8916e04459b2f2f8f6b49345ef</t>
  </si>
  <si>
    <t>104d3804675a4fcda09f15d6b4ecf0e9</t>
  </si>
  <si>
    <t>de8bc75cd8de41829f0867eead31351a</t>
  </si>
  <si>
    <t>94694f39d2734a2783600c92aedd3e1b</t>
  </si>
  <si>
    <t>76c455ceea3a4526b34e392f54d723da</t>
  </si>
  <si>
    <t>67f392fb1ad141d7b7428127fcf3e413</t>
  </si>
  <si>
    <t>920be64a812144e58f9a638652ca20a6</t>
  </si>
  <si>
    <t>abd97661d9da48819a3fda83513c7740</t>
  </si>
  <si>
    <t>b4a2fd1fb24e4348b46d4a06f7c6b336</t>
  </si>
  <si>
    <t>c51bd481704e49b4ba30754506259730</t>
  </si>
  <si>
    <t>82077aa3ff294a458363e3f514805e7c</t>
  </si>
  <si>
    <t>94d88f6775654838a4ba5e9b82b61403</t>
  </si>
  <si>
    <t>e027c170cad848f68144dd651ae3eaae</t>
  </si>
  <si>
    <t>2ea2f95562f54ecea4ae76c58a6ed7c1</t>
  </si>
  <si>
    <t>8ea65fb9ec7f47ef9583a0fae28e36be</t>
  </si>
  <si>
    <t>43759fb3db2a451588fd14d8fa49e696</t>
  </si>
  <si>
    <t>Electronic Debit Washington Gas</t>
  </si>
  <si>
    <t>6df259893a4f468cb795f92b48e119fd</t>
  </si>
  <si>
    <t>e56913d41de5464a8d530761972a624b</t>
  </si>
  <si>
    <t>2decfd8426b740b5a26edb33a5657696</t>
  </si>
  <si>
    <t>905e8ee630cd45d5aec40237959e0d1c</t>
  </si>
  <si>
    <t>a7432c86ce824e8ba62c7713cb218738</t>
  </si>
  <si>
    <t>99b72312fe3745719907a49745488114</t>
  </si>
  <si>
    <t>3e5ace353384471b8c4da7bae3e32fea</t>
  </si>
  <si>
    <t>1cbc2585f89645f897280a7dd3caf0ab</t>
  </si>
  <si>
    <t>1be9d4d8f66749919b8473ec46870cbb</t>
  </si>
  <si>
    <t>2914af50a36a49a8a21b620633e79aee</t>
  </si>
  <si>
    <t>e66bb4f1ad304fb899e60713df162511</t>
  </si>
  <si>
    <t>b74a1e3394604522aabb3468744bbf76</t>
  </si>
  <si>
    <t>12d034dd63674cf8b09dafa5e5bf0c6d</t>
  </si>
  <si>
    <t>ef38695020674450a2d038988e8d82dc</t>
  </si>
  <si>
    <t>8b07f0e89bb34988a568763451e63ff5</t>
  </si>
  <si>
    <t>3d64b16dc98e4884b3a0d1223880a2ba</t>
  </si>
  <si>
    <t>d5e7080d76ee41cb8fd64eedff331875</t>
  </si>
  <si>
    <t>3ca186d28f7f4d2eb4ff6fce7502fa0b</t>
  </si>
  <si>
    <t>f387ff267f2c4408a687df0dfd0ff448</t>
  </si>
  <si>
    <t>340ba241bf4040c89636a42e6b31c3bb</t>
  </si>
  <si>
    <t>17769a105f1045c4a7988a0382a4e67f</t>
  </si>
  <si>
    <t>198dcd739fc84e4aaf25b55930c0aba3</t>
  </si>
  <si>
    <t>c7d61c963c2a45508fec252194fe72ec</t>
  </si>
  <si>
    <t>68eb767ce65f4794a5bcc3219489fa9b</t>
  </si>
  <si>
    <t>Check Card Purchase Kenny</t>
  </si>
  <si>
    <t>937b9409c1df4df8940b094f369559c1</t>
  </si>
  <si>
    <t>3c48b92c78c4444983b523e1f0e97c59</t>
  </si>
  <si>
    <t>2c3e89e46bf14f1cb5264afc59fab9d5</t>
  </si>
  <si>
    <t>ca570fe664c443e2bca928220bec2684</t>
  </si>
  <si>
    <t>443c6b7878084f8e876962ec1971ff2e</t>
  </si>
  <si>
    <t>461c13d9f85048d296f5656a0c0ab5c7</t>
  </si>
  <si>
    <t>d4581f119fea40abab047fe80321e7b5</t>
  </si>
  <si>
    <t>ed9cfb4c882c4ff593aa846b84169e64</t>
  </si>
  <si>
    <t>ac1d8d7908bc479db5c2ccc1ce409845</t>
  </si>
  <si>
    <t>7286202f08a64796bde46b7dd54d62cd</t>
  </si>
  <si>
    <t>74770a5e303249b5b3c0240a62af20a8</t>
  </si>
  <si>
    <t>aab9ef2327a24d86b90d5475b2c56124</t>
  </si>
  <si>
    <t>574004317df64cae975ec3db1718e899</t>
  </si>
  <si>
    <t>f2c05f83603d41dd93819b48d642a986</t>
  </si>
  <si>
    <t>0511d3bd7cc642e5bee8910ba5fedf6f</t>
  </si>
  <si>
    <t>975910f5eeb9459c879e64f4e76b6807</t>
  </si>
  <si>
    <t>5944145a6f1c49239ca0ed01b76e4dee</t>
  </si>
  <si>
    <t>945ac0104e134870bfe17117e9827c2e</t>
  </si>
  <si>
    <t>a4422c09d5a946ec8dcc42643822062a</t>
  </si>
  <si>
    <t>090a909ec6114bc9bc618ceb766a57fa</t>
  </si>
  <si>
    <t>Postmates</t>
  </si>
  <si>
    <t>4a23a30ca1ad423b8fb2a4cd83f37455</t>
  </si>
  <si>
    <t>87b28624980748c6ae896ef3d1839c06</t>
  </si>
  <si>
    <t>4b9b75401fc24d8a98a6e0af843331fb</t>
  </si>
  <si>
    <t>ba3a843d4eeb4fb2b36f8ae3a8bcd3c4</t>
  </si>
  <si>
    <t>1f250691ff8f409eb66ed266e893e6d5</t>
  </si>
  <si>
    <t>0be742aef6a3428fb1a79b7d6a315b41</t>
  </si>
  <si>
    <t>45f71339abba4d26bb7aeb2e099ae491</t>
  </si>
  <si>
    <t>6349ae0a641742c6b2f6f06e2c0009d2</t>
  </si>
  <si>
    <t>8c9f0cb50fcd4e0e97e30e65a8ad91fc</t>
  </si>
  <si>
    <t>0be23b14deb7445a929404905f3c40f6</t>
  </si>
  <si>
    <t>697a60ce50ff43f0b6a7e166000149a0</t>
  </si>
  <si>
    <t>Check Card Purchase Giant</t>
  </si>
  <si>
    <t>b3dc145ae3f046fdb98da7a49b1265ca</t>
  </si>
  <si>
    <t>7d8f0a7d2fce43a2bfb63fcabd5abc85</t>
  </si>
  <si>
    <t>8cca47eb546d474782742fb7f07a76b3</t>
  </si>
  <si>
    <t>d6dafa6053ad48918b93fdadf54c30b5</t>
  </si>
  <si>
    <t>Ledo Pizza</t>
  </si>
  <si>
    <t>eeefbee6f8154576a60dbe44188ba820</t>
  </si>
  <si>
    <t>496f1fcce09e4458a59c7fe85f9a1ff1</t>
  </si>
  <si>
    <t>ffdb2991d2a643c39a3a1ee2889a793d</t>
  </si>
  <si>
    <t>Check Card Purchase Roy</t>
  </si>
  <si>
    <t>10e19e2455de41aeaf0b30db3e3e7ce1</t>
  </si>
  <si>
    <t>c87beb152a1c4bf7946fdb4f5c57bdd4</t>
  </si>
  <si>
    <t>569731c3801f422797542afb7cba2be9</t>
  </si>
  <si>
    <t>3a07dd5788aa4e4c9c2da0225b9de8da</t>
  </si>
  <si>
    <t>ac1cecaa347144a4a8d12063575b55cb</t>
  </si>
  <si>
    <t>acb7d9d1076849d6ae7882a9e0344ef1</t>
  </si>
  <si>
    <t>871482b2e1af46e9a00b1b9046de1961</t>
  </si>
  <si>
    <t>158d34f568874c5cba7a1c73d6e14c85</t>
  </si>
  <si>
    <t>3bd9daae100a4c979fdd58f90c54be06</t>
  </si>
  <si>
    <t>4a07a0e89f4942b69e703cee25d7b864</t>
  </si>
  <si>
    <t>2fed4d1756eb4d69b6410f46ae28b562</t>
  </si>
  <si>
    <t>c84b9b22929d4e57a0a070610e34b797</t>
  </si>
  <si>
    <t>0257c1862489429eac5c1c7990639a71</t>
  </si>
  <si>
    <t>5b2fab56fad7423ca7af0876d8a2e1fe</t>
  </si>
  <si>
    <t>b98c97fc4f804e4594cf1b8a489e90d0</t>
  </si>
  <si>
    <t>d43b8678c1cf4d9da0a5938024254819</t>
  </si>
  <si>
    <t>536cf38c45e94fcd982a128ee752c546</t>
  </si>
  <si>
    <t>d0ac2d7d0f8049f58fd12565b536e26a</t>
  </si>
  <si>
    <t>ca480fc557c34b0190cdc7086ed9d227</t>
  </si>
  <si>
    <t>cc169376835a4a6ebd741a4ec8308a1e</t>
  </si>
  <si>
    <t>f94535d76f5743b290b6da1e6a555365</t>
  </si>
  <si>
    <t>Check Card Purchase Sp</t>
  </si>
  <si>
    <t>95a157eb3df84416b491b2dcc58484ac</t>
  </si>
  <si>
    <t>9a35af15adaf4f6aaa8f3313ed002062</t>
  </si>
  <si>
    <t>74586b259e1447678eb6b1f2e3456a32</t>
  </si>
  <si>
    <t>349dfc7455674b9e8b2c11f4ab7a732b</t>
  </si>
  <si>
    <t>29c1636d934c4f72955aa1f9f4d85806</t>
  </si>
  <si>
    <t>aec715a3b0104ef7bed8fc1b487f8318</t>
  </si>
  <si>
    <t>4a2ba4232c6d4d128ab4eeab010a8121</t>
  </si>
  <si>
    <t>Check Card Purchase Sole</t>
  </si>
  <si>
    <t>2fb660ef838b4778857a16174fdaa40b</t>
  </si>
  <si>
    <t>34cff386570c46c799fcffb7533be457</t>
  </si>
  <si>
    <t>ba14d53591e44395b449d8b5030b98e2</t>
  </si>
  <si>
    <t>36467401e1ad4c73891c8b2bb6d47c69</t>
  </si>
  <si>
    <t>11bd186679da4c908f688d4505c7f78d</t>
  </si>
  <si>
    <t>e9290c7cd12c418fa75a564659f34d7e</t>
  </si>
  <si>
    <t>311bd41d4f0849b9966cd9da1535a450</t>
  </si>
  <si>
    <t>04e769b51fd94ea79da26fddc80ecd7f</t>
  </si>
  <si>
    <t>fa43f667144a43febc4b75ad96e5bb53</t>
  </si>
  <si>
    <t>5c13f3caf60a42e7ab1ac8ec193cc93e</t>
  </si>
  <si>
    <t>9b6ceb43306c42178f88f441bfe3be7f</t>
  </si>
  <si>
    <t>7d628fc508ea45848343ad34a9e90158</t>
  </si>
  <si>
    <t>2cb13892df5049fb96221ca14734c34a</t>
  </si>
  <si>
    <t>53b609c1e08f44518d81dcf8f234d712</t>
  </si>
  <si>
    <t>Wendy's</t>
  </si>
  <si>
    <t>a473bb08117f4beb98fb30909c2673c0</t>
  </si>
  <si>
    <t>095c101d97984d4585ebebc6dc3ed7a2</t>
  </si>
  <si>
    <t>1594f1b6ba1c43f3a1bb19ce50401c60</t>
  </si>
  <si>
    <t>1855d2f7dfca46028cf0c7992775c217</t>
  </si>
  <si>
    <t>d4c8e617734143cfaf312ead6ce01299</t>
  </si>
  <si>
    <t>f5aaad97d87d4ec8976108efc2d09b12</t>
  </si>
  <si>
    <t>946e23984a2745e884d53e2dc088ccb5</t>
  </si>
  <si>
    <t>Check Card Purchase Manny</t>
  </si>
  <si>
    <t>691cd44116e4479b975519052b5d4f04</t>
  </si>
  <si>
    <t>131dd8bd34a8433c90002f96e9f3ad86</t>
  </si>
  <si>
    <t>eed67476aa884b699cdac03a7cc71828</t>
  </si>
  <si>
    <t>3815d7e9b887480d8de74998efdff2a4</t>
  </si>
  <si>
    <t>de145c5e9d1e4190b6c16f391cf17488</t>
  </si>
  <si>
    <t>030c6cab039a44b18c02c4312966574b</t>
  </si>
  <si>
    <t>8576c4970fb34f588eb35be0a324fa16</t>
  </si>
  <si>
    <t>8e691ffab9284ff58c1dd36563c840f5</t>
  </si>
  <si>
    <t>1bd6e7ea8fea446bb4dac49470b18b1b</t>
  </si>
  <si>
    <t>37dab17802b84124921a0da7ab2e1c11</t>
  </si>
  <si>
    <t>61eddb764bac4797b15c672a88c2fead</t>
  </si>
  <si>
    <t>ee0e0c6e557044288d696c8821d527d4</t>
  </si>
  <si>
    <t>413882746e70405489c3ed1ddfb081f5</t>
  </si>
  <si>
    <t>1718792f37104cf5a10fc5767abb6502</t>
  </si>
  <si>
    <t>4b09d232db1447cd85b29316e424252d</t>
  </si>
  <si>
    <t>d38779fa2b734674857a464b82509944</t>
  </si>
  <si>
    <t>c4e3abf1d7f14e978b44205e91483c7b</t>
  </si>
  <si>
    <t>9fa5d9e9b3d74c538979f451c56aa8c6</t>
  </si>
  <si>
    <t>509e02a61ace436796bd9081d2cd905c</t>
  </si>
  <si>
    <t>65b54d1990ad438aa00bb23c70485c41</t>
  </si>
  <si>
    <t>85dcc72289d14cfbbcbdecaee626e4a2</t>
  </si>
  <si>
    <t>78a632b73d20426c9a47793d034988e8</t>
  </si>
  <si>
    <t>43b66d55e9e0438cb2bb233b53a8cf8b</t>
  </si>
  <si>
    <t>ad6740daedeb4ff986a9aefa73c962bb</t>
  </si>
  <si>
    <t>d5d58b8856104c5b9bc82cae0d7dbc05</t>
  </si>
  <si>
    <t>3849c40a836c4ad9a56363c52bc9f508</t>
  </si>
  <si>
    <t>99421eafdbfa47b2be2de70f91a47360</t>
  </si>
  <si>
    <t>Check Card Purchase Azucar</t>
  </si>
  <si>
    <t>98950ee51111426391be0c188145a824</t>
  </si>
  <si>
    <t>2275804ba4e549fba8671e923699591a</t>
  </si>
  <si>
    <t>1c3cbfbc4fa14201b96b190d41b71431</t>
  </si>
  <si>
    <t>23983571f3be4b08b2a9945827a5f772</t>
  </si>
  <si>
    <t>c0c2349b43234344a2569495b8f55426</t>
  </si>
  <si>
    <t>9c88f05e164448a2b840112d567be277</t>
  </si>
  <si>
    <t>64cc6ae12a5a498ebd5d3b4b1b38d521</t>
  </si>
  <si>
    <t>9439df3c285747cb8547f2d424e1d34a</t>
  </si>
  <si>
    <t>53d28ad092cd4408ac59cf5fb5999fb8</t>
  </si>
  <si>
    <t>4cf3b133df0b45619d4b6aba01b7b186</t>
  </si>
  <si>
    <t>c273046a319847f8bd41dfd666abe230</t>
  </si>
  <si>
    <t>6c4592bccf464bca8bec9d5ad0b3ab13</t>
  </si>
  <si>
    <t>b4c819a4403c472cb5cbab1ed74014bf</t>
  </si>
  <si>
    <t>0df6e92b284b4dd4a8a19f43157d10a4</t>
  </si>
  <si>
    <t>b26afb2413ca42fdbaa2858aa6e8e709</t>
  </si>
  <si>
    <t>5307c98fb736491890148450ffc48596</t>
  </si>
  <si>
    <t>7894350f065e4b12b9967c9510e96fce</t>
  </si>
  <si>
    <t>9637b3e056024784932c1c8e83697ee0</t>
  </si>
  <si>
    <t>f1eb1f81460a45db8a4bff267c70e62c</t>
  </si>
  <si>
    <t>a721cf6dad07490982ab567c4ab6c933</t>
  </si>
  <si>
    <t>2cd4450f2e9a4876934c25b906760a62</t>
  </si>
  <si>
    <t>726b4d546cb348f3be8370ede0973ee4</t>
  </si>
  <si>
    <t>b1826524404c490792ec5748660c415a</t>
  </si>
  <si>
    <t>a9a48186607142fc8b7d34fad5aa4f88</t>
  </si>
  <si>
    <t>c32b42fa8b5041de8af7df334b82d0c7</t>
  </si>
  <si>
    <t>680ac4fcef484443a4e83f996bfd6143</t>
  </si>
  <si>
    <t>4e52eb673c9e407ca5f72c2923365d54</t>
  </si>
  <si>
    <t>71a7e10b8a44421ab6349566b6cb71a5</t>
  </si>
  <si>
    <t>742410e88ccb4ec8a0bb43da2c08b32d</t>
  </si>
  <si>
    <t>18467ccd5f9a4b12927bf47f30a51367</t>
  </si>
  <si>
    <t>1c0df322d55b4f57b32cb7c1a4d5f640</t>
  </si>
  <si>
    <t>8bed65f5e9f84b17941ec5902b913c89</t>
  </si>
  <si>
    <t>92a8e6f3fd774fcfa7a0420a0ed40731</t>
  </si>
  <si>
    <t>3711465acc204401a5c140e83290561a</t>
  </si>
  <si>
    <t>60d405d6f6714838be0bed6c605f5ee1</t>
  </si>
  <si>
    <t>ff986ebc242d4198aebcad487a542767</t>
  </si>
  <si>
    <t>a221bcfa333a4dcf93e87e9244df5e7f</t>
  </si>
  <si>
    <t>dd7973e08ab4421fa3c1fd4db08f5c51</t>
  </si>
  <si>
    <t>4ef5a2ebb58a43caa6c0c8d76c93a424</t>
  </si>
  <si>
    <t>47cbaa4f750b4dcab5ac2eff727ea4d7</t>
  </si>
  <si>
    <t>2d9658cbf51d444b8046af85c546f45d</t>
  </si>
  <si>
    <t>5fd9c0d5b5b24127a65ca4522bd1f7cb</t>
  </si>
  <si>
    <t>ee4428cc432e4d2bba3e33c32823ebbc</t>
  </si>
  <si>
    <t>e34d422c31714b9081e15ea6aaf21c6d</t>
  </si>
  <si>
    <t>7be93dbd8ac7469084e16b34941509c4</t>
  </si>
  <si>
    <t>Check Card Purchase Tropicana</t>
  </si>
  <si>
    <t>ecda7c057e0740edb333913ee36e12a9</t>
  </si>
  <si>
    <t>26ae2cc24e5740fb9c60c1911ec5fde9</t>
  </si>
  <si>
    <t>31f0fe26900743d1a9c973b08e540abb</t>
  </si>
  <si>
    <t>ad61b07b1a50409d931c562736d1f43d</t>
  </si>
  <si>
    <t>7493f65fff5445469d3b00662b155b3b</t>
  </si>
  <si>
    <t>ff401050ae4345fa854c6c4109bcd831</t>
  </si>
  <si>
    <t>5da5aa8de85c481ca238e3a8129a8631</t>
  </si>
  <si>
    <t>05e2b6012f2a4cc9b8c4eb0e78ba9d81</t>
  </si>
  <si>
    <t>6aa1973cff8f4603aafca24b3f49c9bf</t>
  </si>
  <si>
    <t>46d4b82505b34901822b88ff78d7f77c</t>
  </si>
  <si>
    <t>b7171c9e8e9c4d59bdd2fc8bebda6a8e</t>
  </si>
  <si>
    <t>04bb612064cd4d0bb51c14a5f37628ce</t>
  </si>
  <si>
    <t>Check Card Purchase Aldi</t>
  </si>
  <si>
    <t>fca91f5bcc644567b2397ec7c5773f12</t>
  </si>
  <si>
    <t>513b21eff5e14ba792d65a4febed4d3f</t>
  </si>
  <si>
    <t>70cb6740e1d74fe6bc593895d5b02652</t>
  </si>
  <si>
    <t>090f719f072444f4ba5daf1589bbfc93</t>
  </si>
  <si>
    <t>abbb70c7c26247ce8ad70cfc8ff847ec</t>
  </si>
  <si>
    <t>d226c7d94d514ac78b96265c568a6c1b</t>
  </si>
  <si>
    <t>fc01014a34e048d883b3107bb91d5dd1</t>
  </si>
  <si>
    <t>fb55e60d31f9493997c888e1b38f263e</t>
  </si>
  <si>
    <t>718f681e9a8440e29af119cb996a9012</t>
  </si>
  <si>
    <t>54f16478954647e890209e0a71a44648</t>
  </si>
  <si>
    <t>6c81afdb57c04b73a26c3f036dc9c77d</t>
  </si>
  <si>
    <t>a0091d5bf9d4439d94ddf3026f38a377</t>
  </si>
  <si>
    <t>be0fbebf12c04f3f815bda92464e5c0f</t>
  </si>
  <si>
    <t>ebdc3931d6024d99bb6e561dd1ce67ef</t>
  </si>
  <si>
    <t>d11aabb78f344fefa1b38aa507f7350e</t>
  </si>
  <si>
    <t>3ca2c2c6d57946a998d2dbd99385b535</t>
  </si>
  <si>
    <t>2ee737a2d3144a6c91b107fc602d6c52</t>
  </si>
  <si>
    <t>af0c6fd9c91041b6b276bde425b88713</t>
  </si>
  <si>
    <t>062df95a34ef4527824c467ca40a57bd</t>
  </si>
  <si>
    <t>0679e60ab76240ab85a92cf85d122fa1</t>
  </si>
  <si>
    <t>afa08bd7e36b4f1b8c45f714fecbf70a</t>
  </si>
  <si>
    <t>cfa6e2bf8f4a4359bbf4a0ab1e087c7f</t>
  </si>
  <si>
    <t>dbaf9882b8ad4d9d951731dbc7458e25</t>
  </si>
  <si>
    <t>789e1d94e9234da8849b9f9c329cf137</t>
  </si>
  <si>
    <t>fd661fb61a144dba841f10ab79c83ba9</t>
  </si>
  <si>
    <t>3fa3c804e7b34006bfa28133ec2ce67f</t>
  </si>
  <si>
    <t>f752c866c723457faa8ed178789469cd</t>
  </si>
  <si>
    <t>f019d91577cb4466ac34472c858ee712</t>
  </si>
  <si>
    <t>0c36fe0f756b4769a87c9e9be2e1c372</t>
  </si>
  <si>
    <t>b532597af6ca414f9235bd141f2945bf</t>
  </si>
  <si>
    <t>c563e2a6258d44568072f4d92971db34</t>
  </si>
  <si>
    <t>9f6870af1e854ac3bfcbe55343123366</t>
  </si>
  <si>
    <t>941f10ddfec049c2b8dcfbada1e7dcd7</t>
  </si>
  <si>
    <t>7f6de05cc0664d9fb85cc42e5c3a15c3</t>
  </si>
  <si>
    <t>3f8c5b06428a486ab263d14346d8db06</t>
  </si>
  <si>
    <t>166a069866234155a746423b6dfee295</t>
  </si>
  <si>
    <t>05c92806f5b246baa16bca6fe1991941</t>
  </si>
  <si>
    <t>8acd53f2f3af418c9b28b807ba0f0ea1</t>
  </si>
  <si>
    <t>4b5bfc6651dd49eb9dd9025ea7db2b85</t>
  </si>
  <si>
    <t>8d733899ce2147fdb8b501a461541cb0</t>
  </si>
  <si>
    <t>172afcf9f11c4814b2aaa6069029915d</t>
  </si>
  <si>
    <t>c72950f270c443f5a523a57dbc1312cf</t>
  </si>
  <si>
    <t>e9ea079825f3489d850a1993e94c792e</t>
  </si>
  <si>
    <t>855fcbf3af7540c8912dafaa71a52739</t>
  </si>
  <si>
    <t>d155a26732df4c9f9af4c57ce573cf51</t>
  </si>
  <si>
    <t>5a8a9cc8f7594a94a4de868fb7ce285d</t>
  </si>
  <si>
    <t>785b692348fb45e6a035bd2fbf50c8fa</t>
  </si>
  <si>
    <t>95b9514852174e11b3057632675dd35b</t>
  </si>
  <si>
    <t>44dc5dab00c147439b1422eab613bb5a</t>
  </si>
  <si>
    <t>738cf07caa6a48dcab9529466e4d3d71</t>
  </si>
  <si>
    <t>371cf59d4b22411bb1ed3c2b9809934d</t>
  </si>
  <si>
    <t>569f690641f2459583e3a789bba20d37</t>
  </si>
  <si>
    <t>17399f836782431d8a8fa9d3f09d54a7</t>
  </si>
  <si>
    <t>24467d757936412e95c0e679599322c8</t>
  </si>
  <si>
    <t>6715e2b8666e4c1faf8fd8117e322a9c</t>
  </si>
  <si>
    <t>c9d2264da8f2407d9bd8cce17cdff216</t>
  </si>
  <si>
    <t>b1444a5145614798b9ee52c81179fb2e</t>
  </si>
  <si>
    <t>a118d1fcd5914b54b0a52c450a14fbbf</t>
  </si>
  <si>
    <t>a766738bd3a84fad83f0b32e93cded8f</t>
  </si>
  <si>
    <t>25a6c29314a940aea5b87788c61508e8</t>
  </si>
  <si>
    <t>96f2b7ce922e4ced8192785bb0eac562</t>
  </si>
  <si>
    <t>c3cd73995e2942358c6883d70ce522dd</t>
  </si>
  <si>
    <t>fe75432f1d0444a0b29d092224cd1acd</t>
  </si>
  <si>
    <t>7c856f2f273842e1902c33c0c3f39a8b</t>
  </si>
  <si>
    <t>57116f8af91443efb22ce1911381318b</t>
  </si>
  <si>
    <t>bced4b4a2bda4eefa778e6bbd635871f</t>
  </si>
  <si>
    <t>e633176b1f50439e92098e73563aa0a9</t>
  </si>
  <si>
    <t>e517272b373a48d7a72f73d6bb8bcd73</t>
  </si>
  <si>
    <t>Check Card Purchase Auntie</t>
  </si>
  <si>
    <t>ce0c5c30c1ca4310a142876ec11b49c0</t>
  </si>
  <si>
    <t>29ad3498d70548beade5ea00f30e61f8</t>
  </si>
  <si>
    <t>24e887d9dffb445480f69e81ddc41072</t>
  </si>
  <si>
    <t>2031b93ce14544a4b95ac001c7131b40</t>
  </si>
  <si>
    <t>5d1d0cff114d44c9805a968f76693689</t>
  </si>
  <si>
    <t>58d4a9970f5445f28a271bc47878280e</t>
  </si>
  <si>
    <t>0b63017ae7ef46fdb2418c5f0bd97b26</t>
  </si>
  <si>
    <t>5981edb8496444bba479a81b5cf7a2f7</t>
  </si>
  <si>
    <t>30c4a5252d954fa7aa60b603b1d78514</t>
  </si>
  <si>
    <t>5421e578bca84a72810a157b9478dcc0</t>
  </si>
  <si>
    <t>ee4883fb3a854b07beaacdb2b514b7c8</t>
  </si>
  <si>
    <t>9a477c42d74047e39946ec98eb7b4879</t>
  </si>
  <si>
    <t>7a60a643d0d6486c8587056c4dd459e3</t>
  </si>
  <si>
    <t>65fd201184584725992db6df858984ec</t>
  </si>
  <si>
    <t>0f2c348b55be4700a8d2fef4f7259232</t>
  </si>
  <si>
    <t>a649e26b9b23400c80344fc70065bb9a</t>
  </si>
  <si>
    <t>aefd350fa637470ab9b517c1eb2060b1</t>
  </si>
  <si>
    <t>3f563ef7499c4e6eb61715fc807a4bcc</t>
  </si>
  <si>
    <t>8a2e3fdc879c4de2ac0f57cf8ddc1935</t>
  </si>
  <si>
    <t>79a0804deee542c78d79bebd81f8fb60</t>
  </si>
  <si>
    <t>163e775f2df94394b1744050fd12a244</t>
  </si>
  <si>
    <t>2ac20dbf185a48f1915ef652792066e6</t>
  </si>
  <si>
    <t>76d0c7eb800e4ae1a9ec7866be75a381</t>
  </si>
  <si>
    <t>2895e222febe4e52afb4b07e70743ed9</t>
  </si>
  <si>
    <t>030fdc4a267e4065a3b375193ab92c1d</t>
  </si>
  <si>
    <t>51e67015f32946219bdde58818a03d7d</t>
  </si>
  <si>
    <t>ed12f788ef784c42bc6ba0e5e51188c3</t>
  </si>
  <si>
    <t>1a090b04d8084c72925040a28beb9614</t>
  </si>
  <si>
    <t>40daf630be1a4df4a6d3178923d046fa</t>
  </si>
  <si>
    <t>e4e6b9fae7be46ac97176e76b1c62048</t>
  </si>
  <si>
    <t>2c4bb0fda2db4e77912098c8b4c5983c</t>
  </si>
  <si>
    <t>30034cac3ca8493fa6a949c54c50a5d8</t>
  </si>
  <si>
    <t>5ccd9c71c46540c8a9f60d45c7bc2d33</t>
  </si>
  <si>
    <t>48721e36789947d3b72089688b8e111e</t>
  </si>
  <si>
    <t>6e0f8e72c1944780874cf60f264446bb</t>
  </si>
  <si>
    <t>6d2e7c7defb14af9982302b9ab7811b7</t>
  </si>
  <si>
    <t>Check Card Purchase Flawlessspo</t>
  </si>
  <si>
    <t>825d76baaea04cf7974ba00b442644d7</t>
  </si>
  <si>
    <t>4e048a83766f412095e47535c4ba5f70</t>
  </si>
  <si>
    <t>2a2830d088e6442084674feee0d62690</t>
  </si>
  <si>
    <t>943afb10766e42c5a979915fd94e0376</t>
  </si>
  <si>
    <t>636a0186481642ff806a40445c4258fb</t>
  </si>
  <si>
    <t>Check Card Purchase Usa</t>
  </si>
  <si>
    <t>bd672e19f2904491a755866b3da4eb41</t>
  </si>
  <si>
    <t>1e7cb32e213d4ba7acffe953f07ad1e6</t>
  </si>
  <si>
    <t>61c7ab10cdb44c9a90fe082e6ab34691</t>
  </si>
  <si>
    <t>5d6ec9ca23124077aba31b40c050b66c</t>
  </si>
  <si>
    <t>526c8c2ef788434f97fcde1ed41351be</t>
  </si>
  <si>
    <t>b5a63a79c4b24fc7a19c988a1da58d17</t>
  </si>
  <si>
    <t>59e5c2cd74ea4fc48afbe864af8354c0</t>
  </si>
  <si>
    <t>66c7e12a66384d4a99539dbcc2eda5a8</t>
  </si>
  <si>
    <t>b8778900ede9434fbde725cb482f0d95</t>
  </si>
  <si>
    <t>1aa0ec841ceb4cad8a4f69112ca18fae</t>
  </si>
  <si>
    <t>d8b46060bfce4122982cf4fd27d2d63f</t>
  </si>
  <si>
    <t>a906d48522b542f695b35203be415492</t>
  </si>
  <si>
    <t>4f9ad9f4d37f4887b0b3da666c378f42</t>
  </si>
  <si>
    <t>a4d2efdb77a04c608accd01689cb30d9</t>
  </si>
  <si>
    <t>6dc27581dab04edda9ba2291a882d51c</t>
  </si>
  <si>
    <t>f965875464c8432c884411959319bc59</t>
  </si>
  <si>
    <t>a237746adb0548c4a5e0f9302b959987</t>
  </si>
  <si>
    <t>6804d240b7124291818704b1899986cb</t>
  </si>
  <si>
    <t>18b8f5189b23499195779b3e780182b7</t>
  </si>
  <si>
    <t>4f0b2aa305ca4ed595823fb884e6ecc1</t>
  </si>
  <si>
    <t>159d5906b15342d1b079ac7ccc2db2a3</t>
  </si>
  <si>
    <t>6d30bbb5ccf2496bb8532446bc0fe8b9</t>
  </si>
  <si>
    <t>Check Card Purchase Golden</t>
  </si>
  <si>
    <t>c7cee3fda09b448da62bb1d891126a14</t>
  </si>
  <si>
    <t>9c2d7a0d54474cc7bd096ee16f9298f2</t>
  </si>
  <si>
    <t>d023080b8a49419db32a5d5867de83fa</t>
  </si>
  <si>
    <t>53f8c8e6e27d4e55b76443cebd57b743</t>
  </si>
  <si>
    <t>f3c30aed70604db5ab98702ce30860c4</t>
  </si>
  <si>
    <t>2dcd5e4c99dd4816bc06743ac2157b75</t>
  </si>
  <si>
    <t>173400e05f374a4bbc0d9ece44887fb0</t>
  </si>
  <si>
    <t>7891c8cabae449fa868404f9fa8edef3</t>
  </si>
  <si>
    <t>232e5d50d2b04a23b19ea69d29588290</t>
  </si>
  <si>
    <t>74df9069986b4f0685ef96b32c1a77c0</t>
  </si>
  <si>
    <t>29248e641a8d435ea1bb1daa690856a9</t>
  </si>
  <si>
    <t>0e3d83df589f4e49b170ce975a158783</t>
  </si>
  <si>
    <t>72743e24700846eea32782347c3dd771</t>
  </si>
  <si>
    <t>6aa180911a3e455f9fa3f21b5585c22b</t>
  </si>
  <si>
    <t>d67b9ba9f9474b789c4e18f17a7a58c4</t>
  </si>
  <si>
    <t>468c3a1b0a70413e8a06855cb76d50b4</t>
  </si>
  <si>
    <t>2eccafeb1b6e46e08e18c484e1c60f29</t>
  </si>
  <si>
    <t>41e17446a3e04c97b9dd57f1a2d8b8c6</t>
  </si>
  <si>
    <t>6374eace2518438dae8b400c21d3bf10</t>
  </si>
  <si>
    <t>77dc886789db4e38a394c02d15fb871e</t>
  </si>
  <si>
    <t>affc6701c1dd4f2a90dad2d2e3751b7d</t>
  </si>
  <si>
    <t>eabe695e9a9348ff9c00f1f238d735c1</t>
  </si>
  <si>
    <t>8ba82baa8ed845f89a50497e769a6234</t>
  </si>
  <si>
    <t>ba10b03be3424f83815e9c4a737752ec</t>
  </si>
  <si>
    <t>49ba494ba8124e0a970096260caf2f33</t>
  </si>
  <si>
    <t>6b748da5641a4a749bb66ddadf9181e0</t>
  </si>
  <si>
    <t>755198e176094217a9f3670b3e5146d5</t>
  </si>
  <si>
    <t>45133b443bd64f75baa086c1dcad3822</t>
  </si>
  <si>
    <t>6f1dbb43edf542febfabdbbcbaaa1584</t>
  </si>
  <si>
    <t>28e6f5565e6145fda9998294f85efeda</t>
  </si>
  <si>
    <t>2ff1898e3c404499bd20ca57def50f12</t>
  </si>
  <si>
    <t>Non Suntrust Atm Fee</t>
  </si>
  <si>
    <t>34b2426e549a418ab41b0610ad168529</t>
  </si>
  <si>
    <t>75cbdd7adc4b40b5be1ba945aac8445c</t>
  </si>
  <si>
    <t>Check Card Purchase Miller</t>
  </si>
  <si>
    <t>cb78e03b5fa94b868a35bf11601620b9</t>
  </si>
  <si>
    <t>4ef3870391e14a519960431fa7206ed8</t>
  </si>
  <si>
    <t>7950fb62beed41e39df80eeb33fe58c8</t>
  </si>
  <si>
    <t>09118c534b994e14a1b218fc95c4c959</t>
  </si>
  <si>
    <t>2549501bd292474abc7951648d950a54</t>
  </si>
  <si>
    <t>Atm Cash Withdrawal</t>
  </si>
  <si>
    <t>c94b5e9f22cf4c33a440c6e90c7c2870</t>
  </si>
  <si>
    <t>26d5443d84104b35a7a2640bf7fad11f</t>
  </si>
  <si>
    <t>b9fa530f60194068a2a97d7a6a7aed16</t>
  </si>
  <si>
    <t>776b504e846a480a8a20f696748f0bca</t>
  </si>
  <si>
    <t>ef281fe2200e4bab8114793949f3ca9a</t>
  </si>
  <si>
    <t>a76cb67b0a194816b36ab2b4b14a2bb9</t>
  </si>
  <si>
    <t>4a09ea620e624a79b614773c2c602717</t>
  </si>
  <si>
    <t>1b6e6ffdd8204675986b3447794d57e3</t>
  </si>
  <si>
    <t>df7e97b9a4574338aa1b8480100f3e17</t>
  </si>
  <si>
    <t>fe3acc292d894e70a4a7363cae3b6721</t>
  </si>
  <si>
    <t>28a591838e12458e822df859f4bef702</t>
  </si>
  <si>
    <t>a42dd7ed510343599c7836950563e79c</t>
  </si>
  <si>
    <t>e8ebfe95857b466bae6ef52608a26a0f</t>
  </si>
  <si>
    <t>Electronic Debit Mdmotorvehicleki E</t>
  </si>
  <si>
    <t>0a0461cfd8774893b7177ce21913f13b</t>
  </si>
  <si>
    <t>249dc6ec63e54ba88731be9dac89ca35</t>
  </si>
  <si>
    <t>2283e1d145f94ddbbec99c6c0f4e4dc3</t>
  </si>
  <si>
    <t>46e8d37a66da4c7fbaabe9d9e87d3a24</t>
  </si>
  <si>
    <t>190ef7d9a0bb41d58eb7158e2f0fec5f</t>
  </si>
  <si>
    <t>4b42b8324c6c4e3c8aa93356f47c2e80</t>
  </si>
  <si>
    <t>512084078d6e4d34bc659f111ee0d1bb</t>
  </si>
  <si>
    <t>332f06c595934d478bc8f4f734ac06b5</t>
  </si>
  <si>
    <t>f1dce69bc879434db606dc7eba82e0b3</t>
  </si>
  <si>
    <t>868a12babe5b49df8a09946d328f55e0</t>
  </si>
  <si>
    <t>f6440f8d83b34ceda4cf630884bb3e32</t>
  </si>
  <si>
    <t>2cba4d5c268b4a849def86e4f6427569</t>
  </si>
  <si>
    <t>Check Card Purchase Dept</t>
  </si>
  <si>
    <t>14106d25a30e48a695a1fdb9e0388a40</t>
  </si>
  <si>
    <t>70fc618972bf466b8b503b1698fffd91</t>
  </si>
  <si>
    <t>303900598e91475a89b6aba89569c9f5</t>
  </si>
  <si>
    <t>d8d60b78f29549b5a2d93a4d8afbe9e9</t>
  </si>
  <si>
    <t>Deposit</t>
  </si>
  <si>
    <t>b494d1faf8124c27b4edf02ccb60aece</t>
  </si>
  <si>
    <t>Overdraft Item Fee Refund</t>
  </si>
  <si>
    <t>a834ee3dac2545199720f2c6c1f668bb</t>
  </si>
  <si>
    <t>65ec7eab7d8d40138146304e1d04b784</t>
  </si>
  <si>
    <t>Check Card Purchase Schoolbus</t>
  </si>
  <si>
    <t>1d5df62181684225bc2351f7d08bec07</t>
  </si>
  <si>
    <t>409dc6e14bd34c888b1846a6954fd819</t>
  </si>
  <si>
    <t>851efa3409e349a28a78de0e89071fd1</t>
  </si>
  <si>
    <t>09220c3959394902bb87d6724c7d86ac</t>
  </si>
  <si>
    <t>a3173948af7c4c309d391c953bbb8e50</t>
  </si>
  <si>
    <t>Check Card Purchase Md</t>
  </si>
  <si>
    <t>92c94aa849714a9fa73c6b74088ad650</t>
  </si>
  <si>
    <t>afaca9cc128f40eb9dbaa88b82e93f3a</t>
  </si>
  <si>
    <t>60f6f436f9c84d7da410511898cce4ff</t>
  </si>
  <si>
    <t>fdb6cf993b014550a1f2820a366fa1d8</t>
  </si>
  <si>
    <t>145b5761c99b4e0b97137d6e01f61602</t>
  </si>
  <si>
    <t>4a15137622574072a3d1be507ee38314</t>
  </si>
  <si>
    <t>065ed1cd9a3c430a972c341963c7c3c2</t>
  </si>
  <si>
    <t>0482e8dd56894ae093d9ccc69791d6ab</t>
  </si>
  <si>
    <t>73a05819c2a64d918379d37540660c1b</t>
  </si>
  <si>
    <t>92209073c2614b9ca64880e12bc54693</t>
  </si>
  <si>
    <t>53e9e9edaddf47439bf73a53beccaf5e</t>
  </si>
  <si>
    <t>8396a43d9e8b432eafe420d3afa2e6ee</t>
  </si>
  <si>
    <t>296b58130f5b478da1ae41a8f2e1ab61</t>
  </si>
  <si>
    <t>Check Card Purchase Cmsvend</t>
  </si>
  <si>
    <t>fa4f1cb21a09420c939373a1fa4fec0b</t>
  </si>
  <si>
    <t>8f486d82d77142c389d23bc266559192</t>
  </si>
  <si>
    <t>65720c065415416dad9ecf73b050fadd</t>
  </si>
  <si>
    <t>89d8ba0fc8854795a9fd5ab52e726796</t>
  </si>
  <si>
    <t>f36fad9ab175409d8bfa1da55303261d</t>
  </si>
  <si>
    <t>6fde4621f5e4453b850c2acd922bd6f9</t>
  </si>
  <si>
    <t>Electronic Debit Suntrust Bankcar</t>
  </si>
  <si>
    <t>82083f7161ff4da580571c7521ed3fe3</t>
  </si>
  <si>
    <t>b154ce146a904ea9888476d923cf0374</t>
  </si>
  <si>
    <t>Check Card Purchase Gigi</t>
  </si>
  <si>
    <t>5195cc534ba342e78137f28ede31bd5e</t>
  </si>
  <si>
    <t>Check Card Purchase Silver</t>
  </si>
  <si>
    <t>a1072f2c85ec455888cf5835dcd7cc44</t>
  </si>
  <si>
    <t>92cef651a7324b98bc768a18fa8bc36a</t>
  </si>
  <si>
    <t>5c09f824beea4059ac41020f9cb89360</t>
  </si>
  <si>
    <t>b50f8f5b17d044cdb36c671b46359f84</t>
  </si>
  <si>
    <t>8ea0122de0fd430593943296bcd7e964</t>
  </si>
  <si>
    <t>669bf8c9e66743959a50c787721310d1</t>
  </si>
  <si>
    <t>1a85863bcde246bebdddffac533b76e0</t>
  </si>
  <si>
    <t>98712c9bdca242f78c0443986e59d768</t>
  </si>
  <si>
    <t>5abc560f3e6b4d1f883043c19caec919</t>
  </si>
  <si>
    <t>cc2a48dbde9e44d7b976b50683526294</t>
  </si>
  <si>
    <t>c01b9fdaf96942fa82e749ced0a9b118</t>
  </si>
  <si>
    <t>bba239279c894b9798621c1a6975c3e3</t>
  </si>
  <si>
    <t>b6c72a7655a448449de5df14cd8e934b</t>
  </si>
  <si>
    <t>9dc45258b59d460f84126c37e0fab13a</t>
  </si>
  <si>
    <t>8edc7eb4a472414b9c5c99fe92533803</t>
  </si>
  <si>
    <t>5b05c505b8ff492dbb628bc5b40835f6</t>
  </si>
  <si>
    <t>0688d5ea9e1f469492a771f196e55763</t>
  </si>
  <si>
    <t>037cdc49bb0c4cec8e0dd9b95a380374</t>
  </si>
  <si>
    <t>a0c24d26b41641249139933d83eec8f6</t>
  </si>
  <si>
    <t>61f94113a10b44e0a6af982816b504c5</t>
  </si>
  <si>
    <t>bac9456524f74ab9b6ee3b077abe92f6</t>
  </si>
  <si>
    <t>663382f110714c709da9be6164fc9209</t>
  </si>
  <si>
    <t>c501ba339ff7426db6bb921c9eec4702</t>
  </si>
  <si>
    <t>68bdc1fc6b0f43118eb51fd72b571ef5</t>
  </si>
  <si>
    <t>89b22e474dad46b28796f16ef3f4cffc</t>
  </si>
  <si>
    <t>28a1cab4c7b945fe98a28bec98e45d25</t>
  </si>
  <si>
    <t>fa2cbdb3e6de459b9ba16d7281091a36</t>
  </si>
  <si>
    <t>7c84f32beded41ce916839a3f541fc75</t>
  </si>
  <si>
    <t>25a55b25837744f188a46a2b4d6d5b68</t>
  </si>
  <si>
    <t>80b721d20f294d08bdba45d7f69b7c6b</t>
  </si>
  <si>
    <t>ba7e47c52b944eb6b43463f11a67acc5</t>
  </si>
  <si>
    <t>0339222fc5b944a28812c26a697c6c84</t>
  </si>
  <si>
    <t>810798d8423b48e6875428b0fd30c4e1</t>
  </si>
  <si>
    <t>9a14d83dd9ba439f8ec7ed72e894522a</t>
  </si>
  <si>
    <t>7c44500d2ddc4522a83360ebaa26085c</t>
  </si>
  <si>
    <t>7e3a12f360c3442c97e8a51c71d609d1</t>
  </si>
  <si>
    <t>14a49e799f58405aabdb6c7e81274ee1</t>
  </si>
  <si>
    <t>Kohl's</t>
  </si>
  <si>
    <t>c57fe7bb0b1d484fba66fe1246352080</t>
  </si>
  <si>
    <t>14bcbefcdc1f408998a7a98b3f3d1aa2</t>
  </si>
  <si>
    <t>bdbc1c18293144849c052343480f23cc</t>
  </si>
  <si>
    <t>a245608bbc7a42bf8d7076a60dc9e8c1</t>
  </si>
  <si>
    <t>e3acb4fbe12c4a42996d7b10733ba47b</t>
  </si>
  <si>
    <t>b0ee960e4d4045378dd9c81a0b32fd1d</t>
  </si>
  <si>
    <t>94e001d0a7914bf9a2d3471118f55c2a</t>
  </si>
  <si>
    <t>0275a283e376429ca3816a5234647edb</t>
  </si>
  <si>
    <t>7f0a225b295d4a0382a8c6750121a504</t>
  </si>
  <si>
    <t>6aa146ccaba2420d8bad1f684f36e55b</t>
  </si>
  <si>
    <t>7990b3ba8925439a84ae3ef5424b6914</t>
  </si>
  <si>
    <t>e9e3014e721e4f3dada559e41a9d4538</t>
  </si>
  <si>
    <t>26d298151e634afa91109758cec5fd3f</t>
  </si>
  <si>
    <t>77d2a0993e5e416c91f903839c8a18c0</t>
  </si>
  <si>
    <t>2c3722a3b3774cb4a536df209a941dde</t>
  </si>
  <si>
    <t>70b386bc25b64286b2477f0b052fc39c</t>
  </si>
  <si>
    <t>2711e842cfcb4887b9bc1d71a24957fd</t>
  </si>
  <si>
    <t>59308cb146494dd98d4caf0fb6664f29</t>
  </si>
  <si>
    <t>c5483c43d666434c86bfba3d16ea7dbd</t>
  </si>
  <si>
    <t>8823c67e0b27484eb08f407f1f719311</t>
  </si>
  <si>
    <t>66a96fe25e0947fe88a5269c970c3cec</t>
  </si>
  <si>
    <t>0ec62897b33942cf823bdf10f4ded256</t>
  </si>
  <si>
    <t>1059de028e77415f916bceee48c61f21</t>
  </si>
  <si>
    <t>60643457d41c483589d80f302f7d75f1</t>
  </si>
  <si>
    <t>272f53cf42f24675ab7e41a414947ac4</t>
  </si>
  <si>
    <t>1c7e19c722ec45a0a356a6952a2753ef</t>
  </si>
  <si>
    <t>0911c5fb0d9745408518a23d9b412010</t>
  </si>
  <si>
    <t>1b26d3109e70403295464270f0b9d3cb</t>
  </si>
  <si>
    <t>a1704b44ebfe43829e44c8e646b85fb1</t>
  </si>
  <si>
    <t>e974f60993744814a2eaa1115337c850</t>
  </si>
  <si>
    <t>1d889c741410433f92e4d46441ba8b73</t>
  </si>
  <si>
    <t>aa6ea58762c34505a9ff6e234162623e</t>
  </si>
  <si>
    <t>73eb2e5dff3844a29a5af24ef5a6f497</t>
  </si>
  <si>
    <t>8b48b5c6f11740819277efce36e7bc2b</t>
  </si>
  <si>
    <t>b94f51f634f241ebb334a8ede1b37766</t>
  </si>
  <si>
    <t>0294837516f4401892b715e8aef180cb</t>
  </si>
  <si>
    <t>8ae78fd2e6b8427e97702cf55b4c094c</t>
  </si>
  <si>
    <t>374cdde6ea2a45fc8aa047833d79e489</t>
  </si>
  <si>
    <t>dea33bffe8d64e279c372143e647d04a</t>
  </si>
  <si>
    <t>8931add843ff49e5a7a077598e84565b</t>
  </si>
  <si>
    <t>3402562722c649868ce726aa42a8c394</t>
  </si>
  <si>
    <t>c5cc81f8b9bb4e77863f9c3e7190f32a</t>
  </si>
  <si>
    <t>d35179e9d21740a6a6467853e91b46e0</t>
  </si>
  <si>
    <t>9e3ec88b962342ceba7ec5f3cf75c378</t>
  </si>
  <si>
    <t>556f1011c12c4a1db3d4cdd5287d38bb</t>
  </si>
  <si>
    <t>bb6adb09fc094b62b29da29cc726c52b</t>
  </si>
  <si>
    <t>4b71055d2b20413eab16e84e49726c8c</t>
  </si>
  <si>
    <t>b88eaf90081f4f978f61108147ab331b</t>
  </si>
  <si>
    <t>5d0511ea3acc413bab4e9177ececf7c7</t>
  </si>
  <si>
    <t>16d4bb1e15f34040a16692a0f8d843a9</t>
  </si>
  <si>
    <t>eea79507beaa43f5b01491f50f461525</t>
  </si>
  <si>
    <t>cdd1602036e149f99de842cec6d91567</t>
  </si>
  <si>
    <t>77df1e37c9dc4d4cbe23ac6f45507571</t>
  </si>
  <si>
    <t>1d56d32ba34e4d639158ae302e15484f</t>
  </si>
  <si>
    <t>9c8b5948673141428681a70ea3366bc4</t>
  </si>
  <si>
    <t>184f1d6d46d54a5b87df3c6b6bbc6c4c</t>
  </si>
  <si>
    <t>15d9320b1a4c460f9b7eb2083fcec0b3</t>
  </si>
  <si>
    <t>6cede81f2acb49388c4db78f87c4b7f7</t>
  </si>
  <si>
    <t>f7a00b2b6bed448f9c93f8ce623615e4</t>
  </si>
  <si>
    <t>bc64d7f13d014b969fb309eb230175eb</t>
  </si>
  <si>
    <t>Overdraft Item Fee Not</t>
  </si>
  <si>
    <t>fa2c403042174cf195c83c009a3e72f4</t>
  </si>
  <si>
    <t>29217f351581424db463726d5e8b33ed</t>
  </si>
  <si>
    <t>409d8882988a479b8664dda1dce324a2</t>
  </si>
  <si>
    <t>9de36f75f34b4c2488c09c6d0fcad8b7</t>
  </si>
  <si>
    <t>06ace2cc1ef346b8a5af1ac557e1a8fb</t>
  </si>
  <si>
    <t>d3c152c4a37547d596539aa6df526e4a</t>
  </si>
  <si>
    <t>33eb1ce7421040ccbcd70bd1ee6bc728</t>
  </si>
  <si>
    <t>09f997025e63410cab8e87bf6b0ff31a</t>
  </si>
  <si>
    <t>cbf339f886084374a5f58c8286bb3a7d</t>
  </si>
  <si>
    <t>f467c2b7976f4aafbda7e5de54d9b613</t>
  </si>
  <si>
    <t>c2a09e2774f146938504f3138e46c9f0</t>
  </si>
  <si>
    <t>b3b9be6b8ffb4761906a7c41ff6491eb</t>
  </si>
  <si>
    <t>1cbc5be5f3bf45a09e6db4a3d63375f0</t>
  </si>
  <si>
    <t>d3d4b8c50a5a422080b68e1ea3fece2c</t>
  </si>
  <si>
    <t>5bdc29df56d84a98a9506f01b4ca74c7</t>
  </si>
  <si>
    <t>f1029b11342246b3aa1b5439aa05528f</t>
  </si>
  <si>
    <t>e074f449fe6948b5abc6695db708e782</t>
  </si>
  <si>
    <t>b26e68de5b644a448b731725cc37fd6b</t>
  </si>
  <si>
    <t>ed5ec4253c5145cc9175523b00eb8b20</t>
  </si>
  <si>
    <t>f4d7eba6a5ef4bef9232791bd3fd33cb</t>
  </si>
  <si>
    <t>Electronic Debit Speedpay Wssc</t>
  </si>
  <si>
    <t>44a56f8478bb45a6a3e9aa1578231b02</t>
  </si>
  <si>
    <t>8ed561276e8c41bb8389aefb27c99c0a</t>
  </si>
  <si>
    <t>d8aa4202c76f40c985e868a52d5d8266</t>
  </si>
  <si>
    <t>596612781c2f45c198d3bea1b80fdfe8</t>
  </si>
  <si>
    <t>bdff2d691dd64d69b500e08c5b3538a0</t>
  </si>
  <si>
    <t>b1e1b78c8e51418fa323c285d2ade9fa</t>
  </si>
  <si>
    <t>d860c3a5a88f4deb908344fb9b66064d</t>
  </si>
  <si>
    <t>3adf5e9f15314333ace2961c909de254</t>
  </si>
  <si>
    <t>3b90fbfc74f042dfb76b192bbdacbe9c</t>
  </si>
  <si>
    <t>23692a43ea724a62bdc7bf37485f1cf0</t>
  </si>
  <si>
    <t>bae5a8cc859749629567e12fa8a6cdec</t>
  </si>
  <si>
    <t>bf5ce3f4038342f9b1c61355740e4c54</t>
  </si>
  <si>
    <t>311d8fbfa15647a98e53227328ad1ec8</t>
  </si>
  <si>
    <t>1b2ebe6829184996b4c4b5d812da5a81</t>
  </si>
  <si>
    <t>29d728533cd3421fa8245050fda0b17d</t>
  </si>
  <si>
    <t>b6ede90f22e74893a4ddcd450ad4b00b</t>
  </si>
  <si>
    <t>289d9df91c17470887069dc1dfd00f76</t>
  </si>
  <si>
    <t>487c923cb38b471e901fcd96354cc362</t>
  </si>
  <si>
    <t>Check Card Purchase Staples</t>
  </si>
  <si>
    <t>5b92254097284155b9929bf4bc708871</t>
  </si>
  <si>
    <t>ac74c118df8740c19306d5d195c8bad4</t>
  </si>
  <si>
    <t>4ec07cd716f84d209ac50d1890166e7f</t>
  </si>
  <si>
    <t>534ba5e73ec7401b8c49e37d9c96f9a5</t>
  </si>
  <si>
    <t>a5a764671bfe4b1596724be0477ba8d0</t>
  </si>
  <si>
    <t>6b6ae50ebf3741e3b4eaca86e6d998a4</t>
  </si>
  <si>
    <t>4d0a2c045c744b008f2bdf076e60af67</t>
  </si>
  <si>
    <t>6bad97f23fcc466e866525beeb5785a0</t>
  </si>
  <si>
    <t>61633d243cfe46248c20ec39f901fcec</t>
  </si>
  <si>
    <t>Check Card Purchase The</t>
  </si>
  <si>
    <t>c0f83db1a3684fda875c91c73f2c13a7</t>
  </si>
  <si>
    <t>5c8a9cb49feb4041a69282dfd0e92916</t>
  </si>
  <si>
    <t>c27c14e4f9b34872a4e50a8abde027de</t>
  </si>
  <si>
    <t>e355d1d8b9d84812b9c01b6d238deb7b</t>
  </si>
  <si>
    <t>981410e34f6b461c8c1735bb42ae7533</t>
  </si>
  <si>
    <t>c745a401447c4355bcef301ec0f0ada8</t>
  </si>
  <si>
    <t>f91c5bafa40d42f2a8970c58035838d5</t>
  </si>
  <si>
    <t>00885e76e092459298ca2fb25b00e859</t>
  </si>
  <si>
    <t>Check Card Purchase Masa</t>
  </si>
  <si>
    <t>820545d8ad7d4f91bf262f095dcadc94</t>
  </si>
  <si>
    <t>fbc9eb1114c742c7a9a0cf8946768d40</t>
  </si>
  <si>
    <t>bce6b2256a8d49c9b314ea61cc434f51</t>
  </si>
  <si>
    <t>f8bc41f491164565ba9665c30b6eea6d</t>
  </si>
  <si>
    <t>ae01be55f7a54be8b7d8e80610e9a77d</t>
  </si>
  <si>
    <t>74b4209befa94d56a449efbdd32ae77d</t>
  </si>
  <si>
    <t>04989a6c147f4c09b029f7d96660370c</t>
  </si>
  <si>
    <t>d1b484c363b5479c82e172d8418cb9ed</t>
  </si>
  <si>
    <t>11d5e1522b2b4aae9a7ddf5b98d1474b</t>
  </si>
  <si>
    <t>184c9cbb9c9a4a4199d33b00d0261b88</t>
  </si>
  <si>
    <t>9511f30856ba4b72a570cb98f1ac5c41</t>
  </si>
  <si>
    <t>7327dbe48d3d48e29ea9ea4c8d6d1025</t>
  </si>
  <si>
    <t>e799a0de6b334139be9e50a6096d1981</t>
  </si>
  <si>
    <t>69a4936597f34ff79e33859aebef8863</t>
  </si>
  <si>
    <t>9341707bf2cb483189d1ed5313aa7320</t>
  </si>
  <si>
    <t>341baba197e44416b242460d2bf7d93e</t>
  </si>
  <si>
    <t>73ee7a71ccf94f14b5b1fcbc03c88b9a</t>
  </si>
  <si>
    <t>Frequency</t>
  </si>
  <si>
    <t>YTD/Annual Cost</t>
  </si>
  <si>
    <t>Price Change $</t>
  </si>
  <si>
    <t>Last Date Paid</t>
  </si>
  <si>
    <t>Upcoming Pay Date</t>
  </si>
  <si>
    <t>Sum from Trans</t>
  </si>
  <si>
    <t>Upcoming Days</t>
  </si>
  <si>
    <t>Rank_Days</t>
  </si>
  <si>
    <t>Rank_Annual</t>
  </si>
  <si>
    <t>User Added</t>
  </si>
  <si>
    <t>Recurring Expenses</t>
  </si>
  <si>
    <t>Money in Excel automatically identifies which transactions are recurring. If any recurring expenses are missing, input them into empty rows.
Our system will use 1) Merchant, 2) Amount $, 3) and Frequency to search for these transactions in the future and monitor prices.</t>
  </si>
  <si>
    <t>Recurring Expenses Details</t>
  </si>
  <si>
    <t>Most Costly Recurring Expenses</t>
  </si>
  <si>
    <t>Annual Cost</t>
  </si>
  <si>
    <t>Upcoming Due Dates</t>
  </si>
  <si>
    <t>$ Amount</t>
  </si>
  <si>
    <t>Days to Pay</t>
  </si>
  <si>
    <t>FREQUENCY KEY</t>
  </si>
  <si>
    <t>Weekly</t>
  </si>
  <si>
    <t>Monthly</t>
  </si>
  <si>
    <t>Quarterly</t>
  </si>
  <si>
    <t>Annual</t>
  </si>
  <si>
    <t>a36684c6cc8a402e8c2cf99a8e29b8a0</t>
  </si>
  <si>
    <t>f95ec81a473c48febed64722b3cd4567</t>
  </si>
  <si>
    <t>733e186ad45c41c18cdbd0db71529383</t>
  </si>
  <si>
    <t>97ac467f47ed4d2587fe9463fa2b1d99</t>
  </si>
  <si>
    <t>10356f54718044df8b62308dc482e640</t>
  </si>
  <si>
    <t>f5004c8526f74da69afb1ec3bc1654f3</t>
  </si>
  <si>
    <t>bae3166a432246f8a5f5bfe277a884d0</t>
  </si>
  <si>
    <t>Loan</t>
  </si>
  <si>
    <t>7376689a73f04ecd8b60a33ff72eca9f</t>
  </si>
  <si>
    <t>Insurance</t>
  </si>
  <si>
    <t>TransAmerica Life Insurance</t>
  </si>
  <si>
    <t>Shen Life Insurance</t>
  </si>
  <si>
    <t xml:space="preserve">Username: </t>
  </si>
  <si>
    <t>Password:</t>
  </si>
  <si>
    <t>Verizon</t>
  </si>
  <si>
    <t>Verizon Wireless</t>
  </si>
  <si>
    <t>44d8b5f616c94a5abb1bba30de4f123c</t>
  </si>
  <si>
    <t>3a7b9681a72246a7b6d8c44c0037c119</t>
  </si>
  <si>
    <t>XBOX Live</t>
  </si>
  <si>
    <t>Xbox Live</t>
  </si>
  <si>
    <t>9fd9623113b14378b3151d18e87991ca</t>
  </si>
  <si>
    <t>Door Dash Pass</t>
  </si>
  <si>
    <t>1fcc54d44edd46dabe6a9e1f754e9b91</t>
  </si>
  <si>
    <t>Amercican Home Shield</t>
  </si>
  <si>
    <t>78cd7f00d91d4a11b62fc27c980e85e0</t>
  </si>
  <si>
    <t>CVS Care Pass</t>
  </si>
  <si>
    <t>bba6eb3df4614aa195dc047d4eae2f58</t>
  </si>
  <si>
    <t>Transfer to Khalil</t>
  </si>
  <si>
    <t>Chase Credit Card Payment</t>
  </si>
  <si>
    <t>Transfer to Danette</t>
  </si>
  <si>
    <t>Transfer to Kenneth</t>
  </si>
  <si>
    <t>Recurring Blizzard Entertainment</t>
  </si>
  <si>
    <t>Pepco</t>
  </si>
  <si>
    <t>JC Penny</t>
  </si>
  <si>
    <t>Unknown</t>
  </si>
  <si>
    <t>Kohls</t>
  </si>
  <si>
    <t>Transfaer to Danette</t>
  </si>
  <si>
    <t>Transfer to Kalishia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</si>
</sst>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6" formatCode="&quot;$&quot;#,##0_);[Red]\(&quot;$&quot;#,##0\)"/>
    <numFmt numFmtId="44" formatCode="_(&quot;$&quot;* #,##0.00_);_(&quot;$&quot;* \(#,##0.00\);_(&quot;$&quot;* &quot;-&quot;??_);_(@_)"/>
    <numFmt numFmtId="164" formatCode="&quot;$&quot;#,##0.00"/>
    <numFmt numFmtId="165" formatCode="_([$$-409]* #,##0_);_([$$-409]* \(#,##0\);_([$$-409]* &quot;-&quot;??_);_(@_)"/>
    <numFmt numFmtId="166" formatCode="mm/dd/yyyy"/>
    <numFmt numFmtId="167" formatCode="0000"/>
    <numFmt numFmtId="168" formatCode="[$-409]mmm\-yy;@"/>
    <numFmt numFmtId="169" formatCode="[$-409]mmmm\-yy;@"/>
    <numFmt numFmtId="170" formatCode="0.0%"/>
    <numFmt numFmtId="171" formatCode="&quot;$&quot;#,##0"/>
    <numFmt numFmtId="172" formatCode="mmmm\ yyyy"/>
    <numFmt numFmtId="173" formatCode="&quot;$&quot;#,###"/>
    <numFmt numFmtId="176" formatCode="_(&quot;$&quot;* #,##0_);_(&quot;$&quot;* \(#,##0\);_(&quot;$&quot;* &quot;-&quot;??_);_(@_)"/>
  </numFmts>
  <fonts count="40" x14ac:knownFonts="1">
    <font>
      <sz val="11"/>
      <color theme="1"/>
      <name val="Calibri"/>
      <family val="2"/>
      <scheme val="minor"/>
    </font>
    <font>
      <u/>
      <sz val="11"/>
      <color theme="10"/>
      <name val="Calibri"/>
      <family val="2"/>
      <scheme val="minor"/>
    </font>
    <font>
      <sz val="11"/>
      <color theme="1" tint="0.249977111117893"/>
      <name val="Calibri"/>
      <family val="2"/>
      <scheme val="minor"/>
    </font>
    <font>
      <sz val="28"/>
      <color theme="1" tint="0.249977111117893"/>
      <name val="Calibri"/>
      <family val="2"/>
      <scheme val="minor"/>
    </font>
    <font>
      <b/>
      <sz val="11"/>
      <color theme="1"/>
      <name val="Calibri"/>
      <family val="2"/>
      <scheme val="minor"/>
    </font>
    <font>
      <b/>
      <u/>
      <sz val="14"/>
      <color theme="1"/>
      <name val="Calibri"/>
      <family val="2"/>
      <scheme val="minor"/>
    </font>
    <font>
      <sz val="12"/>
      <name val="Calibri"/>
      <family val="2"/>
      <scheme val="minor"/>
    </font>
    <font>
      <sz val="11"/>
      <color rgb="FF0000FF"/>
      <name val="Calibri"/>
      <family val="2"/>
      <scheme val="minor"/>
    </font>
    <font>
      <b/>
      <sz val="14"/>
      <color theme="1"/>
      <name val="Calibri"/>
      <family val="2"/>
      <scheme val="minor"/>
    </font>
    <font>
      <sz val="12"/>
      <color theme="1"/>
      <name val="Calibri"/>
      <family val="2"/>
      <scheme val="minor"/>
    </font>
    <font>
      <sz val="11"/>
      <name val="Calibri"/>
      <family val="2"/>
      <scheme val="minor"/>
    </font>
    <font>
      <sz val="14"/>
      <color theme="1"/>
      <name val="Calibri"/>
      <family val="2"/>
      <scheme val="minor"/>
    </font>
    <font>
      <sz val="11"/>
      <color rgb="FF0078D4"/>
      <name val="Calibri"/>
      <family val="2"/>
      <scheme val="minor"/>
    </font>
    <font>
      <sz val="11"/>
      <color rgb="FF7030A0"/>
      <name val="Calibri"/>
      <family val="2"/>
      <scheme val="minor"/>
    </font>
    <font>
      <b/>
      <u/>
      <sz val="12"/>
      <color theme="1"/>
      <name val="Calibri"/>
      <family val="2"/>
      <scheme val="minor"/>
    </font>
    <font>
      <b/>
      <u/>
      <sz val="11"/>
      <color theme="10"/>
      <name val="Calibri"/>
      <family val="2"/>
      <scheme val="minor"/>
    </font>
    <font>
      <b/>
      <sz val="12"/>
      <color theme="1"/>
      <name val="Calibri"/>
      <family val="2"/>
      <scheme val="minor"/>
    </font>
    <font>
      <i/>
      <sz val="11"/>
      <color theme="1"/>
      <name val="Calibri"/>
      <family val="2"/>
      <scheme val="minor"/>
    </font>
    <font>
      <b/>
      <sz val="11"/>
      <color theme="1" tint="0.249977111117893"/>
      <name val="Calibri"/>
      <family val="2"/>
      <scheme val="minor"/>
    </font>
    <font>
      <b/>
      <sz val="24"/>
      <color rgb="FF2C7B50"/>
      <name val="Calibri"/>
      <family val="2"/>
      <scheme val="minor"/>
    </font>
    <font>
      <sz val="11"/>
      <color rgb="FF2C7B50"/>
      <name val="Calibri"/>
      <family val="2"/>
      <scheme val="minor"/>
    </font>
    <font>
      <sz val="12"/>
      <color theme="1" tint="0.249977111117893"/>
      <name val="Calibri"/>
      <family val="2"/>
      <scheme val="minor"/>
    </font>
    <font>
      <b/>
      <sz val="12"/>
      <color theme="1" tint="0.249977111117893"/>
      <name val="Calibri"/>
      <family val="2"/>
      <scheme val="minor"/>
    </font>
    <font>
      <b/>
      <sz val="14"/>
      <name val="Calibri"/>
      <family val="2"/>
      <scheme val="minor"/>
    </font>
    <font>
      <b/>
      <sz val="12"/>
      <name val="Calibri"/>
      <family val="2"/>
      <scheme val="minor"/>
    </font>
    <font>
      <b/>
      <sz val="11"/>
      <name val="Calibri"/>
      <family val="2"/>
      <scheme val="minor"/>
    </font>
    <font>
      <sz val="11"/>
      <color rgb="FF3078CD"/>
      <name val="Calibri"/>
      <family val="2"/>
      <scheme val="minor"/>
    </font>
    <font>
      <b/>
      <sz val="16"/>
      <color theme="1" tint="0.249977111117893"/>
      <name val="Calibri"/>
      <family val="2"/>
      <scheme val="minor"/>
    </font>
    <font>
      <sz val="12"/>
      <color theme="1" tint="0.499984740745262"/>
      <name val="Calibri"/>
      <family val="2"/>
      <scheme val="minor"/>
    </font>
    <font>
      <sz val="12"/>
      <color theme="4"/>
      <name val="Calibri"/>
      <family val="2"/>
      <scheme val="minor"/>
    </font>
    <font>
      <sz val="12"/>
      <color theme="1" tint="0.34998626667073579"/>
      <name val="Calibri"/>
      <family val="2"/>
      <scheme val="minor"/>
    </font>
    <font>
      <sz val="11"/>
      <color theme="1"/>
      <name val="Calibri"/>
      <family val="2"/>
      <scheme val="minor"/>
    </font>
    <font>
      <sz val="11"/>
      <color rgb="FF000000"/>
      <name val="Calibri"/>
      <family val="2"/>
      <scheme val="minor"/>
    </font>
    <font>
      <sz val="28"/>
      <color rgb="FF000000"/>
      <name val="Calibri"/>
      <family val="2"/>
      <scheme val="minor"/>
    </font>
    <font>
      <sz val="12"/>
      <color rgb="FF000000"/>
      <name val="Calibri"/>
      <family val="2"/>
      <scheme val="minor"/>
    </font>
    <font>
      <b/>
      <sz val="12"/>
      <color rgb="FF000000"/>
      <name val="Calibri"/>
      <family val="2"/>
      <scheme val="minor"/>
    </font>
    <font>
      <b/>
      <sz val="11"/>
      <color rgb="FF3078CD"/>
      <name val="Calibri"/>
      <family val="2"/>
      <scheme val="minor"/>
    </font>
    <font>
      <sz val="5"/>
      <color rgb="FF000000"/>
      <name val="Calibri"/>
      <family val="2"/>
      <scheme val="minor"/>
    </font>
    <font>
      <b/>
      <sz val="10"/>
      <color theme="1"/>
      <name val="Calibri"/>
      <family val="2"/>
      <scheme val="minor"/>
    </font>
    <font>
      <b/>
      <sz val="11"/>
      <color rgb="FF000000"/>
      <name val="Calibri"/>
      <family val="2"/>
      <scheme val="minor"/>
    </font>
  </fonts>
  <fills count="22">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rgb="FFF0F8FF"/>
        <bgColor indexed="64"/>
      </patternFill>
    </fill>
    <fill>
      <patternFill patternType="solid">
        <fgColor rgb="FFA0D7FF"/>
        <bgColor indexed="64"/>
      </patternFill>
    </fill>
    <fill>
      <patternFill patternType="solid">
        <fgColor theme="0"/>
        <bgColor indexed="64"/>
      </patternFill>
    </fill>
    <fill>
      <patternFill patternType="solid">
        <fgColor rgb="FF00AE56"/>
        <bgColor indexed="64"/>
      </patternFill>
    </fill>
    <fill>
      <patternFill patternType="solid">
        <fgColor rgb="FFD9D9D9"/>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1D4E88"/>
        <bgColor indexed="64"/>
      </patternFill>
    </fill>
    <fill>
      <patternFill patternType="solid">
        <fgColor rgb="FF33A8B8"/>
        <bgColor indexed="64"/>
      </patternFill>
    </fill>
    <fill>
      <patternFill patternType="solid">
        <fgColor rgb="FF3078CD"/>
        <bgColor indexed="64"/>
      </patternFill>
    </fill>
    <fill>
      <patternFill patternType="solid">
        <fgColor rgb="FFF3AD59"/>
        <bgColor indexed="64"/>
      </patternFill>
    </fill>
    <fill>
      <patternFill patternType="solid">
        <fgColor rgb="FF668A95"/>
        <bgColor indexed="64"/>
      </patternFill>
    </fill>
    <fill>
      <patternFill patternType="solid">
        <fgColor rgb="FFB9D272"/>
        <bgColor indexed="64"/>
      </patternFill>
    </fill>
    <fill>
      <patternFill patternType="solid">
        <fgColor rgb="FFC9DFFA"/>
        <bgColor indexed="64"/>
      </patternFill>
    </fill>
    <fill>
      <patternFill patternType="solid">
        <fgColor rgb="FF4EAA5E"/>
        <bgColor indexed="64"/>
      </patternFill>
    </fill>
    <fill>
      <patternFill patternType="solid">
        <fgColor rgb="FFE1F0D9"/>
        <bgColor indexed="64"/>
      </patternFill>
    </fill>
    <fill>
      <patternFill patternType="solid">
        <fgColor rgb="FFF2F2F2"/>
        <bgColor indexed="64"/>
      </patternFill>
    </fill>
    <fill>
      <patternFill patternType="solid">
        <fgColor rgb="FFD7EEE2"/>
        <bgColor indexed="64"/>
      </patternFill>
    </fill>
  </fills>
  <borders count="43">
    <border>
      <left/>
      <right/>
      <top/>
      <bottom/>
      <diagonal/>
    </border>
    <border>
      <left/>
      <right/>
      <top style="thin">
        <color indexed="64"/>
      </top>
      <bottom/>
      <diagonal/>
    </border>
    <border>
      <left style="thin">
        <color theme="0" tint="-0.249977111117893"/>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bottom/>
      <diagonal/>
    </border>
    <border>
      <left/>
      <right/>
      <top style="thin">
        <color theme="0" tint="-0.34998626667073579"/>
      </top>
      <bottom style="thin">
        <color theme="0" tint="-0.34998626667073579"/>
      </bottom>
      <diagonal/>
    </border>
    <border>
      <left/>
      <right/>
      <top/>
      <bottom style="medium">
        <color theme="0" tint="-0.499984740745262"/>
      </bottom>
      <diagonal/>
    </border>
    <border>
      <left/>
      <right/>
      <top/>
      <bottom style="thin">
        <color theme="0" tint="-0.34998626667073579"/>
      </bottom>
      <diagonal/>
    </border>
    <border>
      <left/>
      <right/>
      <top style="medium">
        <color theme="0" tint="-0.499984740745262"/>
      </top>
      <bottom/>
      <diagonal/>
    </border>
    <border>
      <left style="thin">
        <color auto="1"/>
      </left>
      <right style="thin">
        <color auto="1"/>
      </right>
      <top/>
      <bottom/>
      <diagonal/>
    </border>
    <border>
      <left style="thin">
        <color auto="1"/>
      </left>
      <right style="thin">
        <color auto="1"/>
      </right>
      <top/>
      <bottom style="medium">
        <color theme="0" tint="-0.499984740745262"/>
      </bottom>
      <diagonal/>
    </border>
    <border>
      <left style="thin">
        <color auto="1"/>
      </left>
      <right style="thin">
        <color auto="1"/>
      </right>
      <top/>
      <bottom style="thin">
        <color theme="0" tint="-0.34998626667073579"/>
      </bottom>
      <diagonal/>
    </border>
    <border>
      <left/>
      <right/>
      <top style="thick">
        <color theme="6"/>
      </top>
      <bottom/>
      <diagonal/>
    </border>
    <border>
      <left style="medium">
        <color rgb="FFD9D9D9"/>
      </left>
      <right/>
      <top style="medium">
        <color rgb="FFD9D9D9"/>
      </top>
      <bottom/>
      <diagonal/>
    </border>
    <border>
      <left/>
      <right/>
      <top style="medium">
        <color rgb="FFD9D9D9"/>
      </top>
      <bottom/>
      <diagonal/>
    </border>
    <border>
      <left/>
      <right style="medium">
        <color rgb="FFD9D9D9"/>
      </right>
      <top style="medium">
        <color rgb="FFD9D9D9"/>
      </top>
      <bottom/>
      <diagonal/>
    </border>
    <border>
      <left style="medium">
        <color rgb="FFD9D9D9"/>
      </left>
      <right/>
      <top/>
      <bottom/>
      <diagonal/>
    </border>
    <border>
      <left/>
      <right style="medium">
        <color rgb="FFD9D9D9"/>
      </right>
      <top/>
      <bottom/>
      <diagonal/>
    </border>
    <border>
      <left style="medium">
        <color rgb="FFD9D9D9"/>
      </left>
      <right/>
      <top/>
      <bottom style="medium">
        <color rgb="FFD9D9D9"/>
      </bottom>
      <diagonal/>
    </border>
    <border>
      <left/>
      <right/>
      <top/>
      <bottom style="medium">
        <color rgb="FFD9D9D9"/>
      </bottom>
      <diagonal/>
    </border>
    <border>
      <left/>
      <right style="medium">
        <color rgb="FFD9D9D9"/>
      </right>
      <top/>
      <bottom style="medium">
        <color rgb="FFD9D9D9"/>
      </bottom>
      <diagonal/>
    </border>
    <border>
      <left style="thick">
        <color rgb="FF75ADF0"/>
      </left>
      <right/>
      <top style="thick">
        <color rgb="FF75ADF0"/>
      </top>
      <bottom style="thick">
        <color rgb="FF75ADF0"/>
      </bottom>
      <diagonal/>
    </border>
    <border>
      <left/>
      <right/>
      <top style="thick">
        <color rgb="FF75ADF0"/>
      </top>
      <bottom style="thick">
        <color rgb="FF75ADF0"/>
      </bottom>
      <diagonal/>
    </border>
    <border>
      <left/>
      <right style="thick">
        <color rgb="FF75ADF0"/>
      </right>
      <top style="thick">
        <color rgb="FF75ADF0"/>
      </top>
      <bottom style="thick">
        <color rgb="FF75ADF0"/>
      </bottom>
      <diagonal/>
    </border>
    <border>
      <left/>
      <right style="thin">
        <color indexed="64"/>
      </right>
      <top style="thin">
        <color theme="0" tint="-0.34998626667073579"/>
      </top>
      <bottom style="thin">
        <color theme="0" tint="-0.34998626667073579"/>
      </bottom>
      <diagonal/>
    </border>
    <border>
      <left/>
      <right/>
      <top/>
      <bottom style="mediumDashed">
        <color auto="1"/>
      </bottom>
      <diagonal/>
    </border>
    <border>
      <left/>
      <right/>
      <top/>
      <bottom style="medium">
        <color auto="1"/>
      </bottom>
      <diagonal/>
    </border>
    <border>
      <left/>
      <right style="thin">
        <color rgb="FFA6A6A6"/>
      </right>
      <top/>
      <bottom/>
      <diagonal/>
    </border>
    <border>
      <left/>
      <right/>
      <top/>
      <bottom style="medium">
        <color rgb="FFB7B7B7"/>
      </bottom>
      <diagonal/>
    </border>
    <border>
      <left/>
      <right/>
      <top/>
      <bottom style="thin">
        <color rgb="FFA6A6A6"/>
      </bottom>
      <diagonal/>
    </border>
    <border>
      <left/>
      <right/>
      <top/>
      <bottom style="medium">
        <color rgb="FF000000"/>
      </bottom>
      <diagonal/>
    </border>
    <border>
      <left/>
      <right/>
      <top style="medium">
        <color rgb="FF000000"/>
      </top>
      <bottom style="medium">
        <color rgb="FF000000"/>
      </bottom>
      <diagonal/>
    </border>
    <border>
      <left/>
      <right/>
      <top style="medium">
        <color rgb="FFB7B7B7"/>
      </top>
      <bottom/>
      <diagonal/>
    </border>
    <border>
      <left style="medium">
        <color rgb="FFB7B7B7"/>
      </left>
      <right/>
      <top style="medium">
        <color rgb="FFB7B7B7"/>
      </top>
      <bottom/>
      <diagonal/>
    </border>
    <border>
      <left style="medium">
        <color rgb="FFB7B7B7"/>
      </left>
      <right/>
      <top/>
      <bottom style="medium">
        <color rgb="FF000000"/>
      </bottom>
      <diagonal/>
    </border>
    <border>
      <left style="medium">
        <color rgb="FFB7B7B7"/>
      </left>
      <right/>
      <top/>
      <bottom/>
      <diagonal/>
    </border>
    <border>
      <left/>
      <right style="medium">
        <color rgb="FFB7B7B7"/>
      </right>
      <top style="medium">
        <color rgb="FFB7B7B7"/>
      </top>
      <bottom/>
      <diagonal/>
    </border>
    <border>
      <left/>
      <right style="medium">
        <color rgb="FFB7B7B7"/>
      </right>
      <top/>
      <bottom/>
      <diagonal/>
    </border>
    <border>
      <left style="medium">
        <color rgb="FFB7B7B7"/>
      </left>
      <right/>
      <top/>
      <bottom style="medium">
        <color rgb="FFB7B7B7"/>
      </bottom>
      <diagonal/>
    </border>
    <border>
      <left/>
      <right style="medium">
        <color rgb="FFB7B7B7"/>
      </right>
      <top/>
      <bottom style="medium">
        <color rgb="FFB7B7B7"/>
      </bottom>
      <diagonal/>
    </border>
    <border>
      <left style="medium">
        <color rgb="FFB7B7B7"/>
      </left>
      <right/>
      <top style="medium">
        <color rgb="FF000000"/>
      </top>
      <bottom style="medium">
        <color rgb="FF000000"/>
      </bottom>
      <diagonal/>
    </border>
    <border>
      <left/>
      <right style="medium">
        <color rgb="FFB7B7B7"/>
      </right>
      <top style="medium">
        <color rgb="FF000000"/>
      </top>
      <bottom style="medium">
        <color rgb="FF000000"/>
      </bottom>
      <diagonal/>
    </border>
  </borders>
  <cellStyleXfs count="3">
    <xf numFmtId="0" fontId="0" fillId="0" borderId="0"/>
    <xf numFmtId="0" fontId="1" fillId="0" borderId="0" applyNumberFormat="0" applyFill="0" applyBorder="0" applyAlignment="0" applyProtection="0"/>
    <xf numFmtId="44" fontId="31" fillId="0" borderId="0" applyFont="0" applyFill="0" applyBorder="0" applyAlignment="0" applyProtection="0"/>
  </cellStyleXfs>
  <cellXfs count="236">
    <xf numFmtId="0" fontId="0" fillId="0" borderId="0" xfId="0"/>
    <xf numFmtId="0" fontId="2" fillId="2" borderId="3" xfId="0" applyFont="1" applyFill="1" applyBorder="1" applyAlignment="1">
      <alignment vertical="center"/>
    </xf>
    <xf numFmtId="0" fontId="2" fillId="2" borderId="4" xfId="0" applyFont="1" applyFill="1" applyBorder="1" applyAlignment="1">
      <alignment vertical="center"/>
    </xf>
    <xf numFmtId="0" fontId="2" fillId="7" borderId="4" xfId="0" applyFont="1" applyFill="1" applyBorder="1" applyAlignment="1">
      <alignment vertical="center"/>
    </xf>
    <xf numFmtId="0" fontId="2" fillId="7" borderId="0" xfId="0" applyFont="1" applyFill="1" applyAlignment="1">
      <alignment vertical="center"/>
    </xf>
    <xf numFmtId="0" fontId="2" fillId="2" borderId="0" xfId="0" applyFont="1" applyFill="1" applyAlignment="1">
      <alignment vertical="center"/>
    </xf>
    <xf numFmtId="0" fontId="2" fillId="0" borderId="0" xfId="0" applyFont="1" applyAlignment="1">
      <alignment vertical="center"/>
    </xf>
    <xf numFmtId="0" fontId="0" fillId="2" borderId="2" xfId="0" applyFont="1" applyFill="1" applyBorder="1" applyAlignment="1">
      <alignment vertical="center"/>
    </xf>
    <xf numFmtId="0" fontId="0" fillId="2" borderId="0" xfId="0" applyFont="1" applyFill="1" applyAlignment="1">
      <alignment vertical="center"/>
    </xf>
    <xf numFmtId="0" fontId="4" fillId="0" borderId="0" xfId="0" applyFont="1" applyAlignment="1">
      <alignment horizontal="centerContinuous" wrapText="1"/>
    </xf>
    <xf numFmtId="0" fontId="4" fillId="2" borderId="0" xfId="0" applyFont="1" applyFill="1" applyAlignment="1">
      <alignment horizontal="centerContinuous"/>
    </xf>
    <xf numFmtId="0" fontId="5" fillId="0" borderId="0" xfId="0" applyFont="1" applyAlignment="1">
      <alignment horizontal="center" wrapText="1"/>
    </xf>
    <xf numFmtId="14" fontId="0" fillId="2" borderId="0" xfId="0" applyNumberFormat="1" applyFont="1" applyFill="1"/>
    <xf numFmtId="0" fontId="0" fillId="2" borderId="0" xfId="0" applyFont="1" applyFill="1"/>
    <xf numFmtId="0" fontId="0" fillId="0" borderId="0" xfId="0" applyFont="1"/>
    <xf numFmtId="6" fontId="0" fillId="2" borderId="0" xfId="0" applyNumberFormat="1" applyFont="1" applyFill="1"/>
    <xf numFmtId="0" fontId="1" fillId="2" borderId="0" xfId="1" applyFont="1" applyFill="1"/>
    <xf numFmtId="172" fontId="4" fillId="2" borderId="0" xfId="0" applyNumberFormat="1" applyFont="1" applyFill="1"/>
    <xf numFmtId="0" fontId="0" fillId="2" borderId="0" xfId="0" applyFont="1" applyFill="1" applyAlignment="1">
      <alignment wrapText="1"/>
    </xf>
    <xf numFmtId="166" fontId="0" fillId="2" borderId="0" xfId="0" applyNumberFormat="1" applyFont="1" applyFill="1"/>
    <xf numFmtId="0" fontId="0" fillId="0" borderId="2" xfId="0" applyFont="1" applyBorder="1" applyAlignment="1">
      <alignment vertical="center"/>
    </xf>
    <xf numFmtId="0" fontId="0" fillId="0" borderId="0" xfId="0" applyFont="1" applyAlignment="1">
      <alignment vertical="center"/>
    </xf>
    <xf numFmtId="0" fontId="0" fillId="2" borderId="2" xfId="0" applyFont="1" applyFill="1" applyBorder="1"/>
    <xf numFmtId="0" fontId="7" fillId="2" borderId="0" xfId="0" applyFont="1" applyFill="1"/>
    <xf numFmtId="0" fontId="0" fillId="2" borderId="0" xfId="0" applyFont="1" applyFill="1" applyAlignment="1">
      <alignment horizontal="center"/>
    </xf>
    <xf numFmtId="0" fontId="0" fillId="10" borderId="0" xfId="0" applyFont="1" applyFill="1"/>
    <xf numFmtId="0" fontId="0" fillId="10" borderId="0" xfId="0" applyFont="1" applyFill="1" applyAlignment="1">
      <alignment horizontal="center"/>
    </xf>
    <xf numFmtId="169" fontId="0" fillId="10" borderId="0" xfId="0" applyNumberFormat="1" applyFont="1" applyFill="1"/>
    <xf numFmtId="165" fontId="0" fillId="10" borderId="0" xfId="0" applyNumberFormat="1" applyFont="1" applyFill="1"/>
    <xf numFmtId="165" fontId="0" fillId="2" borderId="0" xfId="0" applyNumberFormat="1" applyFont="1" applyFill="1"/>
    <xf numFmtId="14" fontId="0" fillId="10" borderId="0" xfId="0" applyNumberFormat="1" applyFont="1" applyFill="1"/>
    <xf numFmtId="6" fontId="0" fillId="10" borderId="0" xfId="0" applyNumberFormat="1" applyFont="1" applyFill="1"/>
    <xf numFmtId="171" fontId="2" fillId="10" borderId="0" xfId="0" applyNumberFormat="1" applyFont="1" applyFill="1"/>
    <xf numFmtId="0" fontId="0" fillId="2" borderId="14" xfId="0" applyFont="1" applyFill="1" applyBorder="1"/>
    <xf numFmtId="0" fontId="8" fillId="2" borderId="15" xfId="0" applyFont="1" applyFill="1" applyBorder="1"/>
    <xf numFmtId="0" fontId="0" fillId="2" borderId="15" xfId="0" applyFont="1" applyFill="1" applyBorder="1"/>
    <xf numFmtId="0" fontId="0" fillId="0" borderId="15" xfId="0" applyFont="1" applyBorder="1"/>
    <xf numFmtId="0" fontId="0" fillId="2" borderId="16" xfId="0" applyFont="1" applyFill="1" applyBorder="1"/>
    <xf numFmtId="169" fontId="0" fillId="9" borderId="0" xfId="0" applyNumberFormat="1" applyFont="1" applyFill="1"/>
    <xf numFmtId="169" fontId="0" fillId="0" borderId="0" xfId="0" applyNumberFormat="1" applyFont="1"/>
    <xf numFmtId="171" fontId="0" fillId="10" borderId="0" xfId="0" applyNumberFormat="1" applyFont="1" applyFill="1"/>
    <xf numFmtId="0" fontId="0" fillId="2" borderId="17" xfId="0" applyFont="1" applyFill="1" applyBorder="1"/>
    <xf numFmtId="0" fontId="9" fillId="2" borderId="0" xfId="0" applyFont="1" applyFill="1"/>
    <xf numFmtId="0" fontId="0" fillId="2" borderId="18" xfId="0" applyFont="1" applyFill="1" applyBorder="1"/>
    <xf numFmtId="0" fontId="0" fillId="11" borderId="0" xfId="0" applyFont="1" applyFill="1"/>
    <xf numFmtId="0" fontId="10" fillId="0" borderId="0" xfId="0" applyFont="1" applyAlignment="1">
      <alignment horizontal="left"/>
    </xf>
    <xf numFmtId="0" fontId="10" fillId="0" borderId="0" xfId="0" applyFont="1"/>
    <xf numFmtId="171" fontId="10" fillId="0" borderId="0" xfId="0" applyNumberFormat="1" applyFont="1"/>
    <xf numFmtId="0" fontId="11" fillId="0" borderId="0" xfId="0" applyFont="1"/>
    <xf numFmtId="0" fontId="8" fillId="0" borderId="0" xfId="0" applyFont="1" applyAlignment="1">
      <alignment vertical="center"/>
    </xf>
    <xf numFmtId="0" fontId="0" fillId="2" borderId="0" xfId="0" applyFont="1" applyFill="1" applyAlignment="1">
      <alignment horizontal="left"/>
    </xf>
    <xf numFmtId="171" fontId="0" fillId="0" borderId="0" xfId="0" applyNumberFormat="1" applyFont="1"/>
    <xf numFmtId="0" fontId="12" fillId="10" borderId="0" xfId="0" applyFont="1" applyFill="1"/>
    <xf numFmtId="165" fontId="13" fillId="10" borderId="0" xfId="0" applyNumberFormat="1" applyFont="1" applyFill="1"/>
    <xf numFmtId="0" fontId="0" fillId="12" borderId="0" xfId="0" applyFont="1" applyFill="1"/>
    <xf numFmtId="0" fontId="0" fillId="13" borderId="0" xfId="0" applyFont="1" applyFill="1"/>
    <xf numFmtId="0" fontId="4" fillId="0" borderId="0" xfId="0" applyFont="1"/>
    <xf numFmtId="0" fontId="14" fillId="0" borderId="0" xfId="0" applyFont="1"/>
    <xf numFmtId="0" fontId="8" fillId="0" borderId="0" xfId="0" applyFont="1"/>
    <xf numFmtId="170" fontId="15" fillId="0" borderId="0" xfId="1" applyNumberFormat="1" applyFont="1" applyFill="1" applyBorder="1" applyAlignment="1">
      <alignment horizontal="right" vertical="center"/>
    </xf>
    <xf numFmtId="0" fontId="4" fillId="2" borderId="0" xfId="0" applyFont="1" applyFill="1"/>
    <xf numFmtId="0" fontId="9" fillId="0" borderId="0" xfId="0" applyFont="1"/>
    <xf numFmtId="0" fontId="0" fillId="14" borderId="0" xfId="0" applyFont="1" applyFill="1"/>
    <xf numFmtId="171" fontId="0" fillId="2" borderId="0" xfId="0" applyNumberFormat="1" applyFont="1" applyFill="1"/>
    <xf numFmtId="0" fontId="15" fillId="0" borderId="0" xfId="1" applyFont="1" applyFill="1" applyBorder="1" applyAlignment="1">
      <alignment horizontal="right" vertical="center"/>
    </xf>
    <xf numFmtId="0" fontId="0" fillId="15" borderId="0" xfId="0" applyFont="1" applyFill="1"/>
    <xf numFmtId="0" fontId="8" fillId="0" borderId="0" xfId="0" applyFont="1" applyAlignment="1">
      <alignment horizontal="right" vertical="center"/>
    </xf>
    <xf numFmtId="0" fontId="0" fillId="16" borderId="0" xfId="0" applyFont="1" applyFill="1"/>
    <xf numFmtId="0" fontId="16" fillId="2" borderId="0" xfId="0" applyFont="1" applyFill="1"/>
    <xf numFmtId="171" fontId="16" fillId="2" borderId="0" xfId="0" applyNumberFormat="1" applyFont="1" applyFill="1"/>
    <xf numFmtId="0" fontId="15" fillId="0" borderId="0" xfId="1" applyFont="1" applyFill="1" applyBorder="1" applyAlignment="1"/>
    <xf numFmtId="0" fontId="0" fillId="2" borderId="19" xfId="0" applyFont="1" applyFill="1" applyBorder="1"/>
    <xf numFmtId="0" fontId="0" fillId="2" borderId="20" xfId="0" applyFont="1" applyFill="1" applyBorder="1"/>
    <xf numFmtId="0" fontId="0" fillId="2" borderId="21" xfId="0" applyFont="1" applyFill="1" applyBorder="1"/>
    <xf numFmtId="0" fontId="1" fillId="2" borderId="13" xfId="1" applyFont="1" applyFill="1" applyBorder="1"/>
    <xf numFmtId="0" fontId="0" fillId="2" borderId="13" xfId="0" applyFont="1" applyFill="1" applyBorder="1"/>
    <xf numFmtId="0" fontId="17" fillId="2" borderId="13" xfId="0" applyFont="1" applyFill="1" applyBorder="1" applyAlignment="1">
      <alignment horizontal="centerContinuous"/>
    </xf>
    <xf numFmtId="0" fontId="4" fillId="2" borderId="15" xfId="0" applyFont="1" applyFill="1" applyBorder="1" applyAlignment="1">
      <alignment horizontal="center"/>
    </xf>
    <xf numFmtId="0" fontId="18" fillId="0" borderId="0" xfId="0" applyFont="1"/>
    <xf numFmtId="0" fontId="18" fillId="0" borderId="0" xfId="0" applyFont="1" applyAlignment="1">
      <alignment horizontal="right"/>
    </xf>
    <xf numFmtId="0" fontId="15" fillId="0" borderId="20" xfId="1" applyFont="1" applyFill="1" applyBorder="1" applyAlignment="1"/>
    <xf numFmtId="0" fontId="0" fillId="0" borderId="20" xfId="0" applyFont="1" applyBorder="1"/>
    <xf numFmtId="0" fontId="8" fillId="0" borderId="15" xfId="0" applyFont="1" applyBorder="1"/>
    <xf numFmtId="0" fontId="0" fillId="0" borderId="16" xfId="0" applyFont="1" applyBorder="1"/>
    <xf numFmtId="0" fontId="0" fillId="0" borderId="18" xfId="0" applyFont="1" applyBorder="1"/>
    <xf numFmtId="0" fontId="4" fillId="3" borderId="0" xfId="0" applyFont="1" applyFill="1"/>
    <xf numFmtId="0" fontId="4" fillId="3" borderId="0" xfId="0" applyFont="1" applyFill="1" applyAlignment="1">
      <alignment horizontal="right"/>
    </xf>
    <xf numFmtId="0" fontId="18" fillId="0" borderId="18" xfId="0" applyFont="1" applyBorder="1" applyAlignment="1">
      <alignment horizontal="right"/>
    </xf>
    <xf numFmtId="0" fontId="4" fillId="3" borderId="0" xfId="0" applyFont="1" applyFill="1" applyAlignment="1">
      <alignment horizontal="left"/>
    </xf>
    <xf numFmtId="0" fontId="4" fillId="0" borderId="18" xfId="0" applyFont="1" applyBorder="1" applyAlignment="1">
      <alignment horizontal="right"/>
    </xf>
    <xf numFmtId="0" fontId="10" fillId="2" borderId="0" xfId="0" applyFont="1" applyFill="1"/>
    <xf numFmtId="0" fontId="10" fillId="2" borderId="17" xfId="0" applyFont="1" applyFill="1" applyBorder="1"/>
    <xf numFmtId="0" fontId="0" fillId="0" borderId="1" xfId="0" applyFont="1" applyBorder="1"/>
    <xf numFmtId="171" fontId="0" fillId="0" borderId="1" xfId="0" applyNumberFormat="1" applyFont="1" applyBorder="1"/>
    <xf numFmtId="171" fontId="2" fillId="0" borderId="18" xfId="0" applyNumberFormat="1" applyFont="1" applyBorder="1"/>
    <xf numFmtId="0" fontId="0" fillId="0" borderId="1" xfId="0" applyFont="1" applyBorder="1" applyAlignment="1">
      <alignment horizontal="left"/>
    </xf>
    <xf numFmtId="171" fontId="0" fillId="0" borderId="18" xfId="0" applyNumberFormat="1" applyFont="1" applyBorder="1"/>
    <xf numFmtId="0" fontId="0" fillId="10" borderId="0" xfId="0" applyFont="1" applyFill="1" applyAlignment="1">
      <alignment horizontal="left"/>
    </xf>
    <xf numFmtId="0" fontId="0" fillId="0" borderId="0" xfId="0" applyFont="1" applyAlignment="1">
      <alignment horizontal="left"/>
    </xf>
    <xf numFmtId="0" fontId="16" fillId="0" borderId="0" xfId="0" applyFont="1" applyAlignment="1">
      <alignment vertical="center"/>
    </xf>
    <xf numFmtId="171" fontId="19" fillId="0" borderId="0" xfId="0" applyNumberFormat="1" applyFont="1" applyAlignment="1">
      <alignment vertical="center"/>
    </xf>
    <xf numFmtId="171" fontId="20" fillId="0" borderId="0" xfId="0" applyNumberFormat="1" applyFont="1" applyAlignment="1">
      <alignment vertical="center"/>
    </xf>
    <xf numFmtId="171" fontId="20" fillId="0" borderId="0" xfId="0" applyNumberFormat="1" applyFont="1"/>
    <xf numFmtId="0" fontId="2" fillId="0" borderId="3" xfId="0" applyFont="1" applyBorder="1" applyAlignment="1">
      <alignment vertical="center"/>
    </xf>
    <xf numFmtId="164" fontId="2" fillId="7" borderId="4" xfId="0" applyNumberFormat="1" applyFont="1" applyFill="1" applyBorder="1" applyAlignment="1">
      <alignment vertical="center"/>
    </xf>
    <xf numFmtId="0" fontId="2" fillId="7" borderId="4" xfId="0" applyFont="1" applyFill="1" applyBorder="1" applyAlignment="1">
      <alignment horizontal="right" vertical="center"/>
    </xf>
    <xf numFmtId="0" fontId="2" fillId="7" borderId="5" xfId="0" applyFont="1" applyFill="1" applyBorder="1" applyAlignment="1">
      <alignment vertical="center"/>
    </xf>
    <xf numFmtId="0" fontId="2" fillId="6" borderId="0" xfId="0" applyFont="1" applyFill="1" applyAlignment="1">
      <alignment vertical="center"/>
    </xf>
    <xf numFmtId="0" fontId="2" fillId="6" borderId="0" xfId="0" applyFont="1" applyFill="1" applyAlignment="1">
      <alignment horizontal="right" vertical="center"/>
    </xf>
    <xf numFmtId="0" fontId="0" fillId="6" borderId="0" xfId="0" applyFont="1" applyFill="1" applyAlignment="1">
      <alignment vertical="center"/>
    </xf>
    <xf numFmtId="0" fontId="2" fillId="3" borderId="0" xfId="0" applyFont="1" applyFill="1" applyAlignment="1">
      <alignment vertical="center"/>
    </xf>
    <xf numFmtId="0" fontId="23" fillId="0" borderId="0" xfId="0" applyFont="1"/>
    <xf numFmtId="166" fontId="24" fillId="0" borderId="0" xfId="0" applyNumberFormat="1" applyFont="1" applyAlignment="1">
      <alignment vertical="center"/>
    </xf>
    <xf numFmtId="0" fontId="24" fillId="0" borderId="0" xfId="0" applyFont="1" applyAlignment="1" applyProtection="1">
      <alignment vertical="center"/>
      <protection locked="0"/>
    </xf>
    <xf numFmtId="164" fontId="24" fillId="0" borderId="0" xfId="0" applyNumberFormat="1" applyFont="1" applyAlignment="1">
      <alignment horizontal="right" vertical="center" indent="2"/>
    </xf>
    <xf numFmtId="0" fontId="24" fillId="0" borderId="0" xfId="0" applyFont="1" applyAlignment="1">
      <alignment vertical="center"/>
    </xf>
    <xf numFmtId="167" fontId="24" fillId="0" borderId="0" xfId="0" applyNumberFormat="1" applyFont="1" applyAlignment="1">
      <alignment vertical="center"/>
    </xf>
    <xf numFmtId="0" fontId="25" fillId="0" borderId="0" xfId="0" applyFont="1" applyAlignment="1">
      <alignment vertical="center"/>
    </xf>
    <xf numFmtId="14" fontId="0" fillId="0" borderId="0" xfId="0" applyNumberFormat="1" applyFont="1" applyAlignment="1">
      <alignment horizontal="left"/>
    </xf>
    <xf numFmtId="0" fontId="26" fillId="0" borderId="0" xfId="0" applyFont="1"/>
    <xf numFmtId="164" fontId="4" fillId="0" borderId="0" xfId="0" applyNumberFormat="1" applyFont="1"/>
    <xf numFmtId="0" fontId="6" fillId="0" borderId="0" xfId="0" applyFont="1" applyFill="1" applyAlignment="1" applyProtection="1">
      <alignment horizontal="left"/>
    </xf>
    <xf numFmtId="0" fontId="6" fillId="0" borderId="0" xfId="0" applyNumberFormat="1" applyFont="1" applyFill="1" applyAlignment="1" applyProtection="1">
      <alignment horizontal="left"/>
    </xf>
    <xf numFmtId="14" fontId="6" fillId="0" borderId="0" xfId="0" applyNumberFormat="1" applyFont="1" applyFill="1" applyAlignment="1" applyProtection="1">
      <alignment horizontal="left"/>
    </xf>
    <xf numFmtId="168" fontId="6" fillId="0" borderId="0" xfId="0" applyNumberFormat="1" applyFont="1" applyFill="1" applyAlignment="1" applyProtection="1">
      <alignment horizontal="left"/>
    </xf>
    <xf numFmtId="164" fontId="0" fillId="0" borderId="0" xfId="0" applyNumberFormat="1" applyFont="1"/>
    <xf numFmtId="0" fontId="0" fillId="0" borderId="26" xfId="0" applyFont="1" applyBorder="1" applyAlignment="1">
      <alignment horizontal="centerContinuous"/>
    </xf>
    <xf numFmtId="0" fontId="25" fillId="0" borderId="0" xfId="0" applyFont="1"/>
    <xf numFmtId="0" fontId="22" fillId="0" borderId="0" xfId="0" applyFont="1" applyBorder="1"/>
    <xf numFmtId="0" fontId="22" fillId="0" borderId="0" xfId="0" applyFont="1"/>
    <xf numFmtId="0" fontId="10" fillId="0" borderId="0" xfId="0" applyFont="1" applyAlignment="1"/>
    <xf numFmtId="0" fontId="28" fillId="0" borderId="0" xfId="0" applyFont="1"/>
    <xf numFmtId="0" fontId="28" fillId="0" borderId="10" xfId="0" applyFont="1" applyBorder="1"/>
    <xf numFmtId="0" fontId="10" fillId="0" borderId="1" xfId="0" applyFont="1" applyBorder="1"/>
    <xf numFmtId="0" fontId="28" fillId="0" borderId="7" xfId="0" applyFont="1" applyBorder="1"/>
    <xf numFmtId="0" fontId="28" fillId="0" borderId="11" xfId="0" applyFont="1" applyBorder="1"/>
    <xf numFmtId="0" fontId="29" fillId="4" borderId="12" xfId="0" applyFont="1" applyFill="1" applyBorder="1" applyProtection="1">
      <protection locked="0"/>
    </xf>
    <xf numFmtId="0" fontId="29" fillId="4" borderId="8" xfId="0" applyFont="1" applyFill="1" applyBorder="1" applyProtection="1">
      <protection locked="0"/>
    </xf>
    <xf numFmtId="0" fontId="30" fillId="0" borderId="0" xfId="0" applyFont="1"/>
    <xf numFmtId="0" fontId="3" fillId="6" borderId="0" xfId="0" applyFont="1" applyFill="1" applyAlignment="1">
      <alignment wrapText="1"/>
    </xf>
    <xf numFmtId="0" fontId="0" fillId="0" borderId="0" xfId="0" applyFont="1" applyAlignment="1">
      <alignment wrapText="1"/>
    </xf>
    <xf numFmtId="0" fontId="6" fillId="6" borderId="0" xfId="0" applyFont="1" applyFill="1" applyAlignment="1">
      <alignment horizontal="left" vertical="center" wrapText="1"/>
    </xf>
    <xf numFmtId="0" fontId="6" fillId="6" borderId="0" xfId="0" applyFont="1" applyFill="1" applyAlignment="1">
      <alignment vertical="center" wrapText="1"/>
    </xf>
    <xf numFmtId="0" fontId="29" fillId="4" borderId="9" xfId="0" applyFont="1" applyFill="1" applyBorder="1" applyProtection="1">
      <protection locked="0"/>
    </xf>
    <xf numFmtId="0" fontId="29" fillId="4" borderId="6" xfId="0" applyFont="1" applyFill="1" applyBorder="1" applyProtection="1">
      <protection locked="0"/>
    </xf>
    <xf numFmtId="0" fontId="29" fillId="4" borderId="25" xfId="0" applyFont="1" applyFill="1" applyBorder="1" applyProtection="1">
      <protection locked="0"/>
    </xf>
    <xf numFmtId="0" fontId="3" fillId="6" borderId="0" xfId="0" applyFont="1" applyFill="1" applyAlignment="1">
      <alignment wrapText="1"/>
    </xf>
    <xf numFmtId="0" fontId="0" fillId="0" borderId="0" xfId="0" applyFont="1" applyAlignment="1">
      <alignment wrapText="1"/>
    </xf>
    <xf numFmtId="172" fontId="6" fillId="17" borderId="22" xfId="0" applyNumberFormat="1" applyFont="1" applyFill="1" applyBorder="1" applyAlignment="1" applyProtection="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6" fillId="6" borderId="0" xfId="0" applyFont="1" applyFill="1" applyAlignment="1">
      <alignment horizontal="left" vertical="center" wrapText="1"/>
    </xf>
    <xf numFmtId="0" fontId="0" fillId="0" borderId="0" xfId="0" applyFont="1" applyAlignment="1">
      <alignment vertical="center" wrapText="1"/>
    </xf>
    <xf numFmtId="0" fontId="0" fillId="6" borderId="0" xfId="0" applyFont="1" applyFill="1" applyAlignment="1">
      <alignment wrapText="1"/>
    </xf>
    <xf numFmtId="0" fontId="21" fillId="6" borderId="0" xfId="0" applyFont="1" applyFill="1" applyAlignment="1">
      <alignment horizontal="left" vertical="center" wrapText="1"/>
    </xf>
    <xf numFmtId="0" fontId="2" fillId="0" borderId="0" xfId="0" applyFont="1" applyAlignment="1">
      <alignment vertical="center" wrapText="1"/>
    </xf>
    <xf numFmtId="0" fontId="27" fillId="8" borderId="0" xfId="0" applyFont="1" applyFill="1" applyAlignment="1">
      <alignment horizontal="left" vertical="top" wrapText="1"/>
    </xf>
    <xf numFmtId="0" fontId="27" fillId="8" borderId="0" xfId="0" applyFont="1" applyFill="1" applyAlignment="1">
      <alignment horizontal="left" vertical="top"/>
    </xf>
    <xf numFmtId="0" fontId="6" fillId="6" borderId="0" xfId="0" applyFont="1" applyFill="1" applyAlignment="1">
      <alignment vertical="center" wrapText="1"/>
    </xf>
    <xf numFmtId="0" fontId="27" fillId="5" borderId="9" xfId="0" applyFont="1" applyFill="1" applyBorder="1" applyAlignment="1">
      <alignment horizontal="left" vertical="top" wrapText="1"/>
    </xf>
    <xf numFmtId="0" fontId="27" fillId="5" borderId="0" xfId="0" applyFont="1" applyFill="1" applyAlignment="1">
      <alignment horizontal="left" vertical="top" wrapText="1"/>
    </xf>
    <xf numFmtId="0" fontId="0" fillId="0" borderId="0" xfId="0" applyFont="1" applyAlignment="1">
      <alignment vertical="top" wrapText="1"/>
    </xf>
    <xf numFmtId="0" fontId="0" fillId="18" borderId="0" xfId="0" applyFill="1"/>
    <xf numFmtId="49" fontId="0" fillId="0" borderId="0" xfId="0" applyNumberFormat="1"/>
    <xf numFmtId="11" fontId="0" fillId="0" borderId="0" xfId="0" applyNumberFormat="1"/>
    <xf numFmtId="14" fontId="6" fillId="0" borderId="0" xfId="0" applyNumberFormat="1" applyFont="1" applyAlignment="1">
      <alignment horizontal="left"/>
    </xf>
    <xf numFmtId="0" fontId="36" fillId="0" borderId="0" xfId="0" applyFont="1" applyAlignment="1" applyProtection="1">
      <alignment vertical="center"/>
      <protection locked="0"/>
    </xf>
    <xf numFmtId="0" fontId="26" fillId="0" borderId="0" xfId="0" applyFont="1" applyAlignment="1" applyProtection="1">
      <alignment vertical="center"/>
      <protection locked="0"/>
    </xf>
    <xf numFmtId="0" fontId="6" fillId="0" borderId="0" xfId="0" applyFont="1" applyAlignment="1">
      <alignment vertical="center"/>
    </xf>
    <xf numFmtId="167" fontId="6" fillId="0" borderId="0" xfId="0" applyNumberFormat="1" applyFont="1" applyAlignment="1">
      <alignment horizontal="left"/>
    </xf>
    <xf numFmtId="0" fontId="6" fillId="0" borderId="0" xfId="0" applyFont="1" applyAlignment="1">
      <alignment horizontal="left"/>
    </xf>
    <xf numFmtId="0" fontId="10" fillId="0" borderId="0" xfId="0" applyFont="1" applyAlignment="1">
      <alignment horizontal="left" vertical="center"/>
    </xf>
    <xf numFmtId="0" fontId="6" fillId="0" borderId="0" xfId="0" applyFont="1" applyFill="1" applyAlignment="1" applyProtection="1">
      <alignment horizontal="left" vertical="center"/>
    </xf>
    <xf numFmtId="0" fontId="6" fillId="0" borderId="0" xfId="0" applyNumberFormat="1" applyFont="1" applyFill="1" applyAlignment="1" applyProtection="1">
      <alignment horizontal="left" vertical="center"/>
    </xf>
    <xf numFmtId="14" fontId="6" fillId="0" borderId="0" xfId="0" applyNumberFormat="1" applyFont="1" applyFill="1" applyAlignment="1" applyProtection="1">
      <alignment horizontal="left" vertical="center"/>
    </xf>
    <xf numFmtId="168" fontId="6" fillId="0" borderId="0" xfId="0" applyNumberFormat="1" applyFont="1" applyFill="1" applyAlignment="1" applyProtection="1">
      <alignment horizontal="left" vertical="center"/>
    </xf>
    <xf numFmtId="11" fontId="10" fillId="0" borderId="0" xfId="0" applyNumberFormat="1" applyFont="1" applyAlignment="1">
      <alignment horizontal="left" vertical="center"/>
    </xf>
    <xf numFmtId="0" fontId="0" fillId="0" borderId="0" xfId="0" applyProtection="1">
      <protection locked="0"/>
    </xf>
    <xf numFmtId="0" fontId="0" fillId="18" borderId="0" xfId="0" applyFill="1" applyProtection="1">
      <protection locked="0"/>
    </xf>
    <xf numFmtId="0" fontId="33" fillId="0" borderId="0" xfId="0" applyFont="1" applyAlignment="1" applyProtection="1">
      <alignment horizontal="left" vertical="center"/>
      <protection locked="0"/>
    </xf>
    <xf numFmtId="0" fontId="34" fillId="0" borderId="29" xfId="0" applyFont="1" applyBorder="1" applyAlignment="1" applyProtection="1">
      <alignment horizontal="left" vertical="center" wrapText="1"/>
      <protection locked="0"/>
    </xf>
    <xf numFmtId="0" fontId="35" fillId="19" borderId="0" xfId="0" applyFont="1" applyFill="1" applyAlignment="1" applyProtection="1">
      <alignment horizontal="left" indent="1"/>
      <protection locked="0"/>
    </xf>
    <xf numFmtId="0" fontId="32" fillId="19" borderId="30" xfId="0" applyFont="1" applyFill="1" applyBorder="1" applyAlignment="1" applyProtection="1">
      <alignment horizontal="left" vertical="center" wrapText="1" indent="1"/>
      <protection locked="0"/>
    </xf>
    <xf numFmtId="0" fontId="0" fillId="0" borderId="0" xfId="0" applyAlignment="1" applyProtection="1">
      <alignment vertical="center"/>
      <protection locked="0"/>
    </xf>
    <xf numFmtId="0" fontId="0" fillId="0" borderId="28" xfId="0" applyBorder="1" applyAlignment="1" applyProtection="1">
      <alignment vertical="center" indent="1"/>
      <protection locked="0"/>
    </xf>
    <xf numFmtId="0" fontId="0" fillId="0" borderId="0" xfId="0" applyAlignment="1" applyProtection="1">
      <alignment vertical="center" indent="1"/>
      <protection locked="0"/>
    </xf>
    <xf numFmtId="11" fontId="0" fillId="0" borderId="0" xfId="0" applyNumberFormat="1" applyAlignment="1" applyProtection="1">
      <alignment vertical="center"/>
      <protection locked="0"/>
    </xf>
    <xf numFmtId="164" fontId="0" fillId="0" borderId="0" xfId="0" applyNumberFormat="1"/>
    <xf numFmtId="173" fontId="0" fillId="0" borderId="0" xfId="0" applyNumberFormat="1"/>
    <xf numFmtId="14" fontId="0" fillId="0" borderId="0" xfId="0" applyNumberFormat="1"/>
    <xf numFmtId="0" fontId="34" fillId="0" borderId="0" xfId="0" applyFont="1" applyAlignment="1" applyProtection="1">
      <alignment horizontal="left" vertical="center" wrapText="1"/>
      <protection locked="0"/>
    </xf>
    <xf numFmtId="0" fontId="0" fillId="8" borderId="0" xfId="0" applyFill="1" applyProtection="1">
      <protection locked="0"/>
    </xf>
    <xf numFmtId="0" fontId="0" fillId="0" borderId="34" xfId="0" applyFont="1" applyBorder="1" applyAlignment="1" applyProtection="1">
      <alignment horizontal="left" vertical="center" indent="1"/>
      <protection locked="0"/>
    </xf>
    <xf numFmtId="0" fontId="0" fillId="0" borderId="33" xfId="0" applyBorder="1" applyProtection="1">
      <protection locked="0"/>
    </xf>
    <xf numFmtId="0" fontId="0" fillId="0" borderId="37" xfId="0" applyBorder="1" applyProtection="1">
      <protection locked="0"/>
    </xf>
    <xf numFmtId="0" fontId="32" fillId="0" borderId="0" xfId="0" applyFont="1" applyAlignment="1" applyProtection="1">
      <alignment horizontal="left" vertical="center"/>
      <protection locked="0"/>
    </xf>
    <xf numFmtId="0" fontId="0" fillId="0" borderId="0" xfId="0" applyFont="1" applyAlignment="1" applyProtection="1">
      <alignment horizontal="left" vertical="center" indent="1"/>
      <protection locked="0"/>
    </xf>
    <xf numFmtId="0" fontId="38" fillId="0" borderId="35" xfId="0" applyFont="1" applyBorder="1" applyAlignment="1" applyProtection="1">
      <alignment horizontal="left"/>
      <protection locked="0"/>
    </xf>
    <xf numFmtId="0" fontId="38" fillId="0" borderId="31" xfId="0" applyFont="1" applyBorder="1" applyAlignment="1" applyProtection="1">
      <alignment horizontal="left"/>
      <protection locked="0"/>
    </xf>
    <xf numFmtId="0" fontId="0" fillId="0" borderId="38" xfId="0" applyBorder="1" applyProtection="1">
      <protection locked="0"/>
    </xf>
    <xf numFmtId="164" fontId="0" fillId="0" borderId="0" xfId="0" applyNumberFormat="1" applyProtection="1">
      <protection locked="0"/>
    </xf>
    <xf numFmtId="173" fontId="0" fillId="0" borderId="0" xfId="0" applyNumberFormat="1" applyProtection="1">
      <protection locked="0"/>
    </xf>
    <xf numFmtId="14" fontId="0" fillId="0" borderId="0" xfId="0" applyNumberFormat="1" applyProtection="1">
      <protection locked="0"/>
    </xf>
    <xf numFmtId="164" fontId="39" fillId="0" borderId="36" xfId="0" applyNumberFormat="1" applyFont="1" applyBorder="1" applyAlignment="1" applyProtection="1">
      <alignment horizontal="left" indent="1"/>
      <protection locked="0"/>
    </xf>
    <xf numFmtId="164" fontId="39" fillId="0" borderId="0" xfId="0" applyNumberFormat="1" applyFont="1" applyBorder="1" applyAlignment="1" applyProtection="1">
      <alignment horizontal="left" indent="1"/>
      <protection locked="0"/>
    </xf>
    <xf numFmtId="0" fontId="0" fillId="0" borderId="39" xfId="0" applyBorder="1" applyProtection="1">
      <protection locked="0"/>
    </xf>
    <xf numFmtId="0" fontId="0" fillId="0" borderId="29" xfId="0" applyBorder="1" applyProtection="1">
      <protection locked="0"/>
    </xf>
    <xf numFmtId="0" fontId="0" fillId="0" borderId="40" xfId="0" applyBorder="1" applyProtection="1">
      <protection locked="0"/>
    </xf>
    <xf numFmtId="0" fontId="38" fillId="21" borderId="41" xfId="0" applyFont="1" applyFill="1" applyBorder="1" applyAlignment="1" applyProtection="1">
      <alignment horizontal="left" vertical="center" indent="1"/>
      <protection locked="0"/>
    </xf>
    <xf numFmtId="0" fontId="38" fillId="21" borderId="32" xfId="0" applyFont="1" applyFill="1" applyBorder="1" applyAlignment="1" applyProtection="1">
      <alignment horizontal="left" vertical="center" indent="1"/>
      <protection locked="0"/>
    </xf>
    <xf numFmtId="0" fontId="38" fillId="21" borderId="42" xfId="0" applyFont="1" applyFill="1" applyBorder="1" applyAlignment="1" applyProtection="1">
      <alignment horizontal="left" vertical="center" indent="1"/>
      <protection locked="0"/>
    </xf>
    <xf numFmtId="0" fontId="37" fillId="0" borderId="0" xfId="0" applyFont="1" applyAlignment="1" applyProtection="1">
      <alignment horizontal="left" vertical="center"/>
      <protection locked="0"/>
    </xf>
    <xf numFmtId="0" fontId="32" fillId="0" borderId="36" xfId="0" applyNumberFormat="1" applyFont="1" applyBorder="1" applyAlignment="1" applyProtection="1">
      <alignment horizontal="left" indent="1"/>
      <protection locked="0"/>
    </xf>
    <xf numFmtId="164" fontId="32" fillId="0" borderId="0" xfId="0" applyNumberFormat="1" applyFont="1" applyBorder="1" applyAlignment="1" applyProtection="1">
      <alignment horizontal="left" indent="1"/>
      <protection locked="0"/>
    </xf>
    <xf numFmtId="0" fontId="32" fillId="0" borderId="38" xfId="0" applyNumberFormat="1" applyFont="1" applyBorder="1" applyAlignment="1" applyProtection="1">
      <alignment horizontal="left" indent="1"/>
      <protection locked="0"/>
    </xf>
    <xf numFmtId="0" fontId="32" fillId="0" borderId="39" xfId="0" applyNumberFormat="1" applyFont="1" applyBorder="1" applyAlignment="1" applyProtection="1">
      <alignment horizontal="left" indent="1"/>
      <protection locked="0"/>
    </xf>
    <xf numFmtId="164" fontId="32" fillId="0" borderId="29" xfId="0" applyNumberFormat="1" applyFont="1" applyBorder="1" applyAlignment="1" applyProtection="1">
      <alignment horizontal="left" indent="1"/>
      <protection locked="0"/>
    </xf>
    <xf numFmtId="0" fontId="32" fillId="0" borderId="40" xfId="0" applyNumberFormat="1" applyFont="1" applyBorder="1" applyAlignment="1" applyProtection="1">
      <alignment horizontal="left" indent="1"/>
      <protection locked="0"/>
    </xf>
    <xf numFmtId="0" fontId="36" fillId="0" borderId="0" xfId="0" applyFont="1" applyAlignment="1">
      <alignment vertical="center"/>
    </xf>
    <xf numFmtId="0" fontId="26" fillId="0" borderId="0" xfId="0" applyFont="1" applyAlignment="1">
      <alignment vertical="center"/>
    </xf>
    <xf numFmtId="14" fontId="6" fillId="20" borderId="0" xfId="0" applyNumberFormat="1" applyFont="1" applyFill="1" applyAlignment="1">
      <alignment horizontal="left"/>
    </xf>
    <xf numFmtId="0" fontId="36" fillId="20" borderId="0" xfId="0" applyFont="1" applyFill="1" applyAlignment="1">
      <alignment vertical="center"/>
    </xf>
    <xf numFmtId="0" fontId="26" fillId="20" borderId="0" xfId="0" applyFont="1" applyFill="1" applyAlignment="1">
      <alignment vertical="center"/>
    </xf>
    <xf numFmtId="164" fontId="24" fillId="20" borderId="0" xfId="0" applyNumberFormat="1" applyFont="1" applyFill="1" applyAlignment="1">
      <alignment horizontal="right" vertical="center" indent="2"/>
    </xf>
    <xf numFmtId="14" fontId="6" fillId="0" borderId="27" xfId="0" applyNumberFormat="1" applyFont="1" applyBorder="1" applyAlignment="1">
      <alignment horizontal="left"/>
    </xf>
    <xf numFmtId="0" fontId="36" fillId="0" borderId="27" xfId="0" applyFont="1" applyBorder="1" applyAlignment="1">
      <alignment vertical="center"/>
    </xf>
    <xf numFmtId="0" fontId="26" fillId="0" borderId="27" xfId="0" applyFont="1" applyBorder="1" applyAlignment="1">
      <alignment vertical="center"/>
    </xf>
    <xf numFmtId="164" fontId="24" fillId="0" borderId="27" xfId="0" applyNumberFormat="1" applyFont="1" applyBorder="1" applyAlignment="1">
      <alignment horizontal="right" vertical="center" indent="2"/>
    </xf>
    <xf numFmtId="44" fontId="0" fillId="0" borderId="0" xfId="2" applyFont="1"/>
    <xf numFmtId="14" fontId="6" fillId="20" borderId="27" xfId="0" applyNumberFormat="1" applyFont="1" applyFill="1" applyBorder="1" applyAlignment="1">
      <alignment horizontal="left"/>
    </xf>
    <xf numFmtId="0" fontId="36" fillId="20" borderId="27" xfId="0" applyFont="1" applyFill="1" applyBorder="1" applyAlignment="1">
      <alignment vertical="center"/>
    </xf>
    <xf numFmtId="0" fontId="26" fillId="20" borderId="27" xfId="0" applyFont="1" applyFill="1" applyBorder="1" applyAlignment="1">
      <alignment vertical="center"/>
    </xf>
    <xf numFmtId="164" fontId="24" fillId="20" borderId="27" xfId="0" applyNumberFormat="1" applyFont="1" applyFill="1" applyBorder="1" applyAlignment="1">
      <alignment horizontal="right" vertical="center" indent="2"/>
    </xf>
    <xf numFmtId="0" fontId="0" fillId="0" borderId="0" xfId="0" applyNumberFormat="1" applyProtection="1">
      <protection locked="0"/>
    </xf>
    <xf numFmtId="0" fontId="0" fillId="0" borderId="0" xfId="0" applyNumberFormat="1"/>
    <xf numFmtId="176" fontId="0" fillId="0" borderId="0" xfId="2" applyNumberFormat="1" applyFont="1" applyProtection="1">
      <protection locked="0"/>
    </xf>
  </cellXfs>
  <cellStyles count="3">
    <cellStyle name="Currency" xfId="2" builtinId="4"/>
    <cellStyle name="Hyperlink" xfId="1" builtinId="8"/>
    <cellStyle name="Normal" xfId="0" builtinId="0"/>
  </cellStyles>
  <dxfs count="112">
    <dxf>
      <numFmt numFmtId="0" formatCode="General"/>
    </dxf>
    <dxf>
      <font>
        <color rgb="FF45CD86"/>
      </font>
    </dxf>
    <dxf>
      <fill>
        <patternFill patternType="solid">
          <fgColor indexed="64"/>
          <bgColor rgb="FFFFF0C5"/>
        </patternFill>
      </fill>
    </dxf>
    <dxf>
      <fill>
        <patternFill patternType="solid">
          <fgColor indexed="64"/>
          <bgColor rgb="FFFFF0C5"/>
        </patternFill>
      </fill>
    </dxf>
    <dxf>
      <font>
        <color rgb="FF45CD86"/>
      </font>
    </dxf>
    <dxf>
      <fill>
        <patternFill patternType="solid">
          <fgColor indexed="64"/>
          <bgColor rgb="FFFFF0C5"/>
        </patternFill>
      </fill>
    </dxf>
    <dxf>
      <fill>
        <patternFill patternType="solid">
          <fgColor indexed="64"/>
          <bgColor rgb="FFFFF0C5"/>
        </patternFill>
      </fill>
    </dxf>
    <dxf>
      <font>
        <color rgb="FF0078D4"/>
      </font>
    </dxf>
    <dxf>
      <fill>
        <patternFill patternType="solid">
          <fgColor indexed="64"/>
          <bgColor rgb="FFFFF0C5"/>
        </patternFill>
      </fill>
    </dxf>
    <dxf>
      <fill>
        <patternFill patternType="solid">
          <fgColor indexed="64"/>
          <bgColor rgb="FFFFF0C5"/>
        </patternFill>
      </fill>
    </dxf>
    <dxf>
      <font>
        <color rgb="FF595959"/>
      </font>
      <fill>
        <patternFill patternType="solid">
          <fgColor indexed="64"/>
          <bgColor rgb="FFF1F2F2"/>
        </patternFill>
      </fill>
    </dxf>
    <dxf>
      <fill>
        <patternFill patternType="solid">
          <fgColor indexed="64"/>
          <bgColor rgb="FFFFF0C5"/>
        </patternFill>
      </fill>
    </dxf>
    <dxf>
      <fill>
        <patternFill patternType="solid">
          <fgColor indexed="64"/>
          <bgColor rgb="FFFFF0C5"/>
        </patternFill>
      </fill>
    </dxf>
    <dxf>
      <fill>
        <patternFill>
          <bgColor theme="7" tint="0.79998168889431442"/>
        </patternFill>
      </fill>
    </dxf>
    <dxf>
      <fill>
        <patternFill>
          <bgColor theme="7" tint="0.79998168889431442"/>
        </patternFill>
      </fill>
    </dxf>
    <dxf>
      <font>
        <color theme="0"/>
      </font>
    </dxf>
    <dxf>
      <fill>
        <patternFill>
          <bgColor theme="0"/>
        </patternFill>
      </fill>
    </dxf>
    <dxf>
      <font>
        <color theme="0"/>
      </font>
    </dxf>
    <dxf>
      <font>
        <color theme="0"/>
      </font>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ED7D31"/>
      </font>
    </dxf>
    <dxf>
      <font>
        <color rgb="FF45CD86"/>
      </font>
    </dxf>
    <dxf>
      <font>
        <color rgb="FF0078D4"/>
      </font>
    </dxf>
    <dxf>
      <fill>
        <patternFill patternType="solid">
          <fgColor indexed="64"/>
          <bgColor rgb="FFFFF0C5"/>
        </patternFill>
      </fill>
    </dxf>
    <dxf>
      <fill>
        <patternFill patternType="solid">
          <fgColor indexed="64"/>
          <bgColor rgb="FFFFF0C5"/>
        </patternFill>
      </fill>
    </dxf>
    <dxf>
      <font>
        <color rgb="FF0078D4"/>
      </font>
    </dxf>
    <dxf>
      <fill>
        <patternFill patternType="solid">
          <fgColor indexed="64"/>
          <bgColor rgb="FFFFF0C5"/>
        </patternFill>
      </fill>
    </dxf>
    <dxf>
      <fill>
        <patternFill patternType="solid">
          <fgColor indexed="64"/>
          <bgColor rgb="FFFFF0C5"/>
        </patternFill>
      </fill>
    </dxf>
    <dxf>
      <font>
        <color rgb="FF0078D4"/>
      </font>
    </dxf>
    <dxf>
      <fill>
        <patternFill patternType="solid">
          <fgColor indexed="64"/>
          <bgColor rgb="FFFFF0C5"/>
        </patternFill>
      </fill>
    </dxf>
    <dxf>
      <fill>
        <patternFill patternType="solid">
          <fgColor indexed="64"/>
          <bgColor rgb="FFFFF0C5"/>
        </patternFill>
      </fill>
    </dxf>
    <dxf>
      <font>
        <color rgb="FF0078D4"/>
      </font>
    </dxf>
    <dxf>
      <fill>
        <patternFill patternType="solid">
          <fgColor indexed="64"/>
          <bgColor rgb="FFFFF0C5"/>
        </patternFill>
      </fill>
    </dxf>
    <dxf>
      <fill>
        <patternFill patternType="solid">
          <fgColor indexed="64"/>
          <bgColor rgb="FFFFF0C5"/>
        </patternFill>
      </fill>
    </dxf>
    <dxf>
      <font>
        <color rgb="FF45CD86"/>
      </font>
    </dxf>
    <dxf>
      <fill>
        <patternFill patternType="solid">
          <fgColor indexed="64"/>
          <bgColor rgb="FFFFF0C5"/>
        </patternFill>
      </fill>
    </dxf>
    <dxf>
      <fill>
        <patternFill patternType="solid">
          <fgColor indexed="64"/>
          <bgColor rgb="FFFFF0C5"/>
        </patternFill>
      </fill>
    </dxf>
    <dxf>
      <font>
        <color rgb="FF45CD86"/>
      </font>
    </dxf>
    <dxf>
      <fill>
        <patternFill patternType="solid">
          <fgColor indexed="64"/>
          <bgColor rgb="FFFFF0C5"/>
        </patternFill>
      </fill>
    </dxf>
    <dxf>
      <fill>
        <patternFill patternType="solid">
          <fgColor indexed="64"/>
          <bgColor rgb="FFFFF0C5"/>
        </patternFill>
      </fill>
    </dxf>
    <dxf>
      <font>
        <color rgb="FF45CD86"/>
      </font>
    </dxf>
    <dxf>
      <fill>
        <patternFill patternType="solid">
          <fgColor indexed="64"/>
          <bgColor rgb="FFFFF0C5"/>
        </patternFill>
      </fill>
    </dxf>
    <dxf>
      <fill>
        <patternFill patternType="solid">
          <fgColor indexed="64"/>
          <bgColor rgb="FFFFF0C5"/>
        </patternFill>
      </fill>
    </dxf>
    <dxf>
      <font>
        <color rgb="FF45CD86"/>
      </font>
    </dxf>
    <dxf>
      <fill>
        <patternFill patternType="solid">
          <fgColor indexed="64"/>
          <bgColor rgb="FFFFF0C5"/>
        </patternFill>
      </fill>
    </dxf>
    <dxf>
      <fill>
        <patternFill patternType="solid">
          <fgColor indexed="64"/>
          <bgColor rgb="FFFFF0C5"/>
        </patternFill>
      </fill>
    </dxf>
    <dxf>
      <font>
        <color rgb="FF45CD86"/>
      </font>
    </dxf>
    <dxf>
      <fill>
        <patternFill patternType="solid">
          <fgColor indexed="64"/>
          <bgColor rgb="FFFFF0C5"/>
        </patternFill>
      </fill>
    </dxf>
    <dxf>
      <fill>
        <patternFill patternType="solid">
          <fgColor indexed="64"/>
          <bgColor rgb="FFFFF0C5"/>
        </patternFill>
      </fill>
    </dxf>
    <dxf>
      <font>
        <color rgb="FF45CD86"/>
      </font>
    </dxf>
    <dxf>
      <fill>
        <patternFill patternType="solid">
          <fgColor indexed="64"/>
          <bgColor rgb="FFFFF0C5"/>
        </patternFill>
      </fill>
    </dxf>
    <dxf>
      <fill>
        <patternFill patternType="solid">
          <fgColor indexed="64"/>
          <bgColor rgb="FFFFF0C5"/>
        </patternFill>
      </fill>
    </dxf>
    <dxf>
      <font>
        <color rgb="FF45CD86"/>
      </font>
    </dxf>
    <dxf>
      <numFmt numFmtId="0" formatCode="General"/>
    </dxf>
    <dxf>
      <numFmt numFmtId="0" formatCode="General"/>
    </dxf>
    <dxf>
      <numFmt numFmtId="0" formatCode="General"/>
    </dxf>
    <dxf>
      <numFmt numFmtId="173" formatCode="&quot;$&quot;#,###"/>
    </dxf>
    <dxf>
      <numFmt numFmtId="164" formatCode="&quot;$&quot;#,##0.00"/>
    </dxf>
    <dxf>
      <numFmt numFmtId="19" formatCode="m/d/yyyy"/>
    </dxf>
    <dxf>
      <numFmt numFmtId="19" formatCode="m/d/yyyy"/>
    </dxf>
    <dxf>
      <numFmt numFmtId="173" formatCode="&quot;$&quot;#,###"/>
    </dxf>
    <dxf>
      <numFmt numFmtId="164" formatCode="&quot;$&quot;#,##0.00"/>
    </dxf>
    <dxf>
      <numFmt numFmtId="0" formatCode="General"/>
      <protection locked="0"/>
    </dxf>
    <dxf>
      <protection locked="0"/>
    </dxf>
    <dxf>
      <alignment vertical="center"/>
      <protection locked="0"/>
    </dxf>
    <dxf>
      <alignment indent="1"/>
      <protection locked="0"/>
    </dxf>
    <dxf>
      <alignment indent="1"/>
      <border diagonalUp="0" diagonalDown="0">
        <left/>
        <right style="thin">
          <color rgb="FFA6A6A6"/>
        </right>
        <top/>
        <bottom/>
        <vertical/>
        <horizontal/>
      </border>
      <protection locked="0"/>
    </dxf>
    <dxf>
      <protection locked="0"/>
    </dxf>
    <dxf>
      <protection locked="0"/>
    </dxf>
    <dxf>
      <alignment vertical="center"/>
      <protection locked="0"/>
    </dxf>
    <dxf>
      <protection locked="0"/>
    </dxf>
    <dxf>
      <alignment indent="1"/>
      <protection locked="0"/>
    </dxf>
    <dxf>
      <alignment indent="1"/>
      <border diagonalUp="0" diagonalDown="0">
        <left/>
        <right style="thin">
          <color rgb="FFA6A6A6"/>
        </right>
        <top/>
        <bottom/>
        <vertical/>
        <horizontal/>
      </border>
      <protection locked="0"/>
    </dxf>
    <dxf>
      <protection locked="0"/>
    </dxf>
    <dxf>
      <font>
        <b val="0"/>
        <i val="0"/>
        <strike val="0"/>
        <condense val="0"/>
        <extend val="0"/>
        <outline val="0"/>
        <shadow val="0"/>
        <u val="none"/>
        <vertAlign val="baseline"/>
        <sz val="11"/>
        <color rgb="FF3078CD"/>
        <name val="Calibri"/>
        <family val="2"/>
        <scheme val="minor"/>
      </font>
    </dxf>
    <dxf>
      <numFmt numFmtId="30" formatCode="@"/>
    </dxf>
    <dxf>
      <font>
        <b val="0"/>
        <i val="0"/>
        <strike val="0"/>
        <condense val="0"/>
        <extend val="0"/>
        <outline val="0"/>
        <shadow val="0"/>
        <u val="none"/>
        <vertAlign val="baseline"/>
        <sz val="12"/>
        <color theme="4"/>
        <name val="Calibri"/>
        <family val="2"/>
        <scheme val="minor"/>
      </font>
      <fill>
        <patternFill patternType="solid">
          <fgColor indexed="64"/>
          <bgColor rgb="FFF0F8FF"/>
        </patternFill>
      </fill>
      <border diagonalUp="0" diagonalDown="0" outline="0">
        <left/>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2"/>
        <color theme="4"/>
        <name val="Calibri"/>
        <family val="2"/>
        <scheme val="minor"/>
      </font>
      <fill>
        <patternFill patternType="solid">
          <fgColor indexed="64"/>
          <bgColor rgb="FFF0F8FF"/>
        </patternFill>
      </fill>
      <border diagonalUp="0" diagonalDown="0" outline="0">
        <left style="thin">
          <color auto="1"/>
        </left>
        <right style="thin">
          <color auto="1"/>
        </right>
        <top style="thin">
          <color theme="0" tint="-0.34998626667073579"/>
        </top>
        <bottom style="thin">
          <color theme="0" tint="-0.34998626667073579"/>
        </bottom>
      </border>
      <protection locked="1" hidden="0"/>
    </dxf>
    <dxf>
      <font>
        <b val="0"/>
        <i val="0"/>
        <strike val="0"/>
        <condense val="0"/>
        <extend val="0"/>
        <outline val="0"/>
        <shadow val="0"/>
        <u val="none"/>
        <vertAlign val="baseline"/>
        <sz val="12"/>
        <color theme="4"/>
        <name val="Calibri"/>
        <family val="2"/>
        <scheme val="minor"/>
      </font>
      <fill>
        <patternFill patternType="solid">
          <fgColor indexed="64"/>
          <bgColor rgb="FFF0F8FF"/>
        </patternFill>
      </fill>
      <border diagonalUp="0" diagonalDown="0" outline="0">
        <left/>
        <right style="thin">
          <color indexed="64"/>
        </right>
        <top style="thin">
          <color theme="0" tint="-0.34998626667073579"/>
        </top>
        <bottom style="thin">
          <color theme="0" tint="-0.34998626667073579"/>
        </bottom>
      </border>
      <protection locked="1" hidden="0"/>
    </dxf>
    <dxf>
      <border diagonalUp="0" diagonalDown="0">
        <left style="thin">
          <color indexed="64"/>
        </left>
        <right/>
        <top/>
        <bottom style="thin">
          <color theme="0" tint="-0.34998626667073579"/>
        </bottom>
      </border>
    </dxf>
    <dxf>
      <font>
        <strike val="0"/>
        <outline val="0"/>
        <shadow val="0"/>
        <u val="none"/>
        <vertAlign val="baseline"/>
        <sz val="12"/>
        <name val="Calibri"/>
        <family val="2"/>
        <scheme val="minor"/>
      </font>
      <protection locked="1" hidden="0"/>
    </dxf>
    <dxf>
      <font>
        <strike val="0"/>
        <outline val="0"/>
        <shadow val="0"/>
        <u val="none"/>
        <vertAlign val="baseline"/>
        <sz val="12"/>
        <color theme="1" tint="0.249977111117893"/>
        <name val="Calibri"/>
        <family val="2"/>
        <scheme val="minor"/>
      </font>
      <fill>
        <patternFill patternType="none">
          <fgColor indexed="64"/>
          <bgColor auto="1"/>
        </patternFill>
      </fill>
      <protection locked="1" hidden="0"/>
    </dxf>
    <dxf>
      <font>
        <b val="0"/>
        <strike val="0"/>
        <outline val="0"/>
        <shadow val="0"/>
        <u val="none"/>
        <vertAlign val="baseline"/>
        <sz val="12"/>
        <color auto="1"/>
        <name val="Calibri"/>
        <family val="2"/>
        <scheme val="minor"/>
      </font>
      <numFmt numFmtId="168" formatCode="[$-409]mmm\-yy;@"/>
      <fill>
        <patternFill patternType="none">
          <fgColor indexed="64"/>
          <bgColor indexed="65"/>
        </patternFill>
      </fill>
      <alignment horizontal="left" textRotation="0" wrapText="0" indent="0" justifyLastLine="0" shrinkToFit="0" readingOrder="0"/>
      <protection locked="1"/>
    </dxf>
    <dxf>
      <font>
        <b val="0"/>
        <strike val="0"/>
        <outline val="0"/>
        <shadow val="0"/>
        <u val="none"/>
        <vertAlign val="baseline"/>
        <sz val="12"/>
        <color auto="1"/>
        <name val="Calibri"/>
        <family val="2"/>
        <scheme val="minor"/>
      </font>
      <numFmt numFmtId="19" formatCode="m/d/yyyy"/>
      <fill>
        <patternFill patternType="none">
          <fgColor indexed="64"/>
          <bgColor auto="1"/>
        </patternFill>
      </fill>
      <alignment horizontal="left" textRotation="0" wrapText="0" indent="0" justifyLastLine="0" shrinkToFit="0" readingOrder="0"/>
      <protection locked="1"/>
    </dxf>
    <dxf>
      <font>
        <b val="0"/>
        <strike val="0"/>
        <outline val="0"/>
        <shadow val="0"/>
        <u val="none"/>
        <vertAlign val="baseline"/>
        <sz val="12"/>
        <color auto="1"/>
        <name val="Calibri"/>
        <family val="2"/>
        <scheme val="minor"/>
      </font>
      <numFmt numFmtId="0" formatCode="General"/>
      <fill>
        <patternFill patternType="none">
          <fgColor indexed="64"/>
          <bgColor auto="1"/>
        </patternFill>
      </fill>
      <alignment horizontal="left" textRotation="0" wrapText="0" indent="0" justifyLastLine="0" shrinkToFit="0" readingOrder="0"/>
      <protection locked="1"/>
    </dxf>
    <dxf>
      <font>
        <b val="0"/>
        <strike val="0"/>
        <outline val="0"/>
        <shadow val="0"/>
        <u val="none"/>
        <vertAlign val="baseline"/>
        <sz val="12"/>
        <color auto="1"/>
        <name val="Calibri"/>
        <family val="2"/>
        <scheme val="minor"/>
      </font>
      <numFmt numFmtId="0" formatCode="General"/>
      <fill>
        <patternFill patternType="none">
          <fgColor indexed="64"/>
          <bgColor auto="1"/>
        </patternFill>
      </fill>
      <alignment horizontal="left" textRotation="0" wrapText="0" indent="0" justifyLastLine="0" shrinkToFit="0" readingOrder="0"/>
      <protection locked="1"/>
    </dxf>
    <dxf>
      <font>
        <b val="0"/>
        <strike val="0"/>
        <outline val="0"/>
        <shadow val="0"/>
        <u val="none"/>
        <vertAlign val="baseline"/>
        <sz val="12"/>
        <color auto="1"/>
        <name val="Calibri"/>
        <family val="2"/>
        <scheme val="minor"/>
      </font>
      <numFmt numFmtId="0" formatCode="General"/>
      <fill>
        <patternFill patternType="none">
          <fgColor indexed="64"/>
          <bgColor auto="1"/>
        </patternFill>
      </fill>
      <alignment horizontal="left" textRotation="0" wrapText="0" indent="0" justifyLastLine="0" shrinkToFit="0" readingOrder="0"/>
      <protection locked="1"/>
    </dxf>
    <dxf>
      <font>
        <b val="0"/>
        <i val="0"/>
        <strike val="0"/>
        <condense val="0"/>
        <extend val="0"/>
        <outline val="0"/>
        <shadow val="0"/>
        <u val="none"/>
        <vertAlign val="baseline"/>
        <sz val="12"/>
        <color auto="1"/>
        <name val="Calibri"/>
        <family val="2"/>
        <scheme val="minor"/>
      </font>
      <numFmt numFmtId="0" formatCode="General"/>
      <fill>
        <patternFill patternType="none">
          <fgColor indexed="64"/>
          <bgColor indexed="65"/>
        </patternFill>
      </fill>
      <alignment horizontal="left" textRotation="0" wrapText="0" indent="0" justifyLastLine="0" shrinkToFit="0" readingOrder="0"/>
      <protection locked="1" hidden="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left" textRotation="0" wrapText="0" indent="0" justifyLastLine="0" shrinkToFit="0" readingOrder="0"/>
      <protection locked="1" hidden="0"/>
    </dxf>
    <dxf>
      <font>
        <b val="0"/>
        <i val="0"/>
        <strike val="0"/>
        <condense val="0"/>
        <extend val="0"/>
        <outline val="0"/>
        <shadow val="0"/>
        <u val="none"/>
        <vertAlign val="baseline"/>
        <sz val="12"/>
        <color auto="1"/>
        <name val="Calibri"/>
        <family val="2"/>
        <scheme val="minor"/>
      </font>
      <fill>
        <patternFill patternType="none">
          <fgColor indexed="64"/>
          <bgColor indexed="65"/>
        </patternFill>
      </fill>
      <alignment horizontal="left" textRotation="0" wrapText="0" indent="0" justifyLastLine="0" shrinkToFit="0" readingOrder="0"/>
      <protection locked="1" hidden="0"/>
    </dxf>
    <dxf>
      <font>
        <b val="0"/>
        <strike val="0"/>
        <outline val="0"/>
        <shadow val="0"/>
        <u val="none"/>
        <vertAlign val="baseline"/>
        <name val="Calibri"/>
        <family val="2"/>
        <scheme val="minor"/>
      </font>
      <alignment horizontal="left" textRotation="0" wrapText="0" indent="0" justifyLastLine="0" shrinkToFit="0" readingOrder="0"/>
    </dxf>
    <dxf>
      <font>
        <b val="0"/>
        <strike val="0"/>
        <outline val="0"/>
        <shadow val="0"/>
        <u val="none"/>
        <vertAlign val="baseline"/>
        <name val="Calibri"/>
        <family val="2"/>
        <scheme val="minor"/>
      </font>
      <alignment horizontal="left" vertical="bottom" textRotation="0" wrapText="0" indent="0" justifyLastLine="0" shrinkToFit="0" readingOrder="0"/>
    </dxf>
    <dxf>
      <font>
        <b val="0"/>
        <strike val="0"/>
        <outline val="0"/>
        <shadow val="0"/>
        <u val="none"/>
        <vertAlign val="baseline"/>
        <name val="Calibri"/>
        <family val="2"/>
        <scheme val="minor"/>
      </font>
      <alignment horizontal="left" vertical="bottom" textRotation="0" wrapText="0" indent="0" justifyLastLine="0" shrinkToFit="0" readingOrder="0"/>
    </dxf>
    <dxf>
      <font>
        <b val="0"/>
        <strike val="0"/>
        <outline val="0"/>
        <shadow val="0"/>
        <u val="none"/>
        <vertAlign val="baseline"/>
        <name val="Calibri"/>
        <family val="2"/>
        <scheme val="minor"/>
      </font>
    </dxf>
    <dxf>
      <font>
        <b/>
        <strike val="0"/>
        <outline val="0"/>
        <shadow val="0"/>
        <u val="none"/>
        <vertAlign val="baseline"/>
        <name val="Calibri"/>
        <family val="2"/>
        <scheme val="minor"/>
      </font>
      <numFmt numFmtId="164" formatCode="&quot;$&quot;#,##0.00"/>
    </dxf>
    <dxf>
      <font>
        <strike val="0"/>
        <outline val="0"/>
        <shadow val="0"/>
        <u val="none"/>
        <vertAlign val="baseline"/>
        <sz val="11"/>
        <color rgb="FF3078CD"/>
        <name val="Calibri"/>
        <family val="2"/>
        <scheme val="minor"/>
      </font>
    </dxf>
    <dxf>
      <font>
        <strike val="0"/>
        <outline val="0"/>
        <shadow val="0"/>
        <u val="none"/>
        <vertAlign val="baseline"/>
        <sz val="11"/>
        <color rgb="FF3078CD"/>
        <name val="Calibri"/>
        <family val="2"/>
        <scheme val="minor"/>
      </font>
    </dxf>
    <dxf>
      <font>
        <b val="0"/>
        <strike val="0"/>
        <outline val="0"/>
        <shadow val="0"/>
        <u val="none"/>
        <vertAlign val="baseline"/>
        <name val="Calibri"/>
        <family val="2"/>
        <scheme val="minor"/>
      </font>
      <numFmt numFmtId="19" formatCode="m/d/yyyy"/>
      <alignment horizontal="left" vertical="bottom" textRotation="0" wrapText="0" indent="0" justifyLastLine="0" shrinkToFit="0" readingOrder="0"/>
    </dxf>
    <dxf>
      <font>
        <strike val="0"/>
        <outline val="0"/>
        <shadow val="0"/>
        <u val="none"/>
        <vertAlign val="baseline"/>
        <sz val="12"/>
        <name val="Calibri"/>
        <family val="2"/>
        <scheme val="minor"/>
      </font>
      <fill>
        <patternFill patternType="none">
          <fgColor indexed="64"/>
          <bgColor auto="1"/>
        </patternFill>
      </fill>
    </dxf>
    <dxf>
      <font>
        <b/>
        <strike val="0"/>
        <outline val="0"/>
        <shadow val="0"/>
        <u val="none"/>
        <vertAlign val="baseline"/>
        <sz val="11"/>
        <color auto="1"/>
        <name val="Calibri"/>
        <family val="2"/>
        <scheme val="minor"/>
      </font>
      <fill>
        <patternFill patternType="none">
          <fgColor indexed="64"/>
          <bgColor auto="1"/>
        </patternFill>
      </fill>
      <alignment horizontal="general" vertical="center" textRotation="0" wrapText="0" indent="0" justifyLastLine="0" shrinkToFit="0" readingOrder="0"/>
      <border outline="0">
        <left style="thin">
          <color rgb="FF757171"/>
        </left>
        <right style="thin">
          <color rgb="FF757171"/>
        </right>
        <top/>
        <bottom/>
      </border>
    </dxf>
    <dxf>
      <font>
        <color theme="1" tint="0.24994659260841701"/>
      </font>
      <fill>
        <patternFill>
          <bgColor rgb="FFF2F2F2"/>
        </patternFill>
      </fill>
    </dxf>
    <dxf>
      <font>
        <color theme="1" tint="0.24994659260841701"/>
      </font>
    </dxf>
    <dxf>
      <font>
        <b/>
        <i val="0"/>
        <color theme="1" tint="0.24994659260841701"/>
      </font>
      <fill>
        <patternFill>
          <bgColor rgb="FFD9D9D9"/>
        </patternFill>
      </fill>
    </dxf>
    <dxf>
      <font>
        <color theme="1" tint="0.24994659260841701"/>
      </font>
      <border>
        <bottom style="medium">
          <color auto="1"/>
        </bottom>
      </border>
    </dxf>
  </dxfs>
  <tableStyles count="1" defaultTableStyle="TableStyleMedium2" defaultPivotStyle="PivotStyleLight16">
    <tableStyle name="Money" pivot="0" count="4" xr9:uid="{6228888A-2780-43A9-88A7-521EB3AA6695}">
      <tableStyleElement type="wholeTable" dxfId="111"/>
      <tableStyleElement type="headerRow" dxfId="110"/>
      <tableStyleElement type="firstRowStripe" dxfId="109"/>
      <tableStyleElement type="secondRowStripe" dxfId="108"/>
    </tableStyle>
  </tableStyles>
  <colors>
    <mruColors>
      <color rgb="FF96A6AA"/>
      <color rgb="FF3078CD"/>
      <color rgb="FF45CD86"/>
      <color rgb="FF75ADF0"/>
      <color rgb="FFC9DFFA"/>
      <color rgb="FFD9D9D9"/>
      <color rgb="FFB9D272"/>
      <color rgb="FF668A95"/>
      <color rgb="FFF3AD59"/>
      <color rgb="FF33A8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3A8187"/>
              </a:solidFill>
              <a:ln>
                <a:noFill/>
              </a:ln>
              <a:effectLst/>
            </c:spPr>
            <c:extLst>
              <c:ext xmlns:c16="http://schemas.microsoft.com/office/drawing/2014/chart" uri="{C3380CC4-5D6E-409C-BE32-E72D297353CC}">
                <c16:uniqueId val="{00000001-7BD4-41F0-A276-3142CF781EE8}"/>
              </c:ext>
            </c:extLst>
          </c:dPt>
          <c:dPt>
            <c:idx val="1"/>
            <c:invertIfNegative val="0"/>
            <c:bubble3D val="0"/>
            <c:spPr>
              <a:solidFill>
                <a:srgbClr val="3A8187"/>
              </a:solidFill>
              <a:ln>
                <a:noFill/>
              </a:ln>
              <a:effectLst/>
            </c:spPr>
            <c:extLst>
              <c:ext xmlns:c16="http://schemas.microsoft.com/office/drawing/2014/chart" uri="{C3380CC4-5D6E-409C-BE32-E72D297353CC}">
                <c16:uniqueId val="{00000002-7BD4-41F0-A276-3142CF781EE8}"/>
              </c:ext>
            </c:extLst>
          </c:dPt>
          <c:dPt>
            <c:idx val="2"/>
            <c:invertIfNegative val="0"/>
            <c:bubble3D val="0"/>
            <c:spPr>
              <a:solidFill>
                <a:srgbClr val="3A8187"/>
              </a:solidFill>
              <a:ln>
                <a:noFill/>
              </a:ln>
              <a:effectLst/>
            </c:spPr>
            <c:extLst>
              <c:ext xmlns:c16="http://schemas.microsoft.com/office/drawing/2014/chart" uri="{C3380CC4-5D6E-409C-BE32-E72D297353CC}">
                <c16:uniqueId val="{00000003-7BD4-41F0-A276-3142CF781EE8}"/>
              </c:ext>
            </c:extLst>
          </c:dPt>
          <c:dPt>
            <c:idx val="3"/>
            <c:invertIfNegative val="0"/>
            <c:bubble3D val="0"/>
            <c:spPr>
              <a:solidFill>
                <a:srgbClr val="3A8187"/>
              </a:solidFill>
              <a:ln>
                <a:noFill/>
              </a:ln>
              <a:effectLst/>
            </c:spPr>
            <c:extLst>
              <c:ext xmlns:c16="http://schemas.microsoft.com/office/drawing/2014/chart" uri="{C3380CC4-5D6E-409C-BE32-E72D297353CC}">
                <c16:uniqueId val="{00000004-7BD4-41F0-A276-3142CF781EE8}"/>
              </c:ext>
            </c:extLst>
          </c:dPt>
          <c:dPt>
            <c:idx val="4"/>
            <c:invertIfNegative val="0"/>
            <c:bubble3D val="0"/>
            <c:spPr>
              <a:solidFill>
                <a:srgbClr val="3A8187"/>
              </a:solidFill>
              <a:ln>
                <a:noFill/>
              </a:ln>
              <a:effectLst/>
            </c:spPr>
            <c:extLst>
              <c:ext xmlns:c16="http://schemas.microsoft.com/office/drawing/2014/chart" uri="{C3380CC4-5D6E-409C-BE32-E72D297353CC}">
                <c16:uniqueId val="{00000005-7BD4-41F0-A276-3142CF781EE8}"/>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RecurringExpenses!$C$9:$C$13</c:f>
              <c:strCache>
                <c:ptCount val="5"/>
                <c:pt idx="0">
                  <c:v>Verizon</c:v>
                </c:pt>
                <c:pt idx="1">
                  <c:v>Electronic Debit Tran Life</c:v>
                </c:pt>
                <c:pt idx="2">
                  <c:v>Pepco</c:v>
                </c:pt>
                <c:pt idx="3">
                  <c:v>Check Card Purchase Credit</c:v>
                </c:pt>
                <c:pt idx="4">
                  <c:v>Verizon Wireless</c:v>
                </c:pt>
              </c:strCache>
            </c:strRef>
          </c:cat>
          <c:val>
            <c:numRef>
              <c:f>RecurringExpenses!$D$9:$D$13</c:f>
              <c:numCache>
                <c:formatCode>"$"#,##0.00</c:formatCode>
                <c:ptCount val="5"/>
                <c:pt idx="0">
                  <c:v>1248.02</c:v>
                </c:pt>
                <c:pt idx="1">
                  <c:v>1034.1600000000001</c:v>
                </c:pt>
                <c:pt idx="2">
                  <c:v>473.95</c:v>
                </c:pt>
                <c:pt idx="3">
                  <c:v>452</c:v>
                </c:pt>
                <c:pt idx="4">
                  <c:v>369.42</c:v>
                </c:pt>
              </c:numCache>
            </c:numRef>
          </c:val>
          <c:extLst>
            <c:ext xmlns:c16="http://schemas.microsoft.com/office/drawing/2014/chart" uri="{C3380CC4-5D6E-409C-BE32-E72D297353CC}">
              <c16:uniqueId val="{00000000-7BD4-41F0-A276-3142CF781EE8}"/>
            </c:ext>
          </c:extLst>
        </c:ser>
        <c:dLbls>
          <c:showLegendKey val="0"/>
          <c:showVal val="1"/>
          <c:showCatName val="0"/>
          <c:showSerName val="0"/>
          <c:showPercent val="0"/>
          <c:showBubbleSize val="0"/>
        </c:dLbls>
        <c:gapWidth val="75"/>
        <c:overlap val="100"/>
        <c:axId val="609679775"/>
        <c:axId val="609661471"/>
      </c:barChart>
      <c:catAx>
        <c:axId val="609679775"/>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Heading"/>
                <a:ea typeface="+Heading"/>
                <a:cs typeface="+Heading"/>
              </a:defRPr>
            </a:pPr>
            <a:endParaRPr lang="en-US"/>
          </a:p>
        </c:txPr>
        <c:crossAx val="609661471"/>
        <c:crosses val="autoZero"/>
        <c:auto val="1"/>
        <c:lblAlgn val="ctr"/>
        <c:lblOffset val="100"/>
        <c:noMultiLvlLbl val="0"/>
      </c:catAx>
      <c:valAx>
        <c:axId val="609661471"/>
        <c:scaling>
          <c:orientation val="minMax"/>
        </c:scaling>
        <c:delete val="1"/>
        <c:axPos val="l"/>
        <c:numFmt formatCode="&quot;$&quot;#,##0.00" sourceLinked="1"/>
        <c:majorTickMark val="none"/>
        <c:minorTickMark val="none"/>
        <c:tickLblPos val="nextTo"/>
        <c:crossAx val="609679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5CD86"/>
            </a:solidFill>
            <a:ln>
              <a:noFill/>
            </a:ln>
            <a:effectLst/>
          </c:spPr>
          <c:invertIfNegative val="0"/>
          <c:dPt>
            <c:idx val="0"/>
            <c:invertIfNegative val="0"/>
            <c:bubble3D val="0"/>
            <c:spPr>
              <a:solidFill>
                <a:srgbClr val="96A6AA"/>
              </a:solidFill>
              <a:ln>
                <a:noFill/>
              </a:ln>
              <a:effectLst/>
            </c:spPr>
            <c:extLst>
              <c:ext xmlns:c16="http://schemas.microsoft.com/office/drawing/2014/chart" uri="{C3380CC4-5D6E-409C-BE32-E72D297353CC}">
                <c16:uniqueId val="{00000001-2147-4A4C-8379-B8608511BA9D}"/>
              </c:ext>
            </c:extLst>
          </c:dPt>
          <c:dPt>
            <c:idx val="1"/>
            <c:invertIfNegative val="0"/>
            <c:bubble3D val="0"/>
            <c:spPr>
              <a:solidFill>
                <a:srgbClr val="3078CD"/>
              </a:solidFill>
              <a:ln>
                <a:noFill/>
              </a:ln>
              <a:effectLst/>
            </c:spPr>
            <c:extLst>
              <c:ext xmlns:c16="http://schemas.microsoft.com/office/drawing/2014/chart" uri="{C3380CC4-5D6E-409C-BE32-E72D297353CC}">
                <c16:uniqueId val="{00000000-2147-4A4C-8379-B8608511BA9D}"/>
              </c:ext>
            </c:extLst>
          </c:dPt>
          <c:dLbls>
            <c:numFmt formatCode="&quot;$&quot;#,##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Snapshot!$Y$7:$Y$8</c:f>
              <c:strCache>
                <c:ptCount val="2"/>
                <c:pt idx="0">
                  <c:v>May</c:v>
                </c:pt>
                <c:pt idx="1">
                  <c:v>June</c:v>
                </c:pt>
              </c:strCache>
            </c:strRef>
          </c:cat>
          <c:val>
            <c:numRef>
              <c:f>Snapshot!$Z$7:$Z$8</c:f>
              <c:numCache>
                <c:formatCode>"$"#,##0</c:formatCode>
                <c:ptCount val="2"/>
                <c:pt idx="0">
                  <c:v>4475.6399999999976</c:v>
                </c:pt>
                <c:pt idx="1">
                  <c:v>4154.1699999999992</c:v>
                </c:pt>
              </c:numCache>
            </c:numRef>
          </c:val>
          <c:extLst>
            <c:ext xmlns:c16="http://schemas.microsoft.com/office/drawing/2014/chart" uri="{C3380CC4-5D6E-409C-BE32-E72D297353CC}">
              <c16:uniqueId val="{00000002-E73C-4646-85C8-B43ECEDFDB65}"/>
            </c:ext>
          </c:extLst>
        </c:ser>
        <c:dLbls>
          <c:showLegendKey val="0"/>
          <c:showVal val="1"/>
          <c:showCatName val="0"/>
          <c:showSerName val="0"/>
          <c:showPercent val="0"/>
          <c:showBubbleSize val="0"/>
        </c:dLbls>
        <c:gapWidth val="75"/>
        <c:axId val="2140615712"/>
        <c:axId val="1714516704"/>
      </c:barChart>
      <c:catAx>
        <c:axId val="214061571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crossAx val="1714516704"/>
        <c:crosses val="autoZero"/>
        <c:auto val="1"/>
        <c:lblAlgn val="ctr"/>
        <c:lblOffset val="100"/>
        <c:noMultiLvlLbl val="1"/>
      </c:catAx>
      <c:valAx>
        <c:axId val="1714516704"/>
        <c:scaling>
          <c:orientation val="minMax"/>
        </c:scaling>
        <c:delete val="1"/>
        <c:axPos val="l"/>
        <c:numFmt formatCode="&quot;$&quot;#,##0" sourceLinked="1"/>
        <c:majorTickMark val="none"/>
        <c:minorTickMark val="none"/>
        <c:tickLblPos val="nextTo"/>
        <c:crossAx val="2140615712"/>
        <c:crosses val="autoZero"/>
        <c:crossBetween val="between"/>
      </c:valAx>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noFill/>
      <a:round/>
    </a:ln>
    <a:effectLst/>
  </c:spPr>
  <c:txPr>
    <a:bodyPr/>
    <a:lstStyle/>
    <a:p>
      <a:pPr>
        <a:defRPr>
          <a:latin typeface="+mn-lt"/>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916705406325925E-2"/>
          <c:y val="4.8958988406005077E-3"/>
          <c:w val="0.80579227002812803"/>
          <c:h val="0.96963679102250011"/>
        </c:manualLayout>
      </c:layout>
      <c:doughnutChart>
        <c:varyColors val="1"/>
        <c:ser>
          <c:idx val="0"/>
          <c:order val="0"/>
          <c:dPt>
            <c:idx val="0"/>
            <c:bubble3D val="0"/>
            <c:spPr>
              <a:solidFill>
                <a:srgbClr val="1D4E88"/>
              </a:solidFill>
              <a:ln w="19050">
                <a:solidFill>
                  <a:schemeClr val="lt1"/>
                </a:solidFill>
              </a:ln>
              <a:effectLst/>
            </c:spPr>
            <c:extLst>
              <c:ext xmlns:c16="http://schemas.microsoft.com/office/drawing/2014/chart" uri="{C3380CC4-5D6E-409C-BE32-E72D297353CC}">
                <c16:uniqueId val="{00000001-0171-4877-9346-4178E7D4C2A5}"/>
              </c:ext>
            </c:extLst>
          </c:dPt>
          <c:dPt>
            <c:idx val="1"/>
            <c:bubble3D val="0"/>
            <c:spPr>
              <a:solidFill>
                <a:srgbClr val="33A8B8"/>
              </a:solidFill>
              <a:ln w="19050">
                <a:solidFill>
                  <a:schemeClr val="lt1"/>
                </a:solidFill>
              </a:ln>
              <a:effectLst/>
            </c:spPr>
            <c:extLst>
              <c:ext xmlns:c16="http://schemas.microsoft.com/office/drawing/2014/chart" uri="{C3380CC4-5D6E-409C-BE32-E72D297353CC}">
                <c16:uniqueId val="{00000003-0171-4877-9346-4178E7D4C2A5}"/>
              </c:ext>
            </c:extLst>
          </c:dPt>
          <c:dPt>
            <c:idx val="2"/>
            <c:bubble3D val="0"/>
            <c:spPr>
              <a:solidFill>
                <a:srgbClr val="3078CD"/>
              </a:solidFill>
              <a:ln w="19050">
                <a:solidFill>
                  <a:schemeClr val="lt1"/>
                </a:solidFill>
              </a:ln>
              <a:effectLst/>
            </c:spPr>
            <c:extLst>
              <c:ext xmlns:c16="http://schemas.microsoft.com/office/drawing/2014/chart" uri="{C3380CC4-5D6E-409C-BE32-E72D297353CC}">
                <c16:uniqueId val="{00000005-0171-4877-9346-4178E7D4C2A5}"/>
              </c:ext>
            </c:extLst>
          </c:dPt>
          <c:dPt>
            <c:idx val="3"/>
            <c:bubble3D val="0"/>
            <c:spPr>
              <a:solidFill>
                <a:srgbClr val="F3AD59"/>
              </a:solidFill>
              <a:ln w="19050">
                <a:solidFill>
                  <a:schemeClr val="lt1"/>
                </a:solidFill>
              </a:ln>
              <a:effectLst/>
            </c:spPr>
            <c:extLst>
              <c:ext xmlns:c16="http://schemas.microsoft.com/office/drawing/2014/chart" uri="{C3380CC4-5D6E-409C-BE32-E72D297353CC}">
                <c16:uniqueId val="{00000007-0171-4877-9346-4178E7D4C2A5}"/>
              </c:ext>
            </c:extLst>
          </c:dPt>
          <c:dPt>
            <c:idx val="4"/>
            <c:bubble3D val="0"/>
            <c:spPr>
              <a:solidFill>
                <a:srgbClr val="668A95"/>
              </a:solidFill>
              <a:ln w="19050">
                <a:solidFill>
                  <a:schemeClr val="lt1"/>
                </a:solidFill>
              </a:ln>
              <a:effectLst/>
            </c:spPr>
            <c:extLst>
              <c:ext xmlns:c16="http://schemas.microsoft.com/office/drawing/2014/chart" uri="{C3380CC4-5D6E-409C-BE32-E72D297353CC}">
                <c16:uniqueId val="{00000009-0171-4877-9346-4178E7D4C2A5}"/>
              </c:ext>
            </c:extLst>
          </c:dPt>
          <c:dPt>
            <c:idx val="5"/>
            <c:bubble3D val="0"/>
            <c:spPr>
              <a:solidFill>
                <a:srgbClr val="B9D272"/>
              </a:solidFill>
              <a:ln w="19050">
                <a:solidFill>
                  <a:schemeClr val="lt1"/>
                </a:solidFill>
              </a:ln>
              <a:effectLst/>
            </c:spPr>
            <c:extLst>
              <c:ext xmlns:c16="http://schemas.microsoft.com/office/drawing/2014/chart" uri="{C3380CC4-5D6E-409C-BE32-E72D297353CC}">
                <c16:uniqueId val="{0000000B-0171-4877-9346-4178E7D4C2A5}"/>
              </c:ext>
            </c:extLst>
          </c:dPt>
          <c:dLbls>
            <c:delete val="1"/>
          </c:dLbls>
          <c:cat>
            <c:strRef>
              <c:f>Snapshot!$AG$6:$AG$11</c:f>
              <c:strCache>
                <c:ptCount val="6"/>
                <c:pt idx="0">
                  <c:v>Bills/Utilities</c:v>
                </c:pt>
                <c:pt idx="1">
                  <c:v>Shopping</c:v>
                </c:pt>
                <c:pt idx="2">
                  <c:v>Restaurants/Dining</c:v>
                </c:pt>
                <c:pt idx="3">
                  <c:v>Professional Services</c:v>
                </c:pt>
                <c:pt idx="4">
                  <c:v>Fees/Charges</c:v>
                </c:pt>
                <c:pt idx="5">
                  <c:v>All Other Categories</c:v>
                </c:pt>
              </c:strCache>
            </c:strRef>
          </c:cat>
          <c:val>
            <c:numRef>
              <c:f>Snapshot!$AH$6:$AH$11</c:f>
              <c:numCache>
                <c:formatCode>_([$$-409]* #,##0_);_([$$-409]* \(#,##0\);_([$$-409]* "-"??_);_(@_)</c:formatCode>
                <c:ptCount val="6"/>
                <c:pt idx="0">
                  <c:v>1881.32</c:v>
                </c:pt>
                <c:pt idx="1">
                  <c:v>573.13</c:v>
                </c:pt>
                <c:pt idx="2">
                  <c:v>562.28999999999985</c:v>
                </c:pt>
                <c:pt idx="3">
                  <c:v>500</c:v>
                </c:pt>
                <c:pt idx="4">
                  <c:v>325.95</c:v>
                </c:pt>
                <c:pt idx="5">
                  <c:v>311.48000000000047</c:v>
                </c:pt>
              </c:numCache>
            </c:numRef>
          </c:val>
          <c:extLst>
            <c:ext xmlns:c16="http://schemas.microsoft.com/office/drawing/2014/chart" uri="{C3380CC4-5D6E-409C-BE32-E72D297353CC}">
              <c16:uniqueId val="{0000000C-0171-4877-9346-4178E7D4C2A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noFill/>
    <a:ln w="19050"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3777191337166094E-2"/>
          <c:y val="5.8818873237538989E-2"/>
          <c:w val="0.90139033187959261"/>
          <c:h val="0.70032731418793748"/>
        </c:manualLayout>
      </c:layout>
      <c:lineChart>
        <c:grouping val="standard"/>
        <c:varyColors val="0"/>
        <c:ser>
          <c:idx val="0"/>
          <c:order val="0"/>
          <c:tx>
            <c:strRef>
              <c:f>Snapshot!$AM$4</c:f>
              <c:strCache>
                <c:ptCount val="1"/>
                <c:pt idx="0">
                  <c:v>June Spending</c:v>
                </c:pt>
              </c:strCache>
            </c:strRef>
          </c:tx>
          <c:spPr>
            <a:ln w="28575" cap="rnd">
              <a:solidFill>
                <a:srgbClr val="3078CD"/>
              </a:solidFill>
              <a:round/>
            </a:ln>
            <a:effectLst/>
          </c:spPr>
          <c:marker>
            <c:symbol val="none"/>
          </c:marker>
          <c:cat>
            <c:numRef>
              <c:f>Snapshot!$AJ$6:$AJ$36</c:f>
              <c:numCache>
                <c:formatCode>m/d/yyyy</c:formatCode>
                <c:ptCount val="31"/>
                <c:pt idx="0">
                  <c:v>36526</c:v>
                </c:pt>
                <c:pt idx="1">
                  <c:v>36527</c:v>
                </c:pt>
                <c:pt idx="2">
                  <c:v>36528</c:v>
                </c:pt>
                <c:pt idx="3">
                  <c:v>36529</c:v>
                </c:pt>
                <c:pt idx="4">
                  <c:v>36530</c:v>
                </c:pt>
                <c:pt idx="5">
                  <c:v>36531</c:v>
                </c:pt>
                <c:pt idx="6">
                  <c:v>36532</c:v>
                </c:pt>
                <c:pt idx="7">
                  <c:v>36533</c:v>
                </c:pt>
                <c:pt idx="8">
                  <c:v>36534</c:v>
                </c:pt>
                <c:pt idx="9">
                  <c:v>36535</c:v>
                </c:pt>
                <c:pt idx="10">
                  <c:v>36536</c:v>
                </c:pt>
                <c:pt idx="11">
                  <c:v>36537</c:v>
                </c:pt>
                <c:pt idx="12">
                  <c:v>36538</c:v>
                </c:pt>
                <c:pt idx="13">
                  <c:v>36539</c:v>
                </c:pt>
                <c:pt idx="14">
                  <c:v>36540</c:v>
                </c:pt>
                <c:pt idx="15">
                  <c:v>36541</c:v>
                </c:pt>
                <c:pt idx="16">
                  <c:v>36542</c:v>
                </c:pt>
                <c:pt idx="17">
                  <c:v>36543</c:v>
                </c:pt>
                <c:pt idx="18">
                  <c:v>36544</c:v>
                </c:pt>
                <c:pt idx="19">
                  <c:v>36545</c:v>
                </c:pt>
                <c:pt idx="20">
                  <c:v>36546</c:v>
                </c:pt>
                <c:pt idx="21">
                  <c:v>36547</c:v>
                </c:pt>
                <c:pt idx="22">
                  <c:v>36548</c:v>
                </c:pt>
                <c:pt idx="23">
                  <c:v>36549</c:v>
                </c:pt>
                <c:pt idx="24">
                  <c:v>36550</c:v>
                </c:pt>
                <c:pt idx="25">
                  <c:v>36551</c:v>
                </c:pt>
                <c:pt idx="26">
                  <c:v>36552</c:v>
                </c:pt>
                <c:pt idx="27">
                  <c:v>36553</c:v>
                </c:pt>
                <c:pt idx="28">
                  <c:v>36554</c:v>
                </c:pt>
                <c:pt idx="29">
                  <c:v>36555</c:v>
                </c:pt>
                <c:pt idx="30">
                  <c:v>36556</c:v>
                </c:pt>
              </c:numCache>
            </c:numRef>
          </c:cat>
          <c:val>
            <c:numRef>
              <c:f>Snapshot!$AM$6:$AM$36</c:f>
              <c:numCache>
                <c:formatCode>"$"#,##0_);[Red]\("$"#,##0\)</c:formatCode>
                <c:ptCount val="31"/>
                <c:pt idx="0">
                  <c:v>50.16</c:v>
                </c:pt>
                <c:pt idx="1">
                  <c:v>200.09</c:v>
                </c:pt>
                <c:pt idx="2">
                  <c:v>309.52999999999997</c:v>
                </c:pt>
                <c:pt idx="3">
                  <c:v>400.42999999999995</c:v>
                </c:pt>
                <c:pt idx="4">
                  <c:v>416.41999999999996</c:v>
                </c:pt>
                <c:pt idx="5">
                  <c:v>638.14</c:v>
                </c:pt>
                <c:pt idx="6">
                  <c:v>638.14</c:v>
                </c:pt>
                <c:pt idx="7">
                  <c:v>1247.9299999999998</c:v>
                </c:pt>
                <c:pt idx="8">
                  <c:v>1247.9299999999998</c:v>
                </c:pt>
                <c:pt idx="9">
                  <c:v>1247.9299999999998</c:v>
                </c:pt>
                <c:pt idx="10">
                  <c:v>1749.8799999999999</c:v>
                </c:pt>
                <c:pt idx="11">
                  <c:v>2093.46</c:v>
                </c:pt>
                <c:pt idx="12">
                  <c:v>2129.5</c:v>
                </c:pt>
                <c:pt idx="13">
                  <c:v>2129.5</c:v>
                </c:pt>
                <c:pt idx="14">
                  <c:v>2460.5299999999997</c:v>
                </c:pt>
                <c:pt idx="15">
                  <c:v>2598.8799999999997</c:v>
                </c:pt>
                <c:pt idx="16">
                  <c:v>2609.7799999999997</c:v>
                </c:pt>
                <c:pt idx="17">
                  <c:v>2685.7</c:v>
                </c:pt>
                <c:pt idx="18">
                  <c:v>2685.7</c:v>
                </c:pt>
                <c:pt idx="19">
                  <c:v>2738.9199999999996</c:v>
                </c:pt>
                <c:pt idx="20">
                  <c:v>2792.3599999999997</c:v>
                </c:pt>
                <c:pt idx="21">
                  <c:v>3394.7599999999993</c:v>
                </c:pt>
                <c:pt idx="22">
                  <c:v>3466.7599999999993</c:v>
                </c:pt>
                <c:pt idx="23">
                  <c:v>3584.6899999999991</c:v>
                </c:pt>
                <c:pt idx="24">
                  <c:v>3692.6899999999991</c:v>
                </c:pt>
                <c:pt idx="25">
                  <c:v>3787.1799999999989</c:v>
                </c:pt>
                <c:pt idx="26">
                  <c:v>3787.1799999999989</c:v>
                </c:pt>
                <c:pt idx="27">
                  <c:v>3787.1799999999989</c:v>
                </c:pt>
                <c:pt idx="28">
                  <c:v>4141.1799999999985</c:v>
                </c:pt>
                <c:pt idx="29">
                  <c:v>4154.1699999999983</c:v>
                </c:pt>
                <c:pt idx="30">
                  <c:v>#N/A</c:v>
                </c:pt>
              </c:numCache>
            </c:numRef>
          </c:val>
          <c:smooth val="0"/>
          <c:extLst>
            <c:ext xmlns:c16="http://schemas.microsoft.com/office/drawing/2014/chart" uri="{C3380CC4-5D6E-409C-BE32-E72D297353CC}">
              <c16:uniqueId val="{00000000-FD8B-4D69-8A8E-9D43558EF6A5}"/>
            </c:ext>
          </c:extLst>
        </c:ser>
        <c:ser>
          <c:idx val="1"/>
          <c:order val="1"/>
          <c:tx>
            <c:strRef>
              <c:f>Snapshot!$AQ$4</c:f>
              <c:strCache>
                <c:ptCount val="1"/>
                <c:pt idx="0">
                  <c:v>May Spending</c:v>
                </c:pt>
              </c:strCache>
            </c:strRef>
          </c:tx>
          <c:spPr>
            <a:ln w="28575" cap="rnd">
              <a:solidFill>
                <a:srgbClr val="96A6AA"/>
              </a:solidFill>
              <a:prstDash val="sysDash"/>
              <a:round/>
            </a:ln>
            <a:effectLst/>
          </c:spPr>
          <c:marker>
            <c:symbol val="none"/>
          </c:marker>
          <c:cat>
            <c:numRef>
              <c:f>Snapshot!$AJ$6:$AJ$36</c:f>
              <c:numCache>
                <c:formatCode>m/d/yyyy</c:formatCode>
                <c:ptCount val="31"/>
                <c:pt idx="0">
                  <c:v>36526</c:v>
                </c:pt>
                <c:pt idx="1">
                  <c:v>36527</c:v>
                </c:pt>
                <c:pt idx="2">
                  <c:v>36528</c:v>
                </c:pt>
                <c:pt idx="3">
                  <c:v>36529</c:v>
                </c:pt>
                <c:pt idx="4">
                  <c:v>36530</c:v>
                </c:pt>
                <c:pt idx="5">
                  <c:v>36531</c:v>
                </c:pt>
                <c:pt idx="6">
                  <c:v>36532</c:v>
                </c:pt>
                <c:pt idx="7">
                  <c:v>36533</c:v>
                </c:pt>
                <c:pt idx="8">
                  <c:v>36534</c:v>
                </c:pt>
                <c:pt idx="9">
                  <c:v>36535</c:v>
                </c:pt>
                <c:pt idx="10">
                  <c:v>36536</c:v>
                </c:pt>
                <c:pt idx="11">
                  <c:v>36537</c:v>
                </c:pt>
                <c:pt idx="12">
                  <c:v>36538</c:v>
                </c:pt>
                <c:pt idx="13">
                  <c:v>36539</c:v>
                </c:pt>
                <c:pt idx="14">
                  <c:v>36540</c:v>
                </c:pt>
                <c:pt idx="15">
                  <c:v>36541</c:v>
                </c:pt>
                <c:pt idx="16">
                  <c:v>36542</c:v>
                </c:pt>
                <c:pt idx="17">
                  <c:v>36543</c:v>
                </c:pt>
                <c:pt idx="18">
                  <c:v>36544</c:v>
                </c:pt>
                <c:pt idx="19">
                  <c:v>36545</c:v>
                </c:pt>
                <c:pt idx="20">
                  <c:v>36546</c:v>
                </c:pt>
                <c:pt idx="21">
                  <c:v>36547</c:v>
                </c:pt>
                <c:pt idx="22">
                  <c:v>36548</c:v>
                </c:pt>
                <c:pt idx="23">
                  <c:v>36549</c:v>
                </c:pt>
                <c:pt idx="24">
                  <c:v>36550</c:v>
                </c:pt>
                <c:pt idx="25">
                  <c:v>36551</c:v>
                </c:pt>
                <c:pt idx="26">
                  <c:v>36552</c:v>
                </c:pt>
                <c:pt idx="27">
                  <c:v>36553</c:v>
                </c:pt>
                <c:pt idx="28">
                  <c:v>36554</c:v>
                </c:pt>
                <c:pt idx="29">
                  <c:v>36555</c:v>
                </c:pt>
                <c:pt idx="30">
                  <c:v>36556</c:v>
                </c:pt>
              </c:numCache>
            </c:numRef>
          </c:cat>
          <c:val>
            <c:numRef>
              <c:f>Snapshot!$AQ$6:$AQ$36</c:f>
              <c:numCache>
                <c:formatCode>"$"#,##0_);[Red]\("$"#,##0\)</c:formatCode>
                <c:ptCount val="31"/>
                <c:pt idx="0">
                  <c:v>500</c:v>
                </c:pt>
                <c:pt idx="1">
                  <c:v>577.58000000000004</c:v>
                </c:pt>
                <c:pt idx="2">
                  <c:v>577.58000000000004</c:v>
                </c:pt>
                <c:pt idx="3">
                  <c:v>577.58000000000004</c:v>
                </c:pt>
                <c:pt idx="4">
                  <c:v>644.31000000000006</c:v>
                </c:pt>
                <c:pt idx="5">
                  <c:v>1110.08</c:v>
                </c:pt>
                <c:pt idx="6">
                  <c:v>1710.6999999999998</c:v>
                </c:pt>
                <c:pt idx="7">
                  <c:v>1912.6499999999999</c:v>
                </c:pt>
                <c:pt idx="8">
                  <c:v>2104.85</c:v>
                </c:pt>
                <c:pt idx="9">
                  <c:v>2147.62</c:v>
                </c:pt>
                <c:pt idx="10">
                  <c:v>2287.41</c:v>
                </c:pt>
                <c:pt idx="11">
                  <c:v>2318.3199999999997</c:v>
                </c:pt>
                <c:pt idx="12">
                  <c:v>2384.1099999999997</c:v>
                </c:pt>
                <c:pt idx="13">
                  <c:v>2511.9899999999998</c:v>
                </c:pt>
                <c:pt idx="14">
                  <c:v>2564.58</c:v>
                </c:pt>
                <c:pt idx="15">
                  <c:v>2564.58</c:v>
                </c:pt>
                <c:pt idx="16">
                  <c:v>2607.69</c:v>
                </c:pt>
                <c:pt idx="17">
                  <c:v>2763.46</c:v>
                </c:pt>
                <c:pt idx="18">
                  <c:v>2801.14</c:v>
                </c:pt>
                <c:pt idx="19">
                  <c:v>2801.14</c:v>
                </c:pt>
                <c:pt idx="20">
                  <c:v>2801.14</c:v>
                </c:pt>
                <c:pt idx="21">
                  <c:v>2893.69</c:v>
                </c:pt>
                <c:pt idx="22">
                  <c:v>2934.36</c:v>
                </c:pt>
                <c:pt idx="23">
                  <c:v>2978.21</c:v>
                </c:pt>
                <c:pt idx="24">
                  <c:v>3088.42</c:v>
                </c:pt>
                <c:pt idx="25">
                  <c:v>3479.75</c:v>
                </c:pt>
                <c:pt idx="26">
                  <c:v>3712.34</c:v>
                </c:pt>
                <c:pt idx="27">
                  <c:v>4282.54</c:v>
                </c:pt>
                <c:pt idx="28">
                  <c:v>4319.83</c:v>
                </c:pt>
                <c:pt idx="29">
                  <c:v>4418.71</c:v>
                </c:pt>
                <c:pt idx="30">
                  <c:v>4475.6400000000003</c:v>
                </c:pt>
              </c:numCache>
            </c:numRef>
          </c:val>
          <c:smooth val="0"/>
          <c:extLst>
            <c:ext xmlns:c16="http://schemas.microsoft.com/office/drawing/2014/chart" uri="{C3380CC4-5D6E-409C-BE32-E72D297353CC}">
              <c16:uniqueId val="{00000001-FD8B-4D69-8A8E-9D43558EF6A5}"/>
            </c:ext>
          </c:extLst>
        </c:ser>
        <c:ser>
          <c:idx val="2"/>
          <c:order val="2"/>
          <c:tx>
            <c:v>PrevMonthMax</c:v>
          </c:tx>
          <c:spPr>
            <a:ln w="28575" cap="rnd">
              <a:noFill/>
              <a:round/>
            </a:ln>
            <a:effectLst/>
          </c:spPr>
          <c:marker>
            <c:symbol val="circle"/>
            <c:size val="6"/>
            <c:spPr>
              <a:solidFill>
                <a:srgbClr val="96A6AA"/>
              </a:solidFill>
              <a:ln w="9525">
                <a:noFill/>
              </a:ln>
              <a:effectLst/>
            </c:spPr>
          </c:marker>
          <c:dPt>
            <c:idx val="30"/>
            <c:marker>
              <c:symbol val="circle"/>
              <c:size val="6"/>
              <c:spPr>
                <a:solidFill>
                  <a:srgbClr val="96A6AA"/>
                </a:solidFill>
                <a:ln w="9525">
                  <a:noFill/>
                </a:ln>
                <a:effectLst/>
              </c:spPr>
            </c:marker>
            <c:bubble3D val="0"/>
            <c:extLst>
              <c:ext xmlns:c16="http://schemas.microsoft.com/office/drawing/2014/chart" uri="{C3380CC4-5D6E-409C-BE32-E72D297353CC}">
                <c16:uniqueId val="{00000001-DA5A-48F8-A1C0-21994C26477C}"/>
              </c:ext>
            </c:extLst>
          </c:dPt>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Snapshot!$AR$6:$AR$36</c:f>
              <c:numCache>
                <c:formatCode>"$"#,##0_);[Red]\("$"#,##0\)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4475.6400000000003</c:v>
                </c:pt>
              </c:numCache>
            </c:numRef>
          </c:val>
          <c:smooth val="0"/>
          <c:extLst>
            <c:ext xmlns:c16="http://schemas.microsoft.com/office/drawing/2014/chart" uri="{C3380CC4-5D6E-409C-BE32-E72D297353CC}">
              <c16:uniqueId val="{00000000-CE85-4A3C-8799-07EFC094EA01}"/>
            </c:ext>
          </c:extLst>
        </c:ser>
        <c:ser>
          <c:idx val="3"/>
          <c:order val="3"/>
          <c:tx>
            <c:v>CurrentMonthMax</c:v>
          </c:tx>
          <c:spPr>
            <a:ln w="28575" cap="rnd">
              <a:noFill/>
              <a:round/>
            </a:ln>
            <a:effectLst/>
          </c:spPr>
          <c:marker>
            <c:symbol val="circle"/>
            <c:size val="6"/>
            <c:spPr>
              <a:solidFill>
                <a:srgbClr val="3078CD"/>
              </a:solidFill>
              <a:ln w="9525">
                <a:noFill/>
              </a:ln>
              <a:effectLst/>
            </c:spPr>
          </c:marker>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Arial" panose="020B0604020202020204" pitchFamily="34" charset="0"/>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Snapshot!$AN$6:$AN$36</c:f>
              <c:numCache>
                <c:formatCode>"$"#,##0_);[Red]\("$"#,##0\)</c:formatCode>
                <c:ptCount val="31"/>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4154.1699999999983</c:v>
                </c:pt>
                <c:pt idx="30">
                  <c:v>#N/A</c:v>
                </c:pt>
              </c:numCache>
            </c:numRef>
          </c:val>
          <c:smooth val="0"/>
          <c:extLst>
            <c:ext xmlns:c16="http://schemas.microsoft.com/office/drawing/2014/chart" uri="{C3380CC4-5D6E-409C-BE32-E72D297353CC}">
              <c16:uniqueId val="{00000001-CE85-4A3C-8799-07EFC094EA01}"/>
            </c:ext>
          </c:extLst>
        </c:ser>
        <c:dLbls>
          <c:showLegendKey val="0"/>
          <c:showVal val="0"/>
          <c:showCatName val="0"/>
          <c:showSerName val="0"/>
          <c:showPercent val="0"/>
          <c:showBubbleSize val="0"/>
        </c:dLbls>
        <c:smooth val="0"/>
        <c:axId val="990276639"/>
        <c:axId val="850507775"/>
      </c:lineChart>
      <c:dateAx>
        <c:axId val="990276639"/>
        <c:scaling>
          <c:orientation val="minMax"/>
        </c:scaling>
        <c:delete val="0"/>
        <c:axPos val="b"/>
        <c:numFmt formatCode="d"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crossAx val="850507775"/>
        <c:crosses val="autoZero"/>
        <c:auto val="0"/>
        <c:lblOffset val="100"/>
        <c:baseTimeUnit val="days"/>
        <c:majorUnit val="2"/>
        <c:majorTimeUnit val="days"/>
      </c:dateAx>
      <c:valAx>
        <c:axId val="850507775"/>
        <c:scaling>
          <c:orientation val="minMax"/>
        </c:scaling>
        <c:delete val="0"/>
        <c:axPos val="l"/>
        <c:majorGridlines>
          <c:spPr>
            <a:ln w="9525" cap="flat" cmpd="sng" algn="ctr">
              <a:solidFill>
                <a:schemeClr val="bg1">
                  <a:lumMod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crossAx val="990276639"/>
        <c:crosses val="autoZero"/>
        <c:crossBetween val="between"/>
      </c:valAx>
      <c:spPr>
        <a:noFill/>
        <a:ln>
          <a:noFill/>
        </a:ln>
        <a:effectLst/>
      </c:spPr>
    </c:plotArea>
    <c:legend>
      <c:legendPos val="b"/>
      <c:legendEntry>
        <c:idx val="2"/>
        <c:delete val="1"/>
      </c:legendEntry>
      <c:legendEntry>
        <c:idx val="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Arial" panose="020B0604020202020204" pitchFamily="34" charset="0"/>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noFill/>
      <a:round/>
    </a:ln>
    <a:effectLst/>
  </c:spPr>
  <c:txPr>
    <a:bodyPr/>
    <a:lstStyle/>
    <a:p>
      <a:pPr>
        <a:defRPr>
          <a:latin typeface="+mn-lt"/>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313448</xdr:colOff>
      <xdr:row>22</xdr:row>
      <xdr:rowOff>18502</xdr:rowOff>
    </xdr:to>
    <xdr:pic>
      <xdr:nvPicPr>
        <xdr:cNvPr id="2" name="Picture 1">
          <a:extLst>
            <a:ext uri="{FF2B5EF4-FFF2-40B4-BE49-F238E27FC236}">
              <a16:creationId xmlns:a16="http://schemas.microsoft.com/office/drawing/2014/main" id="{0892FEEF-94A8-45FE-81BD-242DACBE2950}"/>
            </a:ext>
          </a:extLst>
        </xdr:cNvPr>
        <xdr:cNvPicPr>
          <a:picLocks noChangeAspect="1"/>
        </xdr:cNvPicPr>
      </xdr:nvPicPr>
      <xdr:blipFill>
        <a:blip xmlns:r="http://schemas.openxmlformats.org/officeDocument/2006/relationships" r:embed="rId1"/>
        <a:stretch>
          <a:fillRect/>
        </a:stretch>
      </xdr:blipFill>
      <xdr:spPr>
        <a:xfrm>
          <a:off x="0" y="0"/>
          <a:ext cx="7019048" cy="4380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218362</xdr:colOff>
      <xdr:row>29</xdr:row>
      <xdr:rowOff>161208</xdr:rowOff>
    </xdr:to>
    <xdr:pic>
      <xdr:nvPicPr>
        <xdr:cNvPr id="2" name="Picture 1">
          <a:extLst>
            <a:ext uri="{FF2B5EF4-FFF2-40B4-BE49-F238E27FC236}">
              <a16:creationId xmlns:a16="http://schemas.microsoft.com/office/drawing/2014/main" id="{C165258D-B3D1-456D-9503-53A1CED8A341}"/>
            </a:ext>
          </a:extLst>
        </xdr:cNvPr>
        <xdr:cNvPicPr>
          <a:picLocks noChangeAspect="1"/>
        </xdr:cNvPicPr>
      </xdr:nvPicPr>
      <xdr:blipFill>
        <a:blip xmlns:r="http://schemas.openxmlformats.org/officeDocument/2006/relationships" r:embed="rId1"/>
        <a:stretch>
          <a:fillRect/>
        </a:stretch>
      </xdr:blipFill>
      <xdr:spPr>
        <a:xfrm>
          <a:off x="0" y="0"/>
          <a:ext cx="5704762" cy="573333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7</xdr:row>
      <xdr:rowOff>0</xdr:rowOff>
    </xdr:from>
    <xdr:to>
      <xdr:col>5</xdr:col>
      <xdr:colOff>0</xdr:colOff>
      <xdr:row>14</xdr:row>
      <xdr:rowOff>0</xdr:rowOff>
    </xdr:to>
    <xdr:graphicFrame macro="">
      <xdr:nvGraphicFramePr>
        <xdr:cNvPr id="2" name="mostRecentRecurringExpensesChart">
          <a:extLst>
            <a:ext uri="{FF2B5EF4-FFF2-40B4-BE49-F238E27FC236}">
              <a16:creationId xmlns:a16="http://schemas.microsoft.com/office/drawing/2014/main" id="{8FF5FE1F-60FF-4DD9-AF8D-C42DC605B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8</xdr:row>
      <xdr:rowOff>84475</xdr:rowOff>
    </xdr:from>
    <xdr:to>
      <xdr:col>8</xdr:col>
      <xdr:colOff>800378</xdr:colOff>
      <xdr:row>21</xdr:row>
      <xdr:rowOff>67235</xdr:rowOff>
    </xdr:to>
    <xdr:graphicFrame macro="">
      <xdr:nvGraphicFramePr>
        <xdr:cNvPr id="2" name="Chart 1" descr="Monthly Income vs. Spending">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87674</xdr:colOff>
      <xdr:row>9</xdr:row>
      <xdr:rowOff>33337</xdr:rowOff>
    </xdr:from>
    <xdr:to>
      <xdr:col>15</xdr:col>
      <xdr:colOff>152399</xdr:colOff>
      <xdr:row>20</xdr:row>
      <xdr:rowOff>84335</xdr:rowOff>
    </xdr:to>
    <xdr:graphicFrame macro="">
      <xdr:nvGraphicFramePr>
        <xdr:cNvPr id="4" name="Chart 3" descr="Month's Top Spending Categories&#10;">
          <a:extLst>
            <a:ext uri="{FF2B5EF4-FFF2-40B4-BE49-F238E27FC236}">
              <a16:creationId xmlns:a16="http://schemas.microsoft.com/office/drawing/2014/main" id="{00000000-0008-0000-0000-000004000000}"/>
            </a:ext>
            <a:ext uri="{147F2762-F138-4A5C-976F-8EAC2B608ADB}">
              <a16:predDERef xmlns:a16="http://schemas.microsoft.com/office/drawing/2014/main" pred="{EA4B61A0-993A-412D-B4E8-1DCB15DF5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28</xdr:row>
      <xdr:rowOff>85723</xdr:rowOff>
    </xdr:from>
    <xdr:to>
      <xdr:col>19</xdr:col>
      <xdr:colOff>95250</xdr:colOff>
      <xdr:row>41</xdr:row>
      <xdr:rowOff>57149</xdr:rowOff>
    </xdr:to>
    <xdr:graphicFrame macro="">
      <xdr:nvGraphicFramePr>
        <xdr:cNvPr id="3" name="Chart 2" descr="Cumulative Spending Throughout Month">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0.37278</cdr:x>
      <cdr:y>0.38161</cdr:y>
    </cdr:from>
    <cdr:to>
      <cdr:x>0.63129</cdr:x>
      <cdr:y>0.57244</cdr:y>
    </cdr:to>
    <cdr:sp macro="" textlink="Snapshot!$AH$12">
      <cdr:nvSpPr>
        <cdr:cNvPr id="3" name="TextBox 2">
          <a:extLst xmlns:a="http://schemas.openxmlformats.org/drawingml/2006/main">
            <a:ext uri="{FF2B5EF4-FFF2-40B4-BE49-F238E27FC236}">
              <a16:creationId xmlns:a16="http://schemas.microsoft.com/office/drawing/2014/main" id="{65C1457A-F0F2-4C50-B24F-1B3F9811CE14}"/>
            </a:ext>
          </a:extLst>
        </cdr:cNvPr>
        <cdr:cNvSpPr txBox="1"/>
      </cdr:nvSpPr>
      <cdr:spPr>
        <a:xfrm xmlns:a="http://schemas.openxmlformats.org/drawingml/2006/main">
          <a:off x="947830" y="813749"/>
          <a:ext cx="657291" cy="406925"/>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fld id="{69F04872-0FD4-4F54-9235-FD976F8554FF}" type="TxLink">
            <a:rPr lang="en-US" sz="1200" b="0" i="0" u="none" strike="noStrike">
              <a:solidFill>
                <a:schemeClr val="tx1">
                  <a:lumMod val="75000"/>
                  <a:lumOff val="25000"/>
                </a:schemeClr>
              </a:solidFill>
              <a:latin typeface="+mn-lt"/>
              <a:cs typeface="Arial" panose="020B0604020202020204" pitchFamily="34" charset="0"/>
            </a:rPr>
            <a:pPr algn="ctr"/>
            <a:t> $4,154 </a:t>
          </a:fld>
          <a:endParaRPr lang="en-US" sz="1200" b="0">
            <a:solidFill>
              <a:schemeClr val="tx1">
                <a:lumMod val="75000"/>
                <a:lumOff val="25000"/>
              </a:schemeClr>
            </a:solidFill>
            <a:latin typeface="+mn-lt"/>
            <a:cs typeface="Arial" panose="020B0604020202020204" pitchFamily="34" charset="0"/>
          </a:endParaRP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CD3EA0-E4E7-414E-AED7-82FDC31C791D}" name="Table1" displayName="Table1" ref="B6:R1251" totalsRowShown="0" headerRowDxfId="107" dataDxfId="106">
  <autoFilter ref="B6:R1251" xr:uid="{1E93EEF5-853E-42BB-A4F2-89A98C13F990}">
    <filterColumn colId="1">
      <filters>
        <filter val="Transfer to Khalil"/>
      </filters>
    </filterColumn>
  </autoFilter>
  <sortState xmlns:xlrd2="http://schemas.microsoft.com/office/spreadsheetml/2017/richdata2" ref="B7:R1251">
    <sortCondition descending="1" ref="B7:B1251"/>
  </sortState>
  <tableColumns count="17">
    <tableColumn id="1" xr3:uid="{EE6ED09F-F28E-459A-8607-99055584CDBE}" name="Date" dataDxfId="105"/>
    <tableColumn id="2" xr3:uid="{D76EC5B3-A626-48A8-A996-E3B80A2D3FA4}" name="Merchant" dataDxfId="104"/>
    <tableColumn id="3" xr3:uid="{4B7E9E3C-3E46-4B70-AE02-A4D7CF3853EC}" name="Category" dataDxfId="103"/>
    <tableColumn id="17" xr3:uid="{1E20B174-3449-4727-A323-3BADDD97C507}" name="Subcategory" dataDxfId="82"/>
    <tableColumn id="4" xr3:uid="{B5C0445C-239E-43A5-B227-C3C3F4255C9B}" name="Amount $" dataDxfId="102"/>
    <tableColumn id="5" xr3:uid="{D96AF5FB-B219-4E87-90E5-1F89CA4F1921}" name="Account" dataDxfId="101"/>
    <tableColumn id="6" xr3:uid="{4EDA5FD9-4393-4FEA-915F-33B320335813}" name="Account Number" dataDxfId="100"/>
    <tableColumn id="7" xr3:uid="{81BC73AB-869E-4F12-8D56-326E275BA234}" name="Institution" dataDxfId="99"/>
    <tableColumn id="14" xr3:uid="{20218ADD-5EE2-405E-AF73-890CF1361427}" name="Transaction_ID" dataDxfId="98"/>
    <tableColumn id="13" xr3:uid="{0C9D6E6C-7960-412E-A0B8-9C48ADB8BF9E}" name="Account_ID" dataDxfId="97"/>
    <tableColumn id="15" xr3:uid="{4C8D2200-E378-40E0-9425-67E53F82CCE4}" name="Institution_ID" dataDxfId="96"/>
    <tableColumn id="16" xr3:uid="{6F75B681-920E-42D4-965A-992DD52CE145}" name="Category Type" dataDxfId="95">
      <calculatedColumnFormula array="1">IFERROR(INDEX(CategoriesTable[Category type],MATCH(Table1[[#This Row],[Category]],CategoriesTable[Category name],0),0),"")</calculatedColumnFormula>
    </tableColumn>
    <tableColumn id="8" xr3:uid="{E89A31A0-3B8F-415C-A20F-F7D6E65F3692}" name="Date_Day" dataDxfId="94">
      <calculatedColumnFormula>DAY(Table1[[#This Row],[Date]])</calculatedColumnFormula>
    </tableColumn>
    <tableColumn id="9" xr3:uid="{5E9632CC-9B9D-4C42-A498-0EB7B2A784B4}" name="Date_Month" dataDxfId="93">
      <calculatedColumnFormula>MONTH(Table1[[#This Row],[Date]])</calculatedColumnFormula>
    </tableColumn>
    <tableColumn id="10" xr3:uid="{97D39170-DF53-42AA-8F04-83FB5831E028}" name="Date_Year" dataDxfId="92">
      <calculatedColumnFormula>YEAR(Table1[[#This Row],[Date]])</calculatedColumnFormula>
    </tableColumn>
    <tableColumn id="11" xr3:uid="{126135E5-55E0-4ADD-95EE-77FBF80CE9F9}" name="Beginning of Week" dataDxfId="91">
      <calculatedColumnFormula>IF(ISBLANK(Table1[[#This Row],[Date]]),"",Table1[[#This Row],[Date]]-WEEKDAY(Table1[[#This Row],[Date]],2)+1)</calculatedColumnFormula>
    </tableColumn>
    <tableColumn id="12" xr3:uid="{2AAEBDD8-703F-435B-AB5F-735EF64E5EA7}" name="Month" dataDxfId="90">
      <calculatedColumnFormula>IF(ISBLANK(Table1[[#This Row],[Date]]),"",DATE(Table1[[#This Row],[Date_Year]],Table1[[#This Row],[Date_Month]],1))</calculatedColumnFormula>
    </tableColumn>
  </tableColumns>
  <tableStyleInfo name="Money"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5A51855-A155-45DB-9317-E69BB676E7EA}" name="RecurringExp" displayName="RecurringExp" ref="G8:T31" totalsRowShown="0">
  <autoFilter ref="G8:T31" xr:uid="{25E7AFF9-B865-408B-9CD3-83BFF7D46753}"/>
  <sortState xmlns:xlrd2="http://schemas.microsoft.com/office/spreadsheetml/2017/richdata2" ref="G9:S31">
    <sortCondition ref="S9:S31"/>
    <sortCondition descending="1" ref="I9:I31"/>
  </sortState>
  <tableColumns count="14">
    <tableColumn id="1" xr3:uid="{910E4C1E-DC7F-43C4-BFD7-0C9E7C53D8E9}" name="Id"/>
    <tableColumn id="2" xr3:uid="{C4D98DC4-2308-43AB-86E0-07182CA65E1E}" name="Merchant"/>
    <tableColumn id="3" xr3:uid="{FA7662B8-EF06-4A9B-A4CB-63885B36093E}" name="Amount $" dataDxfId="69"/>
    <tableColumn id="4" xr3:uid="{C7516026-4253-4507-B0CF-A31771B2A708}" name="Frequency"/>
    <tableColumn id="5" xr3:uid="{32B17930-B945-4C9E-A798-FB17E98A6EE1}" name="YTD/Annual Cost" dataDxfId="65">
      <calculatedColumnFormula>IFERROR(IF(ISBLANK(RecurringExp[[#This Row],[Amount $]]),"",IF(RecurringExp[[#This Row],[Sum from Trans]]&lt;&gt;"",RecurringExp[[#This Row],[Sum from Trans]],RecurringExp[[#This Row],[Amount $]]*_xlfn.XLOOKUP(RecurringExp[[#This Row],[Frequency]],FrequencyKey,FrequencyValue))),"")</calculatedColumnFormula>
    </tableColumn>
    <tableColumn id="6" xr3:uid="{433DEE37-0144-4128-A048-0F5DC502B13C}" name="Price Change $" dataDxfId="68"/>
    <tableColumn id="7" xr3:uid="{3BABBCB1-3DC2-4DBD-972D-236717FFF360}" name="Last Date Paid" dataDxfId="67"/>
    <tableColumn id="8" xr3:uid="{525F18EA-3344-418C-9716-EE03E048D0E0}" name="Upcoming Pay Date" dataDxfId="66"/>
    <tableColumn id="9" xr3:uid="{BA832972-A096-443F-90D1-E36D0F6FE643}" name="Sum from Trans" dataDxfId="64">
      <calculatedColumnFormula>IF(SUMIFS(Table1[Amount $],Table1[Merchant],RecurringExp[[#This Row],[Merchant]],Table1[Date_Year],YEAR(TODAY()))*-1=0,"",SUMIFS(Table1[Amount $],Table1[Merchant],RecurringExp[[#This Row],[Merchant]],Table1[Date_Year],YEAR(TODAY()))*-1)</calculatedColumnFormula>
    </tableColumn>
    <tableColumn id="10" xr3:uid="{6452DD94-6D7E-4D6E-8AB5-2BAD1A2AD9D6}" name="Upcoming Days" dataDxfId="63">
      <calculatedColumnFormula>IF(ISBLANK(RecurringExp[[#This Row],[Upcoming Pay Date]]),"",IF(RecurringExp[[#This Row],[Upcoming Pay Date]]-TODAY()&lt;0,"",IF(RecurringExp[[#This Row],[Upcoming Pay Date]]-TODAY()&gt;30,"",RecurringExp[[#This Row],[Upcoming Pay Date]]-TODAY())))</calculatedColumnFormula>
    </tableColumn>
    <tableColumn id="11" xr3:uid="{3606D519-3C12-42F8-8CA4-204AD59AAAE0}" name="Rank_Days" dataDxfId="62">
      <calculatedColumnFormula>IFERROR(RANK(RecurringExp[[#This Row],[Upcoming Days]],RecurringExp[Upcoming Days],1)+COUNTIF(RecurringExp[[#This Row],[Upcoming Days]]:RecurringExp[[#This Row],[Upcoming Days]],RecurringExp[[#This Row],[Upcoming Days]])-1,"")</calculatedColumnFormula>
    </tableColumn>
    <tableColumn id="12" xr3:uid="{B424AB93-841C-4C5C-9B2C-89469FD89FF4}" name="Rank_Annual" dataDxfId="61">
      <calculatedColumnFormula>IFERROR(RANK(RecurringExp[[#This Row],[YTD/Annual Cost]],RecurringExp[YTD/Annual Cost],0)+COUNTIF(RecurringExp[[#This Row],[YTD/Annual Cost]]:RecurringExp[[#This Row],[YTD/Annual Cost]],RecurringExp[[#This Row],[YTD/Annual Cost]])-1,"")</calculatedColumnFormula>
    </tableColumn>
    <tableColumn id="13" xr3:uid="{C740CC41-4BF2-4616-BBFF-9772C55173B6}" name="User Added"/>
    <tableColumn id="14" xr3:uid="{7314324A-4255-4639-9DB6-B3FE2A1E0180}" name="Column1" dataDxfId="0"/>
  </tableColumns>
  <tableStyleInfo name="Money"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5ABC79-9C59-4E23-92A7-75F31BA5D235}" name="CategoriesTableLegacy" displayName="CategoriesTableLegacy" ref="C6:E44" totalsRowShown="0" headerRowDxfId="89" dataDxfId="88" tableBorderDxfId="87">
  <autoFilter ref="C6:E44" xr:uid="{E630DDAD-569F-40E5-B0AD-F309D146F27A}"/>
  <tableColumns count="3">
    <tableColumn id="1" xr3:uid="{A1F04B03-8670-4C22-8F71-51FEA2D87954}" name="Id" dataDxfId="86"/>
    <tableColumn id="5" xr3:uid="{04FE7142-476D-C746-BA4C-B7000645E008}" name="Category Name" dataDxfId="85"/>
    <tableColumn id="2" xr3:uid="{164B46D0-D949-4187-9448-0A4C615EBE4E}" name="Category Type" dataDxfId="84"/>
  </tableColumns>
  <tableStyleInfo name="Money"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ED6B8F-A40B-4412-9175-F0EE055CFA14}" name="CategoriesTable" displayName="CategoriesTable" ref="B7:E100" totalsRowShown="0" headerRowDxfId="77" dataDxfId="76">
  <autoFilter ref="B7:E100" xr:uid="{3D0A7281-0781-4D89-A996-4E1A5BB980DF}"/>
  <tableColumns count="4">
    <tableColumn id="1" xr3:uid="{0301A04C-0873-4DF8-AB3B-2E8B6983DFB1}" name="ID" dataDxfId="81"/>
    <tableColumn id="2" xr3:uid="{19FFA4CC-C4CB-4058-86FF-6E82A9B1A827}" name="Category name" dataDxfId="80"/>
    <tableColumn id="3" xr3:uid="{2523681A-9534-437B-85C3-D970F50F1A6E}" name="Category type" dataDxfId="79"/>
    <tableColumn id="4" xr3:uid="{A0980459-CF58-4545-AC5E-7D17903161EA}" name="Default" dataDxfId="78"/>
  </tableColumns>
  <tableStyleInfo name="Money"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E1E170-CEEA-458A-93A1-672E429411E9}" name="SubcategoriesTable" displayName="SubcategoriesTable" ref="G7:J100" totalsRowShown="0" headerRowDxfId="72" dataDxfId="71">
  <autoFilter ref="G7:J100" xr:uid="{594A0F6B-4EDB-4236-A6B4-F56A8F9C86EF}"/>
  <tableColumns count="4">
    <tableColumn id="1" xr3:uid="{2568C2BE-E366-49BF-AF6A-CBFCABB0C978}" name="ID" dataDxfId="75"/>
    <tableColumn id="2" xr3:uid="{1A948215-9852-407C-BDFB-A60691A5EB6C}" name="Category name" dataDxfId="74"/>
    <tableColumn id="3" xr3:uid="{E78DEF07-A844-4966-95BF-10D97935C906}" name="Subcategory name" dataDxfId="73"/>
    <tableColumn id="4" xr3:uid="{BF6753CB-5FB4-4E51-91A9-2E830BBCF216}" name="Category ID" dataDxfId="70">
      <calculatedColumnFormula>IF(NOT(_xlfn.XLOOKUP(SubcategoriesTable[[#This Row],[Category name]],CategoriesTable[Category name],CategoriesTable[ID])=0),_xlfn.XLOOKUP(SubcategoriesTable[[#This Row],[Category name]],CategoriesTable[Category name],CategoriesTable[ID]),"")</calculatedColumnFormula>
    </tableColumn>
  </tableColumns>
  <tableStyleInfo name="Money"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AC8195-CD32-4E3D-8809-3E65EB22D614}" name="Institutions" displayName="Institutions" ref="A1:C7" totalsRowShown="0">
  <autoFilter ref="A1:C7" xr:uid="{2120B702-A785-44D9-984A-9EC3560CECB9}"/>
  <tableColumns count="3">
    <tableColumn id="1" xr3:uid="{202CCB7D-A650-42EB-9549-E624AD0CABAB}" name="ID"/>
    <tableColumn id="2" xr3:uid="{E6F2DC1E-D58D-4D38-9BE6-BB02D4AD2D58}" name="Institution name"/>
    <tableColumn id="3" xr3:uid="{EAE7F131-39EC-4C52-9358-390A54CCE934}" name="Institution nicknam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57C271-7BB7-49CA-8CF1-4EF92C969729}" name="Accounts" displayName="Accounts" ref="E1:I8" totalsRowShown="0">
  <autoFilter ref="E1:I8" xr:uid="{3B83FEB8-F3C4-405B-B25A-4F63E9EE3671}"/>
  <tableColumns count="5">
    <tableColumn id="1" xr3:uid="{A6B1AA55-7285-45CC-A736-ECE137F490FB}" name="ID"/>
    <tableColumn id="2" xr3:uid="{4093629B-AE4A-432A-90CD-C4264D513FC2}" name="Institution ID"/>
    <tableColumn id="3" xr3:uid="{3AF9E393-6E7B-4C09-8B5B-5D45DE03256F}" name="Account#" dataDxfId="83"/>
    <tableColumn id="4" xr3:uid="{8889918B-193F-41A3-B4CE-A03E2F494227}" name="Account name"/>
    <tableColumn id="5" xr3:uid="{497813EC-CD70-44F3-A930-22447773BFCB}" name="Account nick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C588499-CA36-40D8-8ECA-1F3AB0185D4A}">
  <we:reference id="wa200001306" version="2.0.0.0" store="en-US" storeType="OMEX"/>
  <we:alternateReferences>
    <we:reference id="wa200001306" version="2.0.0.0" store="WA200001306" storeType="OMEX"/>
  </we:alternateReferences>
  <we:properties>
    <we:property name="Office.AutoShowTaskpaneWithDocument" value="true"/>
    <we:property name="templateVersion" value="&quot;2.0.0&quot;"/>
    <we:property name="migrations" value="[&quot;b9eaa502-25e2-11eb-adc1-0242ac120011&quot;,&quot;f7ca7364-27cb-4a88-8e16-fecae4bc9ccc&quot;,&quot;183e3627-e453-45d2-b67d-305a8720805a&quot;,&quot;7e5ec4c0-2775-11eb-adc1-0242ac120002&quot;,&quot;368e719c-294b-455c-b5d3-1a79129c7925&quot;,&quot;b3a48a58-0c34-4d38-a965-2a6529d517de&quot;,&quot;8ce1ea5d-3a50-4835-82d3-bfef0588ea03&quot;,&quot;8ce1ea5d-3a50-4835-88d3-bfef0588ea03&quot;]"/>
    <we:property name="a468cf335986495cbe44eb4c4c212bb6" value="&quot;[[\&quot;lastSyncTimestamp\&quot;,1618697128624]]&quot;"/>
    <we:property name="populated" value="true"/>
  </we:properties>
  <we:bindings>
    <we:binding id="NotificationCategoryPrimer" type="matrix" appref="{300E31B9-DBE3-4380-912A-85674950F610}"/>
    <we:binding id="NotificationCategoryCustom" type="matrix" appref="{841EE5C1-E92D-4666-989F-3361C6FB9091}"/>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B624E-8916-451B-B3D9-53C1545321CF}">
  <dimension ref="A1:V1252"/>
  <sheetViews>
    <sheetView showGridLines="0" zoomScaleNormal="100" workbookViewId="0">
      <pane ySplit="6" topLeftCell="A7" activePane="bottomLeft" state="frozen"/>
      <selection activeCell="S3" sqref="S3"/>
      <selection pane="bottomLeft" activeCell="D145" sqref="D145"/>
    </sheetView>
  </sheetViews>
  <sheetFormatPr defaultColWidth="8.85546875" defaultRowHeight="15" outlineLevelCol="1" x14ac:dyDescent="0.25"/>
  <cols>
    <col min="1" max="1" width="1.28515625" style="14" customWidth="1"/>
    <col min="2" max="2" width="15.42578125" style="14" customWidth="1"/>
    <col min="3" max="3" width="34.28515625" style="14" bestFit="1" customWidth="1"/>
    <col min="4" max="4" width="29" style="14" customWidth="1"/>
    <col min="5" max="5" width="29" style="125" customWidth="1"/>
    <col min="6" max="6" width="19.85546875" style="14" customWidth="1"/>
    <col min="7" max="7" width="29" style="14" customWidth="1"/>
    <col min="8" max="8" width="22.140625" style="14" customWidth="1"/>
    <col min="9" max="9" width="20.140625" style="14" customWidth="1" outlineLevel="1"/>
    <col min="10" max="10" width="16.140625" style="14" hidden="1" customWidth="1" outlineLevel="1"/>
    <col min="11" max="12" width="18.140625" style="14" hidden="1" customWidth="1" outlineLevel="1"/>
    <col min="13" max="13" width="11.85546875" style="14" hidden="1" customWidth="1" outlineLevel="1"/>
    <col min="14" max="14" width="14.28515625" style="14" hidden="1" customWidth="1" outlineLevel="1"/>
    <col min="15" max="15" width="12.28515625" style="14" hidden="1" customWidth="1" outlineLevel="1"/>
    <col min="16" max="16" width="20.28515625" style="14" hidden="1" customWidth="1" outlineLevel="1"/>
    <col min="17" max="17" width="10.28515625" style="14" hidden="1" customWidth="1" outlineLevel="1"/>
    <col min="18" max="18" width="8.85546875" style="14" hidden="1" customWidth="1"/>
    <col min="19" max="16384" width="8.85546875" style="14"/>
  </cols>
  <sheetData>
    <row r="1" spans="1:18" s="6" customFormat="1" ht="5.0999999999999996" customHeight="1" x14ac:dyDescent="0.25">
      <c r="A1" s="103"/>
      <c r="B1" s="3"/>
      <c r="C1" s="3"/>
      <c r="D1" s="3"/>
      <c r="E1" s="104"/>
      <c r="F1" s="3"/>
      <c r="G1" s="3"/>
      <c r="H1" s="3"/>
      <c r="I1" s="3"/>
      <c r="J1" s="3"/>
      <c r="K1" s="3"/>
      <c r="L1" s="3"/>
      <c r="M1" s="3"/>
      <c r="N1" s="3"/>
      <c r="O1" s="105"/>
      <c r="P1" s="105"/>
      <c r="Q1" s="106"/>
    </row>
    <row r="2" spans="1:18" s="6" customFormat="1" ht="40.5" customHeight="1" x14ac:dyDescent="0.55000000000000004">
      <c r="B2" s="146" t="s">
        <v>27</v>
      </c>
      <c r="C2" s="153"/>
      <c r="D2" s="153"/>
      <c r="E2" s="153"/>
      <c r="F2" s="153"/>
      <c r="G2" s="153"/>
      <c r="H2" s="153"/>
      <c r="I2" s="107"/>
      <c r="J2" s="107"/>
      <c r="K2" s="107"/>
      <c r="L2" s="107"/>
      <c r="M2" s="107"/>
      <c r="N2" s="107"/>
      <c r="O2" s="108"/>
      <c r="P2" s="108"/>
      <c r="Q2" s="107"/>
    </row>
    <row r="3" spans="1:18" ht="40.5" customHeight="1" x14ac:dyDescent="0.25">
      <c r="A3" s="21"/>
      <c r="B3" s="154" t="s">
        <v>28</v>
      </c>
      <c r="C3" s="155"/>
      <c r="D3" s="155"/>
      <c r="E3" s="155"/>
      <c r="F3" s="152"/>
      <c r="G3" s="152"/>
      <c r="H3" s="152"/>
      <c r="I3" s="109"/>
      <c r="J3" s="109"/>
      <c r="K3" s="109"/>
      <c r="L3" s="109"/>
      <c r="M3" s="109"/>
      <c r="N3" s="109"/>
      <c r="O3" s="109"/>
      <c r="P3" s="109"/>
      <c r="Q3" s="109"/>
      <c r="R3" s="21"/>
    </row>
    <row r="4" spans="1:18" ht="2.1" customHeight="1" x14ac:dyDescent="0.25">
      <c r="A4" s="21"/>
      <c r="B4" s="110"/>
      <c r="C4" s="110"/>
      <c r="D4" s="110"/>
      <c r="E4" s="110"/>
      <c r="F4" s="110"/>
      <c r="G4" s="110"/>
      <c r="H4" s="110"/>
      <c r="I4" s="109"/>
      <c r="J4" s="109"/>
      <c r="K4" s="109"/>
      <c r="L4" s="109"/>
      <c r="M4" s="109"/>
      <c r="N4" s="109"/>
      <c r="O4" s="109"/>
      <c r="P4" s="109"/>
      <c r="Q4" s="109"/>
      <c r="R4" s="21"/>
    </row>
    <row r="5" spans="1:18" ht="13.35" customHeight="1" x14ac:dyDescent="0.25">
      <c r="A5" s="21"/>
      <c r="B5" s="141"/>
      <c r="C5" s="142"/>
      <c r="D5" s="142"/>
      <c r="E5" s="142"/>
      <c r="F5" s="142"/>
      <c r="G5" s="142"/>
      <c r="H5" s="142"/>
      <c r="I5" s="109"/>
      <c r="J5" s="109"/>
      <c r="K5" s="109"/>
      <c r="L5" s="109"/>
      <c r="M5" s="109"/>
      <c r="N5" s="109"/>
      <c r="O5" s="109"/>
      <c r="P5" s="109"/>
      <c r="Q5" s="109"/>
      <c r="R5" s="21"/>
    </row>
    <row r="6" spans="1:18" s="111" customFormat="1" ht="18" customHeight="1" x14ac:dyDescent="0.3">
      <c r="B6" s="112" t="s">
        <v>29</v>
      </c>
      <c r="C6" s="113" t="s">
        <v>26</v>
      </c>
      <c r="D6" s="113" t="s">
        <v>4</v>
      </c>
      <c r="E6" s="113" t="s">
        <v>91</v>
      </c>
      <c r="F6" s="114" t="s">
        <v>30</v>
      </c>
      <c r="G6" s="115" t="s">
        <v>31</v>
      </c>
      <c r="H6" s="116" t="s">
        <v>32</v>
      </c>
      <c r="I6" s="115" t="s">
        <v>33</v>
      </c>
      <c r="J6" s="117" t="s">
        <v>34</v>
      </c>
      <c r="K6" s="117" t="s">
        <v>35</v>
      </c>
      <c r="L6" s="117" t="s">
        <v>36</v>
      </c>
      <c r="M6" s="117" t="s">
        <v>37</v>
      </c>
      <c r="N6" s="117" t="s">
        <v>38</v>
      </c>
      <c r="O6" s="117" t="s">
        <v>39</v>
      </c>
      <c r="P6" s="117" t="s">
        <v>40</v>
      </c>
      <c r="Q6" s="117" t="s">
        <v>41</v>
      </c>
      <c r="R6" s="117" t="s">
        <v>42</v>
      </c>
    </row>
    <row r="7" spans="1:18" ht="15.75" hidden="1" x14ac:dyDescent="0.25">
      <c r="B7" s="165">
        <v>44302</v>
      </c>
      <c r="C7" s="166" t="s">
        <v>180</v>
      </c>
      <c r="D7" s="166" t="s">
        <v>52</v>
      </c>
      <c r="E7" s="167"/>
      <c r="F7" s="114">
        <v>-200</v>
      </c>
      <c r="G7" s="168"/>
      <c r="H7" s="169"/>
      <c r="I7" s="170"/>
      <c r="J7" s="176" t="s">
        <v>181</v>
      </c>
      <c r="K7" s="172" t="s">
        <v>177</v>
      </c>
      <c r="L7" s="172" t="s">
        <v>175</v>
      </c>
      <c r="M7" s="173" t="str" cm="1">
        <f t="array" ref="M7">IFERROR(INDEX(CategoriesTable[Category type],MATCH(Table1[[#This Row],[Category]],CategoriesTable[Category name],0),0),"")</f>
        <v>Transfer</v>
      </c>
      <c r="N7" s="173">
        <v>16</v>
      </c>
      <c r="O7" s="173">
        <f>MONTH(Table1[[#This Row],[Date]])</f>
        <v>4</v>
      </c>
      <c r="P7" s="173">
        <v>2021</v>
      </c>
      <c r="Q7" s="174">
        <f>IF(ISBLANK(Table1[[#This Row],[Date]]),"",Table1[[#This Row],[Date]]-WEEKDAY(Table1[[#This Row],[Date]],2)+1)</f>
        <v>44298</v>
      </c>
      <c r="R7" s="175">
        <f>IF(ISBLANK(Table1[[#This Row],[Date]]),"",DATE(Table1[[#This Row],[Date_Year]],Table1[[#This Row],[Date_Month]],1))</f>
        <v>44287</v>
      </c>
    </row>
    <row r="8" spans="1:18" ht="15.75" hidden="1" x14ac:dyDescent="0.25">
      <c r="B8" s="165">
        <v>44301</v>
      </c>
      <c r="C8" s="166" t="s">
        <v>182</v>
      </c>
      <c r="D8" s="166" t="s">
        <v>55</v>
      </c>
      <c r="E8" s="167"/>
      <c r="F8" s="114">
        <v>-10.9</v>
      </c>
      <c r="G8" s="168"/>
      <c r="H8" s="169"/>
      <c r="I8" s="170"/>
      <c r="J8" s="171" t="s">
        <v>183</v>
      </c>
      <c r="K8" s="172" t="s">
        <v>177</v>
      </c>
      <c r="L8" s="172" t="s">
        <v>175</v>
      </c>
      <c r="M8" s="173" t="str" cm="1">
        <f t="array" ref="M8">IFERROR(INDEX(CategoriesTable[Category type],MATCH(Table1[[#This Row],[Category]],CategoriesTable[Category name],0),0),"")</f>
        <v>Expense</v>
      </c>
      <c r="N8" s="173">
        <v>15</v>
      </c>
      <c r="O8" s="173">
        <f>MONTH(Table1[[#This Row],[Date]])</f>
        <v>4</v>
      </c>
      <c r="P8" s="173">
        <v>2021</v>
      </c>
      <c r="Q8" s="174">
        <f>IF(ISBLANK(Table1[[#This Row],[Date]]),"",Table1[[#This Row],[Date]]-WEEKDAY(Table1[[#This Row],[Date]],2)+1)</f>
        <v>44298</v>
      </c>
      <c r="R8" s="175">
        <f>IF(ISBLANK(Table1[[#This Row],[Date]]),"",DATE(Table1[[#This Row],[Date_Year]],Table1[[#This Row],[Date_Month]],1))</f>
        <v>44287</v>
      </c>
    </row>
    <row r="9" spans="1:18" ht="15.75" hidden="1" x14ac:dyDescent="0.25">
      <c r="B9" s="165">
        <v>44294</v>
      </c>
      <c r="C9" s="166" t="s">
        <v>1564</v>
      </c>
      <c r="D9" s="166" t="s">
        <v>56</v>
      </c>
      <c r="E9" s="167"/>
      <c r="F9" s="114">
        <v>-10.59</v>
      </c>
      <c r="G9" s="168"/>
      <c r="H9" s="169"/>
      <c r="I9" s="170"/>
      <c r="J9" s="171" t="s">
        <v>185</v>
      </c>
      <c r="K9" s="172" t="s">
        <v>177</v>
      </c>
      <c r="L9" s="172" t="s">
        <v>175</v>
      </c>
      <c r="M9" s="173" t="str" cm="1">
        <f t="array" ref="M9">IFERROR(INDEX(CategoriesTable[Category type],MATCH(Table1[[#This Row],[Category]],CategoriesTable[Category name],0),0),"")</f>
        <v>Expense</v>
      </c>
      <c r="N9" s="173">
        <v>8</v>
      </c>
      <c r="O9" s="173">
        <f>MONTH(Table1[[#This Row],[Date]])</f>
        <v>4</v>
      </c>
      <c r="P9" s="173">
        <v>2021</v>
      </c>
      <c r="Q9" s="174">
        <f>IF(ISBLANK(Table1[[#This Row],[Date]]),"",Table1[[#This Row],[Date]]-WEEKDAY(Table1[[#This Row],[Date]],2)+1)</f>
        <v>44291</v>
      </c>
      <c r="R9" s="175">
        <f>IF(ISBLANK(Table1[[#This Row],[Date]]),"",DATE(Table1[[#This Row],[Date_Year]],Table1[[#This Row],[Date_Month]],1))</f>
        <v>44287</v>
      </c>
    </row>
    <row r="10" spans="1:18" ht="15.75" hidden="1" x14ac:dyDescent="0.25">
      <c r="B10" s="165">
        <v>44292</v>
      </c>
      <c r="C10" s="166" t="s">
        <v>1560</v>
      </c>
      <c r="D10" s="166" t="s">
        <v>55</v>
      </c>
      <c r="E10" s="167"/>
      <c r="F10" s="114">
        <v>-326.02999999999997</v>
      </c>
      <c r="G10" s="168"/>
      <c r="H10" s="169"/>
      <c r="I10" s="170"/>
      <c r="J10" s="171" t="s">
        <v>186</v>
      </c>
      <c r="K10" s="172" t="s">
        <v>177</v>
      </c>
      <c r="L10" s="172" t="s">
        <v>175</v>
      </c>
      <c r="M10" s="173" t="str" cm="1">
        <f t="array" ref="M10">IFERROR(INDEX(CategoriesTable[Category type],MATCH(Table1[[#This Row],[Category]],CategoriesTable[Category name],0),0),"")</f>
        <v>Expense</v>
      </c>
      <c r="N10" s="173">
        <v>6</v>
      </c>
      <c r="O10" s="173">
        <f>MONTH(Table1[[#This Row],[Date]])</f>
        <v>4</v>
      </c>
      <c r="P10" s="173">
        <v>2021</v>
      </c>
      <c r="Q10" s="174">
        <f>IF(ISBLANK(Table1[[#This Row],[Date]]),"",Table1[[#This Row],[Date]]-WEEKDAY(Table1[[#This Row],[Date]],2)+1)</f>
        <v>44291</v>
      </c>
      <c r="R10" s="175">
        <f>IF(ISBLANK(Table1[[#This Row],[Date]]),"",DATE(Table1[[#This Row],[Date_Year]],Table1[[#This Row],[Date_Month]],1))</f>
        <v>44287</v>
      </c>
    </row>
    <row r="11" spans="1:18" ht="15.75" hidden="1" x14ac:dyDescent="0.25">
      <c r="B11" s="165">
        <v>44291</v>
      </c>
      <c r="C11" s="166" t="s">
        <v>180</v>
      </c>
      <c r="D11" s="166" t="s">
        <v>52</v>
      </c>
      <c r="E11" s="167"/>
      <c r="F11" s="114">
        <v>-160</v>
      </c>
      <c r="G11" s="168"/>
      <c r="H11" s="169"/>
      <c r="I11" s="170"/>
      <c r="J11" s="171" t="s">
        <v>187</v>
      </c>
      <c r="K11" s="172" t="s">
        <v>177</v>
      </c>
      <c r="L11" s="172" t="s">
        <v>175</v>
      </c>
      <c r="M11" s="173" t="str" cm="1">
        <f t="array" ref="M11">IFERROR(INDEX(CategoriesTable[Category type],MATCH(Table1[[#This Row],[Category]],CategoriesTable[Category name],0),0),"")</f>
        <v>Transfer</v>
      </c>
      <c r="N11" s="173">
        <v>5</v>
      </c>
      <c r="O11" s="173">
        <f>MONTH(Table1[[#This Row],[Date]])</f>
        <v>4</v>
      </c>
      <c r="P11" s="173">
        <v>2021</v>
      </c>
      <c r="Q11" s="174">
        <f>IF(ISBLANK(Table1[[#This Row],[Date]]),"",Table1[[#This Row],[Date]]-WEEKDAY(Table1[[#This Row],[Date]],2)+1)</f>
        <v>44291</v>
      </c>
      <c r="R11" s="175">
        <f>IF(ISBLANK(Table1[[#This Row],[Date]]),"",DATE(Table1[[#This Row],[Date_Year]],Table1[[#This Row],[Date_Month]],1))</f>
        <v>44287</v>
      </c>
    </row>
    <row r="12" spans="1:18" ht="15.75" hidden="1" x14ac:dyDescent="0.25">
      <c r="B12" s="165">
        <v>44291</v>
      </c>
      <c r="C12" s="166" t="s">
        <v>123</v>
      </c>
      <c r="D12" s="166" t="s">
        <v>55</v>
      </c>
      <c r="E12" s="167"/>
      <c r="F12" s="114">
        <v>-19.07</v>
      </c>
      <c r="G12" s="168"/>
      <c r="H12" s="169"/>
      <c r="I12" s="170"/>
      <c r="J12" s="171" t="s">
        <v>188</v>
      </c>
      <c r="K12" s="172" t="s">
        <v>177</v>
      </c>
      <c r="L12" s="172" t="s">
        <v>175</v>
      </c>
      <c r="M12" s="173" t="str" cm="1">
        <f t="array" ref="M12">IFERROR(INDEX(CategoriesTable[Category type],MATCH(Table1[[#This Row],[Category]],CategoriesTable[Category name],0),0),"")</f>
        <v>Expense</v>
      </c>
      <c r="N12" s="173">
        <v>5</v>
      </c>
      <c r="O12" s="173">
        <f>MONTH(Table1[[#This Row],[Date]])</f>
        <v>4</v>
      </c>
      <c r="P12" s="173">
        <v>2021</v>
      </c>
      <c r="Q12" s="174">
        <f>IF(ISBLANK(Table1[[#This Row],[Date]]),"",Table1[[#This Row],[Date]]-WEEKDAY(Table1[[#This Row],[Date]],2)+1)</f>
        <v>44291</v>
      </c>
      <c r="R12" s="175">
        <f>IF(ISBLANK(Table1[[#This Row],[Date]]),"",DATE(Table1[[#This Row],[Date_Year]],Table1[[#This Row],[Date_Month]],1))</f>
        <v>44287</v>
      </c>
    </row>
    <row r="13" spans="1:18" ht="15.75" hidden="1" x14ac:dyDescent="0.25">
      <c r="B13" s="165">
        <v>44289</v>
      </c>
      <c r="C13" s="166" t="s">
        <v>189</v>
      </c>
      <c r="D13" s="166" t="s">
        <v>65</v>
      </c>
      <c r="E13" s="167"/>
      <c r="F13" s="114">
        <v>-25.97</v>
      </c>
      <c r="G13" s="168"/>
      <c r="H13" s="169"/>
      <c r="I13" s="170"/>
      <c r="J13" s="171" t="s">
        <v>190</v>
      </c>
      <c r="K13" s="172" t="s">
        <v>177</v>
      </c>
      <c r="L13" s="172" t="s">
        <v>175</v>
      </c>
      <c r="M13" s="173" t="str" cm="1">
        <f t="array" ref="M13">IFERROR(INDEX(CategoriesTable[Category type],MATCH(Table1[[#This Row],[Category]],CategoriesTable[Category name],0),0),"")</f>
        <v>Expense</v>
      </c>
      <c r="N13" s="173">
        <v>3</v>
      </c>
      <c r="O13" s="173">
        <f>MONTH(Table1[[#This Row],[Date]])</f>
        <v>4</v>
      </c>
      <c r="P13" s="173">
        <v>2021</v>
      </c>
      <c r="Q13" s="174">
        <f>IF(ISBLANK(Table1[[#This Row],[Date]]),"",Table1[[#This Row],[Date]]-WEEKDAY(Table1[[#This Row],[Date]],2)+1)</f>
        <v>44284</v>
      </c>
      <c r="R13" s="175">
        <f>IF(ISBLANK(Table1[[#This Row],[Date]]),"",DATE(Table1[[#This Row],[Date_Year]],Table1[[#This Row],[Date_Month]],1))</f>
        <v>44287</v>
      </c>
    </row>
    <row r="14" spans="1:18" ht="15.75" hidden="1" x14ac:dyDescent="0.25">
      <c r="B14" s="165">
        <v>44288</v>
      </c>
      <c r="C14" s="166" t="s">
        <v>1571</v>
      </c>
      <c r="D14" s="166" t="s">
        <v>66</v>
      </c>
      <c r="E14" s="167"/>
      <c r="F14" s="114">
        <v>-5.3</v>
      </c>
      <c r="G14" s="168"/>
      <c r="H14" s="169"/>
      <c r="I14" s="170"/>
      <c r="J14" s="171" t="s">
        <v>191</v>
      </c>
      <c r="K14" s="172" t="s">
        <v>177</v>
      </c>
      <c r="L14" s="172" t="s">
        <v>175</v>
      </c>
      <c r="M14" s="173" t="str" cm="1">
        <f t="array" ref="M14">IFERROR(INDEX(CategoriesTable[Category type],MATCH(Table1[[#This Row],[Category]],CategoriesTable[Category name],0),0),"")</f>
        <v>Expense</v>
      </c>
      <c r="N14" s="173">
        <v>2</v>
      </c>
      <c r="O14" s="173">
        <f>MONTH(Table1[[#This Row],[Date]])</f>
        <v>4</v>
      </c>
      <c r="P14" s="173">
        <v>2021</v>
      </c>
      <c r="Q14" s="174">
        <f>IF(ISBLANK(Table1[[#This Row],[Date]]),"",Table1[[#This Row],[Date]]-WEEKDAY(Table1[[#This Row],[Date]],2)+1)</f>
        <v>44284</v>
      </c>
      <c r="R14" s="175">
        <f>IF(ISBLANK(Table1[[#This Row],[Date]]),"",DATE(Table1[[#This Row],[Date_Year]],Table1[[#This Row],[Date_Month]],1))</f>
        <v>44287</v>
      </c>
    </row>
    <row r="15" spans="1:18" ht="15.75" hidden="1" x14ac:dyDescent="0.25">
      <c r="B15" s="165">
        <v>44288</v>
      </c>
      <c r="C15" s="166" t="s">
        <v>145</v>
      </c>
      <c r="D15" s="166" t="s">
        <v>65</v>
      </c>
      <c r="E15" s="167"/>
      <c r="F15" s="114">
        <v>-16.760000000000002</v>
      </c>
      <c r="G15" s="168"/>
      <c r="H15" s="169"/>
      <c r="I15" s="170"/>
      <c r="J15" s="171" t="s">
        <v>192</v>
      </c>
      <c r="K15" s="172" t="s">
        <v>177</v>
      </c>
      <c r="L15" s="172" t="s">
        <v>175</v>
      </c>
      <c r="M15" s="173" t="str" cm="1">
        <f t="array" ref="M15">IFERROR(INDEX(CategoriesTable[Category type],MATCH(Table1[[#This Row],[Category]],CategoriesTable[Category name],0),0),"")</f>
        <v>Expense</v>
      </c>
      <c r="N15" s="173">
        <v>2</v>
      </c>
      <c r="O15" s="173">
        <f>MONTH(Table1[[#This Row],[Date]])</f>
        <v>4</v>
      </c>
      <c r="P15" s="173">
        <v>2021</v>
      </c>
      <c r="Q15" s="174">
        <f>IF(ISBLANK(Table1[[#This Row],[Date]]),"",Table1[[#This Row],[Date]]-WEEKDAY(Table1[[#This Row],[Date]],2)+1)</f>
        <v>44284</v>
      </c>
      <c r="R15" s="175">
        <f>IF(ISBLANK(Table1[[#This Row],[Date]]),"",DATE(Table1[[#This Row],[Date_Year]],Table1[[#This Row],[Date_Month]],1))</f>
        <v>44287</v>
      </c>
    </row>
    <row r="16" spans="1:18" ht="15.75" hidden="1" x14ac:dyDescent="0.25">
      <c r="B16" s="165">
        <v>44288</v>
      </c>
      <c r="C16" s="166" t="s">
        <v>193</v>
      </c>
      <c r="D16" s="166" t="s">
        <v>53</v>
      </c>
      <c r="E16" s="167"/>
      <c r="F16" s="114">
        <v>-2500</v>
      </c>
      <c r="G16" s="168"/>
      <c r="H16" s="169"/>
      <c r="I16" s="170"/>
      <c r="J16" s="171" t="s">
        <v>194</v>
      </c>
      <c r="K16" s="172" t="s">
        <v>177</v>
      </c>
      <c r="L16" s="172" t="s">
        <v>175</v>
      </c>
      <c r="M16" s="173" t="str" cm="1">
        <f t="array" ref="M16">IFERROR(INDEX(CategoriesTable[Category type],MATCH(Table1[[#This Row],[Category]],CategoriesTable[Category name],0),0),"")</f>
        <v>Expense</v>
      </c>
      <c r="N16" s="173">
        <v>2</v>
      </c>
      <c r="O16" s="173">
        <f>MONTH(Table1[[#This Row],[Date]])</f>
        <v>4</v>
      </c>
      <c r="P16" s="173">
        <v>2021</v>
      </c>
      <c r="Q16" s="174">
        <f>IF(ISBLANK(Table1[[#This Row],[Date]]),"",Table1[[#This Row],[Date]]-WEEKDAY(Table1[[#This Row],[Date]],2)+1)</f>
        <v>44284</v>
      </c>
      <c r="R16" s="175">
        <f>IF(ISBLANK(Table1[[#This Row],[Date]]),"",DATE(Table1[[#This Row],[Date_Year]],Table1[[#This Row],[Date_Month]],1))</f>
        <v>44287</v>
      </c>
    </row>
    <row r="17" spans="2:18" ht="15.75" hidden="1" x14ac:dyDescent="0.25">
      <c r="B17" s="165">
        <v>44287</v>
      </c>
      <c r="C17" s="166" t="s">
        <v>1569</v>
      </c>
      <c r="D17" s="166" t="s">
        <v>55</v>
      </c>
      <c r="E17" s="167"/>
      <c r="F17" s="114">
        <v>-54.99</v>
      </c>
      <c r="G17" s="168"/>
      <c r="H17" s="169"/>
      <c r="I17" s="170"/>
      <c r="J17" s="171" t="s">
        <v>195</v>
      </c>
      <c r="K17" s="172" t="s">
        <v>177</v>
      </c>
      <c r="L17" s="172" t="s">
        <v>175</v>
      </c>
      <c r="M17" s="173" t="str" cm="1">
        <f t="array" ref="M17">IFERROR(INDEX(CategoriesTable[Category type],MATCH(Table1[[#This Row],[Category]],CategoriesTable[Category name],0),0),"")</f>
        <v>Expense</v>
      </c>
      <c r="N17" s="173">
        <v>1</v>
      </c>
      <c r="O17" s="173">
        <f>MONTH(Table1[[#This Row],[Date]])</f>
        <v>4</v>
      </c>
      <c r="P17" s="173">
        <v>2021</v>
      </c>
      <c r="Q17" s="174">
        <f>IF(ISBLANK(Table1[[#This Row],[Date]]),"",Table1[[#This Row],[Date]]-WEEKDAY(Table1[[#This Row],[Date]],2)+1)</f>
        <v>44284</v>
      </c>
      <c r="R17" s="175">
        <f>IF(ISBLANK(Table1[[#This Row],[Date]]),"",DATE(Table1[[#This Row],[Date_Year]],Table1[[#This Row],[Date_Month]],1))</f>
        <v>44287</v>
      </c>
    </row>
    <row r="18" spans="2:18" ht="15.75" hidden="1" x14ac:dyDescent="0.25">
      <c r="B18" s="165">
        <v>44287</v>
      </c>
      <c r="C18" s="166" t="s">
        <v>196</v>
      </c>
      <c r="D18" s="166" t="s">
        <v>50</v>
      </c>
      <c r="E18" s="167"/>
      <c r="F18" s="114">
        <v>4433.04</v>
      </c>
      <c r="G18" s="168"/>
      <c r="H18" s="169"/>
      <c r="I18" s="170"/>
      <c r="J18" s="171" t="s">
        <v>197</v>
      </c>
      <c r="K18" s="172" t="s">
        <v>177</v>
      </c>
      <c r="L18" s="172" t="s">
        <v>175</v>
      </c>
      <c r="M18" s="173" t="str" cm="1">
        <f t="array" ref="M18">IFERROR(INDEX(CategoriesTable[Category type],MATCH(Table1[[#This Row],[Category]],CategoriesTable[Category name],0),0),"")</f>
        <v>Income</v>
      </c>
      <c r="N18" s="173">
        <v>1</v>
      </c>
      <c r="O18" s="173">
        <f>MONTH(Table1[[#This Row],[Date]])</f>
        <v>4</v>
      </c>
      <c r="P18" s="173">
        <v>2021</v>
      </c>
      <c r="Q18" s="174">
        <f>IF(ISBLANK(Table1[[#This Row],[Date]]),"",Table1[[#This Row],[Date]]-WEEKDAY(Table1[[#This Row],[Date]],2)+1)</f>
        <v>44284</v>
      </c>
      <c r="R18" s="175">
        <f>IF(ISBLANK(Table1[[#This Row],[Date]]),"",DATE(Table1[[#This Row],[Date_Year]],Table1[[#This Row],[Date_Month]],1))</f>
        <v>44287</v>
      </c>
    </row>
    <row r="19" spans="2:18" ht="15.75" hidden="1" x14ac:dyDescent="0.25">
      <c r="B19" s="165">
        <v>44286</v>
      </c>
      <c r="C19" s="166" t="s">
        <v>1567</v>
      </c>
      <c r="D19" s="166" t="s">
        <v>55</v>
      </c>
      <c r="E19" s="167"/>
      <c r="F19" s="114">
        <v>-9.99</v>
      </c>
      <c r="G19" s="168"/>
      <c r="H19" s="169"/>
      <c r="I19" s="170"/>
      <c r="J19" s="171" t="s">
        <v>198</v>
      </c>
      <c r="K19" s="172" t="s">
        <v>177</v>
      </c>
      <c r="L19" s="172" t="s">
        <v>175</v>
      </c>
      <c r="M19" s="173" t="str" cm="1">
        <f t="array" ref="M19">IFERROR(INDEX(CategoriesTable[Category type],MATCH(Table1[[#This Row],[Category]],CategoriesTable[Category name],0),0),"")</f>
        <v>Expense</v>
      </c>
      <c r="N19" s="173">
        <v>31</v>
      </c>
      <c r="O19" s="173">
        <f>MONTH(Table1[[#This Row],[Date]])</f>
        <v>3</v>
      </c>
      <c r="P19" s="173">
        <v>2021</v>
      </c>
      <c r="Q19" s="174">
        <f>IF(ISBLANK(Table1[[#This Row],[Date]]),"",Table1[[#This Row],[Date]]-WEEKDAY(Table1[[#This Row],[Date]],2)+1)</f>
        <v>44284</v>
      </c>
      <c r="R19" s="175">
        <f>IF(ISBLANK(Table1[[#This Row],[Date]]),"",DATE(Table1[[#This Row],[Date_Year]],Table1[[#This Row],[Date_Month]],1))</f>
        <v>44256</v>
      </c>
    </row>
    <row r="20" spans="2:18" ht="15.75" hidden="1" x14ac:dyDescent="0.25">
      <c r="B20" s="165">
        <v>44286</v>
      </c>
      <c r="C20" s="166" t="s">
        <v>199</v>
      </c>
      <c r="D20" s="166" t="s">
        <v>65</v>
      </c>
      <c r="E20" s="167"/>
      <c r="F20" s="114">
        <v>-63.58</v>
      </c>
      <c r="G20" s="168"/>
      <c r="H20" s="169"/>
      <c r="I20" s="170"/>
      <c r="J20" s="171" t="s">
        <v>200</v>
      </c>
      <c r="K20" s="172" t="s">
        <v>177</v>
      </c>
      <c r="L20" s="172" t="s">
        <v>175</v>
      </c>
      <c r="M20" s="173" t="str" cm="1">
        <f t="array" ref="M20">IFERROR(INDEX(CategoriesTable[Category type],MATCH(Table1[[#This Row],[Category]],CategoriesTable[Category name],0),0),"")</f>
        <v>Expense</v>
      </c>
      <c r="N20" s="173">
        <v>31</v>
      </c>
      <c r="O20" s="173">
        <f>MONTH(Table1[[#This Row],[Date]])</f>
        <v>3</v>
      </c>
      <c r="P20" s="173">
        <v>2021</v>
      </c>
      <c r="Q20" s="174">
        <f>IF(ISBLANK(Table1[[#This Row],[Date]]),"",Table1[[#This Row],[Date]]-WEEKDAY(Table1[[#This Row],[Date]],2)+1)</f>
        <v>44284</v>
      </c>
      <c r="R20" s="175">
        <f>IF(ISBLANK(Table1[[#This Row],[Date]]),"",DATE(Table1[[#This Row],[Date_Year]],Table1[[#This Row],[Date_Month]],1))</f>
        <v>44256</v>
      </c>
    </row>
    <row r="21" spans="2:18" ht="15.75" hidden="1" x14ac:dyDescent="0.25">
      <c r="B21" s="165">
        <v>44285</v>
      </c>
      <c r="C21" s="166" t="s">
        <v>145</v>
      </c>
      <c r="D21" s="166" t="s">
        <v>65</v>
      </c>
      <c r="E21" s="167"/>
      <c r="F21" s="114">
        <v>-19.07</v>
      </c>
      <c r="G21" s="168"/>
      <c r="H21" s="169"/>
      <c r="I21" s="170"/>
      <c r="J21" s="171" t="s">
        <v>201</v>
      </c>
      <c r="K21" s="172" t="s">
        <v>177</v>
      </c>
      <c r="L21" s="172" t="s">
        <v>175</v>
      </c>
      <c r="M21" s="173" t="str" cm="1">
        <f t="array" ref="M21">IFERROR(INDEX(CategoriesTable[Category type],MATCH(Table1[[#This Row],[Category]],CategoriesTable[Category name],0),0),"")</f>
        <v>Expense</v>
      </c>
      <c r="N21" s="173">
        <v>30</v>
      </c>
      <c r="O21" s="173">
        <f>MONTH(Table1[[#This Row],[Date]])</f>
        <v>3</v>
      </c>
      <c r="P21" s="173">
        <v>2021</v>
      </c>
      <c r="Q21" s="174">
        <f>IF(ISBLANK(Table1[[#This Row],[Date]]),"",Table1[[#This Row],[Date]]-WEEKDAY(Table1[[#This Row],[Date]],2)+1)</f>
        <v>44284</v>
      </c>
      <c r="R21" s="175">
        <f>IF(ISBLANK(Table1[[#This Row],[Date]]),"",DATE(Table1[[#This Row],[Date_Year]],Table1[[#This Row],[Date_Month]],1))</f>
        <v>44256</v>
      </c>
    </row>
    <row r="22" spans="2:18" ht="15.75" hidden="1" x14ac:dyDescent="0.25">
      <c r="B22" s="165">
        <v>44284</v>
      </c>
      <c r="C22" s="166" t="s">
        <v>202</v>
      </c>
      <c r="D22" s="166" t="s">
        <v>55</v>
      </c>
      <c r="E22" s="167"/>
      <c r="F22" s="114">
        <v>-344.72</v>
      </c>
      <c r="G22" s="168"/>
      <c r="H22" s="169"/>
      <c r="I22" s="170"/>
      <c r="J22" s="171" t="s">
        <v>203</v>
      </c>
      <c r="K22" s="172" t="s">
        <v>177</v>
      </c>
      <c r="L22" s="172" t="s">
        <v>175</v>
      </c>
      <c r="M22" s="173" t="str" cm="1">
        <f t="array" ref="M22">IFERROR(INDEX(CategoriesTable[Category type],MATCH(Table1[[#This Row],[Category]],CategoriesTable[Category name],0),0),"")</f>
        <v>Expense</v>
      </c>
      <c r="N22" s="173">
        <v>29</v>
      </c>
      <c r="O22" s="173">
        <f>MONTH(Table1[[#This Row],[Date]])</f>
        <v>3</v>
      </c>
      <c r="P22" s="173">
        <v>2021</v>
      </c>
      <c r="Q22" s="174">
        <f>IF(ISBLANK(Table1[[#This Row],[Date]]),"",Table1[[#This Row],[Date]]-WEEKDAY(Table1[[#This Row],[Date]],2)+1)</f>
        <v>44284</v>
      </c>
      <c r="R22" s="175">
        <f>IF(ISBLANK(Table1[[#This Row],[Date]]),"",DATE(Table1[[#This Row],[Date_Year]],Table1[[#This Row],[Date_Month]],1))</f>
        <v>44256</v>
      </c>
    </row>
    <row r="23" spans="2:18" ht="15.75" hidden="1" x14ac:dyDescent="0.25">
      <c r="B23" s="165">
        <v>44283</v>
      </c>
      <c r="C23" s="166" t="s">
        <v>199</v>
      </c>
      <c r="D23" s="166" t="s">
        <v>65</v>
      </c>
      <c r="E23" s="167"/>
      <c r="F23" s="114">
        <v>-20.57</v>
      </c>
      <c r="G23" s="168"/>
      <c r="H23" s="169"/>
      <c r="I23" s="170"/>
      <c r="J23" s="171" t="s">
        <v>204</v>
      </c>
      <c r="K23" s="172" t="s">
        <v>177</v>
      </c>
      <c r="L23" s="172" t="s">
        <v>175</v>
      </c>
      <c r="M23" s="173" t="str" cm="1">
        <f t="array" ref="M23">IFERROR(INDEX(CategoriesTable[Category type],MATCH(Table1[[#This Row],[Category]],CategoriesTable[Category name],0),0),"")</f>
        <v>Expense</v>
      </c>
      <c r="N23" s="173">
        <v>28</v>
      </c>
      <c r="O23" s="173">
        <f>MONTH(Table1[[#This Row],[Date]])</f>
        <v>3</v>
      </c>
      <c r="P23" s="173">
        <v>2021</v>
      </c>
      <c r="Q23" s="174">
        <f>IF(ISBLANK(Table1[[#This Row],[Date]]),"",Table1[[#This Row],[Date]]-WEEKDAY(Table1[[#This Row],[Date]],2)+1)</f>
        <v>44277</v>
      </c>
      <c r="R23" s="175">
        <f>IF(ISBLANK(Table1[[#This Row],[Date]]),"",DATE(Table1[[#This Row],[Date_Year]],Table1[[#This Row],[Date_Month]],1))</f>
        <v>44256</v>
      </c>
    </row>
    <row r="24" spans="2:18" ht="15.75" hidden="1" x14ac:dyDescent="0.25">
      <c r="B24" s="165">
        <v>44282</v>
      </c>
      <c r="C24" s="166" t="s">
        <v>199</v>
      </c>
      <c r="D24" s="166" t="s">
        <v>65</v>
      </c>
      <c r="E24" s="167"/>
      <c r="F24" s="114">
        <v>-27.62</v>
      </c>
      <c r="G24" s="168"/>
      <c r="H24" s="169"/>
      <c r="I24" s="170"/>
      <c r="J24" s="171" t="s">
        <v>205</v>
      </c>
      <c r="K24" s="172" t="s">
        <v>177</v>
      </c>
      <c r="L24" s="172" t="s">
        <v>175</v>
      </c>
      <c r="M24" s="173" t="str" cm="1">
        <f t="array" ref="M24">IFERROR(INDEX(CategoriesTable[Category type],MATCH(Table1[[#This Row],[Category]],CategoriesTable[Category name],0),0),"")</f>
        <v>Expense</v>
      </c>
      <c r="N24" s="173">
        <v>27</v>
      </c>
      <c r="O24" s="173">
        <f>MONTH(Table1[[#This Row],[Date]])</f>
        <v>3</v>
      </c>
      <c r="P24" s="173">
        <v>2021</v>
      </c>
      <c r="Q24" s="174">
        <f>IF(ISBLANK(Table1[[#This Row],[Date]]),"",Table1[[#This Row],[Date]]-WEEKDAY(Table1[[#This Row],[Date]],2)+1)</f>
        <v>44277</v>
      </c>
      <c r="R24" s="175">
        <f>IF(ISBLANK(Table1[[#This Row],[Date]]),"",DATE(Table1[[#This Row],[Date_Year]],Table1[[#This Row],[Date_Month]],1))</f>
        <v>44256</v>
      </c>
    </row>
    <row r="25" spans="2:18" ht="15.75" hidden="1" x14ac:dyDescent="0.25">
      <c r="B25" s="165">
        <v>44281</v>
      </c>
      <c r="C25" s="166" t="s">
        <v>199</v>
      </c>
      <c r="D25" s="166" t="s">
        <v>65</v>
      </c>
      <c r="E25" s="167"/>
      <c r="F25" s="114">
        <v>-15.4</v>
      </c>
      <c r="G25" s="168"/>
      <c r="H25" s="169"/>
      <c r="I25" s="170"/>
      <c r="J25" s="171" t="s">
        <v>206</v>
      </c>
      <c r="K25" s="172" t="s">
        <v>177</v>
      </c>
      <c r="L25" s="172" t="s">
        <v>175</v>
      </c>
      <c r="M25" s="173" t="str" cm="1">
        <f t="array" ref="M25">IFERROR(INDEX(CategoriesTable[Category type],MATCH(Table1[[#This Row],[Category]],CategoriesTable[Category name],0),0),"")</f>
        <v>Expense</v>
      </c>
      <c r="N25" s="173">
        <v>26</v>
      </c>
      <c r="O25" s="173">
        <f>MONTH(Table1[[#This Row],[Date]])</f>
        <v>3</v>
      </c>
      <c r="P25" s="173">
        <v>2021</v>
      </c>
      <c r="Q25" s="174">
        <f>IF(ISBLANK(Table1[[#This Row],[Date]]),"",Table1[[#This Row],[Date]]-WEEKDAY(Table1[[#This Row],[Date]],2)+1)</f>
        <v>44277</v>
      </c>
      <c r="R25" s="175">
        <f>IF(ISBLANK(Table1[[#This Row],[Date]]),"",DATE(Table1[[#This Row],[Date_Year]],Table1[[#This Row],[Date_Month]],1))</f>
        <v>44256</v>
      </c>
    </row>
    <row r="26" spans="2:18" ht="15.75" hidden="1" x14ac:dyDescent="0.25">
      <c r="B26" s="165">
        <v>44281</v>
      </c>
      <c r="C26" s="166" t="s">
        <v>124</v>
      </c>
      <c r="D26" s="166" t="s">
        <v>55</v>
      </c>
      <c r="E26" s="167"/>
      <c r="F26" s="114">
        <v>-10.59</v>
      </c>
      <c r="G26" s="168"/>
      <c r="H26" s="169"/>
      <c r="I26" s="170"/>
      <c r="J26" s="171" t="s">
        <v>207</v>
      </c>
      <c r="K26" s="172" t="s">
        <v>177</v>
      </c>
      <c r="L26" s="172" t="s">
        <v>175</v>
      </c>
      <c r="M26" s="173" t="str" cm="1">
        <f t="array" ref="M26">IFERROR(INDEX(CategoriesTable[Category type],MATCH(Table1[[#This Row],[Category]],CategoriesTable[Category name],0),0),"")</f>
        <v>Expense</v>
      </c>
      <c r="N26" s="173">
        <v>26</v>
      </c>
      <c r="O26" s="173">
        <f>MONTH(Table1[[#This Row],[Date]])</f>
        <v>3</v>
      </c>
      <c r="P26" s="173">
        <v>2021</v>
      </c>
      <c r="Q26" s="174">
        <f>IF(ISBLANK(Table1[[#This Row],[Date]]),"",Table1[[#This Row],[Date]]-WEEKDAY(Table1[[#This Row],[Date]],2)+1)</f>
        <v>44277</v>
      </c>
      <c r="R26" s="175">
        <f>IF(ISBLANK(Table1[[#This Row],[Date]]),"",DATE(Table1[[#This Row],[Date_Year]],Table1[[#This Row],[Date_Month]],1))</f>
        <v>44256</v>
      </c>
    </row>
    <row r="27" spans="2:18" ht="15.75" hidden="1" x14ac:dyDescent="0.25">
      <c r="B27" s="165">
        <v>44279</v>
      </c>
      <c r="C27" s="166" t="s">
        <v>208</v>
      </c>
      <c r="D27" s="166" t="s">
        <v>55</v>
      </c>
      <c r="E27" s="167"/>
      <c r="F27" s="114">
        <v>-40.28</v>
      </c>
      <c r="G27" s="168"/>
      <c r="H27" s="169"/>
      <c r="I27" s="170"/>
      <c r="J27" s="171" t="s">
        <v>209</v>
      </c>
      <c r="K27" s="172" t="s">
        <v>177</v>
      </c>
      <c r="L27" s="172" t="s">
        <v>175</v>
      </c>
      <c r="M27" s="173" t="str" cm="1">
        <f t="array" ref="M27">IFERROR(INDEX(CategoriesTable[Category type],MATCH(Table1[[#This Row],[Category]],CategoriesTable[Category name],0),0),"")</f>
        <v>Expense</v>
      </c>
      <c r="N27" s="173">
        <v>24</v>
      </c>
      <c r="O27" s="173">
        <f>MONTH(Table1[[#This Row],[Date]])</f>
        <v>3</v>
      </c>
      <c r="P27" s="173">
        <v>2021</v>
      </c>
      <c r="Q27" s="174">
        <f>IF(ISBLANK(Table1[[#This Row],[Date]]),"",Table1[[#This Row],[Date]]-WEEKDAY(Table1[[#This Row],[Date]],2)+1)</f>
        <v>44277</v>
      </c>
      <c r="R27" s="175">
        <f>IF(ISBLANK(Table1[[#This Row],[Date]]),"",DATE(Table1[[#This Row],[Date_Year]],Table1[[#This Row],[Date_Month]],1))</f>
        <v>44256</v>
      </c>
    </row>
    <row r="28" spans="2:18" ht="15.75" hidden="1" x14ac:dyDescent="0.25">
      <c r="B28" s="165">
        <v>44277</v>
      </c>
      <c r="C28" s="166" t="s">
        <v>199</v>
      </c>
      <c r="D28" s="166" t="s">
        <v>65</v>
      </c>
      <c r="E28" s="167"/>
      <c r="F28" s="114">
        <v>-28.94</v>
      </c>
      <c r="G28" s="168"/>
      <c r="H28" s="169"/>
      <c r="I28" s="170"/>
      <c r="J28" s="171" t="s">
        <v>210</v>
      </c>
      <c r="K28" s="172" t="s">
        <v>177</v>
      </c>
      <c r="L28" s="172" t="s">
        <v>175</v>
      </c>
      <c r="M28" s="173" t="str" cm="1">
        <f t="array" ref="M28">IFERROR(INDEX(CategoriesTable[Category type],MATCH(Table1[[#This Row],[Category]],CategoriesTable[Category name],0),0),"")</f>
        <v>Expense</v>
      </c>
      <c r="N28" s="173">
        <v>22</v>
      </c>
      <c r="O28" s="173">
        <f>MONTH(Table1[[#This Row],[Date]])</f>
        <v>3</v>
      </c>
      <c r="P28" s="173">
        <v>2021</v>
      </c>
      <c r="Q28" s="174">
        <f>IF(ISBLANK(Table1[[#This Row],[Date]]),"",Table1[[#This Row],[Date]]-WEEKDAY(Table1[[#This Row],[Date]],2)+1)</f>
        <v>44277</v>
      </c>
      <c r="R28" s="175">
        <f>IF(ISBLANK(Table1[[#This Row],[Date]]),"",DATE(Table1[[#This Row],[Date_Year]],Table1[[#This Row],[Date_Month]],1))</f>
        <v>44256</v>
      </c>
    </row>
    <row r="29" spans="2:18" ht="15.75" hidden="1" x14ac:dyDescent="0.25">
      <c r="B29" s="165">
        <v>44277</v>
      </c>
      <c r="C29" s="166" t="s">
        <v>211</v>
      </c>
      <c r="D29" s="166" t="s">
        <v>66</v>
      </c>
      <c r="E29" s="167"/>
      <c r="F29" s="114">
        <v>-155</v>
      </c>
      <c r="G29" s="168"/>
      <c r="H29" s="169"/>
      <c r="I29" s="170"/>
      <c r="J29" s="171" t="s">
        <v>212</v>
      </c>
      <c r="K29" s="172" t="s">
        <v>177</v>
      </c>
      <c r="L29" s="172" t="s">
        <v>175</v>
      </c>
      <c r="M29" s="173" t="str" cm="1">
        <f t="array" ref="M29">IFERROR(INDEX(CategoriesTable[Category type],MATCH(Table1[[#This Row],[Category]],CategoriesTable[Category name],0),0),"")</f>
        <v>Expense</v>
      </c>
      <c r="N29" s="173">
        <v>22</v>
      </c>
      <c r="O29" s="173">
        <f>MONTH(Table1[[#This Row],[Date]])</f>
        <v>3</v>
      </c>
      <c r="P29" s="173">
        <v>2021</v>
      </c>
      <c r="Q29" s="174">
        <f>IF(ISBLANK(Table1[[#This Row],[Date]]),"",Table1[[#This Row],[Date]]-WEEKDAY(Table1[[#This Row],[Date]],2)+1)</f>
        <v>44277</v>
      </c>
      <c r="R29" s="175">
        <f>IF(ISBLANK(Table1[[#This Row],[Date]]),"",DATE(Table1[[#This Row],[Date_Year]],Table1[[#This Row],[Date_Month]],1))</f>
        <v>44256</v>
      </c>
    </row>
    <row r="30" spans="2:18" ht="15.75" hidden="1" x14ac:dyDescent="0.25">
      <c r="B30" s="165">
        <v>44276</v>
      </c>
      <c r="C30" s="166" t="s">
        <v>199</v>
      </c>
      <c r="D30" s="166" t="s">
        <v>65</v>
      </c>
      <c r="E30" s="167"/>
      <c r="F30" s="114">
        <v>-20.37</v>
      </c>
      <c r="G30" s="168"/>
      <c r="H30" s="169"/>
      <c r="I30" s="170"/>
      <c r="J30" s="171" t="s">
        <v>213</v>
      </c>
      <c r="K30" s="172" t="s">
        <v>177</v>
      </c>
      <c r="L30" s="172" t="s">
        <v>175</v>
      </c>
      <c r="M30" s="173" t="str" cm="1">
        <f t="array" ref="M30">IFERROR(INDEX(CategoriesTable[Category type],MATCH(Table1[[#This Row],[Category]],CategoriesTable[Category name],0),0),"")</f>
        <v>Expense</v>
      </c>
      <c r="N30" s="173">
        <v>21</v>
      </c>
      <c r="O30" s="173">
        <f>MONTH(Table1[[#This Row],[Date]])</f>
        <v>3</v>
      </c>
      <c r="P30" s="173">
        <v>2021</v>
      </c>
      <c r="Q30" s="174">
        <f>IF(ISBLANK(Table1[[#This Row],[Date]]),"",Table1[[#This Row],[Date]]-WEEKDAY(Table1[[#This Row],[Date]],2)+1)</f>
        <v>44270</v>
      </c>
      <c r="R30" s="175">
        <f>IF(ISBLANK(Table1[[#This Row],[Date]]),"",DATE(Table1[[#This Row],[Date_Year]],Table1[[#This Row],[Date_Month]],1))</f>
        <v>44256</v>
      </c>
    </row>
    <row r="31" spans="2:18" ht="15.75" hidden="1" x14ac:dyDescent="0.25">
      <c r="B31" s="165">
        <v>44275</v>
      </c>
      <c r="C31" s="166" t="s">
        <v>214</v>
      </c>
      <c r="D31" s="166" t="s">
        <v>1553</v>
      </c>
      <c r="E31" s="167"/>
      <c r="F31" s="114">
        <v>-226</v>
      </c>
      <c r="G31" s="168"/>
      <c r="H31" s="169"/>
      <c r="I31" s="170"/>
      <c r="J31" s="171" t="s">
        <v>215</v>
      </c>
      <c r="K31" s="172" t="s">
        <v>177</v>
      </c>
      <c r="L31" s="172" t="s">
        <v>175</v>
      </c>
      <c r="M31" s="173" t="str" cm="1">
        <f t="array" ref="M31">IFERROR(INDEX(CategoriesTable[Category type],MATCH(Table1[[#This Row],[Category]],CategoriesTable[Category name],0),0),"")</f>
        <v>Expense</v>
      </c>
      <c r="N31" s="173">
        <v>20</v>
      </c>
      <c r="O31" s="173">
        <f>MONTH(Table1[[#This Row],[Date]])</f>
        <v>3</v>
      </c>
      <c r="P31" s="173">
        <v>2021</v>
      </c>
      <c r="Q31" s="174">
        <f>IF(ISBLANK(Table1[[#This Row],[Date]]),"",Table1[[#This Row],[Date]]-WEEKDAY(Table1[[#This Row],[Date]],2)+1)</f>
        <v>44270</v>
      </c>
      <c r="R31" s="175">
        <f>IF(ISBLANK(Table1[[#This Row],[Date]]),"",DATE(Table1[[#This Row],[Date_Year]],Table1[[#This Row],[Date_Month]],1))</f>
        <v>44256</v>
      </c>
    </row>
    <row r="32" spans="2:18" ht="15.75" hidden="1" x14ac:dyDescent="0.25">
      <c r="B32" s="165">
        <v>44275</v>
      </c>
      <c r="C32" s="166" t="s">
        <v>216</v>
      </c>
      <c r="D32" s="166" t="s">
        <v>64</v>
      </c>
      <c r="E32" s="167"/>
      <c r="F32" s="114">
        <v>-3.95</v>
      </c>
      <c r="G32" s="168"/>
      <c r="H32" s="169"/>
      <c r="I32" s="170"/>
      <c r="J32" s="171" t="s">
        <v>217</v>
      </c>
      <c r="K32" s="172" t="s">
        <v>177</v>
      </c>
      <c r="L32" s="172" t="s">
        <v>175</v>
      </c>
      <c r="M32" s="173" t="str" cm="1">
        <f t="array" ref="M32">IFERROR(INDEX(CategoriesTable[Category type],MATCH(Table1[[#This Row],[Category]],CategoriesTable[Category name],0),0),"")</f>
        <v>Expense</v>
      </c>
      <c r="N32" s="173">
        <v>20</v>
      </c>
      <c r="O32" s="173">
        <f>MONTH(Table1[[#This Row],[Date]])</f>
        <v>3</v>
      </c>
      <c r="P32" s="173">
        <v>2021</v>
      </c>
      <c r="Q32" s="174">
        <f>IF(ISBLANK(Table1[[#This Row],[Date]]),"",Table1[[#This Row],[Date]]-WEEKDAY(Table1[[#This Row],[Date]],2)+1)</f>
        <v>44270</v>
      </c>
      <c r="R32" s="175">
        <f>IF(ISBLANK(Table1[[#This Row],[Date]]),"",DATE(Table1[[#This Row],[Date_Year]],Table1[[#This Row],[Date_Month]],1))</f>
        <v>44256</v>
      </c>
    </row>
    <row r="33" spans="2:18" ht="15.75" hidden="1" x14ac:dyDescent="0.25">
      <c r="B33" s="165">
        <v>44274</v>
      </c>
      <c r="C33" s="166" t="s">
        <v>199</v>
      </c>
      <c r="D33" s="166" t="s">
        <v>65</v>
      </c>
      <c r="E33" s="167"/>
      <c r="F33" s="114">
        <v>-35.25</v>
      </c>
      <c r="G33" s="168"/>
      <c r="H33" s="169"/>
      <c r="I33" s="170"/>
      <c r="J33" s="171" t="s">
        <v>218</v>
      </c>
      <c r="K33" s="172" t="s">
        <v>177</v>
      </c>
      <c r="L33" s="172" t="s">
        <v>175</v>
      </c>
      <c r="M33" s="173" t="str" cm="1">
        <f t="array" ref="M33">IFERROR(INDEX(CategoriesTable[Category type],MATCH(Table1[[#This Row],[Category]],CategoriesTable[Category name],0),0),"")</f>
        <v>Expense</v>
      </c>
      <c r="N33" s="173">
        <v>19</v>
      </c>
      <c r="O33" s="173">
        <f>MONTH(Table1[[#This Row],[Date]])</f>
        <v>3</v>
      </c>
      <c r="P33" s="173">
        <v>2021</v>
      </c>
      <c r="Q33" s="174">
        <f>IF(ISBLANK(Table1[[#This Row],[Date]]),"",Table1[[#This Row],[Date]]-WEEKDAY(Table1[[#This Row],[Date]],2)+1)</f>
        <v>44270</v>
      </c>
      <c r="R33" s="175">
        <f>IF(ISBLANK(Table1[[#This Row],[Date]]),"",DATE(Table1[[#This Row],[Date_Year]],Table1[[#This Row],[Date_Month]],1))</f>
        <v>44256</v>
      </c>
    </row>
    <row r="34" spans="2:18" ht="15.75" hidden="1" x14ac:dyDescent="0.25">
      <c r="B34" s="165">
        <v>44273</v>
      </c>
      <c r="C34" s="166" t="s">
        <v>1578</v>
      </c>
      <c r="D34" s="166" t="s">
        <v>55</v>
      </c>
      <c r="E34" s="167"/>
      <c r="F34" s="114">
        <v>-473.95</v>
      </c>
      <c r="G34" s="168"/>
      <c r="H34" s="169"/>
      <c r="I34" s="170"/>
      <c r="J34" s="171" t="s">
        <v>219</v>
      </c>
      <c r="K34" s="172" t="s">
        <v>177</v>
      </c>
      <c r="L34" s="172" t="s">
        <v>175</v>
      </c>
      <c r="M34" s="173" t="str" cm="1">
        <f t="array" ref="M34">IFERROR(INDEX(CategoriesTable[Category type],MATCH(Table1[[#This Row],[Category]],CategoriesTable[Category name],0),0),"")</f>
        <v>Expense</v>
      </c>
      <c r="N34" s="173">
        <v>18</v>
      </c>
      <c r="O34" s="173">
        <f>MONTH(Table1[[#This Row],[Date]])</f>
        <v>3</v>
      </c>
      <c r="P34" s="173">
        <v>2021</v>
      </c>
      <c r="Q34" s="174">
        <f>IF(ISBLANK(Table1[[#This Row],[Date]]),"",Table1[[#This Row],[Date]]-WEEKDAY(Table1[[#This Row],[Date]],2)+1)</f>
        <v>44270</v>
      </c>
      <c r="R34" s="175">
        <f>IF(ISBLANK(Table1[[#This Row],[Date]]),"",DATE(Table1[[#This Row],[Date_Year]],Table1[[#This Row],[Date_Month]],1))</f>
        <v>44256</v>
      </c>
    </row>
    <row r="35" spans="2:18" ht="15.75" hidden="1" x14ac:dyDescent="0.25">
      <c r="B35" s="165">
        <v>44273</v>
      </c>
      <c r="C35" s="166" t="s">
        <v>129</v>
      </c>
      <c r="D35" s="166" t="s">
        <v>55</v>
      </c>
      <c r="E35" s="167"/>
      <c r="F35" s="114">
        <v>-65.92</v>
      </c>
      <c r="G35" s="168"/>
      <c r="H35" s="169"/>
      <c r="I35" s="170"/>
      <c r="J35" s="171" t="s">
        <v>220</v>
      </c>
      <c r="K35" s="172" t="s">
        <v>177</v>
      </c>
      <c r="L35" s="172" t="s">
        <v>175</v>
      </c>
      <c r="M35" s="173" t="str" cm="1">
        <f t="array" ref="M35">IFERROR(INDEX(CategoriesTable[Category type],MATCH(Table1[[#This Row],[Category]],CategoriesTable[Category name],0),0),"")</f>
        <v>Expense</v>
      </c>
      <c r="N35" s="173">
        <v>18</v>
      </c>
      <c r="O35" s="173">
        <f>MONTH(Table1[[#This Row],[Date]])</f>
        <v>3</v>
      </c>
      <c r="P35" s="173">
        <v>2021</v>
      </c>
      <c r="Q35" s="174">
        <f>IF(ISBLANK(Table1[[#This Row],[Date]]),"",Table1[[#This Row],[Date]]-WEEKDAY(Table1[[#This Row],[Date]],2)+1)</f>
        <v>44270</v>
      </c>
      <c r="R35" s="175">
        <f>IF(ISBLANK(Table1[[#This Row],[Date]]),"",DATE(Table1[[#This Row],[Date_Year]],Table1[[#This Row],[Date_Month]],1))</f>
        <v>44256</v>
      </c>
    </row>
    <row r="36" spans="2:18" ht="15.75" hidden="1" x14ac:dyDescent="0.25">
      <c r="B36" s="165">
        <v>44272</v>
      </c>
      <c r="C36" s="166" t="s">
        <v>182</v>
      </c>
      <c r="D36" s="166" t="s">
        <v>55</v>
      </c>
      <c r="E36" s="167"/>
      <c r="F36" s="114">
        <v>-10.9</v>
      </c>
      <c r="G36" s="168"/>
      <c r="H36" s="169"/>
      <c r="I36" s="170"/>
      <c r="J36" s="171" t="s">
        <v>221</v>
      </c>
      <c r="K36" s="172" t="s">
        <v>177</v>
      </c>
      <c r="L36" s="172" t="s">
        <v>175</v>
      </c>
      <c r="M36" s="173" t="str" cm="1">
        <f t="array" ref="M36">IFERROR(INDEX(CategoriesTable[Category type],MATCH(Table1[[#This Row],[Category]],CategoriesTable[Category name],0),0),"")</f>
        <v>Expense</v>
      </c>
      <c r="N36" s="173">
        <v>17</v>
      </c>
      <c r="O36" s="173">
        <f>MONTH(Table1[[#This Row],[Date]])</f>
        <v>3</v>
      </c>
      <c r="P36" s="173">
        <v>2021</v>
      </c>
      <c r="Q36" s="174">
        <f>IF(ISBLANK(Table1[[#This Row],[Date]]),"",Table1[[#This Row],[Date]]-WEEKDAY(Table1[[#This Row],[Date]],2)+1)</f>
        <v>44270</v>
      </c>
      <c r="R36" s="175">
        <f>IF(ISBLANK(Table1[[#This Row],[Date]]),"",DATE(Table1[[#This Row],[Date_Year]],Table1[[#This Row],[Date_Month]],1))</f>
        <v>44256</v>
      </c>
    </row>
    <row r="37" spans="2:18" ht="15.75" x14ac:dyDescent="0.25">
      <c r="B37" s="165">
        <v>44271</v>
      </c>
      <c r="C37" s="166" t="s">
        <v>1573</v>
      </c>
      <c r="D37" s="166" t="s">
        <v>64</v>
      </c>
      <c r="E37" s="167"/>
      <c r="F37" s="114">
        <v>-100</v>
      </c>
      <c r="G37" s="168"/>
      <c r="H37" s="169"/>
      <c r="I37" s="170"/>
      <c r="J37" s="176" t="s">
        <v>223</v>
      </c>
      <c r="K37" s="172" t="s">
        <v>177</v>
      </c>
      <c r="L37" s="172" t="s">
        <v>175</v>
      </c>
      <c r="M37" s="173" t="str" cm="1">
        <f t="array" ref="M37">IFERROR(INDEX(CategoriesTable[Category type],MATCH(Table1[[#This Row],[Category]],CategoriesTable[Category name],0),0),"")</f>
        <v>Expense</v>
      </c>
      <c r="N37" s="173">
        <v>16</v>
      </c>
      <c r="O37" s="173">
        <f>MONTH(Table1[[#This Row],[Date]])</f>
        <v>3</v>
      </c>
      <c r="P37" s="173">
        <v>2021</v>
      </c>
      <c r="Q37" s="174">
        <f>IF(ISBLANK(Table1[[#This Row],[Date]]),"",Table1[[#This Row],[Date]]-WEEKDAY(Table1[[#This Row],[Date]],2)+1)</f>
        <v>44270</v>
      </c>
      <c r="R37" s="175">
        <f>IF(ISBLANK(Table1[[#This Row],[Date]]),"",DATE(Table1[[#This Row],[Date_Year]],Table1[[#This Row],[Date_Month]],1))</f>
        <v>44256</v>
      </c>
    </row>
    <row r="38" spans="2:18" ht="15.75" hidden="1" x14ac:dyDescent="0.25">
      <c r="B38" s="165">
        <v>44271</v>
      </c>
      <c r="C38" s="166" t="s">
        <v>193</v>
      </c>
      <c r="D38" s="166" t="s">
        <v>58</v>
      </c>
      <c r="E38" s="167"/>
      <c r="F38" s="114">
        <v>-21.36</v>
      </c>
      <c r="G38" s="168"/>
      <c r="H38" s="169"/>
      <c r="I38" s="170"/>
      <c r="J38" s="171" t="s">
        <v>224</v>
      </c>
      <c r="K38" s="172" t="s">
        <v>177</v>
      </c>
      <c r="L38" s="172" t="s">
        <v>175</v>
      </c>
      <c r="M38" s="173" t="str" cm="1">
        <f t="array" ref="M38">IFERROR(INDEX(CategoriesTable[Category type],MATCH(Table1[[#This Row],[Category]],CategoriesTable[Category name],0),0),"")</f>
        <v>Expense</v>
      </c>
      <c r="N38" s="173">
        <v>16</v>
      </c>
      <c r="O38" s="173">
        <f>MONTH(Table1[[#This Row],[Date]])</f>
        <v>3</v>
      </c>
      <c r="P38" s="173">
        <v>2021</v>
      </c>
      <c r="Q38" s="174">
        <f>IF(ISBLANK(Table1[[#This Row],[Date]]),"",Table1[[#This Row],[Date]]-WEEKDAY(Table1[[#This Row],[Date]],2)+1)</f>
        <v>44270</v>
      </c>
      <c r="R38" s="175">
        <f>IF(ISBLANK(Table1[[#This Row],[Date]]),"",DATE(Table1[[#This Row],[Date_Year]],Table1[[#This Row],[Date_Month]],1))</f>
        <v>44256</v>
      </c>
    </row>
    <row r="39" spans="2:18" ht="15.75" hidden="1" x14ac:dyDescent="0.25">
      <c r="B39" s="165">
        <v>44270</v>
      </c>
      <c r="C39" s="166" t="s">
        <v>147</v>
      </c>
      <c r="D39" s="166" t="s">
        <v>66</v>
      </c>
      <c r="E39" s="167"/>
      <c r="F39" s="114">
        <v>-9.99</v>
      </c>
      <c r="G39" s="168"/>
      <c r="H39" s="169"/>
      <c r="I39" s="170"/>
      <c r="J39" s="171" t="s">
        <v>225</v>
      </c>
      <c r="K39" s="172" t="s">
        <v>177</v>
      </c>
      <c r="L39" s="172" t="s">
        <v>175</v>
      </c>
      <c r="M39" s="173" t="str" cm="1">
        <f t="array" ref="M39">IFERROR(INDEX(CategoriesTable[Category type],MATCH(Table1[[#This Row],[Category]],CategoriesTable[Category name],0),0),"")</f>
        <v>Expense</v>
      </c>
      <c r="N39" s="173">
        <v>15</v>
      </c>
      <c r="O39" s="173">
        <f>MONTH(Table1[[#This Row],[Date]])</f>
        <v>3</v>
      </c>
      <c r="P39" s="173">
        <v>2021</v>
      </c>
      <c r="Q39" s="174">
        <f>IF(ISBLANK(Table1[[#This Row],[Date]]),"",Table1[[#This Row],[Date]]-WEEKDAY(Table1[[#This Row],[Date]],2)+1)</f>
        <v>44270</v>
      </c>
      <c r="R39" s="175">
        <f>IF(ISBLANK(Table1[[#This Row],[Date]]),"",DATE(Table1[[#This Row],[Date_Year]],Table1[[#This Row],[Date_Month]],1))</f>
        <v>44256</v>
      </c>
    </row>
    <row r="40" spans="2:18" ht="15.75" hidden="1" x14ac:dyDescent="0.25">
      <c r="B40" s="165">
        <v>44270</v>
      </c>
      <c r="C40" s="166" t="s">
        <v>147</v>
      </c>
      <c r="D40" s="166" t="s">
        <v>66</v>
      </c>
      <c r="E40" s="167"/>
      <c r="F40" s="114">
        <v>-19.989999999999998</v>
      </c>
      <c r="G40" s="168"/>
      <c r="H40" s="169"/>
      <c r="I40" s="170"/>
      <c r="J40" s="171" t="s">
        <v>226</v>
      </c>
      <c r="K40" s="172" t="s">
        <v>177</v>
      </c>
      <c r="L40" s="172" t="s">
        <v>175</v>
      </c>
      <c r="M40" s="173" t="str" cm="1">
        <f t="array" ref="M40">IFERROR(INDEX(CategoriesTable[Category type],MATCH(Table1[[#This Row],[Category]],CategoriesTable[Category name],0),0),"")</f>
        <v>Expense</v>
      </c>
      <c r="N40" s="173">
        <v>15</v>
      </c>
      <c r="O40" s="173">
        <f>MONTH(Table1[[#This Row],[Date]])</f>
        <v>3</v>
      </c>
      <c r="P40" s="173">
        <v>2021</v>
      </c>
      <c r="Q40" s="174">
        <f>IF(ISBLANK(Table1[[#This Row],[Date]]),"",Table1[[#This Row],[Date]]-WEEKDAY(Table1[[#This Row],[Date]],2)+1)</f>
        <v>44270</v>
      </c>
      <c r="R40" s="175">
        <f>IF(ISBLANK(Table1[[#This Row],[Date]]),"",DATE(Table1[[#This Row],[Date_Year]],Table1[[#This Row],[Date_Month]],1))</f>
        <v>44256</v>
      </c>
    </row>
    <row r="41" spans="2:18" ht="15.75" hidden="1" x14ac:dyDescent="0.25">
      <c r="B41" s="165">
        <v>44269</v>
      </c>
      <c r="C41" s="166" t="s">
        <v>227</v>
      </c>
      <c r="D41" s="166" t="s">
        <v>59</v>
      </c>
      <c r="E41" s="167"/>
      <c r="F41" s="114">
        <v>-40</v>
      </c>
      <c r="G41" s="168"/>
      <c r="H41" s="169"/>
      <c r="I41" s="170"/>
      <c r="J41" s="171" t="s">
        <v>228</v>
      </c>
      <c r="K41" s="172" t="s">
        <v>177</v>
      </c>
      <c r="L41" s="172" t="s">
        <v>175</v>
      </c>
      <c r="M41" s="173" t="str" cm="1">
        <f t="array" ref="M41">IFERROR(INDEX(CategoriesTable[Category type],MATCH(Table1[[#This Row],[Category]],CategoriesTable[Category name],0),0),"")</f>
        <v>Expense</v>
      </c>
      <c r="N41" s="173">
        <v>14</v>
      </c>
      <c r="O41" s="173">
        <f>MONTH(Table1[[#This Row],[Date]])</f>
        <v>3</v>
      </c>
      <c r="P41" s="173">
        <v>2021</v>
      </c>
      <c r="Q41" s="174">
        <f>IF(ISBLANK(Table1[[#This Row],[Date]]),"",Table1[[#This Row],[Date]]-WEEKDAY(Table1[[#This Row],[Date]],2)+1)</f>
        <v>44263</v>
      </c>
      <c r="R41" s="175">
        <f>IF(ISBLANK(Table1[[#This Row],[Date]]),"",DATE(Table1[[#This Row],[Date_Year]],Table1[[#This Row],[Date_Month]],1))</f>
        <v>44256</v>
      </c>
    </row>
    <row r="42" spans="2:18" ht="15.75" hidden="1" x14ac:dyDescent="0.25">
      <c r="B42" s="165">
        <v>44269</v>
      </c>
      <c r="C42" s="166" t="s">
        <v>229</v>
      </c>
      <c r="D42" s="166" t="s">
        <v>65</v>
      </c>
      <c r="E42" s="167"/>
      <c r="F42" s="114">
        <v>-36.17</v>
      </c>
      <c r="G42" s="168"/>
      <c r="H42" s="169"/>
      <c r="I42" s="170"/>
      <c r="J42" s="171" t="s">
        <v>230</v>
      </c>
      <c r="K42" s="172" t="s">
        <v>177</v>
      </c>
      <c r="L42" s="172" t="s">
        <v>175</v>
      </c>
      <c r="M42" s="173" t="str" cm="1">
        <f t="array" ref="M42">IFERROR(INDEX(CategoriesTable[Category type],MATCH(Table1[[#This Row],[Category]],CategoriesTable[Category name],0),0),"")</f>
        <v>Expense</v>
      </c>
      <c r="N42" s="173">
        <v>14</v>
      </c>
      <c r="O42" s="173">
        <f>MONTH(Table1[[#This Row],[Date]])</f>
        <v>3</v>
      </c>
      <c r="P42" s="173">
        <v>2021</v>
      </c>
      <c r="Q42" s="174">
        <f>IF(ISBLANK(Table1[[#This Row],[Date]]),"",Table1[[#This Row],[Date]]-WEEKDAY(Table1[[#This Row],[Date]],2)+1)</f>
        <v>44263</v>
      </c>
      <c r="R42" s="175">
        <f>IF(ISBLANK(Table1[[#This Row],[Date]]),"",DATE(Table1[[#This Row],[Date_Year]],Table1[[#This Row],[Date_Month]],1))</f>
        <v>44256</v>
      </c>
    </row>
    <row r="43" spans="2:18" ht="15.75" hidden="1" x14ac:dyDescent="0.25">
      <c r="B43" s="165">
        <v>44269</v>
      </c>
      <c r="C43" s="166" t="s">
        <v>1577</v>
      </c>
      <c r="D43" s="166" t="s">
        <v>66</v>
      </c>
      <c r="E43" s="167"/>
      <c r="F43" s="114">
        <v>-19.989999999999998</v>
      </c>
      <c r="G43" s="168"/>
      <c r="H43" s="169"/>
      <c r="I43" s="170"/>
      <c r="J43" s="171" t="s">
        <v>231</v>
      </c>
      <c r="K43" s="172" t="s">
        <v>177</v>
      </c>
      <c r="L43" s="172" t="s">
        <v>175</v>
      </c>
      <c r="M43" s="173" t="str" cm="1">
        <f t="array" ref="M43">IFERROR(INDEX(CategoriesTable[Category type],MATCH(Table1[[#This Row],[Category]],CategoriesTable[Category name],0),0),"")</f>
        <v>Expense</v>
      </c>
      <c r="N43" s="173">
        <v>14</v>
      </c>
      <c r="O43" s="173">
        <f>MONTH(Table1[[#This Row],[Date]])</f>
        <v>3</v>
      </c>
      <c r="P43" s="173">
        <v>2021</v>
      </c>
      <c r="Q43" s="174">
        <f>IF(ISBLANK(Table1[[#This Row],[Date]]),"",Table1[[#This Row],[Date]]-WEEKDAY(Table1[[#This Row],[Date]],2)+1)</f>
        <v>44263</v>
      </c>
      <c r="R43" s="175">
        <f>IF(ISBLANK(Table1[[#This Row],[Date]]),"",DATE(Table1[[#This Row],[Date_Year]],Table1[[#This Row],[Date_Month]],1))</f>
        <v>44256</v>
      </c>
    </row>
    <row r="44" spans="2:18" ht="15.75" hidden="1" x14ac:dyDescent="0.25">
      <c r="B44" s="165">
        <v>44268</v>
      </c>
      <c r="C44" s="166" t="s">
        <v>1577</v>
      </c>
      <c r="D44" s="166" t="s">
        <v>66</v>
      </c>
      <c r="E44" s="167"/>
      <c r="F44" s="114">
        <v>-44.99</v>
      </c>
      <c r="G44" s="168"/>
      <c r="H44" s="169"/>
      <c r="I44" s="170"/>
      <c r="J44" s="171" t="s">
        <v>232</v>
      </c>
      <c r="K44" s="172" t="s">
        <v>177</v>
      </c>
      <c r="L44" s="172" t="s">
        <v>175</v>
      </c>
      <c r="M44" s="173" t="str" cm="1">
        <f t="array" ref="M44">IFERROR(INDEX(CategoriesTable[Category type],MATCH(Table1[[#This Row],[Category]],CategoriesTable[Category name],0),0),"")</f>
        <v>Expense</v>
      </c>
      <c r="N44" s="173">
        <v>13</v>
      </c>
      <c r="O44" s="173">
        <f>MONTH(Table1[[#This Row],[Date]])</f>
        <v>3</v>
      </c>
      <c r="P44" s="173">
        <v>2021</v>
      </c>
      <c r="Q44" s="174">
        <f>IF(ISBLANK(Table1[[#This Row],[Date]]),"",Table1[[#This Row],[Date]]-WEEKDAY(Table1[[#This Row],[Date]],2)+1)</f>
        <v>44263</v>
      </c>
      <c r="R44" s="175">
        <f>IF(ISBLANK(Table1[[#This Row],[Date]]),"",DATE(Table1[[#This Row],[Date_Year]],Table1[[#This Row],[Date_Month]],1))</f>
        <v>44256</v>
      </c>
    </row>
    <row r="45" spans="2:18" ht="15.75" hidden="1" x14ac:dyDescent="0.25">
      <c r="B45" s="165">
        <v>44268</v>
      </c>
      <c r="C45" s="166" t="s">
        <v>1576</v>
      </c>
      <c r="D45" s="166" t="s">
        <v>64</v>
      </c>
      <c r="E45" s="167"/>
      <c r="F45" s="114">
        <v>-10</v>
      </c>
      <c r="G45" s="168"/>
      <c r="H45" s="169"/>
      <c r="I45" s="170"/>
      <c r="J45" s="171" t="s">
        <v>233</v>
      </c>
      <c r="K45" s="172" t="s">
        <v>177</v>
      </c>
      <c r="L45" s="172" t="s">
        <v>175</v>
      </c>
      <c r="M45" s="173" t="str" cm="1">
        <f t="array" ref="M45">IFERROR(INDEX(CategoriesTable[Category type],MATCH(Table1[[#This Row],[Category]],CategoriesTable[Category name],0),0),"")</f>
        <v>Expense</v>
      </c>
      <c r="N45" s="173">
        <v>13</v>
      </c>
      <c r="O45" s="173">
        <f>MONTH(Table1[[#This Row],[Date]])</f>
        <v>3</v>
      </c>
      <c r="P45" s="173">
        <v>2021</v>
      </c>
      <c r="Q45" s="174">
        <f>IF(ISBLANK(Table1[[#This Row],[Date]]),"",Table1[[#This Row],[Date]]-WEEKDAY(Table1[[#This Row],[Date]],2)+1)</f>
        <v>44263</v>
      </c>
      <c r="R45" s="175">
        <f>IF(ISBLANK(Table1[[#This Row],[Date]]),"",DATE(Table1[[#This Row],[Date_Year]],Table1[[#This Row],[Date_Month]],1))</f>
        <v>44256</v>
      </c>
    </row>
    <row r="46" spans="2:18" ht="15.75" hidden="1" x14ac:dyDescent="0.25">
      <c r="B46" s="165">
        <v>44268</v>
      </c>
      <c r="C46" s="166" t="s">
        <v>1576</v>
      </c>
      <c r="D46" s="166" t="s">
        <v>64</v>
      </c>
      <c r="E46" s="167"/>
      <c r="F46" s="114">
        <v>-21</v>
      </c>
      <c r="G46" s="168"/>
      <c r="H46" s="169"/>
      <c r="I46" s="170"/>
      <c r="J46" s="171" t="s">
        <v>234</v>
      </c>
      <c r="K46" s="172" t="s">
        <v>177</v>
      </c>
      <c r="L46" s="172" t="s">
        <v>175</v>
      </c>
      <c r="M46" s="173" t="str" cm="1">
        <f t="array" ref="M46">IFERROR(INDEX(CategoriesTable[Category type],MATCH(Table1[[#This Row],[Category]],CategoriesTable[Category name],0),0),"")</f>
        <v>Expense</v>
      </c>
      <c r="N46" s="173">
        <v>13</v>
      </c>
      <c r="O46" s="173">
        <f>MONTH(Table1[[#This Row],[Date]])</f>
        <v>3</v>
      </c>
      <c r="P46" s="173">
        <v>2021</v>
      </c>
      <c r="Q46" s="174">
        <f>IF(ISBLANK(Table1[[#This Row],[Date]]),"",Table1[[#This Row],[Date]]-WEEKDAY(Table1[[#This Row],[Date]],2)+1)</f>
        <v>44263</v>
      </c>
      <c r="R46" s="175">
        <f>IF(ISBLANK(Table1[[#This Row],[Date]]),"",DATE(Table1[[#This Row],[Date_Year]],Table1[[#This Row],[Date_Month]],1))</f>
        <v>44256</v>
      </c>
    </row>
    <row r="47" spans="2:18" ht="15.75" hidden="1" x14ac:dyDescent="0.25">
      <c r="B47" s="165">
        <v>44268</v>
      </c>
      <c r="C47" s="166" t="s">
        <v>1576</v>
      </c>
      <c r="D47" s="166" t="s">
        <v>64</v>
      </c>
      <c r="E47" s="167"/>
      <c r="F47" s="114">
        <v>-30</v>
      </c>
      <c r="G47" s="168"/>
      <c r="H47" s="169"/>
      <c r="I47" s="170"/>
      <c r="J47" s="171" t="s">
        <v>235</v>
      </c>
      <c r="K47" s="172" t="s">
        <v>177</v>
      </c>
      <c r="L47" s="172" t="s">
        <v>175</v>
      </c>
      <c r="M47" s="173" t="str" cm="1">
        <f t="array" ref="M47">IFERROR(INDEX(CategoriesTable[Category type],MATCH(Table1[[#This Row],[Category]],CategoriesTable[Category name],0),0),"")</f>
        <v>Expense</v>
      </c>
      <c r="N47" s="173">
        <v>13</v>
      </c>
      <c r="O47" s="173">
        <f>MONTH(Table1[[#This Row],[Date]])</f>
        <v>3</v>
      </c>
      <c r="P47" s="173">
        <v>2021</v>
      </c>
      <c r="Q47" s="174">
        <f>IF(ISBLANK(Table1[[#This Row],[Date]]),"",Table1[[#This Row],[Date]]-WEEKDAY(Table1[[#This Row],[Date]],2)+1)</f>
        <v>44263</v>
      </c>
      <c r="R47" s="175">
        <f>IF(ISBLANK(Table1[[#This Row],[Date]]),"",DATE(Table1[[#This Row],[Date_Year]],Table1[[#This Row],[Date_Month]],1))</f>
        <v>44256</v>
      </c>
    </row>
    <row r="48" spans="2:18" ht="15.75" hidden="1" x14ac:dyDescent="0.25">
      <c r="B48" s="165">
        <v>44268</v>
      </c>
      <c r="C48" s="166" t="s">
        <v>121</v>
      </c>
      <c r="D48" s="166" t="s">
        <v>65</v>
      </c>
      <c r="E48" s="167"/>
      <c r="F48" s="114">
        <v>-16.190000000000001</v>
      </c>
      <c r="G48" s="168"/>
      <c r="H48" s="169"/>
      <c r="I48" s="170"/>
      <c r="J48" s="171" t="s">
        <v>236</v>
      </c>
      <c r="K48" s="172" t="s">
        <v>177</v>
      </c>
      <c r="L48" s="172" t="s">
        <v>175</v>
      </c>
      <c r="M48" s="173" t="str" cm="1">
        <f t="array" ref="M48">IFERROR(INDEX(CategoriesTable[Category type],MATCH(Table1[[#This Row],[Category]],CategoriesTable[Category name],0),0),"")</f>
        <v>Expense</v>
      </c>
      <c r="N48" s="173">
        <v>13</v>
      </c>
      <c r="O48" s="173">
        <f>MONTH(Table1[[#This Row],[Date]])</f>
        <v>3</v>
      </c>
      <c r="P48" s="173">
        <v>2021</v>
      </c>
      <c r="Q48" s="174">
        <f>IF(ISBLANK(Table1[[#This Row],[Date]]),"",Table1[[#This Row],[Date]]-WEEKDAY(Table1[[#This Row],[Date]],2)+1)</f>
        <v>44263</v>
      </c>
      <c r="R48" s="175">
        <f>IF(ISBLANK(Table1[[#This Row],[Date]]),"",DATE(Table1[[#This Row],[Date_Year]],Table1[[#This Row],[Date_Month]],1))</f>
        <v>44256</v>
      </c>
    </row>
    <row r="49" spans="2:18" ht="15.75" hidden="1" x14ac:dyDescent="0.25">
      <c r="B49" s="165">
        <v>44268</v>
      </c>
      <c r="C49" s="166" t="s">
        <v>133</v>
      </c>
      <c r="D49" s="166" t="s">
        <v>65</v>
      </c>
      <c r="E49" s="167"/>
      <c r="F49" s="114">
        <v>-20.53</v>
      </c>
      <c r="G49" s="168"/>
      <c r="H49" s="169"/>
      <c r="I49" s="170"/>
      <c r="J49" s="171" t="s">
        <v>237</v>
      </c>
      <c r="K49" s="172" t="s">
        <v>177</v>
      </c>
      <c r="L49" s="172" t="s">
        <v>175</v>
      </c>
      <c r="M49" s="173" t="str" cm="1">
        <f t="array" ref="M49">IFERROR(INDEX(CategoriesTable[Category type],MATCH(Table1[[#This Row],[Category]],CategoriesTable[Category name],0),0),"")</f>
        <v>Expense</v>
      </c>
      <c r="N49" s="173">
        <v>13</v>
      </c>
      <c r="O49" s="173">
        <f>MONTH(Table1[[#This Row],[Date]])</f>
        <v>3</v>
      </c>
      <c r="P49" s="173">
        <v>2021</v>
      </c>
      <c r="Q49" s="174">
        <f>IF(ISBLANK(Table1[[#This Row],[Date]]),"",Table1[[#This Row],[Date]]-WEEKDAY(Table1[[#This Row],[Date]],2)+1)</f>
        <v>44263</v>
      </c>
      <c r="R49" s="175">
        <f>IF(ISBLANK(Table1[[#This Row],[Date]]),"",DATE(Table1[[#This Row],[Date_Year]],Table1[[#This Row],[Date_Month]],1))</f>
        <v>44256</v>
      </c>
    </row>
    <row r="50" spans="2:18" ht="15.75" hidden="1" x14ac:dyDescent="0.25">
      <c r="B50" s="165">
        <v>44267</v>
      </c>
      <c r="C50" s="166" t="s">
        <v>137</v>
      </c>
      <c r="D50" s="166" t="s">
        <v>66</v>
      </c>
      <c r="E50" s="167"/>
      <c r="F50" s="114">
        <v>-79.489999999999995</v>
      </c>
      <c r="G50" s="168"/>
      <c r="H50" s="169"/>
      <c r="I50" s="170"/>
      <c r="J50" s="171" t="s">
        <v>238</v>
      </c>
      <c r="K50" s="172" t="s">
        <v>177</v>
      </c>
      <c r="L50" s="172" t="s">
        <v>175</v>
      </c>
      <c r="M50" s="173" t="str" cm="1">
        <f t="array" ref="M50">IFERROR(INDEX(CategoriesTable[Category type],MATCH(Table1[[#This Row],[Category]],CategoriesTable[Category name],0),0),"")</f>
        <v>Expense</v>
      </c>
      <c r="N50" s="173">
        <v>12</v>
      </c>
      <c r="O50" s="173">
        <f>MONTH(Table1[[#This Row],[Date]])</f>
        <v>3</v>
      </c>
      <c r="P50" s="173">
        <v>2021</v>
      </c>
      <c r="Q50" s="174">
        <f>IF(ISBLANK(Table1[[#This Row],[Date]]),"",Table1[[#This Row],[Date]]-WEEKDAY(Table1[[#This Row],[Date]],2)+1)</f>
        <v>44263</v>
      </c>
      <c r="R50" s="175">
        <f>IF(ISBLANK(Table1[[#This Row],[Date]]),"",DATE(Table1[[#This Row],[Date_Year]],Table1[[#This Row],[Date_Month]],1))</f>
        <v>44256</v>
      </c>
    </row>
    <row r="51" spans="2:18" ht="15.75" hidden="1" x14ac:dyDescent="0.25">
      <c r="B51" s="165">
        <v>44267</v>
      </c>
      <c r="C51" s="166" t="s">
        <v>1575</v>
      </c>
      <c r="D51" s="166" t="s">
        <v>64</v>
      </c>
      <c r="E51" s="167"/>
      <c r="F51" s="114">
        <v>-70</v>
      </c>
      <c r="G51" s="168"/>
      <c r="H51" s="169"/>
      <c r="I51" s="170"/>
      <c r="J51" s="171" t="s">
        <v>239</v>
      </c>
      <c r="K51" s="172" t="s">
        <v>177</v>
      </c>
      <c r="L51" s="172" t="s">
        <v>175</v>
      </c>
      <c r="M51" s="173" t="str" cm="1">
        <f t="array" ref="M51">IFERROR(INDEX(CategoriesTable[Category type],MATCH(Table1[[#This Row],[Category]],CategoriesTable[Category name],0),0),"")</f>
        <v>Expense</v>
      </c>
      <c r="N51" s="173">
        <v>12</v>
      </c>
      <c r="O51" s="173">
        <f>MONTH(Table1[[#This Row],[Date]])</f>
        <v>3</v>
      </c>
      <c r="P51" s="173">
        <v>2021</v>
      </c>
      <c r="Q51" s="174">
        <f>IF(ISBLANK(Table1[[#This Row],[Date]]),"",Table1[[#This Row],[Date]]-WEEKDAY(Table1[[#This Row],[Date]],2)+1)</f>
        <v>44263</v>
      </c>
      <c r="R51" s="175">
        <f>IF(ISBLANK(Table1[[#This Row],[Date]]),"",DATE(Table1[[#This Row],[Date_Year]],Table1[[#This Row],[Date_Month]],1))</f>
        <v>44256</v>
      </c>
    </row>
    <row r="52" spans="2:18" ht="15.75" x14ac:dyDescent="0.25">
      <c r="B52" s="165">
        <v>44267</v>
      </c>
      <c r="C52" s="166" t="s">
        <v>1573</v>
      </c>
      <c r="D52" s="166" t="s">
        <v>64</v>
      </c>
      <c r="E52" s="167"/>
      <c r="F52" s="114">
        <v>-5</v>
      </c>
      <c r="G52" s="168"/>
      <c r="H52" s="169"/>
      <c r="I52" s="170"/>
      <c r="J52" s="171" t="s">
        <v>240</v>
      </c>
      <c r="K52" s="172" t="s">
        <v>177</v>
      </c>
      <c r="L52" s="172" t="s">
        <v>175</v>
      </c>
      <c r="M52" s="173" t="str" cm="1">
        <f t="array" ref="M52">IFERROR(INDEX(CategoriesTable[Category type],MATCH(Table1[[#This Row],[Category]],CategoriesTable[Category name],0),0),"")</f>
        <v>Expense</v>
      </c>
      <c r="N52" s="173">
        <v>12</v>
      </c>
      <c r="O52" s="173">
        <f>MONTH(Table1[[#This Row],[Date]])</f>
        <v>3</v>
      </c>
      <c r="P52" s="173">
        <v>2021</v>
      </c>
      <c r="Q52" s="174">
        <f>IF(ISBLANK(Table1[[#This Row],[Date]]),"",Table1[[#This Row],[Date]]-WEEKDAY(Table1[[#This Row],[Date]],2)+1)</f>
        <v>44263</v>
      </c>
      <c r="R52" s="175">
        <f>IF(ISBLANK(Table1[[#This Row],[Date]]),"",DATE(Table1[[#This Row],[Date_Year]],Table1[[#This Row],[Date_Month]],1))</f>
        <v>44256</v>
      </c>
    </row>
    <row r="53" spans="2:18" ht="15.75" hidden="1" x14ac:dyDescent="0.25">
      <c r="B53" s="165">
        <v>44267</v>
      </c>
      <c r="C53" s="166" t="s">
        <v>199</v>
      </c>
      <c r="D53" s="166" t="s">
        <v>65</v>
      </c>
      <c r="E53" s="167"/>
      <c r="F53" s="114">
        <v>-28.2</v>
      </c>
      <c r="G53" s="168"/>
      <c r="H53" s="169"/>
      <c r="I53" s="170"/>
      <c r="J53" s="171" t="s">
        <v>241</v>
      </c>
      <c r="K53" s="172" t="s">
        <v>177</v>
      </c>
      <c r="L53" s="172" t="s">
        <v>175</v>
      </c>
      <c r="M53" s="173" t="str" cm="1">
        <f t="array" ref="M53">IFERROR(INDEX(CategoriesTable[Category type],MATCH(Table1[[#This Row],[Category]],CategoriesTable[Category name],0),0),"")</f>
        <v>Expense</v>
      </c>
      <c r="N53" s="173">
        <v>12</v>
      </c>
      <c r="O53" s="173">
        <f>MONTH(Table1[[#This Row],[Date]])</f>
        <v>3</v>
      </c>
      <c r="P53" s="173">
        <v>2021</v>
      </c>
      <c r="Q53" s="174">
        <f>IF(ISBLANK(Table1[[#This Row],[Date]]),"",Table1[[#This Row],[Date]]-WEEKDAY(Table1[[#This Row],[Date]],2)+1)</f>
        <v>44263</v>
      </c>
      <c r="R53" s="175">
        <f>IF(ISBLANK(Table1[[#This Row],[Date]]),"",DATE(Table1[[#This Row],[Date_Year]],Table1[[#This Row],[Date_Month]],1))</f>
        <v>44256</v>
      </c>
    </row>
    <row r="54" spans="2:18" ht="15.75" hidden="1" x14ac:dyDescent="0.25">
      <c r="B54" s="165">
        <v>44267</v>
      </c>
      <c r="C54" s="166" t="s">
        <v>121</v>
      </c>
      <c r="D54" s="166" t="s">
        <v>65</v>
      </c>
      <c r="E54" s="167"/>
      <c r="F54" s="114">
        <v>-16.559999999999999</v>
      </c>
      <c r="G54" s="168"/>
      <c r="H54" s="169"/>
      <c r="I54" s="170"/>
      <c r="J54" s="171" t="s">
        <v>242</v>
      </c>
      <c r="K54" s="172" t="s">
        <v>177</v>
      </c>
      <c r="L54" s="172" t="s">
        <v>175</v>
      </c>
      <c r="M54" s="173" t="str" cm="1">
        <f t="array" ref="M54">IFERROR(INDEX(CategoriesTable[Category type],MATCH(Table1[[#This Row],[Category]],CategoriesTable[Category name],0),0),"")</f>
        <v>Expense</v>
      </c>
      <c r="N54" s="173">
        <v>12</v>
      </c>
      <c r="O54" s="173">
        <f>MONTH(Table1[[#This Row],[Date]])</f>
        <v>3</v>
      </c>
      <c r="P54" s="173">
        <v>2021</v>
      </c>
      <c r="Q54" s="174">
        <f>IF(ISBLANK(Table1[[#This Row],[Date]]),"",Table1[[#This Row],[Date]]-WEEKDAY(Table1[[#This Row],[Date]],2)+1)</f>
        <v>44263</v>
      </c>
      <c r="R54" s="175">
        <f>IF(ISBLANK(Table1[[#This Row],[Date]]),"",DATE(Table1[[#This Row],[Date_Year]],Table1[[#This Row],[Date_Month]],1))</f>
        <v>44256</v>
      </c>
    </row>
    <row r="55" spans="2:18" ht="15.75" hidden="1" x14ac:dyDescent="0.25">
      <c r="B55" s="165">
        <v>44266</v>
      </c>
      <c r="C55" s="166" t="s">
        <v>199</v>
      </c>
      <c r="D55" s="166" t="s">
        <v>65</v>
      </c>
      <c r="E55" s="167"/>
      <c r="F55" s="114">
        <v>-25.85</v>
      </c>
      <c r="G55" s="168"/>
      <c r="H55" s="169"/>
      <c r="I55" s="170"/>
      <c r="J55" s="171" t="s">
        <v>243</v>
      </c>
      <c r="K55" s="172" t="s">
        <v>177</v>
      </c>
      <c r="L55" s="172" t="s">
        <v>175</v>
      </c>
      <c r="M55" s="173" t="str" cm="1">
        <f t="array" ref="M55">IFERROR(INDEX(CategoriesTable[Category type],MATCH(Table1[[#This Row],[Category]],CategoriesTable[Category name],0),0),"")</f>
        <v>Expense</v>
      </c>
      <c r="N55" s="173">
        <v>11</v>
      </c>
      <c r="O55" s="173">
        <f>MONTH(Table1[[#This Row],[Date]])</f>
        <v>3</v>
      </c>
      <c r="P55" s="173">
        <v>2021</v>
      </c>
      <c r="Q55" s="174">
        <f>IF(ISBLANK(Table1[[#This Row],[Date]]),"",Table1[[#This Row],[Date]]-WEEKDAY(Table1[[#This Row],[Date]],2)+1)</f>
        <v>44263</v>
      </c>
      <c r="R55" s="175">
        <f>IF(ISBLANK(Table1[[#This Row],[Date]]),"",DATE(Table1[[#This Row],[Date_Year]],Table1[[#This Row],[Date_Month]],1))</f>
        <v>44256</v>
      </c>
    </row>
    <row r="56" spans="2:18" ht="15.75" hidden="1" x14ac:dyDescent="0.25">
      <c r="B56" s="165">
        <v>44265</v>
      </c>
      <c r="C56" s="166" t="s">
        <v>120</v>
      </c>
      <c r="D56" s="166" t="s">
        <v>66</v>
      </c>
      <c r="E56" s="167"/>
      <c r="F56" s="114">
        <v>-18</v>
      </c>
      <c r="G56" s="168"/>
      <c r="H56" s="169"/>
      <c r="I56" s="170"/>
      <c r="J56" s="171" t="s">
        <v>244</v>
      </c>
      <c r="K56" s="172" t="s">
        <v>177</v>
      </c>
      <c r="L56" s="172" t="s">
        <v>175</v>
      </c>
      <c r="M56" s="173" t="str" cm="1">
        <f t="array" ref="M56">IFERROR(INDEX(CategoriesTable[Category type],MATCH(Table1[[#This Row],[Category]],CategoriesTable[Category name],0),0),"")</f>
        <v>Expense</v>
      </c>
      <c r="N56" s="173">
        <v>10</v>
      </c>
      <c r="O56" s="173">
        <f>MONTH(Table1[[#This Row],[Date]])</f>
        <v>3</v>
      </c>
      <c r="P56" s="173">
        <v>2021</v>
      </c>
      <c r="Q56" s="174">
        <f>IF(ISBLANK(Table1[[#This Row],[Date]]),"",Table1[[#This Row],[Date]]-WEEKDAY(Table1[[#This Row],[Date]],2)+1)</f>
        <v>44263</v>
      </c>
      <c r="R56" s="175">
        <f>IF(ISBLANK(Table1[[#This Row],[Date]]),"",DATE(Table1[[#This Row],[Date_Year]],Table1[[#This Row],[Date_Month]],1))</f>
        <v>44256</v>
      </c>
    </row>
    <row r="57" spans="2:18" ht="15.75" hidden="1" x14ac:dyDescent="0.25">
      <c r="B57" s="165">
        <v>44264</v>
      </c>
      <c r="C57" s="166" t="s">
        <v>145</v>
      </c>
      <c r="D57" s="166" t="s">
        <v>58</v>
      </c>
      <c r="E57" s="167"/>
      <c r="F57" s="114">
        <v>-9.76</v>
      </c>
      <c r="G57" s="168"/>
      <c r="H57" s="169"/>
      <c r="I57" s="170"/>
      <c r="J57" s="171" t="s">
        <v>245</v>
      </c>
      <c r="K57" s="172" t="s">
        <v>177</v>
      </c>
      <c r="L57" s="172" t="s">
        <v>175</v>
      </c>
      <c r="M57" s="173" t="str" cm="1">
        <f t="array" ref="M57">IFERROR(INDEX(CategoriesTable[Category type],MATCH(Table1[[#This Row],[Category]],CategoriesTable[Category name],0),0),"")</f>
        <v>Expense</v>
      </c>
      <c r="N57" s="173">
        <v>9</v>
      </c>
      <c r="O57" s="173">
        <f>MONTH(Table1[[#This Row],[Date]])</f>
        <v>3</v>
      </c>
      <c r="P57" s="173">
        <v>2021</v>
      </c>
      <c r="Q57" s="174">
        <f>IF(ISBLANK(Table1[[#This Row],[Date]]),"",Table1[[#This Row],[Date]]-WEEKDAY(Table1[[#This Row],[Date]],2)+1)</f>
        <v>44263</v>
      </c>
      <c r="R57" s="175">
        <f>IF(ISBLANK(Table1[[#This Row],[Date]]),"",DATE(Table1[[#This Row],[Date_Year]],Table1[[#This Row],[Date_Month]],1))</f>
        <v>44256</v>
      </c>
    </row>
    <row r="58" spans="2:18" ht="15.75" x14ac:dyDescent="0.25">
      <c r="B58" s="165">
        <v>44264</v>
      </c>
      <c r="C58" s="166" t="s">
        <v>1573</v>
      </c>
      <c r="D58" s="166" t="s">
        <v>64</v>
      </c>
      <c r="E58" s="167"/>
      <c r="F58" s="114">
        <v>-120</v>
      </c>
      <c r="G58" s="168"/>
      <c r="H58" s="169"/>
      <c r="I58" s="170"/>
      <c r="J58" s="171" t="s">
        <v>246</v>
      </c>
      <c r="K58" s="172" t="s">
        <v>177</v>
      </c>
      <c r="L58" s="172" t="s">
        <v>175</v>
      </c>
      <c r="M58" s="173" t="str" cm="1">
        <f t="array" ref="M58">IFERROR(INDEX(CategoriesTable[Category type],MATCH(Table1[[#This Row],[Category]],CategoriesTable[Category name],0),0),"")</f>
        <v>Expense</v>
      </c>
      <c r="N58" s="173">
        <v>9</v>
      </c>
      <c r="O58" s="173">
        <f>MONTH(Table1[[#This Row],[Date]])</f>
        <v>3</v>
      </c>
      <c r="P58" s="173">
        <v>2021</v>
      </c>
      <c r="Q58" s="174">
        <f>IF(ISBLANK(Table1[[#This Row],[Date]]),"",Table1[[#This Row],[Date]]-WEEKDAY(Table1[[#This Row],[Date]],2)+1)</f>
        <v>44263</v>
      </c>
      <c r="R58" s="175">
        <f>IF(ISBLANK(Table1[[#This Row],[Date]]),"",DATE(Table1[[#This Row],[Date_Year]],Table1[[#This Row],[Date_Month]],1))</f>
        <v>44256</v>
      </c>
    </row>
    <row r="59" spans="2:18" ht="15.75" hidden="1" x14ac:dyDescent="0.25">
      <c r="B59" s="165">
        <v>44264</v>
      </c>
      <c r="C59" s="166" t="s">
        <v>247</v>
      </c>
      <c r="D59" s="166" t="s">
        <v>65</v>
      </c>
      <c r="E59" s="167"/>
      <c r="F59" s="114">
        <v>-24.24</v>
      </c>
      <c r="G59" s="168"/>
      <c r="H59" s="169"/>
      <c r="I59" s="170"/>
      <c r="J59" s="171" t="s">
        <v>248</v>
      </c>
      <c r="K59" s="172" t="s">
        <v>177</v>
      </c>
      <c r="L59" s="172" t="s">
        <v>175</v>
      </c>
      <c r="M59" s="173" t="str" cm="1">
        <f t="array" ref="M59">IFERROR(INDEX(CategoriesTable[Category type],MATCH(Table1[[#This Row],[Category]],CategoriesTable[Category name],0),0),"")</f>
        <v>Expense</v>
      </c>
      <c r="N59" s="173">
        <v>9</v>
      </c>
      <c r="O59" s="173">
        <f>MONTH(Table1[[#This Row],[Date]])</f>
        <v>3</v>
      </c>
      <c r="P59" s="173">
        <v>2021</v>
      </c>
      <c r="Q59" s="174">
        <f>IF(ISBLANK(Table1[[#This Row],[Date]]),"",Table1[[#This Row],[Date]]-WEEKDAY(Table1[[#This Row],[Date]],2)+1)</f>
        <v>44263</v>
      </c>
      <c r="R59" s="175">
        <f>IF(ISBLANK(Table1[[#This Row],[Date]]),"",DATE(Table1[[#This Row],[Date_Year]],Table1[[#This Row],[Date_Month]],1))</f>
        <v>44256</v>
      </c>
    </row>
    <row r="60" spans="2:18" ht="15.75" hidden="1" x14ac:dyDescent="0.25">
      <c r="B60" s="165">
        <v>44264</v>
      </c>
      <c r="C60" s="166" t="s">
        <v>1574</v>
      </c>
      <c r="D60" s="166" t="s">
        <v>52</v>
      </c>
      <c r="E60" s="167"/>
      <c r="F60" s="114">
        <v>-136</v>
      </c>
      <c r="G60" s="168"/>
      <c r="H60" s="169"/>
      <c r="I60" s="170"/>
      <c r="J60" s="171" t="s">
        <v>250</v>
      </c>
      <c r="K60" s="172" t="s">
        <v>177</v>
      </c>
      <c r="L60" s="172" t="s">
        <v>175</v>
      </c>
      <c r="M60" s="173" t="str" cm="1">
        <f t="array" ref="M60">IFERROR(INDEX(CategoriesTable[Category type],MATCH(Table1[[#This Row],[Category]],CategoriesTable[Category name],0),0),"")</f>
        <v>Transfer</v>
      </c>
      <c r="N60" s="173">
        <v>9</v>
      </c>
      <c r="O60" s="173">
        <f>MONTH(Table1[[#This Row],[Date]])</f>
        <v>3</v>
      </c>
      <c r="P60" s="173">
        <v>2021</v>
      </c>
      <c r="Q60" s="174">
        <f>IF(ISBLANK(Table1[[#This Row],[Date]]),"",Table1[[#This Row],[Date]]-WEEKDAY(Table1[[#This Row],[Date]],2)+1)</f>
        <v>44263</v>
      </c>
      <c r="R60" s="175">
        <f>IF(ISBLANK(Table1[[#This Row],[Date]]),"",DATE(Table1[[#This Row],[Date_Year]],Table1[[#This Row],[Date_Month]],1))</f>
        <v>44256</v>
      </c>
    </row>
    <row r="61" spans="2:18" ht="15.75" hidden="1" x14ac:dyDescent="0.25">
      <c r="B61" s="165">
        <v>44263</v>
      </c>
      <c r="C61" s="166" t="s">
        <v>1560</v>
      </c>
      <c r="D61" s="166" t="s">
        <v>55</v>
      </c>
      <c r="E61" s="167"/>
      <c r="F61" s="114">
        <v>-348.51</v>
      </c>
      <c r="G61" s="168"/>
      <c r="H61" s="169"/>
      <c r="I61" s="170"/>
      <c r="J61" s="171" t="s">
        <v>251</v>
      </c>
      <c r="K61" s="172" t="s">
        <v>177</v>
      </c>
      <c r="L61" s="172" t="s">
        <v>175</v>
      </c>
      <c r="M61" s="173" t="str" cm="1">
        <f t="array" ref="M61">IFERROR(INDEX(CategoriesTable[Category type],MATCH(Table1[[#This Row],[Category]],CategoriesTable[Category name],0),0),"")</f>
        <v>Expense</v>
      </c>
      <c r="N61" s="173">
        <v>8</v>
      </c>
      <c r="O61" s="173">
        <f>MONTH(Table1[[#This Row],[Date]])</f>
        <v>3</v>
      </c>
      <c r="P61" s="173">
        <v>2021</v>
      </c>
      <c r="Q61" s="174">
        <f>IF(ISBLANK(Table1[[#This Row],[Date]]),"",Table1[[#This Row],[Date]]-WEEKDAY(Table1[[#This Row],[Date]],2)+1)</f>
        <v>44263</v>
      </c>
      <c r="R61" s="175">
        <f>IF(ISBLANK(Table1[[#This Row],[Date]]),"",DATE(Table1[[#This Row],[Date_Year]],Table1[[#This Row],[Date_Month]],1))</f>
        <v>44256</v>
      </c>
    </row>
    <row r="62" spans="2:18" ht="15.75" hidden="1" x14ac:dyDescent="0.25">
      <c r="B62" s="165">
        <v>44262</v>
      </c>
      <c r="C62" s="166" t="s">
        <v>1564</v>
      </c>
      <c r="D62" s="166" t="s">
        <v>56</v>
      </c>
      <c r="E62" s="167"/>
      <c r="F62" s="114">
        <v>-9.99</v>
      </c>
      <c r="G62" s="168"/>
      <c r="H62" s="169"/>
      <c r="I62" s="170"/>
      <c r="J62" s="171" t="s">
        <v>252</v>
      </c>
      <c r="K62" s="172" t="s">
        <v>177</v>
      </c>
      <c r="L62" s="172" t="s">
        <v>175</v>
      </c>
      <c r="M62" s="173" t="str" cm="1">
        <f t="array" ref="M62">IFERROR(INDEX(CategoriesTable[Category type],MATCH(Table1[[#This Row],[Category]],CategoriesTable[Category name],0),0),"")</f>
        <v>Expense</v>
      </c>
      <c r="N62" s="173">
        <v>7</v>
      </c>
      <c r="O62" s="173">
        <f>MONTH(Table1[[#This Row],[Date]])</f>
        <v>3</v>
      </c>
      <c r="P62" s="173">
        <v>2021</v>
      </c>
      <c r="Q62" s="174">
        <f>IF(ISBLANK(Table1[[#This Row],[Date]]),"",Table1[[#This Row],[Date]]-WEEKDAY(Table1[[#This Row],[Date]],2)+1)</f>
        <v>44256</v>
      </c>
      <c r="R62" s="175">
        <f>IF(ISBLANK(Table1[[#This Row],[Date]]),"",DATE(Table1[[#This Row],[Date_Year]],Table1[[#This Row],[Date_Month]],1))</f>
        <v>44256</v>
      </c>
    </row>
    <row r="63" spans="2:18" ht="15.75" hidden="1" x14ac:dyDescent="0.25">
      <c r="B63" s="165">
        <v>44262</v>
      </c>
      <c r="C63" s="166" t="s">
        <v>143</v>
      </c>
      <c r="D63" s="166" t="s">
        <v>65</v>
      </c>
      <c r="E63" s="167"/>
      <c r="F63" s="114">
        <v>-22.63</v>
      </c>
      <c r="G63" s="168"/>
      <c r="H63" s="169"/>
      <c r="I63" s="170"/>
      <c r="J63" s="171" t="s">
        <v>253</v>
      </c>
      <c r="K63" s="172" t="s">
        <v>177</v>
      </c>
      <c r="L63" s="172" t="s">
        <v>175</v>
      </c>
      <c r="M63" s="173" t="str" cm="1">
        <f t="array" ref="M63">IFERROR(INDEX(CategoriesTable[Category type],MATCH(Table1[[#This Row],[Category]],CategoriesTable[Category name],0),0),"")</f>
        <v>Expense</v>
      </c>
      <c r="N63" s="173">
        <v>7</v>
      </c>
      <c r="O63" s="173">
        <f>MONTH(Table1[[#This Row],[Date]])</f>
        <v>3</v>
      </c>
      <c r="P63" s="173">
        <v>2021</v>
      </c>
      <c r="Q63" s="174">
        <f>IF(ISBLANK(Table1[[#This Row],[Date]]),"",Table1[[#This Row],[Date]]-WEEKDAY(Table1[[#This Row],[Date]],2)+1)</f>
        <v>44256</v>
      </c>
      <c r="R63" s="175">
        <f>IF(ISBLANK(Table1[[#This Row],[Date]]),"",DATE(Table1[[#This Row],[Date_Year]],Table1[[#This Row],[Date_Month]],1))</f>
        <v>44256</v>
      </c>
    </row>
    <row r="64" spans="2:18" ht="15.75" hidden="1" x14ac:dyDescent="0.25">
      <c r="B64" s="165">
        <v>44262</v>
      </c>
      <c r="C64" s="166" t="s">
        <v>1561</v>
      </c>
      <c r="D64" s="166" t="s">
        <v>55</v>
      </c>
      <c r="E64" s="167"/>
      <c r="F64" s="114">
        <v>-123.2</v>
      </c>
      <c r="G64" s="168"/>
      <c r="H64" s="169"/>
      <c r="I64" s="170"/>
      <c r="J64" s="171" t="s">
        <v>254</v>
      </c>
      <c r="K64" s="172" t="s">
        <v>177</v>
      </c>
      <c r="L64" s="172" t="s">
        <v>175</v>
      </c>
      <c r="M64" s="173" t="str" cm="1">
        <f t="array" ref="M64">IFERROR(INDEX(CategoriesTable[Category type],MATCH(Table1[[#This Row],[Category]],CategoriesTable[Category name],0),0),"")</f>
        <v>Expense</v>
      </c>
      <c r="N64" s="173">
        <v>7</v>
      </c>
      <c r="O64" s="173">
        <f>MONTH(Table1[[#This Row],[Date]])</f>
        <v>3</v>
      </c>
      <c r="P64" s="173">
        <v>2021</v>
      </c>
      <c r="Q64" s="174">
        <f>IF(ISBLANK(Table1[[#This Row],[Date]]),"",Table1[[#This Row],[Date]]-WEEKDAY(Table1[[#This Row],[Date]],2)+1)</f>
        <v>44256</v>
      </c>
      <c r="R64" s="175">
        <f>IF(ISBLANK(Table1[[#This Row],[Date]]),"",DATE(Table1[[#This Row],[Date_Year]],Table1[[#This Row],[Date_Month]],1))</f>
        <v>44256</v>
      </c>
    </row>
    <row r="65" spans="2:18" ht="15.75" hidden="1" x14ac:dyDescent="0.25">
      <c r="B65" s="165">
        <v>44262</v>
      </c>
      <c r="C65" s="166" t="s">
        <v>135</v>
      </c>
      <c r="D65" s="166" t="s">
        <v>53</v>
      </c>
      <c r="E65" s="167"/>
      <c r="F65" s="114">
        <v>-421.87</v>
      </c>
      <c r="G65" s="168"/>
      <c r="H65" s="169"/>
      <c r="I65" s="170"/>
      <c r="J65" s="171" t="s">
        <v>255</v>
      </c>
      <c r="K65" s="172" t="s">
        <v>177</v>
      </c>
      <c r="L65" s="172" t="s">
        <v>175</v>
      </c>
      <c r="M65" s="173" t="str" cm="1">
        <f t="array" ref="M65">IFERROR(INDEX(CategoriesTable[Category type],MATCH(Table1[[#This Row],[Category]],CategoriesTable[Category name],0),0),"")</f>
        <v>Expense</v>
      </c>
      <c r="N65" s="173">
        <v>7</v>
      </c>
      <c r="O65" s="173">
        <f>MONTH(Table1[[#This Row],[Date]])</f>
        <v>3</v>
      </c>
      <c r="P65" s="173">
        <v>2021</v>
      </c>
      <c r="Q65" s="174">
        <f>IF(ISBLANK(Table1[[#This Row],[Date]]),"",Table1[[#This Row],[Date]]-WEEKDAY(Table1[[#This Row],[Date]],2)+1)</f>
        <v>44256</v>
      </c>
      <c r="R65" s="175">
        <f>IF(ISBLANK(Table1[[#This Row],[Date]]),"",DATE(Table1[[#This Row],[Date_Year]],Table1[[#This Row],[Date_Month]],1))</f>
        <v>44256</v>
      </c>
    </row>
    <row r="66" spans="2:18" ht="15.75" x14ac:dyDescent="0.25">
      <c r="B66" s="165">
        <v>44261</v>
      </c>
      <c r="C66" s="166" t="s">
        <v>1573</v>
      </c>
      <c r="D66" s="166" t="s">
        <v>64</v>
      </c>
      <c r="E66" s="167"/>
      <c r="F66" s="114">
        <v>-200</v>
      </c>
      <c r="G66" s="168"/>
      <c r="H66" s="169"/>
      <c r="I66" s="170"/>
      <c r="J66" s="171" t="s">
        <v>256</v>
      </c>
      <c r="K66" s="172" t="s">
        <v>177</v>
      </c>
      <c r="L66" s="172" t="s">
        <v>175</v>
      </c>
      <c r="M66" s="173" t="str" cm="1">
        <f t="array" ref="M66">IFERROR(INDEX(CategoriesTable[Category type],MATCH(Table1[[#This Row],[Category]],CategoriesTable[Category name],0),0),"")</f>
        <v>Expense</v>
      </c>
      <c r="N66" s="173">
        <v>6</v>
      </c>
      <c r="O66" s="173">
        <f>MONTH(Table1[[#This Row],[Date]])</f>
        <v>3</v>
      </c>
      <c r="P66" s="173">
        <v>2021</v>
      </c>
      <c r="Q66" s="174">
        <f>IF(ISBLANK(Table1[[#This Row],[Date]]),"",Table1[[#This Row],[Date]]-WEEKDAY(Table1[[#This Row],[Date]],2)+1)</f>
        <v>44256</v>
      </c>
      <c r="R66" s="175">
        <f>IF(ISBLANK(Table1[[#This Row],[Date]]),"",DATE(Table1[[#This Row],[Date_Year]],Table1[[#This Row],[Date_Month]],1))</f>
        <v>44256</v>
      </c>
    </row>
    <row r="67" spans="2:18" ht="15.75" x14ac:dyDescent="0.25">
      <c r="B67" s="165">
        <v>44260</v>
      </c>
      <c r="C67" s="166" t="s">
        <v>1573</v>
      </c>
      <c r="D67" s="166" t="s">
        <v>64</v>
      </c>
      <c r="E67" s="167"/>
      <c r="F67" s="114">
        <v>-85</v>
      </c>
      <c r="G67" s="168"/>
      <c r="H67" s="169"/>
      <c r="I67" s="170"/>
      <c r="J67" s="171" t="s">
        <v>257</v>
      </c>
      <c r="K67" s="172" t="s">
        <v>177</v>
      </c>
      <c r="L67" s="172" t="s">
        <v>175</v>
      </c>
      <c r="M67" s="173" t="str" cm="1">
        <f t="array" ref="M67">IFERROR(INDEX(CategoriesTable[Category type],MATCH(Table1[[#This Row],[Category]],CategoriesTable[Category name],0),0),"")</f>
        <v>Expense</v>
      </c>
      <c r="N67" s="173">
        <v>5</v>
      </c>
      <c r="O67" s="173">
        <f>MONTH(Table1[[#This Row],[Date]])</f>
        <v>3</v>
      </c>
      <c r="P67" s="173">
        <v>2021</v>
      </c>
      <c r="Q67" s="174">
        <f>IF(ISBLANK(Table1[[#This Row],[Date]]),"",Table1[[#This Row],[Date]]-WEEKDAY(Table1[[#This Row],[Date]],2)+1)</f>
        <v>44256</v>
      </c>
      <c r="R67" s="175">
        <f>IF(ISBLANK(Table1[[#This Row],[Date]]),"",DATE(Table1[[#This Row],[Date_Year]],Table1[[#This Row],[Date_Month]],1))</f>
        <v>44256</v>
      </c>
    </row>
    <row r="68" spans="2:18" ht="15.75" hidden="1" x14ac:dyDescent="0.25">
      <c r="B68" s="165">
        <v>44260</v>
      </c>
      <c r="C68" s="166" t="s">
        <v>143</v>
      </c>
      <c r="D68" s="166" t="s">
        <v>65</v>
      </c>
      <c r="E68" s="167"/>
      <c r="F68" s="114">
        <v>-19.260000000000002</v>
      </c>
      <c r="G68" s="168"/>
      <c r="H68" s="169"/>
      <c r="I68" s="170"/>
      <c r="J68" s="171" t="s">
        <v>258</v>
      </c>
      <c r="K68" s="172" t="s">
        <v>177</v>
      </c>
      <c r="L68" s="172" t="s">
        <v>175</v>
      </c>
      <c r="M68" s="173" t="str" cm="1">
        <f t="array" ref="M68">IFERROR(INDEX(CategoriesTable[Category type],MATCH(Table1[[#This Row],[Category]],CategoriesTable[Category name],0),0),"")</f>
        <v>Expense</v>
      </c>
      <c r="N68" s="173">
        <v>5</v>
      </c>
      <c r="O68" s="173">
        <f>MONTH(Table1[[#This Row],[Date]])</f>
        <v>3</v>
      </c>
      <c r="P68" s="173">
        <v>2021</v>
      </c>
      <c r="Q68" s="174">
        <f>IF(ISBLANK(Table1[[#This Row],[Date]]),"",Table1[[#This Row],[Date]]-WEEKDAY(Table1[[#This Row],[Date]],2)+1)</f>
        <v>44256</v>
      </c>
      <c r="R68" s="175">
        <f>IF(ISBLANK(Table1[[#This Row],[Date]]),"",DATE(Table1[[#This Row],[Date_Year]],Table1[[#This Row],[Date_Month]],1))</f>
        <v>44256</v>
      </c>
    </row>
    <row r="69" spans="2:18" ht="15.75" hidden="1" x14ac:dyDescent="0.25">
      <c r="B69" s="165">
        <v>44260</v>
      </c>
      <c r="C69" s="166" t="s">
        <v>123</v>
      </c>
      <c r="D69" s="166" t="s">
        <v>55</v>
      </c>
      <c r="E69" s="167"/>
      <c r="F69" s="114">
        <v>-17.989999999999998</v>
      </c>
      <c r="G69" s="168"/>
      <c r="H69" s="169"/>
      <c r="I69" s="170"/>
      <c r="J69" s="171" t="s">
        <v>259</v>
      </c>
      <c r="K69" s="172" t="s">
        <v>177</v>
      </c>
      <c r="L69" s="172" t="s">
        <v>175</v>
      </c>
      <c r="M69" s="173" t="str" cm="1">
        <f t="array" ref="M69">IFERROR(INDEX(CategoriesTable[Category type],MATCH(Table1[[#This Row],[Category]],CategoriesTable[Category name],0),0),"")</f>
        <v>Expense</v>
      </c>
      <c r="N69" s="173">
        <v>5</v>
      </c>
      <c r="O69" s="173">
        <f>MONTH(Table1[[#This Row],[Date]])</f>
        <v>3</v>
      </c>
      <c r="P69" s="173">
        <v>2021</v>
      </c>
      <c r="Q69" s="174">
        <f>IF(ISBLANK(Table1[[#This Row],[Date]]),"",Table1[[#This Row],[Date]]-WEEKDAY(Table1[[#This Row],[Date]],2)+1)</f>
        <v>44256</v>
      </c>
      <c r="R69" s="175">
        <f>IF(ISBLANK(Table1[[#This Row],[Date]]),"",DATE(Table1[[#This Row],[Date_Year]],Table1[[#This Row],[Date_Month]],1))</f>
        <v>44256</v>
      </c>
    </row>
    <row r="70" spans="2:18" ht="15.75" hidden="1" x14ac:dyDescent="0.25">
      <c r="B70" s="165">
        <v>44260</v>
      </c>
      <c r="C70" s="166" t="s">
        <v>130</v>
      </c>
      <c r="D70" s="166" t="s">
        <v>66</v>
      </c>
      <c r="E70" s="167"/>
      <c r="F70" s="114">
        <v>-39.99</v>
      </c>
      <c r="G70" s="168"/>
      <c r="H70" s="169"/>
      <c r="I70" s="170"/>
      <c r="J70" s="171" t="s">
        <v>260</v>
      </c>
      <c r="K70" s="172" t="s">
        <v>177</v>
      </c>
      <c r="L70" s="172" t="s">
        <v>175</v>
      </c>
      <c r="M70" s="173" t="str" cm="1">
        <f t="array" ref="M70">IFERROR(INDEX(CategoriesTable[Category type],MATCH(Table1[[#This Row],[Category]],CategoriesTable[Category name],0),0),"")</f>
        <v>Expense</v>
      </c>
      <c r="N70" s="173">
        <v>5</v>
      </c>
      <c r="O70" s="173">
        <f>MONTH(Table1[[#This Row],[Date]])</f>
        <v>3</v>
      </c>
      <c r="P70" s="173">
        <v>2021</v>
      </c>
      <c r="Q70" s="174">
        <f>IF(ISBLANK(Table1[[#This Row],[Date]]),"",Table1[[#This Row],[Date]]-WEEKDAY(Table1[[#This Row],[Date]],2)+1)</f>
        <v>44256</v>
      </c>
      <c r="R70" s="175">
        <f>IF(ISBLANK(Table1[[#This Row],[Date]]),"",DATE(Table1[[#This Row],[Date_Year]],Table1[[#This Row],[Date_Month]],1))</f>
        <v>44256</v>
      </c>
    </row>
    <row r="71" spans="2:18" ht="15.75" hidden="1" x14ac:dyDescent="0.25">
      <c r="B71" s="165">
        <v>44259</v>
      </c>
      <c r="C71" s="166" t="s">
        <v>149</v>
      </c>
      <c r="D71" s="166" t="s">
        <v>65</v>
      </c>
      <c r="E71" s="167"/>
      <c r="F71" s="114">
        <v>-20.11</v>
      </c>
      <c r="G71" s="168"/>
      <c r="H71" s="169"/>
      <c r="I71" s="170"/>
      <c r="J71" s="171" t="s">
        <v>261</v>
      </c>
      <c r="K71" s="172" t="s">
        <v>177</v>
      </c>
      <c r="L71" s="172" t="s">
        <v>175</v>
      </c>
      <c r="M71" s="173" t="str" cm="1">
        <f t="array" ref="M71">IFERROR(INDEX(CategoriesTable[Category type],MATCH(Table1[[#This Row],[Category]],CategoriesTable[Category name],0),0),"")</f>
        <v>Expense</v>
      </c>
      <c r="N71" s="173">
        <v>4</v>
      </c>
      <c r="O71" s="173">
        <f>MONTH(Table1[[#This Row],[Date]])</f>
        <v>3</v>
      </c>
      <c r="P71" s="173">
        <v>2021</v>
      </c>
      <c r="Q71" s="174">
        <f>IF(ISBLANK(Table1[[#This Row],[Date]]),"",Table1[[#This Row],[Date]]-WEEKDAY(Table1[[#This Row],[Date]],2)+1)</f>
        <v>44256</v>
      </c>
      <c r="R71" s="175">
        <f>IF(ISBLANK(Table1[[#This Row],[Date]]),"",DATE(Table1[[#This Row],[Date_Year]],Table1[[#This Row],[Date_Month]],1))</f>
        <v>44256</v>
      </c>
    </row>
    <row r="72" spans="2:18" ht="15.75" hidden="1" x14ac:dyDescent="0.25">
      <c r="B72" s="165">
        <v>44259</v>
      </c>
      <c r="C72" s="166" t="s">
        <v>128</v>
      </c>
      <c r="D72" s="166" t="s">
        <v>53</v>
      </c>
      <c r="E72" s="167"/>
      <c r="F72" s="114">
        <v>-28.7</v>
      </c>
      <c r="G72" s="168"/>
      <c r="H72" s="169"/>
      <c r="I72" s="170"/>
      <c r="J72" s="171" t="s">
        <v>262</v>
      </c>
      <c r="K72" s="172" t="s">
        <v>177</v>
      </c>
      <c r="L72" s="172" t="s">
        <v>175</v>
      </c>
      <c r="M72" s="173" t="str" cm="1">
        <f t="array" ref="M72">IFERROR(INDEX(CategoriesTable[Category type],MATCH(Table1[[#This Row],[Category]],CategoriesTable[Category name],0),0),"")</f>
        <v>Expense</v>
      </c>
      <c r="N72" s="173">
        <v>4</v>
      </c>
      <c r="O72" s="173">
        <f>MONTH(Table1[[#This Row],[Date]])</f>
        <v>3</v>
      </c>
      <c r="P72" s="173">
        <v>2021</v>
      </c>
      <c r="Q72" s="174">
        <f>IF(ISBLANK(Table1[[#This Row],[Date]]),"",Table1[[#This Row],[Date]]-WEEKDAY(Table1[[#This Row],[Date]],2)+1)</f>
        <v>44256</v>
      </c>
      <c r="R72" s="175">
        <f>IF(ISBLANK(Table1[[#This Row],[Date]]),"",DATE(Table1[[#This Row],[Date_Year]],Table1[[#This Row],[Date_Month]],1))</f>
        <v>44256</v>
      </c>
    </row>
    <row r="73" spans="2:18" ht="15.75" hidden="1" x14ac:dyDescent="0.25">
      <c r="B73" s="165">
        <v>44259</v>
      </c>
      <c r="C73" s="166" t="s">
        <v>130</v>
      </c>
      <c r="D73" s="166" t="s">
        <v>66</v>
      </c>
      <c r="E73" s="167"/>
      <c r="F73" s="114">
        <v>-39.99</v>
      </c>
      <c r="G73" s="168"/>
      <c r="H73" s="169"/>
      <c r="I73" s="170"/>
      <c r="J73" s="171" t="s">
        <v>263</v>
      </c>
      <c r="K73" s="172" t="s">
        <v>177</v>
      </c>
      <c r="L73" s="172" t="s">
        <v>175</v>
      </c>
      <c r="M73" s="173" t="str" cm="1">
        <f t="array" ref="M73">IFERROR(INDEX(CategoriesTable[Category type],MATCH(Table1[[#This Row],[Category]],CategoriesTable[Category name],0),0),"")</f>
        <v>Expense</v>
      </c>
      <c r="N73" s="173">
        <v>4</v>
      </c>
      <c r="O73" s="173">
        <f>MONTH(Table1[[#This Row],[Date]])</f>
        <v>3</v>
      </c>
      <c r="P73" s="173">
        <v>2021</v>
      </c>
      <c r="Q73" s="174">
        <f>IF(ISBLANK(Table1[[#This Row],[Date]]),"",Table1[[#This Row],[Date]]-WEEKDAY(Table1[[#This Row],[Date]],2)+1)</f>
        <v>44256</v>
      </c>
      <c r="R73" s="175">
        <f>IF(ISBLANK(Table1[[#This Row],[Date]]),"",DATE(Table1[[#This Row],[Date_Year]],Table1[[#This Row],[Date_Month]],1))</f>
        <v>44256</v>
      </c>
    </row>
    <row r="74" spans="2:18" ht="15.75" hidden="1" x14ac:dyDescent="0.25">
      <c r="B74" s="165">
        <v>44258</v>
      </c>
      <c r="C74" s="166" t="s">
        <v>149</v>
      </c>
      <c r="D74" s="166" t="s">
        <v>65</v>
      </c>
      <c r="E74" s="167"/>
      <c r="F74" s="114">
        <v>-19.149999999999999</v>
      </c>
      <c r="G74" s="168"/>
      <c r="H74" s="169"/>
      <c r="I74" s="170"/>
      <c r="J74" s="171" t="s">
        <v>264</v>
      </c>
      <c r="K74" s="172" t="s">
        <v>177</v>
      </c>
      <c r="L74" s="172" t="s">
        <v>175</v>
      </c>
      <c r="M74" s="173" t="str" cm="1">
        <f t="array" ref="M74">IFERROR(INDEX(CategoriesTable[Category type],MATCH(Table1[[#This Row],[Category]],CategoriesTable[Category name],0),0),"")</f>
        <v>Expense</v>
      </c>
      <c r="N74" s="173">
        <v>3</v>
      </c>
      <c r="O74" s="173">
        <f>MONTH(Table1[[#This Row],[Date]])</f>
        <v>3</v>
      </c>
      <c r="P74" s="173">
        <v>2021</v>
      </c>
      <c r="Q74" s="174">
        <f>IF(ISBLANK(Table1[[#This Row],[Date]]),"",Table1[[#This Row],[Date]]-WEEKDAY(Table1[[#This Row],[Date]],2)+1)</f>
        <v>44256</v>
      </c>
      <c r="R74" s="175">
        <f>IF(ISBLANK(Table1[[#This Row],[Date]]),"",DATE(Table1[[#This Row],[Date_Year]],Table1[[#This Row],[Date_Month]],1))</f>
        <v>44256</v>
      </c>
    </row>
    <row r="75" spans="2:18" ht="15.75" hidden="1" x14ac:dyDescent="0.25">
      <c r="B75" s="165">
        <v>44258</v>
      </c>
      <c r="C75" s="166" t="s">
        <v>137</v>
      </c>
      <c r="D75" s="166" t="s">
        <v>66</v>
      </c>
      <c r="E75" s="167"/>
      <c r="F75" s="114">
        <v>-29.99</v>
      </c>
      <c r="G75" s="168"/>
      <c r="H75" s="169"/>
      <c r="I75" s="170"/>
      <c r="J75" s="171" t="s">
        <v>265</v>
      </c>
      <c r="K75" s="172" t="s">
        <v>177</v>
      </c>
      <c r="L75" s="172" t="s">
        <v>175</v>
      </c>
      <c r="M75" s="173" t="str" cm="1">
        <f t="array" ref="M75">IFERROR(INDEX(CategoriesTable[Category type],MATCH(Table1[[#This Row],[Category]],CategoriesTable[Category name],0),0),"")</f>
        <v>Expense</v>
      </c>
      <c r="N75" s="173">
        <v>3</v>
      </c>
      <c r="O75" s="173">
        <f>MONTH(Table1[[#This Row],[Date]])</f>
        <v>3</v>
      </c>
      <c r="P75" s="173">
        <v>2021</v>
      </c>
      <c r="Q75" s="174">
        <f>IF(ISBLANK(Table1[[#This Row],[Date]]),"",Table1[[#This Row],[Date]]-WEEKDAY(Table1[[#This Row],[Date]],2)+1)</f>
        <v>44256</v>
      </c>
      <c r="R75" s="175">
        <f>IF(ISBLANK(Table1[[#This Row],[Date]]),"",DATE(Table1[[#This Row],[Date_Year]],Table1[[#This Row],[Date_Month]],1))</f>
        <v>44256</v>
      </c>
    </row>
    <row r="76" spans="2:18" ht="15.75" hidden="1" x14ac:dyDescent="0.25">
      <c r="B76" s="165">
        <v>44258</v>
      </c>
      <c r="C76" s="166" t="s">
        <v>137</v>
      </c>
      <c r="D76" s="166" t="s">
        <v>66</v>
      </c>
      <c r="E76" s="167"/>
      <c r="F76" s="114">
        <v>-211.99</v>
      </c>
      <c r="G76" s="168"/>
      <c r="H76" s="169"/>
      <c r="I76" s="170"/>
      <c r="J76" s="171" t="s">
        <v>266</v>
      </c>
      <c r="K76" s="172" t="s">
        <v>177</v>
      </c>
      <c r="L76" s="172" t="s">
        <v>175</v>
      </c>
      <c r="M76" s="173" t="str" cm="1">
        <f t="array" ref="M76">IFERROR(INDEX(CategoriesTable[Category type],MATCH(Table1[[#This Row],[Category]],CategoriesTable[Category name],0),0),"")</f>
        <v>Expense</v>
      </c>
      <c r="N76" s="173">
        <v>3</v>
      </c>
      <c r="O76" s="173">
        <f>MONTH(Table1[[#This Row],[Date]])</f>
        <v>3</v>
      </c>
      <c r="P76" s="173">
        <v>2021</v>
      </c>
      <c r="Q76" s="174">
        <f>IF(ISBLANK(Table1[[#This Row],[Date]]),"",Table1[[#This Row],[Date]]-WEEKDAY(Table1[[#This Row],[Date]],2)+1)</f>
        <v>44256</v>
      </c>
      <c r="R76" s="175">
        <f>IF(ISBLANK(Table1[[#This Row],[Date]]),"",DATE(Table1[[#This Row],[Date_Year]],Table1[[#This Row],[Date_Month]],1))</f>
        <v>44256</v>
      </c>
    </row>
    <row r="77" spans="2:18" ht="15.75" hidden="1" x14ac:dyDescent="0.25">
      <c r="B77" s="165">
        <v>44257</v>
      </c>
      <c r="C77" s="166" t="s">
        <v>121</v>
      </c>
      <c r="D77" s="166" t="s">
        <v>65</v>
      </c>
      <c r="E77" s="167"/>
      <c r="F77" s="114">
        <v>-15.03</v>
      </c>
      <c r="G77" s="168"/>
      <c r="H77" s="169"/>
      <c r="I77" s="170"/>
      <c r="J77" s="171" t="s">
        <v>267</v>
      </c>
      <c r="K77" s="172" t="s">
        <v>177</v>
      </c>
      <c r="L77" s="172" t="s">
        <v>175</v>
      </c>
      <c r="M77" s="173" t="str" cm="1">
        <f t="array" ref="M77">IFERROR(INDEX(CategoriesTable[Category type],MATCH(Table1[[#This Row],[Category]],CategoriesTable[Category name],0),0),"")</f>
        <v>Expense</v>
      </c>
      <c r="N77" s="173">
        <v>2</v>
      </c>
      <c r="O77" s="173">
        <f>MONTH(Table1[[#This Row],[Date]])</f>
        <v>3</v>
      </c>
      <c r="P77" s="173">
        <v>2021</v>
      </c>
      <c r="Q77" s="174">
        <f>IF(ISBLANK(Table1[[#This Row],[Date]]),"",Table1[[#This Row],[Date]]-WEEKDAY(Table1[[#This Row],[Date]],2)+1)</f>
        <v>44256</v>
      </c>
      <c r="R77" s="175">
        <f>IF(ISBLANK(Table1[[#This Row],[Date]]),"",DATE(Table1[[#This Row],[Date_Year]],Table1[[#This Row],[Date_Month]],1))</f>
        <v>44256</v>
      </c>
    </row>
    <row r="78" spans="2:18" ht="15.75" hidden="1" x14ac:dyDescent="0.25">
      <c r="B78" s="165">
        <v>44257</v>
      </c>
      <c r="C78" s="166" t="s">
        <v>143</v>
      </c>
      <c r="D78" s="166" t="s">
        <v>65</v>
      </c>
      <c r="E78" s="167"/>
      <c r="F78" s="114">
        <v>-17.809999999999999</v>
      </c>
      <c r="G78" s="168"/>
      <c r="H78" s="169"/>
      <c r="I78" s="170"/>
      <c r="J78" s="171" t="s">
        <v>268</v>
      </c>
      <c r="K78" s="172" t="s">
        <v>177</v>
      </c>
      <c r="L78" s="172" t="s">
        <v>175</v>
      </c>
      <c r="M78" s="173" t="str" cm="1">
        <f t="array" ref="M78">IFERROR(INDEX(CategoriesTable[Category type],MATCH(Table1[[#This Row],[Category]],CategoriesTable[Category name],0),0),"")</f>
        <v>Expense</v>
      </c>
      <c r="N78" s="173">
        <v>2</v>
      </c>
      <c r="O78" s="173">
        <f>MONTH(Table1[[#This Row],[Date]])</f>
        <v>3</v>
      </c>
      <c r="P78" s="173">
        <v>2021</v>
      </c>
      <c r="Q78" s="174">
        <f>IF(ISBLANK(Table1[[#This Row],[Date]]),"",Table1[[#This Row],[Date]]-WEEKDAY(Table1[[#This Row],[Date]],2)+1)</f>
        <v>44256</v>
      </c>
      <c r="R78" s="175">
        <f>IF(ISBLANK(Table1[[#This Row],[Date]]),"",DATE(Table1[[#This Row],[Date_Year]],Table1[[#This Row],[Date_Month]],1))</f>
        <v>44256</v>
      </c>
    </row>
    <row r="79" spans="2:18" ht="15.75" hidden="1" x14ac:dyDescent="0.25">
      <c r="B79" s="165">
        <v>44257</v>
      </c>
      <c r="C79" s="166" t="s">
        <v>1571</v>
      </c>
      <c r="D79" s="166" t="s">
        <v>66</v>
      </c>
      <c r="E79" s="167"/>
      <c r="F79" s="114">
        <v>-5.3</v>
      </c>
      <c r="G79" s="168"/>
      <c r="H79" s="169"/>
      <c r="I79" s="170"/>
      <c r="J79" s="171" t="s">
        <v>269</v>
      </c>
      <c r="K79" s="172" t="s">
        <v>177</v>
      </c>
      <c r="L79" s="172" t="s">
        <v>175</v>
      </c>
      <c r="M79" s="173" t="str" cm="1">
        <f t="array" ref="M79">IFERROR(INDEX(CategoriesTable[Category type],MATCH(Table1[[#This Row],[Category]],CategoriesTable[Category name],0),0),"")</f>
        <v>Expense</v>
      </c>
      <c r="N79" s="173">
        <v>2</v>
      </c>
      <c r="O79" s="173">
        <f>MONTH(Table1[[#This Row],[Date]])</f>
        <v>3</v>
      </c>
      <c r="P79" s="173">
        <v>2021</v>
      </c>
      <c r="Q79" s="174">
        <f>IF(ISBLANK(Table1[[#This Row],[Date]]),"",Table1[[#This Row],[Date]]-WEEKDAY(Table1[[#This Row],[Date]],2)+1)</f>
        <v>44256</v>
      </c>
      <c r="R79" s="175">
        <f>IF(ISBLANK(Table1[[#This Row],[Date]]),"",DATE(Table1[[#This Row],[Date_Year]],Table1[[#This Row],[Date_Month]],1))</f>
        <v>44256</v>
      </c>
    </row>
    <row r="80" spans="2:18" ht="15.75" hidden="1" x14ac:dyDescent="0.25">
      <c r="B80" s="165">
        <v>44257</v>
      </c>
      <c r="C80" s="166" t="s">
        <v>180</v>
      </c>
      <c r="D80" s="166" t="s">
        <v>52</v>
      </c>
      <c r="E80" s="167"/>
      <c r="F80" s="114">
        <v>-160</v>
      </c>
      <c r="G80" s="168"/>
      <c r="H80" s="169"/>
      <c r="I80" s="170"/>
      <c r="J80" s="171" t="s">
        <v>270</v>
      </c>
      <c r="K80" s="172" t="s">
        <v>177</v>
      </c>
      <c r="L80" s="172" t="s">
        <v>175</v>
      </c>
      <c r="M80" s="173" t="str" cm="1">
        <f t="array" ref="M80">IFERROR(INDEX(CategoriesTable[Category type],MATCH(Table1[[#This Row],[Category]],CategoriesTable[Category name],0),0),"")</f>
        <v>Transfer</v>
      </c>
      <c r="N80" s="173">
        <v>2</v>
      </c>
      <c r="O80" s="173">
        <f>MONTH(Table1[[#This Row],[Date]])</f>
        <v>3</v>
      </c>
      <c r="P80" s="173">
        <v>2021</v>
      </c>
      <c r="Q80" s="174">
        <f>IF(ISBLANK(Table1[[#This Row],[Date]]),"",Table1[[#This Row],[Date]]-WEEKDAY(Table1[[#This Row],[Date]],2)+1)</f>
        <v>44256</v>
      </c>
      <c r="R80" s="175">
        <f>IF(ISBLANK(Table1[[#This Row],[Date]]),"",DATE(Table1[[#This Row],[Date_Year]],Table1[[#This Row],[Date_Month]],1))</f>
        <v>44256</v>
      </c>
    </row>
    <row r="81" spans="2:18" ht="15.75" hidden="1" x14ac:dyDescent="0.25">
      <c r="B81" s="165">
        <v>44256</v>
      </c>
      <c r="C81" s="166" t="s">
        <v>149</v>
      </c>
      <c r="D81" s="166" t="s">
        <v>65</v>
      </c>
      <c r="E81" s="167"/>
      <c r="F81" s="114">
        <v>-22.76</v>
      </c>
      <c r="G81" s="168"/>
      <c r="H81" s="169"/>
      <c r="I81" s="170"/>
      <c r="J81" s="171" t="s">
        <v>271</v>
      </c>
      <c r="K81" s="172" t="s">
        <v>177</v>
      </c>
      <c r="L81" s="172" t="s">
        <v>175</v>
      </c>
      <c r="M81" s="173" t="str" cm="1">
        <f t="array" ref="M81">IFERROR(INDEX(CategoriesTable[Category type],MATCH(Table1[[#This Row],[Category]],CategoriesTable[Category name],0),0),"")</f>
        <v>Expense</v>
      </c>
      <c r="N81" s="173">
        <v>1</v>
      </c>
      <c r="O81" s="173">
        <f>MONTH(Table1[[#This Row],[Date]])</f>
        <v>3</v>
      </c>
      <c r="P81" s="173">
        <v>2021</v>
      </c>
      <c r="Q81" s="174">
        <f>IF(ISBLANK(Table1[[#This Row],[Date]]),"",Table1[[#This Row],[Date]]-WEEKDAY(Table1[[#This Row],[Date]],2)+1)</f>
        <v>44256</v>
      </c>
      <c r="R81" s="175">
        <f>IF(ISBLANK(Table1[[#This Row],[Date]]),"",DATE(Table1[[#This Row],[Date_Year]],Table1[[#This Row],[Date_Month]],1))</f>
        <v>44256</v>
      </c>
    </row>
    <row r="82" spans="2:18" ht="15.75" hidden="1" x14ac:dyDescent="0.25">
      <c r="B82" s="165">
        <v>44256</v>
      </c>
      <c r="C82" s="166" t="s">
        <v>199</v>
      </c>
      <c r="D82" s="166" t="s">
        <v>65</v>
      </c>
      <c r="E82" s="167"/>
      <c r="F82" s="114">
        <v>-37.97</v>
      </c>
      <c r="G82" s="168"/>
      <c r="H82" s="169"/>
      <c r="I82" s="170"/>
      <c r="J82" s="171" t="s">
        <v>272</v>
      </c>
      <c r="K82" s="172" t="s">
        <v>177</v>
      </c>
      <c r="L82" s="172" t="s">
        <v>175</v>
      </c>
      <c r="M82" s="173" t="str" cm="1">
        <f t="array" ref="M82">IFERROR(INDEX(CategoriesTable[Category type],MATCH(Table1[[#This Row],[Category]],CategoriesTable[Category name],0),0),"")</f>
        <v>Expense</v>
      </c>
      <c r="N82" s="173">
        <v>1</v>
      </c>
      <c r="O82" s="173">
        <f>MONTH(Table1[[#This Row],[Date]])</f>
        <v>3</v>
      </c>
      <c r="P82" s="173">
        <v>2021</v>
      </c>
      <c r="Q82" s="174">
        <f>IF(ISBLANK(Table1[[#This Row],[Date]]),"",Table1[[#This Row],[Date]]-WEEKDAY(Table1[[#This Row],[Date]],2)+1)</f>
        <v>44256</v>
      </c>
      <c r="R82" s="175">
        <f>IF(ISBLANK(Table1[[#This Row],[Date]]),"",DATE(Table1[[#This Row],[Date_Year]],Table1[[#This Row],[Date_Month]],1))</f>
        <v>44256</v>
      </c>
    </row>
    <row r="83" spans="2:18" ht="15.75" hidden="1" x14ac:dyDescent="0.25">
      <c r="B83" s="165">
        <v>44256</v>
      </c>
      <c r="C83" s="166" t="s">
        <v>1569</v>
      </c>
      <c r="D83" s="166" t="s">
        <v>55</v>
      </c>
      <c r="E83" s="167"/>
      <c r="F83" s="114">
        <v>-54.99</v>
      </c>
      <c r="G83" s="168"/>
      <c r="H83" s="169"/>
      <c r="I83" s="170"/>
      <c r="J83" s="171" t="s">
        <v>273</v>
      </c>
      <c r="K83" s="172" t="s">
        <v>177</v>
      </c>
      <c r="L83" s="172" t="s">
        <v>175</v>
      </c>
      <c r="M83" s="173" t="str" cm="1">
        <f t="array" ref="M83">IFERROR(INDEX(CategoriesTable[Category type],MATCH(Table1[[#This Row],[Category]],CategoriesTable[Category name],0),0),"")</f>
        <v>Expense</v>
      </c>
      <c r="N83" s="173">
        <v>1</v>
      </c>
      <c r="O83" s="173">
        <f>MONTH(Table1[[#This Row],[Date]])</f>
        <v>3</v>
      </c>
      <c r="P83" s="173">
        <v>2021</v>
      </c>
      <c r="Q83" s="174">
        <f>IF(ISBLANK(Table1[[#This Row],[Date]]),"",Table1[[#This Row],[Date]]-WEEKDAY(Table1[[#This Row],[Date]],2)+1)</f>
        <v>44256</v>
      </c>
      <c r="R83" s="175">
        <f>IF(ISBLANK(Table1[[#This Row],[Date]]),"",DATE(Table1[[#This Row],[Date_Year]],Table1[[#This Row],[Date_Month]],1))</f>
        <v>44256</v>
      </c>
    </row>
    <row r="84" spans="2:18" ht="15.75" hidden="1" x14ac:dyDescent="0.25">
      <c r="B84" s="165">
        <v>44256</v>
      </c>
      <c r="C84" s="166" t="s">
        <v>196</v>
      </c>
      <c r="D84" s="166" t="s">
        <v>50</v>
      </c>
      <c r="E84" s="167"/>
      <c r="F84" s="114">
        <v>4433.04</v>
      </c>
      <c r="G84" s="168"/>
      <c r="H84" s="169"/>
      <c r="I84" s="170"/>
      <c r="J84" s="171" t="s">
        <v>274</v>
      </c>
      <c r="K84" s="172" t="s">
        <v>177</v>
      </c>
      <c r="L84" s="172" t="s">
        <v>175</v>
      </c>
      <c r="M84" s="173" t="str" cm="1">
        <f t="array" ref="M84">IFERROR(INDEX(CategoriesTable[Category type],MATCH(Table1[[#This Row],[Category]],CategoriesTable[Category name],0),0),"")</f>
        <v>Income</v>
      </c>
      <c r="N84" s="173">
        <v>1</v>
      </c>
      <c r="O84" s="173">
        <f>MONTH(Table1[[#This Row],[Date]])</f>
        <v>3</v>
      </c>
      <c r="P84" s="173">
        <v>2021</v>
      </c>
      <c r="Q84" s="174">
        <f>IF(ISBLANK(Table1[[#This Row],[Date]]),"",Table1[[#This Row],[Date]]-WEEKDAY(Table1[[#This Row],[Date]],2)+1)</f>
        <v>44256</v>
      </c>
      <c r="R84" s="175">
        <f>IF(ISBLANK(Table1[[#This Row],[Date]]),"",DATE(Table1[[#This Row],[Date_Year]],Table1[[#This Row],[Date_Month]],1))</f>
        <v>44256</v>
      </c>
    </row>
    <row r="85" spans="2:18" ht="15.75" hidden="1" x14ac:dyDescent="0.25">
      <c r="B85" s="165">
        <v>44256</v>
      </c>
      <c r="C85" s="166" t="s">
        <v>202</v>
      </c>
      <c r="D85" s="166" t="s">
        <v>55</v>
      </c>
      <c r="E85" s="167"/>
      <c r="F85" s="114">
        <v>-344.72</v>
      </c>
      <c r="G85" s="168"/>
      <c r="H85" s="169"/>
      <c r="I85" s="170"/>
      <c r="J85" s="171" t="s">
        <v>275</v>
      </c>
      <c r="K85" s="172" t="s">
        <v>177</v>
      </c>
      <c r="L85" s="172" t="s">
        <v>175</v>
      </c>
      <c r="M85" s="173" t="str" cm="1">
        <f t="array" ref="M85">IFERROR(INDEX(CategoriesTable[Category type],MATCH(Table1[[#This Row],[Category]],CategoriesTable[Category name],0),0),"")</f>
        <v>Expense</v>
      </c>
      <c r="N85" s="173">
        <v>1</v>
      </c>
      <c r="O85" s="173">
        <f>MONTH(Table1[[#This Row],[Date]])</f>
        <v>3</v>
      </c>
      <c r="P85" s="173">
        <v>2021</v>
      </c>
      <c r="Q85" s="174">
        <f>IF(ISBLANK(Table1[[#This Row],[Date]]),"",Table1[[#This Row],[Date]]-WEEKDAY(Table1[[#This Row],[Date]],2)+1)</f>
        <v>44256</v>
      </c>
      <c r="R85" s="175">
        <f>IF(ISBLANK(Table1[[#This Row],[Date]]),"",DATE(Table1[[#This Row],[Date_Year]],Table1[[#This Row],[Date_Month]],1))</f>
        <v>44256</v>
      </c>
    </row>
    <row r="86" spans="2:18" ht="15.75" hidden="1" x14ac:dyDescent="0.25">
      <c r="B86" s="165">
        <v>44255</v>
      </c>
      <c r="C86" s="166" t="s">
        <v>145</v>
      </c>
      <c r="D86" s="166" t="s">
        <v>58</v>
      </c>
      <c r="E86" s="167"/>
      <c r="F86" s="114">
        <v>-12.71</v>
      </c>
      <c r="G86" s="168"/>
      <c r="H86" s="169"/>
      <c r="I86" s="170"/>
      <c r="J86" s="171" t="s">
        <v>276</v>
      </c>
      <c r="K86" s="172" t="s">
        <v>177</v>
      </c>
      <c r="L86" s="172" t="s">
        <v>175</v>
      </c>
      <c r="M86" s="173" t="str" cm="1">
        <f t="array" ref="M86">IFERROR(INDEX(CategoriesTable[Category type],MATCH(Table1[[#This Row],[Category]],CategoriesTable[Category name],0),0),"")</f>
        <v>Expense</v>
      </c>
      <c r="N86" s="173">
        <v>28</v>
      </c>
      <c r="O86" s="173">
        <f>MONTH(Table1[[#This Row],[Date]])</f>
        <v>2</v>
      </c>
      <c r="P86" s="173">
        <v>2021</v>
      </c>
      <c r="Q86" s="174">
        <f>IF(ISBLANK(Table1[[#This Row],[Date]]),"",Table1[[#This Row],[Date]]-WEEKDAY(Table1[[#This Row],[Date]],2)+1)</f>
        <v>44249</v>
      </c>
      <c r="R86" s="175">
        <f>IF(ISBLANK(Table1[[#This Row],[Date]]),"",DATE(Table1[[#This Row],[Date_Year]],Table1[[#This Row],[Date_Month]],1))</f>
        <v>44228</v>
      </c>
    </row>
    <row r="87" spans="2:18" ht="15.75" hidden="1" x14ac:dyDescent="0.25">
      <c r="B87" s="165">
        <v>44255</v>
      </c>
      <c r="C87" s="166" t="s">
        <v>138</v>
      </c>
      <c r="D87" s="166" t="s">
        <v>66</v>
      </c>
      <c r="E87" s="167"/>
      <c r="F87" s="114">
        <v>-12.99</v>
      </c>
      <c r="G87" s="168"/>
      <c r="H87" s="169"/>
      <c r="I87" s="170"/>
      <c r="J87" s="171" t="s">
        <v>277</v>
      </c>
      <c r="K87" s="172" t="s">
        <v>177</v>
      </c>
      <c r="L87" s="172" t="s">
        <v>175</v>
      </c>
      <c r="M87" s="173" t="str" cm="1">
        <f t="array" ref="M87">IFERROR(INDEX(CategoriesTable[Category type],MATCH(Table1[[#This Row],[Category]],CategoriesTable[Category name],0),0),"")</f>
        <v>Expense</v>
      </c>
      <c r="N87" s="173">
        <v>28</v>
      </c>
      <c r="O87" s="173">
        <f>MONTH(Table1[[#This Row],[Date]])</f>
        <v>2</v>
      </c>
      <c r="P87" s="173">
        <v>2021</v>
      </c>
      <c r="Q87" s="174">
        <f>IF(ISBLANK(Table1[[#This Row],[Date]]),"",Table1[[#This Row],[Date]]-WEEKDAY(Table1[[#This Row],[Date]],2)+1)</f>
        <v>44249</v>
      </c>
      <c r="R87" s="175">
        <f>IF(ISBLANK(Table1[[#This Row],[Date]]),"",DATE(Table1[[#This Row],[Date_Year]],Table1[[#This Row],[Date_Month]],1))</f>
        <v>44228</v>
      </c>
    </row>
    <row r="88" spans="2:18" ht="15.75" hidden="1" x14ac:dyDescent="0.25">
      <c r="B88" s="165">
        <v>44255</v>
      </c>
      <c r="C88" s="166" t="s">
        <v>147</v>
      </c>
      <c r="D88" s="166" t="s">
        <v>66</v>
      </c>
      <c r="E88" s="167"/>
      <c r="F88" s="114">
        <v>-19.989999999999998</v>
      </c>
      <c r="G88" s="168"/>
      <c r="H88" s="169"/>
      <c r="I88" s="170"/>
      <c r="J88" s="171" t="s">
        <v>278</v>
      </c>
      <c r="K88" s="172" t="s">
        <v>177</v>
      </c>
      <c r="L88" s="172" t="s">
        <v>175</v>
      </c>
      <c r="M88" s="173" t="str" cm="1">
        <f t="array" ref="M88">IFERROR(INDEX(CategoriesTable[Category type],MATCH(Table1[[#This Row],[Category]],CategoriesTable[Category name],0),0),"")</f>
        <v>Expense</v>
      </c>
      <c r="N88" s="173">
        <v>28</v>
      </c>
      <c r="O88" s="173">
        <f>MONTH(Table1[[#This Row],[Date]])</f>
        <v>2</v>
      </c>
      <c r="P88" s="173">
        <v>2021</v>
      </c>
      <c r="Q88" s="174">
        <f>IF(ISBLANK(Table1[[#This Row],[Date]]),"",Table1[[#This Row],[Date]]-WEEKDAY(Table1[[#This Row],[Date]],2)+1)</f>
        <v>44249</v>
      </c>
      <c r="R88" s="175">
        <f>IF(ISBLANK(Table1[[#This Row],[Date]]),"",DATE(Table1[[#This Row],[Date_Year]],Table1[[#This Row],[Date_Month]],1))</f>
        <v>44228</v>
      </c>
    </row>
    <row r="89" spans="2:18" ht="15.75" hidden="1" x14ac:dyDescent="0.25">
      <c r="B89" s="165">
        <v>44255</v>
      </c>
      <c r="C89" s="166" t="s">
        <v>199</v>
      </c>
      <c r="D89" s="166" t="s">
        <v>65</v>
      </c>
      <c r="E89" s="167"/>
      <c r="F89" s="114">
        <v>-40.47</v>
      </c>
      <c r="G89" s="168"/>
      <c r="H89" s="169"/>
      <c r="I89" s="170"/>
      <c r="J89" s="171" t="s">
        <v>279</v>
      </c>
      <c r="K89" s="172" t="s">
        <v>177</v>
      </c>
      <c r="L89" s="172" t="s">
        <v>175</v>
      </c>
      <c r="M89" s="173" t="str" cm="1">
        <f t="array" ref="M89">IFERROR(INDEX(CategoriesTable[Category type],MATCH(Table1[[#This Row],[Category]],CategoriesTable[Category name],0),0),"")</f>
        <v>Expense</v>
      </c>
      <c r="N89" s="173">
        <v>28</v>
      </c>
      <c r="O89" s="173">
        <f>MONTH(Table1[[#This Row],[Date]])</f>
        <v>2</v>
      </c>
      <c r="P89" s="173">
        <v>2021</v>
      </c>
      <c r="Q89" s="174">
        <f>IF(ISBLANK(Table1[[#This Row],[Date]]),"",Table1[[#This Row],[Date]]-WEEKDAY(Table1[[#This Row],[Date]],2)+1)</f>
        <v>44249</v>
      </c>
      <c r="R89" s="175">
        <f>IF(ISBLANK(Table1[[#This Row],[Date]]),"",DATE(Table1[[#This Row],[Date_Year]],Table1[[#This Row],[Date_Month]],1))</f>
        <v>44228</v>
      </c>
    </row>
    <row r="90" spans="2:18" ht="15.75" hidden="1" x14ac:dyDescent="0.25">
      <c r="B90" s="165">
        <v>44255</v>
      </c>
      <c r="C90" s="166" t="s">
        <v>148</v>
      </c>
      <c r="D90" s="166" t="s">
        <v>65</v>
      </c>
      <c r="E90" s="167"/>
      <c r="F90" s="114">
        <v>-7.41</v>
      </c>
      <c r="G90" s="168"/>
      <c r="H90" s="169"/>
      <c r="I90" s="170"/>
      <c r="J90" s="171" t="s">
        <v>280</v>
      </c>
      <c r="K90" s="172" t="s">
        <v>177</v>
      </c>
      <c r="L90" s="172" t="s">
        <v>175</v>
      </c>
      <c r="M90" s="173" t="str" cm="1">
        <f t="array" ref="M90">IFERROR(INDEX(CategoriesTable[Category type],MATCH(Table1[[#This Row],[Category]],CategoriesTable[Category name],0),0),"")</f>
        <v>Expense</v>
      </c>
      <c r="N90" s="173">
        <v>28</v>
      </c>
      <c r="O90" s="173">
        <f>MONTH(Table1[[#This Row],[Date]])</f>
        <v>2</v>
      </c>
      <c r="P90" s="173">
        <v>2021</v>
      </c>
      <c r="Q90" s="174">
        <f>IF(ISBLANK(Table1[[#This Row],[Date]]),"",Table1[[#This Row],[Date]]-WEEKDAY(Table1[[#This Row],[Date]],2)+1)</f>
        <v>44249</v>
      </c>
      <c r="R90" s="175">
        <f>IF(ISBLANK(Table1[[#This Row],[Date]]),"",DATE(Table1[[#This Row],[Date_Year]],Table1[[#This Row],[Date_Month]],1))</f>
        <v>44228</v>
      </c>
    </row>
    <row r="91" spans="2:18" ht="15.75" hidden="1" x14ac:dyDescent="0.25">
      <c r="B91" s="165">
        <v>44255</v>
      </c>
      <c r="C91" s="166" t="s">
        <v>1567</v>
      </c>
      <c r="D91" s="166" t="s">
        <v>55</v>
      </c>
      <c r="E91" s="167"/>
      <c r="F91" s="114">
        <v>-9.99</v>
      </c>
      <c r="G91" s="168"/>
      <c r="H91" s="169"/>
      <c r="I91" s="170"/>
      <c r="J91" s="171" t="s">
        <v>281</v>
      </c>
      <c r="K91" s="172" t="s">
        <v>177</v>
      </c>
      <c r="L91" s="172" t="s">
        <v>175</v>
      </c>
      <c r="M91" s="173" t="str" cm="1">
        <f t="array" ref="M91">IFERROR(INDEX(CategoriesTable[Category type],MATCH(Table1[[#This Row],[Category]],CategoriesTable[Category name],0),0),"")</f>
        <v>Expense</v>
      </c>
      <c r="N91" s="173">
        <v>28</v>
      </c>
      <c r="O91" s="173">
        <f>MONTH(Table1[[#This Row],[Date]])</f>
        <v>2</v>
      </c>
      <c r="P91" s="173">
        <v>2021</v>
      </c>
      <c r="Q91" s="174">
        <f>IF(ISBLANK(Table1[[#This Row],[Date]]),"",Table1[[#This Row],[Date]]-WEEKDAY(Table1[[#This Row],[Date]],2)+1)</f>
        <v>44249</v>
      </c>
      <c r="R91" s="175">
        <f>IF(ISBLANK(Table1[[#This Row],[Date]]),"",DATE(Table1[[#This Row],[Date_Year]],Table1[[#This Row],[Date_Month]],1))</f>
        <v>44228</v>
      </c>
    </row>
    <row r="92" spans="2:18" ht="15.75" x14ac:dyDescent="0.25">
      <c r="B92" s="165">
        <v>44253</v>
      </c>
      <c r="C92" s="166" t="s">
        <v>1573</v>
      </c>
      <c r="D92" s="166" t="s">
        <v>64</v>
      </c>
      <c r="E92" s="167"/>
      <c r="F92" s="114">
        <v>-55</v>
      </c>
      <c r="G92" s="168"/>
      <c r="H92" s="169"/>
      <c r="I92" s="170"/>
      <c r="J92" s="171" t="s">
        <v>282</v>
      </c>
      <c r="K92" s="172" t="s">
        <v>177</v>
      </c>
      <c r="L92" s="172" t="s">
        <v>175</v>
      </c>
      <c r="M92" s="173" t="str" cm="1">
        <f t="array" ref="M92">IFERROR(INDEX(CategoriesTable[Category type],MATCH(Table1[[#This Row],[Category]],CategoriesTable[Category name],0),0),"")</f>
        <v>Expense</v>
      </c>
      <c r="N92" s="173">
        <v>26</v>
      </c>
      <c r="O92" s="173">
        <f>MONTH(Table1[[#This Row],[Date]])</f>
        <v>2</v>
      </c>
      <c r="P92" s="173">
        <v>2021</v>
      </c>
      <c r="Q92" s="174">
        <f>IF(ISBLANK(Table1[[#This Row],[Date]]),"",Table1[[#This Row],[Date]]-WEEKDAY(Table1[[#This Row],[Date]],2)+1)</f>
        <v>44249</v>
      </c>
      <c r="R92" s="175">
        <f>IF(ISBLANK(Table1[[#This Row],[Date]]),"",DATE(Table1[[#This Row],[Date_Year]],Table1[[#This Row],[Date_Month]],1))</f>
        <v>44228</v>
      </c>
    </row>
    <row r="93" spans="2:18" ht="15.75" x14ac:dyDescent="0.25">
      <c r="B93" s="165">
        <v>44253</v>
      </c>
      <c r="C93" s="166" t="s">
        <v>1573</v>
      </c>
      <c r="D93" s="166" t="s">
        <v>64</v>
      </c>
      <c r="E93" s="167"/>
      <c r="F93" s="114">
        <v>-100</v>
      </c>
      <c r="G93" s="168"/>
      <c r="H93" s="169"/>
      <c r="I93" s="170"/>
      <c r="J93" s="171" t="s">
        <v>283</v>
      </c>
      <c r="K93" s="172" t="s">
        <v>177</v>
      </c>
      <c r="L93" s="172" t="s">
        <v>175</v>
      </c>
      <c r="M93" s="173" t="str" cm="1">
        <f t="array" ref="M93">IFERROR(INDEX(CategoriesTable[Category type],MATCH(Table1[[#This Row],[Category]],CategoriesTable[Category name],0),0),"")</f>
        <v>Expense</v>
      </c>
      <c r="N93" s="173">
        <v>26</v>
      </c>
      <c r="O93" s="173">
        <f>MONTH(Table1[[#This Row],[Date]])</f>
        <v>2</v>
      </c>
      <c r="P93" s="173">
        <v>2021</v>
      </c>
      <c r="Q93" s="174">
        <f>IF(ISBLANK(Table1[[#This Row],[Date]]),"",Table1[[#This Row],[Date]]-WEEKDAY(Table1[[#This Row],[Date]],2)+1)</f>
        <v>44249</v>
      </c>
      <c r="R93" s="175">
        <f>IF(ISBLANK(Table1[[#This Row],[Date]]),"",DATE(Table1[[#This Row],[Date_Year]],Table1[[#This Row],[Date_Month]],1))</f>
        <v>44228</v>
      </c>
    </row>
    <row r="94" spans="2:18" ht="15.75" hidden="1" x14ac:dyDescent="0.25">
      <c r="B94" s="165">
        <v>44253</v>
      </c>
      <c r="C94" s="166" t="s">
        <v>284</v>
      </c>
      <c r="D94" s="166" t="s">
        <v>52</v>
      </c>
      <c r="E94" s="167"/>
      <c r="F94" s="114">
        <v>-263</v>
      </c>
      <c r="G94" s="168"/>
      <c r="H94" s="169"/>
      <c r="I94" s="170"/>
      <c r="J94" s="171" t="s">
        <v>285</v>
      </c>
      <c r="K94" s="172" t="s">
        <v>177</v>
      </c>
      <c r="L94" s="172" t="s">
        <v>175</v>
      </c>
      <c r="M94" s="173" t="str" cm="1">
        <f t="array" ref="M94">IFERROR(INDEX(CategoriesTable[Category type],MATCH(Table1[[#This Row],[Category]],CategoriesTable[Category name],0),0),"")</f>
        <v>Transfer</v>
      </c>
      <c r="N94" s="173">
        <v>26</v>
      </c>
      <c r="O94" s="173">
        <f>MONTH(Table1[[#This Row],[Date]])</f>
        <v>2</v>
      </c>
      <c r="P94" s="173">
        <v>2021</v>
      </c>
      <c r="Q94" s="174">
        <f>IF(ISBLANK(Table1[[#This Row],[Date]]),"",Table1[[#This Row],[Date]]-WEEKDAY(Table1[[#This Row],[Date]],2)+1)</f>
        <v>44249</v>
      </c>
      <c r="R94" s="175">
        <f>IF(ISBLANK(Table1[[#This Row],[Date]]),"",DATE(Table1[[#This Row],[Date_Year]],Table1[[#This Row],[Date_Month]],1))</f>
        <v>44228</v>
      </c>
    </row>
    <row r="95" spans="2:18" ht="15.75" hidden="1" x14ac:dyDescent="0.25">
      <c r="B95" s="165">
        <v>44253</v>
      </c>
      <c r="C95" s="166" t="s">
        <v>124</v>
      </c>
      <c r="D95" s="166" t="s">
        <v>55</v>
      </c>
      <c r="E95" s="167"/>
      <c r="F95" s="114">
        <v>-9.99</v>
      </c>
      <c r="G95" s="168"/>
      <c r="H95" s="169"/>
      <c r="I95" s="170"/>
      <c r="J95" s="171" t="s">
        <v>286</v>
      </c>
      <c r="K95" s="172" t="s">
        <v>177</v>
      </c>
      <c r="L95" s="172" t="s">
        <v>175</v>
      </c>
      <c r="M95" s="173" t="str" cm="1">
        <f t="array" ref="M95">IFERROR(INDEX(CategoriesTable[Category type],MATCH(Table1[[#This Row],[Category]],CategoriesTable[Category name],0),0),"")</f>
        <v>Expense</v>
      </c>
      <c r="N95" s="173">
        <v>26</v>
      </c>
      <c r="O95" s="173">
        <f>MONTH(Table1[[#This Row],[Date]])</f>
        <v>2</v>
      </c>
      <c r="P95" s="173">
        <v>2021</v>
      </c>
      <c r="Q95" s="174">
        <f>IF(ISBLANK(Table1[[#This Row],[Date]]),"",Table1[[#This Row],[Date]]-WEEKDAY(Table1[[#This Row],[Date]],2)+1)</f>
        <v>44249</v>
      </c>
      <c r="R95" s="175">
        <f>IF(ISBLANK(Table1[[#This Row],[Date]]),"",DATE(Table1[[#This Row],[Date_Year]],Table1[[#This Row],[Date_Month]],1))</f>
        <v>44228</v>
      </c>
    </row>
    <row r="96" spans="2:18" ht="15.75" hidden="1" x14ac:dyDescent="0.25">
      <c r="B96" s="165">
        <v>44251</v>
      </c>
      <c r="C96" s="166" t="s">
        <v>146</v>
      </c>
      <c r="D96" s="166" t="s">
        <v>58</v>
      </c>
      <c r="E96" s="167"/>
      <c r="F96" s="114">
        <v>-86.56</v>
      </c>
      <c r="G96" s="168"/>
      <c r="H96" s="169"/>
      <c r="I96" s="170"/>
      <c r="J96" s="171" t="s">
        <v>287</v>
      </c>
      <c r="K96" s="172" t="s">
        <v>177</v>
      </c>
      <c r="L96" s="172" t="s">
        <v>175</v>
      </c>
      <c r="M96" s="173" t="str" cm="1">
        <f t="array" ref="M96">IFERROR(INDEX(CategoriesTable[Category type],MATCH(Table1[[#This Row],[Category]],CategoriesTable[Category name],0),0),"")</f>
        <v>Expense</v>
      </c>
      <c r="N96" s="173">
        <v>24</v>
      </c>
      <c r="O96" s="173">
        <f>MONTH(Table1[[#This Row],[Date]])</f>
        <v>2</v>
      </c>
      <c r="P96" s="173">
        <v>2021</v>
      </c>
      <c r="Q96" s="174">
        <f>IF(ISBLANK(Table1[[#This Row],[Date]]),"",Table1[[#This Row],[Date]]-WEEKDAY(Table1[[#This Row],[Date]],2)+1)</f>
        <v>44249</v>
      </c>
      <c r="R96" s="175">
        <f>IF(ISBLANK(Table1[[#This Row],[Date]]),"",DATE(Table1[[#This Row],[Date_Year]],Table1[[#This Row],[Date_Month]],1))</f>
        <v>44228</v>
      </c>
    </row>
    <row r="97" spans="2:18" ht="15.75" hidden="1" x14ac:dyDescent="0.25">
      <c r="B97" s="165">
        <v>44251</v>
      </c>
      <c r="C97" s="166" t="s">
        <v>214</v>
      </c>
      <c r="D97" s="166" t="s">
        <v>1553</v>
      </c>
      <c r="E97" s="167"/>
      <c r="F97" s="114">
        <v>-226</v>
      </c>
      <c r="G97" s="168"/>
      <c r="H97" s="169"/>
      <c r="I97" s="170"/>
      <c r="J97" s="171" t="s">
        <v>288</v>
      </c>
      <c r="K97" s="172" t="s">
        <v>177</v>
      </c>
      <c r="L97" s="172" t="s">
        <v>175</v>
      </c>
      <c r="M97" s="173" t="str" cm="1">
        <f t="array" ref="M97">IFERROR(INDEX(CategoriesTable[Category type],MATCH(Table1[[#This Row],[Category]],CategoriesTable[Category name],0),0),"")</f>
        <v>Expense</v>
      </c>
      <c r="N97" s="173">
        <v>24</v>
      </c>
      <c r="O97" s="173">
        <f>MONTH(Table1[[#This Row],[Date]])</f>
        <v>2</v>
      </c>
      <c r="P97" s="173">
        <v>2021</v>
      </c>
      <c r="Q97" s="174">
        <f>IF(ISBLANK(Table1[[#This Row],[Date]]),"",Table1[[#This Row],[Date]]-WEEKDAY(Table1[[#This Row],[Date]],2)+1)</f>
        <v>44249</v>
      </c>
      <c r="R97" s="175">
        <f>IF(ISBLANK(Table1[[#This Row],[Date]]),"",DATE(Table1[[#This Row],[Date_Year]],Table1[[#This Row],[Date_Month]],1))</f>
        <v>44228</v>
      </c>
    </row>
    <row r="98" spans="2:18" ht="15.75" hidden="1" x14ac:dyDescent="0.25">
      <c r="B98" s="165">
        <v>44251</v>
      </c>
      <c r="C98" s="166" t="s">
        <v>216</v>
      </c>
      <c r="D98" s="166" t="s">
        <v>64</v>
      </c>
      <c r="E98" s="167"/>
      <c r="F98" s="114">
        <v>-3.95</v>
      </c>
      <c r="G98" s="168"/>
      <c r="H98" s="169"/>
      <c r="I98" s="170"/>
      <c r="J98" s="171" t="s">
        <v>289</v>
      </c>
      <c r="K98" s="172" t="s">
        <v>177</v>
      </c>
      <c r="L98" s="172" t="s">
        <v>175</v>
      </c>
      <c r="M98" s="173" t="str" cm="1">
        <f t="array" ref="M98">IFERROR(INDEX(CategoriesTable[Category type],MATCH(Table1[[#This Row],[Category]],CategoriesTable[Category name],0),0),"")</f>
        <v>Expense</v>
      </c>
      <c r="N98" s="173">
        <v>24</v>
      </c>
      <c r="O98" s="173">
        <f>MONTH(Table1[[#This Row],[Date]])</f>
        <v>2</v>
      </c>
      <c r="P98" s="173">
        <v>2021</v>
      </c>
      <c r="Q98" s="174">
        <f>IF(ISBLANK(Table1[[#This Row],[Date]]),"",Table1[[#This Row],[Date]]-WEEKDAY(Table1[[#This Row],[Date]],2)+1)</f>
        <v>44249</v>
      </c>
      <c r="R98" s="175">
        <f>IF(ISBLANK(Table1[[#This Row],[Date]]),"",DATE(Table1[[#This Row],[Date_Year]],Table1[[#This Row],[Date_Month]],1))</f>
        <v>44228</v>
      </c>
    </row>
    <row r="99" spans="2:18" ht="15.75" hidden="1" x14ac:dyDescent="0.25">
      <c r="B99" s="165">
        <v>44251</v>
      </c>
      <c r="C99" s="166" t="s">
        <v>208</v>
      </c>
      <c r="D99" s="166" t="s">
        <v>55</v>
      </c>
      <c r="E99" s="167"/>
      <c r="F99" s="114">
        <v>-40.28</v>
      </c>
      <c r="G99" s="168"/>
      <c r="H99" s="169"/>
      <c r="I99" s="170"/>
      <c r="J99" s="171" t="s">
        <v>290</v>
      </c>
      <c r="K99" s="172" t="s">
        <v>177</v>
      </c>
      <c r="L99" s="172" t="s">
        <v>175</v>
      </c>
      <c r="M99" s="173" t="str" cm="1">
        <f t="array" ref="M99">IFERROR(INDEX(CategoriesTable[Category type],MATCH(Table1[[#This Row],[Category]],CategoriesTable[Category name],0),0),"")</f>
        <v>Expense</v>
      </c>
      <c r="N99" s="173">
        <v>24</v>
      </c>
      <c r="O99" s="173">
        <f>MONTH(Table1[[#This Row],[Date]])</f>
        <v>2</v>
      </c>
      <c r="P99" s="173">
        <v>2021</v>
      </c>
      <c r="Q99" s="174">
        <f>IF(ISBLANK(Table1[[#This Row],[Date]]),"",Table1[[#This Row],[Date]]-WEEKDAY(Table1[[#This Row],[Date]],2)+1)</f>
        <v>44249</v>
      </c>
      <c r="R99" s="175">
        <f>IF(ISBLANK(Table1[[#This Row],[Date]]),"",DATE(Table1[[#This Row],[Date_Year]],Table1[[#This Row],[Date_Month]],1))</f>
        <v>44228</v>
      </c>
    </row>
    <row r="100" spans="2:18" ht="15.75" hidden="1" x14ac:dyDescent="0.25">
      <c r="B100" s="165">
        <v>44250</v>
      </c>
      <c r="C100" s="166" t="s">
        <v>199</v>
      </c>
      <c r="D100" s="166" t="s">
        <v>65</v>
      </c>
      <c r="E100" s="167"/>
      <c r="F100" s="114">
        <v>-49.47</v>
      </c>
      <c r="G100" s="168"/>
      <c r="H100" s="169"/>
      <c r="I100" s="170"/>
      <c r="J100" s="171" t="s">
        <v>291</v>
      </c>
      <c r="K100" s="172" t="s">
        <v>177</v>
      </c>
      <c r="L100" s="172" t="s">
        <v>175</v>
      </c>
      <c r="M100" s="173" t="str" cm="1">
        <f t="array" ref="M100">IFERROR(INDEX(CategoriesTable[Category type],MATCH(Table1[[#This Row],[Category]],CategoriesTable[Category name],0),0),"")</f>
        <v>Expense</v>
      </c>
      <c r="N100" s="173">
        <v>23</v>
      </c>
      <c r="O100" s="173">
        <f>MONTH(Table1[[#This Row],[Date]])</f>
        <v>2</v>
      </c>
      <c r="P100" s="173">
        <v>2021</v>
      </c>
      <c r="Q100" s="174">
        <f>IF(ISBLANK(Table1[[#This Row],[Date]]),"",Table1[[#This Row],[Date]]-WEEKDAY(Table1[[#This Row],[Date]],2)+1)</f>
        <v>44249</v>
      </c>
      <c r="R100" s="175">
        <f>IF(ISBLANK(Table1[[#This Row],[Date]]),"",DATE(Table1[[#This Row],[Date_Year]],Table1[[#This Row],[Date_Month]],1))</f>
        <v>44228</v>
      </c>
    </row>
    <row r="101" spans="2:18" ht="15.75" hidden="1" x14ac:dyDescent="0.25">
      <c r="B101" s="165">
        <v>44250</v>
      </c>
      <c r="C101" s="166" t="s">
        <v>120</v>
      </c>
      <c r="D101" s="166" t="s">
        <v>66</v>
      </c>
      <c r="E101" s="167"/>
      <c r="F101" s="114">
        <v>-24.42</v>
      </c>
      <c r="G101" s="168"/>
      <c r="H101" s="169"/>
      <c r="I101" s="170"/>
      <c r="J101" s="171" t="s">
        <v>292</v>
      </c>
      <c r="K101" s="172" t="s">
        <v>177</v>
      </c>
      <c r="L101" s="172" t="s">
        <v>175</v>
      </c>
      <c r="M101" s="173" t="str" cm="1">
        <f t="array" ref="M101">IFERROR(INDEX(CategoriesTable[Category type],MATCH(Table1[[#This Row],[Category]],CategoriesTable[Category name],0),0),"")</f>
        <v>Expense</v>
      </c>
      <c r="N101" s="173">
        <v>23</v>
      </c>
      <c r="O101" s="173">
        <f>MONTH(Table1[[#This Row],[Date]])</f>
        <v>2</v>
      </c>
      <c r="P101" s="173">
        <v>2021</v>
      </c>
      <c r="Q101" s="174">
        <f>IF(ISBLANK(Table1[[#This Row],[Date]]),"",Table1[[#This Row],[Date]]-WEEKDAY(Table1[[#This Row],[Date]],2)+1)</f>
        <v>44249</v>
      </c>
      <c r="R101" s="175">
        <f>IF(ISBLANK(Table1[[#This Row],[Date]]),"",DATE(Table1[[#This Row],[Date_Year]],Table1[[#This Row],[Date_Month]],1))</f>
        <v>44228</v>
      </c>
    </row>
    <row r="102" spans="2:18" ht="15.75" hidden="1" x14ac:dyDescent="0.25">
      <c r="B102" s="165">
        <v>44250</v>
      </c>
      <c r="C102" s="166" t="s">
        <v>148</v>
      </c>
      <c r="D102" s="166" t="s">
        <v>65</v>
      </c>
      <c r="E102" s="167"/>
      <c r="F102" s="114">
        <v>-8.7799999999999994</v>
      </c>
      <c r="G102" s="168"/>
      <c r="H102" s="169"/>
      <c r="I102" s="170"/>
      <c r="J102" s="171" t="s">
        <v>293</v>
      </c>
      <c r="K102" s="172" t="s">
        <v>177</v>
      </c>
      <c r="L102" s="172" t="s">
        <v>175</v>
      </c>
      <c r="M102" s="173" t="str" cm="1">
        <f t="array" ref="M102">IFERROR(INDEX(CategoriesTable[Category type],MATCH(Table1[[#This Row],[Category]],CategoriesTable[Category name],0),0),"")</f>
        <v>Expense</v>
      </c>
      <c r="N102" s="173">
        <v>23</v>
      </c>
      <c r="O102" s="173">
        <f>MONTH(Table1[[#This Row],[Date]])</f>
        <v>2</v>
      </c>
      <c r="P102" s="173">
        <v>2021</v>
      </c>
      <c r="Q102" s="174">
        <f>IF(ISBLANK(Table1[[#This Row],[Date]]),"",Table1[[#This Row],[Date]]-WEEKDAY(Table1[[#This Row],[Date]],2)+1)</f>
        <v>44249</v>
      </c>
      <c r="R102" s="175">
        <f>IF(ISBLANK(Table1[[#This Row],[Date]]),"",DATE(Table1[[#This Row],[Date_Year]],Table1[[#This Row],[Date_Month]],1))</f>
        <v>44228</v>
      </c>
    </row>
    <row r="103" spans="2:18" ht="15.75" hidden="1" x14ac:dyDescent="0.25">
      <c r="B103" s="165">
        <v>44249</v>
      </c>
      <c r="C103" s="166" t="s">
        <v>199</v>
      </c>
      <c r="D103" s="166" t="s">
        <v>65</v>
      </c>
      <c r="E103" s="167"/>
      <c r="F103" s="114">
        <v>-32.49</v>
      </c>
      <c r="G103" s="168"/>
      <c r="H103" s="169"/>
      <c r="I103" s="170"/>
      <c r="J103" s="171" t="s">
        <v>294</v>
      </c>
      <c r="K103" s="172" t="s">
        <v>177</v>
      </c>
      <c r="L103" s="172" t="s">
        <v>175</v>
      </c>
      <c r="M103" s="173" t="str" cm="1">
        <f t="array" ref="M103">IFERROR(INDEX(CategoriesTable[Category type],MATCH(Table1[[#This Row],[Category]],CategoriesTable[Category name],0),0),"")</f>
        <v>Expense</v>
      </c>
      <c r="N103" s="173">
        <v>22</v>
      </c>
      <c r="O103" s="173">
        <f>MONTH(Table1[[#This Row],[Date]])</f>
        <v>2</v>
      </c>
      <c r="P103" s="173">
        <v>2021</v>
      </c>
      <c r="Q103" s="174">
        <f>IF(ISBLANK(Table1[[#This Row],[Date]]),"",Table1[[#This Row],[Date]]-WEEKDAY(Table1[[#This Row],[Date]],2)+1)</f>
        <v>44249</v>
      </c>
      <c r="R103" s="175">
        <f>IF(ISBLANK(Table1[[#This Row],[Date]]),"",DATE(Table1[[#This Row],[Date_Year]],Table1[[#This Row],[Date_Month]],1))</f>
        <v>44228</v>
      </c>
    </row>
    <row r="104" spans="2:18" ht="15.75" hidden="1" x14ac:dyDescent="0.25">
      <c r="B104" s="165">
        <v>44249</v>
      </c>
      <c r="C104" s="166" t="s">
        <v>295</v>
      </c>
      <c r="D104" s="166" t="s">
        <v>68</v>
      </c>
      <c r="E104" s="167"/>
      <c r="F104" s="114">
        <v>-85.43</v>
      </c>
      <c r="G104" s="168"/>
      <c r="H104" s="169"/>
      <c r="I104" s="170"/>
      <c r="J104" s="171" t="s">
        <v>296</v>
      </c>
      <c r="K104" s="172" t="s">
        <v>177</v>
      </c>
      <c r="L104" s="172" t="s">
        <v>175</v>
      </c>
      <c r="M104" s="173" t="str" cm="1">
        <f t="array" ref="M104">IFERROR(INDEX(CategoriesTable[Category type],MATCH(Table1[[#This Row],[Category]],CategoriesTable[Category name],0),0),"")</f>
        <v>Expense</v>
      </c>
      <c r="N104" s="173">
        <v>22</v>
      </c>
      <c r="O104" s="173">
        <f>MONTH(Table1[[#This Row],[Date]])</f>
        <v>2</v>
      </c>
      <c r="P104" s="173">
        <v>2021</v>
      </c>
      <c r="Q104" s="174">
        <f>IF(ISBLANK(Table1[[#This Row],[Date]]),"",Table1[[#This Row],[Date]]-WEEKDAY(Table1[[#This Row],[Date]],2)+1)</f>
        <v>44249</v>
      </c>
      <c r="R104" s="175">
        <f>IF(ISBLANK(Table1[[#This Row],[Date]]),"",DATE(Table1[[#This Row],[Date_Year]],Table1[[#This Row],[Date_Month]],1))</f>
        <v>44228</v>
      </c>
    </row>
    <row r="105" spans="2:18" ht="15.75" hidden="1" x14ac:dyDescent="0.25">
      <c r="B105" s="165">
        <v>44247</v>
      </c>
      <c r="C105" s="166" t="s">
        <v>199</v>
      </c>
      <c r="D105" s="166" t="s">
        <v>65</v>
      </c>
      <c r="E105" s="167"/>
      <c r="F105" s="114">
        <v>-65.92</v>
      </c>
      <c r="G105" s="168"/>
      <c r="H105" s="169"/>
      <c r="I105" s="170"/>
      <c r="J105" s="171" t="s">
        <v>297</v>
      </c>
      <c r="K105" s="172" t="s">
        <v>177</v>
      </c>
      <c r="L105" s="172" t="s">
        <v>175</v>
      </c>
      <c r="M105" s="173" t="str" cm="1">
        <f t="array" ref="M105">IFERROR(INDEX(CategoriesTable[Category type],MATCH(Table1[[#This Row],[Category]],CategoriesTable[Category name],0),0),"")</f>
        <v>Expense</v>
      </c>
      <c r="N105" s="173">
        <v>20</v>
      </c>
      <c r="O105" s="173">
        <f>MONTH(Table1[[#This Row],[Date]])</f>
        <v>2</v>
      </c>
      <c r="P105" s="173">
        <v>2021</v>
      </c>
      <c r="Q105" s="174">
        <f>IF(ISBLANK(Table1[[#This Row],[Date]]),"",Table1[[#This Row],[Date]]-WEEKDAY(Table1[[#This Row],[Date]],2)+1)</f>
        <v>44242</v>
      </c>
      <c r="R105" s="175">
        <f>IF(ISBLANK(Table1[[#This Row],[Date]]),"",DATE(Table1[[#This Row],[Date_Year]],Table1[[#This Row],[Date_Month]],1))</f>
        <v>44228</v>
      </c>
    </row>
    <row r="106" spans="2:18" ht="15.75" hidden="1" x14ac:dyDescent="0.25">
      <c r="B106" s="165">
        <v>44247</v>
      </c>
      <c r="C106" s="166" t="s">
        <v>199</v>
      </c>
      <c r="D106" s="166" t="s">
        <v>65</v>
      </c>
      <c r="E106" s="167"/>
      <c r="F106" s="114">
        <v>-36.85</v>
      </c>
      <c r="G106" s="168"/>
      <c r="H106" s="169"/>
      <c r="I106" s="170"/>
      <c r="J106" s="171" t="s">
        <v>298</v>
      </c>
      <c r="K106" s="172" t="s">
        <v>177</v>
      </c>
      <c r="L106" s="172" t="s">
        <v>175</v>
      </c>
      <c r="M106" s="173" t="str" cm="1">
        <f t="array" ref="M106">IFERROR(INDEX(CategoriesTable[Category type],MATCH(Table1[[#This Row],[Category]],CategoriesTable[Category name],0),0),"")</f>
        <v>Expense</v>
      </c>
      <c r="N106" s="173">
        <v>20</v>
      </c>
      <c r="O106" s="173">
        <f>MONTH(Table1[[#This Row],[Date]])</f>
        <v>2</v>
      </c>
      <c r="P106" s="173">
        <v>2021</v>
      </c>
      <c r="Q106" s="174">
        <f>IF(ISBLANK(Table1[[#This Row],[Date]]),"",Table1[[#This Row],[Date]]-WEEKDAY(Table1[[#This Row],[Date]],2)+1)</f>
        <v>44242</v>
      </c>
      <c r="R106" s="175">
        <f>IF(ISBLANK(Table1[[#This Row],[Date]]),"",DATE(Table1[[#This Row],[Date_Year]],Table1[[#This Row],[Date_Month]],1))</f>
        <v>44228</v>
      </c>
    </row>
    <row r="107" spans="2:18" ht="15.75" hidden="1" x14ac:dyDescent="0.25">
      <c r="B107" s="165">
        <v>44246</v>
      </c>
      <c r="C107" s="166" t="s">
        <v>199</v>
      </c>
      <c r="D107" s="166" t="s">
        <v>65</v>
      </c>
      <c r="E107" s="167"/>
      <c r="F107" s="114">
        <v>-24.35</v>
      </c>
      <c r="G107" s="168"/>
      <c r="H107" s="169"/>
      <c r="I107" s="170"/>
      <c r="J107" s="171" t="s">
        <v>299</v>
      </c>
      <c r="K107" s="172" t="s">
        <v>177</v>
      </c>
      <c r="L107" s="172" t="s">
        <v>175</v>
      </c>
      <c r="M107" s="173" t="str" cm="1">
        <f t="array" ref="M107">IFERROR(INDEX(CategoriesTable[Category type],MATCH(Table1[[#This Row],[Category]],CategoriesTable[Category name],0),0),"")</f>
        <v>Expense</v>
      </c>
      <c r="N107" s="173">
        <v>19</v>
      </c>
      <c r="O107" s="173">
        <f>MONTH(Table1[[#This Row],[Date]])</f>
        <v>2</v>
      </c>
      <c r="P107" s="173">
        <v>2021</v>
      </c>
      <c r="Q107" s="174">
        <f>IF(ISBLANK(Table1[[#This Row],[Date]]),"",Table1[[#This Row],[Date]]-WEEKDAY(Table1[[#This Row],[Date]],2)+1)</f>
        <v>44242</v>
      </c>
      <c r="R107" s="175">
        <f>IF(ISBLANK(Table1[[#This Row],[Date]]),"",DATE(Table1[[#This Row],[Date_Year]],Table1[[#This Row],[Date_Month]],1))</f>
        <v>44228</v>
      </c>
    </row>
    <row r="108" spans="2:18" ht="15.75" hidden="1" x14ac:dyDescent="0.25">
      <c r="B108" s="165">
        <v>44246</v>
      </c>
      <c r="C108" s="166" t="s">
        <v>199</v>
      </c>
      <c r="D108" s="166" t="s">
        <v>65</v>
      </c>
      <c r="E108" s="167"/>
      <c r="F108" s="114">
        <v>-22.26</v>
      </c>
      <c r="G108" s="168"/>
      <c r="H108" s="169"/>
      <c r="I108" s="170"/>
      <c r="J108" s="171" t="s">
        <v>300</v>
      </c>
      <c r="K108" s="172" t="s">
        <v>177</v>
      </c>
      <c r="L108" s="172" t="s">
        <v>175</v>
      </c>
      <c r="M108" s="173" t="str" cm="1">
        <f t="array" ref="M108">IFERROR(INDEX(CategoriesTable[Category type],MATCH(Table1[[#This Row],[Category]],CategoriesTable[Category name],0),0),"")</f>
        <v>Expense</v>
      </c>
      <c r="N108" s="173">
        <v>19</v>
      </c>
      <c r="O108" s="173">
        <f>MONTH(Table1[[#This Row],[Date]])</f>
        <v>2</v>
      </c>
      <c r="P108" s="173">
        <v>2021</v>
      </c>
      <c r="Q108" s="174">
        <f>IF(ISBLANK(Table1[[#This Row],[Date]]),"",Table1[[#This Row],[Date]]-WEEKDAY(Table1[[#This Row],[Date]],2)+1)</f>
        <v>44242</v>
      </c>
      <c r="R108" s="175">
        <f>IF(ISBLANK(Table1[[#This Row],[Date]]),"",DATE(Table1[[#This Row],[Date_Year]],Table1[[#This Row],[Date_Month]],1))</f>
        <v>44228</v>
      </c>
    </row>
    <row r="109" spans="2:18" ht="15.75" hidden="1" x14ac:dyDescent="0.25">
      <c r="B109" s="165">
        <v>44245</v>
      </c>
      <c r="C109" s="166" t="s">
        <v>199</v>
      </c>
      <c r="D109" s="166" t="s">
        <v>65</v>
      </c>
      <c r="E109" s="167"/>
      <c r="F109" s="114">
        <v>-18.27</v>
      </c>
      <c r="G109" s="168"/>
      <c r="H109" s="169"/>
      <c r="I109" s="170"/>
      <c r="J109" s="171" t="s">
        <v>301</v>
      </c>
      <c r="K109" s="172" t="s">
        <v>177</v>
      </c>
      <c r="L109" s="172" t="s">
        <v>175</v>
      </c>
      <c r="M109" s="173" t="str" cm="1">
        <f t="array" ref="M109">IFERROR(INDEX(CategoriesTable[Category type],MATCH(Table1[[#This Row],[Category]],CategoriesTable[Category name],0),0),"")</f>
        <v>Expense</v>
      </c>
      <c r="N109" s="173">
        <v>18</v>
      </c>
      <c r="O109" s="173">
        <f>MONTH(Table1[[#This Row],[Date]])</f>
        <v>2</v>
      </c>
      <c r="P109" s="173">
        <v>2021</v>
      </c>
      <c r="Q109" s="174">
        <f>IF(ISBLANK(Table1[[#This Row],[Date]]),"",Table1[[#This Row],[Date]]-WEEKDAY(Table1[[#This Row],[Date]],2)+1)</f>
        <v>44242</v>
      </c>
      <c r="R109" s="175">
        <f>IF(ISBLANK(Table1[[#This Row],[Date]]),"",DATE(Table1[[#This Row],[Date_Year]],Table1[[#This Row],[Date_Month]],1))</f>
        <v>44228</v>
      </c>
    </row>
    <row r="110" spans="2:18" ht="15.75" hidden="1" x14ac:dyDescent="0.25">
      <c r="B110" s="165">
        <v>44245</v>
      </c>
      <c r="C110" s="166" t="s">
        <v>182</v>
      </c>
      <c r="D110" s="166" t="s">
        <v>55</v>
      </c>
      <c r="E110" s="167"/>
      <c r="F110" s="114">
        <v>-10.9</v>
      </c>
      <c r="G110" s="168"/>
      <c r="H110" s="169"/>
      <c r="I110" s="170"/>
      <c r="J110" s="171" t="s">
        <v>302</v>
      </c>
      <c r="K110" s="172" t="s">
        <v>177</v>
      </c>
      <c r="L110" s="172" t="s">
        <v>175</v>
      </c>
      <c r="M110" s="173" t="str" cm="1">
        <f t="array" ref="M110">IFERROR(INDEX(CategoriesTable[Category type],MATCH(Table1[[#This Row],[Category]],CategoriesTable[Category name],0),0),"")</f>
        <v>Expense</v>
      </c>
      <c r="N110" s="173">
        <v>18</v>
      </c>
      <c r="O110" s="173">
        <f>MONTH(Table1[[#This Row],[Date]])</f>
        <v>2</v>
      </c>
      <c r="P110" s="173">
        <v>2021</v>
      </c>
      <c r="Q110" s="174">
        <f>IF(ISBLANK(Table1[[#This Row],[Date]]),"",Table1[[#This Row],[Date]]-WEEKDAY(Table1[[#This Row],[Date]],2)+1)</f>
        <v>44242</v>
      </c>
      <c r="R110" s="175">
        <f>IF(ISBLANK(Table1[[#This Row],[Date]]),"",DATE(Table1[[#This Row],[Date_Year]],Table1[[#This Row],[Date_Month]],1))</f>
        <v>44228</v>
      </c>
    </row>
    <row r="111" spans="2:18" ht="15.75" hidden="1" x14ac:dyDescent="0.25">
      <c r="B111" s="165">
        <v>44245</v>
      </c>
      <c r="C111" s="166" t="s">
        <v>129</v>
      </c>
      <c r="D111" s="166" t="s">
        <v>55</v>
      </c>
      <c r="E111" s="167"/>
      <c r="F111" s="114">
        <v>-65.92</v>
      </c>
      <c r="G111" s="168"/>
      <c r="H111" s="169"/>
      <c r="I111" s="170"/>
      <c r="J111" s="171" t="s">
        <v>303</v>
      </c>
      <c r="K111" s="172" t="s">
        <v>177</v>
      </c>
      <c r="L111" s="172" t="s">
        <v>175</v>
      </c>
      <c r="M111" s="173" t="str" cm="1">
        <f t="array" ref="M111">IFERROR(INDEX(CategoriesTable[Category type],MATCH(Table1[[#This Row],[Category]],CategoriesTable[Category name],0),0),"")</f>
        <v>Expense</v>
      </c>
      <c r="N111" s="173">
        <v>18</v>
      </c>
      <c r="O111" s="173">
        <f>MONTH(Table1[[#This Row],[Date]])</f>
        <v>2</v>
      </c>
      <c r="P111" s="173">
        <v>2021</v>
      </c>
      <c r="Q111" s="174">
        <f>IF(ISBLANK(Table1[[#This Row],[Date]]),"",Table1[[#This Row],[Date]]-WEEKDAY(Table1[[#This Row],[Date]],2)+1)</f>
        <v>44242</v>
      </c>
      <c r="R111" s="175">
        <f>IF(ISBLANK(Table1[[#This Row],[Date]]),"",DATE(Table1[[#This Row],[Date_Year]],Table1[[#This Row],[Date_Month]],1))</f>
        <v>44228</v>
      </c>
    </row>
    <row r="112" spans="2:18" ht="15.75" hidden="1" x14ac:dyDescent="0.25">
      <c r="B112" s="165">
        <v>44244</v>
      </c>
      <c r="C112" s="166" t="s">
        <v>1582</v>
      </c>
      <c r="D112" s="166" t="s">
        <v>64</v>
      </c>
      <c r="E112" s="167"/>
      <c r="F112" s="114">
        <v>-1</v>
      </c>
      <c r="G112" s="168"/>
      <c r="H112" s="169"/>
      <c r="I112" s="170"/>
      <c r="J112" s="171" t="s">
        <v>304</v>
      </c>
      <c r="K112" s="172" t="s">
        <v>177</v>
      </c>
      <c r="L112" s="172" t="s">
        <v>175</v>
      </c>
      <c r="M112" s="173" t="str" cm="1">
        <f t="array" ref="M112">IFERROR(INDEX(CategoriesTable[Category type],MATCH(Table1[[#This Row],[Category]],CategoriesTable[Category name],0),0),"")</f>
        <v>Expense</v>
      </c>
      <c r="N112" s="173">
        <v>17</v>
      </c>
      <c r="O112" s="173">
        <f>MONTH(Table1[[#This Row],[Date]])</f>
        <v>2</v>
      </c>
      <c r="P112" s="173">
        <v>2021</v>
      </c>
      <c r="Q112" s="174">
        <f>IF(ISBLANK(Table1[[#This Row],[Date]]),"",Table1[[#This Row],[Date]]-WEEKDAY(Table1[[#This Row],[Date]],2)+1)</f>
        <v>44242</v>
      </c>
      <c r="R112" s="175">
        <f>IF(ISBLANK(Table1[[#This Row],[Date]]),"",DATE(Table1[[#This Row],[Date_Year]],Table1[[#This Row],[Date_Month]],1))</f>
        <v>44228</v>
      </c>
    </row>
    <row r="113" spans="2:18" ht="15.75" hidden="1" x14ac:dyDescent="0.25">
      <c r="B113" s="165">
        <v>44244</v>
      </c>
      <c r="C113" s="166" t="s">
        <v>1582</v>
      </c>
      <c r="D113" s="166" t="s">
        <v>64</v>
      </c>
      <c r="E113" s="167"/>
      <c r="F113" s="114">
        <v>-69</v>
      </c>
      <c r="G113" s="168"/>
      <c r="H113" s="169"/>
      <c r="I113" s="170"/>
      <c r="J113" s="171" t="s">
        <v>305</v>
      </c>
      <c r="K113" s="172" t="s">
        <v>177</v>
      </c>
      <c r="L113" s="172" t="s">
        <v>175</v>
      </c>
      <c r="M113" s="173" t="str" cm="1">
        <f t="array" ref="M113">IFERROR(INDEX(CategoriesTable[Category type],MATCH(Table1[[#This Row],[Category]],CategoriesTable[Category name],0),0),"")</f>
        <v>Expense</v>
      </c>
      <c r="N113" s="173">
        <v>17</v>
      </c>
      <c r="O113" s="173">
        <f>MONTH(Table1[[#This Row],[Date]])</f>
        <v>2</v>
      </c>
      <c r="P113" s="173">
        <v>2021</v>
      </c>
      <c r="Q113" s="174">
        <f>IF(ISBLANK(Table1[[#This Row],[Date]]),"",Table1[[#This Row],[Date]]-WEEKDAY(Table1[[#This Row],[Date]],2)+1)</f>
        <v>44242</v>
      </c>
      <c r="R113" s="175">
        <f>IF(ISBLANK(Table1[[#This Row],[Date]]),"",DATE(Table1[[#This Row],[Date_Year]],Table1[[#This Row],[Date_Month]],1))</f>
        <v>44228</v>
      </c>
    </row>
    <row r="114" spans="2:18" ht="15.75" hidden="1" x14ac:dyDescent="0.25">
      <c r="B114" s="165">
        <v>44244</v>
      </c>
      <c r="C114" s="166" t="s">
        <v>1583</v>
      </c>
      <c r="D114" s="166" t="s">
        <v>64</v>
      </c>
      <c r="E114" s="167"/>
      <c r="F114" s="114">
        <v>-5</v>
      </c>
      <c r="G114" s="168"/>
      <c r="H114" s="169"/>
      <c r="I114" s="170"/>
      <c r="J114" s="176" t="s">
        <v>306</v>
      </c>
      <c r="K114" s="172" t="s">
        <v>177</v>
      </c>
      <c r="L114" s="172" t="s">
        <v>175</v>
      </c>
      <c r="M114" s="173" t="str" cm="1">
        <f t="array" ref="M114">IFERROR(INDEX(CategoriesTable[Category type],MATCH(Table1[[#This Row],[Category]],CategoriesTable[Category name],0),0),"")</f>
        <v>Expense</v>
      </c>
      <c r="N114" s="173">
        <v>17</v>
      </c>
      <c r="O114" s="173">
        <f>MONTH(Table1[[#This Row],[Date]])</f>
        <v>2</v>
      </c>
      <c r="P114" s="173">
        <v>2021</v>
      </c>
      <c r="Q114" s="174">
        <f>IF(ISBLANK(Table1[[#This Row],[Date]]),"",Table1[[#This Row],[Date]]-WEEKDAY(Table1[[#This Row],[Date]],2)+1)</f>
        <v>44242</v>
      </c>
      <c r="R114" s="175">
        <f>IF(ISBLANK(Table1[[#This Row],[Date]]),"",DATE(Table1[[#This Row],[Date_Year]],Table1[[#This Row],[Date_Month]],1))</f>
        <v>44228</v>
      </c>
    </row>
    <row r="115" spans="2:18" ht="15.75" hidden="1" x14ac:dyDescent="0.25">
      <c r="B115" s="165">
        <v>44244</v>
      </c>
      <c r="C115" s="166" t="s">
        <v>128</v>
      </c>
      <c r="D115" s="166" t="s">
        <v>53</v>
      </c>
      <c r="E115" s="167"/>
      <c r="F115" s="114">
        <v>-34.17</v>
      </c>
      <c r="G115" s="168"/>
      <c r="H115" s="169"/>
      <c r="I115" s="170"/>
      <c r="J115" s="171" t="s">
        <v>307</v>
      </c>
      <c r="K115" s="172" t="s">
        <v>177</v>
      </c>
      <c r="L115" s="172" t="s">
        <v>175</v>
      </c>
      <c r="M115" s="173" t="str" cm="1">
        <f t="array" ref="M115">IFERROR(INDEX(CategoriesTable[Category type],MATCH(Table1[[#This Row],[Category]],CategoriesTable[Category name],0),0),"")</f>
        <v>Expense</v>
      </c>
      <c r="N115" s="173">
        <v>17</v>
      </c>
      <c r="O115" s="173">
        <f>MONTH(Table1[[#This Row],[Date]])</f>
        <v>2</v>
      </c>
      <c r="P115" s="173">
        <v>2021</v>
      </c>
      <c r="Q115" s="174">
        <f>IF(ISBLANK(Table1[[#This Row],[Date]]),"",Table1[[#This Row],[Date]]-WEEKDAY(Table1[[#This Row],[Date]],2)+1)</f>
        <v>44242</v>
      </c>
      <c r="R115" s="175">
        <f>IF(ISBLANK(Table1[[#This Row],[Date]]),"",DATE(Table1[[#This Row],[Date_Year]],Table1[[#This Row],[Date_Month]],1))</f>
        <v>44228</v>
      </c>
    </row>
    <row r="116" spans="2:18" ht="15.75" hidden="1" x14ac:dyDescent="0.25">
      <c r="B116" s="165">
        <v>44244</v>
      </c>
      <c r="C116" s="166" t="s">
        <v>121</v>
      </c>
      <c r="D116" s="166" t="s">
        <v>65</v>
      </c>
      <c r="E116" s="167"/>
      <c r="F116" s="114">
        <v>-4.0199999999999996</v>
      </c>
      <c r="G116" s="168"/>
      <c r="H116" s="169"/>
      <c r="I116" s="170"/>
      <c r="J116" s="171" t="s">
        <v>308</v>
      </c>
      <c r="K116" s="172" t="s">
        <v>177</v>
      </c>
      <c r="L116" s="172" t="s">
        <v>175</v>
      </c>
      <c r="M116" s="173" t="str" cm="1">
        <f t="array" ref="M116">IFERROR(INDEX(CategoriesTable[Category type],MATCH(Table1[[#This Row],[Category]],CategoriesTable[Category name],0),0),"")</f>
        <v>Expense</v>
      </c>
      <c r="N116" s="173">
        <v>17</v>
      </c>
      <c r="O116" s="173">
        <f>MONTH(Table1[[#This Row],[Date]])</f>
        <v>2</v>
      </c>
      <c r="P116" s="173">
        <v>2021</v>
      </c>
      <c r="Q116" s="174">
        <f>IF(ISBLANK(Table1[[#This Row],[Date]]),"",Table1[[#This Row],[Date]]-WEEKDAY(Table1[[#This Row],[Date]],2)+1)</f>
        <v>44242</v>
      </c>
      <c r="R116" s="175">
        <f>IF(ISBLANK(Table1[[#This Row],[Date]]),"",DATE(Table1[[#This Row],[Date_Year]],Table1[[#This Row],[Date_Month]],1))</f>
        <v>44228</v>
      </c>
    </row>
    <row r="117" spans="2:18" ht="15.75" hidden="1" x14ac:dyDescent="0.25">
      <c r="B117" s="165">
        <v>44244</v>
      </c>
      <c r="C117" s="166" t="s">
        <v>121</v>
      </c>
      <c r="D117" s="166" t="s">
        <v>65</v>
      </c>
      <c r="E117" s="167"/>
      <c r="F117" s="114">
        <v>-8.5500000000000007</v>
      </c>
      <c r="G117" s="168"/>
      <c r="H117" s="169"/>
      <c r="I117" s="170"/>
      <c r="J117" s="171" t="s">
        <v>309</v>
      </c>
      <c r="K117" s="172" t="s">
        <v>177</v>
      </c>
      <c r="L117" s="172" t="s">
        <v>175</v>
      </c>
      <c r="M117" s="173" t="str" cm="1">
        <f t="array" ref="M117">IFERROR(INDEX(CategoriesTable[Category type],MATCH(Table1[[#This Row],[Category]],CategoriesTable[Category name],0),0),"")</f>
        <v>Expense</v>
      </c>
      <c r="N117" s="173">
        <v>17</v>
      </c>
      <c r="O117" s="173">
        <f>MONTH(Table1[[#This Row],[Date]])</f>
        <v>2</v>
      </c>
      <c r="P117" s="173">
        <v>2021</v>
      </c>
      <c r="Q117" s="174">
        <f>IF(ISBLANK(Table1[[#This Row],[Date]]),"",Table1[[#This Row],[Date]]-WEEKDAY(Table1[[#This Row],[Date]],2)+1)</f>
        <v>44242</v>
      </c>
      <c r="R117" s="175">
        <f>IF(ISBLANK(Table1[[#This Row],[Date]]),"",DATE(Table1[[#This Row],[Date_Year]],Table1[[#This Row],[Date_Month]],1))</f>
        <v>44228</v>
      </c>
    </row>
    <row r="118" spans="2:18" ht="15.75" hidden="1" x14ac:dyDescent="0.25">
      <c r="B118" s="165">
        <v>44244</v>
      </c>
      <c r="C118" s="166" t="s">
        <v>120</v>
      </c>
      <c r="D118" s="166" t="s">
        <v>66</v>
      </c>
      <c r="E118" s="167"/>
      <c r="F118" s="114">
        <v>-116.47</v>
      </c>
      <c r="G118" s="168"/>
      <c r="H118" s="169"/>
      <c r="I118" s="170"/>
      <c r="J118" s="171" t="s">
        <v>310</v>
      </c>
      <c r="K118" s="172" t="s">
        <v>177</v>
      </c>
      <c r="L118" s="172" t="s">
        <v>175</v>
      </c>
      <c r="M118" s="173" t="str" cm="1">
        <f t="array" ref="M118">IFERROR(INDEX(CategoriesTable[Category type],MATCH(Table1[[#This Row],[Category]],CategoriesTable[Category name],0),0),"")</f>
        <v>Expense</v>
      </c>
      <c r="N118" s="173">
        <v>17</v>
      </c>
      <c r="O118" s="173">
        <f>MONTH(Table1[[#This Row],[Date]])</f>
        <v>2</v>
      </c>
      <c r="P118" s="173">
        <v>2021</v>
      </c>
      <c r="Q118" s="174">
        <f>IF(ISBLANK(Table1[[#This Row],[Date]]),"",Table1[[#This Row],[Date]]-WEEKDAY(Table1[[#This Row],[Date]],2)+1)</f>
        <v>44242</v>
      </c>
      <c r="R118" s="175">
        <f>IF(ISBLANK(Table1[[#This Row],[Date]]),"",DATE(Table1[[#This Row],[Date_Year]],Table1[[#This Row],[Date_Month]],1))</f>
        <v>44228</v>
      </c>
    </row>
    <row r="119" spans="2:18" ht="15.75" hidden="1" x14ac:dyDescent="0.25">
      <c r="B119" s="165">
        <v>44243</v>
      </c>
      <c r="C119" s="166" t="s">
        <v>149</v>
      </c>
      <c r="D119" s="166" t="s">
        <v>65</v>
      </c>
      <c r="E119" s="167"/>
      <c r="F119" s="114">
        <v>-39.26</v>
      </c>
      <c r="G119" s="168"/>
      <c r="H119" s="169"/>
      <c r="I119" s="170"/>
      <c r="J119" s="171" t="s">
        <v>311</v>
      </c>
      <c r="K119" s="172" t="s">
        <v>177</v>
      </c>
      <c r="L119" s="172" t="s">
        <v>175</v>
      </c>
      <c r="M119" s="173" t="str" cm="1">
        <f t="array" ref="M119">IFERROR(INDEX(CategoriesTable[Category type],MATCH(Table1[[#This Row],[Category]],CategoriesTable[Category name],0),0),"")</f>
        <v>Expense</v>
      </c>
      <c r="N119" s="173">
        <v>16</v>
      </c>
      <c r="O119" s="173">
        <f>MONTH(Table1[[#This Row],[Date]])</f>
        <v>2</v>
      </c>
      <c r="P119" s="173">
        <v>2021</v>
      </c>
      <c r="Q119" s="174">
        <f>IF(ISBLANK(Table1[[#This Row],[Date]]),"",Table1[[#This Row],[Date]]-WEEKDAY(Table1[[#This Row],[Date]],2)+1)</f>
        <v>44242</v>
      </c>
      <c r="R119" s="175">
        <f>IF(ISBLANK(Table1[[#This Row],[Date]]),"",DATE(Table1[[#This Row],[Date_Year]],Table1[[#This Row],[Date_Month]],1))</f>
        <v>44228</v>
      </c>
    </row>
    <row r="120" spans="2:18" ht="15.75" hidden="1" x14ac:dyDescent="0.25">
      <c r="B120" s="165">
        <v>44243</v>
      </c>
      <c r="C120" s="166" t="s">
        <v>147</v>
      </c>
      <c r="D120" s="166" t="s">
        <v>66</v>
      </c>
      <c r="E120" s="167"/>
      <c r="F120" s="114">
        <v>-39.99</v>
      </c>
      <c r="G120" s="168"/>
      <c r="H120" s="169"/>
      <c r="I120" s="170"/>
      <c r="J120" s="171" t="s">
        <v>312</v>
      </c>
      <c r="K120" s="172" t="s">
        <v>177</v>
      </c>
      <c r="L120" s="172" t="s">
        <v>175</v>
      </c>
      <c r="M120" s="173" t="str" cm="1">
        <f t="array" ref="M120">IFERROR(INDEX(CategoriesTable[Category type],MATCH(Table1[[#This Row],[Category]],CategoriesTable[Category name],0),0),"")</f>
        <v>Expense</v>
      </c>
      <c r="N120" s="173">
        <v>16</v>
      </c>
      <c r="O120" s="173">
        <f>MONTH(Table1[[#This Row],[Date]])</f>
        <v>2</v>
      </c>
      <c r="P120" s="173">
        <v>2021</v>
      </c>
      <c r="Q120" s="174">
        <f>IF(ISBLANK(Table1[[#This Row],[Date]]),"",Table1[[#This Row],[Date]]-WEEKDAY(Table1[[#This Row],[Date]],2)+1)</f>
        <v>44242</v>
      </c>
      <c r="R120" s="175">
        <f>IF(ISBLANK(Table1[[#This Row],[Date]]),"",DATE(Table1[[#This Row],[Date_Year]],Table1[[#This Row],[Date_Month]],1))</f>
        <v>44228</v>
      </c>
    </row>
    <row r="121" spans="2:18" ht="15.75" hidden="1" x14ac:dyDescent="0.25">
      <c r="B121" s="165">
        <v>44243</v>
      </c>
      <c r="C121" s="166" t="s">
        <v>313</v>
      </c>
      <c r="D121" s="166" t="s">
        <v>66</v>
      </c>
      <c r="E121" s="167"/>
      <c r="F121" s="114">
        <v>-95</v>
      </c>
      <c r="G121" s="168"/>
      <c r="H121" s="169"/>
      <c r="I121" s="170"/>
      <c r="J121" s="171" t="s">
        <v>314</v>
      </c>
      <c r="K121" s="172" t="s">
        <v>177</v>
      </c>
      <c r="L121" s="172" t="s">
        <v>175</v>
      </c>
      <c r="M121" s="173" t="str" cm="1">
        <f t="array" ref="M121">IFERROR(INDEX(CategoriesTable[Category type],MATCH(Table1[[#This Row],[Category]],CategoriesTable[Category name],0),0),"")</f>
        <v>Expense</v>
      </c>
      <c r="N121" s="173">
        <v>16</v>
      </c>
      <c r="O121" s="173">
        <f>MONTH(Table1[[#This Row],[Date]])</f>
        <v>2</v>
      </c>
      <c r="P121" s="173">
        <v>2021</v>
      </c>
      <c r="Q121" s="174">
        <f>IF(ISBLANK(Table1[[#This Row],[Date]]),"",Table1[[#This Row],[Date]]-WEEKDAY(Table1[[#This Row],[Date]],2)+1)</f>
        <v>44242</v>
      </c>
      <c r="R121" s="175">
        <f>IF(ISBLANK(Table1[[#This Row],[Date]]),"",DATE(Table1[[#This Row],[Date_Year]],Table1[[#This Row],[Date_Month]],1))</f>
        <v>44228</v>
      </c>
    </row>
    <row r="122" spans="2:18" ht="15.75" hidden="1" x14ac:dyDescent="0.25">
      <c r="B122" s="165">
        <v>44242</v>
      </c>
      <c r="C122" s="166" t="s">
        <v>315</v>
      </c>
      <c r="D122" s="166" t="s">
        <v>65</v>
      </c>
      <c r="E122" s="167"/>
      <c r="F122" s="114">
        <v>-5.16</v>
      </c>
      <c r="G122" s="168"/>
      <c r="H122" s="169"/>
      <c r="I122" s="170"/>
      <c r="J122" s="171" t="s">
        <v>316</v>
      </c>
      <c r="K122" s="172" t="s">
        <v>177</v>
      </c>
      <c r="L122" s="172" t="s">
        <v>175</v>
      </c>
      <c r="M122" s="173" t="str" cm="1">
        <f t="array" ref="M122">IFERROR(INDEX(CategoriesTable[Category type],MATCH(Table1[[#This Row],[Category]],CategoriesTable[Category name],0),0),"")</f>
        <v>Expense</v>
      </c>
      <c r="N122" s="173">
        <v>15</v>
      </c>
      <c r="O122" s="173">
        <f>MONTH(Table1[[#This Row],[Date]])</f>
        <v>2</v>
      </c>
      <c r="P122" s="173">
        <v>2021</v>
      </c>
      <c r="Q122" s="174">
        <f>IF(ISBLANK(Table1[[#This Row],[Date]]),"",Table1[[#This Row],[Date]]-WEEKDAY(Table1[[#This Row],[Date]],2)+1)</f>
        <v>44242</v>
      </c>
      <c r="R122" s="175">
        <f>IF(ISBLANK(Table1[[#This Row],[Date]]),"",DATE(Table1[[#This Row],[Date_Year]],Table1[[#This Row],[Date_Month]],1))</f>
        <v>44228</v>
      </c>
    </row>
    <row r="123" spans="2:18" ht="15.75" hidden="1" x14ac:dyDescent="0.25">
      <c r="B123" s="165">
        <v>44241</v>
      </c>
      <c r="C123" s="166" t="s">
        <v>146</v>
      </c>
      <c r="D123" s="166" t="s">
        <v>58</v>
      </c>
      <c r="E123" s="167"/>
      <c r="F123" s="114">
        <v>-114.02</v>
      </c>
      <c r="G123" s="168"/>
      <c r="H123" s="169"/>
      <c r="I123" s="170"/>
      <c r="J123" s="171" t="s">
        <v>317</v>
      </c>
      <c r="K123" s="172" t="s">
        <v>177</v>
      </c>
      <c r="L123" s="172" t="s">
        <v>175</v>
      </c>
      <c r="M123" s="173" t="str" cm="1">
        <f t="array" ref="M123">IFERROR(INDEX(CategoriesTable[Category type],MATCH(Table1[[#This Row],[Category]],CategoriesTable[Category name],0),0),"")</f>
        <v>Expense</v>
      </c>
      <c r="N123" s="173">
        <v>14</v>
      </c>
      <c r="O123" s="173">
        <f>MONTH(Table1[[#This Row],[Date]])</f>
        <v>2</v>
      </c>
      <c r="P123" s="173">
        <v>2021</v>
      </c>
      <c r="Q123" s="174">
        <f>IF(ISBLANK(Table1[[#This Row],[Date]]),"",Table1[[#This Row],[Date]]-WEEKDAY(Table1[[#This Row],[Date]],2)+1)</f>
        <v>44235</v>
      </c>
      <c r="R123" s="175">
        <f>IF(ISBLANK(Table1[[#This Row],[Date]]),"",DATE(Table1[[#This Row],[Date_Year]],Table1[[#This Row],[Date_Month]],1))</f>
        <v>44228</v>
      </c>
    </row>
    <row r="124" spans="2:18" ht="15.75" hidden="1" x14ac:dyDescent="0.25">
      <c r="B124" s="165">
        <v>44240</v>
      </c>
      <c r="C124" s="166" t="s">
        <v>199</v>
      </c>
      <c r="D124" s="166" t="s">
        <v>65</v>
      </c>
      <c r="E124" s="167"/>
      <c r="F124" s="114">
        <v>-26.17</v>
      </c>
      <c r="G124" s="168"/>
      <c r="H124" s="169"/>
      <c r="I124" s="170"/>
      <c r="J124" s="171" t="s">
        <v>318</v>
      </c>
      <c r="K124" s="172" t="s">
        <v>177</v>
      </c>
      <c r="L124" s="172" t="s">
        <v>175</v>
      </c>
      <c r="M124" s="173" t="str" cm="1">
        <f t="array" ref="M124">IFERROR(INDEX(CategoriesTable[Category type],MATCH(Table1[[#This Row],[Category]],CategoriesTable[Category name],0),0),"")</f>
        <v>Expense</v>
      </c>
      <c r="N124" s="173">
        <v>13</v>
      </c>
      <c r="O124" s="173">
        <f>MONTH(Table1[[#This Row],[Date]])</f>
        <v>2</v>
      </c>
      <c r="P124" s="173">
        <v>2021</v>
      </c>
      <c r="Q124" s="174">
        <f>IF(ISBLANK(Table1[[#This Row],[Date]]),"",Table1[[#This Row],[Date]]-WEEKDAY(Table1[[#This Row],[Date]],2)+1)</f>
        <v>44235</v>
      </c>
      <c r="R124" s="175">
        <f>IF(ISBLANK(Table1[[#This Row],[Date]]),"",DATE(Table1[[#This Row],[Date_Year]],Table1[[#This Row],[Date_Month]],1))</f>
        <v>44228</v>
      </c>
    </row>
    <row r="125" spans="2:18" ht="15.75" hidden="1" x14ac:dyDescent="0.25">
      <c r="B125" s="165">
        <v>44239</v>
      </c>
      <c r="C125" s="166" t="s">
        <v>320</v>
      </c>
      <c r="D125" s="166" t="s">
        <v>66</v>
      </c>
      <c r="E125" s="167"/>
      <c r="F125" s="114">
        <v>-27.87</v>
      </c>
      <c r="G125" s="168"/>
      <c r="H125" s="169"/>
      <c r="I125" s="170"/>
      <c r="J125" s="176" t="s">
        <v>321</v>
      </c>
      <c r="K125" s="172" t="s">
        <v>177</v>
      </c>
      <c r="L125" s="172" t="s">
        <v>175</v>
      </c>
      <c r="M125" s="173" t="str" cm="1">
        <f t="array" ref="M125">IFERROR(INDEX(CategoriesTable[Category type],MATCH(Table1[[#This Row],[Category]],CategoriesTable[Category name],0),0),"")</f>
        <v>Expense</v>
      </c>
      <c r="N125" s="173">
        <v>12</v>
      </c>
      <c r="O125" s="173">
        <f>MONTH(Table1[[#This Row],[Date]])</f>
        <v>2</v>
      </c>
      <c r="P125" s="173">
        <v>2021</v>
      </c>
      <c r="Q125" s="174">
        <f>IF(ISBLANK(Table1[[#This Row],[Date]]),"",Table1[[#This Row],[Date]]-WEEKDAY(Table1[[#This Row],[Date]],2)+1)</f>
        <v>44235</v>
      </c>
      <c r="R125" s="175">
        <f>IF(ISBLANK(Table1[[#This Row],[Date]]),"",DATE(Table1[[#This Row],[Date_Year]],Table1[[#This Row],[Date_Month]],1))</f>
        <v>44228</v>
      </c>
    </row>
    <row r="126" spans="2:18" ht="15.75" hidden="1" x14ac:dyDescent="0.25">
      <c r="B126" s="165">
        <v>44239</v>
      </c>
      <c r="C126" s="166" t="s">
        <v>199</v>
      </c>
      <c r="D126" s="166" t="s">
        <v>65</v>
      </c>
      <c r="E126" s="167"/>
      <c r="F126" s="114">
        <v>-20.25</v>
      </c>
      <c r="G126" s="168"/>
      <c r="H126" s="169"/>
      <c r="I126" s="170"/>
      <c r="J126" s="171" t="s">
        <v>322</v>
      </c>
      <c r="K126" s="172" t="s">
        <v>177</v>
      </c>
      <c r="L126" s="172" t="s">
        <v>175</v>
      </c>
      <c r="M126" s="173" t="str" cm="1">
        <f t="array" ref="M126">IFERROR(INDEX(CategoriesTable[Category type],MATCH(Table1[[#This Row],[Category]],CategoriesTable[Category name],0),0),"")</f>
        <v>Expense</v>
      </c>
      <c r="N126" s="173">
        <v>12</v>
      </c>
      <c r="O126" s="173">
        <f>MONTH(Table1[[#This Row],[Date]])</f>
        <v>2</v>
      </c>
      <c r="P126" s="173">
        <v>2021</v>
      </c>
      <c r="Q126" s="174">
        <f>IF(ISBLANK(Table1[[#This Row],[Date]]),"",Table1[[#This Row],[Date]]-WEEKDAY(Table1[[#This Row],[Date]],2)+1)</f>
        <v>44235</v>
      </c>
      <c r="R126" s="175">
        <f>IF(ISBLANK(Table1[[#This Row],[Date]]),"",DATE(Table1[[#This Row],[Date_Year]],Table1[[#This Row],[Date_Month]],1))</f>
        <v>44228</v>
      </c>
    </row>
    <row r="127" spans="2:18" ht="15.75" hidden="1" x14ac:dyDescent="0.25">
      <c r="B127" s="165">
        <v>44239</v>
      </c>
      <c r="C127" s="166" t="s">
        <v>1560</v>
      </c>
      <c r="D127" s="166" t="s">
        <v>55</v>
      </c>
      <c r="E127" s="167"/>
      <c r="F127" s="114">
        <v>-573.48</v>
      </c>
      <c r="G127" s="168"/>
      <c r="H127" s="169"/>
      <c r="I127" s="170"/>
      <c r="J127" s="171" t="s">
        <v>323</v>
      </c>
      <c r="K127" s="172" t="s">
        <v>177</v>
      </c>
      <c r="L127" s="172" t="s">
        <v>175</v>
      </c>
      <c r="M127" s="173" t="str" cm="1">
        <f t="array" ref="M127">IFERROR(INDEX(CategoriesTable[Category type],MATCH(Table1[[#This Row],[Category]],CategoriesTable[Category name],0),0),"")</f>
        <v>Expense</v>
      </c>
      <c r="N127" s="173">
        <v>12</v>
      </c>
      <c r="O127" s="173">
        <f>MONTH(Table1[[#This Row],[Date]])</f>
        <v>2</v>
      </c>
      <c r="P127" s="173">
        <v>2021</v>
      </c>
      <c r="Q127" s="174">
        <f>IF(ISBLANK(Table1[[#This Row],[Date]]),"",Table1[[#This Row],[Date]]-WEEKDAY(Table1[[#This Row],[Date]],2)+1)</f>
        <v>44235</v>
      </c>
      <c r="R127" s="175">
        <f>IF(ISBLANK(Table1[[#This Row],[Date]]),"",DATE(Table1[[#This Row],[Date_Year]],Table1[[#This Row],[Date_Month]],1))</f>
        <v>44228</v>
      </c>
    </row>
    <row r="128" spans="2:18" ht="15.75" hidden="1" x14ac:dyDescent="0.25">
      <c r="B128" s="165">
        <v>44238</v>
      </c>
      <c r="C128" s="166" t="s">
        <v>324</v>
      </c>
      <c r="D128" s="166" t="s">
        <v>65</v>
      </c>
      <c r="E128" s="167"/>
      <c r="F128" s="114">
        <v>-18.05</v>
      </c>
      <c r="G128" s="168"/>
      <c r="H128" s="169"/>
      <c r="I128" s="170"/>
      <c r="J128" s="171" t="s">
        <v>325</v>
      </c>
      <c r="K128" s="172" t="s">
        <v>177</v>
      </c>
      <c r="L128" s="172" t="s">
        <v>175</v>
      </c>
      <c r="M128" s="173" t="str" cm="1">
        <f t="array" ref="M128">IFERROR(INDEX(CategoriesTable[Category type],MATCH(Table1[[#This Row],[Category]],CategoriesTable[Category name],0),0),"")</f>
        <v>Expense</v>
      </c>
      <c r="N128" s="173">
        <v>11</v>
      </c>
      <c r="O128" s="173">
        <f>MONTH(Table1[[#This Row],[Date]])</f>
        <v>2</v>
      </c>
      <c r="P128" s="173">
        <v>2021</v>
      </c>
      <c r="Q128" s="174">
        <f>IF(ISBLANK(Table1[[#This Row],[Date]]),"",Table1[[#This Row],[Date]]-WEEKDAY(Table1[[#This Row],[Date]],2)+1)</f>
        <v>44235</v>
      </c>
      <c r="R128" s="175">
        <f>IF(ISBLANK(Table1[[#This Row],[Date]]),"",DATE(Table1[[#This Row],[Date_Year]],Table1[[#This Row],[Date_Month]],1))</f>
        <v>44228</v>
      </c>
    </row>
    <row r="129" spans="2:18" ht="15.75" hidden="1" x14ac:dyDescent="0.25">
      <c r="B129" s="165">
        <v>44238</v>
      </c>
      <c r="C129" s="166" t="s">
        <v>324</v>
      </c>
      <c r="D129" s="166" t="s">
        <v>65</v>
      </c>
      <c r="E129" s="167"/>
      <c r="F129" s="114">
        <v>-49.8</v>
      </c>
      <c r="G129" s="168"/>
      <c r="H129" s="169"/>
      <c r="I129" s="170"/>
      <c r="J129" s="171" t="s">
        <v>326</v>
      </c>
      <c r="K129" s="172" t="s">
        <v>177</v>
      </c>
      <c r="L129" s="172" t="s">
        <v>175</v>
      </c>
      <c r="M129" s="173" t="str" cm="1">
        <f t="array" ref="M129">IFERROR(INDEX(CategoriesTable[Category type],MATCH(Table1[[#This Row],[Category]],CategoriesTable[Category name],0),0),"")</f>
        <v>Expense</v>
      </c>
      <c r="N129" s="173">
        <v>11</v>
      </c>
      <c r="O129" s="173">
        <f>MONTH(Table1[[#This Row],[Date]])</f>
        <v>2</v>
      </c>
      <c r="P129" s="173">
        <v>2021</v>
      </c>
      <c r="Q129" s="174">
        <f>IF(ISBLANK(Table1[[#This Row],[Date]]),"",Table1[[#This Row],[Date]]-WEEKDAY(Table1[[#This Row],[Date]],2)+1)</f>
        <v>44235</v>
      </c>
      <c r="R129" s="175">
        <f>IF(ISBLANK(Table1[[#This Row],[Date]]),"",DATE(Table1[[#This Row],[Date_Year]],Table1[[#This Row],[Date_Month]],1))</f>
        <v>44228</v>
      </c>
    </row>
    <row r="130" spans="2:18" ht="15.75" hidden="1" x14ac:dyDescent="0.25">
      <c r="B130" s="165">
        <v>44238</v>
      </c>
      <c r="C130" s="166" t="s">
        <v>199</v>
      </c>
      <c r="D130" s="166" t="s">
        <v>65</v>
      </c>
      <c r="E130" s="167"/>
      <c r="F130" s="114">
        <v>-10.02</v>
      </c>
      <c r="G130" s="168"/>
      <c r="H130" s="169"/>
      <c r="I130" s="170"/>
      <c r="J130" s="171" t="s">
        <v>327</v>
      </c>
      <c r="K130" s="172" t="s">
        <v>177</v>
      </c>
      <c r="L130" s="172" t="s">
        <v>175</v>
      </c>
      <c r="M130" s="173" t="str" cm="1">
        <f t="array" ref="M130">IFERROR(INDEX(CategoriesTable[Category type],MATCH(Table1[[#This Row],[Category]],CategoriesTable[Category name],0),0),"")</f>
        <v>Expense</v>
      </c>
      <c r="N130" s="173">
        <v>11</v>
      </c>
      <c r="O130" s="173">
        <f>MONTH(Table1[[#This Row],[Date]])</f>
        <v>2</v>
      </c>
      <c r="P130" s="173">
        <v>2021</v>
      </c>
      <c r="Q130" s="174">
        <f>IF(ISBLANK(Table1[[#This Row],[Date]]),"",Table1[[#This Row],[Date]]-WEEKDAY(Table1[[#This Row],[Date]],2)+1)</f>
        <v>44235</v>
      </c>
      <c r="R130" s="175">
        <f>IF(ISBLANK(Table1[[#This Row],[Date]]),"",DATE(Table1[[#This Row],[Date_Year]],Table1[[#This Row],[Date_Month]],1))</f>
        <v>44228</v>
      </c>
    </row>
    <row r="131" spans="2:18" ht="15.75" x14ac:dyDescent="0.25">
      <c r="B131" s="165">
        <v>44236</v>
      </c>
      <c r="C131" s="166" t="s">
        <v>1573</v>
      </c>
      <c r="D131" s="166" t="s">
        <v>64</v>
      </c>
      <c r="E131" s="167"/>
      <c r="F131" s="114">
        <v>-12</v>
      </c>
      <c r="G131" s="168"/>
      <c r="H131" s="169"/>
      <c r="I131" s="170"/>
      <c r="J131" s="176" t="s">
        <v>328</v>
      </c>
      <c r="K131" s="172" t="s">
        <v>177</v>
      </c>
      <c r="L131" s="172" t="s">
        <v>175</v>
      </c>
      <c r="M131" s="173" t="str" cm="1">
        <f t="array" ref="M131">IFERROR(INDEX(CategoriesTable[Category type],MATCH(Table1[[#This Row],[Category]],CategoriesTable[Category name],0),0),"")</f>
        <v>Expense</v>
      </c>
      <c r="N131" s="173">
        <v>9</v>
      </c>
      <c r="O131" s="173">
        <f>MONTH(Table1[[#This Row],[Date]])</f>
        <v>2</v>
      </c>
      <c r="P131" s="173">
        <v>2021</v>
      </c>
      <c r="Q131" s="174">
        <f>IF(ISBLANK(Table1[[#This Row],[Date]]),"",Table1[[#This Row],[Date]]-WEEKDAY(Table1[[#This Row],[Date]],2)+1)</f>
        <v>44235</v>
      </c>
      <c r="R131" s="175">
        <f>IF(ISBLANK(Table1[[#This Row],[Date]]),"",DATE(Table1[[#This Row],[Date_Year]],Table1[[#This Row],[Date_Month]],1))</f>
        <v>44228</v>
      </c>
    </row>
    <row r="132" spans="2:18" ht="15.75" x14ac:dyDescent="0.25">
      <c r="B132" s="165">
        <v>44236</v>
      </c>
      <c r="C132" s="166" t="s">
        <v>1573</v>
      </c>
      <c r="D132" s="166" t="s">
        <v>64</v>
      </c>
      <c r="E132" s="167"/>
      <c r="F132" s="114">
        <v>-100</v>
      </c>
      <c r="G132" s="168"/>
      <c r="H132" s="169"/>
      <c r="I132" s="170"/>
      <c r="J132" s="171" t="s">
        <v>329</v>
      </c>
      <c r="K132" s="172" t="s">
        <v>177</v>
      </c>
      <c r="L132" s="172" t="s">
        <v>175</v>
      </c>
      <c r="M132" s="173" t="str" cm="1">
        <f t="array" ref="M132">IFERROR(INDEX(CategoriesTable[Category type],MATCH(Table1[[#This Row],[Category]],CategoriesTable[Category name],0),0),"")</f>
        <v>Expense</v>
      </c>
      <c r="N132" s="173">
        <v>9</v>
      </c>
      <c r="O132" s="173">
        <f>MONTH(Table1[[#This Row],[Date]])</f>
        <v>2</v>
      </c>
      <c r="P132" s="173">
        <v>2021</v>
      </c>
      <c r="Q132" s="174">
        <f>IF(ISBLANK(Table1[[#This Row],[Date]]),"",Table1[[#This Row],[Date]]-WEEKDAY(Table1[[#This Row],[Date]],2)+1)</f>
        <v>44235</v>
      </c>
      <c r="R132" s="175">
        <f>IF(ISBLANK(Table1[[#This Row],[Date]]),"",DATE(Table1[[#This Row],[Date_Year]],Table1[[#This Row],[Date_Month]],1))</f>
        <v>44228</v>
      </c>
    </row>
    <row r="133" spans="2:18" ht="15.75" hidden="1" x14ac:dyDescent="0.25">
      <c r="B133" s="165">
        <v>44235</v>
      </c>
      <c r="C133" s="166" t="s">
        <v>193</v>
      </c>
      <c r="D133" s="166" t="s">
        <v>65</v>
      </c>
      <c r="E133" s="167"/>
      <c r="F133" s="114">
        <v>-21.45</v>
      </c>
      <c r="G133" s="168"/>
      <c r="H133" s="169"/>
      <c r="I133" s="170"/>
      <c r="J133" s="171" t="s">
        <v>330</v>
      </c>
      <c r="K133" s="172" t="s">
        <v>177</v>
      </c>
      <c r="L133" s="172" t="s">
        <v>175</v>
      </c>
      <c r="M133" s="173" t="str" cm="1">
        <f t="array" ref="M133">IFERROR(INDEX(CategoriesTable[Category type],MATCH(Table1[[#This Row],[Category]],CategoriesTable[Category name],0),0),"")</f>
        <v>Expense</v>
      </c>
      <c r="N133" s="173">
        <v>8</v>
      </c>
      <c r="O133" s="173">
        <f>MONTH(Table1[[#This Row],[Date]])</f>
        <v>2</v>
      </c>
      <c r="P133" s="173">
        <v>2021</v>
      </c>
      <c r="Q133" s="174">
        <f>IF(ISBLANK(Table1[[#This Row],[Date]]),"",Table1[[#This Row],[Date]]-WEEKDAY(Table1[[#This Row],[Date]],2)+1)</f>
        <v>44235</v>
      </c>
      <c r="R133" s="175">
        <f>IF(ISBLANK(Table1[[#This Row],[Date]]),"",DATE(Table1[[#This Row],[Date_Year]],Table1[[#This Row],[Date_Month]],1))</f>
        <v>44228</v>
      </c>
    </row>
    <row r="134" spans="2:18" ht="15.75" hidden="1" x14ac:dyDescent="0.25">
      <c r="B134" s="165">
        <v>44235</v>
      </c>
      <c r="C134" s="166" t="s">
        <v>149</v>
      </c>
      <c r="D134" s="166" t="s">
        <v>65</v>
      </c>
      <c r="E134" s="167"/>
      <c r="F134" s="114">
        <v>-38.409999999999997</v>
      </c>
      <c r="G134" s="168"/>
      <c r="H134" s="169"/>
      <c r="I134" s="170"/>
      <c r="J134" s="171" t="s">
        <v>331</v>
      </c>
      <c r="K134" s="172" t="s">
        <v>177</v>
      </c>
      <c r="L134" s="172" t="s">
        <v>175</v>
      </c>
      <c r="M134" s="173" t="str" cm="1">
        <f t="array" ref="M134">IFERROR(INDEX(CategoriesTable[Category type],MATCH(Table1[[#This Row],[Category]],CategoriesTable[Category name],0),0),"")</f>
        <v>Expense</v>
      </c>
      <c r="N134" s="173">
        <v>8</v>
      </c>
      <c r="O134" s="173">
        <f>MONTH(Table1[[#This Row],[Date]])</f>
        <v>2</v>
      </c>
      <c r="P134" s="173">
        <v>2021</v>
      </c>
      <c r="Q134" s="174">
        <f>IF(ISBLANK(Table1[[#This Row],[Date]]),"",Table1[[#This Row],[Date]]-WEEKDAY(Table1[[#This Row],[Date]],2)+1)</f>
        <v>44235</v>
      </c>
      <c r="R134" s="175">
        <f>IF(ISBLANK(Table1[[#This Row],[Date]]),"",DATE(Table1[[#This Row],[Date_Year]],Table1[[#This Row],[Date_Month]],1))</f>
        <v>44228</v>
      </c>
    </row>
    <row r="135" spans="2:18" ht="15.75" hidden="1" x14ac:dyDescent="0.25">
      <c r="B135" s="165">
        <v>44235</v>
      </c>
      <c r="C135" s="166" t="s">
        <v>199</v>
      </c>
      <c r="D135" s="166" t="s">
        <v>65</v>
      </c>
      <c r="E135" s="167"/>
      <c r="F135" s="114">
        <v>-23.46</v>
      </c>
      <c r="G135" s="168"/>
      <c r="H135" s="169"/>
      <c r="I135" s="170"/>
      <c r="J135" s="171" t="s">
        <v>332</v>
      </c>
      <c r="K135" s="172" t="s">
        <v>177</v>
      </c>
      <c r="L135" s="172" t="s">
        <v>175</v>
      </c>
      <c r="M135" s="173" t="str" cm="1">
        <f t="array" ref="M135">IFERROR(INDEX(CategoriesTable[Category type],MATCH(Table1[[#This Row],[Category]],CategoriesTable[Category name],0),0),"")</f>
        <v>Expense</v>
      </c>
      <c r="N135" s="173">
        <v>8</v>
      </c>
      <c r="O135" s="173">
        <f>MONTH(Table1[[#This Row],[Date]])</f>
        <v>2</v>
      </c>
      <c r="P135" s="173">
        <v>2021</v>
      </c>
      <c r="Q135" s="174">
        <f>IF(ISBLANK(Table1[[#This Row],[Date]]),"",Table1[[#This Row],[Date]]-WEEKDAY(Table1[[#This Row],[Date]],2)+1)</f>
        <v>44235</v>
      </c>
      <c r="R135" s="175">
        <f>IF(ISBLANK(Table1[[#This Row],[Date]]),"",DATE(Table1[[#This Row],[Date_Year]],Table1[[#This Row],[Date_Month]],1))</f>
        <v>44228</v>
      </c>
    </row>
    <row r="136" spans="2:18" ht="15.75" hidden="1" x14ac:dyDescent="0.25">
      <c r="B136" s="165">
        <v>44234</v>
      </c>
      <c r="C136" s="166" t="s">
        <v>1564</v>
      </c>
      <c r="D136" s="166" t="s">
        <v>56</v>
      </c>
      <c r="E136" s="167"/>
      <c r="F136" s="114">
        <v>-9.99</v>
      </c>
      <c r="G136" s="168"/>
      <c r="H136" s="169"/>
      <c r="I136" s="170"/>
      <c r="J136" s="171" t="s">
        <v>333</v>
      </c>
      <c r="K136" s="172" t="s">
        <v>177</v>
      </c>
      <c r="L136" s="172" t="s">
        <v>175</v>
      </c>
      <c r="M136" s="173" t="str" cm="1">
        <f t="array" ref="M136">IFERROR(INDEX(CategoriesTable[Category type],MATCH(Table1[[#This Row],[Category]],CategoriesTable[Category name],0),0),"")</f>
        <v>Expense</v>
      </c>
      <c r="N136" s="173">
        <v>7</v>
      </c>
      <c r="O136" s="173">
        <f>MONTH(Table1[[#This Row],[Date]])</f>
        <v>2</v>
      </c>
      <c r="P136" s="173">
        <v>2021</v>
      </c>
      <c r="Q136" s="174">
        <f>IF(ISBLANK(Table1[[#This Row],[Date]]),"",Table1[[#This Row],[Date]]-WEEKDAY(Table1[[#This Row],[Date]],2)+1)</f>
        <v>44228</v>
      </c>
      <c r="R136" s="175">
        <f>IF(ISBLANK(Table1[[#This Row],[Date]]),"",DATE(Table1[[#This Row],[Date_Year]],Table1[[#This Row],[Date_Month]],1))</f>
        <v>44228</v>
      </c>
    </row>
    <row r="137" spans="2:18" ht="15.75" hidden="1" x14ac:dyDescent="0.25">
      <c r="B137" s="165">
        <v>44233</v>
      </c>
      <c r="C137" s="166" t="s">
        <v>143</v>
      </c>
      <c r="D137" s="166" t="s">
        <v>65</v>
      </c>
      <c r="E137" s="167"/>
      <c r="F137" s="114">
        <v>-26.29</v>
      </c>
      <c r="G137" s="168"/>
      <c r="H137" s="169"/>
      <c r="I137" s="170"/>
      <c r="J137" s="171" t="s">
        <v>334</v>
      </c>
      <c r="K137" s="172" t="s">
        <v>177</v>
      </c>
      <c r="L137" s="172" t="s">
        <v>175</v>
      </c>
      <c r="M137" s="173" t="str" cm="1">
        <f t="array" ref="M137">IFERROR(INDEX(CategoriesTable[Category type],MATCH(Table1[[#This Row],[Category]],CategoriesTable[Category name],0),0),"")</f>
        <v>Expense</v>
      </c>
      <c r="N137" s="173">
        <v>6</v>
      </c>
      <c r="O137" s="173">
        <f>MONTH(Table1[[#This Row],[Date]])</f>
        <v>2</v>
      </c>
      <c r="P137" s="173">
        <v>2021</v>
      </c>
      <c r="Q137" s="174">
        <f>IF(ISBLANK(Table1[[#This Row],[Date]]),"",Table1[[#This Row],[Date]]-WEEKDAY(Table1[[#This Row],[Date]],2)+1)</f>
        <v>44228</v>
      </c>
      <c r="R137" s="175">
        <f>IF(ISBLANK(Table1[[#This Row],[Date]]),"",DATE(Table1[[#This Row],[Date_Year]],Table1[[#This Row],[Date_Month]],1))</f>
        <v>44228</v>
      </c>
    </row>
    <row r="138" spans="2:18" ht="15.75" hidden="1" x14ac:dyDescent="0.25">
      <c r="B138" s="165">
        <v>44233</v>
      </c>
      <c r="C138" s="166" t="s">
        <v>1561</v>
      </c>
      <c r="D138" s="166" t="s">
        <v>55</v>
      </c>
      <c r="E138" s="167"/>
      <c r="F138" s="114">
        <v>-123.2</v>
      </c>
      <c r="G138" s="168"/>
      <c r="H138" s="169"/>
      <c r="I138" s="170"/>
      <c r="J138" s="171" t="s">
        <v>335</v>
      </c>
      <c r="K138" s="172" t="s">
        <v>177</v>
      </c>
      <c r="L138" s="172" t="s">
        <v>175</v>
      </c>
      <c r="M138" s="173" t="str" cm="1">
        <f t="array" ref="M138">IFERROR(INDEX(CategoriesTable[Category type],MATCH(Table1[[#This Row],[Category]],CategoriesTable[Category name],0),0),"")</f>
        <v>Expense</v>
      </c>
      <c r="N138" s="173">
        <v>6</v>
      </c>
      <c r="O138" s="173">
        <f>MONTH(Table1[[#This Row],[Date]])</f>
        <v>2</v>
      </c>
      <c r="P138" s="173">
        <v>2021</v>
      </c>
      <c r="Q138" s="174">
        <f>IF(ISBLANK(Table1[[#This Row],[Date]]),"",Table1[[#This Row],[Date]]-WEEKDAY(Table1[[#This Row],[Date]],2)+1)</f>
        <v>44228</v>
      </c>
      <c r="R138" s="175">
        <f>IF(ISBLANK(Table1[[#This Row],[Date]]),"",DATE(Table1[[#This Row],[Date_Year]],Table1[[#This Row],[Date_Month]],1))</f>
        <v>44228</v>
      </c>
    </row>
    <row r="139" spans="2:18" ht="15.75" hidden="1" x14ac:dyDescent="0.25">
      <c r="B139" s="165">
        <v>44232</v>
      </c>
      <c r="C139" s="166" t="s">
        <v>199</v>
      </c>
      <c r="D139" s="166" t="s">
        <v>65</v>
      </c>
      <c r="E139" s="167"/>
      <c r="F139" s="114">
        <v>-19.489999999999998</v>
      </c>
      <c r="G139" s="168"/>
      <c r="H139" s="169"/>
      <c r="I139" s="170"/>
      <c r="J139" s="171" t="s">
        <v>336</v>
      </c>
      <c r="K139" s="172" t="s">
        <v>177</v>
      </c>
      <c r="L139" s="172" t="s">
        <v>175</v>
      </c>
      <c r="M139" s="173" t="str" cm="1">
        <f t="array" ref="M139">IFERROR(INDEX(CategoriesTable[Category type],MATCH(Table1[[#This Row],[Category]],CategoriesTable[Category name],0),0),"")</f>
        <v>Expense</v>
      </c>
      <c r="N139" s="173">
        <v>5</v>
      </c>
      <c r="O139" s="173">
        <f>MONTH(Table1[[#This Row],[Date]])</f>
        <v>2</v>
      </c>
      <c r="P139" s="173">
        <v>2021</v>
      </c>
      <c r="Q139" s="174">
        <f>IF(ISBLANK(Table1[[#This Row],[Date]]),"",Table1[[#This Row],[Date]]-WEEKDAY(Table1[[#This Row],[Date]],2)+1)</f>
        <v>44228</v>
      </c>
      <c r="R139" s="175">
        <f>IF(ISBLANK(Table1[[#This Row],[Date]]),"",DATE(Table1[[#This Row],[Date_Year]],Table1[[#This Row],[Date_Month]],1))</f>
        <v>44228</v>
      </c>
    </row>
    <row r="140" spans="2:18" ht="15.75" hidden="1" x14ac:dyDescent="0.25">
      <c r="B140" s="165">
        <v>44232</v>
      </c>
      <c r="C140" s="166" t="s">
        <v>120</v>
      </c>
      <c r="D140" s="166" t="s">
        <v>66</v>
      </c>
      <c r="E140" s="167"/>
      <c r="F140" s="114">
        <v>-30.01</v>
      </c>
      <c r="G140" s="168"/>
      <c r="H140" s="169"/>
      <c r="I140" s="170"/>
      <c r="J140" s="171" t="s">
        <v>337</v>
      </c>
      <c r="K140" s="172" t="s">
        <v>177</v>
      </c>
      <c r="L140" s="172" t="s">
        <v>175</v>
      </c>
      <c r="M140" s="173" t="str" cm="1">
        <f t="array" ref="M140">IFERROR(INDEX(CategoriesTable[Category type],MATCH(Table1[[#This Row],[Category]],CategoriesTable[Category name],0),0),"")</f>
        <v>Expense</v>
      </c>
      <c r="N140" s="173">
        <v>5</v>
      </c>
      <c r="O140" s="173">
        <f>MONTH(Table1[[#This Row],[Date]])</f>
        <v>2</v>
      </c>
      <c r="P140" s="173">
        <v>2021</v>
      </c>
      <c r="Q140" s="174">
        <f>IF(ISBLANK(Table1[[#This Row],[Date]]),"",Table1[[#This Row],[Date]]-WEEKDAY(Table1[[#This Row],[Date]],2)+1)</f>
        <v>44228</v>
      </c>
      <c r="R140" s="175">
        <f>IF(ISBLANK(Table1[[#This Row],[Date]]),"",DATE(Table1[[#This Row],[Date_Year]],Table1[[#This Row],[Date_Month]],1))</f>
        <v>44228</v>
      </c>
    </row>
    <row r="141" spans="2:18" ht="15.75" hidden="1" x14ac:dyDescent="0.25">
      <c r="B141" s="165">
        <v>44232</v>
      </c>
      <c r="C141" s="166" t="s">
        <v>123</v>
      </c>
      <c r="D141" s="166" t="s">
        <v>55</v>
      </c>
      <c r="E141" s="167"/>
      <c r="F141" s="114">
        <v>-17.989999999999998</v>
      </c>
      <c r="G141" s="168"/>
      <c r="H141" s="169"/>
      <c r="I141" s="170"/>
      <c r="J141" s="171" t="s">
        <v>338</v>
      </c>
      <c r="K141" s="172" t="s">
        <v>177</v>
      </c>
      <c r="L141" s="172" t="s">
        <v>175</v>
      </c>
      <c r="M141" s="173" t="str" cm="1">
        <f t="array" ref="M141">IFERROR(INDEX(CategoriesTable[Category type],MATCH(Table1[[#This Row],[Category]],CategoriesTable[Category name],0),0),"")</f>
        <v>Expense</v>
      </c>
      <c r="N141" s="173">
        <v>5</v>
      </c>
      <c r="O141" s="173">
        <f>MONTH(Table1[[#This Row],[Date]])</f>
        <v>2</v>
      </c>
      <c r="P141" s="173">
        <v>2021</v>
      </c>
      <c r="Q141" s="174">
        <f>IF(ISBLANK(Table1[[#This Row],[Date]]),"",Table1[[#This Row],[Date]]-WEEKDAY(Table1[[#This Row],[Date]],2)+1)</f>
        <v>44228</v>
      </c>
      <c r="R141" s="175">
        <f>IF(ISBLANK(Table1[[#This Row],[Date]]),"",DATE(Table1[[#This Row],[Date_Year]],Table1[[#This Row],[Date_Month]],1))</f>
        <v>44228</v>
      </c>
    </row>
    <row r="142" spans="2:18" ht="15.75" hidden="1" x14ac:dyDescent="0.25">
      <c r="B142" s="165">
        <v>44231</v>
      </c>
      <c r="C142" s="166" t="s">
        <v>199</v>
      </c>
      <c r="D142" s="166" t="s">
        <v>65</v>
      </c>
      <c r="E142" s="167"/>
      <c r="F142" s="114">
        <v>-28.43</v>
      </c>
      <c r="G142" s="168"/>
      <c r="H142" s="169"/>
      <c r="I142" s="170"/>
      <c r="J142" s="171" t="s">
        <v>339</v>
      </c>
      <c r="K142" s="172" t="s">
        <v>177</v>
      </c>
      <c r="L142" s="172" t="s">
        <v>175</v>
      </c>
      <c r="M142" s="173" t="str" cm="1">
        <f t="array" ref="M142">IFERROR(INDEX(CategoriesTable[Category type],MATCH(Table1[[#This Row],[Category]],CategoriesTable[Category name],0),0),"")</f>
        <v>Expense</v>
      </c>
      <c r="N142" s="173">
        <v>4</v>
      </c>
      <c r="O142" s="173">
        <f>MONTH(Table1[[#This Row],[Date]])</f>
        <v>2</v>
      </c>
      <c r="P142" s="173">
        <v>2021</v>
      </c>
      <c r="Q142" s="174">
        <f>IF(ISBLANK(Table1[[#This Row],[Date]]),"",Table1[[#This Row],[Date]]-WEEKDAY(Table1[[#This Row],[Date]],2)+1)</f>
        <v>44228</v>
      </c>
      <c r="R142" s="175">
        <f>IF(ISBLANK(Table1[[#This Row],[Date]]),"",DATE(Table1[[#This Row],[Date_Year]],Table1[[#This Row],[Date_Month]],1))</f>
        <v>44228</v>
      </c>
    </row>
    <row r="143" spans="2:18" ht="15.75" hidden="1" x14ac:dyDescent="0.25">
      <c r="B143" s="165">
        <v>44231</v>
      </c>
      <c r="C143" s="166" t="s">
        <v>143</v>
      </c>
      <c r="D143" s="166" t="s">
        <v>65</v>
      </c>
      <c r="E143" s="167"/>
      <c r="F143" s="114">
        <v>-38.22</v>
      </c>
      <c r="G143" s="168"/>
      <c r="H143" s="169"/>
      <c r="I143" s="170"/>
      <c r="J143" s="171" t="s">
        <v>340</v>
      </c>
      <c r="K143" s="172" t="s">
        <v>177</v>
      </c>
      <c r="L143" s="172" t="s">
        <v>175</v>
      </c>
      <c r="M143" s="173" t="str" cm="1">
        <f t="array" ref="M143">IFERROR(INDEX(CategoriesTable[Category type],MATCH(Table1[[#This Row],[Category]],CategoriesTable[Category name],0),0),"")</f>
        <v>Expense</v>
      </c>
      <c r="N143" s="173">
        <v>4</v>
      </c>
      <c r="O143" s="173">
        <f>MONTH(Table1[[#This Row],[Date]])</f>
        <v>2</v>
      </c>
      <c r="P143" s="173">
        <v>2021</v>
      </c>
      <c r="Q143" s="174">
        <f>IF(ISBLANK(Table1[[#This Row],[Date]]),"",Table1[[#This Row],[Date]]-WEEKDAY(Table1[[#This Row],[Date]],2)+1)</f>
        <v>44228</v>
      </c>
      <c r="R143" s="175">
        <f>IF(ISBLANK(Table1[[#This Row],[Date]]),"",DATE(Table1[[#This Row],[Date_Year]],Table1[[#This Row],[Date_Month]],1))</f>
        <v>44228</v>
      </c>
    </row>
    <row r="144" spans="2:18" ht="15.75" hidden="1" x14ac:dyDescent="0.25">
      <c r="B144" s="165">
        <v>44230</v>
      </c>
      <c r="C144" s="166" t="s">
        <v>145</v>
      </c>
      <c r="D144" s="166" t="s">
        <v>58</v>
      </c>
      <c r="E144" s="167"/>
      <c r="F144" s="114">
        <v>-10.62</v>
      </c>
      <c r="G144" s="168"/>
      <c r="H144" s="169"/>
      <c r="I144" s="170"/>
      <c r="J144" s="171" t="s">
        <v>341</v>
      </c>
      <c r="K144" s="172" t="s">
        <v>177</v>
      </c>
      <c r="L144" s="172" t="s">
        <v>175</v>
      </c>
      <c r="M144" s="173" t="str" cm="1">
        <f t="array" ref="M144">IFERROR(INDEX(CategoriesTable[Category type],MATCH(Table1[[#This Row],[Category]],CategoriesTable[Category name],0),0),"")</f>
        <v>Expense</v>
      </c>
      <c r="N144" s="173">
        <v>3</v>
      </c>
      <c r="O144" s="173">
        <f>MONTH(Table1[[#This Row],[Date]])</f>
        <v>2</v>
      </c>
      <c r="P144" s="173">
        <v>2021</v>
      </c>
      <c r="Q144" s="174">
        <f>IF(ISBLANK(Table1[[#This Row],[Date]]),"",Table1[[#This Row],[Date]]-WEEKDAY(Table1[[#This Row],[Date]],2)+1)</f>
        <v>44228</v>
      </c>
      <c r="R144" s="175">
        <f>IF(ISBLANK(Table1[[#This Row],[Date]]),"",DATE(Table1[[#This Row],[Date_Year]],Table1[[#This Row],[Date_Month]],1))</f>
        <v>44228</v>
      </c>
    </row>
    <row r="145" spans="2:18" ht="15.75" x14ac:dyDescent="0.25">
      <c r="B145" s="165">
        <v>44230</v>
      </c>
      <c r="C145" s="166" t="s">
        <v>1573</v>
      </c>
      <c r="D145" s="166" t="s">
        <v>64</v>
      </c>
      <c r="E145" s="167"/>
      <c r="F145" s="114">
        <v>-120</v>
      </c>
      <c r="G145" s="168"/>
      <c r="H145" s="169"/>
      <c r="I145" s="170"/>
      <c r="J145" s="171" t="s">
        <v>342</v>
      </c>
      <c r="K145" s="172" t="s">
        <v>177</v>
      </c>
      <c r="L145" s="172" t="s">
        <v>175</v>
      </c>
      <c r="M145" s="173" t="str" cm="1">
        <f t="array" ref="M145">IFERROR(INDEX(CategoriesTable[Category type],MATCH(Table1[[#This Row],[Category]],CategoriesTable[Category name],0),0),"")</f>
        <v>Expense</v>
      </c>
      <c r="N145" s="173">
        <v>3</v>
      </c>
      <c r="O145" s="173">
        <f>MONTH(Table1[[#This Row],[Date]])</f>
        <v>2</v>
      </c>
      <c r="P145" s="173">
        <v>2021</v>
      </c>
      <c r="Q145" s="174">
        <f>IF(ISBLANK(Table1[[#This Row],[Date]]),"",Table1[[#This Row],[Date]]-WEEKDAY(Table1[[#This Row],[Date]],2)+1)</f>
        <v>44228</v>
      </c>
      <c r="R145" s="175">
        <f>IF(ISBLANK(Table1[[#This Row],[Date]]),"",DATE(Table1[[#This Row],[Date_Year]],Table1[[#This Row],[Date_Month]],1))</f>
        <v>44228</v>
      </c>
    </row>
    <row r="146" spans="2:18" ht="15.75" hidden="1" x14ac:dyDescent="0.25">
      <c r="B146" s="165">
        <v>44230</v>
      </c>
      <c r="C146" s="166" t="s">
        <v>1571</v>
      </c>
      <c r="D146" s="166" t="s">
        <v>66</v>
      </c>
      <c r="E146" s="167"/>
      <c r="F146" s="114">
        <v>-5.3</v>
      </c>
      <c r="G146" s="168"/>
      <c r="H146" s="169"/>
      <c r="I146" s="170"/>
      <c r="J146" s="171" t="s">
        <v>343</v>
      </c>
      <c r="K146" s="172" t="s">
        <v>177</v>
      </c>
      <c r="L146" s="172" t="s">
        <v>175</v>
      </c>
      <c r="M146" s="173" t="str" cm="1">
        <f t="array" ref="M146">IFERROR(INDEX(CategoriesTable[Category type],MATCH(Table1[[#This Row],[Category]],CategoriesTable[Category name],0),0),"")</f>
        <v>Expense</v>
      </c>
      <c r="N146" s="173">
        <v>3</v>
      </c>
      <c r="O146" s="173">
        <f>MONTH(Table1[[#This Row],[Date]])</f>
        <v>2</v>
      </c>
      <c r="P146" s="173">
        <v>2021</v>
      </c>
      <c r="Q146" s="174">
        <f>IF(ISBLANK(Table1[[#This Row],[Date]]),"",Table1[[#This Row],[Date]]-WEEKDAY(Table1[[#This Row],[Date]],2)+1)</f>
        <v>44228</v>
      </c>
      <c r="R146" s="175">
        <f>IF(ISBLANK(Table1[[#This Row],[Date]]),"",DATE(Table1[[#This Row],[Date_Year]],Table1[[#This Row],[Date_Month]],1))</f>
        <v>44228</v>
      </c>
    </row>
    <row r="147" spans="2:18" ht="15.75" hidden="1" x14ac:dyDescent="0.25">
      <c r="B147" s="165">
        <v>44229</v>
      </c>
      <c r="C147" s="166" t="s">
        <v>149</v>
      </c>
      <c r="D147" s="166" t="s">
        <v>65</v>
      </c>
      <c r="E147" s="167"/>
      <c r="F147" s="114">
        <v>-18.940000000000001</v>
      </c>
      <c r="G147" s="168"/>
      <c r="H147" s="169"/>
      <c r="I147" s="170"/>
      <c r="J147" s="171" t="s">
        <v>344</v>
      </c>
      <c r="K147" s="172" t="s">
        <v>177</v>
      </c>
      <c r="L147" s="172" t="s">
        <v>175</v>
      </c>
      <c r="M147" s="173" t="str" cm="1">
        <f t="array" ref="M147">IFERROR(INDEX(CategoriesTable[Category type],MATCH(Table1[[#This Row],[Category]],CategoriesTable[Category name],0),0),"")</f>
        <v>Expense</v>
      </c>
      <c r="N147" s="173">
        <v>2</v>
      </c>
      <c r="O147" s="173">
        <f>MONTH(Table1[[#This Row],[Date]])</f>
        <v>2</v>
      </c>
      <c r="P147" s="173">
        <v>2021</v>
      </c>
      <c r="Q147" s="174">
        <f>IF(ISBLANK(Table1[[#This Row],[Date]]),"",Table1[[#This Row],[Date]]-WEEKDAY(Table1[[#This Row],[Date]],2)+1)</f>
        <v>44228</v>
      </c>
      <c r="R147" s="175">
        <f>IF(ISBLANK(Table1[[#This Row],[Date]]),"",DATE(Table1[[#This Row],[Date_Year]],Table1[[#This Row],[Date_Month]],1))</f>
        <v>44228</v>
      </c>
    </row>
    <row r="148" spans="2:18" ht="15.75" x14ac:dyDescent="0.25">
      <c r="B148" s="165">
        <v>44229</v>
      </c>
      <c r="C148" s="166" t="s">
        <v>1573</v>
      </c>
      <c r="D148" s="166" t="s">
        <v>64</v>
      </c>
      <c r="E148" s="167"/>
      <c r="F148" s="114">
        <v>-135</v>
      </c>
      <c r="G148" s="168"/>
      <c r="H148" s="169"/>
      <c r="I148" s="170"/>
      <c r="J148" s="171" t="s">
        <v>345</v>
      </c>
      <c r="K148" s="172" t="s">
        <v>177</v>
      </c>
      <c r="L148" s="172" t="s">
        <v>175</v>
      </c>
      <c r="M148" s="173" t="str" cm="1">
        <f t="array" ref="M148">IFERROR(INDEX(CategoriesTable[Category type],MATCH(Table1[[#This Row],[Category]],CategoriesTable[Category name],0),0),"")</f>
        <v>Expense</v>
      </c>
      <c r="N148" s="173">
        <v>2</v>
      </c>
      <c r="O148" s="173">
        <f>MONTH(Table1[[#This Row],[Date]])</f>
        <v>2</v>
      </c>
      <c r="P148" s="173">
        <v>2021</v>
      </c>
      <c r="Q148" s="174">
        <f>IF(ISBLANK(Table1[[#This Row],[Date]]),"",Table1[[#This Row],[Date]]-WEEKDAY(Table1[[#This Row],[Date]],2)+1)</f>
        <v>44228</v>
      </c>
      <c r="R148" s="175">
        <f>IF(ISBLANK(Table1[[#This Row],[Date]]),"",DATE(Table1[[#This Row],[Date_Year]],Table1[[#This Row],[Date_Month]],1))</f>
        <v>44228</v>
      </c>
    </row>
    <row r="149" spans="2:18" ht="15.75" hidden="1" x14ac:dyDescent="0.25">
      <c r="B149" s="165">
        <v>44228</v>
      </c>
      <c r="C149" s="166" t="s">
        <v>196</v>
      </c>
      <c r="D149" s="166" t="s">
        <v>50</v>
      </c>
      <c r="E149" s="167"/>
      <c r="F149" s="114">
        <v>4433.04</v>
      </c>
      <c r="G149" s="168"/>
      <c r="H149" s="169"/>
      <c r="I149" s="170"/>
      <c r="J149" s="171" t="s">
        <v>346</v>
      </c>
      <c r="K149" s="172" t="s">
        <v>177</v>
      </c>
      <c r="L149" s="172" t="s">
        <v>175</v>
      </c>
      <c r="M149" s="173" t="str" cm="1">
        <f t="array" ref="M149">IFERROR(INDEX(CategoriesTable[Category type],MATCH(Table1[[#This Row],[Category]],CategoriesTable[Category name],0),0),"")</f>
        <v>Income</v>
      </c>
      <c r="N149" s="173">
        <v>1</v>
      </c>
      <c r="O149" s="173">
        <f>MONTH(Table1[[#This Row],[Date]])</f>
        <v>2</v>
      </c>
      <c r="P149" s="173">
        <v>2021</v>
      </c>
      <c r="Q149" s="174">
        <f>IF(ISBLANK(Table1[[#This Row],[Date]]),"",Table1[[#This Row],[Date]]-WEEKDAY(Table1[[#This Row],[Date]],2)+1)</f>
        <v>44228</v>
      </c>
      <c r="R149" s="175">
        <f>IF(ISBLANK(Table1[[#This Row],[Date]]),"",DATE(Table1[[#This Row],[Date_Year]],Table1[[#This Row],[Date_Month]],1))</f>
        <v>44228</v>
      </c>
    </row>
    <row r="150" spans="2:18" ht="15.75" hidden="1" x14ac:dyDescent="0.25">
      <c r="B150" s="165">
        <v>44227</v>
      </c>
      <c r="C150" s="166" t="s">
        <v>138</v>
      </c>
      <c r="D150" s="166" t="s">
        <v>66</v>
      </c>
      <c r="E150" s="167"/>
      <c r="F150" s="114">
        <v>-12.99</v>
      </c>
      <c r="G150" s="168"/>
      <c r="H150" s="169"/>
      <c r="I150" s="170"/>
      <c r="J150" s="171" t="s">
        <v>347</v>
      </c>
      <c r="K150" s="172" t="s">
        <v>177</v>
      </c>
      <c r="L150" s="172" t="s">
        <v>175</v>
      </c>
      <c r="M150" s="173" t="str" cm="1">
        <f t="array" ref="M150">IFERROR(INDEX(CategoriesTable[Category type],MATCH(Table1[[#This Row],[Category]],CategoriesTable[Category name],0),0),"")</f>
        <v>Expense</v>
      </c>
      <c r="N150" s="173">
        <v>31</v>
      </c>
      <c r="O150" s="173">
        <f>MONTH(Table1[[#This Row],[Date]])</f>
        <v>1</v>
      </c>
      <c r="P150" s="173">
        <v>2021</v>
      </c>
      <c r="Q150" s="174">
        <f>IF(ISBLANK(Table1[[#This Row],[Date]]),"",Table1[[#This Row],[Date]]-WEEKDAY(Table1[[#This Row],[Date]],2)+1)</f>
        <v>44221</v>
      </c>
      <c r="R150" s="175">
        <f>IF(ISBLANK(Table1[[#This Row],[Date]]),"",DATE(Table1[[#This Row],[Date_Year]],Table1[[#This Row],[Date_Month]],1))</f>
        <v>44197</v>
      </c>
    </row>
    <row r="151" spans="2:18" ht="15.75" hidden="1" x14ac:dyDescent="0.25">
      <c r="B151" s="165">
        <v>44227</v>
      </c>
      <c r="C151" s="166" t="s">
        <v>199</v>
      </c>
      <c r="D151" s="166" t="s">
        <v>65</v>
      </c>
      <c r="E151" s="167"/>
      <c r="F151" s="114">
        <v>-31.7</v>
      </c>
      <c r="G151" s="168"/>
      <c r="H151" s="169"/>
      <c r="I151" s="170"/>
      <c r="J151" s="171" t="s">
        <v>348</v>
      </c>
      <c r="K151" s="172" t="s">
        <v>177</v>
      </c>
      <c r="L151" s="172" t="s">
        <v>175</v>
      </c>
      <c r="M151" s="173" t="str" cm="1">
        <f t="array" ref="M151">IFERROR(INDEX(CategoriesTable[Category type],MATCH(Table1[[#This Row],[Category]],CategoriesTable[Category name],0),0),"")</f>
        <v>Expense</v>
      </c>
      <c r="N151" s="173">
        <v>31</v>
      </c>
      <c r="O151" s="173">
        <f>MONTH(Table1[[#This Row],[Date]])</f>
        <v>1</v>
      </c>
      <c r="P151" s="173">
        <v>2021</v>
      </c>
      <c r="Q151" s="174">
        <f>IF(ISBLANK(Table1[[#This Row],[Date]]),"",Table1[[#This Row],[Date]]-WEEKDAY(Table1[[#This Row],[Date]],2)+1)</f>
        <v>44221</v>
      </c>
      <c r="R151" s="175">
        <f>IF(ISBLANK(Table1[[#This Row],[Date]]),"",DATE(Table1[[#This Row],[Date_Year]],Table1[[#This Row],[Date_Month]],1))</f>
        <v>44197</v>
      </c>
    </row>
    <row r="152" spans="2:18" ht="15.75" hidden="1" x14ac:dyDescent="0.25">
      <c r="B152" s="165">
        <v>44227</v>
      </c>
      <c r="C152" s="166" t="s">
        <v>199</v>
      </c>
      <c r="D152" s="166" t="s">
        <v>65</v>
      </c>
      <c r="E152" s="167"/>
      <c r="F152" s="114">
        <v>-47.07</v>
      </c>
      <c r="G152" s="168"/>
      <c r="H152" s="169"/>
      <c r="I152" s="170"/>
      <c r="J152" s="171" t="s">
        <v>349</v>
      </c>
      <c r="K152" s="172" t="s">
        <v>177</v>
      </c>
      <c r="L152" s="172" t="s">
        <v>175</v>
      </c>
      <c r="M152" s="173" t="str" cm="1">
        <f t="array" ref="M152">IFERROR(INDEX(CategoriesTable[Category type],MATCH(Table1[[#This Row],[Category]],CategoriesTable[Category name],0),0),"")</f>
        <v>Expense</v>
      </c>
      <c r="N152" s="173">
        <v>31</v>
      </c>
      <c r="O152" s="173">
        <f>MONTH(Table1[[#This Row],[Date]])</f>
        <v>1</v>
      </c>
      <c r="P152" s="173">
        <v>2021</v>
      </c>
      <c r="Q152" s="174">
        <f>IF(ISBLANK(Table1[[#This Row],[Date]]),"",Table1[[#This Row],[Date]]-WEEKDAY(Table1[[#This Row],[Date]],2)+1)</f>
        <v>44221</v>
      </c>
      <c r="R152" s="175">
        <f>IF(ISBLANK(Table1[[#This Row],[Date]]),"",DATE(Table1[[#This Row],[Date_Year]],Table1[[#This Row],[Date_Month]],1))</f>
        <v>44197</v>
      </c>
    </row>
    <row r="153" spans="2:18" ht="15.75" hidden="1" x14ac:dyDescent="0.25">
      <c r="B153" s="165">
        <v>44227</v>
      </c>
      <c r="C153" s="166" t="s">
        <v>1567</v>
      </c>
      <c r="D153" s="166" t="s">
        <v>55</v>
      </c>
      <c r="E153" s="167"/>
      <c r="F153" s="114">
        <v>-9.99</v>
      </c>
      <c r="G153" s="168"/>
      <c r="H153" s="169"/>
      <c r="I153" s="170"/>
      <c r="J153" s="171" t="s">
        <v>350</v>
      </c>
      <c r="K153" s="172" t="s">
        <v>177</v>
      </c>
      <c r="L153" s="172" t="s">
        <v>175</v>
      </c>
      <c r="M153" s="173" t="str" cm="1">
        <f t="array" ref="M153">IFERROR(INDEX(CategoriesTable[Category type],MATCH(Table1[[#This Row],[Category]],CategoriesTable[Category name],0),0),"")</f>
        <v>Expense</v>
      </c>
      <c r="N153" s="173">
        <v>31</v>
      </c>
      <c r="O153" s="173">
        <f>MONTH(Table1[[#This Row],[Date]])</f>
        <v>1</v>
      </c>
      <c r="P153" s="173">
        <v>2021</v>
      </c>
      <c r="Q153" s="174">
        <f>IF(ISBLANK(Table1[[#This Row],[Date]]),"",Table1[[#This Row],[Date]]-WEEKDAY(Table1[[#This Row],[Date]],2)+1)</f>
        <v>44221</v>
      </c>
      <c r="R153" s="175">
        <f>IF(ISBLANK(Table1[[#This Row],[Date]]),"",DATE(Table1[[#This Row],[Date_Year]],Table1[[#This Row],[Date_Month]],1))</f>
        <v>44197</v>
      </c>
    </row>
    <row r="154" spans="2:18" ht="15.75" hidden="1" x14ac:dyDescent="0.25">
      <c r="B154" s="165">
        <v>44226</v>
      </c>
      <c r="C154" s="166" t="s">
        <v>149</v>
      </c>
      <c r="D154" s="166" t="s">
        <v>65</v>
      </c>
      <c r="E154" s="167"/>
      <c r="F154" s="114">
        <v>-17.989999999999998</v>
      </c>
      <c r="G154" s="168"/>
      <c r="H154" s="169"/>
      <c r="I154" s="170"/>
      <c r="J154" s="171" t="s">
        <v>351</v>
      </c>
      <c r="K154" s="172" t="s">
        <v>177</v>
      </c>
      <c r="L154" s="172" t="s">
        <v>175</v>
      </c>
      <c r="M154" s="173" t="str" cm="1">
        <f t="array" ref="M154">IFERROR(INDEX(CategoriesTable[Category type],MATCH(Table1[[#This Row],[Category]],CategoriesTable[Category name],0),0),"")</f>
        <v>Expense</v>
      </c>
      <c r="N154" s="173">
        <v>30</v>
      </c>
      <c r="O154" s="173">
        <f>MONTH(Table1[[#This Row],[Date]])</f>
        <v>1</v>
      </c>
      <c r="P154" s="173">
        <v>2021</v>
      </c>
      <c r="Q154" s="174">
        <f>IF(ISBLANK(Table1[[#This Row],[Date]]),"",Table1[[#This Row],[Date]]-WEEKDAY(Table1[[#This Row],[Date]],2)+1)</f>
        <v>44221</v>
      </c>
      <c r="R154" s="175">
        <f>IF(ISBLANK(Table1[[#This Row],[Date]]),"",DATE(Table1[[#This Row],[Date_Year]],Table1[[#This Row],[Date_Month]],1))</f>
        <v>44197</v>
      </c>
    </row>
    <row r="155" spans="2:18" ht="15.75" hidden="1" x14ac:dyDescent="0.25">
      <c r="B155" s="165">
        <v>44226</v>
      </c>
      <c r="C155" s="166" t="s">
        <v>227</v>
      </c>
      <c r="D155" s="166" t="s">
        <v>59</v>
      </c>
      <c r="E155" s="167"/>
      <c r="F155" s="114">
        <v>-20</v>
      </c>
      <c r="G155" s="168"/>
      <c r="H155" s="169"/>
      <c r="I155" s="170"/>
      <c r="J155" s="171" t="s">
        <v>352</v>
      </c>
      <c r="K155" s="172" t="s">
        <v>177</v>
      </c>
      <c r="L155" s="172" t="s">
        <v>175</v>
      </c>
      <c r="M155" s="173" t="str" cm="1">
        <f t="array" ref="M155">IFERROR(INDEX(CategoriesTable[Category type],MATCH(Table1[[#This Row],[Category]],CategoriesTable[Category name],0),0),"")</f>
        <v>Expense</v>
      </c>
      <c r="N155" s="173">
        <v>30</v>
      </c>
      <c r="O155" s="173">
        <f>MONTH(Table1[[#This Row],[Date]])</f>
        <v>1</v>
      </c>
      <c r="P155" s="173">
        <v>2021</v>
      </c>
      <c r="Q155" s="174">
        <f>IF(ISBLANK(Table1[[#This Row],[Date]]),"",Table1[[#This Row],[Date]]-WEEKDAY(Table1[[#This Row],[Date]],2)+1)</f>
        <v>44221</v>
      </c>
      <c r="R155" s="175">
        <f>IF(ISBLANK(Table1[[#This Row],[Date]]),"",DATE(Table1[[#This Row],[Date_Year]],Table1[[#This Row],[Date_Month]],1))</f>
        <v>44197</v>
      </c>
    </row>
    <row r="156" spans="2:18" ht="15.75" x14ac:dyDescent="0.25">
      <c r="B156" s="165">
        <v>44225</v>
      </c>
      <c r="C156" s="166" t="s">
        <v>1573</v>
      </c>
      <c r="D156" s="166" t="s">
        <v>64</v>
      </c>
      <c r="E156" s="167"/>
      <c r="F156" s="114">
        <v>-120</v>
      </c>
      <c r="G156" s="168"/>
      <c r="H156" s="169"/>
      <c r="I156" s="170"/>
      <c r="J156" s="171" t="s">
        <v>353</v>
      </c>
      <c r="K156" s="172" t="s">
        <v>177</v>
      </c>
      <c r="L156" s="172" t="s">
        <v>175</v>
      </c>
      <c r="M156" s="173" t="str" cm="1">
        <f t="array" ref="M156">IFERROR(INDEX(CategoriesTable[Category type],MATCH(Table1[[#This Row],[Category]],CategoriesTable[Category name],0),0),"")</f>
        <v>Expense</v>
      </c>
      <c r="N156" s="173">
        <v>29</v>
      </c>
      <c r="O156" s="173">
        <f>MONTH(Table1[[#This Row],[Date]])</f>
        <v>1</v>
      </c>
      <c r="P156" s="173">
        <v>2021</v>
      </c>
      <c r="Q156" s="174">
        <f>IF(ISBLANK(Table1[[#This Row],[Date]]),"",Table1[[#This Row],[Date]]-WEEKDAY(Table1[[#This Row],[Date]],2)+1)</f>
        <v>44221</v>
      </c>
      <c r="R156" s="175">
        <f>IF(ISBLANK(Table1[[#This Row],[Date]]),"",DATE(Table1[[#This Row],[Date_Year]],Table1[[#This Row],[Date_Month]],1))</f>
        <v>44197</v>
      </c>
    </row>
    <row r="157" spans="2:18" ht="15.75" x14ac:dyDescent="0.25">
      <c r="B157" s="165">
        <v>44225</v>
      </c>
      <c r="C157" s="166" t="s">
        <v>1573</v>
      </c>
      <c r="D157" s="166" t="s">
        <v>64</v>
      </c>
      <c r="E157" s="167"/>
      <c r="F157" s="114">
        <v>-200</v>
      </c>
      <c r="G157" s="168"/>
      <c r="H157" s="169"/>
      <c r="I157" s="170"/>
      <c r="J157" s="171" t="s">
        <v>354</v>
      </c>
      <c r="K157" s="172" t="s">
        <v>177</v>
      </c>
      <c r="L157" s="172" t="s">
        <v>175</v>
      </c>
      <c r="M157" s="173" t="str" cm="1">
        <f t="array" ref="M157">IFERROR(INDEX(CategoriesTable[Category type],MATCH(Table1[[#This Row],[Category]],CategoriesTable[Category name],0),0),"")</f>
        <v>Expense</v>
      </c>
      <c r="N157" s="173">
        <v>29</v>
      </c>
      <c r="O157" s="173">
        <f>MONTH(Table1[[#This Row],[Date]])</f>
        <v>1</v>
      </c>
      <c r="P157" s="173">
        <v>2021</v>
      </c>
      <c r="Q157" s="174">
        <f>IF(ISBLANK(Table1[[#This Row],[Date]]),"",Table1[[#This Row],[Date]]-WEEKDAY(Table1[[#This Row],[Date]],2)+1)</f>
        <v>44221</v>
      </c>
      <c r="R157" s="175">
        <f>IF(ISBLANK(Table1[[#This Row],[Date]]),"",DATE(Table1[[#This Row],[Date_Year]],Table1[[#This Row],[Date_Month]],1))</f>
        <v>44197</v>
      </c>
    </row>
    <row r="158" spans="2:18" ht="15.75" hidden="1" x14ac:dyDescent="0.25">
      <c r="B158" s="165">
        <v>44225</v>
      </c>
      <c r="C158" s="166" t="s">
        <v>355</v>
      </c>
      <c r="D158" s="166" t="s">
        <v>65</v>
      </c>
      <c r="E158" s="167"/>
      <c r="F158" s="114">
        <v>-12.91</v>
      </c>
      <c r="G158" s="168"/>
      <c r="H158" s="169"/>
      <c r="I158" s="170"/>
      <c r="J158" s="171" t="s">
        <v>356</v>
      </c>
      <c r="K158" s="172" t="s">
        <v>177</v>
      </c>
      <c r="L158" s="172" t="s">
        <v>175</v>
      </c>
      <c r="M158" s="173" t="str" cm="1">
        <f t="array" ref="M158">IFERROR(INDEX(CategoriesTable[Category type],MATCH(Table1[[#This Row],[Category]],CategoriesTable[Category name],0),0),"")</f>
        <v>Expense</v>
      </c>
      <c r="N158" s="173">
        <v>29</v>
      </c>
      <c r="O158" s="173">
        <f>MONTH(Table1[[#This Row],[Date]])</f>
        <v>1</v>
      </c>
      <c r="P158" s="173">
        <v>2021</v>
      </c>
      <c r="Q158" s="174">
        <f>IF(ISBLANK(Table1[[#This Row],[Date]]),"",Table1[[#This Row],[Date]]-WEEKDAY(Table1[[#This Row],[Date]],2)+1)</f>
        <v>44221</v>
      </c>
      <c r="R158" s="175">
        <f>IF(ISBLANK(Table1[[#This Row],[Date]]),"",DATE(Table1[[#This Row],[Date_Year]],Table1[[#This Row],[Date_Month]],1))</f>
        <v>44197</v>
      </c>
    </row>
    <row r="159" spans="2:18" ht="15.75" hidden="1" x14ac:dyDescent="0.25">
      <c r="B159" s="165">
        <v>44225</v>
      </c>
      <c r="C159" s="166" t="s">
        <v>120</v>
      </c>
      <c r="D159" s="166" t="s">
        <v>57</v>
      </c>
      <c r="E159" s="167"/>
      <c r="F159" s="114">
        <v>-36</v>
      </c>
      <c r="G159" s="168"/>
      <c r="H159" s="169"/>
      <c r="I159" s="170"/>
      <c r="J159" s="171" t="s">
        <v>357</v>
      </c>
      <c r="K159" s="172" t="s">
        <v>177</v>
      </c>
      <c r="L159" s="172" t="s">
        <v>175</v>
      </c>
      <c r="M159" s="173" t="str" cm="1">
        <f t="array" ref="M159">IFERROR(INDEX(CategoriesTable[Category type],MATCH(Table1[[#This Row],[Category]],CategoriesTable[Category name],0),0),"")</f>
        <v>Expense</v>
      </c>
      <c r="N159" s="173">
        <v>29</v>
      </c>
      <c r="O159" s="173">
        <f>MONTH(Table1[[#This Row],[Date]])</f>
        <v>1</v>
      </c>
      <c r="P159" s="173">
        <v>2021</v>
      </c>
      <c r="Q159" s="174">
        <f>IF(ISBLANK(Table1[[#This Row],[Date]]),"",Table1[[#This Row],[Date]]-WEEKDAY(Table1[[#This Row],[Date]],2)+1)</f>
        <v>44221</v>
      </c>
      <c r="R159" s="175">
        <f>IF(ISBLANK(Table1[[#This Row],[Date]]),"",DATE(Table1[[#This Row],[Date_Year]],Table1[[#This Row],[Date_Month]],1))</f>
        <v>44197</v>
      </c>
    </row>
    <row r="160" spans="2:18" ht="15.75" hidden="1" x14ac:dyDescent="0.25">
      <c r="B160" s="165">
        <v>44225</v>
      </c>
      <c r="C160" s="166" t="s">
        <v>358</v>
      </c>
      <c r="D160" s="166" t="s">
        <v>57</v>
      </c>
      <c r="E160" s="167"/>
      <c r="F160" s="114">
        <v>-36</v>
      </c>
      <c r="G160" s="168"/>
      <c r="H160" s="169"/>
      <c r="I160" s="170"/>
      <c r="J160" s="171" t="s">
        <v>359</v>
      </c>
      <c r="K160" s="172" t="s">
        <v>177</v>
      </c>
      <c r="L160" s="172" t="s">
        <v>175</v>
      </c>
      <c r="M160" s="173" t="str" cm="1">
        <f t="array" ref="M160">IFERROR(INDEX(CategoriesTable[Category type],MATCH(Table1[[#This Row],[Category]],CategoriesTable[Category name],0),0),"")</f>
        <v>Expense</v>
      </c>
      <c r="N160" s="173">
        <v>29</v>
      </c>
      <c r="O160" s="173">
        <f>MONTH(Table1[[#This Row],[Date]])</f>
        <v>1</v>
      </c>
      <c r="P160" s="173">
        <v>2021</v>
      </c>
      <c r="Q160" s="174">
        <f>IF(ISBLANK(Table1[[#This Row],[Date]]),"",Table1[[#This Row],[Date]]-WEEKDAY(Table1[[#This Row],[Date]],2)+1)</f>
        <v>44221</v>
      </c>
      <c r="R160" s="175">
        <f>IF(ISBLANK(Table1[[#This Row],[Date]]),"",DATE(Table1[[#This Row],[Date_Year]],Table1[[#This Row],[Date_Month]],1))</f>
        <v>44197</v>
      </c>
    </row>
    <row r="161" spans="2:18" ht="15.75" hidden="1" x14ac:dyDescent="0.25">
      <c r="B161" s="165">
        <v>44225</v>
      </c>
      <c r="C161" s="166" t="s">
        <v>360</v>
      </c>
      <c r="D161" s="166" t="s">
        <v>51</v>
      </c>
      <c r="E161" s="167"/>
      <c r="F161" s="114">
        <v>147.75</v>
      </c>
      <c r="G161" s="168"/>
      <c r="H161" s="169"/>
      <c r="I161" s="170"/>
      <c r="J161" s="171" t="s">
        <v>361</v>
      </c>
      <c r="K161" s="172" t="s">
        <v>177</v>
      </c>
      <c r="L161" s="172" t="s">
        <v>175</v>
      </c>
      <c r="M161" s="173" t="str" cm="1">
        <f t="array" ref="M161">IFERROR(INDEX(CategoriesTable[Category type],MATCH(Table1[[#This Row],[Category]],CategoriesTable[Category name],0),0),"")</f>
        <v>Transfer</v>
      </c>
      <c r="N161" s="173">
        <v>29</v>
      </c>
      <c r="O161" s="173">
        <f>MONTH(Table1[[#This Row],[Date]])</f>
        <v>1</v>
      </c>
      <c r="P161" s="173">
        <v>2021</v>
      </c>
      <c r="Q161" s="174">
        <f>IF(ISBLANK(Table1[[#This Row],[Date]]),"",Table1[[#This Row],[Date]]-WEEKDAY(Table1[[#This Row],[Date]],2)+1)</f>
        <v>44221</v>
      </c>
      <c r="R161" s="175">
        <f>IF(ISBLANK(Table1[[#This Row],[Date]]),"",DATE(Table1[[#This Row],[Date_Year]],Table1[[#This Row],[Date_Month]],1))</f>
        <v>44197</v>
      </c>
    </row>
    <row r="162" spans="2:18" ht="15.75" hidden="1" x14ac:dyDescent="0.25">
      <c r="B162" s="165">
        <v>44224</v>
      </c>
      <c r="C162" s="166" t="s">
        <v>145</v>
      </c>
      <c r="D162" s="166" t="s">
        <v>58</v>
      </c>
      <c r="E162" s="167"/>
      <c r="F162" s="114">
        <v>-22.32</v>
      </c>
      <c r="G162" s="168"/>
      <c r="H162" s="169"/>
      <c r="I162" s="170"/>
      <c r="J162" s="171" t="s">
        <v>362</v>
      </c>
      <c r="K162" s="172" t="s">
        <v>177</v>
      </c>
      <c r="L162" s="172" t="s">
        <v>175</v>
      </c>
      <c r="M162" s="173" t="str" cm="1">
        <f t="array" ref="M162">IFERROR(INDEX(CategoriesTable[Category type],MATCH(Table1[[#This Row],[Category]],CategoriesTable[Category name],0),0),"")</f>
        <v>Expense</v>
      </c>
      <c r="N162" s="173">
        <v>28</v>
      </c>
      <c r="O162" s="173">
        <f>MONTH(Table1[[#This Row],[Date]])</f>
        <v>1</v>
      </c>
      <c r="P162" s="173">
        <v>2021</v>
      </c>
      <c r="Q162" s="174">
        <f>IF(ISBLANK(Table1[[#This Row],[Date]]),"",Table1[[#This Row],[Date]]-WEEKDAY(Table1[[#This Row],[Date]],2)+1)</f>
        <v>44221</v>
      </c>
      <c r="R162" s="175">
        <f>IF(ISBLANK(Table1[[#This Row],[Date]]),"",DATE(Table1[[#This Row],[Date_Year]],Table1[[#This Row],[Date_Month]],1))</f>
        <v>44197</v>
      </c>
    </row>
    <row r="163" spans="2:18" ht="15.75" hidden="1" x14ac:dyDescent="0.25">
      <c r="B163" s="165">
        <v>44224</v>
      </c>
      <c r="C163" s="166" t="s">
        <v>363</v>
      </c>
      <c r="D163" s="166" t="s">
        <v>55</v>
      </c>
      <c r="E163" s="167"/>
      <c r="F163" s="114">
        <v>-31.78</v>
      </c>
      <c r="G163" s="168"/>
      <c r="H163" s="169"/>
      <c r="I163" s="170"/>
      <c r="J163" s="171" t="s">
        <v>364</v>
      </c>
      <c r="K163" s="172" t="s">
        <v>177</v>
      </c>
      <c r="L163" s="172" t="s">
        <v>175</v>
      </c>
      <c r="M163" s="173" t="str" cm="1">
        <f t="array" ref="M163">IFERROR(INDEX(CategoriesTable[Category type],MATCH(Table1[[#This Row],[Category]],CategoriesTable[Category name],0),0),"")</f>
        <v>Expense</v>
      </c>
      <c r="N163" s="173">
        <v>28</v>
      </c>
      <c r="O163" s="173">
        <f>MONTH(Table1[[#This Row],[Date]])</f>
        <v>1</v>
      </c>
      <c r="P163" s="173">
        <v>2021</v>
      </c>
      <c r="Q163" s="174">
        <f>IF(ISBLANK(Table1[[#This Row],[Date]]),"",Table1[[#This Row],[Date]]-WEEKDAY(Table1[[#This Row],[Date]],2)+1)</f>
        <v>44221</v>
      </c>
      <c r="R163" s="175">
        <f>IF(ISBLANK(Table1[[#This Row],[Date]]),"",DATE(Table1[[#This Row],[Date_Year]],Table1[[#This Row],[Date_Month]],1))</f>
        <v>44197</v>
      </c>
    </row>
    <row r="164" spans="2:18" ht="15.75" hidden="1" x14ac:dyDescent="0.25">
      <c r="B164" s="165">
        <v>44224</v>
      </c>
      <c r="C164" s="166" t="s">
        <v>120</v>
      </c>
      <c r="D164" s="166" t="s">
        <v>66</v>
      </c>
      <c r="E164" s="167"/>
      <c r="F164" s="114">
        <v>-25.2</v>
      </c>
      <c r="G164" s="168"/>
      <c r="H164" s="169"/>
      <c r="I164" s="170"/>
      <c r="J164" s="171" t="s">
        <v>365</v>
      </c>
      <c r="K164" s="172" t="s">
        <v>177</v>
      </c>
      <c r="L164" s="172" t="s">
        <v>175</v>
      </c>
      <c r="M164" s="173" t="str" cm="1">
        <f t="array" ref="M164">IFERROR(INDEX(CategoriesTable[Category type],MATCH(Table1[[#This Row],[Category]],CategoriesTable[Category name],0),0),"")</f>
        <v>Expense</v>
      </c>
      <c r="N164" s="173">
        <v>28</v>
      </c>
      <c r="O164" s="173">
        <f>MONTH(Table1[[#This Row],[Date]])</f>
        <v>1</v>
      </c>
      <c r="P164" s="173">
        <v>2021</v>
      </c>
      <c r="Q164" s="174">
        <f>IF(ISBLANK(Table1[[#This Row],[Date]]),"",Table1[[#This Row],[Date]]-WEEKDAY(Table1[[#This Row],[Date]],2)+1)</f>
        <v>44221</v>
      </c>
      <c r="R164" s="175">
        <f>IF(ISBLANK(Table1[[#This Row],[Date]]),"",DATE(Table1[[#This Row],[Date_Year]],Table1[[#This Row],[Date_Month]],1))</f>
        <v>44197</v>
      </c>
    </row>
    <row r="165" spans="2:18" ht="15.75" hidden="1" x14ac:dyDescent="0.25">
      <c r="B165" s="165">
        <v>44224</v>
      </c>
      <c r="C165" s="166" t="s">
        <v>119</v>
      </c>
      <c r="D165" s="166" t="s">
        <v>60</v>
      </c>
      <c r="E165" s="167"/>
      <c r="F165" s="114">
        <v>-61.85</v>
      </c>
      <c r="G165" s="168"/>
      <c r="H165" s="169"/>
      <c r="I165" s="170"/>
      <c r="J165" s="171" t="s">
        <v>366</v>
      </c>
      <c r="K165" s="172" t="s">
        <v>177</v>
      </c>
      <c r="L165" s="172" t="s">
        <v>175</v>
      </c>
      <c r="M165" s="173" t="str" cm="1">
        <f t="array" ref="M165">IFERROR(INDEX(CategoriesTable[Category type],MATCH(Table1[[#This Row],[Category]],CategoriesTable[Category name],0),0),"")</f>
        <v>Expense</v>
      </c>
      <c r="N165" s="173">
        <v>28</v>
      </c>
      <c r="O165" s="173">
        <f>MONTH(Table1[[#This Row],[Date]])</f>
        <v>1</v>
      </c>
      <c r="P165" s="173">
        <v>2021</v>
      </c>
      <c r="Q165" s="174">
        <f>IF(ISBLANK(Table1[[#This Row],[Date]]),"",Table1[[#This Row],[Date]]-WEEKDAY(Table1[[#This Row],[Date]],2)+1)</f>
        <v>44221</v>
      </c>
      <c r="R165" s="175">
        <f>IF(ISBLANK(Table1[[#This Row],[Date]]),"",DATE(Table1[[#This Row],[Date_Year]],Table1[[#This Row],[Date_Month]],1))</f>
        <v>44197</v>
      </c>
    </row>
    <row r="166" spans="2:18" ht="15.75" hidden="1" x14ac:dyDescent="0.25">
      <c r="B166" s="165">
        <v>44223</v>
      </c>
      <c r="C166" s="166" t="s">
        <v>202</v>
      </c>
      <c r="D166" s="166" t="s">
        <v>55</v>
      </c>
      <c r="E166" s="167"/>
      <c r="F166" s="114">
        <v>-344.72</v>
      </c>
      <c r="G166" s="168"/>
      <c r="H166" s="169"/>
      <c r="I166" s="170"/>
      <c r="J166" s="171" t="s">
        <v>367</v>
      </c>
      <c r="K166" s="172" t="s">
        <v>177</v>
      </c>
      <c r="L166" s="172" t="s">
        <v>175</v>
      </c>
      <c r="M166" s="173" t="str" cm="1">
        <f t="array" ref="M166">IFERROR(INDEX(CategoriesTable[Category type],MATCH(Table1[[#This Row],[Category]],CategoriesTable[Category name],0),0),"")</f>
        <v>Expense</v>
      </c>
      <c r="N166" s="173">
        <v>27</v>
      </c>
      <c r="O166" s="173">
        <f>MONTH(Table1[[#This Row],[Date]])</f>
        <v>1</v>
      </c>
      <c r="P166" s="173">
        <v>2021</v>
      </c>
      <c r="Q166" s="174">
        <f>IF(ISBLANK(Table1[[#This Row],[Date]]),"",Table1[[#This Row],[Date]]-WEEKDAY(Table1[[#This Row],[Date]],2)+1)</f>
        <v>44221</v>
      </c>
      <c r="R166" s="175">
        <f>IF(ISBLANK(Table1[[#This Row],[Date]]),"",DATE(Table1[[#This Row],[Date_Year]],Table1[[#This Row],[Date_Month]],1))</f>
        <v>44197</v>
      </c>
    </row>
    <row r="167" spans="2:18" ht="15.75" hidden="1" x14ac:dyDescent="0.25">
      <c r="B167" s="165">
        <v>44222</v>
      </c>
      <c r="C167" s="166" t="s">
        <v>145</v>
      </c>
      <c r="D167" s="166" t="s">
        <v>58</v>
      </c>
      <c r="E167" s="167"/>
      <c r="F167" s="114">
        <v>-12.54</v>
      </c>
      <c r="G167" s="168"/>
      <c r="H167" s="169"/>
      <c r="I167" s="170"/>
      <c r="J167" s="171" t="s">
        <v>368</v>
      </c>
      <c r="K167" s="172" t="s">
        <v>177</v>
      </c>
      <c r="L167" s="172" t="s">
        <v>175</v>
      </c>
      <c r="M167" s="173" t="str" cm="1">
        <f t="array" ref="M167">IFERROR(INDEX(CategoriesTable[Category type],MATCH(Table1[[#This Row],[Category]],CategoriesTable[Category name],0),0),"")</f>
        <v>Expense</v>
      </c>
      <c r="N167" s="173">
        <v>26</v>
      </c>
      <c r="O167" s="173">
        <f>MONTH(Table1[[#This Row],[Date]])</f>
        <v>1</v>
      </c>
      <c r="P167" s="173">
        <v>2021</v>
      </c>
      <c r="Q167" s="174">
        <f>IF(ISBLANK(Table1[[#This Row],[Date]]),"",Table1[[#This Row],[Date]]-WEEKDAY(Table1[[#This Row],[Date]],2)+1)</f>
        <v>44221</v>
      </c>
      <c r="R167" s="175">
        <f>IF(ISBLANK(Table1[[#This Row],[Date]]),"",DATE(Table1[[#This Row],[Date_Year]],Table1[[#This Row],[Date_Month]],1))</f>
        <v>44197</v>
      </c>
    </row>
    <row r="168" spans="2:18" ht="15.75" x14ac:dyDescent="0.25">
      <c r="B168" s="165">
        <v>44222</v>
      </c>
      <c r="C168" s="166" t="s">
        <v>1573</v>
      </c>
      <c r="D168" s="166" t="s">
        <v>64</v>
      </c>
      <c r="E168" s="167"/>
      <c r="F168" s="114">
        <v>-75</v>
      </c>
      <c r="G168" s="168"/>
      <c r="H168" s="169"/>
      <c r="I168" s="170"/>
      <c r="J168" s="171" t="s">
        <v>369</v>
      </c>
      <c r="K168" s="172" t="s">
        <v>177</v>
      </c>
      <c r="L168" s="172" t="s">
        <v>175</v>
      </c>
      <c r="M168" s="173" t="str" cm="1">
        <f t="array" ref="M168">IFERROR(INDEX(CategoriesTable[Category type],MATCH(Table1[[#This Row],[Category]],CategoriesTable[Category name],0),0),"")</f>
        <v>Expense</v>
      </c>
      <c r="N168" s="173">
        <v>26</v>
      </c>
      <c r="O168" s="173">
        <f>MONTH(Table1[[#This Row],[Date]])</f>
        <v>1</v>
      </c>
      <c r="P168" s="173">
        <v>2021</v>
      </c>
      <c r="Q168" s="174">
        <f>IF(ISBLANK(Table1[[#This Row],[Date]]),"",Table1[[#This Row],[Date]]-WEEKDAY(Table1[[#This Row],[Date]],2)+1)</f>
        <v>44221</v>
      </c>
      <c r="R168" s="175">
        <f>IF(ISBLANK(Table1[[#This Row],[Date]]),"",DATE(Table1[[#This Row],[Date_Year]],Table1[[#This Row],[Date_Month]],1))</f>
        <v>44197</v>
      </c>
    </row>
    <row r="169" spans="2:18" ht="15.75" x14ac:dyDescent="0.25">
      <c r="B169" s="165">
        <v>44222</v>
      </c>
      <c r="C169" s="166" t="s">
        <v>1573</v>
      </c>
      <c r="D169" s="166" t="s">
        <v>64</v>
      </c>
      <c r="E169" s="167"/>
      <c r="F169" s="114">
        <v>-125</v>
      </c>
      <c r="G169" s="168"/>
      <c r="H169" s="169"/>
      <c r="I169" s="170"/>
      <c r="J169" s="171" t="s">
        <v>370</v>
      </c>
      <c r="K169" s="172" t="s">
        <v>177</v>
      </c>
      <c r="L169" s="172" t="s">
        <v>175</v>
      </c>
      <c r="M169" s="173" t="str" cm="1">
        <f t="array" ref="M169">IFERROR(INDEX(CategoriesTable[Category type],MATCH(Table1[[#This Row],[Category]],CategoriesTable[Category name],0),0),"")</f>
        <v>Expense</v>
      </c>
      <c r="N169" s="173">
        <v>26</v>
      </c>
      <c r="O169" s="173">
        <f>MONTH(Table1[[#This Row],[Date]])</f>
        <v>1</v>
      </c>
      <c r="P169" s="173">
        <v>2021</v>
      </c>
      <c r="Q169" s="174">
        <f>IF(ISBLANK(Table1[[#This Row],[Date]]),"",Table1[[#This Row],[Date]]-WEEKDAY(Table1[[#This Row],[Date]],2)+1)</f>
        <v>44221</v>
      </c>
      <c r="R169" s="175">
        <f>IF(ISBLANK(Table1[[#This Row],[Date]]),"",DATE(Table1[[#This Row],[Date_Year]],Table1[[#This Row],[Date_Month]],1))</f>
        <v>44197</v>
      </c>
    </row>
    <row r="170" spans="2:18" ht="15.75" hidden="1" x14ac:dyDescent="0.25">
      <c r="B170" s="165">
        <v>44222</v>
      </c>
      <c r="C170" s="166" t="s">
        <v>120</v>
      </c>
      <c r="D170" s="166" t="s">
        <v>66</v>
      </c>
      <c r="E170" s="167"/>
      <c r="F170" s="114">
        <v>-5.78</v>
      </c>
      <c r="G170" s="168"/>
      <c r="H170" s="169"/>
      <c r="I170" s="170"/>
      <c r="J170" s="171" t="s">
        <v>371</v>
      </c>
      <c r="K170" s="172" t="s">
        <v>177</v>
      </c>
      <c r="L170" s="172" t="s">
        <v>175</v>
      </c>
      <c r="M170" s="173" t="str" cm="1">
        <f t="array" ref="M170">IFERROR(INDEX(CategoriesTable[Category type],MATCH(Table1[[#This Row],[Category]],CategoriesTable[Category name],0),0),"")</f>
        <v>Expense</v>
      </c>
      <c r="N170" s="173">
        <v>26</v>
      </c>
      <c r="O170" s="173">
        <f>MONTH(Table1[[#This Row],[Date]])</f>
        <v>1</v>
      </c>
      <c r="P170" s="173">
        <v>2021</v>
      </c>
      <c r="Q170" s="174">
        <f>IF(ISBLANK(Table1[[#This Row],[Date]]),"",Table1[[#This Row],[Date]]-WEEKDAY(Table1[[#This Row],[Date]],2)+1)</f>
        <v>44221</v>
      </c>
      <c r="R170" s="175">
        <f>IF(ISBLANK(Table1[[#This Row],[Date]]),"",DATE(Table1[[#This Row],[Date_Year]],Table1[[#This Row],[Date_Month]],1))</f>
        <v>44197</v>
      </c>
    </row>
    <row r="171" spans="2:18" ht="15.75" hidden="1" x14ac:dyDescent="0.25">
      <c r="B171" s="165">
        <v>44222</v>
      </c>
      <c r="C171" s="166" t="s">
        <v>121</v>
      </c>
      <c r="D171" s="166" t="s">
        <v>65</v>
      </c>
      <c r="E171" s="167"/>
      <c r="F171" s="114">
        <v>-12.17</v>
      </c>
      <c r="G171" s="168"/>
      <c r="H171" s="169"/>
      <c r="I171" s="170"/>
      <c r="J171" s="171" t="s">
        <v>372</v>
      </c>
      <c r="K171" s="172" t="s">
        <v>177</v>
      </c>
      <c r="L171" s="172" t="s">
        <v>175</v>
      </c>
      <c r="M171" s="173" t="str" cm="1">
        <f t="array" ref="M171">IFERROR(INDEX(CategoriesTable[Category type],MATCH(Table1[[#This Row],[Category]],CategoriesTable[Category name],0),0),"")</f>
        <v>Expense</v>
      </c>
      <c r="N171" s="173">
        <v>26</v>
      </c>
      <c r="O171" s="173">
        <f>MONTH(Table1[[#This Row],[Date]])</f>
        <v>1</v>
      </c>
      <c r="P171" s="173">
        <v>2021</v>
      </c>
      <c r="Q171" s="174">
        <f>IF(ISBLANK(Table1[[#This Row],[Date]]),"",Table1[[#This Row],[Date]]-WEEKDAY(Table1[[#This Row],[Date]],2)+1)</f>
        <v>44221</v>
      </c>
      <c r="R171" s="175">
        <f>IF(ISBLANK(Table1[[#This Row],[Date]]),"",DATE(Table1[[#This Row],[Date_Year]],Table1[[#This Row],[Date_Month]],1))</f>
        <v>44197</v>
      </c>
    </row>
    <row r="172" spans="2:18" ht="15.75" hidden="1" x14ac:dyDescent="0.25">
      <c r="B172" s="165">
        <v>44222</v>
      </c>
      <c r="C172" s="166" t="s">
        <v>146</v>
      </c>
      <c r="D172" s="166" t="s">
        <v>58</v>
      </c>
      <c r="E172" s="167"/>
      <c r="F172" s="114">
        <v>-127.52</v>
      </c>
      <c r="G172" s="168"/>
      <c r="H172" s="169"/>
      <c r="I172" s="170"/>
      <c r="J172" s="171" t="s">
        <v>373</v>
      </c>
      <c r="K172" s="172" t="s">
        <v>177</v>
      </c>
      <c r="L172" s="172" t="s">
        <v>175</v>
      </c>
      <c r="M172" s="173" t="str" cm="1">
        <f t="array" ref="M172">IFERROR(INDEX(CategoriesTable[Category type],MATCH(Table1[[#This Row],[Category]],CategoriesTable[Category name],0),0),"")</f>
        <v>Expense</v>
      </c>
      <c r="N172" s="173">
        <v>26</v>
      </c>
      <c r="O172" s="173">
        <f>MONTH(Table1[[#This Row],[Date]])</f>
        <v>1</v>
      </c>
      <c r="P172" s="173">
        <v>2021</v>
      </c>
      <c r="Q172" s="174">
        <f>IF(ISBLANK(Table1[[#This Row],[Date]]),"",Table1[[#This Row],[Date]]-WEEKDAY(Table1[[#This Row],[Date]],2)+1)</f>
        <v>44221</v>
      </c>
      <c r="R172" s="175">
        <f>IF(ISBLANK(Table1[[#This Row],[Date]]),"",DATE(Table1[[#This Row],[Date_Year]],Table1[[#This Row],[Date_Month]],1))</f>
        <v>44197</v>
      </c>
    </row>
    <row r="173" spans="2:18" ht="15.75" hidden="1" x14ac:dyDescent="0.25">
      <c r="B173" s="165">
        <v>44222</v>
      </c>
      <c r="C173" s="166" t="s">
        <v>124</v>
      </c>
      <c r="D173" s="166" t="s">
        <v>55</v>
      </c>
      <c r="E173" s="167"/>
      <c r="F173" s="114">
        <v>-9.99</v>
      </c>
      <c r="G173" s="168"/>
      <c r="H173" s="169"/>
      <c r="I173" s="170"/>
      <c r="J173" s="171" t="s">
        <v>374</v>
      </c>
      <c r="K173" s="172" t="s">
        <v>177</v>
      </c>
      <c r="L173" s="172" t="s">
        <v>175</v>
      </c>
      <c r="M173" s="173" t="str" cm="1">
        <f t="array" ref="M173">IFERROR(INDEX(CategoriesTable[Category type],MATCH(Table1[[#This Row],[Category]],CategoriesTable[Category name],0),0),"")</f>
        <v>Expense</v>
      </c>
      <c r="N173" s="173">
        <v>26</v>
      </c>
      <c r="O173" s="173">
        <f>MONTH(Table1[[#This Row],[Date]])</f>
        <v>1</v>
      </c>
      <c r="P173" s="173">
        <v>2021</v>
      </c>
      <c r="Q173" s="174">
        <f>IF(ISBLANK(Table1[[#This Row],[Date]]),"",Table1[[#This Row],[Date]]-WEEKDAY(Table1[[#This Row],[Date]],2)+1)</f>
        <v>44221</v>
      </c>
      <c r="R173" s="175">
        <f>IF(ISBLANK(Table1[[#This Row],[Date]]),"",DATE(Table1[[#This Row],[Date_Year]],Table1[[#This Row],[Date_Month]],1))</f>
        <v>44197</v>
      </c>
    </row>
    <row r="174" spans="2:18" ht="15.75" hidden="1" x14ac:dyDescent="0.25">
      <c r="B174" s="165">
        <v>44221</v>
      </c>
      <c r="C174" s="166" t="s">
        <v>199</v>
      </c>
      <c r="D174" s="166" t="s">
        <v>65</v>
      </c>
      <c r="E174" s="167"/>
      <c r="F174" s="114">
        <v>-33.03</v>
      </c>
      <c r="G174" s="168"/>
      <c r="H174" s="169"/>
      <c r="I174" s="170"/>
      <c r="J174" s="171" t="s">
        <v>375</v>
      </c>
      <c r="K174" s="172" t="s">
        <v>177</v>
      </c>
      <c r="L174" s="172" t="s">
        <v>175</v>
      </c>
      <c r="M174" s="173" t="str" cm="1">
        <f t="array" ref="M174">IFERROR(INDEX(CategoriesTable[Category type],MATCH(Table1[[#This Row],[Category]],CategoriesTable[Category name],0),0),"")</f>
        <v>Expense</v>
      </c>
      <c r="N174" s="173">
        <v>25</v>
      </c>
      <c r="O174" s="173">
        <f>MONTH(Table1[[#This Row],[Date]])</f>
        <v>1</v>
      </c>
      <c r="P174" s="173">
        <v>2021</v>
      </c>
      <c r="Q174" s="174">
        <f>IF(ISBLANK(Table1[[#This Row],[Date]]),"",Table1[[#This Row],[Date]]-WEEKDAY(Table1[[#This Row],[Date]],2)+1)</f>
        <v>44221</v>
      </c>
      <c r="R174" s="175">
        <f>IF(ISBLANK(Table1[[#This Row],[Date]]),"",DATE(Table1[[#This Row],[Date_Year]],Table1[[#This Row],[Date_Month]],1))</f>
        <v>44197</v>
      </c>
    </row>
    <row r="175" spans="2:18" ht="15.75" hidden="1" x14ac:dyDescent="0.25">
      <c r="B175" s="165">
        <v>44221</v>
      </c>
      <c r="C175" s="166" t="s">
        <v>128</v>
      </c>
      <c r="D175" s="166" t="s">
        <v>53</v>
      </c>
      <c r="E175" s="167"/>
      <c r="F175" s="114">
        <v>-32.630000000000003</v>
      </c>
      <c r="G175" s="168"/>
      <c r="H175" s="169"/>
      <c r="I175" s="170"/>
      <c r="J175" s="171" t="s">
        <v>376</v>
      </c>
      <c r="K175" s="172" t="s">
        <v>177</v>
      </c>
      <c r="L175" s="172" t="s">
        <v>175</v>
      </c>
      <c r="M175" s="173" t="str" cm="1">
        <f t="array" ref="M175">IFERROR(INDEX(CategoriesTable[Category type],MATCH(Table1[[#This Row],[Category]],CategoriesTable[Category name],0),0),"")</f>
        <v>Expense</v>
      </c>
      <c r="N175" s="173">
        <v>25</v>
      </c>
      <c r="O175" s="173">
        <f>MONTH(Table1[[#This Row],[Date]])</f>
        <v>1</v>
      </c>
      <c r="P175" s="173">
        <v>2021</v>
      </c>
      <c r="Q175" s="174">
        <f>IF(ISBLANK(Table1[[#This Row],[Date]]),"",Table1[[#This Row],[Date]]-WEEKDAY(Table1[[#This Row],[Date]],2)+1)</f>
        <v>44221</v>
      </c>
      <c r="R175" s="175">
        <f>IF(ISBLANK(Table1[[#This Row],[Date]]),"",DATE(Table1[[#This Row],[Date_Year]],Table1[[#This Row],[Date_Month]],1))</f>
        <v>44197</v>
      </c>
    </row>
    <row r="176" spans="2:18" ht="15.75" hidden="1" x14ac:dyDescent="0.25">
      <c r="B176" s="165">
        <v>44221</v>
      </c>
      <c r="C176" s="166" t="s">
        <v>249</v>
      </c>
      <c r="D176" s="166" t="s">
        <v>52</v>
      </c>
      <c r="E176" s="167"/>
      <c r="F176" s="114">
        <v>-120</v>
      </c>
      <c r="G176" s="168"/>
      <c r="H176" s="169"/>
      <c r="I176" s="170"/>
      <c r="J176" s="171" t="s">
        <v>377</v>
      </c>
      <c r="K176" s="172" t="s">
        <v>177</v>
      </c>
      <c r="L176" s="172" t="s">
        <v>175</v>
      </c>
      <c r="M176" s="173" t="str" cm="1">
        <f t="array" ref="M176">IFERROR(INDEX(CategoriesTable[Category type],MATCH(Table1[[#This Row],[Category]],CategoriesTable[Category name],0),0),"")</f>
        <v>Transfer</v>
      </c>
      <c r="N176" s="173">
        <v>25</v>
      </c>
      <c r="O176" s="173">
        <f>MONTH(Table1[[#This Row],[Date]])</f>
        <v>1</v>
      </c>
      <c r="P176" s="173">
        <v>2021</v>
      </c>
      <c r="Q176" s="174">
        <f>IF(ISBLANK(Table1[[#This Row],[Date]]),"",Table1[[#This Row],[Date]]-WEEKDAY(Table1[[#This Row],[Date]],2)+1)</f>
        <v>44221</v>
      </c>
      <c r="R176" s="175">
        <f>IF(ISBLANK(Table1[[#This Row],[Date]]),"",DATE(Table1[[#This Row],[Date_Year]],Table1[[#This Row],[Date_Month]],1))</f>
        <v>44197</v>
      </c>
    </row>
    <row r="177" spans="2:18" ht="15.75" hidden="1" x14ac:dyDescent="0.25">
      <c r="B177" s="165">
        <v>44220</v>
      </c>
      <c r="C177" s="166" t="s">
        <v>320</v>
      </c>
      <c r="D177" s="166" t="s">
        <v>66</v>
      </c>
      <c r="E177" s="167"/>
      <c r="F177" s="114">
        <v>-118.87</v>
      </c>
      <c r="G177" s="168"/>
      <c r="H177" s="169"/>
      <c r="I177" s="170"/>
      <c r="J177" s="171" t="s">
        <v>378</v>
      </c>
      <c r="K177" s="172" t="s">
        <v>177</v>
      </c>
      <c r="L177" s="172" t="s">
        <v>175</v>
      </c>
      <c r="M177" s="173" t="str" cm="1">
        <f t="array" ref="M177">IFERROR(INDEX(CategoriesTable[Category type],MATCH(Table1[[#This Row],[Category]],CategoriesTable[Category name],0),0),"")</f>
        <v>Expense</v>
      </c>
      <c r="N177" s="173">
        <v>24</v>
      </c>
      <c r="O177" s="173">
        <f>MONTH(Table1[[#This Row],[Date]])</f>
        <v>1</v>
      </c>
      <c r="P177" s="173">
        <v>2021</v>
      </c>
      <c r="Q177" s="174">
        <f>IF(ISBLANK(Table1[[#This Row],[Date]]),"",Table1[[#This Row],[Date]]-WEEKDAY(Table1[[#This Row],[Date]],2)+1)</f>
        <v>44214</v>
      </c>
      <c r="R177" s="175">
        <f>IF(ISBLANK(Table1[[#This Row],[Date]]),"",DATE(Table1[[#This Row],[Date_Year]],Table1[[#This Row],[Date_Month]],1))</f>
        <v>44197</v>
      </c>
    </row>
    <row r="178" spans="2:18" ht="15.75" hidden="1" x14ac:dyDescent="0.25">
      <c r="B178" s="165">
        <v>44219</v>
      </c>
      <c r="C178" s="166" t="s">
        <v>119</v>
      </c>
      <c r="D178" s="166" t="s">
        <v>60</v>
      </c>
      <c r="E178" s="167"/>
      <c r="F178" s="114">
        <v>-131.29</v>
      </c>
      <c r="G178" s="168"/>
      <c r="H178" s="169"/>
      <c r="I178" s="170"/>
      <c r="J178" s="171" t="s">
        <v>379</v>
      </c>
      <c r="K178" s="172" t="s">
        <v>177</v>
      </c>
      <c r="L178" s="172" t="s">
        <v>175</v>
      </c>
      <c r="M178" s="173" t="str" cm="1">
        <f t="array" ref="M178">IFERROR(INDEX(CategoriesTable[Category type],MATCH(Table1[[#This Row],[Category]],CategoriesTable[Category name],0),0),"")</f>
        <v>Expense</v>
      </c>
      <c r="N178" s="173">
        <v>23</v>
      </c>
      <c r="O178" s="173">
        <f>MONTH(Table1[[#This Row],[Date]])</f>
        <v>1</v>
      </c>
      <c r="P178" s="173">
        <v>2021</v>
      </c>
      <c r="Q178" s="174">
        <f>IF(ISBLANK(Table1[[#This Row],[Date]]),"",Table1[[#This Row],[Date]]-WEEKDAY(Table1[[#This Row],[Date]],2)+1)</f>
        <v>44214</v>
      </c>
      <c r="R178" s="175">
        <f>IF(ISBLANK(Table1[[#This Row],[Date]]),"",DATE(Table1[[#This Row],[Date_Year]],Table1[[#This Row],[Date_Month]],1))</f>
        <v>44197</v>
      </c>
    </row>
    <row r="179" spans="2:18" ht="15.75" hidden="1" x14ac:dyDescent="0.25">
      <c r="B179" s="165">
        <v>44219</v>
      </c>
      <c r="C179" s="166" t="s">
        <v>121</v>
      </c>
      <c r="D179" s="166" t="s">
        <v>65</v>
      </c>
      <c r="E179" s="167"/>
      <c r="F179" s="114">
        <v>-23.48</v>
      </c>
      <c r="G179" s="168"/>
      <c r="H179" s="169"/>
      <c r="I179" s="170"/>
      <c r="J179" s="171" t="s">
        <v>380</v>
      </c>
      <c r="K179" s="172" t="s">
        <v>177</v>
      </c>
      <c r="L179" s="172" t="s">
        <v>175</v>
      </c>
      <c r="M179" s="173" t="str" cm="1">
        <f t="array" ref="M179">IFERROR(INDEX(CategoriesTable[Category type],MATCH(Table1[[#This Row],[Category]],CategoriesTable[Category name],0),0),"")</f>
        <v>Expense</v>
      </c>
      <c r="N179" s="173">
        <v>23</v>
      </c>
      <c r="O179" s="173">
        <f>MONTH(Table1[[#This Row],[Date]])</f>
        <v>1</v>
      </c>
      <c r="P179" s="173">
        <v>2021</v>
      </c>
      <c r="Q179" s="174">
        <f>IF(ISBLANK(Table1[[#This Row],[Date]]),"",Table1[[#This Row],[Date]]-WEEKDAY(Table1[[#This Row],[Date]],2)+1)</f>
        <v>44214</v>
      </c>
      <c r="R179" s="175">
        <f>IF(ISBLANK(Table1[[#This Row],[Date]]),"",DATE(Table1[[#This Row],[Date_Year]],Table1[[#This Row],[Date_Month]],1))</f>
        <v>44197</v>
      </c>
    </row>
    <row r="180" spans="2:18" ht="15.75" hidden="1" x14ac:dyDescent="0.25">
      <c r="B180" s="165">
        <v>44218</v>
      </c>
      <c r="C180" s="166" t="s">
        <v>199</v>
      </c>
      <c r="D180" s="166" t="s">
        <v>65</v>
      </c>
      <c r="E180" s="167"/>
      <c r="F180" s="114">
        <v>-41.34</v>
      </c>
      <c r="G180" s="168"/>
      <c r="H180" s="169"/>
      <c r="I180" s="170"/>
      <c r="J180" s="171" t="s">
        <v>381</v>
      </c>
      <c r="K180" s="172" t="s">
        <v>177</v>
      </c>
      <c r="L180" s="172" t="s">
        <v>175</v>
      </c>
      <c r="M180" s="173" t="str" cm="1">
        <f t="array" ref="M180">IFERROR(INDEX(CategoriesTable[Category type],MATCH(Table1[[#This Row],[Category]],CategoriesTable[Category name],0),0),"")</f>
        <v>Expense</v>
      </c>
      <c r="N180" s="173">
        <v>22</v>
      </c>
      <c r="O180" s="173">
        <f>MONTH(Table1[[#This Row],[Date]])</f>
        <v>1</v>
      </c>
      <c r="P180" s="173">
        <v>2021</v>
      </c>
      <c r="Q180" s="174">
        <f>IF(ISBLANK(Table1[[#This Row],[Date]]),"",Table1[[#This Row],[Date]]-WEEKDAY(Table1[[#This Row],[Date]],2)+1)</f>
        <v>44214</v>
      </c>
      <c r="R180" s="175">
        <f>IF(ISBLANK(Table1[[#This Row],[Date]]),"",DATE(Table1[[#This Row],[Date_Year]],Table1[[#This Row],[Date_Month]],1))</f>
        <v>44197</v>
      </c>
    </row>
    <row r="181" spans="2:18" ht="15.75" hidden="1" x14ac:dyDescent="0.25">
      <c r="B181" s="165">
        <v>44218</v>
      </c>
      <c r="C181" s="166" t="s">
        <v>208</v>
      </c>
      <c r="D181" s="166" t="s">
        <v>55</v>
      </c>
      <c r="E181" s="167"/>
      <c r="F181" s="114">
        <v>-40.28</v>
      </c>
      <c r="G181" s="168"/>
      <c r="H181" s="169"/>
      <c r="I181" s="170"/>
      <c r="J181" s="176" t="s">
        <v>382</v>
      </c>
      <c r="K181" s="172" t="s">
        <v>177</v>
      </c>
      <c r="L181" s="172" t="s">
        <v>175</v>
      </c>
      <c r="M181" s="173" t="str" cm="1">
        <f t="array" ref="M181">IFERROR(INDEX(CategoriesTable[Category type],MATCH(Table1[[#This Row],[Category]],CategoriesTable[Category name],0),0),"")</f>
        <v>Expense</v>
      </c>
      <c r="N181" s="173">
        <v>22</v>
      </c>
      <c r="O181" s="173">
        <f>MONTH(Table1[[#This Row],[Date]])</f>
        <v>1</v>
      </c>
      <c r="P181" s="173">
        <v>2021</v>
      </c>
      <c r="Q181" s="174">
        <f>IF(ISBLANK(Table1[[#This Row],[Date]]),"",Table1[[#This Row],[Date]]-WEEKDAY(Table1[[#This Row],[Date]],2)+1)</f>
        <v>44214</v>
      </c>
      <c r="R181" s="175">
        <f>IF(ISBLANK(Table1[[#This Row],[Date]]),"",DATE(Table1[[#This Row],[Date_Year]],Table1[[#This Row],[Date_Month]],1))</f>
        <v>44197</v>
      </c>
    </row>
    <row r="182" spans="2:18" ht="15.75" hidden="1" x14ac:dyDescent="0.25">
      <c r="B182" s="165">
        <v>44217</v>
      </c>
      <c r="C182" s="166" t="s">
        <v>146</v>
      </c>
      <c r="D182" s="166" t="s">
        <v>58</v>
      </c>
      <c r="E182" s="167"/>
      <c r="F182" s="114">
        <v>-149.22999999999999</v>
      </c>
      <c r="G182" s="168"/>
      <c r="H182" s="169"/>
      <c r="I182" s="170"/>
      <c r="J182" s="171" t="s">
        <v>383</v>
      </c>
      <c r="K182" s="172" t="s">
        <v>177</v>
      </c>
      <c r="L182" s="172" t="s">
        <v>175</v>
      </c>
      <c r="M182" s="173" t="str" cm="1">
        <f t="array" ref="M182">IFERROR(INDEX(CategoriesTable[Category type],MATCH(Table1[[#This Row],[Category]],CategoriesTable[Category name],0),0),"")</f>
        <v>Expense</v>
      </c>
      <c r="N182" s="173">
        <v>21</v>
      </c>
      <c r="O182" s="173">
        <f>MONTH(Table1[[#This Row],[Date]])</f>
        <v>1</v>
      </c>
      <c r="P182" s="173">
        <v>2021</v>
      </c>
      <c r="Q182" s="174">
        <f>IF(ISBLANK(Table1[[#This Row],[Date]]),"",Table1[[#This Row],[Date]]-WEEKDAY(Table1[[#This Row],[Date]],2)+1)</f>
        <v>44214</v>
      </c>
      <c r="R182" s="175">
        <f>IF(ISBLANK(Table1[[#This Row],[Date]]),"",DATE(Table1[[#This Row],[Date_Year]],Table1[[#This Row],[Date_Month]],1))</f>
        <v>44197</v>
      </c>
    </row>
    <row r="183" spans="2:18" ht="15.75" x14ac:dyDescent="0.25">
      <c r="B183" s="165">
        <v>44217</v>
      </c>
      <c r="C183" s="166" t="s">
        <v>1573</v>
      </c>
      <c r="D183" s="166" t="s">
        <v>64</v>
      </c>
      <c r="E183" s="167"/>
      <c r="F183" s="114">
        <v>-120</v>
      </c>
      <c r="G183" s="168"/>
      <c r="H183" s="169"/>
      <c r="I183" s="170"/>
      <c r="J183" s="171" t="s">
        <v>384</v>
      </c>
      <c r="K183" s="172" t="s">
        <v>177</v>
      </c>
      <c r="L183" s="172" t="s">
        <v>175</v>
      </c>
      <c r="M183" s="173" t="str" cm="1">
        <f t="array" ref="M183">IFERROR(INDEX(CategoriesTable[Category type],MATCH(Table1[[#This Row],[Category]],CategoriesTable[Category name],0),0),"")</f>
        <v>Expense</v>
      </c>
      <c r="N183" s="173">
        <v>21</v>
      </c>
      <c r="O183" s="173">
        <f>MONTH(Table1[[#This Row],[Date]])</f>
        <v>1</v>
      </c>
      <c r="P183" s="173">
        <v>2021</v>
      </c>
      <c r="Q183" s="174">
        <f>IF(ISBLANK(Table1[[#This Row],[Date]]),"",Table1[[#This Row],[Date]]-WEEKDAY(Table1[[#This Row],[Date]],2)+1)</f>
        <v>44214</v>
      </c>
      <c r="R183" s="175">
        <f>IF(ISBLANK(Table1[[#This Row],[Date]]),"",DATE(Table1[[#This Row],[Date_Year]],Table1[[#This Row],[Date_Month]],1))</f>
        <v>44197</v>
      </c>
    </row>
    <row r="184" spans="2:18" ht="15.75" hidden="1" x14ac:dyDescent="0.25">
      <c r="B184" s="165">
        <v>44215</v>
      </c>
      <c r="C184" s="166" t="s">
        <v>129</v>
      </c>
      <c r="D184" s="166" t="s">
        <v>55</v>
      </c>
      <c r="E184" s="167"/>
      <c r="F184" s="114">
        <v>-65.849999999999994</v>
      </c>
      <c r="G184" s="168"/>
      <c r="H184" s="169"/>
      <c r="I184" s="170"/>
      <c r="J184" s="171" t="s">
        <v>386</v>
      </c>
      <c r="K184" s="172" t="s">
        <v>177</v>
      </c>
      <c r="L184" s="172" t="s">
        <v>175</v>
      </c>
      <c r="M184" s="173" t="str" cm="1">
        <f t="array" ref="M184">IFERROR(INDEX(CategoriesTable[Category type],MATCH(Table1[[#This Row],[Category]],CategoriesTable[Category name],0),0),"")</f>
        <v>Expense</v>
      </c>
      <c r="N184" s="173">
        <v>19</v>
      </c>
      <c r="O184" s="173">
        <f>MONTH(Table1[[#This Row],[Date]])</f>
        <v>1</v>
      </c>
      <c r="P184" s="173">
        <v>2021</v>
      </c>
      <c r="Q184" s="174">
        <f>IF(ISBLANK(Table1[[#This Row],[Date]]),"",Table1[[#This Row],[Date]]-WEEKDAY(Table1[[#This Row],[Date]],2)+1)</f>
        <v>44214</v>
      </c>
      <c r="R184" s="175">
        <f>IF(ISBLANK(Table1[[#This Row],[Date]]),"",DATE(Table1[[#This Row],[Date_Year]],Table1[[#This Row],[Date_Month]],1))</f>
        <v>44197</v>
      </c>
    </row>
    <row r="185" spans="2:18" ht="15.75" x14ac:dyDescent="0.25">
      <c r="B185" s="165">
        <v>44215</v>
      </c>
      <c r="C185" s="166" t="s">
        <v>1573</v>
      </c>
      <c r="D185" s="166" t="s">
        <v>64</v>
      </c>
      <c r="E185" s="167"/>
      <c r="F185" s="114">
        <v>-200</v>
      </c>
      <c r="G185" s="168"/>
      <c r="H185" s="169"/>
      <c r="I185" s="170"/>
      <c r="J185" s="171" t="s">
        <v>385</v>
      </c>
      <c r="K185" s="172" t="s">
        <v>177</v>
      </c>
      <c r="L185" s="172" t="s">
        <v>175</v>
      </c>
      <c r="M185" s="173" t="str" cm="1">
        <f t="array" ref="M185">IFERROR(INDEX(CategoriesTable[Category type],MATCH(Table1[[#This Row],[Category]],CategoriesTable[Category name],0),0),"")</f>
        <v>Expense</v>
      </c>
      <c r="N185" s="173">
        <v>19</v>
      </c>
      <c r="O185" s="173">
        <f>MONTH(Table1[[#This Row],[Date]])</f>
        <v>1</v>
      </c>
      <c r="P185" s="173">
        <v>2021</v>
      </c>
      <c r="Q185" s="174">
        <f>IF(ISBLANK(Table1[[#This Row],[Date]]),"",Table1[[#This Row],[Date]]-WEEKDAY(Table1[[#This Row],[Date]],2)+1)</f>
        <v>44214</v>
      </c>
      <c r="R185" s="175">
        <f>IF(ISBLANK(Table1[[#This Row],[Date]]),"",DATE(Table1[[#This Row],[Date_Year]],Table1[[#This Row],[Date_Month]],1))</f>
        <v>44197</v>
      </c>
    </row>
    <row r="186" spans="2:18" ht="15.75" hidden="1" x14ac:dyDescent="0.25">
      <c r="B186" s="165">
        <v>44214</v>
      </c>
      <c r="C186" s="166" t="s">
        <v>128</v>
      </c>
      <c r="D186" s="166" t="s">
        <v>53</v>
      </c>
      <c r="E186" s="167"/>
      <c r="F186" s="114">
        <v>-32.840000000000003</v>
      </c>
      <c r="G186" s="168"/>
      <c r="H186" s="169"/>
      <c r="I186" s="170"/>
      <c r="J186" s="171" t="s">
        <v>387</v>
      </c>
      <c r="K186" s="172" t="s">
        <v>177</v>
      </c>
      <c r="L186" s="172" t="s">
        <v>175</v>
      </c>
      <c r="M186" s="173" t="str" cm="1">
        <f t="array" ref="M186">IFERROR(INDEX(CategoriesTable[Category type],MATCH(Table1[[#This Row],[Category]],CategoriesTable[Category name],0),0),"")</f>
        <v>Expense</v>
      </c>
      <c r="N186" s="173">
        <v>18</v>
      </c>
      <c r="O186" s="173">
        <f>MONTH(Table1[[#This Row],[Date]])</f>
        <v>1</v>
      </c>
      <c r="P186" s="173">
        <v>2021</v>
      </c>
      <c r="Q186" s="174">
        <f>IF(ISBLANK(Table1[[#This Row],[Date]]),"",Table1[[#This Row],[Date]]-WEEKDAY(Table1[[#This Row],[Date]],2)+1)</f>
        <v>44214</v>
      </c>
      <c r="R186" s="175">
        <f>IF(ISBLANK(Table1[[#This Row],[Date]]),"",DATE(Table1[[#This Row],[Date_Year]],Table1[[#This Row],[Date_Month]],1))</f>
        <v>44197</v>
      </c>
    </row>
    <row r="187" spans="2:18" ht="15.75" hidden="1" x14ac:dyDescent="0.25">
      <c r="B187" s="165">
        <v>44213</v>
      </c>
      <c r="C187" s="166" t="s">
        <v>139</v>
      </c>
      <c r="D187" s="166" t="s">
        <v>53</v>
      </c>
      <c r="E187" s="167"/>
      <c r="F187" s="114">
        <v>-19.850000000000001</v>
      </c>
      <c r="G187" s="168"/>
      <c r="H187" s="169"/>
      <c r="I187" s="170"/>
      <c r="J187" s="171" t="s">
        <v>391</v>
      </c>
      <c r="K187" s="172" t="s">
        <v>177</v>
      </c>
      <c r="L187" s="172" t="s">
        <v>175</v>
      </c>
      <c r="M187" s="173" t="str" cm="1">
        <f t="array" ref="M187">IFERROR(INDEX(CategoriesTable[Category type],MATCH(Table1[[#This Row],[Category]],CategoriesTable[Category name],0),0),"")</f>
        <v>Expense</v>
      </c>
      <c r="N187" s="173">
        <v>17</v>
      </c>
      <c r="O187" s="173">
        <f>MONTH(Table1[[#This Row],[Date]])</f>
        <v>1</v>
      </c>
      <c r="P187" s="173">
        <v>2021</v>
      </c>
      <c r="Q187" s="174">
        <f>IF(ISBLANK(Table1[[#This Row],[Date]]),"",Table1[[#This Row],[Date]]-WEEKDAY(Table1[[#This Row],[Date]],2)+1)</f>
        <v>44207</v>
      </c>
      <c r="R187" s="175">
        <f>IF(ISBLANK(Table1[[#This Row],[Date]]),"",DATE(Table1[[#This Row],[Date_Year]],Table1[[#This Row],[Date_Month]],1))</f>
        <v>44197</v>
      </c>
    </row>
    <row r="188" spans="2:18" ht="15.75" hidden="1" x14ac:dyDescent="0.25">
      <c r="B188" s="165">
        <v>44213</v>
      </c>
      <c r="C188" s="166" t="s">
        <v>145</v>
      </c>
      <c r="D188" s="166" t="s">
        <v>58</v>
      </c>
      <c r="E188" s="167"/>
      <c r="F188" s="114">
        <v>-12.11</v>
      </c>
      <c r="G188" s="168"/>
      <c r="H188" s="169"/>
      <c r="I188" s="170"/>
      <c r="J188" s="171" t="s">
        <v>388</v>
      </c>
      <c r="K188" s="172" t="s">
        <v>177</v>
      </c>
      <c r="L188" s="172" t="s">
        <v>175</v>
      </c>
      <c r="M188" s="173" t="str" cm="1">
        <f t="array" ref="M188">IFERROR(INDEX(CategoriesTable[Category type],MATCH(Table1[[#This Row],[Category]],CategoriesTable[Category name],0),0),"")</f>
        <v>Expense</v>
      </c>
      <c r="N188" s="173">
        <v>17</v>
      </c>
      <c r="O188" s="173">
        <f>MONTH(Table1[[#This Row],[Date]])</f>
        <v>1</v>
      </c>
      <c r="P188" s="173">
        <v>2021</v>
      </c>
      <c r="Q188" s="174">
        <f>IF(ISBLANK(Table1[[#This Row],[Date]]),"",Table1[[#This Row],[Date]]-WEEKDAY(Table1[[#This Row],[Date]],2)+1)</f>
        <v>44207</v>
      </c>
      <c r="R188" s="175">
        <f>IF(ISBLANK(Table1[[#This Row],[Date]]),"",DATE(Table1[[#This Row],[Date_Year]],Table1[[#This Row],[Date_Month]],1))</f>
        <v>44197</v>
      </c>
    </row>
    <row r="189" spans="2:18" ht="15.75" hidden="1" x14ac:dyDescent="0.25">
      <c r="B189" s="165">
        <v>44213</v>
      </c>
      <c r="C189" s="166" t="s">
        <v>199</v>
      </c>
      <c r="D189" s="166" t="s">
        <v>65</v>
      </c>
      <c r="E189" s="167"/>
      <c r="F189" s="114">
        <v>-64.599999999999994</v>
      </c>
      <c r="G189" s="168"/>
      <c r="H189" s="169"/>
      <c r="I189" s="170"/>
      <c r="J189" s="171" t="s">
        <v>389</v>
      </c>
      <c r="K189" s="172" t="s">
        <v>177</v>
      </c>
      <c r="L189" s="172" t="s">
        <v>175</v>
      </c>
      <c r="M189" s="173" t="str" cm="1">
        <f t="array" ref="M189">IFERROR(INDEX(CategoriesTable[Category type],MATCH(Table1[[#This Row],[Category]],CategoriesTable[Category name],0),0),"")</f>
        <v>Expense</v>
      </c>
      <c r="N189" s="173">
        <v>17</v>
      </c>
      <c r="O189" s="173">
        <f>MONTH(Table1[[#This Row],[Date]])</f>
        <v>1</v>
      </c>
      <c r="P189" s="173">
        <v>2021</v>
      </c>
      <c r="Q189" s="174">
        <f>IF(ISBLANK(Table1[[#This Row],[Date]]),"",Table1[[#This Row],[Date]]-WEEKDAY(Table1[[#This Row],[Date]],2)+1)</f>
        <v>44207</v>
      </c>
      <c r="R189" s="175">
        <f>IF(ISBLANK(Table1[[#This Row],[Date]]),"",DATE(Table1[[#This Row],[Date_Year]],Table1[[#This Row],[Date_Month]],1))</f>
        <v>44197</v>
      </c>
    </row>
    <row r="190" spans="2:18" ht="15.75" hidden="1" x14ac:dyDescent="0.25">
      <c r="B190" s="165">
        <v>44213</v>
      </c>
      <c r="C190" s="166" t="s">
        <v>199</v>
      </c>
      <c r="D190" s="166" t="s">
        <v>65</v>
      </c>
      <c r="E190" s="167"/>
      <c r="F190" s="114">
        <v>-20.190000000000001</v>
      </c>
      <c r="G190" s="168"/>
      <c r="H190" s="169"/>
      <c r="I190" s="170"/>
      <c r="J190" s="171" t="s">
        <v>390</v>
      </c>
      <c r="K190" s="172" t="s">
        <v>177</v>
      </c>
      <c r="L190" s="172" t="s">
        <v>175</v>
      </c>
      <c r="M190" s="173" t="str" cm="1">
        <f t="array" ref="M190">IFERROR(INDEX(CategoriesTable[Category type],MATCH(Table1[[#This Row],[Category]],CategoriesTable[Category name],0),0),"")</f>
        <v>Expense</v>
      </c>
      <c r="N190" s="173">
        <v>17</v>
      </c>
      <c r="O190" s="173">
        <f>MONTH(Table1[[#This Row],[Date]])</f>
        <v>1</v>
      </c>
      <c r="P190" s="173">
        <v>2021</v>
      </c>
      <c r="Q190" s="174">
        <f>IF(ISBLANK(Table1[[#This Row],[Date]]),"",Table1[[#This Row],[Date]]-WEEKDAY(Table1[[#This Row],[Date]],2)+1)</f>
        <v>44207</v>
      </c>
      <c r="R190" s="175">
        <f>IF(ISBLANK(Table1[[#This Row],[Date]]),"",DATE(Table1[[#This Row],[Date_Year]],Table1[[#This Row],[Date_Month]],1))</f>
        <v>44197</v>
      </c>
    </row>
    <row r="191" spans="2:18" ht="15.75" hidden="1" x14ac:dyDescent="0.25">
      <c r="B191" s="165">
        <v>44212</v>
      </c>
      <c r="C191" s="166" t="s">
        <v>199</v>
      </c>
      <c r="D191" s="166" t="s">
        <v>65</v>
      </c>
      <c r="E191" s="167"/>
      <c r="F191" s="114">
        <v>-17.95</v>
      </c>
      <c r="G191" s="168"/>
      <c r="H191" s="169"/>
      <c r="I191" s="170"/>
      <c r="J191" s="171" t="s">
        <v>392</v>
      </c>
      <c r="K191" s="172" t="s">
        <v>177</v>
      </c>
      <c r="L191" s="172" t="s">
        <v>175</v>
      </c>
      <c r="M191" s="173" t="str" cm="1">
        <f t="array" ref="M191">IFERROR(INDEX(CategoriesTable[Category type],MATCH(Table1[[#This Row],[Category]],CategoriesTable[Category name],0),0),"")</f>
        <v>Expense</v>
      </c>
      <c r="N191" s="173">
        <v>16</v>
      </c>
      <c r="O191" s="173">
        <f>MONTH(Table1[[#This Row],[Date]])</f>
        <v>1</v>
      </c>
      <c r="P191" s="173">
        <v>2021</v>
      </c>
      <c r="Q191" s="174">
        <f>IF(ISBLANK(Table1[[#This Row],[Date]]),"",Table1[[#This Row],[Date]]-WEEKDAY(Table1[[#This Row],[Date]],2)+1)</f>
        <v>44207</v>
      </c>
      <c r="R191" s="175">
        <f>IF(ISBLANK(Table1[[#This Row],[Date]]),"",DATE(Table1[[#This Row],[Date_Year]],Table1[[#This Row],[Date_Month]],1))</f>
        <v>44197</v>
      </c>
    </row>
    <row r="192" spans="2:18" ht="15.75" hidden="1" x14ac:dyDescent="0.25">
      <c r="B192" s="165">
        <v>44211</v>
      </c>
      <c r="C192" s="166" t="s">
        <v>199</v>
      </c>
      <c r="D192" s="166" t="s">
        <v>65</v>
      </c>
      <c r="E192" s="167"/>
      <c r="F192" s="114">
        <v>-67.72</v>
      </c>
      <c r="G192" s="168"/>
      <c r="H192" s="169"/>
      <c r="I192" s="170"/>
      <c r="J192" s="171" t="s">
        <v>393</v>
      </c>
      <c r="K192" s="172" t="s">
        <v>177</v>
      </c>
      <c r="L192" s="172" t="s">
        <v>175</v>
      </c>
      <c r="M192" s="173" t="str" cm="1">
        <f t="array" ref="M192">IFERROR(INDEX(CategoriesTable[Category type],MATCH(Table1[[#This Row],[Category]],CategoriesTable[Category name],0),0),"")</f>
        <v>Expense</v>
      </c>
      <c r="N192" s="173">
        <v>15</v>
      </c>
      <c r="O192" s="173">
        <f>MONTH(Table1[[#This Row],[Date]])</f>
        <v>1</v>
      </c>
      <c r="P192" s="173">
        <v>2021</v>
      </c>
      <c r="Q192" s="174">
        <f>IF(ISBLANK(Table1[[#This Row],[Date]]),"",Table1[[#This Row],[Date]]-WEEKDAY(Table1[[#This Row],[Date]],2)+1)</f>
        <v>44207</v>
      </c>
      <c r="R192" s="175">
        <f>IF(ISBLANK(Table1[[#This Row],[Date]]),"",DATE(Table1[[#This Row],[Date_Year]],Table1[[#This Row],[Date_Month]],1))</f>
        <v>44197</v>
      </c>
    </row>
    <row r="193" spans="2:18" ht="15.75" hidden="1" x14ac:dyDescent="0.25">
      <c r="B193" s="165">
        <v>44211</v>
      </c>
      <c r="C193" s="166" t="s">
        <v>199</v>
      </c>
      <c r="D193" s="166" t="s">
        <v>65</v>
      </c>
      <c r="E193" s="167"/>
      <c r="F193" s="114">
        <v>-20.71</v>
      </c>
      <c r="G193" s="168"/>
      <c r="H193" s="169"/>
      <c r="I193" s="170"/>
      <c r="J193" s="171" t="s">
        <v>394</v>
      </c>
      <c r="K193" s="172" t="s">
        <v>177</v>
      </c>
      <c r="L193" s="172" t="s">
        <v>175</v>
      </c>
      <c r="M193" s="173" t="str" cm="1">
        <f t="array" ref="M193">IFERROR(INDEX(CategoriesTable[Category type],MATCH(Table1[[#This Row],[Category]],CategoriesTable[Category name],0),0),"")</f>
        <v>Expense</v>
      </c>
      <c r="N193" s="173">
        <v>15</v>
      </c>
      <c r="O193" s="173">
        <f>MONTH(Table1[[#This Row],[Date]])</f>
        <v>1</v>
      </c>
      <c r="P193" s="173">
        <v>2021</v>
      </c>
      <c r="Q193" s="174">
        <f>IF(ISBLANK(Table1[[#This Row],[Date]]),"",Table1[[#This Row],[Date]]-WEEKDAY(Table1[[#This Row],[Date]],2)+1)</f>
        <v>44207</v>
      </c>
      <c r="R193" s="175">
        <f>IF(ISBLANK(Table1[[#This Row],[Date]]),"",DATE(Table1[[#This Row],[Date_Year]],Table1[[#This Row],[Date_Month]],1))</f>
        <v>44197</v>
      </c>
    </row>
    <row r="194" spans="2:18" ht="15.75" hidden="1" x14ac:dyDescent="0.25">
      <c r="B194" s="165">
        <v>44211</v>
      </c>
      <c r="C194" s="166" t="s">
        <v>120</v>
      </c>
      <c r="D194" s="166" t="s">
        <v>66</v>
      </c>
      <c r="E194" s="167"/>
      <c r="F194" s="114">
        <v>-144.18</v>
      </c>
      <c r="G194" s="168"/>
      <c r="H194" s="169"/>
      <c r="I194" s="170"/>
      <c r="J194" s="176" t="s">
        <v>395</v>
      </c>
      <c r="K194" s="172" t="s">
        <v>177</v>
      </c>
      <c r="L194" s="172" t="s">
        <v>175</v>
      </c>
      <c r="M194" s="173" t="str" cm="1">
        <f t="array" ref="M194">IFERROR(INDEX(CategoriesTable[Category type],MATCH(Table1[[#This Row],[Category]],CategoriesTable[Category name],0),0),"")</f>
        <v>Expense</v>
      </c>
      <c r="N194" s="173">
        <v>15</v>
      </c>
      <c r="O194" s="173">
        <f>MONTH(Table1[[#This Row],[Date]])</f>
        <v>1</v>
      </c>
      <c r="P194" s="173">
        <v>2021</v>
      </c>
      <c r="Q194" s="174">
        <f>IF(ISBLANK(Table1[[#This Row],[Date]]),"",Table1[[#This Row],[Date]]-WEEKDAY(Table1[[#This Row],[Date]],2)+1)</f>
        <v>44207</v>
      </c>
      <c r="R194" s="175">
        <f>IF(ISBLANK(Table1[[#This Row],[Date]]),"",DATE(Table1[[#This Row],[Date_Year]],Table1[[#This Row],[Date_Month]],1))</f>
        <v>44197</v>
      </c>
    </row>
    <row r="195" spans="2:18" ht="15.75" hidden="1" x14ac:dyDescent="0.25">
      <c r="B195" s="165">
        <v>44211</v>
      </c>
      <c r="C195" s="166" t="s">
        <v>182</v>
      </c>
      <c r="D195" s="166" t="s">
        <v>55</v>
      </c>
      <c r="E195" s="167"/>
      <c r="F195" s="114">
        <v>-10.9</v>
      </c>
      <c r="G195" s="168"/>
      <c r="H195" s="169"/>
      <c r="I195" s="170"/>
      <c r="J195" s="171" t="s">
        <v>396</v>
      </c>
      <c r="K195" s="172" t="s">
        <v>177</v>
      </c>
      <c r="L195" s="172" t="s">
        <v>175</v>
      </c>
      <c r="M195" s="173" t="str" cm="1">
        <f t="array" ref="M195">IFERROR(INDEX(CategoriesTable[Category type],MATCH(Table1[[#This Row],[Category]],CategoriesTable[Category name],0),0),"")</f>
        <v>Expense</v>
      </c>
      <c r="N195" s="173">
        <v>15</v>
      </c>
      <c r="O195" s="173">
        <f>MONTH(Table1[[#This Row],[Date]])</f>
        <v>1</v>
      </c>
      <c r="P195" s="173">
        <v>2021</v>
      </c>
      <c r="Q195" s="174">
        <f>IF(ISBLANK(Table1[[#This Row],[Date]]),"",Table1[[#This Row],[Date]]-WEEKDAY(Table1[[#This Row],[Date]],2)+1)</f>
        <v>44207</v>
      </c>
      <c r="R195" s="175">
        <f>IF(ISBLANK(Table1[[#This Row],[Date]]),"",DATE(Table1[[#This Row],[Date_Year]],Table1[[#This Row],[Date_Month]],1))</f>
        <v>44197</v>
      </c>
    </row>
    <row r="196" spans="2:18" ht="15.75" hidden="1" x14ac:dyDescent="0.25">
      <c r="B196" s="165">
        <v>44210</v>
      </c>
      <c r="C196" s="166" t="s">
        <v>193</v>
      </c>
      <c r="D196" s="166" t="s">
        <v>66</v>
      </c>
      <c r="E196" s="167"/>
      <c r="F196" s="114">
        <v>-444.09</v>
      </c>
      <c r="G196" s="168"/>
      <c r="H196" s="169"/>
      <c r="I196" s="170"/>
      <c r="J196" s="171" t="s">
        <v>397</v>
      </c>
      <c r="K196" s="172" t="s">
        <v>177</v>
      </c>
      <c r="L196" s="172" t="s">
        <v>175</v>
      </c>
      <c r="M196" s="173" t="str" cm="1">
        <f t="array" ref="M196">IFERROR(INDEX(CategoriesTable[Category type],MATCH(Table1[[#This Row],[Category]],CategoriesTable[Category name],0),0),"")</f>
        <v>Expense</v>
      </c>
      <c r="N196" s="173">
        <v>14</v>
      </c>
      <c r="O196" s="173">
        <f>MONTH(Table1[[#This Row],[Date]])</f>
        <v>1</v>
      </c>
      <c r="P196" s="173">
        <v>2021</v>
      </c>
      <c r="Q196" s="174">
        <f>IF(ISBLANK(Table1[[#This Row],[Date]]),"",Table1[[#This Row],[Date]]-WEEKDAY(Table1[[#This Row],[Date]],2)+1)</f>
        <v>44207</v>
      </c>
      <c r="R196" s="175">
        <f>IF(ISBLANK(Table1[[#This Row],[Date]]),"",DATE(Table1[[#This Row],[Date_Year]],Table1[[#This Row],[Date_Month]],1))</f>
        <v>44197</v>
      </c>
    </row>
    <row r="197" spans="2:18" ht="15.75" x14ac:dyDescent="0.25">
      <c r="B197" s="165">
        <v>44209</v>
      </c>
      <c r="C197" s="166" t="s">
        <v>1573</v>
      </c>
      <c r="D197" s="166" t="s">
        <v>64</v>
      </c>
      <c r="E197" s="167"/>
      <c r="F197" s="114">
        <v>-120</v>
      </c>
      <c r="G197" s="168"/>
      <c r="H197" s="169"/>
      <c r="I197" s="170"/>
      <c r="J197" s="171" t="s">
        <v>398</v>
      </c>
      <c r="K197" s="172" t="s">
        <v>177</v>
      </c>
      <c r="L197" s="172" t="s">
        <v>175</v>
      </c>
      <c r="M197" s="173" t="str" cm="1">
        <f t="array" ref="M197">IFERROR(INDEX(CategoriesTable[Category type],MATCH(Table1[[#This Row],[Category]],CategoriesTable[Category name],0),0),"")</f>
        <v>Expense</v>
      </c>
      <c r="N197" s="173">
        <v>13</v>
      </c>
      <c r="O197" s="173">
        <f>MONTH(Table1[[#This Row],[Date]])</f>
        <v>1</v>
      </c>
      <c r="P197" s="173">
        <v>2021</v>
      </c>
      <c r="Q197" s="174">
        <f>IF(ISBLANK(Table1[[#This Row],[Date]]),"",Table1[[#This Row],[Date]]-WEEKDAY(Table1[[#This Row],[Date]],2)+1)</f>
        <v>44207</v>
      </c>
      <c r="R197" s="175">
        <f>IF(ISBLANK(Table1[[#This Row],[Date]]),"",DATE(Table1[[#This Row],[Date_Year]],Table1[[#This Row],[Date_Month]],1))</f>
        <v>44197</v>
      </c>
    </row>
    <row r="198" spans="2:18" ht="15.75" x14ac:dyDescent="0.25">
      <c r="B198" s="165">
        <v>44209</v>
      </c>
      <c r="C198" s="166" t="s">
        <v>1573</v>
      </c>
      <c r="D198" s="166" t="s">
        <v>64</v>
      </c>
      <c r="E198" s="167"/>
      <c r="F198" s="114">
        <v>-120</v>
      </c>
      <c r="G198" s="168"/>
      <c r="H198" s="169"/>
      <c r="I198" s="170"/>
      <c r="J198" s="171" t="s">
        <v>399</v>
      </c>
      <c r="K198" s="172" t="s">
        <v>177</v>
      </c>
      <c r="L198" s="172" t="s">
        <v>175</v>
      </c>
      <c r="M198" s="173" t="str" cm="1">
        <f t="array" ref="M198">IFERROR(INDEX(CategoriesTable[Category type],MATCH(Table1[[#This Row],[Category]],CategoriesTable[Category name],0),0),"")</f>
        <v>Expense</v>
      </c>
      <c r="N198" s="173">
        <v>13</v>
      </c>
      <c r="O198" s="173">
        <f>MONTH(Table1[[#This Row],[Date]])</f>
        <v>1</v>
      </c>
      <c r="P198" s="173">
        <v>2021</v>
      </c>
      <c r="Q198" s="174">
        <f>IF(ISBLANK(Table1[[#This Row],[Date]]),"",Table1[[#This Row],[Date]]-WEEKDAY(Table1[[#This Row],[Date]],2)+1)</f>
        <v>44207</v>
      </c>
      <c r="R198" s="175">
        <f>IF(ISBLANK(Table1[[#This Row],[Date]]),"",DATE(Table1[[#This Row],[Date_Year]],Table1[[#This Row],[Date_Month]],1))</f>
        <v>44197</v>
      </c>
    </row>
    <row r="199" spans="2:18" ht="15.75" hidden="1" x14ac:dyDescent="0.25">
      <c r="B199" s="165">
        <v>44209</v>
      </c>
      <c r="C199" s="166" t="s">
        <v>146</v>
      </c>
      <c r="D199" s="166" t="s">
        <v>58</v>
      </c>
      <c r="E199" s="167"/>
      <c r="F199" s="114">
        <v>-160.85</v>
      </c>
      <c r="G199" s="168"/>
      <c r="H199" s="169"/>
      <c r="I199" s="170"/>
      <c r="J199" s="171" t="s">
        <v>400</v>
      </c>
      <c r="K199" s="172" t="s">
        <v>177</v>
      </c>
      <c r="L199" s="172" t="s">
        <v>175</v>
      </c>
      <c r="M199" s="173" t="str" cm="1">
        <f t="array" ref="M199">IFERROR(INDEX(CategoriesTable[Category type],MATCH(Table1[[#This Row],[Category]],CategoriesTable[Category name],0),0),"")</f>
        <v>Expense</v>
      </c>
      <c r="N199" s="173">
        <v>13</v>
      </c>
      <c r="O199" s="173">
        <f>MONTH(Table1[[#This Row],[Date]])</f>
        <v>1</v>
      </c>
      <c r="P199" s="173">
        <v>2021</v>
      </c>
      <c r="Q199" s="174">
        <f>IF(ISBLANK(Table1[[#This Row],[Date]]),"",Table1[[#This Row],[Date]]-WEEKDAY(Table1[[#This Row],[Date]],2)+1)</f>
        <v>44207</v>
      </c>
      <c r="R199" s="175">
        <f>IF(ISBLANK(Table1[[#This Row],[Date]]),"",DATE(Table1[[#This Row],[Date_Year]],Table1[[#This Row],[Date_Month]],1))</f>
        <v>44197</v>
      </c>
    </row>
    <row r="200" spans="2:18" ht="15.75" hidden="1" x14ac:dyDescent="0.25">
      <c r="B200" s="165">
        <v>44209</v>
      </c>
      <c r="C200" s="166" t="s">
        <v>199</v>
      </c>
      <c r="D200" s="166" t="s">
        <v>65</v>
      </c>
      <c r="E200" s="167"/>
      <c r="F200" s="114">
        <v>-15.53</v>
      </c>
      <c r="G200" s="168"/>
      <c r="H200" s="169"/>
      <c r="I200" s="170"/>
      <c r="J200" s="171" t="s">
        <v>401</v>
      </c>
      <c r="K200" s="172" t="s">
        <v>177</v>
      </c>
      <c r="L200" s="172" t="s">
        <v>175</v>
      </c>
      <c r="M200" s="173" t="str" cm="1">
        <f t="array" ref="M200">IFERROR(INDEX(CategoriesTable[Category type],MATCH(Table1[[#This Row],[Category]],CategoriesTable[Category name],0),0),"")</f>
        <v>Expense</v>
      </c>
      <c r="N200" s="173">
        <v>13</v>
      </c>
      <c r="O200" s="173">
        <f>MONTH(Table1[[#This Row],[Date]])</f>
        <v>1</v>
      </c>
      <c r="P200" s="173">
        <v>2021</v>
      </c>
      <c r="Q200" s="174">
        <f>IF(ISBLANK(Table1[[#This Row],[Date]]),"",Table1[[#This Row],[Date]]-WEEKDAY(Table1[[#This Row],[Date]],2)+1)</f>
        <v>44207</v>
      </c>
      <c r="R200" s="175">
        <f>IF(ISBLANK(Table1[[#This Row],[Date]]),"",DATE(Table1[[#This Row],[Date_Year]],Table1[[#This Row],[Date_Month]],1))</f>
        <v>44197</v>
      </c>
    </row>
    <row r="201" spans="2:18" ht="15.75" hidden="1" x14ac:dyDescent="0.25">
      <c r="B201" s="165">
        <v>44209</v>
      </c>
      <c r="C201" s="166" t="s">
        <v>199</v>
      </c>
      <c r="D201" s="166" t="s">
        <v>65</v>
      </c>
      <c r="E201" s="167"/>
      <c r="F201" s="114">
        <v>-16.3</v>
      </c>
      <c r="G201" s="168"/>
      <c r="H201" s="169"/>
      <c r="I201" s="170"/>
      <c r="J201" s="171" t="s">
        <v>402</v>
      </c>
      <c r="K201" s="172" t="s">
        <v>177</v>
      </c>
      <c r="L201" s="172" t="s">
        <v>175</v>
      </c>
      <c r="M201" s="173" t="str" cm="1">
        <f t="array" ref="M201">IFERROR(INDEX(CategoriesTable[Category type],MATCH(Table1[[#This Row],[Category]],CategoriesTable[Category name],0),0),"")</f>
        <v>Expense</v>
      </c>
      <c r="N201" s="173">
        <v>13</v>
      </c>
      <c r="O201" s="173">
        <f>MONTH(Table1[[#This Row],[Date]])</f>
        <v>1</v>
      </c>
      <c r="P201" s="173">
        <v>2021</v>
      </c>
      <c r="Q201" s="174">
        <f>IF(ISBLANK(Table1[[#This Row],[Date]]),"",Table1[[#This Row],[Date]]-WEEKDAY(Table1[[#This Row],[Date]],2)+1)</f>
        <v>44207</v>
      </c>
      <c r="R201" s="175">
        <f>IF(ISBLANK(Table1[[#This Row],[Date]]),"",DATE(Table1[[#This Row],[Date_Year]],Table1[[#This Row],[Date_Month]],1))</f>
        <v>44197</v>
      </c>
    </row>
    <row r="202" spans="2:18" ht="15.75" hidden="1" x14ac:dyDescent="0.25">
      <c r="B202" s="165">
        <v>44209</v>
      </c>
      <c r="C202" s="166" t="s">
        <v>199</v>
      </c>
      <c r="D202" s="166" t="s">
        <v>65</v>
      </c>
      <c r="E202" s="167"/>
      <c r="F202" s="114">
        <v>-35.79</v>
      </c>
      <c r="G202" s="168"/>
      <c r="H202" s="169"/>
      <c r="I202" s="170"/>
      <c r="J202" s="171" t="s">
        <v>403</v>
      </c>
      <c r="K202" s="172" t="s">
        <v>177</v>
      </c>
      <c r="L202" s="172" t="s">
        <v>175</v>
      </c>
      <c r="M202" s="173" t="str" cm="1">
        <f t="array" ref="M202">IFERROR(INDEX(CategoriesTable[Category type],MATCH(Table1[[#This Row],[Category]],CategoriesTable[Category name],0),0),"")</f>
        <v>Expense</v>
      </c>
      <c r="N202" s="173">
        <v>13</v>
      </c>
      <c r="O202" s="173">
        <f>MONTH(Table1[[#This Row],[Date]])</f>
        <v>1</v>
      </c>
      <c r="P202" s="173">
        <v>2021</v>
      </c>
      <c r="Q202" s="174">
        <f>IF(ISBLANK(Table1[[#This Row],[Date]]),"",Table1[[#This Row],[Date]]-WEEKDAY(Table1[[#This Row],[Date]],2)+1)</f>
        <v>44207</v>
      </c>
      <c r="R202" s="175">
        <f>IF(ISBLANK(Table1[[#This Row],[Date]]),"",DATE(Table1[[#This Row],[Date_Year]],Table1[[#This Row],[Date_Month]],1))</f>
        <v>44197</v>
      </c>
    </row>
    <row r="203" spans="2:18" ht="15.75" hidden="1" x14ac:dyDescent="0.25">
      <c r="B203" s="165">
        <v>44208</v>
      </c>
      <c r="C203" s="166" t="s">
        <v>199</v>
      </c>
      <c r="D203" s="166" t="s">
        <v>65</v>
      </c>
      <c r="E203" s="167"/>
      <c r="F203" s="114">
        <v>-38.74</v>
      </c>
      <c r="G203" s="168"/>
      <c r="H203" s="169"/>
      <c r="I203" s="170"/>
      <c r="J203" s="171" t="s">
        <v>404</v>
      </c>
      <c r="K203" s="172" t="s">
        <v>177</v>
      </c>
      <c r="L203" s="172" t="s">
        <v>175</v>
      </c>
      <c r="M203" s="173" t="str" cm="1">
        <f t="array" ref="M203">IFERROR(INDEX(CategoriesTable[Category type],MATCH(Table1[[#This Row],[Category]],CategoriesTable[Category name],0),0),"")</f>
        <v>Expense</v>
      </c>
      <c r="N203" s="173">
        <v>12</v>
      </c>
      <c r="O203" s="173">
        <f>MONTH(Table1[[#This Row],[Date]])</f>
        <v>1</v>
      </c>
      <c r="P203" s="173">
        <v>2021</v>
      </c>
      <c r="Q203" s="174">
        <f>IF(ISBLANK(Table1[[#This Row],[Date]]),"",Table1[[#This Row],[Date]]-WEEKDAY(Table1[[#This Row],[Date]],2)+1)</f>
        <v>44207</v>
      </c>
      <c r="R203" s="175">
        <f>IF(ISBLANK(Table1[[#This Row],[Date]]),"",DATE(Table1[[#This Row],[Date_Year]],Table1[[#This Row],[Date_Month]],1))</f>
        <v>44197</v>
      </c>
    </row>
    <row r="204" spans="2:18" ht="15.75" hidden="1" x14ac:dyDescent="0.25">
      <c r="B204" s="165">
        <v>44208</v>
      </c>
      <c r="C204" s="166" t="s">
        <v>199</v>
      </c>
      <c r="D204" s="166" t="s">
        <v>65</v>
      </c>
      <c r="E204" s="167"/>
      <c r="F204" s="114">
        <v>-20.21</v>
      </c>
      <c r="G204" s="168"/>
      <c r="H204" s="169"/>
      <c r="I204" s="170"/>
      <c r="J204" s="171" t="s">
        <v>405</v>
      </c>
      <c r="K204" s="172" t="s">
        <v>177</v>
      </c>
      <c r="L204" s="172" t="s">
        <v>175</v>
      </c>
      <c r="M204" s="173" t="str" cm="1">
        <f t="array" ref="M204">IFERROR(INDEX(CategoriesTable[Category type],MATCH(Table1[[#This Row],[Category]],CategoriesTable[Category name],0),0),"")</f>
        <v>Expense</v>
      </c>
      <c r="N204" s="173">
        <v>12</v>
      </c>
      <c r="O204" s="173">
        <f>MONTH(Table1[[#This Row],[Date]])</f>
        <v>1</v>
      </c>
      <c r="P204" s="173">
        <v>2021</v>
      </c>
      <c r="Q204" s="174">
        <f>IF(ISBLANK(Table1[[#This Row],[Date]]),"",Table1[[#This Row],[Date]]-WEEKDAY(Table1[[#This Row],[Date]],2)+1)</f>
        <v>44207</v>
      </c>
      <c r="R204" s="175">
        <f>IF(ISBLANK(Table1[[#This Row],[Date]]),"",DATE(Table1[[#This Row],[Date_Year]],Table1[[#This Row],[Date_Month]],1))</f>
        <v>44197</v>
      </c>
    </row>
    <row r="205" spans="2:18" ht="15.75" hidden="1" x14ac:dyDescent="0.25">
      <c r="B205" s="165">
        <v>44207</v>
      </c>
      <c r="C205" s="166" t="s">
        <v>199</v>
      </c>
      <c r="D205" s="166" t="s">
        <v>65</v>
      </c>
      <c r="E205" s="167"/>
      <c r="F205" s="114">
        <v>-39.08</v>
      </c>
      <c r="G205" s="168"/>
      <c r="H205" s="169"/>
      <c r="I205" s="170"/>
      <c r="J205" s="171" t="s">
        <v>406</v>
      </c>
      <c r="K205" s="172" t="s">
        <v>177</v>
      </c>
      <c r="L205" s="172" t="s">
        <v>175</v>
      </c>
      <c r="M205" s="173" t="str" cm="1">
        <f t="array" ref="M205">IFERROR(INDEX(CategoriesTable[Category type],MATCH(Table1[[#This Row],[Category]],CategoriesTable[Category name],0),0),"")</f>
        <v>Expense</v>
      </c>
      <c r="N205" s="173">
        <v>11</v>
      </c>
      <c r="O205" s="173">
        <f>MONTH(Table1[[#This Row],[Date]])</f>
        <v>1</v>
      </c>
      <c r="P205" s="173">
        <v>2021</v>
      </c>
      <c r="Q205" s="174">
        <f>IF(ISBLANK(Table1[[#This Row],[Date]]),"",Table1[[#This Row],[Date]]-WEEKDAY(Table1[[#This Row],[Date]],2)+1)</f>
        <v>44207</v>
      </c>
      <c r="R205" s="175">
        <f>IF(ISBLANK(Table1[[#This Row],[Date]]),"",DATE(Table1[[#This Row],[Date_Year]],Table1[[#This Row],[Date_Month]],1))</f>
        <v>44197</v>
      </c>
    </row>
    <row r="206" spans="2:18" ht="15.75" hidden="1" x14ac:dyDescent="0.25">
      <c r="B206" s="165">
        <v>44207</v>
      </c>
      <c r="C206" s="166" t="s">
        <v>407</v>
      </c>
      <c r="D206" s="166" t="s">
        <v>52</v>
      </c>
      <c r="E206" s="167"/>
      <c r="F206" s="114">
        <v>-460</v>
      </c>
      <c r="G206" s="168"/>
      <c r="H206" s="169"/>
      <c r="I206" s="170"/>
      <c r="J206" s="171" t="s">
        <v>408</v>
      </c>
      <c r="K206" s="172" t="s">
        <v>177</v>
      </c>
      <c r="L206" s="172" t="s">
        <v>175</v>
      </c>
      <c r="M206" s="173" t="str" cm="1">
        <f t="array" ref="M206">IFERROR(INDEX(CategoriesTable[Category type],MATCH(Table1[[#This Row],[Category]],CategoriesTable[Category name],0),0),"")</f>
        <v>Transfer</v>
      </c>
      <c r="N206" s="173">
        <v>11</v>
      </c>
      <c r="O206" s="173">
        <f>MONTH(Table1[[#This Row],[Date]])</f>
        <v>1</v>
      </c>
      <c r="P206" s="173">
        <v>2021</v>
      </c>
      <c r="Q206" s="174">
        <f>IF(ISBLANK(Table1[[#This Row],[Date]]),"",Table1[[#This Row],[Date]]-WEEKDAY(Table1[[#This Row],[Date]],2)+1)</f>
        <v>44207</v>
      </c>
      <c r="R206" s="175">
        <f>IF(ISBLANK(Table1[[#This Row],[Date]]),"",DATE(Table1[[#This Row],[Date_Year]],Table1[[#This Row],[Date_Month]],1))</f>
        <v>44197</v>
      </c>
    </row>
    <row r="207" spans="2:18" ht="15.75" hidden="1" x14ac:dyDescent="0.25">
      <c r="B207" s="165">
        <v>44207</v>
      </c>
      <c r="C207" s="166" t="s">
        <v>128</v>
      </c>
      <c r="D207" s="166" t="s">
        <v>53</v>
      </c>
      <c r="E207" s="167"/>
      <c r="F207" s="114">
        <v>-17.010000000000002</v>
      </c>
      <c r="G207" s="168"/>
      <c r="H207" s="169"/>
      <c r="I207" s="170"/>
      <c r="J207" s="171" t="s">
        <v>409</v>
      </c>
      <c r="K207" s="172" t="s">
        <v>177</v>
      </c>
      <c r="L207" s="172" t="s">
        <v>175</v>
      </c>
      <c r="M207" s="173" t="str" cm="1">
        <f t="array" ref="M207">IFERROR(INDEX(CategoriesTable[Category type],MATCH(Table1[[#This Row],[Category]],CategoriesTable[Category name],0),0),"")</f>
        <v>Expense</v>
      </c>
      <c r="N207" s="173">
        <v>11</v>
      </c>
      <c r="O207" s="173">
        <f>MONTH(Table1[[#This Row],[Date]])</f>
        <v>1</v>
      </c>
      <c r="P207" s="173">
        <v>2021</v>
      </c>
      <c r="Q207" s="174">
        <f>IF(ISBLANK(Table1[[#This Row],[Date]]),"",Table1[[#This Row],[Date]]-WEEKDAY(Table1[[#This Row],[Date]],2)+1)</f>
        <v>44207</v>
      </c>
      <c r="R207" s="175">
        <f>IF(ISBLANK(Table1[[#This Row],[Date]]),"",DATE(Table1[[#This Row],[Date_Year]],Table1[[#This Row],[Date_Month]],1))</f>
        <v>44197</v>
      </c>
    </row>
    <row r="208" spans="2:18" ht="15.75" hidden="1" x14ac:dyDescent="0.25">
      <c r="B208" s="165">
        <v>44207</v>
      </c>
      <c r="C208" s="166" t="s">
        <v>193</v>
      </c>
      <c r="D208" s="166" t="s">
        <v>53</v>
      </c>
      <c r="E208" s="167"/>
      <c r="F208" s="114">
        <v>-185.21</v>
      </c>
      <c r="G208" s="168"/>
      <c r="H208" s="169"/>
      <c r="I208" s="170"/>
      <c r="J208" s="171" t="s">
        <v>410</v>
      </c>
      <c r="K208" s="172" t="s">
        <v>177</v>
      </c>
      <c r="L208" s="172" t="s">
        <v>175</v>
      </c>
      <c r="M208" s="173" t="str" cm="1">
        <f t="array" ref="M208">IFERROR(INDEX(CategoriesTable[Category type],MATCH(Table1[[#This Row],[Category]],CategoriesTable[Category name],0),0),"")</f>
        <v>Expense</v>
      </c>
      <c r="N208" s="173">
        <v>11</v>
      </c>
      <c r="O208" s="173">
        <f>MONTH(Table1[[#This Row],[Date]])</f>
        <v>1</v>
      </c>
      <c r="P208" s="173">
        <v>2021</v>
      </c>
      <c r="Q208" s="174">
        <f>IF(ISBLANK(Table1[[#This Row],[Date]]),"",Table1[[#This Row],[Date]]-WEEKDAY(Table1[[#This Row],[Date]],2)+1)</f>
        <v>44207</v>
      </c>
      <c r="R208" s="175">
        <f>IF(ISBLANK(Table1[[#This Row],[Date]]),"",DATE(Table1[[#This Row],[Date_Year]],Table1[[#This Row],[Date_Month]],1))</f>
        <v>44197</v>
      </c>
    </row>
    <row r="209" spans="2:18" ht="15.75" hidden="1" x14ac:dyDescent="0.25">
      <c r="B209" s="165">
        <v>44206</v>
      </c>
      <c r="C209" s="166" t="s">
        <v>199</v>
      </c>
      <c r="D209" s="166" t="s">
        <v>65</v>
      </c>
      <c r="E209" s="167"/>
      <c r="F209" s="114">
        <v>-56.23</v>
      </c>
      <c r="G209" s="168"/>
      <c r="H209" s="169"/>
      <c r="I209" s="170"/>
      <c r="J209" s="171" t="s">
        <v>411</v>
      </c>
      <c r="K209" s="172" t="s">
        <v>177</v>
      </c>
      <c r="L209" s="172" t="s">
        <v>175</v>
      </c>
      <c r="M209" s="173" t="str" cm="1">
        <f t="array" ref="M209">IFERROR(INDEX(CategoriesTable[Category type],MATCH(Table1[[#This Row],[Category]],CategoriesTable[Category name],0),0),"")</f>
        <v>Expense</v>
      </c>
      <c r="N209" s="173">
        <v>10</v>
      </c>
      <c r="O209" s="173">
        <f>MONTH(Table1[[#This Row],[Date]])</f>
        <v>1</v>
      </c>
      <c r="P209" s="173">
        <v>2021</v>
      </c>
      <c r="Q209" s="174">
        <f>IF(ISBLANK(Table1[[#This Row],[Date]]),"",Table1[[#This Row],[Date]]-WEEKDAY(Table1[[#This Row],[Date]],2)+1)</f>
        <v>44200</v>
      </c>
      <c r="R209" s="175">
        <f>IF(ISBLANK(Table1[[#This Row],[Date]]),"",DATE(Table1[[#This Row],[Date_Year]],Table1[[#This Row],[Date_Month]],1))</f>
        <v>44197</v>
      </c>
    </row>
    <row r="210" spans="2:18" ht="15.75" hidden="1" x14ac:dyDescent="0.25">
      <c r="B210" s="165">
        <v>44205</v>
      </c>
      <c r="C210" s="166" t="s">
        <v>222</v>
      </c>
      <c r="D210" s="166" t="s">
        <v>64</v>
      </c>
      <c r="E210" s="167"/>
      <c r="F210" s="114">
        <v>-100</v>
      </c>
      <c r="G210" s="168"/>
      <c r="H210" s="169"/>
      <c r="I210" s="170"/>
      <c r="J210" s="171" t="s">
        <v>412</v>
      </c>
      <c r="K210" s="172" t="s">
        <v>177</v>
      </c>
      <c r="L210" s="172" t="s">
        <v>175</v>
      </c>
      <c r="M210" s="173" t="str" cm="1">
        <f t="array" ref="M210">IFERROR(INDEX(CategoriesTable[Category type],MATCH(Table1[[#This Row],[Category]],CategoriesTable[Category name],0),0),"")</f>
        <v>Expense</v>
      </c>
      <c r="N210" s="173">
        <v>9</v>
      </c>
      <c r="O210" s="173">
        <f>MONTH(Table1[[#This Row],[Date]])</f>
        <v>1</v>
      </c>
      <c r="P210" s="173">
        <v>2021</v>
      </c>
      <c r="Q210" s="174">
        <f>IF(ISBLANK(Table1[[#This Row],[Date]]),"",Table1[[#This Row],[Date]]-WEEKDAY(Table1[[#This Row],[Date]],2)+1)</f>
        <v>44200</v>
      </c>
      <c r="R210" s="175">
        <f>IF(ISBLANK(Table1[[#This Row],[Date]]),"",DATE(Table1[[#This Row],[Date_Year]],Table1[[#This Row],[Date_Month]],1))</f>
        <v>44197</v>
      </c>
    </row>
    <row r="211" spans="2:18" ht="15.75" hidden="1" x14ac:dyDescent="0.25">
      <c r="B211" s="165">
        <v>44205</v>
      </c>
      <c r="C211" s="166" t="s">
        <v>222</v>
      </c>
      <c r="D211" s="166" t="s">
        <v>64</v>
      </c>
      <c r="E211" s="167"/>
      <c r="F211" s="114">
        <v>-100</v>
      </c>
      <c r="G211" s="168"/>
      <c r="H211" s="169"/>
      <c r="I211" s="170"/>
      <c r="J211" s="171" t="s">
        <v>413</v>
      </c>
      <c r="K211" s="172" t="s">
        <v>177</v>
      </c>
      <c r="L211" s="172" t="s">
        <v>175</v>
      </c>
      <c r="M211" s="173" t="str" cm="1">
        <f t="array" ref="M211">IFERROR(INDEX(CategoriesTable[Category type],MATCH(Table1[[#This Row],[Category]],CategoriesTable[Category name],0),0),"")</f>
        <v>Expense</v>
      </c>
      <c r="N211" s="173">
        <v>9</v>
      </c>
      <c r="O211" s="173">
        <f>MONTH(Table1[[#This Row],[Date]])</f>
        <v>1</v>
      </c>
      <c r="P211" s="173">
        <v>2021</v>
      </c>
      <c r="Q211" s="174">
        <f>IF(ISBLANK(Table1[[#This Row],[Date]]),"",Table1[[#This Row],[Date]]-WEEKDAY(Table1[[#This Row],[Date]],2)+1)</f>
        <v>44200</v>
      </c>
      <c r="R211" s="175">
        <f>IF(ISBLANK(Table1[[#This Row],[Date]]),"",DATE(Table1[[#This Row],[Date_Year]],Table1[[#This Row],[Date_Month]],1))</f>
        <v>44197</v>
      </c>
    </row>
    <row r="212" spans="2:18" ht="15.75" hidden="1" x14ac:dyDescent="0.25">
      <c r="B212" s="165">
        <v>44205</v>
      </c>
      <c r="C212" s="166" t="s">
        <v>199</v>
      </c>
      <c r="D212" s="166" t="s">
        <v>65</v>
      </c>
      <c r="E212" s="167"/>
      <c r="F212" s="114">
        <v>-98.54</v>
      </c>
      <c r="G212" s="168"/>
      <c r="H212" s="169"/>
      <c r="I212" s="170"/>
      <c r="J212" s="171" t="s">
        <v>414</v>
      </c>
      <c r="K212" s="172" t="s">
        <v>177</v>
      </c>
      <c r="L212" s="172" t="s">
        <v>175</v>
      </c>
      <c r="M212" s="173" t="str" cm="1">
        <f t="array" ref="M212">IFERROR(INDEX(CategoriesTable[Category type],MATCH(Table1[[#This Row],[Category]],CategoriesTable[Category name],0),0),"")</f>
        <v>Expense</v>
      </c>
      <c r="N212" s="173">
        <v>9</v>
      </c>
      <c r="O212" s="173">
        <f>MONTH(Table1[[#This Row],[Date]])</f>
        <v>1</v>
      </c>
      <c r="P212" s="173">
        <v>2021</v>
      </c>
      <c r="Q212" s="174">
        <f>IF(ISBLANK(Table1[[#This Row],[Date]]),"",Table1[[#This Row],[Date]]-WEEKDAY(Table1[[#This Row],[Date]],2)+1)</f>
        <v>44200</v>
      </c>
      <c r="R212" s="175">
        <f>IF(ISBLANK(Table1[[#This Row],[Date]]),"",DATE(Table1[[#This Row],[Date_Year]],Table1[[#This Row],[Date_Month]],1))</f>
        <v>44197</v>
      </c>
    </row>
    <row r="213" spans="2:18" ht="15.75" hidden="1" x14ac:dyDescent="0.25">
      <c r="B213" s="165">
        <v>44205</v>
      </c>
      <c r="C213" s="166" t="s">
        <v>199</v>
      </c>
      <c r="D213" s="166" t="s">
        <v>65</v>
      </c>
      <c r="E213" s="167"/>
      <c r="F213" s="114">
        <v>-32.75</v>
      </c>
      <c r="G213" s="168"/>
      <c r="H213" s="169"/>
      <c r="I213" s="170"/>
      <c r="J213" s="171" t="s">
        <v>415</v>
      </c>
      <c r="K213" s="172" t="s">
        <v>177</v>
      </c>
      <c r="L213" s="172" t="s">
        <v>175</v>
      </c>
      <c r="M213" s="173" t="str" cm="1">
        <f t="array" ref="M213">IFERROR(INDEX(CategoriesTable[Category type],MATCH(Table1[[#This Row],[Category]],CategoriesTable[Category name],0),0),"")</f>
        <v>Expense</v>
      </c>
      <c r="N213" s="173">
        <v>9</v>
      </c>
      <c r="O213" s="173">
        <f>MONTH(Table1[[#This Row],[Date]])</f>
        <v>1</v>
      </c>
      <c r="P213" s="173">
        <v>2021</v>
      </c>
      <c r="Q213" s="174">
        <f>IF(ISBLANK(Table1[[#This Row],[Date]]),"",Table1[[#This Row],[Date]]-WEEKDAY(Table1[[#This Row],[Date]],2)+1)</f>
        <v>44200</v>
      </c>
      <c r="R213" s="175">
        <f>IF(ISBLANK(Table1[[#This Row],[Date]]),"",DATE(Table1[[#This Row],[Date_Year]],Table1[[#This Row],[Date_Month]],1))</f>
        <v>44197</v>
      </c>
    </row>
    <row r="214" spans="2:18" ht="15.75" hidden="1" x14ac:dyDescent="0.25">
      <c r="B214" s="165">
        <v>44204</v>
      </c>
      <c r="C214" s="166" t="s">
        <v>199</v>
      </c>
      <c r="D214" s="166" t="s">
        <v>65</v>
      </c>
      <c r="E214" s="167"/>
      <c r="F214" s="114">
        <v>-33.200000000000003</v>
      </c>
      <c r="G214" s="168"/>
      <c r="H214" s="169"/>
      <c r="I214" s="170"/>
      <c r="J214" s="176" t="s">
        <v>416</v>
      </c>
      <c r="K214" s="172" t="s">
        <v>177</v>
      </c>
      <c r="L214" s="172" t="s">
        <v>175</v>
      </c>
      <c r="M214" s="173" t="str" cm="1">
        <f t="array" ref="M214">IFERROR(INDEX(CategoriesTable[Category type],MATCH(Table1[[#This Row],[Category]],CategoriesTable[Category name],0),0),"")</f>
        <v>Expense</v>
      </c>
      <c r="N214" s="173">
        <v>8</v>
      </c>
      <c r="O214" s="173">
        <f>MONTH(Table1[[#This Row],[Date]])</f>
        <v>1</v>
      </c>
      <c r="P214" s="173">
        <v>2021</v>
      </c>
      <c r="Q214" s="174">
        <f>IF(ISBLANK(Table1[[#This Row],[Date]]),"",Table1[[#This Row],[Date]]-WEEKDAY(Table1[[#This Row],[Date]],2)+1)</f>
        <v>44200</v>
      </c>
      <c r="R214" s="175">
        <f>IF(ISBLANK(Table1[[#This Row],[Date]]),"",DATE(Table1[[#This Row],[Date_Year]],Table1[[#This Row],[Date_Month]],1))</f>
        <v>44197</v>
      </c>
    </row>
    <row r="215" spans="2:18" ht="15.75" hidden="1" x14ac:dyDescent="0.25">
      <c r="B215" s="165">
        <v>44204</v>
      </c>
      <c r="C215" s="166" t="s">
        <v>199</v>
      </c>
      <c r="D215" s="166" t="s">
        <v>65</v>
      </c>
      <c r="E215" s="167"/>
      <c r="F215" s="114">
        <v>-32.200000000000003</v>
      </c>
      <c r="G215" s="168"/>
      <c r="H215" s="169"/>
      <c r="I215" s="170"/>
      <c r="J215" s="171" t="s">
        <v>417</v>
      </c>
      <c r="K215" s="172" t="s">
        <v>177</v>
      </c>
      <c r="L215" s="172" t="s">
        <v>175</v>
      </c>
      <c r="M215" s="173" t="str" cm="1">
        <f t="array" ref="M215">IFERROR(INDEX(CategoriesTable[Category type],MATCH(Table1[[#This Row],[Category]],CategoriesTable[Category name],0),0),"")</f>
        <v>Expense</v>
      </c>
      <c r="N215" s="173">
        <v>8</v>
      </c>
      <c r="O215" s="173">
        <f>MONTH(Table1[[#This Row],[Date]])</f>
        <v>1</v>
      </c>
      <c r="P215" s="173">
        <v>2021</v>
      </c>
      <c r="Q215" s="174">
        <f>IF(ISBLANK(Table1[[#This Row],[Date]]),"",Table1[[#This Row],[Date]]-WEEKDAY(Table1[[#This Row],[Date]],2)+1)</f>
        <v>44200</v>
      </c>
      <c r="R215" s="175">
        <f>IF(ISBLANK(Table1[[#This Row],[Date]]),"",DATE(Table1[[#This Row],[Date_Year]],Table1[[#This Row],[Date_Month]],1))</f>
        <v>44197</v>
      </c>
    </row>
    <row r="216" spans="2:18" ht="15.75" hidden="1" x14ac:dyDescent="0.25">
      <c r="B216" s="165">
        <v>44204</v>
      </c>
      <c r="C216" s="166" t="s">
        <v>1564</v>
      </c>
      <c r="D216" s="166" t="s">
        <v>56</v>
      </c>
      <c r="E216" s="167"/>
      <c r="F216" s="114">
        <v>-9.99</v>
      </c>
      <c r="G216" s="168"/>
      <c r="H216" s="169"/>
      <c r="I216" s="170"/>
      <c r="J216" s="171" t="s">
        <v>418</v>
      </c>
      <c r="K216" s="172" t="s">
        <v>177</v>
      </c>
      <c r="L216" s="172" t="s">
        <v>175</v>
      </c>
      <c r="M216" s="173" t="str" cm="1">
        <f t="array" ref="M216">IFERROR(INDEX(CategoriesTable[Category type],MATCH(Table1[[#This Row],[Category]],CategoriesTable[Category name],0),0),"")</f>
        <v>Expense</v>
      </c>
      <c r="N216" s="173">
        <v>8</v>
      </c>
      <c r="O216" s="173">
        <f>MONTH(Table1[[#This Row],[Date]])</f>
        <v>1</v>
      </c>
      <c r="P216" s="173">
        <v>2021</v>
      </c>
      <c r="Q216" s="174">
        <f>IF(ISBLANK(Table1[[#This Row],[Date]]),"",Table1[[#This Row],[Date]]-WEEKDAY(Table1[[#This Row],[Date]],2)+1)</f>
        <v>44200</v>
      </c>
      <c r="R216" s="175">
        <f>IF(ISBLANK(Table1[[#This Row],[Date]]),"",DATE(Table1[[#This Row],[Date_Year]],Table1[[#This Row],[Date_Month]],1))</f>
        <v>44197</v>
      </c>
    </row>
    <row r="217" spans="2:18" ht="15.75" hidden="1" x14ac:dyDescent="0.25">
      <c r="B217" s="165">
        <v>44203</v>
      </c>
      <c r="C217" s="166" t="s">
        <v>199</v>
      </c>
      <c r="D217" s="166" t="s">
        <v>65</v>
      </c>
      <c r="E217" s="167"/>
      <c r="F217" s="114">
        <v>-64.14</v>
      </c>
      <c r="G217" s="168"/>
      <c r="H217" s="169"/>
      <c r="I217" s="170"/>
      <c r="J217" s="171" t="s">
        <v>419</v>
      </c>
      <c r="K217" s="172" t="s">
        <v>177</v>
      </c>
      <c r="L217" s="172" t="s">
        <v>175</v>
      </c>
      <c r="M217" s="173" t="str" cm="1">
        <f t="array" ref="M217">IFERROR(INDEX(CategoriesTable[Category type],MATCH(Table1[[#This Row],[Category]],CategoriesTable[Category name],0),0),"")</f>
        <v>Expense</v>
      </c>
      <c r="N217" s="173">
        <v>7</v>
      </c>
      <c r="O217" s="173">
        <f>MONTH(Table1[[#This Row],[Date]])</f>
        <v>1</v>
      </c>
      <c r="P217" s="173">
        <v>2021</v>
      </c>
      <c r="Q217" s="174">
        <f>IF(ISBLANK(Table1[[#This Row],[Date]]),"",Table1[[#This Row],[Date]]-WEEKDAY(Table1[[#This Row],[Date]],2)+1)</f>
        <v>44200</v>
      </c>
      <c r="R217" s="175">
        <f>IF(ISBLANK(Table1[[#This Row],[Date]]),"",DATE(Table1[[#This Row],[Date_Year]],Table1[[#This Row],[Date_Month]],1))</f>
        <v>44197</v>
      </c>
    </row>
    <row r="218" spans="2:18" ht="15.75" hidden="1" x14ac:dyDescent="0.25">
      <c r="B218" s="165">
        <v>44203</v>
      </c>
      <c r="C218" s="166" t="s">
        <v>140</v>
      </c>
      <c r="D218" s="166" t="s">
        <v>65</v>
      </c>
      <c r="E218" s="167"/>
      <c r="F218" s="114">
        <v>-25.43</v>
      </c>
      <c r="G218" s="168"/>
      <c r="H218" s="169"/>
      <c r="I218" s="170"/>
      <c r="J218" s="171" t="s">
        <v>420</v>
      </c>
      <c r="K218" s="172" t="s">
        <v>177</v>
      </c>
      <c r="L218" s="172" t="s">
        <v>175</v>
      </c>
      <c r="M218" s="173" t="str" cm="1">
        <f t="array" ref="M218">IFERROR(INDEX(CategoriesTable[Category type],MATCH(Table1[[#This Row],[Category]],CategoriesTable[Category name],0),0),"")</f>
        <v>Expense</v>
      </c>
      <c r="N218" s="173">
        <v>7</v>
      </c>
      <c r="O218" s="173">
        <f>MONTH(Table1[[#This Row],[Date]])</f>
        <v>1</v>
      </c>
      <c r="P218" s="173">
        <v>2021</v>
      </c>
      <c r="Q218" s="174">
        <f>IF(ISBLANK(Table1[[#This Row],[Date]]),"",Table1[[#This Row],[Date]]-WEEKDAY(Table1[[#This Row],[Date]],2)+1)</f>
        <v>44200</v>
      </c>
      <c r="R218" s="175">
        <f>IF(ISBLANK(Table1[[#This Row],[Date]]),"",DATE(Table1[[#This Row],[Date_Year]],Table1[[#This Row],[Date_Month]],1))</f>
        <v>44197</v>
      </c>
    </row>
    <row r="219" spans="2:18" ht="15.75" hidden="1" x14ac:dyDescent="0.25">
      <c r="B219" s="165">
        <v>44203</v>
      </c>
      <c r="C219" s="166" t="s">
        <v>121</v>
      </c>
      <c r="D219" s="166" t="s">
        <v>65</v>
      </c>
      <c r="E219" s="167"/>
      <c r="F219" s="114">
        <v>-19.2</v>
      </c>
      <c r="G219" s="168"/>
      <c r="H219" s="169"/>
      <c r="I219" s="170"/>
      <c r="J219" s="171" t="s">
        <v>421</v>
      </c>
      <c r="K219" s="172" t="s">
        <v>177</v>
      </c>
      <c r="L219" s="172" t="s">
        <v>175</v>
      </c>
      <c r="M219" s="173" t="str" cm="1">
        <f t="array" ref="M219">IFERROR(INDEX(CategoriesTable[Category type],MATCH(Table1[[#This Row],[Category]],CategoriesTable[Category name],0),0),"")</f>
        <v>Expense</v>
      </c>
      <c r="N219" s="173">
        <v>7</v>
      </c>
      <c r="O219" s="173">
        <f>MONTH(Table1[[#This Row],[Date]])</f>
        <v>1</v>
      </c>
      <c r="P219" s="173">
        <v>2021</v>
      </c>
      <c r="Q219" s="174">
        <f>IF(ISBLANK(Table1[[#This Row],[Date]]),"",Table1[[#This Row],[Date]]-WEEKDAY(Table1[[#This Row],[Date]],2)+1)</f>
        <v>44200</v>
      </c>
      <c r="R219" s="175">
        <f>IF(ISBLANK(Table1[[#This Row],[Date]]),"",DATE(Table1[[#This Row],[Date_Year]],Table1[[#This Row],[Date_Month]],1))</f>
        <v>44197</v>
      </c>
    </row>
    <row r="220" spans="2:18" ht="15.75" hidden="1" x14ac:dyDescent="0.25">
      <c r="B220" s="165">
        <v>44203</v>
      </c>
      <c r="C220" s="166" t="s">
        <v>133</v>
      </c>
      <c r="D220" s="166" t="s">
        <v>65</v>
      </c>
      <c r="E220" s="167"/>
      <c r="F220" s="114">
        <v>-26.27</v>
      </c>
      <c r="G220" s="168"/>
      <c r="H220" s="169"/>
      <c r="I220" s="170"/>
      <c r="J220" s="171" t="s">
        <v>422</v>
      </c>
      <c r="K220" s="172" t="s">
        <v>177</v>
      </c>
      <c r="L220" s="172" t="s">
        <v>175</v>
      </c>
      <c r="M220" s="173" t="str" cm="1">
        <f t="array" ref="M220">IFERROR(INDEX(CategoriesTable[Category type],MATCH(Table1[[#This Row],[Category]],CategoriesTable[Category name],0),0),"")</f>
        <v>Expense</v>
      </c>
      <c r="N220" s="173">
        <v>7</v>
      </c>
      <c r="O220" s="173">
        <f>MONTH(Table1[[#This Row],[Date]])</f>
        <v>1</v>
      </c>
      <c r="P220" s="173">
        <v>2021</v>
      </c>
      <c r="Q220" s="174">
        <f>IF(ISBLANK(Table1[[#This Row],[Date]]),"",Table1[[#This Row],[Date]]-WEEKDAY(Table1[[#This Row],[Date]],2)+1)</f>
        <v>44200</v>
      </c>
      <c r="R220" s="175">
        <f>IF(ISBLANK(Table1[[#This Row],[Date]]),"",DATE(Table1[[#This Row],[Date_Year]],Table1[[#This Row],[Date_Month]],1))</f>
        <v>44197</v>
      </c>
    </row>
    <row r="221" spans="2:18" ht="15.75" hidden="1" x14ac:dyDescent="0.25">
      <c r="B221" s="165">
        <v>44202</v>
      </c>
      <c r="C221" s="166" t="s">
        <v>199</v>
      </c>
      <c r="D221" s="166" t="s">
        <v>65</v>
      </c>
      <c r="E221" s="167"/>
      <c r="F221" s="114">
        <v>-22.87</v>
      </c>
      <c r="G221" s="168"/>
      <c r="H221" s="169"/>
      <c r="I221" s="170"/>
      <c r="J221" s="171" t="s">
        <v>423</v>
      </c>
      <c r="K221" s="172" t="s">
        <v>177</v>
      </c>
      <c r="L221" s="172" t="s">
        <v>175</v>
      </c>
      <c r="M221" s="173" t="str" cm="1">
        <f t="array" ref="M221">IFERROR(INDEX(CategoriesTable[Category type],MATCH(Table1[[#This Row],[Category]],CategoriesTable[Category name],0),0),"")</f>
        <v>Expense</v>
      </c>
      <c r="N221" s="173">
        <v>6</v>
      </c>
      <c r="O221" s="173">
        <f>MONTH(Table1[[#This Row],[Date]])</f>
        <v>1</v>
      </c>
      <c r="P221" s="173">
        <v>2021</v>
      </c>
      <c r="Q221" s="174">
        <f>IF(ISBLANK(Table1[[#This Row],[Date]]),"",Table1[[#This Row],[Date]]-WEEKDAY(Table1[[#This Row],[Date]],2)+1)</f>
        <v>44200</v>
      </c>
      <c r="R221" s="175">
        <f>IF(ISBLANK(Table1[[#This Row],[Date]]),"",DATE(Table1[[#This Row],[Date_Year]],Table1[[#This Row],[Date_Month]],1))</f>
        <v>44197</v>
      </c>
    </row>
    <row r="222" spans="2:18" ht="15.75" hidden="1" x14ac:dyDescent="0.25">
      <c r="B222" s="165">
        <v>44201</v>
      </c>
      <c r="C222" s="166" t="s">
        <v>222</v>
      </c>
      <c r="D222" s="166" t="s">
        <v>64</v>
      </c>
      <c r="E222" s="167"/>
      <c r="F222" s="114">
        <v>-100</v>
      </c>
      <c r="G222" s="168"/>
      <c r="H222" s="169"/>
      <c r="I222" s="170"/>
      <c r="J222" s="171" t="s">
        <v>424</v>
      </c>
      <c r="K222" s="172" t="s">
        <v>177</v>
      </c>
      <c r="L222" s="172" t="s">
        <v>175</v>
      </c>
      <c r="M222" s="173" t="str" cm="1">
        <f t="array" ref="M222">IFERROR(INDEX(CategoriesTable[Category type],MATCH(Table1[[#This Row],[Category]],CategoriesTable[Category name],0),0),"")</f>
        <v>Expense</v>
      </c>
      <c r="N222" s="173">
        <v>5</v>
      </c>
      <c r="O222" s="173">
        <f>MONTH(Table1[[#This Row],[Date]])</f>
        <v>1</v>
      </c>
      <c r="P222" s="173">
        <v>2021</v>
      </c>
      <c r="Q222" s="174">
        <f>IF(ISBLANK(Table1[[#This Row],[Date]]),"",Table1[[#This Row],[Date]]-WEEKDAY(Table1[[#This Row],[Date]],2)+1)</f>
        <v>44200</v>
      </c>
      <c r="R222" s="175">
        <f>IF(ISBLANK(Table1[[#This Row],[Date]]),"",DATE(Table1[[#This Row],[Date_Year]],Table1[[#This Row],[Date_Month]],1))</f>
        <v>44197</v>
      </c>
    </row>
    <row r="223" spans="2:18" ht="15.75" hidden="1" x14ac:dyDescent="0.25">
      <c r="B223" s="165">
        <v>44201</v>
      </c>
      <c r="C223" s="166" t="s">
        <v>222</v>
      </c>
      <c r="D223" s="166" t="s">
        <v>64</v>
      </c>
      <c r="E223" s="167"/>
      <c r="F223" s="114">
        <v>-100</v>
      </c>
      <c r="G223" s="168"/>
      <c r="H223" s="169"/>
      <c r="I223" s="170"/>
      <c r="J223" s="171" t="s">
        <v>425</v>
      </c>
      <c r="K223" s="172" t="s">
        <v>177</v>
      </c>
      <c r="L223" s="172" t="s">
        <v>175</v>
      </c>
      <c r="M223" s="173" t="str" cm="1">
        <f t="array" ref="M223">IFERROR(INDEX(CategoriesTable[Category type],MATCH(Table1[[#This Row],[Category]],CategoriesTable[Category name],0),0),"")</f>
        <v>Expense</v>
      </c>
      <c r="N223" s="173">
        <v>5</v>
      </c>
      <c r="O223" s="173">
        <f>MONTH(Table1[[#This Row],[Date]])</f>
        <v>1</v>
      </c>
      <c r="P223" s="173">
        <v>2021</v>
      </c>
      <c r="Q223" s="174">
        <f>IF(ISBLANK(Table1[[#This Row],[Date]]),"",Table1[[#This Row],[Date]]-WEEKDAY(Table1[[#This Row],[Date]],2)+1)</f>
        <v>44200</v>
      </c>
      <c r="R223" s="175">
        <f>IF(ISBLANK(Table1[[#This Row],[Date]]),"",DATE(Table1[[#This Row],[Date_Year]],Table1[[#This Row],[Date_Month]],1))</f>
        <v>44197</v>
      </c>
    </row>
    <row r="224" spans="2:18" ht="15.75" hidden="1" x14ac:dyDescent="0.25">
      <c r="B224" s="165">
        <v>44201</v>
      </c>
      <c r="C224" s="166" t="s">
        <v>199</v>
      </c>
      <c r="D224" s="166" t="s">
        <v>65</v>
      </c>
      <c r="E224" s="167"/>
      <c r="F224" s="114">
        <v>-28.81</v>
      </c>
      <c r="G224" s="168"/>
      <c r="H224" s="169"/>
      <c r="I224" s="170"/>
      <c r="J224" s="171" t="s">
        <v>426</v>
      </c>
      <c r="K224" s="172" t="s">
        <v>177</v>
      </c>
      <c r="L224" s="172" t="s">
        <v>175</v>
      </c>
      <c r="M224" s="173" t="str" cm="1">
        <f t="array" ref="M224">IFERROR(INDEX(CategoriesTable[Category type],MATCH(Table1[[#This Row],[Category]],CategoriesTable[Category name],0),0),"")</f>
        <v>Expense</v>
      </c>
      <c r="N224" s="173">
        <v>5</v>
      </c>
      <c r="O224" s="173">
        <f>MONTH(Table1[[#This Row],[Date]])</f>
        <v>1</v>
      </c>
      <c r="P224" s="173">
        <v>2021</v>
      </c>
      <c r="Q224" s="174">
        <f>IF(ISBLANK(Table1[[#This Row],[Date]]),"",Table1[[#This Row],[Date]]-WEEKDAY(Table1[[#This Row],[Date]],2)+1)</f>
        <v>44200</v>
      </c>
      <c r="R224" s="175">
        <f>IF(ISBLANK(Table1[[#This Row],[Date]]),"",DATE(Table1[[#This Row],[Date_Year]],Table1[[#This Row],[Date_Month]],1))</f>
        <v>44197</v>
      </c>
    </row>
    <row r="225" spans="2:18" ht="15.75" hidden="1" x14ac:dyDescent="0.25">
      <c r="B225" s="165">
        <v>44201</v>
      </c>
      <c r="C225" s="166" t="s">
        <v>123</v>
      </c>
      <c r="D225" s="166" t="s">
        <v>55</v>
      </c>
      <c r="E225" s="167"/>
      <c r="F225" s="114">
        <v>-17.989999999999998</v>
      </c>
      <c r="G225" s="168"/>
      <c r="H225" s="169"/>
      <c r="I225" s="170"/>
      <c r="J225" s="171" t="s">
        <v>427</v>
      </c>
      <c r="K225" s="172" t="s">
        <v>177</v>
      </c>
      <c r="L225" s="172" t="s">
        <v>175</v>
      </c>
      <c r="M225" s="173" t="str" cm="1">
        <f t="array" ref="M225">IFERROR(INDEX(CategoriesTable[Category type],MATCH(Table1[[#This Row],[Category]],CategoriesTable[Category name],0),0),"")</f>
        <v>Expense</v>
      </c>
      <c r="N225" s="173">
        <v>5</v>
      </c>
      <c r="O225" s="173">
        <f>MONTH(Table1[[#This Row],[Date]])</f>
        <v>1</v>
      </c>
      <c r="P225" s="173">
        <v>2021</v>
      </c>
      <c r="Q225" s="174">
        <f>IF(ISBLANK(Table1[[#This Row],[Date]]),"",Table1[[#This Row],[Date]]-WEEKDAY(Table1[[#This Row],[Date]],2)+1)</f>
        <v>44200</v>
      </c>
      <c r="R225" s="175">
        <f>IF(ISBLANK(Table1[[#This Row],[Date]]),"",DATE(Table1[[#This Row],[Date_Year]],Table1[[#This Row],[Date_Month]],1))</f>
        <v>44197</v>
      </c>
    </row>
    <row r="226" spans="2:18" ht="15.75" hidden="1" x14ac:dyDescent="0.25">
      <c r="B226" s="165">
        <v>44200</v>
      </c>
      <c r="C226" s="166" t="s">
        <v>196</v>
      </c>
      <c r="D226" s="166" t="s">
        <v>50</v>
      </c>
      <c r="E226" s="167"/>
      <c r="F226" s="114">
        <v>4433</v>
      </c>
      <c r="G226" s="168"/>
      <c r="H226" s="169"/>
      <c r="I226" s="170"/>
      <c r="J226" s="171" t="s">
        <v>428</v>
      </c>
      <c r="K226" s="172" t="s">
        <v>177</v>
      </c>
      <c r="L226" s="172" t="s">
        <v>175</v>
      </c>
      <c r="M226" s="173" t="str" cm="1">
        <f t="array" ref="M226">IFERROR(INDEX(CategoriesTable[Category type],MATCH(Table1[[#This Row],[Category]],CategoriesTable[Category name],0),0),"")</f>
        <v>Income</v>
      </c>
      <c r="N226" s="173">
        <v>4</v>
      </c>
      <c r="O226" s="173">
        <f>MONTH(Table1[[#This Row],[Date]])</f>
        <v>1</v>
      </c>
      <c r="P226" s="173">
        <v>2021</v>
      </c>
      <c r="Q226" s="174">
        <f>IF(ISBLANK(Table1[[#This Row],[Date]]),"",Table1[[#This Row],[Date]]-WEEKDAY(Table1[[#This Row],[Date]],2)+1)</f>
        <v>44200</v>
      </c>
      <c r="R226" s="175">
        <f>IF(ISBLANK(Table1[[#This Row],[Date]]),"",DATE(Table1[[#This Row],[Date_Year]],Table1[[#This Row],[Date_Month]],1))</f>
        <v>44197</v>
      </c>
    </row>
    <row r="227" spans="2:18" ht="15.75" hidden="1" x14ac:dyDescent="0.25">
      <c r="B227" s="165">
        <v>44199</v>
      </c>
      <c r="C227" s="166" t="s">
        <v>222</v>
      </c>
      <c r="D227" s="166" t="s">
        <v>64</v>
      </c>
      <c r="E227" s="167"/>
      <c r="F227" s="114">
        <v>-5</v>
      </c>
      <c r="G227" s="168"/>
      <c r="H227" s="169"/>
      <c r="I227" s="170"/>
      <c r="J227" s="171" t="s">
        <v>429</v>
      </c>
      <c r="K227" s="172" t="s">
        <v>177</v>
      </c>
      <c r="L227" s="172" t="s">
        <v>175</v>
      </c>
      <c r="M227" s="173" t="str" cm="1">
        <f t="array" ref="M227">IFERROR(INDEX(CategoriesTable[Category type],MATCH(Table1[[#This Row],[Category]],CategoriesTable[Category name],0),0),"")</f>
        <v>Expense</v>
      </c>
      <c r="N227" s="173">
        <v>3</v>
      </c>
      <c r="O227" s="173">
        <f>MONTH(Table1[[#This Row],[Date]])</f>
        <v>1</v>
      </c>
      <c r="P227" s="173">
        <v>2021</v>
      </c>
      <c r="Q227" s="174">
        <f>IF(ISBLANK(Table1[[#This Row],[Date]]),"",Table1[[#This Row],[Date]]-WEEKDAY(Table1[[#This Row],[Date]],2)+1)</f>
        <v>44193</v>
      </c>
      <c r="R227" s="175">
        <f>IF(ISBLANK(Table1[[#This Row],[Date]]),"",DATE(Table1[[#This Row],[Date_Year]],Table1[[#This Row],[Date_Month]],1))</f>
        <v>44197</v>
      </c>
    </row>
    <row r="228" spans="2:18" ht="15.75" hidden="1" x14ac:dyDescent="0.25">
      <c r="B228" s="165">
        <v>44199</v>
      </c>
      <c r="C228" s="166" t="s">
        <v>222</v>
      </c>
      <c r="D228" s="166" t="s">
        <v>64</v>
      </c>
      <c r="E228" s="167"/>
      <c r="F228" s="114">
        <v>-45</v>
      </c>
      <c r="G228" s="168"/>
      <c r="H228" s="169"/>
      <c r="I228" s="170"/>
      <c r="J228" s="171" t="s">
        <v>430</v>
      </c>
      <c r="K228" s="172" t="s">
        <v>177</v>
      </c>
      <c r="L228" s="172" t="s">
        <v>175</v>
      </c>
      <c r="M228" s="173" t="str" cm="1">
        <f t="array" ref="M228">IFERROR(INDEX(CategoriesTable[Category type],MATCH(Table1[[#This Row],[Category]],CategoriesTable[Category name],0),0),"")</f>
        <v>Expense</v>
      </c>
      <c r="N228" s="173">
        <v>3</v>
      </c>
      <c r="O228" s="173">
        <f>MONTH(Table1[[#This Row],[Date]])</f>
        <v>1</v>
      </c>
      <c r="P228" s="173">
        <v>2021</v>
      </c>
      <c r="Q228" s="174">
        <f>IF(ISBLANK(Table1[[#This Row],[Date]]),"",Table1[[#This Row],[Date]]-WEEKDAY(Table1[[#This Row],[Date]],2)+1)</f>
        <v>44193</v>
      </c>
      <c r="R228" s="175">
        <f>IF(ISBLANK(Table1[[#This Row],[Date]]),"",DATE(Table1[[#This Row],[Date_Year]],Table1[[#This Row],[Date_Month]],1))</f>
        <v>44197</v>
      </c>
    </row>
    <row r="229" spans="2:18" ht="15.75" hidden="1" x14ac:dyDescent="0.25">
      <c r="B229" s="165">
        <v>44199</v>
      </c>
      <c r="C229" s="166" t="s">
        <v>222</v>
      </c>
      <c r="D229" s="166" t="s">
        <v>64</v>
      </c>
      <c r="E229" s="167"/>
      <c r="F229" s="114">
        <v>-45</v>
      </c>
      <c r="G229" s="168"/>
      <c r="H229" s="169"/>
      <c r="I229" s="170"/>
      <c r="J229" s="171" t="s">
        <v>431</v>
      </c>
      <c r="K229" s="172" t="s">
        <v>177</v>
      </c>
      <c r="L229" s="172" t="s">
        <v>175</v>
      </c>
      <c r="M229" s="173" t="str" cm="1">
        <f t="array" ref="M229">IFERROR(INDEX(CategoriesTable[Category type],MATCH(Table1[[#This Row],[Category]],CategoriesTable[Category name],0),0),"")</f>
        <v>Expense</v>
      </c>
      <c r="N229" s="173">
        <v>3</v>
      </c>
      <c r="O229" s="173">
        <f>MONTH(Table1[[#This Row],[Date]])</f>
        <v>1</v>
      </c>
      <c r="P229" s="173">
        <v>2021</v>
      </c>
      <c r="Q229" s="174">
        <f>IF(ISBLANK(Table1[[#This Row],[Date]]),"",Table1[[#This Row],[Date]]-WEEKDAY(Table1[[#This Row],[Date]],2)+1)</f>
        <v>44193</v>
      </c>
      <c r="R229" s="175">
        <f>IF(ISBLANK(Table1[[#This Row],[Date]]),"",DATE(Table1[[#This Row],[Date_Year]],Table1[[#This Row],[Date_Month]],1))</f>
        <v>44197</v>
      </c>
    </row>
    <row r="230" spans="2:18" ht="15.75" hidden="1" x14ac:dyDescent="0.25">
      <c r="B230" s="165">
        <v>44198</v>
      </c>
      <c r="C230" s="166" t="s">
        <v>1561</v>
      </c>
      <c r="D230" s="166" t="s">
        <v>55</v>
      </c>
      <c r="E230" s="167"/>
      <c r="F230" s="114">
        <v>-123.02</v>
      </c>
      <c r="G230" s="168"/>
      <c r="H230" s="169"/>
      <c r="I230" s="170"/>
      <c r="J230" s="171" t="s">
        <v>432</v>
      </c>
      <c r="K230" s="172" t="s">
        <v>177</v>
      </c>
      <c r="L230" s="172" t="s">
        <v>175</v>
      </c>
      <c r="M230" s="173" t="str" cm="1">
        <f t="array" ref="M230">IFERROR(INDEX(CategoriesTable[Category type],MATCH(Table1[[#This Row],[Category]],CategoriesTable[Category name],0),0),"")</f>
        <v>Expense</v>
      </c>
      <c r="N230" s="173">
        <v>2</v>
      </c>
      <c r="O230" s="173">
        <f>MONTH(Table1[[#This Row],[Date]])</f>
        <v>1</v>
      </c>
      <c r="P230" s="173">
        <v>2021</v>
      </c>
      <c r="Q230" s="174">
        <f>IF(ISBLANK(Table1[[#This Row],[Date]]),"",Table1[[#This Row],[Date]]-WEEKDAY(Table1[[#This Row],[Date]],2)+1)</f>
        <v>44193</v>
      </c>
      <c r="R230" s="175">
        <f>IF(ISBLANK(Table1[[#This Row],[Date]]),"",DATE(Table1[[#This Row],[Date_Year]],Table1[[#This Row],[Date_Month]],1))</f>
        <v>44197</v>
      </c>
    </row>
    <row r="231" spans="2:18" ht="15.75" hidden="1" x14ac:dyDescent="0.25">
      <c r="B231" s="165">
        <v>44198</v>
      </c>
      <c r="C231" s="166" t="s">
        <v>1571</v>
      </c>
      <c r="D231" s="166" t="s">
        <v>66</v>
      </c>
      <c r="E231" s="167"/>
      <c r="F231" s="114">
        <v>-5.3</v>
      </c>
      <c r="G231" s="168"/>
      <c r="H231" s="169"/>
      <c r="I231" s="170"/>
      <c r="J231" s="171" t="s">
        <v>433</v>
      </c>
      <c r="K231" s="172" t="s">
        <v>177</v>
      </c>
      <c r="L231" s="172" t="s">
        <v>175</v>
      </c>
      <c r="M231" s="173" t="str" cm="1">
        <f t="array" ref="M231">IFERROR(INDEX(CategoriesTable[Category type],MATCH(Table1[[#This Row],[Category]],CategoriesTable[Category name],0),0),"")</f>
        <v>Expense</v>
      </c>
      <c r="N231" s="173">
        <v>2</v>
      </c>
      <c r="O231" s="173">
        <f>MONTH(Table1[[#This Row],[Date]])</f>
        <v>1</v>
      </c>
      <c r="P231" s="173">
        <v>2021</v>
      </c>
      <c r="Q231" s="174">
        <f>IF(ISBLANK(Table1[[#This Row],[Date]]),"",Table1[[#This Row],[Date]]-WEEKDAY(Table1[[#This Row],[Date]],2)+1)</f>
        <v>44193</v>
      </c>
      <c r="R231" s="175">
        <f>IF(ISBLANK(Table1[[#This Row],[Date]]),"",DATE(Table1[[#This Row],[Date_Year]],Table1[[#This Row],[Date_Month]],1))</f>
        <v>44197</v>
      </c>
    </row>
    <row r="232" spans="2:18" ht="15.75" hidden="1" x14ac:dyDescent="0.25">
      <c r="B232" s="165">
        <v>44197</v>
      </c>
      <c r="C232" s="166" t="s">
        <v>222</v>
      </c>
      <c r="D232" s="166" t="s">
        <v>64</v>
      </c>
      <c r="E232" s="167"/>
      <c r="F232" s="114">
        <v>-45</v>
      </c>
      <c r="G232" s="168"/>
      <c r="H232" s="169"/>
      <c r="I232" s="170"/>
      <c r="J232" s="171" t="s">
        <v>434</v>
      </c>
      <c r="K232" s="172" t="s">
        <v>177</v>
      </c>
      <c r="L232" s="172" t="s">
        <v>175</v>
      </c>
      <c r="M232" s="173" t="str" cm="1">
        <f t="array" ref="M232">IFERROR(INDEX(CategoriesTable[Category type],MATCH(Table1[[#This Row],[Category]],CategoriesTable[Category name],0),0),"")</f>
        <v>Expense</v>
      </c>
      <c r="N232" s="173">
        <v>1</v>
      </c>
      <c r="O232" s="173">
        <f>MONTH(Table1[[#This Row],[Date]])</f>
        <v>1</v>
      </c>
      <c r="P232" s="173">
        <v>2021</v>
      </c>
      <c r="Q232" s="174">
        <f>IF(ISBLANK(Table1[[#This Row],[Date]]),"",Table1[[#This Row],[Date]]-WEEKDAY(Table1[[#This Row],[Date]],2)+1)</f>
        <v>44193</v>
      </c>
      <c r="R232" s="175">
        <f>IF(ISBLANK(Table1[[#This Row],[Date]]),"",DATE(Table1[[#This Row],[Date_Year]],Table1[[#This Row],[Date_Month]],1))</f>
        <v>44197</v>
      </c>
    </row>
    <row r="233" spans="2:18" ht="15.75" hidden="1" x14ac:dyDescent="0.25">
      <c r="B233" s="165">
        <v>44196</v>
      </c>
      <c r="C233" s="166" t="s">
        <v>142</v>
      </c>
      <c r="D233" s="166" t="s">
        <v>53</v>
      </c>
      <c r="E233" s="167"/>
      <c r="F233" s="114">
        <v>-29.13</v>
      </c>
      <c r="G233" s="168"/>
      <c r="H233" s="169"/>
      <c r="I233" s="170"/>
      <c r="J233" s="171" t="s">
        <v>435</v>
      </c>
      <c r="K233" s="172" t="s">
        <v>177</v>
      </c>
      <c r="L233" s="172" t="s">
        <v>175</v>
      </c>
      <c r="M233" s="173" t="str" cm="1">
        <f t="array" ref="M233">IFERROR(INDEX(CategoriesTable[Category type],MATCH(Table1[[#This Row],[Category]],CategoriesTable[Category name],0),0),"")</f>
        <v>Expense</v>
      </c>
      <c r="N233" s="173">
        <v>31</v>
      </c>
      <c r="O233" s="173">
        <f>MONTH(Table1[[#This Row],[Date]])</f>
        <v>12</v>
      </c>
      <c r="P233" s="173">
        <v>2020</v>
      </c>
      <c r="Q233" s="174">
        <f>IF(ISBLANK(Table1[[#This Row],[Date]]),"",Table1[[#This Row],[Date]]-WEEKDAY(Table1[[#This Row],[Date]],2)+1)</f>
        <v>44193</v>
      </c>
      <c r="R233" s="175">
        <f>IF(ISBLANK(Table1[[#This Row],[Date]]),"",DATE(Table1[[#This Row],[Date_Year]],Table1[[#This Row],[Date_Month]],1))</f>
        <v>44166</v>
      </c>
    </row>
    <row r="234" spans="2:18" ht="15.75" hidden="1" x14ac:dyDescent="0.25">
      <c r="B234" s="165">
        <v>44196</v>
      </c>
      <c r="C234" s="166" t="s">
        <v>138</v>
      </c>
      <c r="D234" s="166" t="s">
        <v>66</v>
      </c>
      <c r="E234" s="167"/>
      <c r="F234" s="114">
        <v>-12.99</v>
      </c>
      <c r="G234" s="168"/>
      <c r="H234" s="169"/>
      <c r="I234" s="170"/>
      <c r="J234" s="171" t="s">
        <v>436</v>
      </c>
      <c r="K234" s="172" t="s">
        <v>177</v>
      </c>
      <c r="L234" s="172" t="s">
        <v>175</v>
      </c>
      <c r="M234" s="173" t="str" cm="1">
        <f t="array" ref="M234">IFERROR(INDEX(CategoriesTable[Category type],MATCH(Table1[[#This Row],[Category]],CategoriesTable[Category name],0),0),"")</f>
        <v>Expense</v>
      </c>
      <c r="N234" s="173">
        <v>31</v>
      </c>
      <c r="O234" s="173">
        <f>MONTH(Table1[[#This Row],[Date]])</f>
        <v>12</v>
      </c>
      <c r="P234" s="173">
        <v>2020</v>
      </c>
      <c r="Q234" s="174">
        <f>IF(ISBLANK(Table1[[#This Row],[Date]]),"",Table1[[#This Row],[Date]]-WEEKDAY(Table1[[#This Row],[Date]],2)+1)</f>
        <v>44193</v>
      </c>
      <c r="R234" s="175">
        <f>IF(ISBLANK(Table1[[#This Row],[Date]]),"",DATE(Table1[[#This Row],[Date_Year]],Table1[[#This Row],[Date_Month]],1))</f>
        <v>44166</v>
      </c>
    </row>
    <row r="235" spans="2:18" ht="15.75" hidden="1" x14ac:dyDescent="0.25">
      <c r="B235" s="165">
        <v>44196</v>
      </c>
      <c r="C235" s="166" t="s">
        <v>222</v>
      </c>
      <c r="D235" s="166" t="s">
        <v>64</v>
      </c>
      <c r="E235" s="167"/>
      <c r="F235" s="114">
        <v>-5</v>
      </c>
      <c r="G235" s="168"/>
      <c r="H235" s="169"/>
      <c r="I235" s="170"/>
      <c r="J235" s="171" t="s">
        <v>437</v>
      </c>
      <c r="K235" s="172" t="s">
        <v>177</v>
      </c>
      <c r="L235" s="172" t="s">
        <v>175</v>
      </c>
      <c r="M235" s="173" t="str" cm="1">
        <f t="array" ref="M235">IFERROR(INDEX(CategoriesTable[Category type],MATCH(Table1[[#This Row],[Category]],CategoriesTable[Category name],0),0),"")</f>
        <v>Expense</v>
      </c>
      <c r="N235" s="173">
        <v>31</v>
      </c>
      <c r="O235" s="173">
        <f>MONTH(Table1[[#This Row],[Date]])</f>
        <v>12</v>
      </c>
      <c r="P235" s="173">
        <v>2020</v>
      </c>
      <c r="Q235" s="174">
        <f>IF(ISBLANK(Table1[[#This Row],[Date]]),"",Table1[[#This Row],[Date]]-WEEKDAY(Table1[[#This Row],[Date]],2)+1)</f>
        <v>44193</v>
      </c>
      <c r="R235" s="175">
        <f>IF(ISBLANK(Table1[[#This Row],[Date]]),"",DATE(Table1[[#This Row],[Date_Year]],Table1[[#This Row],[Date_Month]],1))</f>
        <v>44166</v>
      </c>
    </row>
    <row r="236" spans="2:18" ht="15.75" hidden="1" x14ac:dyDescent="0.25">
      <c r="B236" s="165">
        <v>44196</v>
      </c>
      <c r="C236" s="166" t="s">
        <v>222</v>
      </c>
      <c r="D236" s="166" t="s">
        <v>64</v>
      </c>
      <c r="E236" s="167"/>
      <c r="F236" s="114">
        <v>-20</v>
      </c>
      <c r="G236" s="168"/>
      <c r="H236" s="169"/>
      <c r="I236" s="170"/>
      <c r="J236" s="171" t="s">
        <v>438</v>
      </c>
      <c r="K236" s="172" t="s">
        <v>177</v>
      </c>
      <c r="L236" s="172" t="s">
        <v>175</v>
      </c>
      <c r="M236" s="173" t="str" cm="1">
        <f t="array" ref="M236">IFERROR(INDEX(CategoriesTable[Category type],MATCH(Table1[[#This Row],[Category]],CategoriesTable[Category name],0),0),"")</f>
        <v>Expense</v>
      </c>
      <c r="N236" s="173">
        <v>31</v>
      </c>
      <c r="O236" s="173">
        <f>MONTH(Table1[[#This Row],[Date]])</f>
        <v>12</v>
      </c>
      <c r="P236" s="173">
        <v>2020</v>
      </c>
      <c r="Q236" s="174">
        <f>IF(ISBLANK(Table1[[#This Row],[Date]]),"",Table1[[#This Row],[Date]]-WEEKDAY(Table1[[#This Row],[Date]],2)+1)</f>
        <v>44193</v>
      </c>
      <c r="R236" s="175">
        <f>IF(ISBLANK(Table1[[#This Row],[Date]]),"",DATE(Table1[[#This Row],[Date_Year]],Table1[[#This Row],[Date_Month]],1))</f>
        <v>44166</v>
      </c>
    </row>
    <row r="237" spans="2:18" ht="15.75" hidden="1" x14ac:dyDescent="0.25">
      <c r="B237" s="165">
        <v>44196</v>
      </c>
      <c r="C237" s="166" t="s">
        <v>199</v>
      </c>
      <c r="D237" s="166" t="s">
        <v>65</v>
      </c>
      <c r="E237" s="167"/>
      <c r="F237" s="114">
        <v>-54.46</v>
      </c>
      <c r="G237" s="168"/>
      <c r="H237" s="169"/>
      <c r="I237" s="170"/>
      <c r="J237" s="171" t="s">
        <v>439</v>
      </c>
      <c r="K237" s="172" t="s">
        <v>177</v>
      </c>
      <c r="L237" s="172" t="s">
        <v>175</v>
      </c>
      <c r="M237" s="173" t="str" cm="1">
        <f t="array" ref="M237">IFERROR(INDEX(CategoriesTable[Category type],MATCH(Table1[[#This Row],[Category]],CategoriesTable[Category name],0),0),"")</f>
        <v>Expense</v>
      </c>
      <c r="N237" s="173">
        <v>31</v>
      </c>
      <c r="O237" s="173">
        <f>MONTH(Table1[[#This Row],[Date]])</f>
        <v>12</v>
      </c>
      <c r="P237" s="173">
        <v>2020</v>
      </c>
      <c r="Q237" s="174">
        <f>IF(ISBLANK(Table1[[#This Row],[Date]]),"",Table1[[#This Row],[Date]]-WEEKDAY(Table1[[#This Row],[Date]],2)+1)</f>
        <v>44193</v>
      </c>
      <c r="R237" s="175">
        <f>IF(ISBLANK(Table1[[#This Row],[Date]]),"",DATE(Table1[[#This Row],[Date_Year]],Table1[[#This Row],[Date_Month]],1))</f>
        <v>44166</v>
      </c>
    </row>
    <row r="238" spans="2:18" ht="15.75" hidden="1" x14ac:dyDescent="0.25">
      <c r="B238" s="165">
        <v>44196</v>
      </c>
      <c r="C238" s="166" t="s">
        <v>199</v>
      </c>
      <c r="D238" s="166" t="s">
        <v>65</v>
      </c>
      <c r="E238" s="167"/>
      <c r="F238" s="114">
        <v>-25.3</v>
      </c>
      <c r="G238" s="168"/>
      <c r="H238" s="169"/>
      <c r="I238" s="170"/>
      <c r="J238" s="171" t="s">
        <v>440</v>
      </c>
      <c r="K238" s="172" t="s">
        <v>177</v>
      </c>
      <c r="L238" s="172" t="s">
        <v>175</v>
      </c>
      <c r="M238" s="173" t="str" cm="1">
        <f t="array" ref="M238">IFERROR(INDEX(CategoriesTable[Category type],MATCH(Table1[[#This Row],[Category]],CategoriesTable[Category name],0),0),"")</f>
        <v>Expense</v>
      </c>
      <c r="N238" s="173">
        <v>31</v>
      </c>
      <c r="O238" s="173">
        <f>MONTH(Table1[[#This Row],[Date]])</f>
        <v>12</v>
      </c>
      <c r="P238" s="173">
        <v>2020</v>
      </c>
      <c r="Q238" s="174">
        <f>IF(ISBLANK(Table1[[#This Row],[Date]]),"",Table1[[#This Row],[Date]]-WEEKDAY(Table1[[#This Row],[Date]],2)+1)</f>
        <v>44193</v>
      </c>
      <c r="R238" s="175">
        <f>IF(ISBLANK(Table1[[#This Row],[Date]]),"",DATE(Table1[[#This Row],[Date_Year]],Table1[[#This Row],[Date_Month]],1))</f>
        <v>44166</v>
      </c>
    </row>
    <row r="239" spans="2:18" ht="15.75" hidden="1" x14ac:dyDescent="0.25">
      <c r="B239" s="165">
        <v>44196</v>
      </c>
      <c r="C239" s="166" t="s">
        <v>140</v>
      </c>
      <c r="D239" s="166" t="s">
        <v>65</v>
      </c>
      <c r="E239" s="167"/>
      <c r="F239" s="114">
        <v>-39.53</v>
      </c>
      <c r="G239" s="168"/>
      <c r="H239" s="169"/>
      <c r="I239" s="170"/>
      <c r="J239" s="171" t="s">
        <v>441</v>
      </c>
      <c r="K239" s="172" t="s">
        <v>177</v>
      </c>
      <c r="L239" s="172" t="s">
        <v>175</v>
      </c>
      <c r="M239" s="173" t="str" cm="1">
        <f t="array" ref="M239">IFERROR(INDEX(CategoriesTable[Category type],MATCH(Table1[[#This Row],[Category]],CategoriesTable[Category name],0),0),"")</f>
        <v>Expense</v>
      </c>
      <c r="N239" s="173">
        <v>31</v>
      </c>
      <c r="O239" s="173">
        <f>MONTH(Table1[[#This Row],[Date]])</f>
        <v>12</v>
      </c>
      <c r="P239" s="173">
        <v>2020</v>
      </c>
      <c r="Q239" s="174">
        <f>IF(ISBLANK(Table1[[#This Row],[Date]]),"",Table1[[#This Row],[Date]]-WEEKDAY(Table1[[#This Row],[Date]],2)+1)</f>
        <v>44193</v>
      </c>
      <c r="R239" s="175">
        <f>IF(ISBLANK(Table1[[#This Row],[Date]]),"",DATE(Table1[[#This Row],[Date_Year]],Table1[[#This Row],[Date_Month]],1))</f>
        <v>44166</v>
      </c>
    </row>
    <row r="240" spans="2:18" ht="15.75" hidden="1" x14ac:dyDescent="0.25">
      <c r="B240" s="165">
        <v>44196</v>
      </c>
      <c r="C240" s="166" t="s">
        <v>1567</v>
      </c>
      <c r="D240" s="166" t="s">
        <v>55</v>
      </c>
      <c r="E240" s="167"/>
      <c r="F240" s="114">
        <v>-9.99</v>
      </c>
      <c r="G240" s="168"/>
      <c r="H240" s="169"/>
      <c r="I240" s="170"/>
      <c r="J240" s="171" t="s">
        <v>442</v>
      </c>
      <c r="K240" s="172" t="s">
        <v>177</v>
      </c>
      <c r="L240" s="172" t="s">
        <v>175</v>
      </c>
      <c r="M240" s="173" t="str" cm="1">
        <f t="array" ref="M240">IFERROR(INDEX(CategoriesTable[Category type],MATCH(Table1[[#This Row],[Category]],CategoriesTable[Category name],0),0),"")</f>
        <v>Expense</v>
      </c>
      <c r="N240" s="173">
        <v>31</v>
      </c>
      <c r="O240" s="173">
        <f>MONTH(Table1[[#This Row],[Date]])</f>
        <v>12</v>
      </c>
      <c r="P240" s="173">
        <v>2020</v>
      </c>
      <c r="Q240" s="174">
        <f>IF(ISBLANK(Table1[[#This Row],[Date]]),"",Table1[[#This Row],[Date]]-WEEKDAY(Table1[[#This Row],[Date]],2)+1)</f>
        <v>44193</v>
      </c>
      <c r="R240" s="175">
        <f>IF(ISBLANK(Table1[[#This Row],[Date]]),"",DATE(Table1[[#This Row],[Date_Year]],Table1[[#This Row],[Date_Month]],1))</f>
        <v>44166</v>
      </c>
    </row>
    <row r="241" spans="2:18" ht="15.75" hidden="1" x14ac:dyDescent="0.25">
      <c r="B241" s="165">
        <v>44195</v>
      </c>
      <c r="C241" s="166" t="s">
        <v>222</v>
      </c>
      <c r="D241" s="166" t="s">
        <v>64</v>
      </c>
      <c r="E241" s="167"/>
      <c r="F241" s="114">
        <v>-40</v>
      </c>
      <c r="G241" s="168"/>
      <c r="H241" s="169"/>
      <c r="I241" s="170"/>
      <c r="J241" s="171" t="s">
        <v>443</v>
      </c>
      <c r="K241" s="172" t="s">
        <v>177</v>
      </c>
      <c r="L241" s="172" t="s">
        <v>175</v>
      </c>
      <c r="M241" s="173" t="str" cm="1">
        <f t="array" ref="M241">IFERROR(INDEX(CategoriesTable[Category type],MATCH(Table1[[#This Row],[Category]],CategoriesTable[Category name],0),0),"")</f>
        <v>Expense</v>
      </c>
      <c r="N241" s="173">
        <v>30</v>
      </c>
      <c r="O241" s="173">
        <f>MONTH(Table1[[#This Row],[Date]])</f>
        <v>12</v>
      </c>
      <c r="P241" s="173">
        <v>2020</v>
      </c>
      <c r="Q241" s="174">
        <f>IF(ISBLANK(Table1[[#This Row],[Date]]),"",Table1[[#This Row],[Date]]-WEEKDAY(Table1[[#This Row],[Date]],2)+1)</f>
        <v>44193</v>
      </c>
      <c r="R241" s="175">
        <f>IF(ISBLANK(Table1[[#This Row],[Date]]),"",DATE(Table1[[#This Row],[Date_Year]],Table1[[#This Row],[Date_Month]],1))</f>
        <v>44166</v>
      </c>
    </row>
    <row r="242" spans="2:18" ht="15.75" hidden="1" x14ac:dyDescent="0.25">
      <c r="B242" s="165">
        <v>44195</v>
      </c>
      <c r="C242" s="166" t="s">
        <v>199</v>
      </c>
      <c r="D242" s="166" t="s">
        <v>65</v>
      </c>
      <c r="E242" s="167"/>
      <c r="F242" s="114">
        <v>-73.150000000000006</v>
      </c>
      <c r="G242" s="168"/>
      <c r="H242" s="169"/>
      <c r="I242" s="170"/>
      <c r="J242" s="171" t="s">
        <v>444</v>
      </c>
      <c r="K242" s="172" t="s">
        <v>177</v>
      </c>
      <c r="L242" s="172" t="s">
        <v>175</v>
      </c>
      <c r="M242" s="173" t="str" cm="1">
        <f t="array" ref="M242">IFERROR(INDEX(CategoriesTable[Category type],MATCH(Table1[[#This Row],[Category]],CategoriesTable[Category name],0),0),"")</f>
        <v>Expense</v>
      </c>
      <c r="N242" s="173">
        <v>30</v>
      </c>
      <c r="O242" s="173">
        <f>MONTH(Table1[[#This Row],[Date]])</f>
        <v>12</v>
      </c>
      <c r="P242" s="173">
        <v>2020</v>
      </c>
      <c r="Q242" s="174">
        <f>IF(ISBLANK(Table1[[#This Row],[Date]]),"",Table1[[#This Row],[Date]]-WEEKDAY(Table1[[#This Row],[Date]],2)+1)</f>
        <v>44193</v>
      </c>
      <c r="R242" s="175">
        <f>IF(ISBLANK(Table1[[#This Row],[Date]]),"",DATE(Table1[[#This Row],[Date_Year]],Table1[[#This Row],[Date_Month]],1))</f>
        <v>44166</v>
      </c>
    </row>
    <row r="243" spans="2:18" ht="15.75" hidden="1" x14ac:dyDescent="0.25">
      <c r="B243" s="165">
        <v>44195</v>
      </c>
      <c r="C243" s="166" t="s">
        <v>140</v>
      </c>
      <c r="D243" s="166" t="s">
        <v>65</v>
      </c>
      <c r="E243" s="167"/>
      <c r="F243" s="114">
        <v>-41.36</v>
      </c>
      <c r="G243" s="168"/>
      <c r="H243" s="169"/>
      <c r="I243" s="170"/>
      <c r="J243" s="171" t="s">
        <v>445</v>
      </c>
      <c r="K243" s="172" t="s">
        <v>177</v>
      </c>
      <c r="L243" s="172" t="s">
        <v>175</v>
      </c>
      <c r="M243" s="173" t="str" cm="1">
        <f t="array" ref="M243">IFERROR(INDEX(CategoriesTable[Category type],MATCH(Table1[[#This Row],[Category]],CategoriesTable[Category name],0),0),"")</f>
        <v>Expense</v>
      </c>
      <c r="N243" s="173">
        <v>30</v>
      </c>
      <c r="O243" s="173">
        <f>MONTH(Table1[[#This Row],[Date]])</f>
        <v>12</v>
      </c>
      <c r="P243" s="173">
        <v>2020</v>
      </c>
      <c r="Q243" s="174">
        <f>IF(ISBLANK(Table1[[#This Row],[Date]]),"",Table1[[#This Row],[Date]]-WEEKDAY(Table1[[#This Row],[Date]],2)+1)</f>
        <v>44193</v>
      </c>
      <c r="R243" s="175">
        <f>IF(ISBLANK(Table1[[#This Row],[Date]]),"",DATE(Table1[[#This Row],[Date_Year]],Table1[[#This Row],[Date_Month]],1))</f>
        <v>44166</v>
      </c>
    </row>
    <row r="244" spans="2:18" ht="15.75" hidden="1" x14ac:dyDescent="0.25">
      <c r="B244" s="165">
        <v>44195</v>
      </c>
      <c r="C244" s="166" t="s">
        <v>193</v>
      </c>
      <c r="D244" s="166" t="s">
        <v>53</v>
      </c>
      <c r="E244" s="167"/>
      <c r="F244" s="114">
        <v>-1235.3800000000001</v>
      </c>
      <c r="G244" s="168"/>
      <c r="H244" s="169"/>
      <c r="I244" s="170"/>
      <c r="J244" s="171" t="s">
        <v>446</v>
      </c>
      <c r="K244" s="172" t="s">
        <v>177</v>
      </c>
      <c r="L244" s="172" t="s">
        <v>175</v>
      </c>
      <c r="M244" s="173" t="str" cm="1">
        <f t="array" ref="M244">IFERROR(INDEX(CategoriesTable[Category type],MATCH(Table1[[#This Row],[Category]],CategoriesTable[Category name],0),0),"")</f>
        <v>Expense</v>
      </c>
      <c r="N244" s="173">
        <v>30</v>
      </c>
      <c r="O244" s="173">
        <f>MONTH(Table1[[#This Row],[Date]])</f>
        <v>12</v>
      </c>
      <c r="P244" s="173">
        <v>2020</v>
      </c>
      <c r="Q244" s="174">
        <f>IF(ISBLANK(Table1[[#This Row],[Date]]),"",Table1[[#This Row],[Date]]-WEEKDAY(Table1[[#This Row],[Date]],2)+1)</f>
        <v>44193</v>
      </c>
      <c r="R244" s="175">
        <f>IF(ISBLANK(Table1[[#This Row],[Date]]),"",DATE(Table1[[#This Row],[Date_Year]],Table1[[#This Row],[Date_Month]],1))</f>
        <v>44166</v>
      </c>
    </row>
    <row r="245" spans="2:18" ht="15.75" hidden="1" x14ac:dyDescent="0.25">
      <c r="B245" s="165">
        <v>44195</v>
      </c>
      <c r="C245" s="166" t="s">
        <v>199</v>
      </c>
      <c r="D245" s="166" t="s">
        <v>65</v>
      </c>
      <c r="E245" s="167"/>
      <c r="F245" s="114">
        <v>-59.9</v>
      </c>
      <c r="G245" s="168"/>
      <c r="H245" s="169"/>
      <c r="I245" s="170"/>
      <c r="J245" s="171" t="s">
        <v>447</v>
      </c>
      <c r="K245" s="172" t="s">
        <v>177</v>
      </c>
      <c r="L245" s="172" t="s">
        <v>175</v>
      </c>
      <c r="M245" s="173" t="str" cm="1">
        <f t="array" ref="M245">IFERROR(INDEX(CategoriesTable[Category type],MATCH(Table1[[#This Row],[Category]],CategoriesTable[Category name],0),0),"")</f>
        <v>Expense</v>
      </c>
      <c r="N245" s="173">
        <v>30</v>
      </c>
      <c r="O245" s="173">
        <f>MONTH(Table1[[#This Row],[Date]])</f>
        <v>12</v>
      </c>
      <c r="P245" s="173">
        <v>2020</v>
      </c>
      <c r="Q245" s="174">
        <f>IF(ISBLANK(Table1[[#This Row],[Date]]),"",Table1[[#This Row],[Date]]-WEEKDAY(Table1[[#This Row],[Date]],2)+1)</f>
        <v>44193</v>
      </c>
      <c r="R245" s="175">
        <f>IF(ISBLANK(Table1[[#This Row],[Date]]),"",DATE(Table1[[#This Row],[Date_Year]],Table1[[#This Row],[Date_Month]],1))</f>
        <v>44166</v>
      </c>
    </row>
    <row r="246" spans="2:18" ht="15.75" hidden="1" x14ac:dyDescent="0.25">
      <c r="B246" s="165">
        <v>44195</v>
      </c>
      <c r="C246" s="166" t="s">
        <v>202</v>
      </c>
      <c r="D246" s="166" t="s">
        <v>55</v>
      </c>
      <c r="E246" s="167"/>
      <c r="F246" s="114">
        <v>-344.72</v>
      </c>
      <c r="G246" s="168"/>
      <c r="H246" s="169"/>
      <c r="I246" s="170"/>
      <c r="J246" s="171" t="s">
        <v>448</v>
      </c>
      <c r="K246" s="172" t="s">
        <v>177</v>
      </c>
      <c r="L246" s="172" t="s">
        <v>175</v>
      </c>
      <c r="M246" s="173" t="str" cm="1">
        <f t="array" ref="M246">IFERROR(INDEX(CategoriesTable[Category type],MATCH(Table1[[#This Row],[Category]],CategoriesTable[Category name],0),0),"")</f>
        <v>Expense</v>
      </c>
      <c r="N246" s="173">
        <v>30</v>
      </c>
      <c r="O246" s="173">
        <f>MONTH(Table1[[#This Row],[Date]])</f>
        <v>12</v>
      </c>
      <c r="P246" s="173">
        <v>2020</v>
      </c>
      <c r="Q246" s="174">
        <f>IF(ISBLANK(Table1[[#This Row],[Date]]),"",Table1[[#This Row],[Date]]-WEEKDAY(Table1[[#This Row],[Date]],2)+1)</f>
        <v>44193</v>
      </c>
      <c r="R246" s="175">
        <f>IF(ISBLANK(Table1[[#This Row],[Date]]),"",DATE(Table1[[#This Row],[Date_Year]],Table1[[#This Row],[Date_Month]],1))</f>
        <v>44166</v>
      </c>
    </row>
    <row r="247" spans="2:18" ht="15.75" hidden="1" x14ac:dyDescent="0.25">
      <c r="B247" s="165">
        <v>44195</v>
      </c>
      <c r="C247" s="166" t="s">
        <v>193</v>
      </c>
      <c r="D247" s="166" t="s">
        <v>66</v>
      </c>
      <c r="E247" s="167"/>
      <c r="F247" s="114">
        <v>-19.989999999999998</v>
      </c>
      <c r="G247" s="168"/>
      <c r="H247" s="169"/>
      <c r="I247" s="170"/>
      <c r="J247" s="171" t="s">
        <v>449</v>
      </c>
      <c r="K247" s="172" t="s">
        <v>177</v>
      </c>
      <c r="L247" s="172" t="s">
        <v>175</v>
      </c>
      <c r="M247" s="173" t="str" cm="1">
        <f t="array" ref="M247">IFERROR(INDEX(CategoriesTable[Category type],MATCH(Table1[[#This Row],[Category]],CategoriesTable[Category name],0),0),"")</f>
        <v>Expense</v>
      </c>
      <c r="N247" s="173">
        <v>30</v>
      </c>
      <c r="O247" s="173">
        <f>MONTH(Table1[[#This Row],[Date]])</f>
        <v>12</v>
      </c>
      <c r="P247" s="173">
        <v>2020</v>
      </c>
      <c r="Q247" s="174">
        <f>IF(ISBLANK(Table1[[#This Row],[Date]]),"",Table1[[#This Row],[Date]]-WEEKDAY(Table1[[#This Row],[Date]],2)+1)</f>
        <v>44193</v>
      </c>
      <c r="R247" s="175">
        <f>IF(ISBLANK(Table1[[#This Row],[Date]]),"",DATE(Table1[[#This Row],[Date_Year]],Table1[[#This Row],[Date_Month]],1))</f>
        <v>44166</v>
      </c>
    </row>
    <row r="248" spans="2:18" ht="15.75" hidden="1" x14ac:dyDescent="0.25">
      <c r="B248" s="165">
        <v>44194</v>
      </c>
      <c r="C248" s="166" t="s">
        <v>222</v>
      </c>
      <c r="D248" s="166" t="s">
        <v>64</v>
      </c>
      <c r="E248" s="167"/>
      <c r="F248" s="114">
        <v>-50</v>
      </c>
      <c r="G248" s="168"/>
      <c r="H248" s="169"/>
      <c r="I248" s="170"/>
      <c r="J248" s="176" t="s">
        <v>450</v>
      </c>
      <c r="K248" s="172" t="s">
        <v>177</v>
      </c>
      <c r="L248" s="172" t="s">
        <v>175</v>
      </c>
      <c r="M248" s="173" t="str" cm="1">
        <f t="array" ref="M248">IFERROR(INDEX(CategoriesTable[Category type],MATCH(Table1[[#This Row],[Category]],CategoriesTable[Category name],0),0),"")</f>
        <v>Expense</v>
      </c>
      <c r="N248" s="173">
        <v>29</v>
      </c>
      <c r="O248" s="173">
        <f>MONTH(Table1[[#This Row],[Date]])</f>
        <v>12</v>
      </c>
      <c r="P248" s="173">
        <v>2020</v>
      </c>
      <c r="Q248" s="174">
        <f>IF(ISBLANK(Table1[[#This Row],[Date]]),"",Table1[[#This Row],[Date]]-WEEKDAY(Table1[[#This Row],[Date]],2)+1)</f>
        <v>44193</v>
      </c>
      <c r="R248" s="175">
        <f>IF(ISBLANK(Table1[[#This Row],[Date]]),"",DATE(Table1[[#This Row],[Date_Year]],Table1[[#This Row],[Date_Month]],1))</f>
        <v>44166</v>
      </c>
    </row>
    <row r="249" spans="2:18" ht="15.75" hidden="1" x14ac:dyDescent="0.25">
      <c r="B249" s="165">
        <v>44194</v>
      </c>
      <c r="C249" s="166" t="s">
        <v>222</v>
      </c>
      <c r="D249" s="166" t="s">
        <v>64</v>
      </c>
      <c r="E249" s="167"/>
      <c r="F249" s="114">
        <v>-50</v>
      </c>
      <c r="G249" s="168"/>
      <c r="H249" s="169"/>
      <c r="I249" s="170"/>
      <c r="J249" s="171" t="s">
        <v>451</v>
      </c>
      <c r="K249" s="172" t="s">
        <v>177</v>
      </c>
      <c r="L249" s="172" t="s">
        <v>175</v>
      </c>
      <c r="M249" s="173" t="str" cm="1">
        <f t="array" ref="M249">IFERROR(INDEX(CategoriesTable[Category type],MATCH(Table1[[#This Row],[Category]],CategoriesTable[Category name],0),0),"")</f>
        <v>Expense</v>
      </c>
      <c r="N249" s="173">
        <v>29</v>
      </c>
      <c r="O249" s="173">
        <f>MONTH(Table1[[#This Row],[Date]])</f>
        <v>12</v>
      </c>
      <c r="P249" s="173">
        <v>2020</v>
      </c>
      <c r="Q249" s="174">
        <f>IF(ISBLANK(Table1[[#This Row],[Date]]),"",Table1[[#This Row],[Date]]-WEEKDAY(Table1[[#This Row],[Date]],2)+1)</f>
        <v>44193</v>
      </c>
      <c r="R249" s="175">
        <f>IF(ISBLANK(Table1[[#This Row],[Date]]),"",DATE(Table1[[#This Row],[Date_Year]],Table1[[#This Row],[Date_Month]],1))</f>
        <v>44166</v>
      </c>
    </row>
    <row r="250" spans="2:18" ht="15.75" hidden="1" x14ac:dyDescent="0.25">
      <c r="B250" s="165">
        <v>44194</v>
      </c>
      <c r="C250" s="166" t="s">
        <v>199</v>
      </c>
      <c r="D250" s="166" t="s">
        <v>65</v>
      </c>
      <c r="E250" s="167"/>
      <c r="F250" s="114">
        <v>-100.13</v>
      </c>
      <c r="G250" s="168"/>
      <c r="H250" s="169"/>
      <c r="I250" s="170"/>
      <c r="J250" s="171" t="s">
        <v>452</v>
      </c>
      <c r="K250" s="172" t="s">
        <v>177</v>
      </c>
      <c r="L250" s="172" t="s">
        <v>175</v>
      </c>
      <c r="M250" s="173" t="str" cm="1">
        <f t="array" ref="M250">IFERROR(INDEX(CategoriesTable[Category type],MATCH(Table1[[#This Row],[Category]],CategoriesTable[Category name],0),0),"")</f>
        <v>Expense</v>
      </c>
      <c r="N250" s="173">
        <v>29</v>
      </c>
      <c r="O250" s="173">
        <f>MONTH(Table1[[#This Row],[Date]])</f>
        <v>12</v>
      </c>
      <c r="P250" s="173">
        <v>2020</v>
      </c>
      <c r="Q250" s="174">
        <f>IF(ISBLANK(Table1[[#This Row],[Date]]),"",Table1[[#This Row],[Date]]-WEEKDAY(Table1[[#This Row],[Date]],2)+1)</f>
        <v>44193</v>
      </c>
      <c r="R250" s="175">
        <f>IF(ISBLANK(Table1[[#This Row],[Date]]),"",DATE(Table1[[#This Row],[Date_Year]],Table1[[#This Row],[Date_Month]],1))</f>
        <v>44166</v>
      </c>
    </row>
    <row r="251" spans="2:18" ht="15.75" hidden="1" x14ac:dyDescent="0.25">
      <c r="B251" s="165">
        <v>44193</v>
      </c>
      <c r="C251" s="166" t="s">
        <v>222</v>
      </c>
      <c r="D251" s="166" t="s">
        <v>64</v>
      </c>
      <c r="E251" s="167"/>
      <c r="F251" s="114">
        <v>-60</v>
      </c>
      <c r="G251" s="168"/>
      <c r="H251" s="169"/>
      <c r="I251" s="170"/>
      <c r="J251" s="171" t="s">
        <v>453</v>
      </c>
      <c r="K251" s="172" t="s">
        <v>177</v>
      </c>
      <c r="L251" s="172" t="s">
        <v>175</v>
      </c>
      <c r="M251" s="173" t="str" cm="1">
        <f t="array" ref="M251">IFERROR(INDEX(CategoriesTable[Category type],MATCH(Table1[[#This Row],[Category]],CategoriesTable[Category name],0),0),"")</f>
        <v>Expense</v>
      </c>
      <c r="N251" s="173">
        <v>28</v>
      </c>
      <c r="O251" s="173">
        <f>MONTH(Table1[[#This Row],[Date]])</f>
        <v>12</v>
      </c>
      <c r="P251" s="173">
        <v>2020</v>
      </c>
      <c r="Q251" s="174">
        <f>IF(ISBLANK(Table1[[#This Row],[Date]]),"",Table1[[#This Row],[Date]]-WEEKDAY(Table1[[#This Row],[Date]],2)+1)</f>
        <v>44193</v>
      </c>
      <c r="R251" s="175">
        <f>IF(ISBLANK(Table1[[#This Row],[Date]]),"",DATE(Table1[[#This Row],[Date_Year]],Table1[[#This Row],[Date_Month]],1))</f>
        <v>44166</v>
      </c>
    </row>
    <row r="252" spans="2:18" ht="15.75" hidden="1" x14ac:dyDescent="0.25">
      <c r="B252" s="165">
        <v>44193</v>
      </c>
      <c r="C252" s="166" t="s">
        <v>199</v>
      </c>
      <c r="D252" s="166" t="s">
        <v>65</v>
      </c>
      <c r="E252" s="167"/>
      <c r="F252" s="114">
        <v>-36.69</v>
      </c>
      <c r="G252" s="168"/>
      <c r="H252" s="169"/>
      <c r="I252" s="170"/>
      <c r="J252" s="171" t="s">
        <v>454</v>
      </c>
      <c r="K252" s="172" t="s">
        <v>177</v>
      </c>
      <c r="L252" s="172" t="s">
        <v>175</v>
      </c>
      <c r="M252" s="173" t="str" cm="1">
        <f t="array" ref="M252">IFERROR(INDEX(CategoriesTable[Category type],MATCH(Table1[[#This Row],[Category]],CategoriesTable[Category name],0),0),"")</f>
        <v>Expense</v>
      </c>
      <c r="N252" s="173">
        <v>28</v>
      </c>
      <c r="O252" s="173">
        <f>MONTH(Table1[[#This Row],[Date]])</f>
        <v>12</v>
      </c>
      <c r="P252" s="173">
        <v>2020</v>
      </c>
      <c r="Q252" s="174">
        <f>IF(ISBLANK(Table1[[#This Row],[Date]]),"",Table1[[#This Row],[Date]]-WEEKDAY(Table1[[#This Row],[Date]],2)+1)</f>
        <v>44193</v>
      </c>
      <c r="R252" s="175">
        <f>IF(ISBLANK(Table1[[#This Row],[Date]]),"",DATE(Table1[[#This Row],[Date_Year]],Table1[[#This Row],[Date_Month]],1))</f>
        <v>44166</v>
      </c>
    </row>
    <row r="253" spans="2:18" ht="15.75" hidden="1" x14ac:dyDescent="0.25">
      <c r="B253" s="165">
        <v>44192</v>
      </c>
      <c r="C253" s="166" t="s">
        <v>222</v>
      </c>
      <c r="D253" s="166" t="s">
        <v>64</v>
      </c>
      <c r="E253" s="167"/>
      <c r="F253" s="114">
        <v>-30</v>
      </c>
      <c r="G253" s="168"/>
      <c r="H253" s="169"/>
      <c r="I253" s="170"/>
      <c r="J253" s="171" t="s">
        <v>455</v>
      </c>
      <c r="K253" s="172" t="s">
        <v>177</v>
      </c>
      <c r="L253" s="172" t="s">
        <v>175</v>
      </c>
      <c r="M253" s="173" t="str" cm="1">
        <f t="array" ref="M253">IFERROR(INDEX(CategoriesTable[Category type],MATCH(Table1[[#This Row],[Category]],CategoriesTable[Category name],0),0),"")</f>
        <v>Expense</v>
      </c>
      <c r="N253" s="173">
        <v>27</v>
      </c>
      <c r="O253" s="173">
        <f>MONTH(Table1[[#This Row],[Date]])</f>
        <v>12</v>
      </c>
      <c r="P253" s="173">
        <v>2020</v>
      </c>
      <c r="Q253" s="174">
        <f>IF(ISBLANK(Table1[[#This Row],[Date]]),"",Table1[[#This Row],[Date]]-WEEKDAY(Table1[[#This Row],[Date]],2)+1)</f>
        <v>44186</v>
      </c>
      <c r="R253" s="175">
        <f>IF(ISBLANK(Table1[[#This Row],[Date]]),"",DATE(Table1[[#This Row],[Date_Year]],Table1[[#This Row],[Date_Month]],1))</f>
        <v>44166</v>
      </c>
    </row>
    <row r="254" spans="2:18" ht="15.75" hidden="1" x14ac:dyDescent="0.25">
      <c r="B254" s="165">
        <v>44191</v>
      </c>
      <c r="C254" s="166" t="s">
        <v>222</v>
      </c>
      <c r="D254" s="166" t="s">
        <v>64</v>
      </c>
      <c r="E254" s="167"/>
      <c r="F254" s="114">
        <v>-20</v>
      </c>
      <c r="G254" s="168"/>
      <c r="H254" s="169"/>
      <c r="I254" s="170"/>
      <c r="J254" s="171" t="s">
        <v>456</v>
      </c>
      <c r="K254" s="172" t="s">
        <v>177</v>
      </c>
      <c r="L254" s="172" t="s">
        <v>175</v>
      </c>
      <c r="M254" s="173" t="str" cm="1">
        <f t="array" ref="M254">IFERROR(INDEX(CategoriesTable[Category type],MATCH(Table1[[#This Row],[Category]],CategoriesTable[Category name],0),0),"")</f>
        <v>Expense</v>
      </c>
      <c r="N254" s="173">
        <v>26</v>
      </c>
      <c r="O254" s="173">
        <f>MONTH(Table1[[#This Row],[Date]])</f>
        <v>12</v>
      </c>
      <c r="P254" s="173">
        <v>2020</v>
      </c>
      <c r="Q254" s="174">
        <f>IF(ISBLANK(Table1[[#This Row],[Date]]),"",Table1[[#This Row],[Date]]-WEEKDAY(Table1[[#This Row],[Date]],2)+1)</f>
        <v>44186</v>
      </c>
      <c r="R254" s="175">
        <f>IF(ISBLANK(Table1[[#This Row],[Date]]),"",DATE(Table1[[#This Row],[Date_Year]],Table1[[#This Row],[Date_Month]],1))</f>
        <v>44166</v>
      </c>
    </row>
    <row r="255" spans="2:18" ht="15.75" hidden="1" x14ac:dyDescent="0.25">
      <c r="B255" s="165">
        <v>44191</v>
      </c>
      <c r="C255" s="166" t="s">
        <v>124</v>
      </c>
      <c r="D255" s="166" t="s">
        <v>55</v>
      </c>
      <c r="E255" s="167"/>
      <c r="F255" s="114">
        <v>-9.99</v>
      </c>
      <c r="G255" s="168"/>
      <c r="H255" s="169"/>
      <c r="I255" s="170"/>
      <c r="J255" s="171" t="s">
        <v>457</v>
      </c>
      <c r="K255" s="172" t="s">
        <v>177</v>
      </c>
      <c r="L255" s="172" t="s">
        <v>175</v>
      </c>
      <c r="M255" s="173" t="str" cm="1">
        <f t="array" ref="M255">IFERROR(INDEX(CategoriesTable[Category type],MATCH(Table1[[#This Row],[Category]],CategoriesTable[Category name],0),0),"")</f>
        <v>Expense</v>
      </c>
      <c r="N255" s="173">
        <v>26</v>
      </c>
      <c r="O255" s="173">
        <f>MONTH(Table1[[#This Row],[Date]])</f>
        <v>12</v>
      </c>
      <c r="P255" s="173">
        <v>2020</v>
      </c>
      <c r="Q255" s="174">
        <f>IF(ISBLANK(Table1[[#This Row],[Date]]),"",Table1[[#This Row],[Date]]-WEEKDAY(Table1[[#This Row],[Date]],2)+1)</f>
        <v>44186</v>
      </c>
      <c r="R255" s="175">
        <f>IF(ISBLANK(Table1[[#This Row],[Date]]),"",DATE(Table1[[#This Row],[Date_Year]],Table1[[#This Row],[Date_Month]],1))</f>
        <v>44166</v>
      </c>
    </row>
    <row r="256" spans="2:18" ht="15.75" hidden="1" x14ac:dyDescent="0.25">
      <c r="B256" s="165">
        <v>44190</v>
      </c>
      <c r="C256" s="166" t="s">
        <v>150</v>
      </c>
      <c r="D256" s="166" t="s">
        <v>65</v>
      </c>
      <c r="E256" s="167"/>
      <c r="F256" s="114">
        <v>-84.41</v>
      </c>
      <c r="G256" s="168"/>
      <c r="H256" s="169"/>
      <c r="I256" s="170"/>
      <c r="J256" s="171" t="s">
        <v>458</v>
      </c>
      <c r="K256" s="172" t="s">
        <v>177</v>
      </c>
      <c r="L256" s="172" t="s">
        <v>175</v>
      </c>
      <c r="M256" s="173" t="str" cm="1">
        <f t="array" ref="M256">IFERROR(INDEX(CategoriesTable[Category type],MATCH(Table1[[#This Row],[Category]],CategoriesTable[Category name],0),0),"")</f>
        <v>Expense</v>
      </c>
      <c r="N256" s="173">
        <v>25</v>
      </c>
      <c r="O256" s="173">
        <f>MONTH(Table1[[#This Row],[Date]])</f>
        <v>12</v>
      </c>
      <c r="P256" s="173">
        <v>2020</v>
      </c>
      <c r="Q256" s="174">
        <f>IF(ISBLANK(Table1[[#This Row],[Date]]),"",Table1[[#This Row],[Date]]-WEEKDAY(Table1[[#This Row],[Date]],2)+1)</f>
        <v>44186</v>
      </c>
      <c r="R256" s="175">
        <f>IF(ISBLANK(Table1[[#This Row],[Date]]),"",DATE(Table1[[#This Row],[Date_Year]],Table1[[#This Row],[Date_Month]],1))</f>
        <v>44166</v>
      </c>
    </row>
    <row r="257" spans="2:18" ht="15.75" hidden="1" x14ac:dyDescent="0.25">
      <c r="B257" s="165">
        <v>44189</v>
      </c>
      <c r="C257" s="166" t="s">
        <v>180</v>
      </c>
      <c r="D257" s="166" t="s">
        <v>52</v>
      </c>
      <c r="E257" s="167"/>
      <c r="F257" s="114">
        <v>-220</v>
      </c>
      <c r="G257" s="168"/>
      <c r="H257" s="169"/>
      <c r="I257" s="170"/>
      <c r="J257" s="171" t="s">
        <v>459</v>
      </c>
      <c r="K257" s="172" t="s">
        <v>177</v>
      </c>
      <c r="L257" s="172" t="s">
        <v>175</v>
      </c>
      <c r="M257" s="173" t="str" cm="1">
        <f t="array" ref="M257">IFERROR(INDEX(CategoriesTable[Category type],MATCH(Table1[[#This Row],[Category]],CategoriesTable[Category name],0),0),"")</f>
        <v>Transfer</v>
      </c>
      <c r="N257" s="173">
        <v>24</v>
      </c>
      <c r="O257" s="173">
        <f>MONTH(Table1[[#This Row],[Date]])</f>
        <v>12</v>
      </c>
      <c r="P257" s="173">
        <v>2020</v>
      </c>
      <c r="Q257" s="174">
        <f>IF(ISBLANK(Table1[[#This Row],[Date]]),"",Table1[[#This Row],[Date]]-WEEKDAY(Table1[[#This Row],[Date]],2)+1)</f>
        <v>44186</v>
      </c>
      <c r="R257" s="175">
        <f>IF(ISBLANK(Table1[[#This Row],[Date]]),"",DATE(Table1[[#This Row],[Date_Year]],Table1[[#This Row],[Date_Month]],1))</f>
        <v>44166</v>
      </c>
    </row>
    <row r="258" spans="2:18" ht="15.75" hidden="1" x14ac:dyDescent="0.25">
      <c r="B258" s="165">
        <v>44189</v>
      </c>
      <c r="C258" s="166" t="s">
        <v>184</v>
      </c>
      <c r="D258" s="166" t="s">
        <v>56</v>
      </c>
      <c r="E258" s="167"/>
      <c r="F258" s="114">
        <v>-39.99</v>
      </c>
      <c r="G258" s="168"/>
      <c r="H258" s="169"/>
      <c r="I258" s="170"/>
      <c r="J258" s="171" t="s">
        <v>460</v>
      </c>
      <c r="K258" s="172" t="s">
        <v>177</v>
      </c>
      <c r="L258" s="172" t="s">
        <v>175</v>
      </c>
      <c r="M258" s="173" t="str" cm="1">
        <f t="array" ref="M258">IFERROR(INDEX(CategoriesTable[Category type],MATCH(Table1[[#This Row],[Category]],CategoriesTable[Category name],0),0),"")</f>
        <v>Expense</v>
      </c>
      <c r="N258" s="173">
        <v>24</v>
      </c>
      <c r="O258" s="173">
        <f>MONTH(Table1[[#This Row],[Date]])</f>
        <v>12</v>
      </c>
      <c r="P258" s="173">
        <v>2020</v>
      </c>
      <c r="Q258" s="174">
        <f>IF(ISBLANK(Table1[[#This Row],[Date]]),"",Table1[[#This Row],[Date]]-WEEKDAY(Table1[[#This Row],[Date]],2)+1)</f>
        <v>44186</v>
      </c>
      <c r="R258" s="175">
        <f>IF(ISBLANK(Table1[[#This Row],[Date]]),"",DATE(Table1[[#This Row],[Date_Year]],Table1[[#This Row],[Date_Month]],1))</f>
        <v>44166</v>
      </c>
    </row>
    <row r="259" spans="2:18" ht="15.75" hidden="1" x14ac:dyDescent="0.25">
      <c r="B259" s="165">
        <v>44188</v>
      </c>
      <c r="C259" s="166" t="s">
        <v>222</v>
      </c>
      <c r="D259" s="166" t="s">
        <v>64</v>
      </c>
      <c r="E259" s="167"/>
      <c r="F259" s="114">
        <v>-25</v>
      </c>
      <c r="G259" s="168"/>
      <c r="H259" s="169"/>
      <c r="I259" s="170"/>
      <c r="J259" s="171" t="s">
        <v>461</v>
      </c>
      <c r="K259" s="172" t="s">
        <v>177</v>
      </c>
      <c r="L259" s="172" t="s">
        <v>175</v>
      </c>
      <c r="M259" s="173" t="str" cm="1">
        <f t="array" ref="M259">IFERROR(INDEX(CategoriesTable[Category type],MATCH(Table1[[#This Row],[Category]],CategoriesTable[Category name],0),0),"")</f>
        <v>Expense</v>
      </c>
      <c r="N259" s="173">
        <v>23</v>
      </c>
      <c r="O259" s="173">
        <f>MONTH(Table1[[#This Row],[Date]])</f>
        <v>12</v>
      </c>
      <c r="P259" s="173">
        <v>2020</v>
      </c>
      <c r="Q259" s="174">
        <f>IF(ISBLANK(Table1[[#This Row],[Date]]),"",Table1[[#This Row],[Date]]-WEEKDAY(Table1[[#This Row],[Date]],2)+1)</f>
        <v>44186</v>
      </c>
      <c r="R259" s="175">
        <f>IF(ISBLANK(Table1[[#This Row],[Date]]),"",DATE(Table1[[#This Row],[Date_Year]],Table1[[#This Row],[Date_Month]],1))</f>
        <v>44166</v>
      </c>
    </row>
    <row r="260" spans="2:18" ht="15.75" hidden="1" x14ac:dyDescent="0.25">
      <c r="B260" s="165">
        <v>44188</v>
      </c>
      <c r="C260" s="166" t="s">
        <v>208</v>
      </c>
      <c r="D260" s="166" t="s">
        <v>55</v>
      </c>
      <c r="E260" s="167"/>
      <c r="F260" s="114">
        <v>-40.28</v>
      </c>
      <c r="G260" s="168"/>
      <c r="H260" s="169"/>
      <c r="I260" s="170"/>
      <c r="J260" s="171" t="s">
        <v>462</v>
      </c>
      <c r="K260" s="172" t="s">
        <v>177</v>
      </c>
      <c r="L260" s="172" t="s">
        <v>175</v>
      </c>
      <c r="M260" s="173" t="str" cm="1">
        <f t="array" ref="M260">IFERROR(INDEX(CategoriesTable[Category type],MATCH(Table1[[#This Row],[Category]],CategoriesTable[Category name],0),0),"")</f>
        <v>Expense</v>
      </c>
      <c r="N260" s="173">
        <v>23</v>
      </c>
      <c r="O260" s="173">
        <f>MONTH(Table1[[#This Row],[Date]])</f>
        <v>12</v>
      </c>
      <c r="P260" s="173">
        <v>2020</v>
      </c>
      <c r="Q260" s="174">
        <f>IF(ISBLANK(Table1[[#This Row],[Date]]),"",Table1[[#This Row],[Date]]-WEEKDAY(Table1[[#This Row],[Date]],2)+1)</f>
        <v>44186</v>
      </c>
      <c r="R260" s="175">
        <f>IF(ISBLANK(Table1[[#This Row],[Date]]),"",DATE(Table1[[#This Row],[Date_Year]],Table1[[#This Row],[Date_Month]],1))</f>
        <v>44166</v>
      </c>
    </row>
    <row r="261" spans="2:18" ht="15.75" hidden="1" x14ac:dyDescent="0.25">
      <c r="B261" s="165">
        <v>44186</v>
      </c>
      <c r="C261" s="166" t="s">
        <v>222</v>
      </c>
      <c r="D261" s="166" t="s">
        <v>64</v>
      </c>
      <c r="E261" s="167"/>
      <c r="F261" s="114">
        <v>-20</v>
      </c>
      <c r="G261" s="168"/>
      <c r="H261" s="169"/>
      <c r="I261" s="170"/>
      <c r="J261" s="171" t="s">
        <v>463</v>
      </c>
      <c r="K261" s="172" t="s">
        <v>177</v>
      </c>
      <c r="L261" s="172" t="s">
        <v>175</v>
      </c>
      <c r="M261" s="173" t="str" cm="1">
        <f t="array" ref="M261">IFERROR(INDEX(CategoriesTable[Category type],MATCH(Table1[[#This Row],[Category]],CategoriesTable[Category name],0),0),"")</f>
        <v>Expense</v>
      </c>
      <c r="N261" s="173">
        <v>21</v>
      </c>
      <c r="O261" s="173">
        <f>MONTH(Table1[[#This Row],[Date]])</f>
        <v>12</v>
      </c>
      <c r="P261" s="173">
        <v>2020</v>
      </c>
      <c r="Q261" s="174">
        <f>IF(ISBLANK(Table1[[#This Row],[Date]]),"",Table1[[#This Row],[Date]]-WEEKDAY(Table1[[#This Row],[Date]],2)+1)</f>
        <v>44186</v>
      </c>
      <c r="R261" s="175">
        <f>IF(ISBLANK(Table1[[#This Row],[Date]]),"",DATE(Table1[[#This Row],[Date_Year]],Table1[[#This Row],[Date_Month]],1))</f>
        <v>44166</v>
      </c>
    </row>
    <row r="262" spans="2:18" ht="15.75" hidden="1" x14ac:dyDescent="0.25">
      <c r="B262" s="165">
        <v>44186</v>
      </c>
      <c r="C262" s="166" t="s">
        <v>284</v>
      </c>
      <c r="D262" s="166" t="s">
        <v>52</v>
      </c>
      <c r="E262" s="167"/>
      <c r="F262" s="114">
        <v>-91</v>
      </c>
      <c r="G262" s="168"/>
      <c r="H262" s="169"/>
      <c r="I262" s="170"/>
      <c r="J262" s="171" t="s">
        <v>464</v>
      </c>
      <c r="K262" s="172" t="s">
        <v>177</v>
      </c>
      <c r="L262" s="172" t="s">
        <v>175</v>
      </c>
      <c r="M262" s="173" t="str" cm="1">
        <f t="array" ref="M262">IFERROR(INDEX(CategoriesTable[Category type],MATCH(Table1[[#This Row],[Category]],CategoriesTable[Category name],0),0),"")</f>
        <v>Transfer</v>
      </c>
      <c r="N262" s="173">
        <v>21</v>
      </c>
      <c r="O262" s="173">
        <f>MONTH(Table1[[#This Row],[Date]])</f>
        <v>12</v>
      </c>
      <c r="P262" s="173">
        <v>2020</v>
      </c>
      <c r="Q262" s="174">
        <f>IF(ISBLANK(Table1[[#This Row],[Date]]),"",Table1[[#This Row],[Date]]-WEEKDAY(Table1[[#This Row],[Date]],2)+1)</f>
        <v>44186</v>
      </c>
      <c r="R262" s="175">
        <f>IF(ISBLANK(Table1[[#This Row],[Date]]),"",DATE(Table1[[#This Row],[Date_Year]],Table1[[#This Row],[Date_Month]],1))</f>
        <v>44166</v>
      </c>
    </row>
    <row r="263" spans="2:18" ht="15.75" hidden="1" x14ac:dyDescent="0.25">
      <c r="B263" s="165">
        <v>44186</v>
      </c>
      <c r="C263" s="166" t="s">
        <v>465</v>
      </c>
      <c r="D263" s="166" t="s">
        <v>62</v>
      </c>
      <c r="E263" s="167"/>
      <c r="F263" s="114">
        <v>-207.62</v>
      </c>
      <c r="G263" s="168"/>
      <c r="H263" s="169"/>
      <c r="I263" s="170"/>
      <c r="J263" s="171" t="s">
        <v>466</v>
      </c>
      <c r="K263" s="172" t="s">
        <v>177</v>
      </c>
      <c r="L263" s="172" t="s">
        <v>175</v>
      </c>
      <c r="M263" s="173" t="str" cm="1">
        <f t="array" ref="M263">IFERROR(INDEX(CategoriesTable[Category type],MATCH(Table1[[#This Row],[Category]],CategoriesTable[Category name],0),0),"")</f>
        <v>Expense</v>
      </c>
      <c r="N263" s="173">
        <v>21</v>
      </c>
      <c r="O263" s="173">
        <f>MONTH(Table1[[#This Row],[Date]])</f>
        <v>12</v>
      </c>
      <c r="P263" s="173">
        <v>2020</v>
      </c>
      <c r="Q263" s="174">
        <f>IF(ISBLANK(Table1[[#This Row],[Date]]),"",Table1[[#This Row],[Date]]-WEEKDAY(Table1[[#This Row],[Date]],2)+1)</f>
        <v>44186</v>
      </c>
      <c r="R263" s="175">
        <f>IF(ISBLANK(Table1[[#This Row],[Date]]),"",DATE(Table1[[#This Row],[Date_Year]],Table1[[#This Row],[Date_Month]],1))</f>
        <v>44166</v>
      </c>
    </row>
    <row r="264" spans="2:18" ht="15.75" hidden="1" x14ac:dyDescent="0.25">
      <c r="B264" s="165">
        <v>44185</v>
      </c>
      <c r="C264" s="166" t="s">
        <v>222</v>
      </c>
      <c r="D264" s="166" t="s">
        <v>64</v>
      </c>
      <c r="E264" s="167"/>
      <c r="F264" s="114">
        <v>-30</v>
      </c>
      <c r="G264" s="168"/>
      <c r="H264" s="169"/>
      <c r="I264" s="170"/>
      <c r="J264" s="171" t="s">
        <v>467</v>
      </c>
      <c r="K264" s="172" t="s">
        <v>177</v>
      </c>
      <c r="L264" s="172" t="s">
        <v>175</v>
      </c>
      <c r="M264" s="173" t="str" cm="1">
        <f t="array" ref="M264">IFERROR(INDEX(CategoriesTable[Category type],MATCH(Table1[[#This Row],[Category]],CategoriesTable[Category name],0),0),"")</f>
        <v>Expense</v>
      </c>
      <c r="N264" s="173">
        <v>20</v>
      </c>
      <c r="O264" s="173">
        <f>MONTH(Table1[[#This Row],[Date]])</f>
        <v>12</v>
      </c>
      <c r="P264" s="173">
        <v>2020</v>
      </c>
      <c r="Q264" s="174">
        <f>IF(ISBLANK(Table1[[#This Row],[Date]]),"",Table1[[#This Row],[Date]]-WEEKDAY(Table1[[#This Row],[Date]],2)+1)</f>
        <v>44179</v>
      </c>
      <c r="R264" s="175">
        <f>IF(ISBLANK(Table1[[#This Row],[Date]]),"",DATE(Table1[[#This Row],[Date_Year]],Table1[[#This Row],[Date_Month]],1))</f>
        <v>44166</v>
      </c>
    </row>
    <row r="265" spans="2:18" ht="15.75" hidden="1" x14ac:dyDescent="0.25">
      <c r="B265" s="165">
        <v>44185</v>
      </c>
      <c r="C265" s="166" t="s">
        <v>120</v>
      </c>
      <c r="D265" s="166" t="s">
        <v>66</v>
      </c>
      <c r="E265" s="167"/>
      <c r="F265" s="114">
        <v>-36.08</v>
      </c>
      <c r="G265" s="168"/>
      <c r="H265" s="169"/>
      <c r="I265" s="170"/>
      <c r="J265" s="171" t="s">
        <v>468</v>
      </c>
      <c r="K265" s="172" t="s">
        <v>177</v>
      </c>
      <c r="L265" s="172" t="s">
        <v>175</v>
      </c>
      <c r="M265" s="173" t="str" cm="1">
        <f t="array" ref="M265">IFERROR(INDEX(CategoriesTable[Category type],MATCH(Table1[[#This Row],[Category]],CategoriesTable[Category name],0),0),"")</f>
        <v>Expense</v>
      </c>
      <c r="N265" s="173">
        <v>20</v>
      </c>
      <c r="O265" s="173">
        <f>MONTH(Table1[[#This Row],[Date]])</f>
        <v>12</v>
      </c>
      <c r="P265" s="173">
        <v>2020</v>
      </c>
      <c r="Q265" s="174">
        <f>IF(ISBLANK(Table1[[#This Row],[Date]]),"",Table1[[#This Row],[Date]]-WEEKDAY(Table1[[#This Row],[Date]],2)+1)</f>
        <v>44179</v>
      </c>
      <c r="R265" s="175">
        <f>IF(ISBLANK(Table1[[#This Row],[Date]]),"",DATE(Table1[[#This Row],[Date_Year]],Table1[[#This Row],[Date_Month]],1))</f>
        <v>44166</v>
      </c>
    </row>
    <row r="266" spans="2:18" ht="15.75" hidden="1" x14ac:dyDescent="0.25">
      <c r="B266" s="165">
        <v>44185</v>
      </c>
      <c r="C266" s="166" t="s">
        <v>121</v>
      </c>
      <c r="D266" s="166" t="s">
        <v>65</v>
      </c>
      <c r="E266" s="167"/>
      <c r="F266" s="114">
        <v>-13.64</v>
      </c>
      <c r="G266" s="168"/>
      <c r="H266" s="169"/>
      <c r="I266" s="170"/>
      <c r="J266" s="171" t="s">
        <v>469</v>
      </c>
      <c r="K266" s="172" t="s">
        <v>177</v>
      </c>
      <c r="L266" s="172" t="s">
        <v>175</v>
      </c>
      <c r="M266" s="173" t="str" cm="1">
        <f t="array" ref="M266">IFERROR(INDEX(CategoriesTable[Category type],MATCH(Table1[[#This Row],[Category]],CategoriesTable[Category name],0),0),"")</f>
        <v>Expense</v>
      </c>
      <c r="N266" s="173">
        <v>20</v>
      </c>
      <c r="O266" s="173">
        <f>MONTH(Table1[[#This Row],[Date]])</f>
        <v>12</v>
      </c>
      <c r="P266" s="173">
        <v>2020</v>
      </c>
      <c r="Q266" s="174">
        <f>IF(ISBLANK(Table1[[#This Row],[Date]]),"",Table1[[#This Row],[Date]]-WEEKDAY(Table1[[#This Row],[Date]],2)+1)</f>
        <v>44179</v>
      </c>
      <c r="R266" s="175">
        <f>IF(ISBLANK(Table1[[#This Row],[Date]]),"",DATE(Table1[[#This Row],[Date_Year]],Table1[[#This Row],[Date_Month]],1))</f>
        <v>44166</v>
      </c>
    </row>
    <row r="267" spans="2:18" ht="15.75" hidden="1" x14ac:dyDescent="0.25">
      <c r="B267" s="165">
        <v>44184</v>
      </c>
      <c r="C267" s="166" t="s">
        <v>222</v>
      </c>
      <c r="D267" s="166" t="s">
        <v>64</v>
      </c>
      <c r="E267" s="167"/>
      <c r="F267" s="114">
        <v>-45</v>
      </c>
      <c r="G267" s="168"/>
      <c r="H267" s="169"/>
      <c r="I267" s="170"/>
      <c r="J267" s="171" t="s">
        <v>470</v>
      </c>
      <c r="K267" s="172" t="s">
        <v>177</v>
      </c>
      <c r="L267" s="172" t="s">
        <v>175</v>
      </c>
      <c r="M267" s="173" t="str" cm="1">
        <f t="array" ref="M267">IFERROR(INDEX(CategoriesTable[Category type],MATCH(Table1[[#This Row],[Category]],CategoriesTable[Category name],0),0),"")</f>
        <v>Expense</v>
      </c>
      <c r="N267" s="173">
        <v>19</v>
      </c>
      <c r="O267" s="173">
        <f>MONTH(Table1[[#This Row],[Date]])</f>
        <v>12</v>
      </c>
      <c r="P267" s="173">
        <v>2020</v>
      </c>
      <c r="Q267" s="174">
        <f>IF(ISBLANK(Table1[[#This Row],[Date]]),"",Table1[[#This Row],[Date]]-WEEKDAY(Table1[[#This Row],[Date]],2)+1)</f>
        <v>44179</v>
      </c>
      <c r="R267" s="175">
        <f>IF(ISBLANK(Table1[[#This Row],[Date]]),"",DATE(Table1[[#This Row],[Date_Year]],Table1[[#This Row],[Date_Month]],1))</f>
        <v>44166</v>
      </c>
    </row>
    <row r="268" spans="2:18" ht="15.75" hidden="1" x14ac:dyDescent="0.25">
      <c r="B268" s="165">
        <v>44184</v>
      </c>
      <c r="C268" s="166" t="s">
        <v>199</v>
      </c>
      <c r="D268" s="166" t="s">
        <v>65</v>
      </c>
      <c r="E268" s="167"/>
      <c r="F268" s="114">
        <v>-42.62</v>
      </c>
      <c r="G268" s="168"/>
      <c r="H268" s="169"/>
      <c r="I268" s="170"/>
      <c r="J268" s="171" t="s">
        <v>471</v>
      </c>
      <c r="K268" s="172" t="s">
        <v>177</v>
      </c>
      <c r="L268" s="172" t="s">
        <v>175</v>
      </c>
      <c r="M268" s="173" t="str" cm="1">
        <f t="array" ref="M268">IFERROR(INDEX(CategoriesTable[Category type],MATCH(Table1[[#This Row],[Category]],CategoriesTable[Category name],0),0),"")</f>
        <v>Expense</v>
      </c>
      <c r="N268" s="173">
        <v>19</v>
      </c>
      <c r="O268" s="173">
        <f>MONTH(Table1[[#This Row],[Date]])</f>
        <v>12</v>
      </c>
      <c r="P268" s="173">
        <v>2020</v>
      </c>
      <c r="Q268" s="174">
        <f>IF(ISBLANK(Table1[[#This Row],[Date]]),"",Table1[[#This Row],[Date]]-WEEKDAY(Table1[[#This Row],[Date]],2)+1)</f>
        <v>44179</v>
      </c>
      <c r="R268" s="175">
        <f>IF(ISBLANK(Table1[[#This Row],[Date]]),"",DATE(Table1[[#This Row],[Date_Year]],Table1[[#This Row],[Date_Month]],1))</f>
        <v>44166</v>
      </c>
    </row>
    <row r="269" spans="2:18" ht="15.75" hidden="1" x14ac:dyDescent="0.25">
      <c r="B269" s="165">
        <v>44184</v>
      </c>
      <c r="C269" s="166" t="s">
        <v>121</v>
      </c>
      <c r="D269" s="166" t="s">
        <v>65</v>
      </c>
      <c r="E269" s="167"/>
      <c r="F269" s="114">
        <v>-8.99</v>
      </c>
      <c r="G269" s="168"/>
      <c r="H269" s="169"/>
      <c r="I269" s="170"/>
      <c r="J269" s="171" t="s">
        <v>472</v>
      </c>
      <c r="K269" s="172" t="s">
        <v>177</v>
      </c>
      <c r="L269" s="172" t="s">
        <v>175</v>
      </c>
      <c r="M269" s="173" t="str" cm="1">
        <f t="array" ref="M269">IFERROR(INDEX(CategoriesTable[Category type],MATCH(Table1[[#This Row],[Category]],CategoriesTable[Category name],0),0),"")</f>
        <v>Expense</v>
      </c>
      <c r="N269" s="173">
        <v>19</v>
      </c>
      <c r="O269" s="173">
        <f>MONTH(Table1[[#This Row],[Date]])</f>
        <v>12</v>
      </c>
      <c r="P269" s="173">
        <v>2020</v>
      </c>
      <c r="Q269" s="174">
        <f>IF(ISBLANK(Table1[[#This Row],[Date]]),"",Table1[[#This Row],[Date]]-WEEKDAY(Table1[[#This Row],[Date]],2)+1)</f>
        <v>44179</v>
      </c>
      <c r="R269" s="175">
        <f>IF(ISBLANK(Table1[[#This Row],[Date]]),"",DATE(Table1[[#This Row],[Date_Year]],Table1[[#This Row],[Date_Month]],1))</f>
        <v>44166</v>
      </c>
    </row>
    <row r="270" spans="2:18" ht="15.75" hidden="1" x14ac:dyDescent="0.25">
      <c r="B270" s="165">
        <v>44183</v>
      </c>
      <c r="C270" s="166" t="s">
        <v>222</v>
      </c>
      <c r="D270" s="166" t="s">
        <v>64</v>
      </c>
      <c r="E270" s="167"/>
      <c r="F270" s="114">
        <v>-10</v>
      </c>
      <c r="G270" s="168"/>
      <c r="H270" s="169"/>
      <c r="I270" s="170"/>
      <c r="J270" s="171" t="s">
        <v>473</v>
      </c>
      <c r="K270" s="172" t="s">
        <v>177</v>
      </c>
      <c r="L270" s="172" t="s">
        <v>175</v>
      </c>
      <c r="M270" s="173" t="str" cm="1">
        <f t="array" ref="M270">IFERROR(INDEX(CategoriesTable[Category type],MATCH(Table1[[#This Row],[Category]],CategoriesTable[Category name],0),0),"")</f>
        <v>Expense</v>
      </c>
      <c r="N270" s="173">
        <v>18</v>
      </c>
      <c r="O270" s="173">
        <f>MONTH(Table1[[#This Row],[Date]])</f>
        <v>12</v>
      </c>
      <c r="P270" s="173">
        <v>2020</v>
      </c>
      <c r="Q270" s="174">
        <f>IF(ISBLANK(Table1[[#This Row],[Date]]),"",Table1[[#This Row],[Date]]-WEEKDAY(Table1[[#This Row],[Date]],2)+1)</f>
        <v>44179</v>
      </c>
      <c r="R270" s="175">
        <f>IF(ISBLANK(Table1[[#This Row],[Date]]),"",DATE(Table1[[#This Row],[Date_Year]],Table1[[#This Row],[Date_Month]],1))</f>
        <v>44166</v>
      </c>
    </row>
    <row r="271" spans="2:18" ht="15.75" hidden="1" x14ac:dyDescent="0.25">
      <c r="B271" s="165">
        <v>44183</v>
      </c>
      <c r="C271" s="166" t="s">
        <v>222</v>
      </c>
      <c r="D271" s="166" t="s">
        <v>64</v>
      </c>
      <c r="E271" s="167"/>
      <c r="F271" s="114">
        <v>-1</v>
      </c>
      <c r="G271" s="168"/>
      <c r="H271" s="169"/>
      <c r="I271" s="170"/>
      <c r="J271" s="176" t="s">
        <v>474</v>
      </c>
      <c r="K271" s="172" t="s">
        <v>177</v>
      </c>
      <c r="L271" s="172" t="s">
        <v>175</v>
      </c>
      <c r="M271" s="173" t="str" cm="1">
        <f t="array" ref="M271">IFERROR(INDEX(CategoriesTable[Category type],MATCH(Table1[[#This Row],[Category]],CategoriesTable[Category name],0),0),"")</f>
        <v>Expense</v>
      </c>
      <c r="N271" s="173">
        <v>18</v>
      </c>
      <c r="O271" s="173">
        <f>MONTH(Table1[[#This Row],[Date]])</f>
        <v>12</v>
      </c>
      <c r="P271" s="173">
        <v>2020</v>
      </c>
      <c r="Q271" s="174">
        <f>IF(ISBLANK(Table1[[#This Row],[Date]]),"",Table1[[#This Row],[Date]]-WEEKDAY(Table1[[#This Row],[Date]],2)+1)</f>
        <v>44179</v>
      </c>
      <c r="R271" s="175">
        <f>IF(ISBLANK(Table1[[#This Row],[Date]]),"",DATE(Table1[[#This Row],[Date_Year]],Table1[[#This Row],[Date_Month]],1))</f>
        <v>44166</v>
      </c>
    </row>
    <row r="272" spans="2:18" ht="15.75" hidden="1" x14ac:dyDescent="0.25">
      <c r="B272" s="165">
        <v>44183</v>
      </c>
      <c r="C272" s="166" t="s">
        <v>222</v>
      </c>
      <c r="D272" s="166" t="s">
        <v>64</v>
      </c>
      <c r="E272" s="167"/>
      <c r="F272" s="114">
        <v>-9</v>
      </c>
      <c r="G272" s="168"/>
      <c r="H272" s="169"/>
      <c r="I272" s="170"/>
      <c r="J272" s="171" t="s">
        <v>475</v>
      </c>
      <c r="K272" s="172" t="s">
        <v>177</v>
      </c>
      <c r="L272" s="172" t="s">
        <v>175</v>
      </c>
      <c r="M272" s="173" t="str" cm="1">
        <f t="array" ref="M272">IFERROR(INDEX(CategoriesTable[Category type],MATCH(Table1[[#This Row],[Category]],CategoriesTable[Category name],0),0),"")</f>
        <v>Expense</v>
      </c>
      <c r="N272" s="173">
        <v>18</v>
      </c>
      <c r="O272" s="173">
        <f>MONTH(Table1[[#This Row],[Date]])</f>
        <v>12</v>
      </c>
      <c r="P272" s="173">
        <v>2020</v>
      </c>
      <c r="Q272" s="174">
        <f>IF(ISBLANK(Table1[[#This Row],[Date]]),"",Table1[[#This Row],[Date]]-WEEKDAY(Table1[[#This Row],[Date]],2)+1)</f>
        <v>44179</v>
      </c>
      <c r="R272" s="175">
        <f>IF(ISBLANK(Table1[[#This Row],[Date]]),"",DATE(Table1[[#This Row],[Date_Year]],Table1[[#This Row],[Date_Month]],1))</f>
        <v>44166</v>
      </c>
    </row>
    <row r="273" spans="2:18" ht="15.75" hidden="1" x14ac:dyDescent="0.25">
      <c r="B273" s="165">
        <v>44183</v>
      </c>
      <c r="C273" s="166" t="s">
        <v>222</v>
      </c>
      <c r="D273" s="166" t="s">
        <v>64</v>
      </c>
      <c r="E273" s="167"/>
      <c r="F273" s="114">
        <v>-24.03</v>
      </c>
      <c r="G273" s="168"/>
      <c r="H273" s="169"/>
      <c r="I273" s="170"/>
      <c r="J273" s="171" t="s">
        <v>476</v>
      </c>
      <c r="K273" s="172" t="s">
        <v>177</v>
      </c>
      <c r="L273" s="172" t="s">
        <v>175</v>
      </c>
      <c r="M273" s="173" t="str" cm="1">
        <f t="array" ref="M273">IFERROR(INDEX(CategoriesTable[Category type],MATCH(Table1[[#This Row],[Category]],CategoriesTable[Category name],0),0),"")</f>
        <v>Expense</v>
      </c>
      <c r="N273" s="173">
        <v>18</v>
      </c>
      <c r="O273" s="173">
        <f>MONTH(Table1[[#This Row],[Date]])</f>
        <v>12</v>
      </c>
      <c r="P273" s="173">
        <v>2020</v>
      </c>
      <c r="Q273" s="174">
        <f>IF(ISBLANK(Table1[[#This Row],[Date]]),"",Table1[[#This Row],[Date]]-WEEKDAY(Table1[[#This Row],[Date]],2)+1)</f>
        <v>44179</v>
      </c>
      <c r="R273" s="175">
        <f>IF(ISBLANK(Table1[[#This Row],[Date]]),"",DATE(Table1[[#This Row],[Date_Year]],Table1[[#This Row],[Date_Month]],1))</f>
        <v>44166</v>
      </c>
    </row>
    <row r="274" spans="2:18" ht="15.75" hidden="1" x14ac:dyDescent="0.25">
      <c r="B274" s="165">
        <v>44183</v>
      </c>
      <c r="C274" s="166" t="s">
        <v>199</v>
      </c>
      <c r="D274" s="166" t="s">
        <v>65</v>
      </c>
      <c r="E274" s="167"/>
      <c r="F274" s="114">
        <v>-62.25</v>
      </c>
      <c r="G274" s="168"/>
      <c r="H274" s="169"/>
      <c r="I274" s="170"/>
      <c r="J274" s="171" t="s">
        <v>477</v>
      </c>
      <c r="K274" s="172" t="s">
        <v>177</v>
      </c>
      <c r="L274" s="172" t="s">
        <v>175</v>
      </c>
      <c r="M274" s="173" t="str" cm="1">
        <f t="array" ref="M274">IFERROR(INDEX(CategoriesTable[Category type],MATCH(Table1[[#This Row],[Category]],CategoriesTable[Category name],0),0),"")</f>
        <v>Expense</v>
      </c>
      <c r="N274" s="173">
        <v>18</v>
      </c>
      <c r="O274" s="173">
        <f>MONTH(Table1[[#This Row],[Date]])</f>
        <v>12</v>
      </c>
      <c r="P274" s="173">
        <v>2020</v>
      </c>
      <c r="Q274" s="174">
        <f>IF(ISBLANK(Table1[[#This Row],[Date]]),"",Table1[[#This Row],[Date]]-WEEKDAY(Table1[[#This Row],[Date]],2)+1)</f>
        <v>44179</v>
      </c>
      <c r="R274" s="175">
        <f>IF(ISBLANK(Table1[[#This Row],[Date]]),"",DATE(Table1[[#This Row],[Date_Year]],Table1[[#This Row],[Date_Month]],1))</f>
        <v>44166</v>
      </c>
    </row>
    <row r="275" spans="2:18" ht="15.75" hidden="1" x14ac:dyDescent="0.25">
      <c r="B275" s="165">
        <v>44183</v>
      </c>
      <c r="C275" s="166" t="s">
        <v>129</v>
      </c>
      <c r="D275" s="166" t="s">
        <v>55</v>
      </c>
      <c r="E275" s="167"/>
      <c r="F275" s="114">
        <v>-65.849999999999994</v>
      </c>
      <c r="G275" s="168"/>
      <c r="H275" s="169"/>
      <c r="I275" s="170"/>
      <c r="J275" s="171" t="s">
        <v>478</v>
      </c>
      <c r="K275" s="172" t="s">
        <v>177</v>
      </c>
      <c r="L275" s="172" t="s">
        <v>175</v>
      </c>
      <c r="M275" s="173" t="str" cm="1">
        <f t="array" ref="M275">IFERROR(INDEX(CategoriesTable[Category type],MATCH(Table1[[#This Row],[Category]],CategoriesTable[Category name],0),0),"")</f>
        <v>Expense</v>
      </c>
      <c r="N275" s="173">
        <v>18</v>
      </c>
      <c r="O275" s="173">
        <f>MONTH(Table1[[#This Row],[Date]])</f>
        <v>12</v>
      </c>
      <c r="P275" s="173">
        <v>2020</v>
      </c>
      <c r="Q275" s="174">
        <f>IF(ISBLANK(Table1[[#This Row],[Date]]),"",Table1[[#This Row],[Date]]-WEEKDAY(Table1[[#This Row],[Date]],2)+1)</f>
        <v>44179</v>
      </c>
      <c r="R275" s="175">
        <f>IF(ISBLANK(Table1[[#This Row],[Date]]),"",DATE(Table1[[#This Row],[Date_Year]],Table1[[#This Row],[Date_Month]],1))</f>
        <v>44166</v>
      </c>
    </row>
    <row r="276" spans="2:18" ht="15.75" hidden="1" x14ac:dyDescent="0.25">
      <c r="B276" s="165">
        <v>44182</v>
      </c>
      <c r="C276" s="166" t="s">
        <v>222</v>
      </c>
      <c r="D276" s="166" t="s">
        <v>64</v>
      </c>
      <c r="E276" s="167"/>
      <c r="F276" s="114">
        <v>-30</v>
      </c>
      <c r="G276" s="168"/>
      <c r="H276" s="169"/>
      <c r="I276" s="170"/>
      <c r="J276" s="171" t="s">
        <v>479</v>
      </c>
      <c r="K276" s="172" t="s">
        <v>177</v>
      </c>
      <c r="L276" s="172" t="s">
        <v>175</v>
      </c>
      <c r="M276" s="173" t="str" cm="1">
        <f t="array" ref="M276">IFERROR(INDEX(CategoriesTable[Category type],MATCH(Table1[[#This Row],[Category]],CategoriesTable[Category name],0),0),"")</f>
        <v>Expense</v>
      </c>
      <c r="N276" s="173">
        <v>17</v>
      </c>
      <c r="O276" s="173">
        <f>MONTH(Table1[[#This Row],[Date]])</f>
        <v>12</v>
      </c>
      <c r="P276" s="173">
        <v>2020</v>
      </c>
      <c r="Q276" s="174">
        <f>IF(ISBLANK(Table1[[#This Row],[Date]]),"",Table1[[#This Row],[Date]]-WEEKDAY(Table1[[#This Row],[Date]],2)+1)</f>
        <v>44179</v>
      </c>
      <c r="R276" s="175">
        <f>IF(ISBLANK(Table1[[#This Row],[Date]]),"",DATE(Table1[[#This Row],[Date_Year]],Table1[[#This Row],[Date_Month]],1))</f>
        <v>44166</v>
      </c>
    </row>
    <row r="277" spans="2:18" ht="15.75" hidden="1" x14ac:dyDescent="0.25">
      <c r="B277" s="165">
        <v>44181</v>
      </c>
      <c r="C277" s="166" t="s">
        <v>222</v>
      </c>
      <c r="D277" s="166" t="s">
        <v>64</v>
      </c>
      <c r="E277" s="167"/>
      <c r="F277" s="114">
        <v>-25</v>
      </c>
      <c r="G277" s="168"/>
      <c r="H277" s="169"/>
      <c r="I277" s="170"/>
      <c r="J277" s="171" t="s">
        <v>480</v>
      </c>
      <c r="K277" s="172" t="s">
        <v>177</v>
      </c>
      <c r="L277" s="172" t="s">
        <v>175</v>
      </c>
      <c r="M277" s="173" t="str" cm="1">
        <f t="array" ref="M277">IFERROR(INDEX(CategoriesTable[Category type],MATCH(Table1[[#This Row],[Category]],CategoriesTable[Category name],0),0),"")</f>
        <v>Expense</v>
      </c>
      <c r="N277" s="173">
        <v>16</v>
      </c>
      <c r="O277" s="173">
        <f>MONTH(Table1[[#This Row],[Date]])</f>
        <v>12</v>
      </c>
      <c r="P277" s="173">
        <v>2020</v>
      </c>
      <c r="Q277" s="174">
        <f>IF(ISBLANK(Table1[[#This Row],[Date]]),"",Table1[[#This Row],[Date]]-WEEKDAY(Table1[[#This Row],[Date]],2)+1)</f>
        <v>44179</v>
      </c>
      <c r="R277" s="175">
        <f>IF(ISBLANK(Table1[[#This Row],[Date]]),"",DATE(Table1[[#This Row],[Date_Year]],Table1[[#This Row],[Date_Month]],1))</f>
        <v>44166</v>
      </c>
    </row>
    <row r="278" spans="2:18" ht="15.75" hidden="1" x14ac:dyDescent="0.25">
      <c r="B278" s="165">
        <v>44181</v>
      </c>
      <c r="C278" s="166" t="s">
        <v>222</v>
      </c>
      <c r="D278" s="166" t="s">
        <v>64</v>
      </c>
      <c r="E278" s="167"/>
      <c r="F278" s="114">
        <v>-25</v>
      </c>
      <c r="G278" s="168"/>
      <c r="H278" s="169"/>
      <c r="I278" s="170"/>
      <c r="J278" s="171" t="s">
        <v>481</v>
      </c>
      <c r="K278" s="172" t="s">
        <v>177</v>
      </c>
      <c r="L278" s="172" t="s">
        <v>175</v>
      </c>
      <c r="M278" s="173" t="str" cm="1">
        <f t="array" ref="M278">IFERROR(INDEX(CategoriesTable[Category type],MATCH(Table1[[#This Row],[Category]],CategoriesTable[Category name],0),0),"")</f>
        <v>Expense</v>
      </c>
      <c r="N278" s="173">
        <v>16</v>
      </c>
      <c r="O278" s="173">
        <f>MONTH(Table1[[#This Row],[Date]])</f>
        <v>12</v>
      </c>
      <c r="P278" s="173">
        <v>2020</v>
      </c>
      <c r="Q278" s="174">
        <f>IF(ISBLANK(Table1[[#This Row],[Date]]),"",Table1[[#This Row],[Date]]-WEEKDAY(Table1[[#This Row],[Date]],2)+1)</f>
        <v>44179</v>
      </c>
      <c r="R278" s="175">
        <f>IF(ISBLANK(Table1[[#This Row],[Date]]),"",DATE(Table1[[#This Row],[Date_Year]],Table1[[#This Row],[Date_Month]],1))</f>
        <v>44166</v>
      </c>
    </row>
    <row r="279" spans="2:18" ht="15.75" hidden="1" x14ac:dyDescent="0.25">
      <c r="B279" s="165">
        <v>44181</v>
      </c>
      <c r="C279" s="166" t="s">
        <v>182</v>
      </c>
      <c r="D279" s="166" t="s">
        <v>55</v>
      </c>
      <c r="E279" s="167"/>
      <c r="F279" s="114">
        <v>-10.9</v>
      </c>
      <c r="G279" s="168"/>
      <c r="H279" s="169"/>
      <c r="I279" s="170"/>
      <c r="J279" s="171" t="s">
        <v>482</v>
      </c>
      <c r="K279" s="172" t="s">
        <v>177</v>
      </c>
      <c r="L279" s="172" t="s">
        <v>175</v>
      </c>
      <c r="M279" s="173" t="str" cm="1">
        <f t="array" ref="M279">IFERROR(INDEX(CategoriesTable[Category type],MATCH(Table1[[#This Row],[Category]],CategoriesTable[Category name],0),0),"")</f>
        <v>Expense</v>
      </c>
      <c r="N279" s="173">
        <v>16</v>
      </c>
      <c r="O279" s="173">
        <f>MONTH(Table1[[#This Row],[Date]])</f>
        <v>12</v>
      </c>
      <c r="P279" s="173">
        <v>2020</v>
      </c>
      <c r="Q279" s="174">
        <f>IF(ISBLANK(Table1[[#This Row],[Date]]),"",Table1[[#This Row],[Date]]-WEEKDAY(Table1[[#This Row],[Date]],2)+1)</f>
        <v>44179</v>
      </c>
      <c r="R279" s="175">
        <f>IF(ISBLANK(Table1[[#This Row],[Date]]),"",DATE(Table1[[#This Row],[Date_Year]],Table1[[#This Row],[Date_Month]],1))</f>
        <v>44166</v>
      </c>
    </row>
    <row r="280" spans="2:18" ht="15.75" hidden="1" x14ac:dyDescent="0.25">
      <c r="B280" s="165">
        <v>44181</v>
      </c>
      <c r="C280" s="166" t="s">
        <v>184</v>
      </c>
      <c r="D280" s="166" t="s">
        <v>56</v>
      </c>
      <c r="E280" s="167"/>
      <c r="F280" s="114">
        <v>-39.99</v>
      </c>
      <c r="G280" s="168"/>
      <c r="H280" s="169"/>
      <c r="I280" s="170"/>
      <c r="J280" s="171" t="s">
        <v>483</v>
      </c>
      <c r="K280" s="172" t="s">
        <v>177</v>
      </c>
      <c r="L280" s="172" t="s">
        <v>175</v>
      </c>
      <c r="M280" s="173" t="str" cm="1">
        <f t="array" ref="M280">IFERROR(INDEX(CategoriesTable[Category type],MATCH(Table1[[#This Row],[Category]],CategoriesTable[Category name],0),0),"")</f>
        <v>Expense</v>
      </c>
      <c r="N280" s="173">
        <v>16</v>
      </c>
      <c r="O280" s="173">
        <f>MONTH(Table1[[#This Row],[Date]])</f>
        <v>12</v>
      </c>
      <c r="P280" s="173">
        <v>2020</v>
      </c>
      <c r="Q280" s="174">
        <f>IF(ISBLANK(Table1[[#This Row],[Date]]),"",Table1[[#This Row],[Date]]-WEEKDAY(Table1[[#This Row],[Date]],2)+1)</f>
        <v>44179</v>
      </c>
      <c r="R280" s="175">
        <f>IF(ISBLANK(Table1[[#This Row],[Date]]),"",DATE(Table1[[#This Row],[Date_Year]],Table1[[#This Row],[Date_Month]],1))</f>
        <v>44166</v>
      </c>
    </row>
    <row r="281" spans="2:18" ht="15.75" hidden="1" x14ac:dyDescent="0.25">
      <c r="B281" s="165">
        <v>44180</v>
      </c>
      <c r="C281" s="166" t="s">
        <v>222</v>
      </c>
      <c r="D281" s="166" t="s">
        <v>64</v>
      </c>
      <c r="E281" s="167"/>
      <c r="F281" s="114">
        <v>-25</v>
      </c>
      <c r="G281" s="168"/>
      <c r="H281" s="169"/>
      <c r="I281" s="170"/>
      <c r="J281" s="171" t="s">
        <v>484</v>
      </c>
      <c r="K281" s="172" t="s">
        <v>177</v>
      </c>
      <c r="L281" s="172" t="s">
        <v>175</v>
      </c>
      <c r="M281" s="173" t="str" cm="1">
        <f t="array" ref="M281">IFERROR(INDEX(CategoriesTable[Category type],MATCH(Table1[[#This Row],[Category]],CategoriesTable[Category name],0),0),"")</f>
        <v>Expense</v>
      </c>
      <c r="N281" s="173">
        <v>15</v>
      </c>
      <c r="O281" s="173">
        <f>MONTH(Table1[[#This Row],[Date]])</f>
        <v>12</v>
      </c>
      <c r="P281" s="173">
        <v>2020</v>
      </c>
      <c r="Q281" s="174">
        <f>IF(ISBLANK(Table1[[#This Row],[Date]]),"",Table1[[#This Row],[Date]]-WEEKDAY(Table1[[#This Row],[Date]],2)+1)</f>
        <v>44179</v>
      </c>
      <c r="R281" s="175">
        <f>IF(ISBLANK(Table1[[#This Row],[Date]]),"",DATE(Table1[[#This Row],[Date_Year]],Table1[[#This Row],[Date_Month]],1))</f>
        <v>44166</v>
      </c>
    </row>
    <row r="282" spans="2:18" ht="15.75" hidden="1" x14ac:dyDescent="0.25">
      <c r="B282" s="165">
        <v>44179</v>
      </c>
      <c r="C282" s="166" t="s">
        <v>222</v>
      </c>
      <c r="D282" s="166" t="s">
        <v>64</v>
      </c>
      <c r="E282" s="167"/>
      <c r="F282" s="114">
        <v>-5</v>
      </c>
      <c r="G282" s="168"/>
      <c r="H282" s="169"/>
      <c r="I282" s="170"/>
      <c r="J282" s="171" t="s">
        <v>485</v>
      </c>
      <c r="K282" s="172" t="s">
        <v>177</v>
      </c>
      <c r="L282" s="172" t="s">
        <v>175</v>
      </c>
      <c r="M282" s="173" t="str" cm="1">
        <f t="array" ref="M282">IFERROR(INDEX(CategoriesTable[Category type],MATCH(Table1[[#This Row],[Category]],CategoriesTable[Category name],0),0),"")</f>
        <v>Expense</v>
      </c>
      <c r="N282" s="173">
        <v>14</v>
      </c>
      <c r="O282" s="173">
        <f>MONTH(Table1[[#This Row],[Date]])</f>
        <v>12</v>
      </c>
      <c r="P282" s="173">
        <v>2020</v>
      </c>
      <c r="Q282" s="174">
        <f>IF(ISBLANK(Table1[[#This Row],[Date]]),"",Table1[[#This Row],[Date]]-WEEKDAY(Table1[[#This Row],[Date]],2)+1)</f>
        <v>44179</v>
      </c>
      <c r="R282" s="175">
        <f>IF(ISBLANK(Table1[[#This Row],[Date]]),"",DATE(Table1[[#This Row],[Date_Year]],Table1[[#This Row],[Date_Month]],1))</f>
        <v>44166</v>
      </c>
    </row>
    <row r="283" spans="2:18" ht="15.75" hidden="1" x14ac:dyDescent="0.25">
      <c r="B283" s="165">
        <v>44179</v>
      </c>
      <c r="C283" s="166" t="s">
        <v>486</v>
      </c>
      <c r="D283" s="166" t="s">
        <v>50</v>
      </c>
      <c r="E283" s="167"/>
      <c r="F283" s="114">
        <v>120</v>
      </c>
      <c r="G283" s="168"/>
      <c r="H283" s="169"/>
      <c r="I283" s="170"/>
      <c r="J283" s="171" t="s">
        <v>487</v>
      </c>
      <c r="K283" s="172" t="s">
        <v>177</v>
      </c>
      <c r="L283" s="172" t="s">
        <v>175</v>
      </c>
      <c r="M283" s="173" t="str" cm="1">
        <f t="array" ref="M283">IFERROR(INDEX(CategoriesTable[Category type],MATCH(Table1[[#This Row],[Category]],CategoriesTable[Category name],0),0),"")</f>
        <v>Income</v>
      </c>
      <c r="N283" s="173">
        <v>14</v>
      </c>
      <c r="O283" s="173">
        <f>MONTH(Table1[[#This Row],[Date]])</f>
        <v>12</v>
      </c>
      <c r="P283" s="173">
        <v>2020</v>
      </c>
      <c r="Q283" s="174">
        <f>IF(ISBLANK(Table1[[#This Row],[Date]]),"",Table1[[#This Row],[Date]]-WEEKDAY(Table1[[#This Row],[Date]],2)+1)</f>
        <v>44179</v>
      </c>
      <c r="R283" s="175">
        <f>IF(ISBLANK(Table1[[#This Row],[Date]]),"",DATE(Table1[[#This Row],[Date_Year]],Table1[[#This Row],[Date_Month]],1))</f>
        <v>44166</v>
      </c>
    </row>
    <row r="284" spans="2:18" ht="15.75" hidden="1" x14ac:dyDescent="0.25">
      <c r="B284" s="165">
        <v>44178</v>
      </c>
      <c r="C284" s="166" t="s">
        <v>222</v>
      </c>
      <c r="D284" s="166" t="s">
        <v>64</v>
      </c>
      <c r="E284" s="167"/>
      <c r="F284" s="114">
        <v>-30</v>
      </c>
      <c r="G284" s="168"/>
      <c r="H284" s="169"/>
      <c r="I284" s="170"/>
      <c r="J284" s="171" t="s">
        <v>488</v>
      </c>
      <c r="K284" s="172" t="s">
        <v>177</v>
      </c>
      <c r="L284" s="172" t="s">
        <v>175</v>
      </c>
      <c r="M284" s="173" t="str" cm="1">
        <f t="array" ref="M284">IFERROR(INDEX(CategoriesTable[Category type],MATCH(Table1[[#This Row],[Category]],CategoriesTable[Category name],0),0),"")</f>
        <v>Expense</v>
      </c>
      <c r="N284" s="173">
        <v>13</v>
      </c>
      <c r="O284" s="173">
        <f>MONTH(Table1[[#This Row],[Date]])</f>
        <v>12</v>
      </c>
      <c r="P284" s="173">
        <v>2020</v>
      </c>
      <c r="Q284" s="174">
        <f>IF(ISBLANK(Table1[[#This Row],[Date]]),"",Table1[[#This Row],[Date]]-WEEKDAY(Table1[[#This Row],[Date]],2)+1)</f>
        <v>44172</v>
      </c>
      <c r="R284" s="175">
        <f>IF(ISBLANK(Table1[[#This Row],[Date]]),"",DATE(Table1[[#This Row],[Date_Year]],Table1[[#This Row],[Date_Month]],1))</f>
        <v>44166</v>
      </c>
    </row>
    <row r="285" spans="2:18" ht="15.75" hidden="1" x14ac:dyDescent="0.25">
      <c r="B285" s="165">
        <v>44178</v>
      </c>
      <c r="C285" s="166" t="s">
        <v>121</v>
      </c>
      <c r="D285" s="166" t="s">
        <v>65</v>
      </c>
      <c r="E285" s="167"/>
      <c r="F285" s="114">
        <v>-27.51</v>
      </c>
      <c r="G285" s="168"/>
      <c r="H285" s="169"/>
      <c r="I285" s="170"/>
      <c r="J285" s="171" t="s">
        <v>489</v>
      </c>
      <c r="K285" s="172" t="s">
        <v>177</v>
      </c>
      <c r="L285" s="172" t="s">
        <v>175</v>
      </c>
      <c r="M285" s="173" t="str" cm="1">
        <f t="array" ref="M285">IFERROR(INDEX(CategoriesTable[Category type],MATCH(Table1[[#This Row],[Category]],CategoriesTable[Category name],0),0),"")</f>
        <v>Expense</v>
      </c>
      <c r="N285" s="173">
        <v>13</v>
      </c>
      <c r="O285" s="173">
        <f>MONTH(Table1[[#This Row],[Date]])</f>
        <v>12</v>
      </c>
      <c r="P285" s="173">
        <v>2020</v>
      </c>
      <c r="Q285" s="174">
        <f>IF(ISBLANK(Table1[[#This Row],[Date]]),"",Table1[[#This Row],[Date]]-WEEKDAY(Table1[[#This Row],[Date]],2)+1)</f>
        <v>44172</v>
      </c>
      <c r="R285" s="175">
        <f>IF(ISBLANK(Table1[[#This Row],[Date]]),"",DATE(Table1[[#This Row],[Date_Year]],Table1[[#This Row],[Date_Month]],1))</f>
        <v>44166</v>
      </c>
    </row>
    <row r="286" spans="2:18" ht="15.75" hidden="1" x14ac:dyDescent="0.25">
      <c r="B286" s="165">
        <v>44177</v>
      </c>
      <c r="C286" s="166" t="s">
        <v>222</v>
      </c>
      <c r="D286" s="166" t="s">
        <v>64</v>
      </c>
      <c r="E286" s="167"/>
      <c r="F286" s="114">
        <v>-20</v>
      </c>
      <c r="G286" s="168"/>
      <c r="H286" s="169"/>
      <c r="I286" s="170"/>
      <c r="J286" s="171" t="s">
        <v>490</v>
      </c>
      <c r="K286" s="172" t="s">
        <v>177</v>
      </c>
      <c r="L286" s="172" t="s">
        <v>175</v>
      </c>
      <c r="M286" s="173" t="str" cm="1">
        <f t="array" ref="M286">IFERROR(INDEX(CategoriesTable[Category type],MATCH(Table1[[#This Row],[Category]],CategoriesTable[Category name],0),0),"")</f>
        <v>Expense</v>
      </c>
      <c r="N286" s="173">
        <v>12</v>
      </c>
      <c r="O286" s="173">
        <f>MONTH(Table1[[#This Row],[Date]])</f>
        <v>12</v>
      </c>
      <c r="P286" s="173">
        <v>2020</v>
      </c>
      <c r="Q286" s="174">
        <f>IF(ISBLANK(Table1[[#This Row],[Date]]),"",Table1[[#This Row],[Date]]-WEEKDAY(Table1[[#This Row],[Date]],2)+1)</f>
        <v>44172</v>
      </c>
      <c r="R286" s="175">
        <f>IF(ISBLANK(Table1[[#This Row],[Date]]),"",DATE(Table1[[#This Row],[Date_Year]],Table1[[#This Row],[Date_Month]],1))</f>
        <v>44166</v>
      </c>
    </row>
    <row r="287" spans="2:18" ht="15.75" hidden="1" x14ac:dyDescent="0.25">
      <c r="B287" s="165">
        <v>44177</v>
      </c>
      <c r="C287" s="166" t="s">
        <v>120</v>
      </c>
      <c r="D287" s="166" t="s">
        <v>66</v>
      </c>
      <c r="E287" s="167"/>
      <c r="F287" s="114">
        <v>-48.41</v>
      </c>
      <c r="G287" s="168"/>
      <c r="H287" s="169"/>
      <c r="I287" s="170"/>
      <c r="J287" s="171" t="s">
        <v>491</v>
      </c>
      <c r="K287" s="172" t="s">
        <v>177</v>
      </c>
      <c r="L287" s="172" t="s">
        <v>175</v>
      </c>
      <c r="M287" s="173" t="str" cm="1">
        <f t="array" ref="M287">IFERROR(INDEX(CategoriesTable[Category type],MATCH(Table1[[#This Row],[Category]],CategoriesTable[Category name],0),0),"")</f>
        <v>Expense</v>
      </c>
      <c r="N287" s="173">
        <v>12</v>
      </c>
      <c r="O287" s="173">
        <f>MONTH(Table1[[#This Row],[Date]])</f>
        <v>12</v>
      </c>
      <c r="P287" s="173">
        <v>2020</v>
      </c>
      <c r="Q287" s="174">
        <f>IF(ISBLANK(Table1[[#This Row],[Date]]),"",Table1[[#This Row],[Date]]-WEEKDAY(Table1[[#This Row],[Date]],2)+1)</f>
        <v>44172</v>
      </c>
      <c r="R287" s="175">
        <f>IF(ISBLANK(Table1[[#This Row],[Date]]),"",DATE(Table1[[#This Row],[Date_Year]],Table1[[#This Row],[Date_Month]],1))</f>
        <v>44166</v>
      </c>
    </row>
    <row r="288" spans="2:18" ht="15.75" hidden="1" x14ac:dyDescent="0.25">
      <c r="B288" s="165">
        <v>44176</v>
      </c>
      <c r="C288" s="166" t="s">
        <v>222</v>
      </c>
      <c r="D288" s="166" t="s">
        <v>64</v>
      </c>
      <c r="E288" s="167"/>
      <c r="F288" s="114">
        <v>-10</v>
      </c>
      <c r="G288" s="168"/>
      <c r="H288" s="169"/>
      <c r="I288" s="170"/>
      <c r="J288" s="171" t="s">
        <v>492</v>
      </c>
      <c r="K288" s="172" t="s">
        <v>177</v>
      </c>
      <c r="L288" s="172" t="s">
        <v>175</v>
      </c>
      <c r="M288" s="173" t="str" cm="1">
        <f t="array" ref="M288">IFERROR(INDEX(CategoriesTable[Category type],MATCH(Table1[[#This Row],[Category]],CategoriesTable[Category name],0),0),"")</f>
        <v>Expense</v>
      </c>
      <c r="N288" s="173">
        <v>11</v>
      </c>
      <c r="O288" s="173">
        <f>MONTH(Table1[[#This Row],[Date]])</f>
        <v>12</v>
      </c>
      <c r="P288" s="173">
        <v>2020</v>
      </c>
      <c r="Q288" s="174">
        <f>IF(ISBLANK(Table1[[#This Row],[Date]]),"",Table1[[#This Row],[Date]]-WEEKDAY(Table1[[#This Row],[Date]],2)+1)</f>
        <v>44172</v>
      </c>
      <c r="R288" s="175">
        <f>IF(ISBLANK(Table1[[#This Row],[Date]]),"",DATE(Table1[[#This Row],[Date_Year]],Table1[[#This Row],[Date_Month]],1))</f>
        <v>44166</v>
      </c>
    </row>
    <row r="289" spans="2:18" ht="15.75" hidden="1" x14ac:dyDescent="0.25">
      <c r="B289" s="165">
        <v>44176</v>
      </c>
      <c r="C289" s="166" t="s">
        <v>222</v>
      </c>
      <c r="D289" s="166" t="s">
        <v>64</v>
      </c>
      <c r="E289" s="167"/>
      <c r="F289" s="114">
        <v>-20</v>
      </c>
      <c r="G289" s="168"/>
      <c r="H289" s="169"/>
      <c r="I289" s="170"/>
      <c r="J289" s="171" t="s">
        <v>493</v>
      </c>
      <c r="K289" s="172" t="s">
        <v>177</v>
      </c>
      <c r="L289" s="172" t="s">
        <v>175</v>
      </c>
      <c r="M289" s="173" t="str" cm="1">
        <f t="array" ref="M289">IFERROR(INDEX(CategoriesTable[Category type],MATCH(Table1[[#This Row],[Category]],CategoriesTable[Category name],0),0),"")</f>
        <v>Expense</v>
      </c>
      <c r="N289" s="173">
        <v>11</v>
      </c>
      <c r="O289" s="173">
        <f>MONTH(Table1[[#This Row],[Date]])</f>
        <v>12</v>
      </c>
      <c r="P289" s="173">
        <v>2020</v>
      </c>
      <c r="Q289" s="174">
        <f>IF(ISBLANK(Table1[[#This Row],[Date]]),"",Table1[[#This Row],[Date]]-WEEKDAY(Table1[[#This Row],[Date]],2)+1)</f>
        <v>44172</v>
      </c>
      <c r="R289" s="175">
        <f>IF(ISBLANK(Table1[[#This Row],[Date]]),"",DATE(Table1[[#This Row],[Date_Year]],Table1[[#This Row],[Date_Month]],1))</f>
        <v>44166</v>
      </c>
    </row>
    <row r="290" spans="2:18" ht="15.75" hidden="1" x14ac:dyDescent="0.25">
      <c r="B290" s="165">
        <v>44176</v>
      </c>
      <c r="C290" s="166" t="s">
        <v>199</v>
      </c>
      <c r="D290" s="166" t="s">
        <v>65</v>
      </c>
      <c r="E290" s="167"/>
      <c r="F290" s="114">
        <v>-52.29</v>
      </c>
      <c r="G290" s="168"/>
      <c r="H290" s="169"/>
      <c r="I290" s="170"/>
      <c r="J290" s="171" t="s">
        <v>494</v>
      </c>
      <c r="K290" s="172" t="s">
        <v>177</v>
      </c>
      <c r="L290" s="172" t="s">
        <v>175</v>
      </c>
      <c r="M290" s="173" t="str" cm="1">
        <f t="array" ref="M290">IFERROR(INDEX(CategoriesTable[Category type],MATCH(Table1[[#This Row],[Category]],CategoriesTable[Category name],0),0),"")</f>
        <v>Expense</v>
      </c>
      <c r="N290" s="173">
        <v>11</v>
      </c>
      <c r="O290" s="173">
        <f>MONTH(Table1[[#This Row],[Date]])</f>
        <v>12</v>
      </c>
      <c r="P290" s="173">
        <v>2020</v>
      </c>
      <c r="Q290" s="174">
        <f>IF(ISBLANK(Table1[[#This Row],[Date]]),"",Table1[[#This Row],[Date]]-WEEKDAY(Table1[[#This Row],[Date]],2)+1)</f>
        <v>44172</v>
      </c>
      <c r="R290" s="175">
        <f>IF(ISBLANK(Table1[[#This Row],[Date]]),"",DATE(Table1[[#This Row],[Date_Year]],Table1[[#This Row],[Date_Month]],1))</f>
        <v>44166</v>
      </c>
    </row>
    <row r="291" spans="2:18" ht="15.75" hidden="1" x14ac:dyDescent="0.25">
      <c r="B291" s="165">
        <v>44175</v>
      </c>
      <c r="C291" s="166" t="s">
        <v>222</v>
      </c>
      <c r="D291" s="166" t="s">
        <v>64</v>
      </c>
      <c r="E291" s="167"/>
      <c r="F291" s="114">
        <v>-30</v>
      </c>
      <c r="G291" s="168"/>
      <c r="H291" s="169"/>
      <c r="I291" s="170"/>
      <c r="J291" s="171" t="s">
        <v>495</v>
      </c>
      <c r="K291" s="172" t="s">
        <v>177</v>
      </c>
      <c r="L291" s="172" t="s">
        <v>175</v>
      </c>
      <c r="M291" s="173" t="str" cm="1">
        <f t="array" ref="M291">IFERROR(INDEX(CategoriesTable[Category type],MATCH(Table1[[#This Row],[Category]],CategoriesTable[Category name],0),0),"")</f>
        <v>Expense</v>
      </c>
      <c r="N291" s="173">
        <v>10</v>
      </c>
      <c r="O291" s="173">
        <f>MONTH(Table1[[#This Row],[Date]])</f>
        <v>12</v>
      </c>
      <c r="P291" s="173">
        <v>2020</v>
      </c>
      <c r="Q291" s="174">
        <f>IF(ISBLANK(Table1[[#This Row],[Date]]),"",Table1[[#This Row],[Date]]-WEEKDAY(Table1[[#This Row],[Date]],2)+1)</f>
        <v>44172</v>
      </c>
      <c r="R291" s="175">
        <f>IF(ISBLANK(Table1[[#This Row],[Date]]),"",DATE(Table1[[#This Row],[Date_Year]],Table1[[#This Row],[Date_Month]],1))</f>
        <v>44166</v>
      </c>
    </row>
    <row r="292" spans="2:18" ht="15.75" hidden="1" x14ac:dyDescent="0.25">
      <c r="B292" s="165">
        <v>44175</v>
      </c>
      <c r="C292" s="166" t="s">
        <v>214</v>
      </c>
      <c r="D292" s="166" t="s">
        <v>1553</v>
      </c>
      <c r="E292" s="167"/>
      <c r="F292" s="114">
        <v>-224</v>
      </c>
      <c r="G292" s="168"/>
      <c r="H292" s="169"/>
      <c r="I292" s="170"/>
      <c r="J292" s="171" t="s">
        <v>496</v>
      </c>
      <c r="K292" s="172" t="s">
        <v>177</v>
      </c>
      <c r="L292" s="172" t="s">
        <v>175</v>
      </c>
      <c r="M292" s="173" t="str" cm="1">
        <f t="array" ref="M292">IFERROR(INDEX(CategoriesTable[Category type],MATCH(Table1[[#This Row],[Category]],CategoriesTable[Category name],0),0),"")</f>
        <v>Expense</v>
      </c>
      <c r="N292" s="173">
        <v>10</v>
      </c>
      <c r="O292" s="173">
        <f>MONTH(Table1[[#This Row],[Date]])</f>
        <v>12</v>
      </c>
      <c r="P292" s="173">
        <v>2020</v>
      </c>
      <c r="Q292" s="174">
        <f>IF(ISBLANK(Table1[[#This Row],[Date]]),"",Table1[[#This Row],[Date]]-WEEKDAY(Table1[[#This Row],[Date]],2)+1)</f>
        <v>44172</v>
      </c>
      <c r="R292" s="175">
        <f>IF(ISBLANK(Table1[[#This Row],[Date]]),"",DATE(Table1[[#This Row],[Date_Year]],Table1[[#This Row],[Date_Month]],1))</f>
        <v>44166</v>
      </c>
    </row>
    <row r="293" spans="2:18" ht="15.75" hidden="1" x14ac:dyDescent="0.25">
      <c r="B293" s="165">
        <v>44175</v>
      </c>
      <c r="C293" s="166" t="s">
        <v>497</v>
      </c>
      <c r="D293" s="166" t="s">
        <v>65</v>
      </c>
      <c r="E293" s="167"/>
      <c r="F293" s="114">
        <v>-8.4700000000000006</v>
      </c>
      <c r="G293" s="168"/>
      <c r="H293" s="169"/>
      <c r="I293" s="170"/>
      <c r="J293" s="171" t="s">
        <v>498</v>
      </c>
      <c r="K293" s="172" t="s">
        <v>177</v>
      </c>
      <c r="L293" s="172" t="s">
        <v>175</v>
      </c>
      <c r="M293" s="173" t="str" cm="1">
        <f t="array" ref="M293">IFERROR(INDEX(CategoriesTable[Category type],MATCH(Table1[[#This Row],[Category]],CategoriesTable[Category name],0),0),"")</f>
        <v>Expense</v>
      </c>
      <c r="N293" s="173">
        <v>10</v>
      </c>
      <c r="O293" s="173">
        <f>MONTH(Table1[[#This Row],[Date]])</f>
        <v>12</v>
      </c>
      <c r="P293" s="173">
        <v>2020</v>
      </c>
      <c r="Q293" s="174">
        <f>IF(ISBLANK(Table1[[#This Row],[Date]]),"",Table1[[#This Row],[Date]]-WEEKDAY(Table1[[#This Row],[Date]],2)+1)</f>
        <v>44172</v>
      </c>
      <c r="R293" s="175">
        <f>IF(ISBLANK(Table1[[#This Row],[Date]]),"",DATE(Table1[[#This Row],[Date_Year]],Table1[[#This Row],[Date_Month]],1))</f>
        <v>44166</v>
      </c>
    </row>
    <row r="294" spans="2:18" ht="15.75" hidden="1" x14ac:dyDescent="0.25">
      <c r="B294" s="165">
        <v>44175</v>
      </c>
      <c r="C294" s="166" t="s">
        <v>180</v>
      </c>
      <c r="D294" s="166" t="s">
        <v>52</v>
      </c>
      <c r="E294" s="167"/>
      <c r="F294" s="114">
        <v>-80</v>
      </c>
      <c r="G294" s="168"/>
      <c r="H294" s="169"/>
      <c r="I294" s="170"/>
      <c r="J294" s="171" t="s">
        <v>499</v>
      </c>
      <c r="K294" s="172" t="s">
        <v>177</v>
      </c>
      <c r="L294" s="172" t="s">
        <v>175</v>
      </c>
      <c r="M294" s="173" t="str" cm="1">
        <f t="array" ref="M294">IFERROR(INDEX(CategoriesTable[Category type],MATCH(Table1[[#This Row],[Category]],CategoriesTable[Category name],0),0),"")</f>
        <v>Transfer</v>
      </c>
      <c r="N294" s="173">
        <v>10</v>
      </c>
      <c r="O294" s="173">
        <f>MONTH(Table1[[#This Row],[Date]])</f>
        <v>12</v>
      </c>
      <c r="P294" s="173">
        <v>2020</v>
      </c>
      <c r="Q294" s="174">
        <f>IF(ISBLANK(Table1[[#This Row],[Date]]),"",Table1[[#This Row],[Date]]-WEEKDAY(Table1[[#This Row],[Date]],2)+1)</f>
        <v>44172</v>
      </c>
      <c r="R294" s="175">
        <f>IF(ISBLANK(Table1[[#This Row],[Date]]),"",DATE(Table1[[#This Row],[Date_Year]],Table1[[#This Row],[Date_Month]],1))</f>
        <v>44166</v>
      </c>
    </row>
    <row r="295" spans="2:18" ht="15.75" hidden="1" x14ac:dyDescent="0.25">
      <c r="B295" s="165">
        <v>44175</v>
      </c>
      <c r="C295" s="166" t="s">
        <v>216</v>
      </c>
      <c r="D295" s="166" t="s">
        <v>64</v>
      </c>
      <c r="E295" s="167"/>
      <c r="F295" s="114">
        <v>-3.95</v>
      </c>
      <c r="G295" s="168"/>
      <c r="H295" s="169"/>
      <c r="I295" s="170"/>
      <c r="J295" s="171" t="s">
        <v>500</v>
      </c>
      <c r="K295" s="172" t="s">
        <v>177</v>
      </c>
      <c r="L295" s="172" t="s">
        <v>175</v>
      </c>
      <c r="M295" s="173" t="str" cm="1">
        <f t="array" ref="M295">IFERROR(INDEX(CategoriesTable[Category type],MATCH(Table1[[#This Row],[Category]],CategoriesTable[Category name],0),0),"")</f>
        <v>Expense</v>
      </c>
      <c r="N295" s="173">
        <v>10</v>
      </c>
      <c r="O295" s="173">
        <f>MONTH(Table1[[#This Row],[Date]])</f>
        <v>12</v>
      </c>
      <c r="P295" s="173">
        <v>2020</v>
      </c>
      <c r="Q295" s="174">
        <f>IF(ISBLANK(Table1[[#This Row],[Date]]),"",Table1[[#This Row],[Date]]-WEEKDAY(Table1[[#This Row],[Date]],2)+1)</f>
        <v>44172</v>
      </c>
      <c r="R295" s="175">
        <f>IF(ISBLANK(Table1[[#This Row],[Date]]),"",DATE(Table1[[#This Row],[Date_Year]],Table1[[#This Row],[Date_Month]],1))</f>
        <v>44166</v>
      </c>
    </row>
    <row r="296" spans="2:18" ht="15.75" hidden="1" x14ac:dyDescent="0.25">
      <c r="B296" s="165">
        <v>44174</v>
      </c>
      <c r="C296" s="166" t="s">
        <v>222</v>
      </c>
      <c r="D296" s="166" t="s">
        <v>64</v>
      </c>
      <c r="E296" s="167"/>
      <c r="F296" s="114">
        <v>-20</v>
      </c>
      <c r="G296" s="168"/>
      <c r="H296" s="169"/>
      <c r="I296" s="170"/>
      <c r="J296" s="171" t="s">
        <v>501</v>
      </c>
      <c r="K296" s="172" t="s">
        <v>177</v>
      </c>
      <c r="L296" s="172" t="s">
        <v>175</v>
      </c>
      <c r="M296" s="173" t="str" cm="1">
        <f t="array" ref="M296">IFERROR(INDEX(CategoriesTable[Category type],MATCH(Table1[[#This Row],[Category]],CategoriesTable[Category name],0),0),"")</f>
        <v>Expense</v>
      </c>
      <c r="N296" s="173">
        <v>9</v>
      </c>
      <c r="O296" s="173">
        <f>MONTH(Table1[[#This Row],[Date]])</f>
        <v>12</v>
      </c>
      <c r="P296" s="173">
        <v>2020</v>
      </c>
      <c r="Q296" s="174">
        <f>IF(ISBLANK(Table1[[#This Row],[Date]]),"",Table1[[#This Row],[Date]]-WEEKDAY(Table1[[#This Row],[Date]],2)+1)</f>
        <v>44172</v>
      </c>
      <c r="R296" s="175">
        <f>IF(ISBLANK(Table1[[#This Row],[Date]]),"",DATE(Table1[[#This Row],[Date_Year]],Table1[[#This Row],[Date_Month]],1))</f>
        <v>44166</v>
      </c>
    </row>
    <row r="297" spans="2:18" ht="15.75" hidden="1" x14ac:dyDescent="0.25">
      <c r="B297" s="165">
        <v>44174</v>
      </c>
      <c r="C297" s="166" t="s">
        <v>222</v>
      </c>
      <c r="D297" s="166" t="s">
        <v>64</v>
      </c>
      <c r="E297" s="167"/>
      <c r="F297" s="114">
        <v>-20</v>
      </c>
      <c r="G297" s="168"/>
      <c r="H297" s="169"/>
      <c r="I297" s="170"/>
      <c r="J297" s="171" t="s">
        <v>502</v>
      </c>
      <c r="K297" s="172" t="s">
        <v>177</v>
      </c>
      <c r="L297" s="172" t="s">
        <v>175</v>
      </c>
      <c r="M297" s="173" t="str" cm="1">
        <f t="array" ref="M297">IFERROR(INDEX(CategoriesTable[Category type],MATCH(Table1[[#This Row],[Category]],CategoriesTable[Category name],0),0),"")</f>
        <v>Expense</v>
      </c>
      <c r="N297" s="173">
        <v>9</v>
      </c>
      <c r="O297" s="173">
        <f>MONTH(Table1[[#This Row],[Date]])</f>
        <v>12</v>
      </c>
      <c r="P297" s="173">
        <v>2020</v>
      </c>
      <c r="Q297" s="174">
        <f>IF(ISBLANK(Table1[[#This Row],[Date]]),"",Table1[[#This Row],[Date]]-WEEKDAY(Table1[[#This Row],[Date]],2)+1)</f>
        <v>44172</v>
      </c>
      <c r="R297" s="175">
        <f>IF(ISBLANK(Table1[[#This Row],[Date]]),"",DATE(Table1[[#This Row],[Date_Year]],Table1[[#This Row],[Date_Month]],1))</f>
        <v>44166</v>
      </c>
    </row>
    <row r="298" spans="2:18" ht="15.75" hidden="1" x14ac:dyDescent="0.25">
      <c r="B298" s="165">
        <v>44174</v>
      </c>
      <c r="C298" s="166" t="s">
        <v>199</v>
      </c>
      <c r="D298" s="166" t="s">
        <v>65</v>
      </c>
      <c r="E298" s="167"/>
      <c r="F298" s="114">
        <v>-30.96</v>
      </c>
      <c r="G298" s="168"/>
      <c r="H298" s="169"/>
      <c r="I298" s="170"/>
      <c r="J298" s="171" t="s">
        <v>503</v>
      </c>
      <c r="K298" s="172" t="s">
        <v>177</v>
      </c>
      <c r="L298" s="172" t="s">
        <v>175</v>
      </c>
      <c r="M298" s="173" t="str" cm="1">
        <f t="array" ref="M298">IFERROR(INDEX(CategoriesTable[Category type],MATCH(Table1[[#This Row],[Category]],CategoriesTable[Category name],0),0),"")</f>
        <v>Expense</v>
      </c>
      <c r="N298" s="173">
        <v>9</v>
      </c>
      <c r="O298" s="173">
        <f>MONTH(Table1[[#This Row],[Date]])</f>
        <v>12</v>
      </c>
      <c r="P298" s="173">
        <v>2020</v>
      </c>
      <c r="Q298" s="174">
        <f>IF(ISBLANK(Table1[[#This Row],[Date]]),"",Table1[[#This Row],[Date]]-WEEKDAY(Table1[[#This Row],[Date]],2)+1)</f>
        <v>44172</v>
      </c>
      <c r="R298" s="175">
        <f>IF(ISBLANK(Table1[[#This Row],[Date]]),"",DATE(Table1[[#This Row],[Date_Year]],Table1[[#This Row],[Date_Month]],1))</f>
        <v>44166</v>
      </c>
    </row>
    <row r="299" spans="2:18" ht="15.75" hidden="1" x14ac:dyDescent="0.25">
      <c r="B299" s="165">
        <v>44174</v>
      </c>
      <c r="C299" s="166" t="s">
        <v>504</v>
      </c>
      <c r="D299" s="166" t="s">
        <v>66</v>
      </c>
      <c r="E299" s="167"/>
      <c r="F299" s="114">
        <v>-11.89</v>
      </c>
      <c r="G299" s="168"/>
      <c r="H299" s="169"/>
      <c r="I299" s="170"/>
      <c r="J299" s="171" t="s">
        <v>505</v>
      </c>
      <c r="K299" s="172" t="s">
        <v>177</v>
      </c>
      <c r="L299" s="172" t="s">
        <v>175</v>
      </c>
      <c r="M299" s="173" t="str" cm="1">
        <f t="array" ref="M299">IFERROR(INDEX(CategoriesTable[Category type],MATCH(Table1[[#This Row],[Category]],CategoriesTable[Category name],0),0),"")</f>
        <v>Expense</v>
      </c>
      <c r="N299" s="173">
        <v>9</v>
      </c>
      <c r="O299" s="173">
        <f>MONTH(Table1[[#This Row],[Date]])</f>
        <v>12</v>
      </c>
      <c r="P299" s="173">
        <v>2020</v>
      </c>
      <c r="Q299" s="174">
        <f>IF(ISBLANK(Table1[[#This Row],[Date]]),"",Table1[[#This Row],[Date]]-WEEKDAY(Table1[[#This Row],[Date]],2)+1)</f>
        <v>44172</v>
      </c>
      <c r="R299" s="175">
        <f>IF(ISBLANK(Table1[[#This Row],[Date]]),"",DATE(Table1[[#This Row],[Date_Year]],Table1[[#This Row],[Date_Month]],1))</f>
        <v>44166</v>
      </c>
    </row>
    <row r="300" spans="2:18" ht="15.75" hidden="1" x14ac:dyDescent="0.25">
      <c r="B300" s="165">
        <v>44173</v>
      </c>
      <c r="C300" s="166" t="s">
        <v>121</v>
      </c>
      <c r="D300" s="166" t="s">
        <v>65</v>
      </c>
      <c r="E300" s="167"/>
      <c r="F300" s="114">
        <v>-15.13</v>
      </c>
      <c r="G300" s="168"/>
      <c r="H300" s="169"/>
      <c r="I300" s="170"/>
      <c r="J300" s="171" t="s">
        <v>506</v>
      </c>
      <c r="K300" s="172" t="s">
        <v>177</v>
      </c>
      <c r="L300" s="172" t="s">
        <v>175</v>
      </c>
      <c r="M300" s="173" t="str" cm="1">
        <f t="array" ref="M300">IFERROR(INDEX(CategoriesTable[Category type],MATCH(Table1[[#This Row],[Category]],CategoriesTable[Category name],0),0),"")</f>
        <v>Expense</v>
      </c>
      <c r="N300" s="173">
        <v>8</v>
      </c>
      <c r="O300" s="173">
        <f>MONTH(Table1[[#This Row],[Date]])</f>
        <v>12</v>
      </c>
      <c r="P300" s="173">
        <v>2020</v>
      </c>
      <c r="Q300" s="174">
        <f>IF(ISBLANK(Table1[[#This Row],[Date]]),"",Table1[[#This Row],[Date]]-WEEKDAY(Table1[[#This Row],[Date]],2)+1)</f>
        <v>44172</v>
      </c>
      <c r="R300" s="175">
        <f>IF(ISBLANK(Table1[[#This Row],[Date]]),"",DATE(Table1[[#This Row],[Date_Year]],Table1[[#This Row],[Date_Month]],1))</f>
        <v>44166</v>
      </c>
    </row>
    <row r="301" spans="2:18" ht="15.75" hidden="1" x14ac:dyDescent="0.25">
      <c r="B301" s="165">
        <v>44173</v>
      </c>
      <c r="C301" s="166" t="s">
        <v>137</v>
      </c>
      <c r="D301" s="166" t="s">
        <v>66</v>
      </c>
      <c r="E301" s="167"/>
      <c r="F301" s="114">
        <v>-688.99</v>
      </c>
      <c r="G301" s="168"/>
      <c r="H301" s="169"/>
      <c r="I301" s="170"/>
      <c r="J301" s="171" t="s">
        <v>507</v>
      </c>
      <c r="K301" s="172" t="s">
        <v>177</v>
      </c>
      <c r="L301" s="172" t="s">
        <v>175</v>
      </c>
      <c r="M301" s="173" t="str" cm="1">
        <f t="array" ref="M301">IFERROR(INDEX(CategoriesTable[Category type],MATCH(Table1[[#This Row],[Category]],CategoriesTable[Category name],0),0),"")</f>
        <v>Expense</v>
      </c>
      <c r="N301" s="173">
        <v>8</v>
      </c>
      <c r="O301" s="173">
        <f>MONTH(Table1[[#This Row],[Date]])</f>
        <v>12</v>
      </c>
      <c r="P301" s="173">
        <v>2020</v>
      </c>
      <c r="Q301" s="174">
        <f>IF(ISBLANK(Table1[[#This Row],[Date]]),"",Table1[[#This Row],[Date]]-WEEKDAY(Table1[[#This Row],[Date]],2)+1)</f>
        <v>44172</v>
      </c>
      <c r="R301" s="175">
        <f>IF(ISBLANK(Table1[[#This Row],[Date]]),"",DATE(Table1[[#This Row],[Date_Year]],Table1[[#This Row],[Date_Month]],1))</f>
        <v>44166</v>
      </c>
    </row>
    <row r="302" spans="2:18" ht="15.75" hidden="1" x14ac:dyDescent="0.25">
      <c r="B302" s="165">
        <v>44173</v>
      </c>
      <c r="C302" s="166" t="s">
        <v>504</v>
      </c>
      <c r="D302" s="166" t="s">
        <v>66</v>
      </c>
      <c r="E302" s="167"/>
      <c r="F302" s="114">
        <v>-17.09</v>
      </c>
      <c r="G302" s="168"/>
      <c r="H302" s="169"/>
      <c r="I302" s="170"/>
      <c r="J302" s="171" t="s">
        <v>508</v>
      </c>
      <c r="K302" s="172" t="s">
        <v>177</v>
      </c>
      <c r="L302" s="172" t="s">
        <v>175</v>
      </c>
      <c r="M302" s="173" t="str" cm="1">
        <f t="array" ref="M302">IFERROR(INDEX(CategoriesTable[Category type],MATCH(Table1[[#This Row],[Category]],CategoriesTable[Category name],0),0),"")</f>
        <v>Expense</v>
      </c>
      <c r="N302" s="173">
        <v>8</v>
      </c>
      <c r="O302" s="173">
        <f>MONTH(Table1[[#This Row],[Date]])</f>
        <v>12</v>
      </c>
      <c r="P302" s="173">
        <v>2020</v>
      </c>
      <c r="Q302" s="174">
        <f>IF(ISBLANK(Table1[[#This Row],[Date]]),"",Table1[[#This Row],[Date]]-WEEKDAY(Table1[[#This Row],[Date]],2)+1)</f>
        <v>44172</v>
      </c>
      <c r="R302" s="175">
        <f>IF(ISBLANK(Table1[[#This Row],[Date]]),"",DATE(Table1[[#This Row],[Date_Year]],Table1[[#This Row],[Date_Month]],1))</f>
        <v>44166</v>
      </c>
    </row>
    <row r="303" spans="2:18" ht="15.75" hidden="1" x14ac:dyDescent="0.25">
      <c r="B303" s="165">
        <v>44173</v>
      </c>
      <c r="C303" s="166" t="s">
        <v>121</v>
      </c>
      <c r="D303" s="166" t="s">
        <v>65</v>
      </c>
      <c r="E303" s="167"/>
      <c r="F303" s="114">
        <v>-1.06</v>
      </c>
      <c r="G303" s="168"/>
      <c r="H303" s="169"/>
      <c r="I303" s="170"/>
      <c r="J303" s="171" t="s">
        <v>509</v>
      </c>
      <c r="K303" s="172" t="s">
        <v>177</v>
      </c>
      <c r="L303" s="172" t="s">
        <v>175</v>
      </c>
      <c r="M303" s="173" t="str" cm="1">
        <f t="array" ref="M303">IFERROR(INDEX(CategoriesTable[Category type],MATCH(Table1[[#This Row],[Category]],CategoriesTable[Category name],0),0),"")</f>
        <v>Expense</v>
      </c>
      <c r="N303" s="173">
        <v>8</v>
      </c>
      <c r="O303" s="173">
        <f>MONTH(Table1[[#This Row],[Date]])</f>
        <v>12</v>
      </c>
      <c r="P303" s="173">
        <v>2020</v>
      </c>
      <c r="Q303" s="174">
        <f>IF(ISBLANK(Table1[[#This Row],[Date]]),"",Table1[[#This Row],[Date]]-WEEKDAY(Table1[[#This Row],[Date]],2)+1)</f>
        <v>44172</v>
      </c>
      <c r="R303" s="175">
        <f>IF(ISBLANK(Table1[[#This Row],[Date]]),"",DATE(Table1[[#This Row],[Date_Year]],Table1[[#This Row],[Date_Month]],1))</f>
        <v>44166</v>
      </c>
    </row>
    <row r="304" spans="2:18" ht="15.75" hidden="1" x14ac:dyDescent="0.25">
      <c r="B304" s="165">
        <v>44173</v>
      </c>
      <c r="C304" s="166" t="s">
        <v>121</v>
      </c>
      <c r="D304" s="166" t="s">
        <v>65</v>
      </c>
      <c r="E304" s="167"/>
      <c r="F304" s="114">
        <v>-9.3800000000000008</v>
      </c>
      <c r="G304" s="168"/>
      <c r="H304" s="169"/>
      <c r="I304" s="170"/>
      <c r="J304" s="171" t="s">
        <v>510</v>
      </c>
      <c r="K304" s="172" t="s">
        <v>177</v>
      </c>
      <c r="L304" s="172" t="s">
        <v>175</v>
      </c>
      <c r="M304" s="173" t="str" cm="1">
        <f t="array" ref="M304">IFERROR(INDEX(CategoriesTable[Category type],MATCH(Table1[[#This Row],[Category]],CategoriesTable[Category name],0),0),"")</f>
        <v>Expense</v>
      </c>
      <c r="N304" s="173">
        <v>8</v>
      </c>
      <c r="O304" s="173">
        <f>MONTH(Table1[[#This Row],[Date]])</f>
        <v>12</v>
      </c>
      <c r="P304" s="173">
        <v>2020</v>
      </c>
      <c r="Q304" s="174">
        <f>IF(ISBLANK(Table1[[#This Row],[Date]]),"",Table1[[#This Row],[Date]]-WEEKDAY(Table1[[#This Row],[Date]],2)+1)</f>
        <v>44172</v>
      </c>
      <c r="R304" s="175">
        <f>IF(ISBLANK(Table1[[#This Row],[Date]]),"",DATE(Table1[[#This Row],[Date_Year]],Table1[[#This Row],[Date_Month]],1))</f>
        <v>44166</v>
      </c>
    </row>
    <row r="305" spans="2:18" ht="15.75" hidden="1" x14ac:dyDescent="0.25">
      <c r="B305" s="165">
        <v>44173</v>
      </c>
      <c r="C305" s="166" t="s">
        <v>1564</v>
      </c>
      <c r="D305" s="166" t="s">
        <v>56</v>
      </c>
      <c r="E305" s="167"/>
      <c r="F305" s="114">
        <v>-9.99</v>
      </c>
      <c r="G305" s="168"/>
      <c r="H305" s="169"/>
      <c r="I305" s="170"/>
      <c r="J305" s="171" t="s">
        <v>511</v>
      </c>
      <c r="K305" s="172" t="s">
        <v>177</v>
      </c>
      <c r="L305" s="172" t="s">
        <v>175</v>
      </c>
      <c r="M305" s="173" t="str" cm="1">
        <f t="array" ref="M305">IFERROR(INDEX(CategoriesTable[Category type],MATCH(Table1[[#This Row],[Category]],CategoriesTable[Category name],0),0),"")</f>
        <v>Expense</v>
      </c>
      <c r="N305" s="173">
        <v>8</v>
      </c>
      <c r="O305" s="173">
        <f>MONTH(Table1[[#This Row],[Date]])</f>
        <v>12</v>
      </c>
      <c r="P305" s="173">
        <v>2020</v>
      </c>
      <c r="Q305" s="174">
        <f>IF(ISBLANK(Table1[[#This Row],[Date]]),"",Table1[[#This Row],[Date]]-WEEKDAY(Table1[[#This Row],[Date]],2)+1)</f>
        <v>44172</v>
      </c>
      <c r="R305" s="175">
        <f>IF(ISBLANK(Table1[[#This Row],[Date]]),"",DATE(Table1[[#This Row],[Date_Year]],Table1[[#This Row],[Date_Month]],1))</f>
        <v>44166</v>
      </c>
    </row>
    <row r="306" spans="2:18" ht="15.75" hidden="1" x14ac:dyDescent="0.25">
      <c r="B306" s="165">
        <v>44172</v>
      </c>
      <c r="C306" s="166" t="s">
        <v>180</v>
      </c>
      <c r="D306" s="166" t="s">
        <v>52</v>
      </c>
      <c r="E306" s="167"/>
      <c r="F306" s="114">
        <v>-160</v>
      </c>
      <c r="G306" s="168"/>
      <c r="H306" s="169"/>
      <c r="I306" s="170"/>
      <c r="J306" s="171" t="s">
        <v>512</v>
      </c>
      <c r="K306" s="172" t="s">
        <v>177</v>
      </c>
      <c r="L306" s="172" t="s">
        <v>175</v>
      </c>
      <c r="M306" s="173" t="str" cm="1">
        <f t="array" ref="M306">IFERROR(INDEX(CategoriesTable[Category type],MATCH(Table1[[#This Row],[Category]],CategoriesTable[Category name],0),0),"")</f>
        <v>Transfer</v>
      </c>
      <c r="N306" s="173">
        <v>7</v>
      </c>
      <c r="O306" s="173">
        <f>MONTH(Table1[[#This Row],[Date]])</f>
        <v>12</v>
      </c>
      <c r="P306" s="173">
        <v>2020</v>
      </c>
      <c r="Q306" s="174">
        <f>IF(ISBLANK(Table1[[#This Row],[Date]]),"",Table1[[#This Row],[Date]]-WEEKDAY(Table1[[#This Row],[Date]],2)+1)</f>
        <v>44172</v>
      </c>
      <c r="R306" s="175">
        <f>IF(ISBLANK(Table1[[#This Row],[Date]]),"",DATE(Table1[[#This Row],[Date_Year]],Table1[[#This Row],[Date_Month]],1))</f>
        <v>44166</v>
      </c>
    </row>
    <row r="307" spans="2:18" ht="15.75" hidden="1" x14ac:dyDescent="0.25">
      <c r="B307" s="165">
        <v>44172</v>
      </c>
      <c r="C307" s="166" t="s">
        <v>222</v>
      </c>
      <c r="D307" s="166" t="s">
        <v>64</v>
      </c>
      <c r="E307" s="167"/>
      <c r="F307" s="114">
        <v>-20</v>
      </c>
      <c r="G307" s="168"/>
      <c r="H307" s="169"/>
      <c r="I307" s="170"/>
      <c r="J307" s="171" t="s">
        <v>513</v>
      </c>
      <c r="K307" s="172" t="s">
        <v>177</v>
      </c>
      <c r="L307" s="172" t="s">
        <v>175</v>
      </c>
      <c r="M307" s="173" t="str" cm="1">
        <f t="array" ref="M307">IFERROR(INDEX(CategoriesTable[Category type],MATCH(Table1[[#This Row],[Category]],CategoriesTable[Category name],0),0),"")</f>
        <v>Expense</v>
      </c>
      <c r="N307" s="173">
        <v>7</v>
      </c>
      <c r="O307" s="173">
        <f>MONTH(Table1[[#This Row],[Date]])</f>
        <v>12</v>
      </c>
      <c r="P307" s="173">
        <v>2020</v>
      </c>
      <c r="Q307" s="174">
        <f>IF(ISBLANK(Table1[[#This Row],[Date]]),"",Table1[[#This Row],[Date]]-WEEKDAY(Table1[[#This Row],[Date]],2)+1)</f>
        <v>44172</v>
      </c>
      <c r="R307" s="175">
        <f>IF(ISBLANK(Table1[[#This Row],[Date]]),"",DATE(Table1[[#This Row],[Date_Year]],Table1[[#This Row],[Date_Month]],1))</f>
        <v>44166</v>
      </c>
    </row>
    <row r="308" spans="2:18" ht="15.75" hidden="1" x14ac:dyDescent="0.25">
      <c r="B308" s="165">
        <v>44172</v>
      </c>
      <c r="C308" s="166" t="s">
        <v>504</v>
      </c>
      <c r="D308" s="166" t="s">
        <v>66</v>
      </c>
      <c r="E308" s="167"/>
      <c r="F308" s="114">
        <v>-25.85</v>
      </c>
      <c r="G308" s="168"/>
      <c r="H308" s="169"/>
      <c r="I308" s="170"/>
      <c r="J308" s="171" t="s">
        <v>514</v>
      </c>
      <c r="K308" s="172" t="s">
        <v>177</v>
      </c>
      <c r="L308" s="172" t="s">
        <v>175</v>
      </c>
      <c r="M308" s="173" t="str" cm="1">
        <f t="array" ref="M308">IFERROR(INDEX(CategoriesTable[Category type],MATCH(Table1[[#This Row],[Category]],CategoriesTable[Category name],0),0),"")</f>
        <v>Expense</v>
      </c>
      <c r="N308" s="173">
        <v>7</v>
      </c>
      <c r="O308" s="173">
        <f>MONTH(Table1[[#This Row],[Date]])</f>
        <v>12</v>
      </c>
      <c r="P308" s="173">
        <v>2020</v>
      </c>
      <c r="Q308" s="174">
        <f>IF(ISBLANK(Table1[[#This Row],[Date]]),"",Table1[[#This Row],[Date]]-WEEKDAY(Table1[[#This Row],[Date]],2)+1)</f>
        <v>44172</v>
      </c>
      <c r="R308" s="175">
        <f>IF(ISBLANK(Table1[[#This Row],[Date]]),"",DATE(Table1[[#This Row],[Date_Year]],Table1[[#This Row],[Date_Month]],1))</f>
        <v>44166</v>
      </c>
    </row>
    <row r="309" spans="2:18" ht="15.75" hidden="1" x14ac:dyDescent="0.25">
      <c r="B309" s="165">
        <v>44172</v>
      </c>
      <c r="C309" s="166" t="s">
        <v>148</v>
      </c>
      <c r="D309" s="166" t="s">
        <v>65</v>
      </c>
      <c r="E309" s="167"/>
      <c r="F309" s="114">
        <v>-3.01</v>
      </c>
      <c r="G309" s="168"/>
      <c r="H309" s="169"/>
      <c r="I309" s="170"/>
      <c r="J309" s="171" t="s">
        <v>515</v>
      </c>
      <c r="K309" s="172" t="s">
        <v>177</v>
      </c>
      <c r="L309" s="172" t="s">
        <v>175</v>
      </c>
      <c r="M309" s="173" t="str" cm="1">
        <f t="array" ref="M309">IFERROR(INDEX(CategoriesTable[Category type],MATCH(Table1[[#This Row],[Category]],CategoriesTable[Category name],0),0),"")</f>
        <v>Expense</v>
      </c>
      <c r="N309" s="173">
        <v>7</v>
      </c>
      <c r="O309" s="173">
        <f>MONTH(Table1[[#This Row],[Date]])</f>
        <v>12</v>
      </c>
      <c r="P309" s="173">
        <v>2020</v>
      </c>
      <c r="Q309" s="174">
        <f>IF(ISBLANK(Table1[[#This Row],[Date]]),"",Table1[[#This Row],[Date]]-WEEKDAY(Table1[[#This Row],[Date]],2)+1)</f>
        <v>44172</v>
      </c>
      <c r="R309" s="175">
        <f>IF(ISBLANK(Table1[[#This Row],[Date]]),"",DATE(Table1[[#This Row],[Date_Year]],Table1[[#This Row],[Date_Month]],1))</f>
        <v>44166</v>
      </c>
    </row>
    <row r="310" spans="2:18" ht="15.75" hidden="1" x14ac:dyDescent="0.25">
      <c r="B310" s="165">
        <v>44172</v>
      </c>
      <c r="C310" s="166" t="s">
        <v>148</v>
      </c>
      <c r="D310" s="166" t="s">
        <v>65</v>
      </c>
      <c r="E310" s="167"/>
      <c r="F310" s="114">
        <v>-11.32</v>
      </c>
      <c r="G310" s="168"/>
      <c r="H310" s="169"/>
      <c r="I310" s="170"/>
      <c r="J310" s="171" t="s">
        <v>516</v>
      </c>
      <c r="K310" s="172" t="s">
        <v>177</v>
      </c>
      <c r="L310" s="172" t="s">
        <v>175</v>
      </c>
      <c r="M310" s="173" t="str" cm="1">
        <f t="array" ref="M310">IFERROR(INDEX(CategoriesTable[Category type],MATCH(Table1[[#This Row],[Category]],CategoriesTable[Category name],0),0),"")</f>
        <v>Expense</v>
      </c>
      <c r="N310" s="173">
        <v>7</v>
      </c>
      <c r="O310" s="173">
        <f>MONTH(Table1[[#This Row],[Date]])</f>
        <v>12</v>
      </c>
      <c r="P310" s="173">
        <v>2020</v>
      </c>
      <c r="Q310" s="174">
        <f>IF(ISBLANK(Table1[[#This Row],[Date]]),"",Table1[[#This Row],[Date]]-WEEKDAY(Table1[[#This Row],[Date]],2)+1)</f>
        <v>44172</v>
      </c>
      <c r="R310" s="175">
        <f>IF(ISBLANK(Table1[[#This Row],[Date]]),"",DATE(Table1[[#This Row],[Date_Year]],Table1[[#This Row],[Date_Month]],1))</f>
        <v>44166</v>
      </c>
    </row>
    <row r="311" spans="2:18" ht="15.75" hidden="1" x14ac:dyDescent="0.25">
      <c r="B311" s="165">
        <v>44172</v>
      </c>
      <c r="C311" s="166" t="s">
        <v>121</v>
      </c>
      <c r="D311" s="166" t="s">
        <v>65</v>
      </c>
      <c r="E311" s="167"/>
      <c r="F311" s="114">
        <v>-9.5</v>
      </c>
      <c r="G311" s="168"/>
      <c r="H311" s="169"/>
      <c r="I311" s="170"/>
      <c r="J311" s="171" t="s">
        <v>517</v>
      </c>
      <c r="K311" s="172" t="s">
        <v>177</v>
      </c>
      <c r="L311" s="172" t="s">
        <v>175</v>
      </c>
      <c r="M311" s="173" t="str" cm="1">
        <f t="array" ref="M311">IFERROR(INDEX(CategoriesTable[Category type],MATCH(Table1[[#This Row],[Category]],CategoriesTable[Category name],0),0),"")</f>
        <v>Expense</v>
      </c>
      <c r="N311" s="173">
        <v>7</v>
      </c>
      <c r="O311" s="173">
        <f>MONTH(Table1[[#This Row],[Date]])</f>
        <v>12</v>
      </c>
      <c r="P311" s="173">
        <v>2020</v>
      </c>
      <c r="Q311" s="174">
        <f>IF(ISBLANK(Table1[[#This Row],[Date]]),"",Table1[[#This Row],[Date]]-WEEKDAY(Table1[[#This Row],[Date]],2)+1)</f>
        <v>44172</v>
      </c>
      <c r="R311" s="175">
        <f>IF(ISBLANK(Table1[[#This Row],[Date]]),"",DATE(Table1[[#This Row],[Date_Year]],Table1[[#This Row],[Date_Month]],1))</f>
        <v>44166</v>
      </c>
    </row>
    <row r="312" spans="2:18" ht="15.75" hidden="1" x14ac:dyDescent="0.25">
      <c r="B312" s="165">
        <v>44172</v>
      </c>
      <c r="C312" s="166" t="s">
        <v>121</v>
      </c>
      <c r="D312" s="166" t="s">
        <v>65</v>
      </c>
      <c r="E312" s="167"/>
      <c r="F312" s="114">
        <v>-10.36</v>
      </c>
      <c r="G312" s="168"/>
      <c r="H312" s="169"/>
      <c r="I312" s="170"/>
      <c r="J312" s="171" t="s">
        <v>518</v>
      </c>
      <c r="K312" s="172" t="s">
        <v>177</v>
      </c>
      <c r="L312" s="172" t="s">
        <v>175</v>
      </c>
      <c r="M312" s="173" t="str" cm="1">
        <f t="array" ref="M312">IFERROR(INDEX(CategoriesTable[Category type],MATCH(Table1[[#This Row],[Category]],CategoriesTable[Category name],0),0),"")</f>
        <v>Expense</v>
      </c>
      <c r="N312" s="173">
        <v>7</v>
      </c>
      <c r="O312" s="173">
        <f>MONTH(Table1[[#This Row],[Date]])</f>
        <v>12</v>
      </c>
      <c r="P312" s="173">
        <v>2020</v>
      </c>
      <c r="Q312" s="174">
        <f>IF(ISBLANK(Table1[[#This Row],[Date]]),"",Table1[[#This Row],[Date]]-WEEKDAY(Table1[[#This Row],[Date]],2)+1)</f>
        <v>44172</v>
      </c>
      <c r="R312" s="175">
        <f>IF(ISBLANK(Table1[[#This Row],[Date]]),"",DATE(Table1[[#This Row],[Date_Year]],Table1[[#This Row],[Date_Month]],1))</f>
        <v>44166</v>
      </c>
    </row>
    <row r="313" spans="2:18" ht="15.75" hidden="1" x14ac:dyDescent="0.25">
      <c r="B313" s="165">
        <v>44172</v>
      </c>
      <c r="C313" s="166" t="s">
        <v>249</v>
      </c>
      <c r="D313" s="166" t="s">
        <v>52</v>
      </c>
      <c r="E313" s="167"/>
      <c r="F313" s="114">
        <v>-75</v>
      </c>
      <c r="G313" s="168"/>
      <c r="H313" s="169"/>
      <c r="I313" s="170"/>
      <c r="J313" s="171" t="s">
        <v>519</v>
      </c>
      <c r="K313" s="172" t="s">
        <v>177</v>
      </c>
      <c r="L313" s="172" t="s">
        <v>175</v>
      </c>
      <c r="M313" s="173" t="str" cm="1">
        <f t="array" ref="M313">IFERROR(INDEX(CategoriesTable[Category type],MATCH(Table1[[#This Row],[Category]],CategoriesTable[Category name],0),0),"")</f>
        <v>Transfer</v>
      </c>
      <c r="N313" s="173">
        <v>7</v>
      </c>
      <c r="O313" s="173">
        <f>MONTH(Table1[[#This Row],[Date]])</f>
        <v>12</v>
      </c>
      <c r="P313" s="173">
        <v>2020</v>
      </c>
      <c r="Q313" s="174">
        <f>IF(ISBLANK(Table1[[#This Row],[Date]]),"",Table1[[#This Row],[Date]]-WEEKDAY(Table1[[#This Row],[Date]],2)+1)</f>
        <v>44172</v>
      </c>
      <c r="R313" s="175">
        <f>IF(ISBLANK(Table1[[#This Row],[Date]]),"",DATE(Table1[[#This Row],[Date_Year]],Table1[[#This Row],[Date_Month]],1))</f>
        <v>44166</v>
      </c>
    </row>
    <row r="314" spans="2:18" ht="15.75" hidden="1" x14ac:dyDescent="0.25">
      <c r="B314" s="165">
        <v>44171</v>
      </c>
      <c r="C314" s="166" t="s">
        <v>199</v>
      </c>
      <c r="D314" s="166" t="s">
        <v>65</v>
      </c>
      <c r="E314" s="167"/>
      <c r="F314" s="114">
        <v>-41.35</v>
      </c>
      <c r="G314" s="168"/>
      <c r="H314" s="169"/>
      <c r="I314" s="170"/>
      <c r="J314" s="171" t="s">
        <v>520</v>
      </c>
      <c r="K314" s="172" t="s">
        <v>177</v>
      </c>
      <c r="L314" s="172" t="s">
        <v>175</v>
      </c>
      <c r="M314" s="173" t="str" cm="1">
        <f t="array" ref="M314">IFERROR(INDEX(CategoriesTable[Category type],MATCH(Table1[[#This Row],[Category]],CategoriesTable[Category name],0),0),"")</f>
        <v>Expense</v>
      </c>
      <c r="N314" s="173">
        <v>6</v>
      </c>
      <c r="O314" s="173">
        <f>MONTH(Table1[[#This Row],[Date]])</f>
        <v>12</v>
      </c>
      <c r="P314" s="173">
        <v>2020</v>
      </c>
      <c r="Q314" s="174">
        <f>IF(ISBLANK(Table1[[#This Row],[Date]]),"",Table1[[#This Row],[Date]]-WEEKDAY(Table1[[#This Row],[Date]],2)+1)</f>
        <v>44165</v>
      </c>
      <c r="R314" s="175">
        <f>IF(ISBLANK(Table1[[#This Row],[Date]]),"",DATE(Table1[[#This Row],[Date_Year]],Table1[[#This Row],[Date_Month]],1))</f>
        <v>44166</v>
      </c>
    </row>
    <row r="315" spans="2:18" ht="15.75" hidden="1" x14ac:dyDescent="0.25">
      <c r="B315" s="165">
        <v>44171</v>
      </c>
      <c r="C315" s="166" t="s">
        <v>504</v>
      </c>
      <c r="D315" s="166" t="s">
        <v>66</v>
      </c>
      <c r="E315" s="167"/>
      <c r="F315" s="114">
        <v>-25.1</v>
      </c>
      <c r="G315" s="168"/>
      <c r="H315" s="169"/>
      <c r="I315" s="170"/>
      <c r="J315" s="171" t="s">
        <v>521</v>
      </c>
      <c r="K315" s="172" t="s">
        <v>177</v>
      </c>
      <c r="L315" s="172" t="s">
        <v>175</v>
      </c>
      <c r="M315" s="173" t="str" cm="1">
        <f t="array" ref="M315">IFERROR(INDEX(CategoriesTable[Category type],MATCH(Table1[[#This Row],[Category]],CategoriesTable[Category name],0),0),"")</f>
        <v>Expense</v>
      </c>
      <c r="N315" s="173">
        <v>6</v>
      </c>
      <c r="O315" s="173">
        <f>MONTH(Table1[[#This Row],[Date]])</f>
        <v>12</v>
      </c>
      <c r="P315" s="173">
        <v>2020</v>
      </c>
      <c r="Q315" s="174">
        <f>IF(ISBLANK(Table1[[#This Row],[Date]]),"",Table1[[#This Row],[Date]]-WEEKDAY(Table1[[#This Row],[Date]],2)+1)</f>
        <v>44165</v>
      </c>
      <c r="R315" s="175">
        <f>IF(ISBLANK(Table1[[#This Row],[Date]]),"",DATE(Table1[[#This Row],[Date_Year]],Table1[[#This Row],[Date_Month]],1))</f>
        <v>44166</v>
      </c>
    </row>
    <row r="316" spans="2:18" ht="15.75" hidden="1" x14ac:dyDescent="0.25">
      <c r="B316" s="165">
        <v>44171</v>
      </c>
      <c r="C316" s="166" t="s">
        <v>1561</v>
      </c>
      <c r="D316" s="166" t="s">
        <v>55</v>
      </c>
      <c r="E316" s="167"/>
      <c r="F316" s="114">
        <v>-123.02</v>
      </c>
      <c r="G316" s="168"/>
      <c r="H316" s="169"/>
      <c r="I316" s="170"/>
      <c r="J316" s="171" t="s">
        <v>522</v>
      </c>
      <c r="K316" s="172" t="s">
        <v>177</v>
      </c>
      <c r="L316" s="172" t="s">
        <v>175</v>
      </c>
      <c r="M316" s="173" t="str" cm="1">
        <f t="array" ref="M316">IFERROR(INDEX(CategoriesTable[Category type],MATCH(Table1[[#This Row],[Category]],CategoriesTable[Category name],0),0),"")</f>
        <v>Expense</v>
      </c>
      <c r="N316" s="173">
        <v>6</v>
      </c>
      <c r="O316" s="173">
        <f>MONTH(Table1[[#This Row],[Date]])</f>
        <v>12</v>
      </c>
      <c r="P316" s="173">
        <v>2020</v>
      </c>
      <c r="Q316" s="174">
        <f>IF(ISBLANK(Table1[[#This Row],[Date]]),"",Table1[[#This Row],[Date]]-WEEKDAY(Table1[[#This Row],[Date]],2)+1)</f>
        <v>44165</v>
      </c>
      <c r="R316" s="175">
        <f>IF(ISBLANK(Table1[[#This Row],[Date]]),"",DATE(Table1[[#This Row],[Date_Year]],Table1[[#This Row],[Date_Month]],1))</f>
        <v>44166</v>
      </c>
    </row>
    <row r="317" spans="2:18" ht="15.75" hidden="1" x14ac:dyDescent="0.25">
      <c r="B317" s="165">
        <v>44170</v>
      </c>
      <c r="C317" s="166" t="s">
        <v>222</v>
      </c>
      <c r="D317" s="166" t="s">
        <v>64</v>
      </c>
      <c r="E317" s="167"/>
      <c r="F317" s="114">
        <v>-7.63</v>
      </c>
      <c r="G317" s="168"/>
      <c r="H317" s="169"/>
      <c r="I317" s="170"/>
      <c r="J317" s="171" t="s">
        <v>523</v>
      </c>
      <c r="K317" s="172" t="s">
        <v>177</v>
      </c>
      <c r="L317" s="172" t="s">
        <v>175</v>
      </c>
      <c r="M317" s="173" t="str" cm="1">
        <f t="array" ref="M317">IFERROR(INDEX(CategoriesTable[Category type],MATCH(Table1[[#This Row],[Category]],CategoriesTable[Category name],0),0),"")</f>
        <v>Expense</v>
      </c>
      <c r="N317" s="173">
        <v>5</v>
      </c>
      <c r="O317" s="173">
        <f>MONTH(Table1[[#This Row],[Date]])</f>
        <v>12</v>
      </c>
      <c r="P317" s="173">
        <v>2020</v>
      </c>
      <c r="Q317" s="174">
        <f>IF(ISBLANK(Table1[[#This Row],[Date]]),"",Table1[[#This Row],[Date]]-WEEKDAY(Table1[[#This Row],[Date]],2)+1)</f>
        <v>44165</v>
      </c>
      <c r="R317" s="175">
        <f>IF(ISBLANK(Table1[[#This Row],[Date]]),"",DATE(Table1[[#This Row],[Date_Year]],Table1[[#This Row],[Date_Month]],1))</f>
        <v>44166</v>
      </c>
    </row>
    <row r="318" spans="2:18" ht="15.75" hidden="1" x14ac:dyDescent="0.25">
      <c r="B318" s="165">
        <v>44170</v>
      </c>
      <c r="C318" s="166" t="s">
        <v>222</v>
      </c>
      <c r="D318" s="166" t="s">
        <v>64</v>
      </c>
      <c r="E318" s="167"/>
      <c r="F318" s="114">
        <v>-20</v>
      </c>
      <c r="G318" s="168"/>
      <c r="H318" s="169"/>
      <c r="I318" s="170"/>
      <c r="J318" s="171" t="s">
        <v>524</v>
      </c>
      <c r="K318" s="172" t="s">
        <v>177</v>
      </c>
      <c r="L318" s="172" t="s">
        <v>175</v>
      </c>
      <c r="M318" s="173" t="str" cm="1">
        <f t="array" ref="M318">IFERROR(INDEX(CategoriesTable[Category type],MATCH(Table1[[#This Row],[Category]],CategoriesTable[Category name],0),0),"")</f>
        <v>Expense</v>
      </c>
      <c r="N318" s="173">
        <v>5</v>
      </c>
      <c r="O318" s="173">
        <f>MONTH(Table1[[#This Row],[Date]])</f>
        <v>12</v>
      </c>
      <c r="P318" s="173">
        <v>2020</v>
      </c>
      <c r="Q318" s="174">
        <f>IF(ISBLANK(Table1[[#This Row],[Date]]),"",Table1[[#This Row],[Date]]-WEEKDAY(Table1[[#This Row],[Date]],2)+1)</f>
        <v>44165</v>
      </c>
      <c r="R318" s="175">
        <f>IF(ISBLANK(Table1[[#This Row],[Date]]),"",DATE(Table1[[#This Row],[Date_Year]],Table1[[#This Row],[Date_Month]],1))</f>
        <v>44166</v>
      </c>
    </row>
    <row r="319" spans="2:18" ht="15.75" hidden="1" x14ac:dyDescent="0.25">
      <c r="B319" s="165">
        <v>44170</v>
      </c>
      <c r="C319" s="166" t="s">
        <v>222</v>
      </c>
      <c r="D319" s="166" t="s">
        <v>64</v>
      </c>
      <c r="E319" s="167"/>
      <c r="F319" s="114">
        <v>-25</v>
      </c>
      <c r="G319" s="168"/>
      <c r="H319" s="169"/>
      <c r="I319" s="170"/>
      <c r="J319" s="171" t="s">
        <v>525</v>
      </c>
      <c r="K319" s="172" t="s">
        <v>177</v>
      </c>
      <c r="L319" s="172" t="s">
        <v>175</v>
      </c>
      <c r="M319" s="173" t="str" cm="1">
        <f t="array" ref="M319">IFERROR(INDEX(CategoriesTable[Category type],MATCH(Table1[[#This Row],[Category]],CategoriesTable[Category name],0),0),"")</f>
        <v>Expense</v>
      </c>
      <c r="N319" s="173">
        <v>5</v>
      </c>
      <c r="O319" s="173">
        <f>MONTH(Table1[[#This Row],[Date]])</f>
        <v>12</v>
      </c>
      <c r="P319" s="173">
        <v>2020</v>
      </c>
      <c r="Q319" s="174">
        <f>IF(ISBLANK(Table1[[#This Row],[Date]]),"",Table1[[#This Row],[Date]]-WEEKDAY(Table1[[#This Row],[Date]],2)+1)</f>
        <v>44165</v>
      </c>
      <c r="R319" s="175">
        <f>IF(ISBLANK(Table1[[#This Row],[Date]]),"",DATE(Table1[[#This Row],[Date_Year]],Table1[[#This Row],[Date_Month]],1))</f>
        <v>44166</v>
      </c>
    </row>
    <row r="320" spans="2:18" ht="15.75" hidden="1" x14ac:dyDescent="0.25">
      <c r="B320" s="165">
        <v>44170</v>
      </c>
      <c r="C320" s="166" t="s">
        <v>199</v>
      </c>
      <c r="D320" s="166" t="s">
        <v>65</v>
      </c>
      <c r="E320" s="167"/>
      <c r="F320" s="114">
        <v>-33.22</v>
      </c>
      <c r="G320" s="168"/>
      <c r="H320" s="169"/>
      <c r="I320" s="170"/>
      <c r="J320" s="171" t="s">
        <v>526</v>
      </c>
      <c r="K320" s="172" t="s">
        <v>177</v>
      </c>
      <c r="L320" s="172" t="s">
        <v>175</v>
      </c>
      <c r="M320" s="173" t="str" cm="1">
        <f t="array" ref="M320">IFERROR(INDEX(CategoriesTable[Category type],MATCH(Table1[[#This Row],[Category]],CategoriesTable[Category name],0),0),"")</f>
        <v>Expense</v>
      </c>
      <c r="N320" s="173">
        <v>5</v>
      </c>
      <c r="O320" s="173">
        <f>MONTH(Table1[[#This Row],[Date]])</f>
        <v>12</v>
      </c>
      <c r="P320" s="173">
        <v>2020</v>
      </c>
      <c r="Q320" s="174">
        <f>IF(ISBLANK(Table1[[#This Row],[Date]]),"",Table1[[#This Row],[Date]]-WEEKDAY(Table1[[#This Row],[Date]],2)+1)</f>
        <v>44165</v>
      </c>
      <c r="R320" s="175">
        <f>IF(ISBLANK(Table1[[#This Row],[Date]]),"",DATE(Table1[[#This Row],[Date_Year]],Table1[[#This Row],[Date_Month]],1))</f>
        <v>44166</v>
      </c>
    </row>
    <row r="321" spans="2:18" ht="15.75" hidden="1" x14ac:dyDescent="0.25">
      <c r="B321" s="165">
        <v>44170</v>
      </c>
      <c r="C321" s="166" t="s">
        <v>497</v>
      </c>
      <c r="D321" s="166" t="s">
        <v>65</v>
      </c>
      <c r="E321" s="167"/>
      <c r="F321" s="114">
        <v>-16.09</v>
      </c>
      <c r="G321" s="168"/>
      <c r="H321" s="169"/>
      <c r="I321" s="170"/>
      <c r="J321" s="171" t="s">
        <v>527</v>
      </c>
      <c r="K321" s="172" t="s">
        <v>177</v>
      </c>
      <c r="L321" s="172" t="s">
        <v>175</v>
      </c>
      <c r="M321" s="173" t="str" cm="1">
        <f t="array" ref="M321">IFERROR(INDEX(CategoriesTable[Category type],MATCH(Table1[[#This Row],[Category]],CategoriesTable[Category name],0),0),"")</f>
        <v>Expense</v>
      </c>
      <c r="N321" s="173">
        <v>5</v>
      </c>
      <c r="O321" s="173">
        <f>MONTH(Table1[[#This Row],[Date]])</f>
        <v>12</v>
      </c>
      <c r="P321" s="173">
        <v>2020</v>
      </c>
      <c r="Q321" s="174">
        <f>IF(ISBLANK(Table1[[#This Row],[Date]]),"",Table1[[#This Row],[Date]]-WEEKDAY(Table1[[#This Row],[Date]],2)+1)</f>
        <v>44165</v>
      </c>
      <c r="R321" s="175">
        <f>IF(ISBLANK(Table1[[#This Row],[Date]]),"",DATE(Table1[[#This Row],[Date_Year]],Table1[[#This Row],[Date_Month]],1))</f>
        <v>44166</v>
      </c>
    </row>
    <row r="322" spans="2:18" ht="15.75" hidden="1" x14ac:dyDescent="0.25">
      <c r="B322" s="165">
        <v>44170</v>
      </c>
      <c r="C322" s="166" t="s">
        <v>128</v>
      </c>
      <c r="D322" s="166" t="s">
        <v>53</v>
      </c>
      <c r="E322" s="167"/>
      <c r="F322" s="114">
        <v>-29.2</v>
      </c>
      <c r="G322" s="168"/>
      <c r="H322" s="169"/>
      <c r="I322" s="170"/>
      <c r="J322" s="171" t="s">
        <v>528</v>
      </c>
      <c r="K322" s="172" t="s">
        <v>177</v>
      </c>
      <c r="L322" s="172" t="s">
        <v>175</v>
      </c>
      <c r="M322" s="173" t="str" cm="1">
        <f t="array" ref="M322">IFERROR(INDEX(CategoriesTable[Category type],MATCH(Table1[[#This Row],[Category]],CategoriesTable[Category name],0),0),"")</f>
        <v>Expense</v>
      </c>
      <c r="N322" s="173">
        <v>5</v>
      </c>
      <c r="O322" s="173">
        <f>MONTH(Table1[[#This Row],[Date]])</f>
        <v>12</v>
      </c>
      <c r="P322" s="173">
        <v>2020</v>
      </c>
      <c r="Q322" s="174">
        <f>IF(ISBLANK(Table1[[#This Row],[Date]]),"",Table1[[#This Row],[Date]]-WEEKDAY(Table1[[#This Row],[Date]],2)+1)</f>
        <v>44165</v>
      </c>
      <c r="R322" s="175">
        <f>IF(ISBLANK(Table1[[#This Row],[Date]]),"",DATE(Table1[[#This Row],[Date_Year]],Table1[[#This Row],[Date_Month]],1))</f>
        <v>44166</v>
      </c>
    </row>
    <row r="323" spans="2:18" ht="15.75" hidden="1" x14ac:dyDescent="0.25">
      <c r="B323" s="165">
        <v>44170</v>
      </c>
      <c r="C323" s="166" t="s">
        <v>121</v>
      </c>
      <c r="D323" s="166" t="s">
        <v>65</v>
      </c>
      <c r="E323" s="167"/>
      <c r="F323" s="114">
        <v>-17.559999999999999</v>
      </c>
      <c r="G323" s="168"/>
      <c r="H323" s="169"/>
      <c r="I323" s="170"/>
      <c r="J323" s="171" t="s">
        <v>529</v>
      </c>
      <c r="K323" s="172" t="s">
        <v>177</v>
      </c>
      <c r="L323" s="172" t="s">
        <v>175</v>
      </c>
      <c r="M323" s="173" t="str" cm="1">
        <f t="array" ref="M323">IFERROR(INDEX(CategoriesTable[Category type],MATCH(Table1[[#This Row],[Category]],CategoriesTable[Category name],0),0),"")</f>
        <v>Expense</v>
      </c>
      <c r="N323" s="173">
        <v>5</v>
      </c>
      <c r="O323" s="173">
        <f>MONTH(Table1[[#This Row],[Date]])</f>
        <v>12</v>
      </c>
      <c r="P323" s="173">
        <v>2020</v>
      </c>
      <c r="Q323" s="174">
        <f>IF(ISBLANK(Table1[[#This Row],[Date]]),"",Table1[[#This Row],[Date]]-WEEKDAY(Table1[[#This Row],[Date]],2)+1)</f>
        <v>44165</v>
      </c>
      <c r="R323" s="175">
        <f>IF(ISBLANK(Table1[[#This Row],[Date]]),"",DATE(Table1[[#This Row],[Date_Year]],Table1[[#This Row],[Date_Month]],1))</f>
        <v>44166</v>
      </c>
    </row>
    <row r="324" spans="2:18" ht="15.75" hidden="1" x14ac:dyDescent="0.25">
      <c r="B324" s="165">
        <v>44170</v>
      </c>
      <c r="C324" s="166" t="s">
        <v>123</v>
      </c>
      <c r="D324" s="166" t="s">
        <v>55</v>
      </c>
      <c r="E324" s="167"/>
      <c r="F324" s="114">
        <v>-15.99</v>
      </c>
      <c r="G324" s="168"/>
      <c r="H324" s="169"/>
      <c r="I324" s="170"/>
      <c r="J324" s="171" t="s">
        <v>530</v>
      </c>
      <c r="K324" s="172" t="s">
        <v>177</v>
      </c>
      <c r="L324" s="172" t="s">
        <v>175</v>
      </c>
      <c r="M324" s="173" t="str" cm="1">
        <f t="array" ref="M324">IFERROR(INDEX(CategoriesTable[Category type],MATCH(Table1[[#This Row],[Category]],CategoriesTable[Category name],0),0),"")</f>
        <v>Expense</v>
      </c>
      <c r="N324" s="173">
        <v>5</v>
      </c>
      <c r="O324" s="173">
        <f>MONTH(Table1[[#This Row],[Date]])</f>
        <v>12</v>
      </c>
      <c r="P324" s="173">
        <v>2020</v>
      </c>
      <c r="Q324" s="174">
        <f>IF(ISBLANK(Table1[[#This Row],[Date]]),"",Table1[[#This Row],[Date]]-WEEKDAY(Table1[[#This Row],[Date]],2)+1)</f>
        <v>44165</v>
      </c>
      <c r="R324" s="175">
        <f>IF(ISBLANK(Table1[[#This Row],[Date]]),"",DATE(Table1[[#This Row],[Date_Year]],Table1[[#This Row],[Date_Month]],1))</f>
        <v>44166</v>
      </c>
    </row>
    <row r="325" spans="2:18" ht="15.75" hidden="1" x14ac:dyDescent="0.25">
      <c r="B325" s="165">
        <v>44170</v>
      </c>
      <c r="C325" s="166" t="s">
        <v>184</v>
      </c>
      <c r="D325" s="166" t="s">
        <v>56</v>
      </c>
      <c r="E325" s="167"/>
      <c r="F325" s="114">
        <v>-34.99</v>
      </c>
      <c r="G325" s="168"/>
      <c r="H325" s="169"/>
      <c r="I325" s="170"/>
      <c r="J325" s="171" t="s">
        <v>531</v>
      </c>
      <c r="K325" s="172" t="s">
        <v>177</v>
      </c>
      <c r="L325" s="172" t="s">
        <v>175</v>
      </c>
      <c r="M325" s="173" t="str" cm="1">
        <f t="array" ref="M325">IFERROR(INDEX(CategoriesTable[Category type],MATCH(Table1[[#This Row],[Category]],CategoriesTable[Category name],0),0),"")</f>
        <v>Expense</v>
      </c>
      <c r="N325" s="173">
        <v>5</v>
      </c>
      <c r="O325" s="173">
        <f>MONTH(Table1[[#This Row],[Date]])</f>
        <v>12</v>
      </c>
      <c r="P325" s="173">
        <v>2020</v>
      </c>
      <c r="Q325" s="174">
        <f>IF(ISBLANK(Table1[[#This Row],[Date]]),"",Table1[[#This Row],[Date]]-WEEKDAY(Table1[[#This Row],[Date]],2)+1)</f>
        <v>44165</v>
      </c>
      <c r="R325" s="175">
        <f>IF(ISBLANK(Table1[[#This Row],[Date]]),"",DATE(Table1[[#This Row],[Date_Year]],Table1[[#This Row],[Date_Month]],1))</f>
        <v>44166</v>
      </c>
    </row>
    <row r="326" spans="2:18" ht="15.75" hidden="1" x14ac:dyDescent="0.25">
      <c r="B326" s="165">
        <v>44169</v>
      </c>
      <c r="C326" s="166" t="s">
        <v>222</v>
      </c>
      <c r="D326" s="166" t="s">
        <v>64</v>
      </c>
      <c r="E326" s="167"/>
      <c r="F326" s="114">
        <v>-32</v>
      </c>
      <c r="G326" s="168"/>
      <c r="H326" s="169"/>
      <c r="I326" s="170"/>
      <c r="J326" s="171" t="s">
        <v>532</v>
      </c>
      <c r="K326" s="172" t="s">
        <v>177</v>
      </c>
      <c r="L326" s="172" t="s">
        <v>175</v>
      </c>
      <c r="M326" s="173" t="str" cm="1">
        <f t="array" ref="M326">IFERROR(INDEX(CategoriesTable[Category type],MATCH(Table1[[#This Row],[Category]],CategoriesTable[Category name],0),0),"")</f>
        <v>Expense</v>
      </c>
      <c r="N326" s="173">
        <v>4</v>
      </c>
      <c r="O326" s="173">
        <f>MONTH(Table1[[#This Row],[Date]])</f>
        <v>12</v>
      </c>
      <c r="P326" s="173">
        <v>2020</v>
      </c>
      <c r="Q326" s="174">
        <f>IF(ISBLANK(Table1[[#This Row],[Date]]),"",Table1[[#This Row],[Date]]-WEEKDAY(Table1[[#This Row],[Date]],2)+1)</f>
        <v>44165</v>
      </c>
      <c r="R326" s="175">
        <f>IF(ISBLANK(Table1[[#This Row],[Date]]),"",DATE(Table1[[#This Row],[Date_Year]],Table1[[#This Row],[Date_Month]],1))</f>
        <v>44166</v>
      </c>
    </row>
    <row r="327" spans="2:18" ht="15.75" hidden="1" x14ac:dyDescent="0.25">
      <c r="B327" s="165">
        <v>44169</v>
      </c>
      <c r="C327" s="166" t="s">
        <v>148</v>
      </c>
      <c r="D327" s="166" t="s">
        <v>65</v>
      </c>
      <c r="E327" s="167"/>
      <c r="F327" s="114">
        <v>-12.17</v>
      </c>
      <c r="G327" s="168"/>
      <c r="H327" s="169"/>
      <c r="I327" s="170"/>
      <c r="J327" s="171" t="s">
        <v>533</v>
      </c>
      <c r="K327" s="172" t="s">
        <v>177</v>
      </c>
      <c r="L327" s="172" t="s">
        <v>175</v>
      </c>
      <c r="M327" s="173" t="str" cm="1">
        <f t="array" ref="M327">IFERROR(INDEX(CategoriesTable[Category type],MATCH(Table1[[#This Row],[Category]],CategoriesTable[Category name],0),0),"")</f>
        <v>Expense</v>
      </c>
      <c r="N327" s="173">
        <v>4</v>
      </c>
      <c r="O327" s="173">
        <f>MONTH(Table1[[#This Row],[Date]])</f>
        <v>12</v>
      </c>
      <c r="P327" s="173">
        <v>2020</v>
      </c>
      <c r="Q327" s="174">
        <f>IF(ISBLANK(Table1[[#This Row],[Date]]),"",Table1[[#This Row],[Date]]-WEEKDAY(Table1[[#This Row],[Date]],2)+1)</f>
        <v>44165</v>
      </c>
      <c r="R327" s="175">
        <f>IF(ISBLANK(Table1[[#This Row],[Date]]),"",DATE(Table1[[#This Row],[Date_Year]],Table1[[#This Row],[Date_Month]],1))</f>
        <v>44166</v>
      </c>
    </row>
    <row r="328" spans="2:18" ht="15.75" hidden="1" x14ac:dyDescent="0.25">
      <c r="B328" s="165">
        <v>44169</v>
      </c>
      <c r="C328" s="166" t="s">
        <v>121</v>
      </c>
      <c r="D328" s="166" t="s">
        <v>65</v>
      </c>
      <c r="E328" s="167"/>
      <c r="F328" s="114">
        <v>-5.08</v>
      </c>
      <c r="G328" s="168"/>
      <c r="H328" s="169"/>
      <c r="I328" s="170"/>
      <c r="J328" s="171" t="s">
        <v>534</v>
      </c>
      <c r="K328" s="172" t="s">
        <v>177</v>
      </c>
      <c r="L328" s="172" t="s">
        <v>175</v>
      </c>
      <c r="M328" s="173" t="str" cm="1">
        <f t="array" ref="M328">IFERROR(INDEX(CategoriesTable[Category type],MATCH(Table1[[#This Row],[Category]],CategoriesTable[Category name],0),0),"")</f>
        <v>Expense</v>
      </c>
      <c r="N328" s="173">
        <v>4</v>
      </c>
      <c r="O328" s="173">
        <f>MONTH(Table1[[#This Row],[Date]])</f>
        <v>12</v>
      </c>
      <c r="P328" s="173">
        <v>2020</v>
      </c>
      <c r="Q328" s="174">
        <f>IF(ISBLANK(Table1[[#This Row],[Date]]),"",Table1[[#This Row],[Date]]-WEEKDAY(Table1[[#This Row],[Date]],2)+1)</f>
        <v>44165</v>
      </c>
      <c r="R328" s="175">
        <f>IF(ISBLANK(Table1[[#This Row],[Date]]),"",DATE(Table1[[#This Row],[Date_Year]],Table1[[#This Row],[Date_Month]],1))</f>
        <v>44166</v>
      </c>
    </row>
    <row r="329" spans="2:18" ht="15.75" hidden="1" x14ac:dyDescent="0.25">
      <c r="B329" s="165">
        <v>44168</v>
      </c>
      <c r="C329" s="166" t="s">
        <v>193</v>
      </c>
      <c r="D329" s="166" t="s">
        <v>66</v>
      </c>
      <c r="E329" s="167"/>
      <c r="F329" s="114">
        <v>-68.760000000000005</v>
      </c>
      <c r="G329" s="168"/>
      <c r="H329" s="169"/>
      <c r="I329" s="170"/>
      <c r="J329" s="171" t="s">
        <v>535</v>
      </c>
      <c r="K329" s="172" t="s">
        <v>177</v>
      </c>
      <c r="L329" s="172" t="s">
        <v>175</v>
      </c>
      <c r="M329" s="173" t="str" cm="1">
        <f t="array" ref="M329">IFERROR(INDEX(CategoriesTable[Category type],MATCH(Table1[[#This Row],[Category]],CategoriesTable[Category name],0),0),"")</f>
        <v>Expense</v>
      </c>
      <c r="N329" s="173">
        <v>3</v>
      </c>
      <c r="O329" s="173">
        <f>MONTH(Table1[[#This Row],[Date]])</f>
        <v>12</v>
      </c>
      <c r="P329" s="173">
        <v>2020</v>
      </c>
      <c r="Q329" s="174">
        <f>IF(ISBLANK(Table1[[#This Row],[Date]]),"",Table1[[#This Row],[Date]]-WEEKDAY(Table1[[#This Row],[Date]],2)+1)</f>
        <v>44165</v>
      </c>
      <c r="R329" s="175">
        <f>IF(ISBLANK(Table1[[#This Row],[Date]]),"",DATE(Table1[[#This Row],[Date_Year]],Table1[[#This Row],[Date_Month]],1))</f>
        <v>44166</v>
      </c>
    </row>
    <row r="330" spans="2:18" ht="15.75" hidden="1" x14ac:dyDescent="0.25">
      <c r="B330" s="165">
        <v>44167</v>
      </c>
      <c r="C330" s="166" t="s">
        <v>1564</v>
      </c>
      <c r="D330" s="166" t="s">
        <v>56</v>
      </c>
      <c r="E330" s="167"/>
      <c r="F330" s="114">
        <v>-9.99</v>
      </c>
      <c r="G330" s="168"/>
      <c r="H330" s="169"/>
      <c r="I330" s="170"/>
      <c r="J330" s="171" t="s">
        <v>536</v>
      </c>
      <c r="K330" s="172" t="s">
        <v>177</v>
      </c>
      <c r="L330" s="172" t="s">
        <v>175</v>
      </c>
      <c r="M330" s="173" t="str" cm="1">
        <f t="array" ref="M330">IFERROR(INDEX(CategoriesTable[Category type],MATCH(Table1[[#This Row],[Category]],CategoriesTable[Category name],0),0),"")</f>
        <v>Expense</v>
      </c>
      <c r="N330" s="173">
        <v>2</v>
      </c>
      <c r="O330" s="173">
        <f>MONTH(Table1[[#This Row],[Date]])</f>
        <v>12</v>
      </c>
      <c r="P330" s="173">
        <v>2020</v>
      </c>
      <c r="Q330" s="174">
        <f>IF(ISBLANK(Table1[[#This Row],[Date]]),"",Table1[[#This Row],[Date]]-WEEKDAY(Table1[[#This Row],[Date]],2)+1)</f>
        <v>44165</v>
      </c>
      <c r="R330" s="175">
        <f>IF(ISBLANK(Table1[[#This Row],[Date]]),"",DATE(Table1[[#This Row],[Date_Year]],Table1[[#This Row],[Date_Month]],1))</f>
        <v>44166</v>
      </c>
    </row>
    <row r="331" spans="2:18" ht="15.75" hidden="1" x14ac:dyDescent="0.25">
      <c r="B331" s="165">
        <v>44167</v>
      </c>
      <c r="C331" s="166" t="s">
        <v>1571</v>
      </c>
      <c r="D331" s="166" t="s">
        <v>66</v>
      </c>
      <c r="E331" s="167"/>
      <c r="F331" s="114">
        <v>-5.3</v>
      </c>
      <c r="G331" s="168"/>
      <c r="H331" s="169"/>
      <c r="I331" s="170"/>
      <c r="J331" s="171" t="s">
        <v>537</v>
      </c>
      <c r="K331" s="172" t="s">
        <v>177</v>
      </c>
      <c r="L331" s="172" t="s">
        <v>175</v>
      </c>
      <c r="M331" s="173" t="str" cm="1">
        <f t="array" ref="M331">IFERROR(INDEX(CategoriesTable[Category type],MATCH(Table1[[#This Row],[Category]],CategoriesTable[Category name],0),0),"")</f>
        <v>Expense</v>
      </c>
      <c r="N331" s="173">
        <v>2</v>
      </c>
      <c r="O331" s="173">
        <f>MONTH(Table1[[#This Row],[Date]])</f>
        <v>12</v>
      </c>
      <c r="P331" s="173">
        <v>2020</v>
      </c>
      <c r="Q331" s="174">
        <f>IF(ISBLANK(Table1[[#This Row],[Date]]),"",Table1[[#This Row],[Date]]-WEEKDAY(Table1[[#This Row],[Date]],2)+1)</f>
        <v>44165</v>
      </c>
      <c r="R331" s="175">
        <f>IF(ISBLANK(Table1[[#This Row],[Date]]),"",DATE(Table1[[#This Row],[Date_Year]],Table1[[#This Row],[Date_Month]],1))</f>
        <v>44166</v>
      </c>
    </row>
    <row r="332" spans="2:18" ht="15.75" hidden="1" x14ac:dyDescent="0.25">
      <c r="B332" s="165">
        <v>44167</v>
      </c>
      <c r="C332" s="166" t="s">
        <v>222</v>
      </c>
      <c r="D332" s="166" t="s">
        <v>64</v>
      </c>
      <c r="E332" s="167"/>
      <c r="F332" s="114">
        <v>-30</v>
      </c>
      <c r="G332" s="168"/>
      <c r="H332" s="169"/>
      <c r="I332" s="170"/>
      <c r="J332" s="171" t="s">
        <v>538</v>
      </c>
      <c r="K332" s="172" t="s">
        <v>177</v>
      </c>
      <c r="L332" s="172" t="s">
        <v>175</v>
      </c>
      <c r="M332" s="173" t="str" cm="1">
        <f t="array" ref="M332">IFERROR(INDEX(CategoriesTable[Category type],MATCH(Table1[[#This Row],[Category]],CategoriesTable[Category name],0),0),"")</f>
        <v>Expense</v>
      </c>
      <c r="N332" s="173">
        <v>2</v>
      </c>
      <c r="O332" s="173">
        <f>MONTH(Table1[[#This Row],[Date]])</f>
        <v>12</v>
      </c>
      <c r="P332" s="173">
        <v>2020</v>
      </c>
      <c r="Q332" s="174">
        <f>IF(ISBLANK(Table1[[#This Row],[Date]]),"",Table1[[#This Row],[Date]]-WEEKDAY(Table1[[#This Row],[Date]],2)+1)</f>
        <v>44165</v>
      </c>
      <c r="R332" s="175">
        <f>IF(ISBLANK(Table1[[#This Row],[Date]]),"",DATE(Table1[[#This Row],[Date_Year]],Table1[[#This Row],[Date_Month]],1))</f>
        <v>44166</v>
      </c>
    </row>
    <row r="333" spans="2:18" ht="15.75" hidden="1" x14ac:dyDescent="0.25">
      <c r="B333" s="165">
        <v>44167</v>
      </c>
      <c r="C333" s="166" t="s">
        <v>148</v>
      </c>
      <c r="D333" s="166" t="s">
        <v>65</v>
      </c>
      <c r="E333" s="167"/>
      <c r="F333" s="114">
        <v>-12.17</v>
      </c>
      <c r="G333" s="168"/>
      <c r="H333" s="169"/>
      <c r="I333" s="170"/>
      <c r="J333" s="171" t="s">
        <v>539</v>
      </c>
      <c r="K333" s="172" t="s">
        <v>177</v>
      </c>
      <c r="L333" s="172" t="s">
        <v>175</v>
      </c>
      <c r="M333" s="173" t="str" cm="1">
        <f t="array" ref="M333">IFERROR(INDEX(CategoriesTable[Category type],MATCH(Table1[[#This Row],[Category]],CategoriesTable[Category name],0),0),"")</f>
        <v>Expense</v>
      </c>
      <c r="N333" s="173">
        <v>2</v>
      </c>
      <c r="O333" s="173">
        <f>MONTH(Table1[[#This Row],[Date]])</f>
        <v>12</v>
      </c>
      <c r="P333" s="173">
        <v>2020</v>
      </c>
      <c r="Q333" s="174">
        <f>IF(ISBLANK(Table1[[#This Row],[Date]]),"",Table1[[#This Row],[Date]]-WEEKDAY(Table1[[#This Row],[Date]],2)+1)</f>
        <v>44165</v>
      </c>
      <c r="R333" s="175">
        <f>IF(ISBLANK(Table1[[#This Row],[Date]]),"",DATE(Table1[[#This Row],[Date_Year]],Table1[[#This Row],[Date_Month]],1))</f>
        <v>44166</v>
      </c>
    </row>
    <row r="334" spans="2:18" ht="15.75" hidden="1" x14ac:dyDescent="0.25">
      <c r="B334" s="165">
        <v>44167</v>
      </c>
      <c r="C334" s="166" t="s">
        <v>121</v>
      </c>
      <c r="D334" s="166" t="s">
        <v>65</v>
      </c>
      <c r="E334" s="167"/>
      <c r="F334" s="114">
        <v>-13</v>
      </c>
      <c r="G334" s="168"/>
      <c r="H334" s="169"/>
      <c r="I334" s="170"/>
      <c r="J334" s="171" t="s">
        <v>540</v>
      </c>
      <c r="K334" s="172" t="s">
        <v>177</v>
      </c>
      <c r="L334" s="172" t="s">
        <v>175</v>
      </c>
      <c r="M334" s="173" t="str" cm="1">
        <f t="array" ref="M334">IFERROR(INDEX(CategoriesTable[Category type],MATCH(Table1[[#This Row],[Category]],CategoriesTable[Category name],0),0),"")</f>
        <v>Expense</v>
      </c>
      <c r="N334" s="173">
        <v>2</v>
      </c>
      <c r="O334" s="173">
        <f>MONTH(Table1[[#This Row],[Date]])</f>
        <v>12</v>
      </c>
      <c r="P334" s="173">
        <v>2020</v>
      </c>
      <c r="Q334" s="174">
        <f>IF(ISBLANK(Table1[[#This Row],[Date]]),"",Table1[[#This Row],[Date]]-WEEKDAY(Table1[[#This Row],[Date]],2)+1)</f>
        <v>44165</v>
      </c>
      <c r="R334" s="175">
        <f>IF(ISBLANK(Table1[[#This Row],[Date]]),"",DATE(Table1[[#This Row],[Date_Year]],Table1[[#This Row],[Date_Month]],1))</f>
        <v>44166</v>
      </c>
    </row>
    <row r="335" spans="2:18" ht="15.75" hidden="1" x14ac:dyDescent="0.25">
      <c r="B335" s="165">
        <v>44166</v>
      </c>
      <c r="C335" s="166" t="s">
        <v>133</v>
      </c>
      <c r="D335" s="166" t="s">
        <v>65</v>
      </c>
      <c r="E335" s="167"/>
      <c r="F335" s="114">
        <v>-24.44</v>
      </c>
      <c r="G335" s="168"/>
      <c r="H335" s="169"/>
      <c r="I335" s="170"/>
      <c r="J335" s="171" t="s">
        <v>541</v>
      </c>
      <c r="K335" s="172" t="s">
        <v>177</v>
      </c>
      <c r="L335" s="172" t="s">
        <v>175</v>
      </c>
      <c r="M335" s="173" t="str" cm="1">
        <f t="array" ref="M335">IFERROR(INDEX(CategoriesTable[Category type],MATCH(Table1[[#This Row],[Category]],CategoriesTable[Category name],0),0),"")</f>
        <v>Expense</v>
      </c>
      <c r="N335" s="173">
        <v>1</v>
      </c>
      <c r="O335" s="173">
        <f>MONTH(Table1[[#This Row],[Date]])</f>
        <v>12</v>
      </c>
      <c r="P335" s="173">
        <v>2020</v>
      </c>
      <c r="Q335" s="174">
        <f>IF(ISBLANK(Table1[[#This Row],[Date]]),"",Table1[[#This Row],[Date]]-WEEKDAY(Table1[[#This Row],[Date]],2)+1)</f>
        <v>44165</v>
      </c>
      <c r="R335" s="175">
        <f>IF(ISBLANK(Table1[[#This Row],[Date]]),"",DATE(Table1[[#This Row],[Date_Year]],Table1[[#This Row],[Date_Month]],1))</f>
        <v>44166</v>
      </c>
    </row>
    <row r="336" spans="2:18" ht="15.75" hidden="1" x14ac:dyDescent="0.25">
      <c r="B336" s="165">
        <v>44166</v>
      </c>
      <c r="C336" s="166" t="s">
        <v>222</v>
      </c>
      <c r="D336" s="166" t="s">
        <v>64</v>
      </c>
      <c r="E336" s="167"/>
      <c r="F336" s="114">
        <v>-23.9</v>
      </c>
      <c r="G336" s="168"/>
      <c r="H336" s="169"/>
      <c r="I336" s="170"/>
      <c r="J336" s="171" t="s">
        <v>542</v>
      </c>
      <c r="K336" s="172" t="s">
        <v>177</v>
      </c>
      <c r="L336" s="172" t="s">
        <v>175</v>
      </c>
      <c r="M336" s="173" t="str" cm="1">
        <f t="array" ref="M336">IFERROR(INDEX(CategoriesTable[Category type],MATCH(Table1[[#This Row],[Category]],CategoriesTable[Category name],0),0),"")</f>
        <v>Expense</v>
      </c>
      <c r="N336" s="173">
        <v>1</v>
      </c>
      <c r="O336" s="173">
        <f>MONTH(Table1[[#This Row],[Date]])</f>
        <v>12</v>
      </c>
      <c r="P336" s="173">
        <v>2020</v>
      </c>
      <c r="Q336" s="174">
        <f>IF(ISBLANK(Table1[[#This Row],[Date]]),"",Table1[[#This Row],[Date]]-WEEKDAY(Table1[[#This Row],[Date]],2)+1)</f>
        <v>44165</v>
      </c>
      <c r="R336" s="175">
        <f>IF(ISBLANK(Table1[[#This Row],[Date]]),"",DATE(Table1[[#This Row],[Date_Year]],Table1[[#This Row],[Date_Month]],1))</f>
        <v>44166</v>
      </c>
    </row>
    <row r="337" spans="2:18" ht="15.75" hidden="1" x14ac:dyDescent="0.25">
      <c r="B337" s="165">
        <v>44166</v>
      </c>
      <c r="C337" s="166" t="s">
        <v>128</v>
      </c>
      <c r="D337" s="166" t="s">
        <v>53</v>
      </c>
      <c r="E337" s="167"/>
      <c r="F337" s="114">
        <v>-29.75</v>
      </c>
      <c r="G337" s="168"/>
      <c r="H337" s="169"/>
      <c r="I337" s="170"/>
      <c r="J337" s="171" t="s">
        <v>543</v>
      </c>
      <c r="K337" s="172" t="s">
        <v>177</v>
      </c>
      <c r="L337" s="172" t="s">
        <v>175</v>
      </c>
      <c r="M337" s="173" t="str" cm="1">
        <f t="array" ref="M337">IFERROR(INDEX(CategoriesTable[Category type],MATCH(Table1[[#This Row],[Category]],CategoriesTable[Category name],0),0),"")</f>
        <v>Expense</v>
      </c>
      <c r="N337" s="173">
        <v>1</v>
      </c>
      <c r="O337" s="173">
        <f>MONTH(Table1[[#This Row],[Date]])</f>
        <v>12</v>
      </c>
      <c r="P337" s="173">
        <v>2020</v>
      </c>
      <c r="Q337" s="174">
        <f>IF(ISBLANK(Table1[[#This Row],[Date]]),"",Table1[[#This Row],[Date]]-WEEKDAY(Table1[[#This Row],[Date]],2)+1)</f>
        <v>44165</v>
      </c>
      <c r="R337" s="175">
        <f>IF(ISBLANK(Table1[[#This Row],[Date]]),"",DATE(Table1[[#This Row],[Date_Year]],Table1[[#This Row],[Date_Month]],1))</f>
        <v>44166</v>
      </c>
    </row>
    <row r="338" spans="2:18" ht="15.75" hidden="1" x14ac:dyDescent="0.25">
      <c r="B338" s="165">
        <v>44166</v>
      </c>
      <c r="C338" s="166" t="s">
        <v>121</v>
      </c>
      <c r="D338" s="166" t="s">
        <v>65</v>
      </c>
      <c r="E338" s="167"/>
      <c r="F338" s="114">
        <v>-11.41</v>
      </c>
      <c r="G338" s="168"/>
      <c r="H338" s="169"/>
      <c r="I338" s="170"/>
      <c r="J338" s="171" t="s">
        <v>544</v>
      </c>
      <c r="K338" s="172" t="s">
        <v>177</v>
      </c>
      <c r="L338" s="172" t="s">
        <v>175</v>
      </c>
      <c r="M338" s="173" t="str" cm="1">
        <f t="array" ref="M338">IFERROR(INDEX(CategoriesTable[Category type],MATCH(Table1[[#This Row],[Category]],CategoriesTable[Category name],0),0),"")</f>
        <v>Expense</v>
      </c>
      <c r="N338" s="173">
        <v>1</v>
      </c>
      <c r="O338" s="173">
        <f>MONTH(Table1[[#This Row],[Date]])</f>
        <v>12</v>
      </c>
      <c r="P338" s="173">
        <v>2020</v>
      </c>
      <c r="Q338" s="174">
        <f>IF(ISBLANK(Table1[[#This Row],[Date]]),"",Table1[[#This Row],[Date]]-WEEKDAY(Table1[[#This Row],[Date]],2)+1)</f>
        <v>44165</v>
      </c>
      <c r="R338" s="175">
        <f>IF(ISBLANK(Table1[[#This Row],[Date]]),"",DATE(Table1[[#This Row],[Date_Year]],Table1[[#This Row],[Date_Month]],1))</f>
        <v>44166</v>
      </c>
    </row>
    <row r="339" spans="2:18" ht="15.75" hidden="1" x14ac:dyDescent="0.25">
      <c r="B339" s="165">
        <v>44166</v>
      </c>
      <c r="C339" s="166" t="s">
        <v>121</v>
      </c>
      <c r="D339" s="166" t="s">
        <v>65</v>
      </c>
      <c r="E339" s="167"/>
      <c r="F339" s="114">
        <v>-14.37</v>
      </c>
      <c r="G339" s="168"/>
      <c r="H339" s="169"/>
      <c r="I339" s="170"/>
      <c r="J339" s="171" t="s">
        <v>545</v>
      </c>
      <c r="K339" s="172" t="s">
        <v>177</v>
      </c>
      <c r="L339" s="172" t="s">
        <v>175</v>
      </c>
      <c r="M339" s="173" t="str" cm="1">
        <f t="array" ref="M339">IFERROR(INDEX(CategoriesTable[Category type],MATCH(Table1[[#This Row],[Category]],CategoriesTable[Category name],0),0),"")</f>
        <v>Expense</v>
      </c>
      <c r="N339" s="173">
        <v>1</v>
      </c>
      <c r="O339" s="173">
        <f>MONTH(Table1[[#This Row],[Date]])</f>
        <v>12</v>
      </c>
      <c r="P339" s="173">
        <v>2020</v>
      </c>
      <c r="Q339" s="174">
        <f>IF(ISBLANK(Table1[[#This Row],[Date]]),"",Table1[[#This Row],[Date]]-WEEKDAY(Table1[[#This Row],[Date]],2)+1)</f>
        <v>44165</v>
      </c>
      <c r="R339" s="175">
        <f>IF(ISBLANK(Table1[[#This Row],[Date]]),"",DATE(Table1[[#This Row],[Date_Year]],Table1[[#This Row],[Date_Month]],1))</f>
        <v>44166</v>
      </c>
    </row>
    <row r="340" spans="2:18" ht="15.75" hidden="1" x14ac:dyDescent="0.25">
      <c r="B340" s="165">
        <v>44166</v>
      </c>
      <c r="C340" s="166" t="s">
        <v>193</v>
      </c>
      <c r="D340" s="166" t="s">
        <v>66</v>
      </c>
      <c r="E340" s="167"/>
      <c r="F340" s="114">
        <v>-69.25</v>
      </c>
      <c r="G340" s="168"/>
      <c r="H340" s="169"/>
      <c r="I340" s="170"/>
      <c r="J340" s="171" t="s">
        <v>546</v>
      </c>
      <c r="K340" s="172" t="s">
        <v>177</v>
      </c>
      <c r="L340" s="172" t="s">
        <v>175</v>
      </c>
      <c r="M340" s="173" t="str" cm="1">
        <f t="array" ref="M340">IFERROR(INDEX(CategoriesTable[Category type],MATCH(Table1[[#This Row],[Category]],CategoriesTable[Category name],0),0),"")</f>
        <v>Expense</v>
      </c>
      <c r="N340" s="173">
        <v>1</v>
      </c>
      <c r="O340" s="173">
        <f>MONTH(Table1[[#This Row],[Date]])</f>
        <v>12</v>
      </c>
      <c r="P340" s="173">
        <v>2020</v>
      </c>
      <c r="Q340" s="174">
        <f>IF(ISBLANK(Table1[[#This Row],[Date]]),"",Table1[[#This Row],[Date]]-WEEKDAY(Table1[[#This Row],[Date]],2)+1)</f>
        <v>44165</v>
      </c>
      <c r="R340" s="175">
        <f>IF(ISBLANK(Table1[[#This Row],[Date]]),"",DATE(Table1[[#This Row],[Date_Year]],Table1[[#This Row],[Date_Month]],1))</f>
        <v>44166</v>
      </c>
    </row>
    <row r="341" spans="2:18" ht="15.75" hidden="1" x14ac:dyDescent="0.25">
      <c r="B341" s="165">
        <v>44166</v>
      </c>
      <c r="C341" s="166" t="s">
        <v>196</v>
      </c>
      <c r="D341" s="166" t="s">
        <v>50</v>
      </c>
      <c r="E341" s="167"/>
      <c r="F341" s="114">
        <v>4373.0200000000004</v>
      </c>
      <c r="G341" s="168"/>
      <c r="H341" s="169"/>
      <c r="I341" s="170"/>
      <c r="J341" s="171" t="s">
        <v>547</v>
      </c>
      <c r="K341" s="172" t="s">
        <v>177</v>
      </c>
      <c r="L341" s="172" t="s">
        <v>175</v>
      </c>
      <c r="M341" s="173" t="str" cm="1">
        <f t="array" ref="M341">IFERROR(INDEX(CategoriesTable[Category type],MATCH(Table1[[#This Row],[Category]],CategoriesTable[Category name],0),0),"")</f>
        <v>Income</v>
      </c>
      <c r="N341" s="173">
        <v>1</v>
      </c>
      <c r="O341" s="173">
        <f>MONTH(Table1[[#This Row],[Date]])</f>
        <v>12</v>
      </c>
      <c r="P341" s="173">
        <v>2020</v>
      </c>
      <c r="Q341" s="174">
        <f>IF(ISBLANK(Table1[[#This Row],[Date]]),"",Table1[[#This Row],[Date]]-WEEKDAY(Table1[[#This Row],[Date]],2)+1)</f>
        <v>44165</v>
      </c>
      <c r="R341" s="175">
        <f>IF(ISBLANK(Table1[[#This Row],[Date]]),"",DATE(Table1[[#This Row],[Date_Year]],Table1[[#This Row],[Date_Month]],1))</f>
        <v>44166</v>
      </c>
    </row>
    <row r="342" spans="2:18" ht="15.75" hidden="1" x14ac:dyDescent="0.25">
      <c r="B342" s="165">
        <v>44165</v>
      </c>
      <c r="C342" s="166" t="s">
        <v>180</v>
      </c>
      <c r="D342" s="166" t="s">
        <v>52</v>
      </c>
      <c r="E342" s="167"/>
      <c r="F342" s="114">
        <v>-120</v>
      </c>
      <c r="G342" s="168"/>
      <c r="H342" s="169"/>
      <c r="I342" s="170"/>
      <c r="J342" s="171" t="s">
        <v>548</v>
      </c>
      <c r="K342" s="172" t="s">
        <v>177</v>
      </c>
      <c r="L342" s="172" t="s">
        <v>175</v>
      </c>
      <c r="M342" s="173" t="str" cm="1">
        <f t="array" ref="M342">IFERROR(INDEX(CategoriesTable[Category type],MATCH(Table1[[#This Row],[Category]],CategoriesTable[Category name],0),0),"")</f>
        <v>Transfer</v>
      </c>
      <c r="N342" s="173">
        <v>30</v>
      </c>
      <c r="O342" s="173">
        <f>MONTH(Table1[[#This Row],[Date]])</f>
        <v>11</v>
      </c>
      <c r="P342" s="173">
        <v>2020</v>
      </c>
      <c r="Q342" s="174">
        <f>IF(ISBLANK(Table1[[#This Row],[Date]]),"",Table1[[#This Row],[Date]]-WEEKDAY(Table1[[#This Row],[Date]],2)+1)</f>
        <v>44165</v>
      </c>
      <c r="R342" s="175">
        <f>IF(ISBLANK(Table1[[#This Row],[Date]]),"",DATE(Table1[[#This Row],[Date_Year]],Table1[[#This Row],[Date_Month]],1))</f>
        <v>44136</v>
      </c>
    </row>
    <row r="343" spans="2:18" ht="15.75" hidden="1" x14ac:dyDescent="0.25">
      <c r="B343" s="165">
        <v>44165</v>
      </c>
      <c r="C343" s="166" t="s">
        <v>138</v>
      </c>
      <c r="D343" s="166" t="s">
        <v>66</v>
      </c>
      <c r="E343" s="167"/>
      <c r="F343" s="114">
        <v>-12.99</v>
      </c>
      <c r="G343" s="168"/>
      <c r="H343" s="169"/>
      <c r="I343" s="170"/>
      <c r="J343" s="171" t="s">
        <v>549</v>
      </c>
      <c r="K343" s="172" t="s">
        <v>177</v>
      </c>
      <c r="L343" s="172" t="s">
        <v>175</v>
      </c>
      <c r="M343" s="173" t="str" cm="1">
        <f t="array" ref="M343">IFERROR(INDEX(CategoriesTable[Category type],MATCH(Table1[[#This Row],[Category]],CategoriesTable[Category name],0),0),"")</f>
        <v>Expense</v>
      </c>
      <c r="N343" s="173">
        <v>30</v>
      </c>
      <c r="O343" s="173">
        <f>MONTH(Table1[[#This Row],[Date]])</f>
        <v>11</v>
      </c>
      <c r="P343" s="173">
        <v>2020</v>
      </c>
      <c r="Q343" s="174">
        <f>IF(ISBLANK(Table1[[#This Row],[Date]]),"",Table1[[#This Row],[Date]]-WEEKDAY(Table1[[#This Row],[Date]],2)+1)</f>
        <v>44165</v>
      </c>
      <c r="R343" s="175">
        <f>IF(ISBLANK(Table1[[#This Row],[Date]]),"",DATE(Table1[[#This Row],[Date_Year]],Table1[[#This Row],[Date_Month]],1))</f>
        <v>44136</v>
      </c>
    </row>
    <row r="344" spans="2:18" ht="15.75" hidden="1" x14ac:dyDescent="0.25">
      <c r="B344" s="165">
        <v>44165</v>
      </c>
      <c r="C344" s="166" t="s">
        <v>137</v>
      </c>
      <c r="D344" s="166" t="s">
        <v>66</v>
      </c>
      <c r="E344" s="167"/>
      <c r="F344" s="114">
        <v>-146.58000000000001</v>
      </c>
      <c r="G344" s="168"/>
      <c r="H344" s="169"/>
      <c r="I344" s="170"/>
      <c r="J344" s="171" t="s">
        <v>550</v>
      </c>
      <c r="K344" s="172" t="s">
        <v>177</v>
      </c>
      <c r="L344" s="172" t="s">
        <v>175</v>
      </c>
      <c r="M344" s="173" t="str" cm="1">
        <f t="array" ref="M344">IFERROR(INDEX(CategoriesTable[Category type],MATCH(Table1[[#This Row],[Category]],CategoriesTable[Category name],0),0),"")</f>
        <v>Expense</v>
      </c>
      <c r="N344" s="173">
        <v>30</v>
      </c>
      <c r="O344" s="173">
        <f>MONTH(Table1[[#This Row],[Date]])</f>
        <v>11</v>
      </c>
      <c r="P344" s="173">
        <v>2020</v>
      </c>
      <c r="Q344" s="174">
        <f>IF(ISBLANK(Table1[[#This Row],[Date]]),"",Table1[[#This Row],[Date]]-WEEKDAY(Table1[[#This Row],[Date]],2)+1)</f>
        <v>44165</v>
      </c>
      <c r="R344" s="175">
        <f>IF(ISBLANK(Table1[[#This Row],[Date]]),"",DATE(Table1[[#This Row],[Date_Year]],Table1[[#This Row],[Date_Month]],1))</f>
        <v>44136</v>
      </c>
    </row>
    <row r="345" spans="2:18" ht="15.75" hidden="1" x14ac:dyDescent="0.25">
      <c r="B345" s="165">
        <v>44165</v>
      </c>
      <c r="C345" s="166" t="s">
        <v>222</v>
      </c>
      <c r="D345" s="166" t="s">
        <v>64</v>
      </c>
      <c r="E345" s="167"/>
      <c r="F345" s="114">
        <v>-20</v>
      </c>
      <c r="G345" s="168"/>
      <c r="H345" s="169"/>
      <c r="I345" s="170"/>
      <c r="J345" s="171" t="s">
        <v>551</v>
      </c>
      <c r="K345" s="172" t="s">
        <v>177</v>
      </c>
      <c r="L345" s="172" t="s">
        <v>175</v>
      </c>
      <c r="M345" s="173" t="str" cm="1">
        <f t="array" ref="M345">IFERROR(INDEX(CategoriesTable[Category type],MATCH(Table1[[#This Row],[Category]],CategoriesTable[Category name],0),0),"")</f>
        <v>Expense</v>
      </c>
      <c r="N345" s="173">
        <v>30</v>
      </c>
      <c r="O345" s="173">
        <f>MONTH(Table1[[#This Row],[Date]])</f>
        <v>11</v>
      </c>
      <c r="P345" s="173">
        <v>2020</v>
      </c>
      <c r="Q345" s="174">
        <f>IF(ISBLANK(Table1[[#This Row],[Date]]),"",Table1[[#This Row],[Date]]-WEEKDAY(Table1[[#This Row],[Date]],2)+1)</f>
        <v>44165</v>
      </c>
      <c r="R345" s="175">
        <f>IF(ISBLANK(Table1[[#This Row],[Date]]),"",DATE(Table1[[#This Row],[Date_Year]],Table1[[#This Row],[Date_Month]],1))</f>
        <v>44136</v>
      </c>
    </row>
    <row r="346" spans="2:18" ht="15.75" hidden="1" x14ac:dyDescent="0.25">
      <c r="B346" s="165">
        <v>44165</v>
      </c>
      <c r="C346" s="166" t="s">
        <v>222</v>
      </c>
      <c r="D346" s="166" t="s">
        <v>64</v>
      </c>
      <c r="E346" s="167"/>
      <c r="F346" s="114">
        <v>-20</v>
      </c>
      <c r="G346" s="168"/>
      <c r="H346" s="169"/>
      <c r="I346" s="170"/>
      <c r="J346" s="171" t="s">
        <v>552</v>
      </c>
      <c r="K346" s="172" t="s">
        <v>177</v>
      </c>
      <c r="L346" s="172" t="s">
        <v>175</v>
      </c>
      <c r="M346" s="173" t="str" cm="1">
        <f t="array" ref="M346">IFERROR(INDEX(CategoriesTable[Category type],MATCH(Table1[[#This Row],[Category]],CategoriesTable[Category name],0),0),"")</f>
        <v>Expense</v>
      </c>
      <c r="N346" s="173">
        <v>30</v>
      </c>
      <c r="O346" s="173">
        <f>MONTH(Table1[[#This Row],[Date]])</f>
        <v>11</v>
      </c>
      <c r="P346" s="173">
        <v>2020</v>
      </c>
      <c r="Q346" s="174">
        <f>IF(ISBLANK(Table1[[#This Row],[Date]]),"",Table1[[#This Row],[Date]]-WEEKDAY(Table1[[#This Row],[Date]],2)+1)</f>
        <v>44165</v>
      </c>
      <c r="R346" s="175">
        <f>IF(ISBLANK(Table1[[#This Row],[Date]]),"",DATE(Table1[[#This Row],[Date_Year]],Table1[[#This Row],[Date_Month]],1))</f>
        <v>44136</v>
      </c>
    </row>
    <row r="347" spans="2:18" ht="15.75" hidden="1" x14ac:dyDescent="0.25">
      <c r="B347" s="165">
        <v>44165</v>
      </c>
      <c r="C347" s="166" t="s">
        <v>120</v>
      </c>
      <c r="D347" s="166" t="s">
        <v>66</v>
      </c>
      <c r="E347" s="167"/>
      <c r="F347" s="114">
        <v>-0.99</v>
      </c>
      <c r="G347" s="168"/>
      <c r="H347" s="169"/>
      <c r="I347" s="170"/>
      <c r="J347" s="171" t="s">
        <v>553</v>
      </c>
      <c r="K347" s="172" t="s">
        <v>177</v>
      </c>
      <c r="L347" s="172" t="s">
        <v>175</v>
      </c>
      <c r="M347" s="173" t="str" cm="1">
        <f t="array" ref="M347">IFERROR(INDEX(CategoriesTable[Category type],MATCH(Table1[[#This Row],[Category]],CategoriesTable[Category name],0),0),"")</f>
        <v>Expense</v>
      </c>
      <c r="N347" s="173">
        <v>30</v>
      </c>
      <c r="O347" s="173">
        <f>MONTH(Table1[[#This Row],[Date]])</f>
        <v>11</v>
      </c>
      <c r="P347" s="173">
        <v>2020</v>
      </c>
      <c r="Q347" s="174">
        <f>IF(ISBLANK(Table1[[#This Row],[Date]]),"",Table1[[#This Row],[Date]]-WEEKDAY(Table1[[#This Row],[Date]],2)+1)</f>
        <v>44165</v>
      </c>
      <c r="R347" s="175">
        <f>IF(ISBLANK(Table1[[#This Row],[Date]]),"",DATE(Table1[[#This Row],[Date_Year]],Table1[[#This Row],[Date_Month]],1))</f>
        <v>44136</v>
      </c>
    </row>
    <row r="348" spans="2:18" ht="15.75" hidden="1" x14ac:dyDescent="0.25">
      <c r="B348" s="165">
        <v>44165</v>
      </c>
      <c r="C348" s="166" t="s">
        <v>120</v>
      </c>
      <c r="D348" s="166" t="s">
        <v>66</v>
      </c>
      <c r="E348" s="167"/>
      <c r="F348" s="114">
        <v>-1.36</v>
      </c>
      <c r="G348" s="168"/>
      <c r="H348" s="169"/>
      <c r="I348" s="170"/>
      <c r="J348" s="171" t="s">
        <v>554</v>
      </c>
      <c r="K348" s="172" t="s">
        <v>177</v>
      </c>
      <c r="L348" s="172" t="s">
        <v>175</v>
      </c>
      <c r="M348" s="173" t="str" cm="1">
        <f t="array" ref="M348">IFERROR(INDEX(CategoriesTable[Category type],MATCH(Table1[[#This Row],[Category]],CategoriesTable[Category name],0),0),"")</f>
        <v>Expense</v>
      </c>
      <c r="N348" s="173">
        <v>30</v>
      </c>
      <c r="O348" s="173">
        <f>MONTH(Table1[[#This Row],[Date]])</f>
        <v>11</v>
      </c>
      <c r="P348" s="173">
        <v>2020</v>
      </c>
      <c r="Q348" s="174">
        <f>IF(ISBLANK(Table1[[#This Row],[Date]]),"",Table1[[#This Row],[Date]]-WEEKDAY(Table1[[#This Row],[Date]],2)+1)</f>
        <v>44165</v>
      </c>
      <c r="R348" s="175">
        <f>IF(ISBLANK(Table1[[#This Row],[Date]]),"",DATE(Table1[[#This Row],[Date_Year]],Table1[[#This Row],[Date_Month]],1))</f>
        <v>44136</v>
      </c>
    </row>
    <row r="349" spans="2:18" ht="15.75" hidden="1" x14ac:dyDescent="0.25">
      <c r="B349" s="165">
        <v>44165</v>
      </c>
      <c r="C349" s="166" t="s">
        <v>120</v>
      </c>
      <c r="D349" s="166" t="s">
        <v>66</v>
      </c>
      <c r="E349" s="167"/>
      <c r="F349" s="114">
        <v>-60.72</v>
      </c>
      <c r="G349" s="168"/>
      <c r="H349" s="169"/>
      <c r="I349" s="170"/>
      <c r="J349" s="171" t="s">
        <v>555</v>
      </c>
      <c r="K349" s="172" t="s">
        <v>177</v>
      </c>
      <c r="L349" s="172" t="s">
        <v>175</v>
      </c>
      <c r="M349" s="173" t="str" cm="1">
        <f t="array" ref="M349">IFERROR(INDEX(CategoriesTable[Category type],MATCH(Table1[[#This Row],[Category]],CategoriesTable[Category name],0),0),"")</f>
        <v>Expense</v>
      </c>
      <c r="N349" s="173">
        <v>30</v>
      </c>
      <c r="O349" s="173">
        <f>MONTH(Table1[[#This Row],[Date]])</f>
        <v>11</v>
      </c>
      <c r="P349" s="173">
        <v>2020</v>
      </c>
      <c r="Q349" s="174">
        <f>IF(ISBLANK(Table1[[#This Row],[Date]]),"",Table1[[#This Row],[Date]]-WEEKDAY(Table1[[#This Row],[Date]],2)+1)</f>
        <v>44165</v>
      </c>
      <c r="R349" s="175">
        <f>IF(ISBLANK(Table1[[#This Row],[Date]]),"",DATE(Table1[[#This Row],[Date_Year]],Table1[[#This Row],[Date_Month]],1))</f>
        <v>44136</v>
      </c>
    </row>
    <row r="350" spans="2:18" ht="15.75" hidden="1" x14ac:dyDescent="0.25">
      <c r="B350" s="165">
        <v>44165</v>
      </c>
      <c r="C350" s="166" t="s">
        <v>121</v>
      </c>
      <c r="D350" s="166" t="s">
        <v>65</v>
      </c>
      <c r="E350" s="167"/>
      <c r="F350" s="114">
        <v>-23.27</v>
      </c>
      <c r="G350" s="168"/>
      <c r="H350" s="169"/>
      <c r="I350" s="170"/>
      <c r="J350" s="171" t="s">
        <v>556</v>
      </c>
      <c r="K350" s="172" t="s">
        <v>177</v>
      </c>
      <c r="L350" s="172" t="s">
        <v>175</v>
      </c>
      <c r="M350" s="173" t="str" cm="1">
        <f t="array" ref="M350">IFERROR(INDEX(CategoriesTable[Category type],MATCH(Table1[[#This Row],[Category]],CategoriesTable[Category name],0),0),"")</f>
        <v>Expense</v>
      </c>
      <c r="N350" s="173">
        <v>30</v>
      </c>
      <c r="O350" s="173">
        <f>MONTH(Table1[[#This Row],[Date]])</f>
        <v>11</v>
      </c>
      <c r="P350" s="173">
        <v>2020</v>
      </c>
      <c r="Q350" s="174">
        <f>IF(ISBLANK(Table1[[#This Row],[Date]]),"",Table1[[#This Row],[Date]]-WEEKDAY(Table1[[#This Row],[Date]],2)+1)</f>
        <v>44165</v>
      </c>
      <c r="R350" s="175">
        <f>IF(ISBLANK(Table1[[#This Row],[Date]]),"",DATE(Table1[[#This Row],[Date_Year]],Table1[[#This Row],[Date_Month]],1))</f>
        <v>44136</v>
      </c>
    </row>
    <row r="351" spans="2:18" ht="15.75" hidden="1" x14ac:dyDescent="0.25">
      <c r="B351" s="165">
        <v>44165</v>
      </c>
      <c r="C351" s="166" t="s">
        <v>1567</v>
      </c>
      <c r="D351" s="166" t="s">
        <v>55</v>
      </c>
      <c r="E351" s="167"/>
      <c r="F351" s="114">
        <v>-9.99</v>
      </c>
      <c r="G351" s="168"/>
      <c r="H351" s="169"/>
      <c r="I351" s="170"/>
      <c r="J351" s="176" t="s">
        <v>557</v>
      </c>
      <c r="K351" s="172" t="s">
        <v>177</v>
      </c>
      <c r="L351" s="172" t="s">
        <v>175</v>
      </c>
      <c r="M351" s="173" t="str" cm="1">
        <f t="array" ref="M351">IFERROR(INDEX(CategoriesTable[Category type],MATCH(Table1[[#This Row],[Category]],CategoriesTable[Category name],0),0),"")</f>
        <v>Expense</v>
      </c>
      <c r="N351" s="173">
        <v>30</v>
      </c>
      <c r="O351" s="173">
        <f>MONTH(Table1[[#This Row],[Date]])</f>
        <v>11</v>
      </c>
      <c r="P351" s="173">
        <v>2020</v>
      </c>
      <c r="Q351" s="174">
        <f>IF(ISBLANK(Table1[[#This Row],[Date]]),"",Table1[[#This Row],[Date]]-WEEKDAY(Table1[[#This Row],[Date]],2)+1)</f>
        <v>44165</v>
      </c>
      <c r="R351" s="175">
        <f>IF(ISBLANK(Table1[[#This Row],[Date]]),"",DATE(Table1[[#This Row],[Date_Year]],Table1[[#This Row],[Date_Month]],1))</f>
        <v>44136</v>
      </c>
    </row>
    <row r="352" spans="2:18" ht="15.75" hidden="1" x14ac:dyDescent="0.25">
      <c r="B352" s="165">
        <v>44165</v>
      </c>
      <c r="C352" s="166" t="s">
        <v>202</v>
      </c>
      <c r="D352" s="166" t="s">
        <v>55</v>
      </c>
      <c r="E352" s="167"/>
      <c r="F352" s="114">
        <v>-344.72</v>
      </c>
      <c r="G352" s="168"/>
      <c r="H352" s="169"/>
      <c r="I352" s="170"/>
      <c r="J352" s="171" t="s">
        <v>558</v>
      </c>
      <c r="K352" s="172" t="s">
        <v>177</v>
      </c>
      <c r="L352" s="172" t="s">
        <v>175</v>
      </c>
      <c r="M352" s="173" t="str" cm="1">
        <f t="array" ref="M352">IFERROR(INDEX(CategoriesTable[Category type],MATCH(Table1[[#This Row],[Category]],CategoriesTable[Category name],0),0),"")</f>
        <v>Expense</v>
      </c>
      <c r="N352" s="173">
        <v>30</v>
      </c>
      <c r="O352" s="173">
        <f>MONTH(Table1[[#This Row],[Date]])</f>
        <v>11</v>
      </c>
      <c r="P352" s="173">
        <v>2020</v>
      </c>
      <c r="Q352" s="174">
        <f>IF(ISBLANK(Table1[[#This Row],[Date]]),"",Table1[[#This Row],[Date]]-WEEKDAY(Table1[[#This Row],[Date]],2)+1)</f>
        <v>44165</v>
      </c>
      <c r="R352" s="175">
        <f>IF(ISBLANK(Table1[[#This Row],[Date]]),"",DATE(Table1[[#This Row],[Date_Year]],Table1[[#This Row],[Date_Month]],1))</f>
        <v>44136</v>
      </c>
    </row>
    <row r="353" spans="2:18" ht="15.75" hidden="1" x14ac:dyDescent="0.25">
      <c r="B353" s="165">
        <v>44164</v>
      </c>
      <c r="C353" s="166" t="s">
        <v>222</v>
      </c>
      <c r="D353" s="166" t="s">
        <v>64</v>
      </c>
      <c r="E353" s="167"/>
      <c r="F353" s="114">
        <v>-30</v>
      </c>
      <c r="G353" s="168"/>
      <c r="H353" s="169"/>
      <c r="I353" s="170"/>
      <c r="J353" s="171" t="s">
        <v>559</v>
      </c>
      <c r="K353" s="172" t="s">
        <v>177</v>
      </c>
      <c r="L353" s="172" t="s">
        <v>175</v>
      </c>
      <c r="M353" s="173" t="str" cm="1">
        <f t="array" ref="M353">IFERROR(INDEX(CategoriesTable[Category type],MATCH(Table1[[#This Row],[Category]],CategoriesTable[Category name],0),0),"")</f>
        <v>Expense</v>
      </c>
      <c r="N353" s="173">
        <v>29</v>
      </c>
      <c r="O353" s="173">
        <f>MONTH(Table1[[#This Row],[Date]])</f>
        <v>11</v>
      </c>
      <c r="P353" s="173">
        <v>2020</v>
      </c>
      <c r="Q353" s="174">
        <f>IF(ISBLANK(Table1[[#This Row],[Date]]),"",Table1[[#This Row],[Date]]-WEEKDAY(Table1[[#This Row],[Date]],2)+1)</f>
        <v>44158</v>
      </c>
      <c r="R353" s="175">
        <f>IF(ISBLANK(Table1[[#This Row],[Date]]),"",DATE(Table1[[#This Row],[Date_Year]],Table1[[#This Row],[Date_Month]],1))</f>
        <v>44136</v>
      </c>
    </row>
    <row r="354" spans="2:18" ht="15.75" hidden="1" x14ac:dyDescent="0.25">
      <c r="B354" s="165">
        <v>44163</v>
      </c>
      <c r="C354" s="166" t="s">
        <v>222</v>
      </c>
      <c r="D354" s="166" t="s">
        <v>64</v>
      </c>
      <c r="E354" s="167"/>
      <c r="F354" s="114">
        <v>-30</v>
      </c>
      <c r="G354" s="168"/>
      <c r="H354" s="169"/>
      <c r="I354" s="170"/>
      <c r="J354" s="171" t="s">
        <v>560</v>
      </c>
      <c r="K354" s="172" t="s">
        <v>177</v>
      </c>
      <c r="L354" s="172" t="s">
        <v>175</v>
      </c>
      <c r="M354" s="173" t="str" cm="1">
        <f t="array" ref="M354">IFERROR(INDEX(CategoriesTable[Category type],MATCH(Table1[[#This Row],[Category]],CategoriesTable[Category name],0),0),"")</f>
        <v>Expense</v>
      </c>
      <c r="N354" s="173">
        <v>28</v>
      </c>
      <c r="O354" s="173">
        <f>MONTH(Table1[[#This Row],[Date]])</f>
        <v>11</v>
      </c>
      <c r="P354" s="173">
        <v>2020</v>
      </c>
      <c r="Q354" s="174">
        <f>IF(ISBLANK(Table1[[#This Row],[Date]]),"",Table1[[#This Row],[Date]]-WEEKDAY(Table1[[#This Row],[Date]],2)+1)</f>
        <v>44158</v>
      </c>
      <c r="R354" s="175">
        <f>IF(ISBLANK(Table1[[#This Row],[Date]]),"",DATE(Table1[[#This Row],[Date_Year]],Table1[[#This Row],[Date_Month]],1))</f>
        <v>44136</v>
      </c>
    </row>
    <row r="355" spans="2:18" ht="15.75" hidden="1" x14ac:dyDescent="0.25">
      <c r="B355" s="165">
        <v>44163</v>
      </c>
      <c r="C355" s="166" t="s">
        <v>121</v>
      </c>
      <c r="D355" s="166" t="s">
        <v>65</v>
      </c>
      <c r="E355" s="167"/>
      <c r="F355" s="114">
        <v>-22.54</v>
      </c>
      <c r="G355" s="168"/>
      <c r="H355" s="169"/>
      <c r="I355" s="170"/>
      <c r="J355" s="171" t="s">
        <v>561</v>
      </c>
      <c r="K355" s="172" t="s">
        <v>177</v>
      </c>
      <c r="L355" s="172" t="s">
        <v>175</v>
      </c>
      <c r="M355" s="173" t="str" cm="1">
        <f t="array" ref="M355">IFERROR(INDEX(CategoriesTable[Category type],MATCH(Table1[[#This Row],[Category]],CategoriesTable[Category name],0),0),"")</f>
        <v>Expense</v>
      </c>
      <c r="N355" s="173">
        <v>28</v>
      </c>
      <c r="O355" s="173">
        <f>MONTH(Table1[[#This Row],[Date]])</f>
        <v>11</v>
      </c>
      <c r="P355" s="173">
        <v>2020</v>
      </c>
      <c r="Q355" s="174">
        <f>IF(ISBLANK(Table1[[#This Row],[Date]]),"",Table1[[#This Row],[Date]]-WEEKDAY(Table1[[#This Row],[Date]],2)+1)</f>
        <v>44158</v>
      </c>
      <c r="R355" s="175">
        <f>IF(ISBLANK(Table1[[#This Row],[Date]]),"",DATE(Table1[[#This Row],[Date_Year]],Table1[[#This Row],[Date_Month]],1))</f>
        <v>44136</v>
      </c>
    </row>
    <row r="356" spans="2:18" ht="15.75" hidden="1" x14ac:dyDescent="0.25">
      <c r="B356" s="165">
        <v>44163</v>
      </c>
      <c r="C356" s="166" t="s">
        <v>184</v>
      </c>
      <c r="D356" s="166" t="s">
        <v>56</v>
      </c>
      <c r="E356" s="167"/>
      <c r="F356" s="114">
        <v>-12.99</v>
      </c>
      <c r="G356" s="168"/>
      <c r="H356" s="169"/>
      <c r="I356" s="170"/>
      <c r="J356" s="171" t="s">
        <v>562</v>
      </c>
      <c r="K356" s="172" t="s">
        <v>177</v>
      </c>
      <c r="L356" s="172" t="s">
        <v>175</v>
      </c>
      <c r="M356" s="173" t="str" cm="1">
        <f t="array" ref="M356">IFERROR(INDEX(CategoriesTable[Category type],MATCH(Table1[[#This Row],[Category]],CategoriesTable[Category name],0),0),"")</f>
        <v>Expense</v>
      </c>
      <c r="N356" s="173">
        <v>28</v>
      </c>
      <c r="O356" s="173">
        <f>MONTH(Table1[[#This Row],[Date]])</f>
        <v>11</v>
      </c>
      <c r="P356" s="173">
        <v>2020</v>
      </c>
      <c r="Q356" s="174">
        <f>IF(ISBLANK(Table1[[#This Row],[Date]]),"",Table1[[#This Row],[Date]]-WEEKDAY(Table1[[#This Row],[Date]],2)+1)</f>
        <v>44158</v>
      </c>
      <c r="R356" s="175">
        <f>IF(ISBLANK(Table1[[#This Row],[Date]]),"",DATE(Table1[[#This Row],[Date_Year]],Table1[[#This Row],[Date_Month]],1))</f>
        <v>44136</v>
      </c>
    </row>
    <row r="357" spans="2:18" ht="15.75" hidden="1" x14ac:dyDescent="0.25">
      <c r="B357" s="165">
        <v>44162</v>
      </c>
      <c r="C357" s="166" t="s">
        <v>222</v>
      </c>
      <c r="D357" s="166" t="s">
        <v>64</v>
      </c>
      <c r="E357" s="167"/>
      <c r="F357" s="114">
        <v>-35</v>
      </c>
      <c r="G357" s="168"/>
      <c r="H357" s="169"/>
      <c r="I357" s="170"/>
      <c r="J357" s="171" t="s">
        <v>563</v>
      </c>
      <c r="K357" s="172" t="s">
        <v>177</v>
      </c>
      <c r="L357" s="172" t="s">
        <v>175</v>
      </c>
      <c r="M357" s="173" t="str" cm="1">
        <f t="array" ref="M357">IFERROR(INDEX(CategoriesTable[Category type],MATCH(Table1[[#This Row],[Category]],CategoriesTable[Category name],0),0),"")</f>
        <v>Expense</v>
      </c>
      <c r="N357" s="173">
        <v>27</v>
      </c>
      <c r="O357" s="173">
        <f>MONTH(Table1[[#This Row],[Date]])</f>
        <v>11</v>
      </c>
      <c r="P357" s="173">
        <v>2020</v>
      </c>
      <c r="Q357" s="174">
        <f>IF(ISBLANK(Table1[[#This Row],[Date]]),"",Table1[[#This Row],[Date]]-WEEKDAY(Table1[[#This Row],[Date]],2)+1)</f>
        <v>44158</v>
      </c>
      <c r="R357" s="175">
        <f>IF(ISBLANK(Table1[[#This Row],[Date]]),"",DATE(Table1[[#This Row],[Date_Year]],Table1[[#This Row],[Date_Month]],1))</f>
        <v>44136</v>
      </c>
    </row>
    <row r="358" spans="2:18" ht="15.75" hidden="1" x14ac:dyDescent="0.25">
      <c r="B358" s="165">
        <v>44161</v>
      </c>
      <c r="C358" s="166" t="s">
        <v>222</v>
      </c>
      <c r="D358" s="166" t="s">
        <v>64</v>
      </c>
      <c r="E358" s="167"/>
      <c r="F358" s="114">
        <v>-20</v>
      </c>
      <c r="G358" s="168"/>
      <c r="H358" s="169"/>
      <c r="I358" s="170"/>
      <c r="J358" s="171" t="s">
        <v>564</v>
      </c>
      <c r="K358" s="172" t="s">
        <v>177</v>
      </c>
      <c r="L358" s="172" t="s">
        <v>175</v>
      </c>
      <c r="M358" s="173" t="str" cm="1">
        <f t="array" ref="M358">IFERROR(INDEX(CategoriesTable[Category type],MATCH(Table1[[#This Row],[Category]],CategoriesTable[Category name],0),0),"")</f>
        <v>Expense</v>
      </c>
      <c r="N358" s="173">
        <v>26</v>
      </c>
      <c r="O358" s="173">
        <f>MONTH(Table1[[#This Row],[Date]])</f>
        <v>11</v>
      </c>
      <c r="P358" s="173">
        <v>2020</v>
      </c>
      <c r="Q358" s="174">
        <f>IF(ISBLANK(Table1[[#This Row],[Date]]),"",Table1[[#This Row],[Date]]-WEEKDAY(Table1[[#This Row],[Date]],2)+1)</f>
        <v>44158</v>
      </c>
      <c r="R358" s="175">
        <f>IF(ISBLANK(Table1[[#This Row],[Date]]),"",DATE(Table1[[#This Row],[Date_Year]],Table1[[#This Row],[Date_Month]],1))</f>
        <v>44136</v>
      </c>
    </row>
    <row r="359" spans="2:18" ht="15.75" hidden="1" x14ac:dyDescent="0.25">
      <c r="B359" s="165">
        <v>44161</v>
      </c>
      <c r="C359" s="166" t="s">
        <v>199</v>
      </c>
      <c r="D359" s="166" t="s">
        <v>65</v>
      </c>
      <c r="E359" s="167"/>
      <c r="F359" s="114">
        <v>-52.03</v>
      </c>
      <c r="G359" s="168"/>
      <c r="H359" s="169"/>
      <c r="I359" s="170"/>
      <c r="J359" s="171" t="s">
        <v>565</v>
      </c>
      <c r="K359" s="172" t="s">
        <v>177</v>
      </c>
      <c r="L359" s="172" t="s">
        <v>175</v>
      </c>
      <c r="M359" s="173" t="str" cm="1">
        <f t="array" ref="M359">IFERROR(INDEX(CategoriesTable[Category type],MATCH(Table1[[#This Row],[Category]],CategoriesTable[Category name],0),0),"")</f>
        <v>Expense</v>
      </c>
      <c r="N359" s="173">
        <v>26</v>
      </c>
      <c r="O359" s="173">
        <f>MONTH(Table1[[#This Row],[Date]])</f>
        <v>11</v>
      </c>
      <c r="P359" s="173">
        <v>2020</v>
      </c>
      <c r="Q359" s="174">
        <f>IF(ISBLANK(Table1[[#This Row],[Date]]),"",Table1[[#This Row],[Date]]-WEEKDAY(Table1[[#This Row],[Date]],2)+1)</f>
        <v>44158</v>
      </c>
      <c r="R359" s="175">
        <f>IF(ISBLANK(Table1[[#This Row],[Date]]),"",DATE(Table1[[#This Row],[Date_Year]],Table1[[#This Row],[Date_Month]],1))</f>
        <v>44136</v>
      </c>
    </row>
    <row r="360" spans="2:18" ht="15.75" hidden="1" x14ac:dyDescent="0.25">
      <c r="B360" s="165">
        <v>44161</v>
      </c>
      <c r="C360" s="166" t="s">
        <v>124</v>
      </c>
      <c r="D360" s="166" t="s">
        <v>55</v>
      </c>
      <c r="E360" s="167"/>
      <c r="F360" s="114">
        <v>-9.99</v>
      </c>
      <c r="G360" s="168"/>
      <c r="H360" s="169"/>
      <c r="I360" s="170"/>
      <c r="J360" s="171" t="s">
        <v>566</v>
      </c>
      <c r="K360" s="172" t="s">
        <v>177</v>
      </c>
      <c r="L360" s="172" t="s">
        <v>175</v>
      </c>
      <c r="M360" s="173" t="str" cm="1">
        <f t="array" ref="M360">IFERROR(INDEX(CategoriesTable[Category type],MATCH(Table1[[#This Row],[Category]],CategoriesTable[Category name],0),0),"")</f>
        <v>Expense</v>
      </c>
      <c r="N360" s="173">
        <v>26</v>
      </c>
      <c r="O360" s="173">
        <f>MONTH(Table1[[#This Row],[Date]])</f>
        <v>11</v>
      </c>
      <c r="P360" s="173">
        <v>2020</v>
      </c>
      <c r="Q360" s="174">
        <f>IF(ISBLANK(Table1[[#This Row],[Date]]),"",Table1[[#This Row],[Date]]-WEEKDAY(Table1[[#This Row],[Date]],2)+1)</f>
        <v>44158</v>
      </c>
      <c r="R360" s="175">
        <f>IF(ISBLANK(Table1[[#This Row],[Date]]),"",DATE(Table1[[#This Row],[Date_Year]],Table1[[#This Row],[Date_Month]],1))</f>
        <v>44136</v>
      </c>
    </row>
    <row r="361" spans="2:18" ht="15.75" hidden="1" x14ac:dyDescent="0.25">
      <c r="B361" s="165">
        <v>44160</v>
      </c>
      <c r="C361" s="166" t="s">
        <v>222</v>
      </c>
      <c r="D361" s="166" t="s">
        <v>64</v>
      </c>
      <c r="E361" s="167"/>
      <c r="F361" s="114">
        <v>-20</v>
      </c>
      <c r="G361" s="168"/>
      <c r="H361" s="169"/>
      <c r="I361" s="170"/>
      <c r="J361" s="171" t="s">
        <v>567</v>
      </c>
      <c r="K361" s="172" t="s">
        <v>177</v>
      </c>
      <c r="L361" s="172" t="s">
        <v>175</v>
      </c>
      <c r="M361" s="173" t="str" cm="1">
        <f t="array" ref="M361">IFERROR(INDEX(CategoriesTable[Category type],MATCH(Table1[[#This Row],[Category]],CategoriesTable[Category name],0),0),"")</f>
        <v>Expense</v>
      </c>
      <c r="N361" s="173">
        <v>25</v>
      </c>
      <c r="O361" s="173">
        <f>MONTH(Table1[[#This Row],[Date]])</f>
        <v>11</v>
      </c>
      <c r="P361" s="173">
        <v>2020</v>
      </c>
      <c r="Q361" s="174">
        <f>IF(ISBLANK(Table1[[#This Row],[Date]]),"",Table1[[#This Row],[Date]]-WEEKDAY(Table1[[#This Row],[Date]],2)+1)</f>
        <v>44158</v>
      </c>
      <c r="R361" s="175">
        <f>IF(ISBLANK(Table1[[#This Row],[Date]]),"",DATE(Table1[[#This Row],[Date_Year]],Table1[[#This Row],[Date_Month]],1))</f>
        <v>44136</v>
      </c>
    </row>
    <row r="362" spans="2:18" ht="15.75" hidden="1" x14ac:dyDescent="0.25">
      <c r="B362" s="165">
        <v>44160</v>
      </c>
      <c r="C362" s="166" t="s">
        <v>222</v>
      </c>
      <c r="D362" s="166" t="s">
        <v>64</v>
      </c>
      <c r="E362" s="167"/>
      <c r="F362" s="114">
        <v>-20</v>
      </c>
      <c r="G362" s="168"/>
      <c r="H362" s="169"/>
      <c r="I362" s="170"/>
      <c r="J362" s="171" t="s">
        <v>568</v>
      </c>
      <c r="K362" s="172" t="s">
        <v>177</v>
      </c>
      <c r="L362" s="172" t="s">
        <v>175</v>
      </c>
      <c r="M362" s="173" t="str" cm="1">
        <f t="array" ref="M362">IFERROR(INDEX(CategoriesTable[Category type],MATCH(Table1[[#This Row],[Category]],CategoriesTable[Category name],0),0),"")</f>
        <v>Expense</v>
      </c>
      <c r="N362" s="173">
        <v>25</v>
      </c>
      <c r="O362" s="173">
        <f>MONTH(Table1[[#This Row],[Date]])</f>
        <v>11</v>
      </c>
      <c r="P362" s="173">
        <v>2020</v>
      </c>
      <c r="Q362" s="174">
        <f>IF(ISBLANK(Table1[[#This Row],[Date]]),"",Table1[[#This Row],[Date]]-WEEKDAY(Table1[[#This Row],[Date]],2)+1)</f>
        <v>44158</v>
      </c>
      <c r="R362" s="175">
        <f>IF(ISBLANK(Table1[[#This Row],[Date]]),"",DATE(Table1[[#This Row],[Date_Year]],Table1[[#This Row],[Date_Month]],1))</f>
        <v>44136</v>
      </c>
    </row>
    <row r="363" spans="2:18" ht="15.75" hidden="1" x14ac:dyDescent="0.25">
      <c r="B363" s="165">
        <v>44160</v>
      </c>
      <c r="C363" s="166" t="s">
        <v>148</v>
      </c>
      <c r="D363" s="166" t="s">
        <v>65</v>
      </c>
      <c r="E363" s="167"/>
      <c r="F363" s="114">
        <v>-10.59</v>
      </c>
      <c r="G363" s="168"/>
      <c r="H363" s="169"/>
      <c r="I363" s="170"/>
      <c r="J363" s="171" t="s">
        <v>569</v>
      </c>
      <c r="K363" s="172" t="s">
        <v>177</v>
      </c>
      <c r="L363" s="172" t="s">
        <v>175</v>
      </c>
      <c r="M363" s="173" t="str" cm="1">
        <f t="array" ref="M363">IFERROR(INDEX(CategoriesTable[Category type],MATCH(Table1[[#This Row],[Category]],CategoriesTable[Category name],0),0),"")</f>
        <v>Expense</v>
      </c>
      <c r="N363" s="173">
        <v>25</v>
      </c>
      <c r="O363" s="173">
        <f>MONTH(Table1[[#This Row],[Date]])</f>
        <v>11</v>
      </c>
      <c r="P363" s="173">
        <v>2020</v>
      </c>
      <c r="Q363" s="174">
        <f>IF(ISBLANK(Table1[[#This Row],[Date]]),"",Table1[[#This Row],[Date]]-WEEKDAY(Table1[[#This Row],[Date]],2)+1)</f>
        <v>44158</v>
      </c>
      <c r="R363" s="175">
        <f>IF(ISBLANK(Table1[[#This Row],[Date]]),"",DATE(Table1[[#This Row],[Date_Year]],Table1[[#This Row],[Date_Month]],1))</f>
        <v>44136</v>
      </c>
    </row>
    <row r="364" spans="2:18" ht="15.75" hidden="1" x14ac:dyDescent="0.25">
      <c r="B364" s="165">
        <v>44160</v>
      </c>
      <c r="C364" s="166" t="s">
        <v>128</v>
      </c>
      <c r="D364" s="166" t="s">
        <v>53</v>
      </c>
      <c r="E364" s="167"/>
      <c r="F364" s="114">
        <v>-20.13</v>
      </c>
      <c r="G364" s="168"/>
      <c r="H364" s="169"/>
      <c r="I364" s="170"/>
      <c r="J364" s="171" t="s">
        <v>570</v>
      </c>
      <c r="K364" s="172" t="s">
        <v>177</v>
      </c>
      <c r="L364" s="172" t="s">
        <v>175</v>
      </c>
      <c r="M364" s="173" t="str" cm="1">
        <f t="array" ref="M364">IFERROR(INDEX(CategoriesTable[Category type],MATCH(Table1[[#This Row],[Category]],CategoriesTable[Category name],0),0),"")</f>
        <v>Expense</v>
      </c>
      <c r="N364" s="173">
        <v>25</v>
      </c>
      <c r="O364" s="173">
        <f>MONTH(Table1[[#This Row],[Date]])</f>
        <v>11</v>
      </c>
      <c r="P364" s="173">
        <v>2020</v>
      </c>
      <c r="Q364" s="174">
        <f>IF(ISBLANK(Table1[[#This Row],[Date]]),"",Table1[[#This Row],[Date]]-WEEKDAY(Table1[[#This Row],[Date]],2)+1)</f>
        <v>44158</v>
      </c>
      <c r="R364" s="175">
        <f>IF(ISBLANK(Table1[[#This Row],[Date]]),"",DATE(Table1[[#This Row],[Date_Year]],Table1[[#This Row],[Date_Month]],1))</f>
        <v>44136</v>
      </c>
    </row>
    <row r="365" spans="2:18" ht="15.75" hidden="1" x14ac:dyDescent="0.25">
      <c r="B365" s="165">
        <v>44160</v>
      </c>
      <c r="C365" s="166" t="s">
        <v>146</v>
      </c>
      <c r="D365" s="166" t="s">
        <v>58</v>
      </c>
      <c r="E365" s="167"/>
      <c r="F365" s="114">
        <v>-107.76</v>
      </c>
      <c r="G365" s="168"/>
      <c r="H365" s="169"/>
      <c r="I365" s="170"/>
      <c r="J365" s="171" t="s">
        <v>571</v>
      </c>
      <c r="K365" s="172" t="s">
        <v>177</v>
      </c>
      <c r="L365" s="172" t="s">
        <v>175</v>
      </c>
      <c r="M365" s="173" t="str" cm="1">
        <f t="array" ref="M365">IFERROR(INDEX(CategoriesTable[Category type],MATCH(Table1[[#This Row],[Category]],CategoriesTable[Category name],0),0),"")</f>
        <v>Expense</v>
      </c>
      <c r="N365" s="173">
        <v>25</v>
      </c>
      <c r="O365" s="173">
        <f>MONTH(Table1[[#This Row],[Date]])</f>
        <v>11</v>
      </c>
      <c r="P365" s="173">
        <v>2020</v>
      </c>
      <c r="Q365" s="174">
        <f>IF(ISBLANK(Table1[[#This Row],[Date]]),"",Table1[[#This Row],[Date]]-WEEKDAY(Table1[[#This Row],[Date]],2)+1)</f>
        <v>44158</v>
      </c>
      <c r="R365" s="175">
        <f>IF(ISBLANK(Table1[[#This Row],[Date]]),"",DATE(Table1[[#This Row],[Date_Year]],Table1[[#This Row],[Date_Month]],1))</f>
        <v>44136</v>
      </c>
    </row>
    <row r="366" spans="2:18" ht="15.75" hidden="1" x14ac:dyDescent="0.25">
      <c r="B366" s="165">
        <v>44160</v>
      </c>
      <c r="C366" s="166" t="s">
        <v>572</v>
      </c>
      <c r="D366" s="166" t="s">
        <v>63</v>
      </c>
      <c r="E366" s="167"/>
      <c r="F366" s="114">
        <v>-3.5</v>
      </c>
      <c r="G366" s="168"/>
      <c r="H366" s="169"/>
      <c r="I366" s="170"/>
      <c r="J366" s="171" t="s">
        <v>573</v>
      </c>
      <c r="K366" s="172" t="s">
        <v>177</v>
      </c>
      <c r="L366" s="172" t="s">
        <v>175</v>
      </c>
      <c r="M366" s="173" t="str" cm="1">
        <f t="array" ref="M366">IFERROR(INDEX(CategoriesTable[Category type],MATCH(Table1[[#This Row],[Category]],CategoriesTable[Category name],0),0),"")</f>
        <v>Expense</v>
      </c>
      <c r="N366" s="173">
        <v>25</v>
      </c>
      <c r="O366" s="173">
        <f>MONTH(Table1[[#This Row],[Date]])</f>
        <v>11</v>
      </c>
      <c r="P366" s="173">
        <v>2020</v>
      </c>
      <c r="Q366" s="174">
        <f>IF(ISBLANK(Table1[[#This Row],[Date]]),"",Table1[[#This Row],[Date]]-WEEKDAY(Table1[[#This Row],[Date]],2)+1)</f>
        <v>44158</v>
      </c>
      <c r="R366" s="175">
        <f>IF(ISBLANK(Table1[[#This Row],[Date]]),"",DATE(Table1[[#This Row],[Date_Year]],Table1[[#This Row],[Date_Month]],1))</f>
        <v>44136</v>
      </c>
    </row>
    <row r="367" spans="2:18" ht="15.75" hidden="1" x14ac:dyDescent="0.25">
      <c r="B367" s="165">
        <v>44160</v>
      </c>
      <c r="C367" s="166" t="s">
        <v>1560</v>
      </c>
      <c r="D367" s="166" t="s">
        <v>55</v>
      </c>
      <c r="E367" s="167"/>
      <c r="F367" s="114">
        <v>-592.32000000000005</v>
      </c>
      <c r="G367" s="168"/>
      <c r="H367" s="169"/>
      <c r="I367" s="170"/>
      <c r="J367" s="171" t="s">
        <v>575</v>
      </c>
      <c r="K367" s="172" t="s">
        <v>177</v>
      </c>
      <c r="L367" s="172" t="s">
        <v>175</v>
      </c>
      <c r="M367" s="173" t="str" cm="1">
        <f t="array" ref="M367">IFERROR(INDEX(CategoriesTable[Category type],MATCH(Table1[[#This Row],[Category]],CategoriesTable[Category name],0),0),"")</f>
        <v>Expense</v>
      </c>
      <c r="N367" s="173">
        <v>25</v>
      </c>
      <c r="O367" s="173">
        <f>MONTH(Table1[[#This Row],[Date]])</f>
        <v>11</v>
      </c>
      <c r="P367" s="173">
        <v>2020</v>
      </c>
      <c r="Q367" s="174">
        <f>IF(ISBLANK(Table1[[#This Row],[Date]]),"",Table1[[#This Row],[Date]]-WEEKDAY(Table1[[#This Row],[Date]],2)+1)</f>
        <v>44158</v>
      </c>
      <c r="R367" s="175">
        <f>IF(ISBLANK(Table1[[#This Row],[Date]]),"",DATE(Table1[[#This Row],[Date_Year]],Table1[[#This Row],[Date_Month]],1))</f>
        <v>44136</v>
      </c>
    </row>
    <row r="368" spans="2:18" ht="15.75" hidden="1" x14ac:dyDescent="0.25">
      <c r="B368" s="165">
        <v>44159</v>
      </c>
      <c r="C368" s="166" t="s">
        <v>576</v>
      </c>
      <c r="D368" s="166" t="s">
        <v>58</v>
      </c>
      <c r="E368" s="167"/>
      <c r="F368" s="114">
        <v>-22.34</v>
      </c>
      <c r="G368" s="168"/>
      <c r="H368" s="169"/>
      <c r="I368" s="170"/>
      <c r="J368" s="171" t="s">
        <v>577</v>
      </c>
      <c r="K368" s="172" t="s">
        <v>177</v>
      </c>
      <c r="L368" s="172" t="s">
        <v>175</v>
      </c>
      <c r="M368" s="173" t="str" cm="1">
        <f t="array" ref="M368">IFERROR(INDEX(CategoriesTable[Category type],MATCH(Table1[[#This Row],[Category]],CategoriesTable[Category name],0),0),"")</f>
        <v>Expense</v>
      </c>
      <c r="N368" s="173">
        <v>24</v>
      </c>
      <c r="O368" s="173">
        <f>MONTH(Table1[[#This Row],[Date]])</f>
        <v>11</v>
      </c>
      <c r="P368" s="173">
        <v>2020</v>
      </c>
      <c r="Q368" s="174">
        <f>IF(ISBLANK(Table1[[#This Row],[Date]]),"",Table1[[#This Row],[Date]]-WEEKDAY(Table1[[#This Row],[Date]],2)+1)</f>
        <v>44158</v>
      </c>
      <c r="R368" s="175">
        <f>IF(ISBLANK(Table1[[#This Row],[Date]]),"",DATE(Table1[[#This Row],[Date_Year]],Table1[[#This Row],[Date_Month]],1))</f>
        <v>44136</v>
      </c>
    </row>
    <row r="369" spans="2:18" ht="15.75" hidden="1" x14ac:dyDescent="0.25">
      <c r="B369" s="165">
        <v>44159</v>
      </c>
      <c r="C369" s="166" t="s">
        <v>222</v>
      </c>
      <c r="D369" s="166" t="s">
        <v>64</v>
      </c>
      <c r="E369" s="167"/>
      <c r="F369" s="114">
        <v>-10</v>
      </c>
      <c r="G369" s="168"/>
      <c r="H369" s="169"/>
      <c r="I369" s="170"/>
      <c r="J369" s="171" t="s">
        <v>578</v>
      </c>
      <c r="K369" s="172" t="s">
        <v>177</v>
      </c>
      <c r="L369" s="172" t="s">
        <v>175</v>
      </c>
      <c r="M369" s="173" t="str" cm="1">
        <f t="array" ref="M369">IFERROR(INDEX(CategoriesTable[Category type],MATCH(Table1[[#This Row],[Category]],CategoriesTable[Category name],0),0),"")</f>
        <v>Expense</v>
      </c>
      <c r="N369" s="173">
        <v>24</v>
      </c>
      <c r="O369" s="173">
        <f>MONTH(Table1[[#This Row],[Date]])</f>
        <v>11</v>
      </c>
      <c r="P369" s="173">
        <v>2020</v>
      </c>
      <c r="Q369" s="174">
        <f>IF(ISBLANK(Table1[[#This Row],[Date]]),"",Table1[[#This Row],[Date]]-WEEKDAY(Table1[[#This Row],[Date]],2)+1)</f>
        <v>44158</v>
      </c>
      <c r="R369" s="175">
        <f>IF(ISBLANK(Table1[[#This Row],[Date]]),"",DATE(Table1[[#This Row],[Date_Year]],Table1[[#This Row],[Date_Month]],1))</f>
        <v>44136</v>
      </c>
    </row>
    <row r="370" spans="2:18" ht="15.75" hidden="1" x14ac:dyDescent="0.25">
      <c r="B370" s="165">
        <v>44159</v>
      </c>
      <c r="C370" s="166" t="s">
        <v>222</v>
      </c>
      <c r="D370" s="166" t="s">
        <v>64</v>
      </c>
      <c r="E370" s="167"/>
      <c r="F370" s="114">
        <v>-20</v>
      </c>
      <c r="G370" s="168"/>
      <c r="H370" s="169"/>
      <c r="I370" s="170"/>
      <c r="J370" s="171" t="s">
        <v>579</v>
      </c>
      <c r="K370" s="172" t="s">
        <v>177</v>
      </c>
      <c r="L370" s="172" t="s">
        <v>175</v>
      </c>
      <c r="M370" s="173" t="str" cm="1">
        <f t="array" ref="M370">IFERROR(INDEX(CategoriesTable[Category type],MATCH(Table1[[#This Row],[Category]],CategoriesTable[Category name],0),0),"")</f>
        <v>Expense</v>
      </c>
      <c r="N370" s="173">
        <v>24</v>
      </c>
      <c r="O370" s="173">
        <f>MONTH(Table1[[#This Row],[Date]])</f>
        <v>11</v>
      </c>
      <c r="P370" s="173">
        <v>2020</v>
      </c>
      <c r="Q370" s="174">
        <f>IF(ISBLANK(Table1[[#This Row],[Date]]),"",Table1[[#This Row],[Date]]-WEEKDAY(Table1[[#This Row],[Date]],2)+1)</f>
        <v>44158</v>
      </c>
      <c r="R370" s="175">
        <f>IF(ISBLANK(Table1[[#This Row],[Date]]),"",DATE(Table1[[#This Row],[Date_Year]],Table1[[#This Row],[Date_Month]],1))</f>
        <v>44136</v>
      </c>
    </row>
    <row r="371" spans="2:18" ht="15.75" hidden="1" x14ac:dyDescent="0.25">
      <c r="B371" s="165">
        <v>44159</v>
      </c>
      <c r="C371" s="166" t="s">
        <v>214</v>
      </c>
      <c r="D371" s="166" t="s">
        <v>1553</v>
      </c>
      <c r="E371" s="167"/>
      <c r="F371" s="114">
        <v>-226</v>
      </c>
      <c r="G371" s="168"/>
      <c r="H371" s="169"/>
      <c r="I371" s="170"/>
      <c r="J371" s="171" t="s">
        <v>580</v>
      </c>
      <c r="K371" s="172" t="s">
        <v>177</v>
      </c>
      <c r="L371" s="172" t="s">
        <v>175</v>
      </c>
      <c r="M371" s="173" t="str" cm="1">
        <f t="array" ref="M371">IFERROR(INDEX(CategoriesTable[Category type],MATCH(Table1[[#This Row],[Category]],CategoriesTable[Category name],0),0),"")</f>
        <v>Expense</v>
      </c>
      <c r="N371" s="173">
        <v>24</v>
      </c>
      <c r="O371" s="173">
        <f>MONTH(Table1[[#This Row],[Date]])</f>
        <v>11</v>
      </c>
      <c r="P371" s="173">
        <v>2020</v>
      </c>
      <c r="Q371" s="174">
        <f>IF(ISBLANK(Table1[[#This Row],[Date]]),"",Table1[[#This Row],[Date]]-WEEKDAY(Table1[[#This Row],[Date]],2)+1)</f>
        <v>44158</v>
      </c>
      <c r="R371" s="175">
        <f>IF(ISBLANK(Table1[[#This Row],[Date]]),"",DATE(Table1[[#This Row],[Date_Year]],Table1[[#This Row],[Date_Month]],1))</f>
        <v>44136</v>
      </c>
    </row>
    <row r="372" spans="2:18" ht="15.75" hidden="1" x14ac:dyDescent="0.25">
      <c r="B372" s="165">
        <v>44159</v>
      </c>
      <c r="C372" s="166" t="s">
        <v>216</v>
      </c>
      <c r="D372" s="166" t="s">
        <v>64</v>
      </c>
      <c r="E372" s="167"/>
      <c r="F372" s="114">
        <v>-3.95</v>
      </c>
      <c r="G372" s="168"/>
      <c r="H372" s="169"/>
      <c r="I372" s="170"/>
      <c r="J372" s="171" t="s">
        <v>581</v>
      </c>
      <c r="K372" s="172" t="s">
        <v>177</v>
      </c>
      <c r="L372" s="172" t="s">
        <v>175</v>
      </c>
      <c r="M372" s="173" t="str" cm="1">
        <f t="array" ref="M372">IFERROR(INDEX(CategoriesTable[Category type],MATCH(Table1[[#This Row],[Category]],CategoriesTable[Category name],0),0),"")</f>
        <v>Expense</v>
      </c>
      <c r="N372" s="173">
        <v>24</v>
      </c>
      <c r="O372" s="173">
        <f>MONTH(Table1[[#This Row],[Date]])</f>
        <v>11</v>
      </c>
      <c r="P372" s="173">
        <v>2020</v>
      </c>
      <c r="Q372" s="174">
        <f>IF(ISBLANK(Table1[[#This Row],[Date]]),"",Table1[[#This Row],[Date]]-WEEKDAY(Table1[[#This Row],[Date]],2)+1)</f>
        <v>44158</v>
      </c>
      <c r="R372" s="175">
        <f>IF(ISBLANK(Table1[[#This Row],[Date]]),"",DATE(Table1[[#This Row],[Date_Year]],Table1[[#This Row],[Date_Month]],1))</f>
        <v>44136</v>
      </c>
    </row>
    <row r="373" spans="2:18" ht="15.75" hidden="1" x14ac:dyDescent="0.25">
      <c r="B373" s="165">
        <v>44159</v>
      </c>
      <c r="C373" s="166" t="s">
        <v>120</v>
      </c>
      <c r="D373" s="166" t="s">
        <v>66</v>
      </c>
      <c r="E373" s="167"/>
      <c r="F373" s="114">
        <v>-106.67</v>
      </c>
      <c r="G373" s="168"/>
      <c r="H373" s="169"/>
      <c r="I373" s="170"/>
      <c r="J373" s="171" t="s">
        <v>582</v>
      </c>
      <c r="K373" s="172" t="s">
        <v>177</v>
      </c>
      <c r="L373" s="172" t="s">
        <v>175</v>
      </c>
      <c r="M373" s="173" t="str" cm="1">
        <f t="array" ref="M373">IFERROR(INDEX(CategoriesTable[Category type],MATCH(Table1[[#This Row],[Category]],CategoriesTable[Category name],0),0),"")</f>
        <v>Expense</v>
      </c>
      <c r="N373" s="173">
        <v>24</v>
      </c>
      <c r="O373" s="173">
        <f>MONTH(Table1[[#This Row],[Date]])</f>
        <v>11</v>
      </c>
      <c r="P373" s="173">
        <v>2020</v>
      </c>
      <c r="Q373" s="174">
        <f>IF(ISBLANK(Table1[[#This Row],[Date]]),"",Table1[[#This Row],[Date]]-WEEKDAY(Table1[[#This Row],[Date]],2)+1)</f>
        <v>44158</v>
      </c>
      <c r="R373" s="175">
        <f>IF(ISBLANK(Table1[[#This Row],[Date]]),"",DATE(Table1[[#This Row],[Date_Year]],Table1[[#This Row],[Date_Month]],1))</f>
        <v>44136</v>
      </c>
    </row>
    <row r="374" spans="2:18" ht="15.75" hidden="1" x14ac:dyDescent="0.25">
      <c r="B374" s="165">
        <v>44159</v>
      </c>
      <c r="C374" s="166" t="s">
        <v>208</v>
      </c>
      <c r="D374" s="166" t="s">
        <v>55</v>
      </c>
      <c r="E374" s="167"/>
      <c r="F374" s="114">
        <v>-40.28</v>
      </c>
      <c r="G374" s="168"/>
      <c r="H374" s="169"/>
      <c r="I374" s="170"/>
      <c r="J374" s="171" t="s">
        <v>583</v>
      </c>
      <c r="K374" s="172" t="s">
        <v>177</v>
      </c>
      <c r="L374" s="172" t="s">
        <v>175</v>
      </c>
      <c r="M374" s="173" t="str" cm="1">
        <f t="array" ref="M374">IFERROR(INDEX(CategoriesTable[Category type],MATCH(Table1[[#This Row],[Category]],CategoriesTable[Category name],0),0),"")</f>
        <v>Expense</v>
      </c>
      <c r="N374" s="173">
        <v>24</v>
      </c>
      <c r="O374" s="173">
        <f>MONTH(Table1[[#This Row],[Date]])</f>
        <v>11</v>
      </c>
      <c r="P374" s="173">
        <v>2020</v>
      </c>
      <c r="Q374" s="174">
        <f>IF(ISBLANK(Table1[[#This Row],[Date]]),"",Table1[[#This Row],[Date]]-WEEKDAY(Table1[[#This Row],[Date]],2)+1)</f>
        <v>44158</v>
      </c>
      <c r="R374" s="175">
        <f>IF(ISBLANK(Table1[[#This Row],[Date]]),"",DATE(Table1[[#This Row],[Date_Year]],Table1[[#This Row],[Date_Month]],1))</f>
        <v>44136</v>
      </c>
    </row>
    <row r="375" spans="2:18" ht="15.75" hidden="1" x14ac:dyDescent="0.25">
      <c r="B375" s="165">
        <v>44158</v>
      </c>
      <c r="C375" s="166" t="s">
        <v>180</v>
      </c>
      <c r="D375" s="166" t="s">
        <v>52</v>
      </c>
      <c r="E375" s="167"/>
      <c r="F375" s="114">
        <v>-140</v>
      </c>
      <c r="G375" s="168"/>
      <c r="H375" s="169"/>
      <c r="I375" s="170"/>
      <c r="J375" s="171" t="s">
        <v>584</v>
      </c>
      <c r="K375" s="172" t="s">
        <v>177</v>
      </c>
      <c r="L375" s="172" t="s">
        <v>175</v>
      </c>
      <c r="M375" s="173" t="str" cm="1">
        <f t="array" ref="M375">IFERROR(INDEX(CategoriesTable[Category type],MATCH(Table1[[#This Row],[Category]],CategoriesTable[Category name],0),0),"")</f>
        <v>Transfer</v>
      </c>
      <c r="N375" s="173">
        <v>23</v>
      </c>
      <c r="O375" s="173">
        <f>MONTH(Table1[[#This Row],[Date]])</f>
        <v>11</v>
      </c>
      <c r="P375" s="173">
        <v>2020</v>
      </c>
      <c r="Q375" s="174">
        <f>IF(ISBLANK(Table1[[#This Row],[Date]]),"",Table1[[#This Row],[Date]]-WEEKDAY(Table1[[#This Row],[Date]],2)+1)</f>
        <v>44158</v>
      </c>
      <c r="R375" s="175">
        <f>IF(ISBLANK(Table1[[#This Row],[Date]]),"",DATE(Table1[[#This Row],[Date_Year]],Table1[[#This Row],[Date_Month]],1))</f>
        <v>44136</v>
      </c>
    </row>
    <row r="376" spans="2:18" ht="15.75" hidden="1" x14ac:dyDescent="0.25">
      <c r="B376" s="165">
        <v>44158</v>
      </c>
      <c r="C376" s="166" t="s">
        <v>121</v>
      </c>
      <c r="D376" s="166" t="s">
        <v>65</v>
      </c>
      <c r="E376" s="167"/>
      <c r="F376" s="114">
        <v>-22.12</v>
      </c>
      <c r="G376" s="168"/>
      <c r="H376" s="169"/>
      <c r="I376" s="170"/>
      <c r="J376" s="171" t="s">
        <v>585</v>
      </c>
      <c r="K376" s="172" t="s">
        <v>177</v>
      </c>
      <c r="L376" s="172" t="s">
        <v>175</v>
      </c>
      <c r="M376" s="173" t="str" cm="1">
        <f t="array" ref="M376">IFERROR(INDEX(CategoriesTable[Category type],MATCH(Table1[[#This Row],[Category]],CategoriesTable[Category name],0),0),"")</f>
        <v>Expense</v>
      </c>
      <c r="N376" s="173">
        <v>23</v>
      </c>
      <c r="O376" s="173">
        <f>MONTH(Table1[[#This Row],[Date]])</f>
        <v>11</v>
      </c>
      <c r="P376" s="173">
        <v>2020</v>
      </c>
      <c r="Q376" s="174">
        <f>IF(ISBLANK(Table1[[#This Row],[Date]]),"",Table1[[#This Row],[Date]]-WEEKDAY(Table1[[#This Row],[Date]],2)+1)</f>
        <v>44158</v>
      </c>
      <c r="R376" s="175">
        <f>IF(ISBLANK(Table1[[#This Row],[Date]]),"",DATE(Table1[[#This Row],[Date_Year]],Table1[[#This Row],[Date_Month]],1))</f>
        <v>44136</v>
      </c>
    </row>
    <row r="377" spans="2:18" ht="15.75" hidden="1" x14ac:dyDescent="0.25">
      <c r="B377" s="165">
        <v>44158</v>
      </c>
      <c r="C377" s="166" t="s">
        <v>143</v>
      </c>
      <c r="D377" s="166" t="s">
        <v>65</v>
      </c>
      <c r="E377" s="167"/>
      <c r="F377" s="114">
        <v>-53.67</v>
      </c>
      <c r="G377" s="168"/>
      <c r="H377" s="169"/>
      <c r="I377" s="170"/>
      <c r="J377" s="176" t="s">
        <v>586</v>
      </c>
      <c r="K377" s="172" t="s">
        <v>177</v>
      </c>
      <c r="L377" s="172" t="s">
        <v>175</v>
      </c>
      <c r="M377" s="173" t="str" cm="1">
        <f t="array" ref="M377">IFERROR(INDEX(CategoriesTable[Category type],MATCH(Table1[[#This Row],[Category]],CategoriesTable[Category name],0),0),"")</f>
        <v>Expense</v>
      </c>
      <c r="N377" s="173">
        <v>23</v>
      </c>
      <c r="O377" s="173">
        <f>MONTH(Table1[[#This Row],[Date]])</f>
        <v>11</v>
      </c>
      <c r="P377" s="173">
        <v>2020</v>
      </c>
      <c r="Q377" s="174">
        <f>IF(ISBLANK(Table1[[#This Row],[Date]]),"",Table1[[#This Row],[Date]]-WEEKDAY(Table1[[#This Row],[Date]],2)+1)</f>
        <v>44158</v>
      </c>
      <c r="R377" s="175">
        <f>IF(ISBLANK(Table1[[#This Row],[Date]]),"",DATE(Table1[[#This Row],[Date_Year]],Table1[[#This Row],[Date_Month]],1))</f>
        <v>44136</v>
      </c>
    </row>
    <row r="378" spans="2:18" ht="15.75" hidden="1" x14ac:dyDescent="0.25">
      <c r="B378" s="165">
        <v>44157</v>
      </c>
      <c r="C378" s="166" t="s">
        <v>222</v>
      </c>
      <c r="D378" s="166" t="s">
        <v>64</v>
      </c>
      <c r="E378" s="167"/>
      <c r="F378" s="114">
        <v>-20</v>
      </c>
      <c r="G378" s="168"/>
      <c r="H378" s="169"/>
      <c r="I378" s="170"/>
      <c r="J378" s="171" t="s">
        <v>587</v>
      </c>
      <c r="K378" s="172" t="s">
        <v>177</v>
      </c>
      <c r="L378" s="172" t="s">
        <v>175</v>
      </c>
      <c r="M378" s="173" t="str" cm="1">
        <f t="array" ref="M378">IFERROR(INDEX(CategoriesTable[Category type],MATCH(Table1[[#This Row],[Category]],CategoriesTable[Category name],0),0),"")</f>
        <v>Expense</v>
      </c>
      <c r="N378" s="173">
        <v>22</v>
      </c>
      <c r="O378" s="173">
        <f>MONTH(Table1[[#This Row],[Date]])</f>
        <v>11</v>
      </c>
      <c r="P378" s="173">
        <v>2020</v>
      </c>
      <c r="Q378" s="174">
        <f>IF(ISBLANK(Table1[[#This Row],[Date]]),"",Table1[[#This Row],[Date]]-WEEKDAY(Table1[[#This Row],[Date]],2)+1)</f>
        <v>44151</v>
      </c>
      <c r="R378" s="175">
        <f>IF(ISBLANK(Table1[[#This Row],[Date]]),"",DATE(Table1[[#This Row],[Date_Year]],Table1[[#This Row],[Date_Month]],1))</f>
        <v>44136</v>
      </c>
    </row>
    <row r="379" spans="2:18" ht="15.75" hidden="1" x14ac:dyDescent="0.25">
      <c r="B379" s="165">
        <v>44157</v>
      </c>
      <c r="C379" s="166" t="s">
        <v>588</v>
      </c>
      <c r="D379" s="166" t="s">
        <v>65</v>
      </c>
      <c r="E379" s="167"/>
      <c r="F379" s="114">
        <v>-25.94</v>
      </c>
      <c r="G379" s="168"/>
      <c r="H379" s="169"/>
      <c r="I379" s="170"/>
      <c r="J379" s="171" t="s">
        <v>589</v>
      </c>
      <c r="K379" s="172" t="s">
        <v>177</v>
      </c>
      <c r="L379" s="172" t="s">
        <v>175</v>
      </c>
      <c r="M379" s="173" t="str" cm="1">
        <f t="array" ref="M379">IFERROR(INDEX(CategoriesTable[Category type],MATCH(Table1[[#This Row],[Category]],CategoriesTable[Category name],0),0),"")</f>
        <v>Expense</v>
      </c>
      <c r="N379" s="173">
        <v>22</v>
      </c>
      <c r="O379" s="173">
        <f>MONTH(Table1[[#This Row],[Date]])</f>
        <v>11</v>
      </c>
      <c r="P379" s="173">
        <v>2020</v>
      </c>
      <c r="Q379" s="174">
        <f>IF(ISBLANK(Table1[[#This Row],[Date]]),"",Table1[[#This Row],[Date]]-WEEKDAY(Table1[[#This Row],[Date]],2)+1)</f>
        <v>44151</v>
      </c>
      <c r="R379" s="175">
        <f>IF(ISBLANK(Table1[[#This Row],[Date]]),"",DATE(Table1[[#This Row],[Date_Year]],Table1[[#This Row],[Date_Month]],1))</f>
        <v>44136</v>
      </c>
    </row>
    <row r="380" spans="2:18" ht="15.75" hidden="1" x14ac:dyDescent="0.25">
      <c r="B380" s="165">
        <v>44156</v>
      </c>
      <c r="C380" s="166" t="s">
        <v>121</v>
      </c>
      <c r="D380" s="166" t="s">
        <v>65</v>
      </c>
      <c r="E380" s="167"/>
      <c r="F380" s="114">
        <v>-10.14</v>
      </c>
      <c r="G380" s="168"/>
      <c r="H380" s="169"/>
      <c r="I380" s="170"/>
      <c r="J380" s="171" t="s">
        <v>590</v>
      </c>
      <c r="K380" s="172" t="s">
        <v>177</v>
      </c>
      <c r="L380" s="172" t="s">
        <v>175</v>
      </c>
      <c r="M380" s="173" t="str" cm="1">
        <f t="array" ref="M380">IFERROR(INDEX(CategoriesTable[Category type],MATCH(Table1[[#This Row],[Category]],CategoriesTable[Category name],0),0),"")</f>
        <v>Expense</v>
      </c>
      <c r="N380" s="173">
        <v>21</v>
      </c>
      <c r="O380" s="173">
        <f>MONTH(Table1[[#This Row],[Date]])</f>
        <v>11</v>
      </c>
      <c r="P380" s="173">
        <v>2020</v>
      </c>
      <c r="Q380" s="174">
        <f>IF(ISBLANK(Table1[[#This Row],[Date]]),"",Table1[[#This Row],[Date]]-WEEKDAY(Table1[[#This Row],[Date]],2)+1)</f>
        <v>44151</v>
      </c>
      <c r="R380" s="175">
        <f>IF(ISBLANK(Table1[[#This Row],[Date]]),"",DATE(Table1[[#This Row],[Date_Year]],Table1[[#This Row],[Date_Month]],1))</f>
        <v>44136</v>
      </c>
    </row>
    <row r="381" spans="2:18" ht="15.75" hidden="1" x14ac:dyDescent="0.25">
      <c r="B381" s="165">
        <v>44156</v>
      </c>
      <c r="C381" s="166" t="s">
        <v>184</v>
      </c>
      <c r="D381" s="166" t="s">
        <v>56</v>
      </c>
      <c r="E381" s="167"/>
      <c r="F381" s="114">
        <v>-12.99</v>
      </c>
      <c r="G381" s="168"/>
      <c r="H381" s="169"/>
      <c r="I381" s="170"/>
      <c r="J381" s="171" t="s">
        <v>591</v>
      </c>
      <c r="K381" s="172" t="s">
        <v>177</v>
      </c>
      <c r="L381" s="172" t="s">
        <v>175</v>
      </c>
      <c r="M381" s="173" t="str" cm="1">
        <f t="array" ref="M381">IFERROR(INDEX(CategoriesTable[Category type],MATCH(Table1[[#This Row],[Category]],CategoriesTable[Category name],0),0),"")</f>
        <v>Expense</v>
      </c>
      <c r="N381" s="173">
        <v>21</v>
      </c>
      <c r="O381" s="173">
        <f>MONTH(Table1[[#This Row],[Date]])</f>
        <v>11</v>
      </c>
      <c r="P381" s="173">
        <v>2020</v>
      </c>
      <c r="Q381" s="174">
        <f>IF(ISBLANK(Table1[[#This Row],[Date]]),"",Table1[[#This Row],[Date]]-WEEKDAY(Table1[[#This Row],[Date]],2)+1)</f>
        <v>44151</v>
      </c>
      <c r="R381" s="175">
        <f>IF(ISBLANK(Table1[[#This Row],[Date]]),"",DATE(Table1[[#This Row],[Date_Year]],Table1[[#This Row],[Date_Month]],1))</f>
        <v>44136</v>
      </c>
    </row>
    <row r="382" spans="2:18" ht="15.75" hidden="1" x14ac:dyDescent="0.25">
      <c r="B382" s="165">
        <v>44156</v>
      </c>
      <c r="C382" s="166" t="s">
        <v>184</v>
      </c>
      <c r="D382" s="166" t="s">
        <v>56</v>
      </c>
      <c r="E382" s="167"/>
      <c r="F382" s="114">
        <v>-19.989999999999998</v>
      </c>
      <c r="G382" s="168"/>
      <c r="H382" s="169"/>
      <c r="I382" s="170"/>
      <c r="J382" s="171" t="s">
        <v>592</v>
      </c>
      <c r="K382" s="172" t="s">
        <v>177</v>
      </c>
      <c r="L382" s="172" t="s">
        <v>175</v>
      </c>
      <c r="M382" s="173" t="str" cm="1">
        <f t="array" ref="M382">IFERROR(INDEX(CategoriesTable[Category type],MATCH(Table1[[#This Row],[Category]],CategoriesTable[Category name],0),0),"")</f>
        <v>Expense</v>
      </c>
      <c r="N382" s="173">
        <v>21</v>
      </c>
      <c r="O382" s="173">
        <f>MONTH(Table1[[#This Row],[Date]])</f>
        <v>11</v>
      </c>
      <c r="P382" s="173">
        <v>2020</v>
      </c>
      <c r="Q382" s="174">
        <f>IF(ISBLANK(Table1[[#This Row],[Date]]),"",Table1[[#This Row],[Date]]-WEEKDAY(Table1[[#This Row],[Date]],2)+1)</f>
        <v>44151</v>
      </c>
      <c r="R382" s="175">
        <f>IF(ISBLANK(Table1[[#This Row],[Date]]),"",DATE(Table1[[#This Row],[Date_Year]],Table1[[#This Row],[Date_Month]],1))</f>
        <v>44136</v>
      </c>
    </row>
    <row r="383" spans="2:18" ht="15.75" hidden="1" x14ac:dyDescent="0.25">
      <c r="B383" s="165">
        <v>44155</v>
      </c>
      <c r="C383" s="166" t="s">
        <v>593</v>
      </c>
      <c r="D383" s="166" t="s">
        <v>59</v>
      </c>
      <c r="E383" s="167"/>
      <c r="F383" s="114">
        <v>-75</v>
      </c>
      <c r="G383" s="168"/>
      <c r="H383" s="169"/>
      <c r="I383" s="170"/>
      <c r="J383" s="171" t="s">
        <v>594</v>
      </c>
      <c r="K383" s="172" t="s">
        <v>177</v>
      </c>
      <c r="L383" s="172" t="s">
        <v>175</v>
      </c>
      <c r="M383" s="173" t="str" cm="1">
        <f t="array" ref="M383">IFERROR(INDEX(CategoriesTable[Category type],MATCH(Table1[[#This Row],[Category]],CategoriesTable[Category name],0),0),"")</f>
        <v>Expense</v>
      </c>
      <c r="N383" s="173">
        <v>20</v>
      </c>
      <c r="O383" s="173">
        <f>MONTH(Table1[[#This Row],[Date]])</f>
        <v>11</v>
      </c>
      <c r="P383" s="173">
        <v>2020</v>
      </c>
      <c r="Q383" s="174">
        <f>IF(ISBLANK(Table1[[#This Row],[Date]]),"",Table1[[#This Row],[Date]]-WEEKDAY(Table1[[#This Row],[Date]],2)+1)</f>
        <v>44151</v>
      </c>
      <c r="R383" s="175">
        <f>IF(ISBLANK(Table1[[#This Row],[Date]]),"",DATE(Table1[[#This Row],[Date_Year]],Table1[[#This Row],[Date_Month]],1))</f>
        <v>44136</v>
      </c>
    </row>
    <row r="384" spans="2:18" ht="15.75" hidden="1" x14ac:dyDescent="0.25">
      <c r="B384" s="165">
        <v>44155</v>
      </c>
      <c r="C384" s="166" t="s">
        <v>121</v>
      </c>
      <c r="D384" s="166" t="s">
        <v>65</v>
      </c>
      <c r="E384" s="167"/>
      <c r="F384" s="114">
        <v>-10.9</v>
      </c>
      <c r="G384" s="168"/>
      <c r="H384" s="169"/>
      <c r="I384" s="170"/>
      <c r="J384" s="171" t="s">
        <v>595</v>
      </c>
      <c r="K384" s="172" t="s">
        <v>177</v>
      </c>
      <c r="L384" s="172" t="s">
        <v>175</v>
      </c>
      <c r="M384" s="173" t="str" cm="1">
        <f t="array" ref="M384">IFERROR(INDEX(CategoriesTable[Category type],MATCH(Table1[[#This Row],[Category]],CategoriesTable[Category name],0),0),"")</f>
        <v>Expense</v>
      </c>
      <c r="N384" s="173">
        <v>20</v>
      </c>
      <c r="O384" s="173">
        <f>MONTH(Table1[[#This Row],[Date]])</f>
        <v>11</v>
      </c>
      <c r="P384" s="173">
        <v>2020</v>
      </c>
      <c r="Q384" s="174">
        <f>IF(ISBLANK(Table1[[#This Row],[Date]]),"",Table1[[#This Row],[Date]]-WEEKDAY(Table1[[#This Row],[Date]],2)+1)</f>
        <v>44151</v>
      </c>
      <c r="R384" s="175">
        <f>IF(ISBLANK(Table1[[#This Row],[Date]]),"",DATE(Table1[[#This Row],[Date_Year]],Table1[[#This Row],[Date_Month]],1))</f>
        <v>44136</v>
      </c>
    </row>
    <row r="385" spans="2:18" ht="15.75" hidden="1" x14ac:dyDescent="0.25">
      <c r="B385" s="165">
        <v>44155</v>
      </c>
      <c r="C385" s="166" t="s">
        <v>184</v>
      </c>
      <c r="D385" s="166" t="s">
        <v>56</v>
      </c>
      <c r="E385" s="167"/>
      <c r="F385" s="114">
        <v>-19.989999999999998</v>
      </c>
      <c r="G385" s="168"/>
      <c r="H385" s="169"/>
      <c r="I385" s="170"/>
      <c r="J385" s="171" t="s">
        <v>596</v>
      </c>
      <c r="K385" s="172" t="s">
        <v>177</v>
      </c>
      <c r="L385" s="172" t="s">
        <v>175</v>
      </c>
      <c r="M385" s="173" t="str" cm="1">
        <f t="array" ref="M385">IFERROR(INDEX(CategoriesTable[Category type],MATCH(Table1[[#This Row],[Category]],CategoriesTable[Category name],0),0),"")</f>
        <v>Expense</v>
      </c>
      <c r="N385" s="173">
        <v>20</v>
      </c>
      <c r="O385" s="173">
        <f>MONTH(Table1[[#This Row],[Date]])</f>
        <v>11</v>
      </c>
      <c r="P385" s="173">
        <v>2020</v>
      </c>
      <c r="Q385" s="174">
        <f>IF(ISBLANK(Table1[[#This Row],[Date]]),"",Table1[[#This Row],[Date]]-WEEKDAY(Table1[[#This Row],[Date]],2)+1)</f>
        <v>44151</v>
      </c>
      <c r="R385" s="175">
        <f>IF(ISBLANK(Table1[[#This Row],[Date]]),"",DATE(Table1[[#This Row],[Date_Year]],Table1[[#This Row],[Date_Month]],1))</f>
        <v>44136</v>
      </c>
    </row>
    <row r="386" spans="2:18" ht="15.75" hidden="1" x14ac:dyDescent="0.25">
      <c r="B386" s="165">
        <v>44155</v>
      </c>
      <c r="C386" s="166" t="s">
        <v>193</v>
      </c>
      <c r="D386" s="166" t="s">
        <v>56</v>
      </c>
      <c r="E386" s="167"/>
      <c r="F386" s="114">
        <v>-14.99</v>
      </c>
      <c r="G386" s="168"/>
      <c r="H386" s="169"/>
      <c r="I386" s="170"/>
      <c r="J386" s="171" t="s">
        <v>597</v>
      </c>
      <c r="K386" s="172" t="s">
        <v>177</v>
      </c>
      <c r="L386" s="172" t="s">
        <v>175</v>
      </c>
      <c r="M386" s="173" t="str" cm="1">
        <f t="array" ref="M386">IFERROR(INDEX(CategoriesTable[Category type],MATCH(Table1[[#This Row],[Category]],CategoriesTable[Category name],0),0),"")</f>
        <v>Expense</v>
      </c>
      <c r="N386" s="173">
        <v>20</v>
      </c>
      <c r="O386" s="173">
        <f>MONTH(Table1[[#This Row],[Date]])</f>
        <v>11</v>
      </c>
      <c r="P386" s="173">
        <v>2020</v>
      </c>
      <c r="Q386" s="174">
        <f>IF(ISBLANK(Table1[[#This Row],[Date]]),"",Table1[[#This Row],[Date]]-WEEKDAY(Table1[[#This Row],[Date]],2)+1)</f>
        <v>44151</v>
      </c>
      <c r="R386" s="175">
        <f>IF(ISBLANK(Table1[[#This Row],[Date]]),"",DATE(Table1[[#This Row],[Date_Year]],Table1[[#This Row],[Date_Month]],1))</f>
        <v>44136</v>
      </c>
    </row>
    <row r="387" spans="2:18" ht="15.75" hidden="1" x14ac:dyDescent="0.25">
      <c r="B387" s="165">
        <v>44155</v>
      </c>
      <c r="C387" s="166" t="s">
        <v>184</v>
      </c>
      <c r="D387" s="166" t="s">
        <v>56</v>
      </c>
      <c r="E387" s="167"/>
      <c r="F387" s="114">
        <v>-19.989999999999998</v>
      </c>
      <c r="G387" s="168"/>
      <c r="H387" s="169"/>
      <c r="I387" s="170"/>
      <c r="J387" s="171" t="s">
        <v>598</v>
      </c>
      <c r="K387" s="172" t="s">
        <v>177</v>
      </c>
      <c r="L387" s="172" t="s">
        <v>175</v>
      </c>
      <c r="M387" s="173" t="str" cm="1">
        <f t="array" ref="M387">IFERROR(INDEX(CategoriesTable[Category type],MATCH(Table1[[#This Row],[Category]],CategoriesTable[Category name],0),0),"")</f>
        <v>Expense</v>
      </c>
      <c r="N387" s="173">
        <v>20</v>
      </c>
      <c r="O387" s="173">
        <f>MONTH(Table1[[#This Row],[Date]])</f>
        <v>11</v>
      </c>
      <c r="P387" s="173">
        <v>2020</v>
      </c>
      <c r="Q387" s="174">
        <f>IF(ISBLANK(Table1[[#This Row],[Date]]),"",Table1[[#This Row],[Date]]-WEEKDAY(Table1[[#This Row],[Date]],2)+1)</f>
        <v>44151</v>
      </c>
      <c r="R387" s="175">
        <f>IF(ISBLANK(Table1[[#This Row],[Date]]),"",DATE(Table1[[#This Row],[Date_Year]],Table1[[#This Row],[Date_Month]],1))</f>
        <v>44136</v>
      </c>
    </row>
    <row r="388" spans="2:18" ht="15.75" hidden="1" x14ac:dyDescent="0.25">
      <c r="B388" s="165">
        <v>44154</v>
      </c>
      <c r="C388" s="166" t="s">
        <v>143</v>
      </c>
      <c r="D388" s="166" t="s">
        <v>65</v>
      </c>
      <c r="E388" s="167"/>
      <c r="F388" s="114">
        <v>-27.66</v>
      </c>
      <c r="G388" s="168"/>
      <c r="H388" s="169"/>
      <c r="I388" s="170"/>
      <c r="J388" s="171" t="s">
        <v>599</v>
      </c>
      <c r="K388" s="172" t="s">
        <v>177</v>
      </c>
      <c r="L388" s="172" t="s">
        <v>175</v>
      </c>
      <c r="M388" s="173" t="str" cm="1">
        <f t="array" ref="M388">IFERROR(INDEX(CategoriesTable[Category type],MATCH(Table1[[#This Row],[Category]],CategoriesTable[Category name],0),0),"")</f>
        <v>Expense</v>
      </c>
      <c r="N388" s="173">
        <v>19</v>
      </c>
      <c r="O388" s="173">
        <f>MONTH(Table1[[#This Row],[Date]])</f>
        <v>11</v>
      </c>
      <c r="P388" s="173">
        <v>2020</v>
      </c>
      <c r="Q388" s="174">
        <f>IF(ISBLANK(Table1[[#This Row],[Date]]),"",Table1[[#This Row],[Date]]-WEEKDAY(Table1[[#This Row],[Date]],2)+1)</f>
        <v>44151</v>
      </c>
      <c r="R388" s="175">
        <f>IF(ISBLANK(Table1[[#This Row],[Date]]),"",DATE(Table1[[#This Row],[Date_Year]],Table1[[#This Row],[Date_Month]],1))</f>
        <v>44136</v>
      </c>
    </row>
    <row r="389" spans="2:18" ht="15.75" hidden="1" x14ac:dyDescent="0.25">
      <c r="B389" s="165">
        <v>44153</v>
      </c>
      <c r="C389" s="166" t="s">
        <v>133</v>
      </c>
      <c r="D389" s="166" t="s">
        <v>65</v>
      </c>
      <c r="E389" s="167"/>
      <c r="F389" s="114">
        <v>-26.65</v>
      </c>
      <c r="G389" s="168"/>
      <c r="H389" s="169"/>
      <c r="I389" s="170"/>
      <c r="J389" s="171" t="s">
        <v>600</v>
      </c>
      <c r="K389" s="172" t="s">
        <v>177</v>
      </c>
      <c r="L389" s="172" t="s">
        <v>175</v>
      </c>
      <c r="M389" s="173" t="str" cm="1">
        <f t="array" ref="M389">IFERROR(INDEX(CategoriesTable[Category type],MATCH(Table1[[#This Row],[Category]],CategoriesTable[Category name],0),0),"")</f>
        <v>Expense</v>
      </c>
      <c r="N389" s="173">
        <v>18</v>
      </c>
      <c r="O389" s="173">
        <f>MONTH(Table1[[#This Row],[Date]])</f>
        <v>11</v>
      </c>
      <c r="P389" s="173">
        <v>2020</v>
      </c>
      <c r="Q389" s="174">
        <f>IF(ISBLANK(Table1[[#This Row],[Date]]),"",Table1[[#This Row],[Date]]-WEEKDAY(Table1[[#This Row],[Date]],2)+1)</f>
        <v>44151</v>
      </c>
      <c r="R389" s="175">
        <f>IF(ISBLANK(Table1[[#This Row],[Date]]),"",DATE(Table1[[#This Row],[Date_Year]],Table1[[#This Row],[Date_Month]],1))</f>
        <v>44136</v>
      </c>
    </row>
    <row r="390" spans="2:18" ht="15.75" hidden="1" x14ac:dyDescent="0.25">
      <c r="B390" s="165">
        <v>44153</v>
      </c>
      <c r="C390" s="166" t="s">
        <v>120</v>
      </c>
      <c r="D390" s="166" t="s">
        <v>66</v>
      </c>
      <c r="E390" s="167"/>
      <c r="F390" s="114">
        <v>-22.89</v>
      </c>
      <c r="G390" s="168"/>
      <c r="H390" s="169"/>
      <c r="I390" s="170"/>
      <c r="J390" s="171" t="s">
        <v>601</v>
      </c>
      <c r="K390" s="172" t="s">
        <v>177</v>
      </c>
      <c r="L390" s="172" t="s">
        <v>175</v>
      </c>
      <c r="M390" s="173" t="str" cm="1">
        <f t="array" ref="M390">IFERROR(INDEX(CategoriesTable[Category type],MATCH(Table1[[#This Row],[Category]],CategoriesTable[Category name],0),0),"")</f>
        <v>Expense</v>
      </c>
      <c r="N390" s="173">
        <v>18</v>
      </c>
      <c r="O390" s="173">
        <f>MONTH(Table1[[#This Row],[Date]])</f>
        <v>11</v>
      </c>
      <c r="P390" s="173">
        <v>2020</v>
      </c>
      <c r="Q390" s="174">
        <f>IF(ISBLANK(Table1[[#This Row],[Date]]),"",Table1[[#This Row],[Date]]-WEEKDAY(Table1[[#This Row],[Date]],2)+1)</f>
        <v>44151</v>
      </c>
      <c r="R390" s="175">
        <f>IF(ISBLANK(Table1[[#This Row],[Date]]),"",DATE(Table1[[#This Row],[Date_Year]],Table1[[#This Row],[Date_Month]],1))</f>
        <v>44136</v>
      </c>
    </row>
    <row r="391" spans="2:18" ht="15.75" hidden="1" x14ac:dyDescent="0.25">
      <c r="B391" s="165">
        <v>44153</v>
      </c>
      <c r="C391" s="166" t="s">
        <v>182</v>
      </c>
      <c r="D391" s="166" t="s">
        <v>55</v>
      </c>
      <c r="E391" s="167"/>
      <c r="F391" s="114">
        <v>-10.9</v>
      </c>
      <c r="G391" s="168"/>
      <c r="H391" s="169"/>
      <c r="I391" s="170"/>
      <c r="J391" s="171" t="s">
        <v>602</v>
      </c>
      <c r="K391" s="172" t="s">
        <v>177</v>
      </c>
      <c r="L391" s="172" t="s">
        <v>175</v>
      </c>
      <c r="M391" s="173" t="str" cm="1">
        <f t="array" ref="M391">IFERROR(INDEX(CategoriesTable[Category type],MATCH(Table1[[#This Row],[Category]],CategoriesTable[Category name],0),0),"")</f>
        <v>Expense</v>
      </c>
      <c r="N391" s="173">
        <v>18</v>
      </c>
      <c r="O391" s="173">
        <f>MONTH(Table1[[#This Row],[Date]])</f>
        <v>11</v>
      </c>
      <c r="P391" s="173">
        <v>2020</v>
      </c>
      <c r="Q391" s="174">
        <f>IF(ISBLANK(Table1[[#This Row],[Date]]),"",Table1[[#This Row],[Date]]-WEEKDAY(Table1[[#This Row],[Date]],2)+1)</f>
        <v>44151</v>
      </c>
      <c r="R391" s="175">
        <f>IF(ISBLANK(Table1[[#This Row],[Date]]),"",DATE(Table1[[#This Row],[Date_Year]],Table1[[#This Row],[Date_Month]],1))</f>
        <v>44136</v>
      </c>
    </row>
    <row r="392" spans="2:18" ht="15.75" hidden="1" x14ac:dyDescent="0.25">
      <c r="B392" s="165">
        <v>44153</v>
      </c>
      <c r="C392" s="166" t="s">
        <v>129</v>
      </c>
      <c r="D392" s="166" t="s">
        <v>55</v>
      </c>
      <c r="E392" s="167"/>
      <c r="F392" s="114">
        <v>-75.599999999999994</v>
      </c>
      <c r="G392" s="168"/>
      <c r="H392" s="169"/>
      <c r="I392" s="170"/>
      <c r="J392" s="171" t="s">
        <v>603</v>
      </c>
      <c r="K392" s="172" t="s">
        <v>177</v>
      </c>
      <c r="L392" s="172" t="s">
        <v>175</v>
      </c>
      <c r="M392" s="173" t="str" cm="1">
        <f t="array" ref="M392">IFERROR(INDEX(CategoriesTable[Category type],MATCH(Table1[[#This Row],[Category]],CategoriesTable[Category name],0),0),"")</f>
        <v>Expense</v>
      </c>
      <c r="N392" s="173">
        <v>18</v>
      </c>
      <c r="O392" s="173">
        <f>MONTH(Table1[[#This Row],[Date]])</f>
        <v>11</v>
      </c>
      <c r="P392" s="173">
        <v>2020</v>
      </c>
      <c r="Q392" s="174">
        <f>IF(ISBLANK(Table1[[#This Row],[Date]]),"",Table1[[#This Row],[Date]]-WEEKDAY(Table1[[#This Row],[Date]],2)+1)</f>
        <v>44151</v>
      </c>
      <c r="R392" s="175">
        <f>IF(ISBLANK(Table1[[#This Row],[Date]]),"",DATE(Table1[[#This Row],[Date_Year]],Table1[[#This Row],[Date_Month]],1))</f>
        <v>44136</v>
      </c>
    </row>
    <row r="393" spans="2:18" ht="15.75" hidden="1" x14ac:dyDescent="0.25">
      <c r="B393" s="165">
        <v>44151</v>
      </c>
      <c r="C393" s="166" t="s">
        <v>120</v>
      </c>
      <c r="D393" s="166" t="s">
        <v>66</v>
      </c>
      <c r="E393" s="167"/>
      <c r="F393" s="114">
        <v>-30.62</v>
      </c>
      <c r="G393" s="168"/>
      <c r="H393" s="169"/>
      <c r="I393" s="170"/>
      <c r="J393" s="171" t="s">
        <v>604</v>
      </c>
      <c r="K393" s="172" t="s">
        <v>177</v>
      </c>
      <c r="L393" s="172" t="s">
        <v>175</v>
      </c>
      <c r="M393" s="173" t="str" cm="1">
        <f t="array" ref="M393">IFERROR(INDEX(CategoriesTable[Category type],MATCH(Table1[[#This Row],[Category]],CategoriesTable[Category name],0),0),"")</f>
        <v>Expense</v>
      </c>
      <c r="N393" s="173">
        <v>16</v>
      </c>
      <c r="O393" s="173">
        <f>MONTH(Table1[[#This Row],[Date]])</f>
        <v>11</v>
      </c>
      <c r="P393" s="173">
        <v>2020</v>
      </c>
      <c r="Q393" s="174">
        <f>IF(ISBLANK(Table1[[#This Row],[Date]]),"",Table1[[#This Row],[Date]]-WEEKDAY(Table1[[#This Row],[Date]],2)+1)</f>
        <v>44151</v>
      </c>
      <c r="R393" s="175">
        <f>IF(ISBLANK(Table1[[#This Row],[Date]]),"",DATE(Table1[[#This Row],[Date_Year]],Table1[[#This Row],[Date_Month]],1))</f>
        <v>44136</v>
      </c>
    </row>
    <row r="394" spans="2:18" ht="15.75" hidden="1" x14ac:dyDescent="0.25">
      <c r="B394" s="165">
        <v>44151</v>
      </c>
      <c r="C394" s="166" t="s">
        <v>184</v>
      </c>
      <c r="D394" s="166" t="s">
        <v>56</v>
      </c>
      <c r="E394" s="167"/>
      <c r="F394" s="114">
        <v>-39.99</v>
      </c>
      <c r="G394" s="168"/>
      <c r="H394" s="169"/>
      <c r="I394" s="170"/>
      <c r="J394" s="171" t="s">
        <v>605</v>
      </c>
      <c r="K394" s="172" t="s">
        <v>177</v>
      </c>
      <c r="L394" s="172" t="s">
        <v>175</v>
      </c>
      <c r="M394" s="173" t="str" cm="1">
        <f t="array" ref="M394">IFERROR(INDEX(CategoriesTable[Category type],MATCH(Table1[[#This Row],[Category]],CategoriesTable[Category name],0),0),"")</f>
        <v>Expense</v>
      </c>
      <c r="N394" s="173">
        <v>16</v>
      </c>
      <c r="O394" s="173">
        <f>MONTH(Table1[[#This Row],[Date]])</f>
        <v>11</v>
      </c>
      <c r="P394" s="173">
        <v>2020</v>
      </c>
      <c r="Q394" s="174">
        <f>IF(ISBLANK(Table1[[#This Row],[Date]]),"",Table1[[#This Row],[Date]]-WEEKDAY(Table1[[#This Row],[Date]],2)+1)</f>
        <v>44151</v>
      </c>
      <c r="R394" s="175">
        <f>IF(ISBLANK(Table1[[#This Row],[Date]]),"",DATE(Table1[[#This Row],[Date_Year]],Table1[[#This Row],[Date_Month]],1))</f>
        <v>44136</v>
      </c>
    </row>
    <row r="395" spans="2:18" ht="15.75" hidden="1" x14ac:dyDescent="0.25">
      <c r="B395" s="165">
        <v>44151</v>
      </c>
      <c r="C395" s="166" t="s">
        <v>606</v>
      </c>
      <c r="D395" s="166" t="s">
        <v>55</v>
      </c>
      <c r="E395" s="167"/>
      <c r="F395" s="114">
        <v>-79.849999999999994</v>
      </c>
      <c r="G395" s="168"/>
      <c r="H395" s="169"/>
      <c r="I395" s="170"/>
      <c r="J395" s="171" t="s">
        <v>607</v>
      </c>
      <c r="K395" s="172" t="s">
        <v>177</v>
      </c>
      <c r="L395" s="172" t="s">
        <v>175</v>
      </c>
      <c r="M395" s="173" t="str" cm="1">
        <f t="array" ref="M395">IFERROR(INDEX(CategoriesTable[Category type],MATCH(Table1[[#This Row],[Category]],CategoriesTable[Category name],0),0),"")</f>
        <v>Expense</v>
      </c>
      <c r="N395" s="173">
        <v>16</v>
      </c>
      <c r="O395" s="173">
        <f>MONTH(Table1[[#This Row],[Date]])</f>
        <v>11</v>
      </c>
      <c r="P395" s="173">
        <v>2020</v>
      </c>
      <c r="Q395" s="174">
        <f>IF(ISBLANK(Table1[[#This Row],[Date]]),"",Table1[[#This Row],[Date]]-WEEKDAY(Table1[[#This Row],[Date]],2)+1)</f>
        <v>44151</v>
      </c>
      <c r="R395" s="175">
        <f>IF(ISBLANK(Table1[[#This Row],[Date]]),"",DATE(Table1[[#This Row],[Date_Year]],Table1[[#This Row],[Date_Month]],1))</f>
        <v>44136</v>
      </c>
    </row>
    <row r="396" spans="2:18" ht="15.75" hidden="1" x14ac:dyDescent="0.25">
      <c r="B396" s="165">
        <v>44150</v>
      </c>
      <c r="C396" s="166" t="s">
        <v>608</v>
      </c>
      <c r="D396" s="166" t="s">
        <v>66</v>
      </c>
      <c r="E396" s="167"/>
      <c r="F396" s="114">
        <v>-255.64</v>
      </c>
      <c r="G396" s="168"/>
      <c r="H396" s="169"/>
      <c r="I396" s="170"/>
      <c r="J396" s="171" t="s">
        <v>609</v>
      </c>
      <c r="K396" s="172" t="s">
        <v>177</v>
      </c>
      <c r="L396" s="172" t="s">
        <v>175</v>
      </c>
      <c r="M396" s="173" t="str" cm="1">
        <f t="array" ref="M396">IFERROR(INDEX(CategoriesTable[Category type],MATCH(Table1[[#This Row],[Category]],CategoriesTable[Category name],0),0),"")</f>
        <v>Expense</v>
      </c>
      <c r="N396" s="173">
        <v>15</v>
      </c>
      <c r="O396" s="173">
        <f>MONTH(Table1[[#This Row],[Date]])</f>
        <v>11</v>
      </c>
      <c r="P396" s="173">
        <v>2020</v>
      </c>
      <c r="Q396" s="174">
        <f>IF(ISBLANK(Table1[[#This Row],[Date]]),"",Table1[[#This Row],[Date]]-WEEKDAY(Table1[[#This Row],[Date]],2)+1)</f>
        <v>44144</v>
      </c>
      <c r="R396" s="175">
        <f>IF(ISBLANK(Table1[[#This Row],[Date]]),"",DATE(Table1[[#This Row],[Date_Year]],Table1[[#This Row],[Date_Month]],1))</f>
        <v>44136</v>
      </c>
    </row>
    <row r="397" spans="2:18" ht="15.75" hidden="1" x14ac:dyDescent="0.25">
      <c r="B397" s="165">
        <v>44149</v>
      </c>
      <c r="C397" s="166" t="s">
        <v>120</v>
      </c>
      <c r="D397" s="166" t="s">
        <v>66</v>
      </c>
      <c r="E397" s="167"/>
      <c r="F397" s="114">
        <v>-33.340000000000003</v>
      </c>
      <c r="G397" s="168"/>
      <c r="H397" s="169"/>
      <c r="I397" s="170"/>
      <c r="J397" s="171" t="s">
        <v>610</v>
      </c>
      <c r="K397" s="172" t="s">
        <v>177</v>
      </c>
      <c r="L397" s="172" t="s">
        <v>175</v>
      </c>
      <c r="M397" s="173" t="str" cm="1">
        <f t="array" ref="M397">IFERROR(INDEX(CategoriesTable[Category type],MATCH(Table1[[#This Row],[Category]],CategoriesTable[Category name],0),0),"")</f>
        <v>Expense</v>
      </c>
      <c r="N397" s="173">
        <v>14</v>
      </c>
      <c r="O397" s="173">
        <f>MONTH(Table1[[#This Row],[Date]])</f>
        <v>11</v>
      </c>
      <c r="P397" s="173">
        <v>2020</v>
      </c>
      <c r="Q397" s="174">
        <f>IF(ISBLANK(Table1[[#This Row],[Date]]),"",Table1[[#This Row],[Date]]-WEEKDAY(Table1[[#This Row],[Date]],2)+1)</f>
        <v>44144</v>
      </c>
      <c r="R397" s="175">
        <f>IF(ISBLANK(Table1[[#This Row],[Date]]),"",DATE(Table1[[#This Row],[Date_Year]],Table1[[#This Row],[Date_Month]],1))</f>
        <v>44136</v>
      </c>
    </row>
    <row r="398" spans="2:18" ht="15.75" hidden="1" x14ac:dyDescent="0.25">
      <c r="B398" s="165">
        <v>44149</v>
      </c>
      <c r="C398" s="166" t="s">
        <v>128</v>
      </c>
      <c r="D398" s="166" t="s">
        <v>53</v>
      </c>
      <c r="E398" s="167"/>
      <c r="F398" s="114">
        <v>-30.99</v>
      </c>
      <c r="G398" s="168"/>
      <c r="H398" s="169"/>
      <c r="I398" s="170"/>
      <c r="J398" s="171" t="s">
        <v>611</v>
      </c>
      <c r="K398" s="172" t="s">
        <v>177</v>
      </c>
      <c r="L398" s="172" t="s">
        <v>175</v>
      </c>
      <c r="M398" s="173" t="str" cm="1">
        <f t="array" ref="M398">IFERROR(INDEX(CategoriesTable[Category type],MATCH(Table1[[#This Row],[Category]],CategoriesTable[Category name],0),0),"")</f>
        <v>Expense</v>
      </c>
      <c r="N398" s="173">
        <v>14</v>
      </c>
      <c r="O398" s="173">
        <f>MONTH(Table1[[#This Row],[Date]])</f>
        <v>11</v>
      </c>
      <c r="P398" s="173">
        <v>2020</v>
      </c>
      <c r="Q398" s="174">
        <f>IF(ISBLANK(Table1[[#This Row],[Date]]),"",Table1[[#This Row],[Date]]-WEEKDAY(Table1[[#This Row],[Date]],2)+1)</f>
        <v>44144</v>
      </c>
      <c r="R398" s="175">
        <f>IF(ISBLANK(Table1[[#This Row],[Date]]),"",DATE(Table1[[#This Row],[Date_Year]],Table1[[#This Row],[Date_Month]],1))</f>
        <v>44136</v>
      </c>
    </row>
    <row r="399" spans="2:18" ht="15.75" hidden="1" x14ac:dyDescent="0.25">
      <c r="B399" s="165">
        <v>44149</v>
      </c>
      <c r="C399" s="166" t="s">
        <v>133</v>
      </c>
      <c r="D399" s="166" t="s">
        <v>65</v>
      </c>
      <c r="E399" s="167"/>
      <c r="F399" s="114">
        <v>-14.27</v>
      </c>
      <c r="G399" s="168"/>
      <c r="H399" s="169"/>
      <c r="I399" s="170"/>
      <c r="J399" s="171" t="s">
        <v>612</v>
      </c>
      <c r="K399" s="172" t="s">
        <v>177</v>
      </c>
      <c r="L399" s="172" t="s">
        <v>175</v>
      </c>
      <c r="M399" s="173" t="str" cm="1">
        <f t="array" ref="M399">IFERROR(INDEX(CategoriesTable[Category type],MATCH(Table1[[#This Row],[Category]],CategoriesTable[Category name],0),0),"")</f>
        <v>Expense</v>
      </c>
      <c r="N399" s="173">
        <v>14</v>
      </c>
      <c r="O399" s="173">
        <f>MONTH(Table1[[#This Row],[Date]])</f>
        <v>11</v>
      </c>
      <c r="P399" s="173">
        <v>2020</v>
      </c>
      <c r="Q399" s="174">
        <f>IF(ISBLANK(Table1[[#This Row],[Date]]),"",Table1[[#This Row],[Date]]-WEEKDAY(Table1[[#This Row],[Date]],2)+1)</f>
        <v>44144</v>
      </c>
      <c r="R399" s="175">
        <f>IF(ISBLANK(Table1[[#This Row],[Date]]),"",DATE(Table1[[#This Row],[Date_Year]],Table1[[#This Row],[Date_Month]],1))</f>
        <v>44136</v>
      </c>
    </row>
    <row r="400" spans="2:18" ht="15.75" hidden="1" x14ac:dyDescent="0.25">
      <c r="B400" s="165">
        <v>44148</v>
      </c>
      <c r="C400" s="166" t="s">
        <v>247</v>
      </c>
      <c r="D400" s="166" t="s">
        <v>65</v>
      </c>
      <c r="E400" s="167"/>
      <c r="F400" s="114">
        <v>-19.04</v>
      </c>
      <c r="G400" s="168"/>
      <c r="H400" s="169"/>
      <c r="I400" s="170"/>
      <c r="J400" s="171" t="s">
        <v>613</v>
      </c>
      <c r="K400" s="172" t="s">
        <v>177</v>
      </c>
      <c r="L400" s="172" t="s">
        <v>175</v>
      </c>
      <c r="M400" s="173" t="str" cm="1">
        <f t="array" ref="M400">IFERROR(INDEX(CategoriesTable[Category type],MATCH(Table1[[#This Row],[Category]],CategoriesTable[Category name],0),0),"")</f>
        <v>Expense</v>
      </c>
      <c r="N400" s="173">
        <v>13</v>
      </c>
      <c r="O400" s="173">
        <f>MONTH(Table1[[#This Row],[Date]])</f>
        <v>11</v>
      </c>
      <c r="P400" s="173">
        <v>2020</v>
      </c>
      <c r="Q400" s="174">
        <f>IF(ISBLANK(Table1[[#This Row],[Date]]),"",Table1[[#This Row],[Date]]-WEEKDAY(Table1[[#This Row],[Date]],2)+1)</f>
        <v>44144</v>
      </c>
      <c r="R400" s="175">
        <f>IF(ISBLANK(Table1[[#This Row],[Date]]),"",DATE(Table1[[#This Row],[Date_Year]],Table1[[#This Row],[Date_Month]],1))</f>
        <v>44136</v>
      </c>
    </row>
    <row r="401" spans="2:18" ht="15.75" hidden="1" x14ac:dyDescent="0.25">
      <c r="B401" s="165">
        <v>44148</v>
      </c>
      <c r="C401" s="166" t="s">
        <v>121</v>
      </c>
      <c r="D401" s="166" t="s">
        <v>65</v>
      </c>
      <c r="E401" s="167"/>
      <c r="F401" s="114">
        <v>-16.68</v>
      </c>
      <c r="G401" s="168"/>
      <c r="H401" s="169"/>
      <c r="I401" s="170"/>
      <c r="J401" s="171" t="s">
        <v>614</v>
      </c>
      <c r="K401" s="172" t="s">
        <v>177</v>
      </c>
      <c r="L401" s="172" t="s">
        <v>175</v>
      </c>
      <c r="M401" s="173" t="str" cm="1">
        <f t="array" ref="M401">IFERROR(INDEX(CategoriesTable[Category type],MATCH(Table1[[#This Row],[Category]],CategoriesTable[Category name],0),0),"")</f>
        <v>Expense</v>
      </c>
      <c r="N401" s="173">
        <v>13</v>
      </c>
      <c r="O401" s="173">
        <f>MONTH(Table1[[#This Row],[Date]])</f>
        <v>11</v>
      </c>
      <c r="P401" s="173">
        <v>2020</v>
      </c>
      <c r="Q401" s="174">
        <f>IF(ISBLANK(Table1[[#This Row],[Date]]),"",Table1[[#This Row],[Date]]-WEEKDAY(Table1[[#This Row],[Date]],2)+1)</f>
        <v>44144</v>
      </c>
      <c r="R401" s="175">
        <f>IF(ISBLANK(Table1[[#This Row],[Date]]),"",DATE(Table1[[#This Row],[Date_Year]],Table1[[#This Row],[Date_Month]],1))</f>
        <v>44136</v>
      </c>
    </row>
    <row r="402" spans="2:18" ht="15.75" hidden="1" x14ac:dyDescent="0.25">
      <c r="B402" s="165">
        <v>44148</v>
      </c>
      <c r="C402" s="166" t="s">
        <v>184</v>
      </c>
      <c r="D402" s="166" t="s">
        <v>56</v>
      </c>
      <c r="E402" s="167"/>
      <c r="F402" s="114">
        <v>-59.99</v>
      </c>
      <c r="G402" s="168"/>
      <c r="H402" s="169"/>
      <c r="I402" s="170"/>
      <c r="J402" s="171" t="s">
        <v>615</v>
      </c>
      <c r="K402" s="172" t="s">
        <v>177</v>
      </c>
      <c r="L402" s="172" t="s">
        <v>175</v>
      </c>
      <c r="M402" s="173" t="str" cm="1">
        <f t="array" ref="M402">IFERROR(INDEX(CategoriesTable[Category type],MATCH(Table1[[#This Row],[Category]],CategoriesTable[Category name],0),0),"")</f>
        <v>Expense</v>
      </c>
      <c r="N402" s="173">
        <v>13</v>
      </c>
      <c r="O402" s="173">
        <f>MONTH(Table1[[#This Row],[Date]])</f>
        <v>11</v>
      </c>
      <c r="P402" s="173">
        <v>2020</v>
      </c>
      <c r="Q402" s="174">
        <f>IF(ISBLANK(Table1[[#This Row],[Date]]),"",Table1[[#This Row],[Date]]-WEEKDAY(Table1[[#This Row],[Date]],2)+1)</f>
        <v>44144</v>
      </c>
      <c r="R402" s="175">
        <f>IF(ISBLANK(Table1[[#This Row],[Date]]),"",DATE(Table1[[#This Row],[Date_Year]],Table1[[#This Row],[Date_Month]],1))</f>
        <v>44136</v>
      </c>
    </row>
    <row r="403" spans="2:18" ht="15.75" hidden="1" x14ac:dyDescent="0.25">
      <c r="B403" s="165">
        <v>44147</v>
      </c>
      <c r="C403" s="166" t="s">
        <v>121</v>
      </c>
      <c r="D403" s="166" t="s">
        <v>65</v>
      </c>
      <c r="E403" s="167"/>
      <c r="F403" s="114">
        <v>-10.36</v>
      </c>
      <c r="G403" s="168"/>
      <c r="H403" s="169"/>
      <c r="I403" s="170"/>
      <c r="J403" s="171" t="s">
        <v>616</v>
      </c>
      <c r="K403" s="172" t="s">
        <v>177</v>
      </c>
      <c r="L403" s="172" t="s">
        <v>175</v>
      </c>
      <c r="M403" s="173" t="str" cm="1">
        <f t="array" ref="M403">IFERROR(INDEX(CategoriesTable[Category type],MATCH(Table1[[#This Row],[Category]],CategoriesTable[Category name],0),0),"")</f>
        <v>Expense</v>
      </c>
      <c r="N403" s="173">
        <v>12</v>
      </c>
      <c r="O403" s="173">
        <f>MONTH(Table1[[#This Row],[Date]])</f>
        <v>11</v>
      </c>
      <c r="P403" s="173">
        <v>2020</v>
      </c>
      <c r="Q403" s="174">
        <f>IF(ISBLANK(Table1[[#This Row],[Date]]),"",Table1[[#This Row],[Date]]-WEEKDAY(Table1[[#This Row],[Date]],2)+1)</f>
        <v>44144</v>
      </c>
      <c r="R403" s="175">
        <f>IF(ISBLANK(Table1[[#This Row],[Date]]),"",DATE(Table1[[#This Row],[Date_Year]],Table1[[#This Row],[Date_Month]],1))</f>
        <v>44136</v>
      </c>
    </row>
    <row r="404" spans="2:18" ht="15.75" hidden="1" x14ac:dyDescent="0.25">
      <c r="B404" s="165">
        <v>44147</v>
      </c>
      <c r="C404" s="166" t="s">
        <v>121</v>
      </c>
      <c r="D404" s="166" t="s">
        <v>65</v>
      </c>
      <c r="E404" s="167"/>
      <c r="F404" s="114">
        <v>-15.86</v>
      </c>
      <c r="G404" s="168"/>
      <c r="H404" s="169"/>
      <c r="I404" s="170"/>
      <c r="J404" s="171" t="s">
        <v>617</v>
      </c>
      <c r="K404" s="172" t="s">
        <v>177</v>
      </c>
      <c r="L404" s="172" t="s">
        <v>175</v>
      </c>
      <c r="M404" s="173" t="str" cm="1">
        <f t="array" ref="M404">IFERROR(INDEX(CategoriesTable[Category type],MATCH(Table1[[#This Row],[Category]],CategoriesTable[Category name],0),0),"")</f>
        <v>Expense</v>
      </c>
      <c r="N404" s="173">
        <v>12</v>
      </c>
      <c r="O404" s="173">
        <f>MONTH(Table1[[#This Row],[Date]])</f>
        <v>11</v>
      </c>
      <c r="P404" s="173">
        <v>2020</v>
      </c>
      <c r="Q404" s="174">
        <f>IF(ISBLANK(Table1[[#This Row],[Date]]),"",Table1[[#This Row],[Date]]-WEEKDAY(Table1[[#This Row],[Date]],2)+1)</f>
        <v>44144</v>
      </c>
      <c r="R404" s="175">
        <f>IF(ISBLANK(Table1[[#This Row],[Date]]),"",DATE(Table1[[#This Row],[Date_Year]],Table1[[#This Row],[Date_Month]],1))</f>
        <v>44136</v>
      </c>
    </row>
    <row r="405" spans="2:18" ht="15.75" hidden="1" x14ac:dyDescent="0.25">
      <c r="B405" s="165">
        <v>44146</v>
      </c>
      <c r="C405" s="166" t="s">
        <v>199</v>
      </c>
      <c r="D405" s="166" t="s">
        <v>65</v>
      </c>
      <c r="E405" s="167"/>
      <c r="F405" s="114">
        <v>-74.239999999999995</v>
      </c>
      <c r="G405" s="168"/>
      <c r="H405" s="169"/>
      <c r="I405" s="170"/>
      <c r="J405" s="171" t="s">
        <v>618</v>
      </c>
      <c r="K405" s="172" t="s">
        <v>177</v>
      </c>
      <c r="L405" s="172" t="s">
        <v>175</v>
      </c>
      <c r="M405" s="173" t="str" cm="1">
        <f t="array" ref="M405">IFERROR(INDEX(CategoriesTable[Category type],MATCH(Table1[[#This Row],[Category]],CategoriesTable[Category name],0),0),"")</f>
        <v>Expense</v>
      </c>
      <c r="N405" s="173">
        <v>11</v>
      </c>
      <c r="O405" s="173">
        <f>MONTH(Table1[[#This Row],[Date]])</f>
        <v>11</v>
      </c>
      <c r="P405" s="173">
        <v>2020</v>
      </c>
      <c r="Q405" s="174">
        <f>IF(ISBLANK(Table1[[#This Row],[Date]]),"",Table1[[#This Row],[Date]]-WEEKDAY(Table1[[#This Row],[Date]],2)+1)</f>
        <v>44144</v>
      </c>
      <c r="R405" s="175">
        <f>IF(ISBLANK(Table1[[#This Row],[Date]]),"",DATE(Table1[[#This Row],[Date_Year]],Table1[[#This Row],[Date_Month]],1))</f>
        <v>44136</v>
      </c>
    </row>
    <row r="406" spans="2:18" ht="15.75" hidden="1" x14ac:dyDescent="0.25">
      <c r="B406" s="165">
        <v>44146</v>
      </c>
      <c r="C406" s="166" t="s">
        <v>120</v>
      </c>
      <c r="D406" s="166" t="s">
        <v>66</v>
      </c>
      <c r="E406" s="167"/>
      <c r="F406" s="114">
        <v>-2.71</v>
      </c>
      <c r="G406" s="168"/>
      <c r="H406" s="169"/>
      <c r="I406" s="170"/>
      <c r="J406" s="171" t="s">
        <v>619</v>
      </c>
      <c r="K406" s="172" t="s">
        <v>177</v>
      </c>
      <c r="L406" s="172" t="s">
        <v>175</v>
      </c>
      <c r="M406" s="173" t="str" cm="1">
        <f t="array" ref="M406">IFERROR(INDEX(CategoriesTable[Category type],MATCH(Table1[[#This Row],[Category]],CategoriesTable[Category name],0),0),"")</f>
        <v>Expense</v>
      </c>
      <c r="N406" s="173">
        <v>11</v>
      </c>
      <c r="O406" s="173">
        <f>MONTH(Table1[[#This Row],[Date]])</f>
        <v>11</v>
      </c>
      <c r="P406" s="173">
        <v>2020</v>
      </c>
      <c r="Q406" s="174">
        <f>IF(ISBLANK(Table1[[#This Row],[Date]]),"",Table1[[#This Row],[Date]]-WEEKDAY(Table1[[#This Row],[Date]],2)+1)</f>
        <v>44144</v>
      </c>
      <c r="R406" s="175">
        <f>IF(ISBLANK(Table1[[#This Row],[Date]]),"",DATE(Table1[[#This Row],[Date_Year]],Table1[[#This Row],[Date_Month]],1))</f>
        <v>44136</v>
      </c>
    </row>
    <row r="407" spans="2:18" ht="15.75" hidden="1" x14ac:dyDescent="0.25">
      <c r="B407" s="165">
        <v>44146</v>
      </c>
      <c r="C407" s="166" t="s">
        <v>121</v>
      </c>
      <c r="D407" s="166" t="s">
        <v>65</v>
      </c>
      <c r="E407" s="167"/>
      <c r="F407" s="114">
        <v>-8.0299999999999994</v>
      </c>
      <c r="G407" s="168"/>
      <c r="H407" s="169"/>
      <c r="I407" s="170"/>
      <c r="J407" s="171" t="s">
        <v>620</v>
      </c>
      <c r="K407" s="172" t="s">
        <v>177</v>
      </c>
      <c r="L407" s="172" t="s">
        <v>175</v>
      </c>
      <c r="M407" s="173" t="str" cm="1">
        <f t="array" ref="M407">IFERROR(INDEX(CategoriesTable[Category type],MATCH(Table1[[#This Row],[Category]],CategoriesTable[Category name],0),0),"")</f>
        <v>Expense</v>
      </c>
      <c r="N407" s="173">
        <v>11</v>
      </c>
      <c r="O407" s="173">
        <f>MONTH(Table1[[#This Row],[Date]])</f>
        <v>11</v>
      </c>
      <c r="P407" s="173">
        <v>2020</v>
      </c>
      <c r="Q407" s="174">
        <f>IF(ISBLANK(Table1[[#This Row],[Date]]),"",Table1[[#This Row],[Date]]-WEEKDAY(Table1[[#This Row],[Date]],2)+1)</f>
        <v>44144</v>
      </c>
      <c r="R407" s="175">
        <f>IF(ISBLANK(Table1[[#This Row],[Date]]),"",DATE(Table1[[#This Row],[Date_Year]],Table1[[#This Row],[Date_Month]],1))</f>
        <v>44136</v>
      </c>
    </row>
    <row r="408" spans="2:18" ht="15.75" hidden="1" x14ac:dyDescent="0.25">
      <c r="B408" s="165">
        <v>44144</v>
      </c>
      <c r="C408" s="166" t="s">
        <v>1564</v>
      </c>
      <c r="D408" s="166" t="s">
        <v>56</v>
      </c>
      <c r="E408" s="167"/>
      <c r="F408" s="114">
        <v>-9.99</v>
      </c>
      <c r="G408" s="168"/>
      <c r="H408" s="169"/>
      <c r="I408" s="170"/>
      <c r="J408" s="171" t="s">
        <v>621</v>
      </c>
      <c r="K408" s="172" t="s">
        <v>177</v>
      </c>
      <c r="L408" s="172" t="s">
        <v>175</v>
      </c>
      <c r="M408" s="173" t="str" cm="1">
        <f t="array" ref="M408">IFERROR(INDEX(CategoriesTable[Category type],MATCH(Table1[[#This Row],[Category]],CategoriesTable[Category name],0),0),"")</f>
        <v>Expense</v>
      </c>
      <c r="N408" s="173">
        <v>9</v>
      </c>
      <c r="O408" s="173">
        <f>MONTH(Table1[[#This Row],[Date]])</f>
        <v>11</v>
      </c>
      <c r="P408" s="173">
        <v>2020</v>
      </c>
      <c r="Q408" s="174">
        <f>IF(ISBLANK(Table1[[#This Row],[Date]]),"",Table1[[#This Row],[Date]]-WEEKDAY(Table1[[#This Row],[Date]],2)+1)</f>
        <v>44144</v>
      </c>
      <c r="R408" s="175">
        <f>IF(ISBLANK(Table1[[#This Row],[Date]]),"",DATE(Table1[[#This Row],[Date_Year]],Table1[[#This Row],[Date_Month]],1))</f>
        <v>44136</v>
      </c>
    </row>
    <row r="409" spans="2:18" ht="15.75" hidden="1" x14ac:dyDescent="0.25">
      <c r="B409" s="165">
        <v>44143</v>
      </c>
      <c r="C409" s="166" t="s">
        <v>180</v>
      </c>
      <c r="D409" s="166" t="s">
        <v>52</v>
      </c>
      <c r="E409" s="167"/>
      <c r="F409" s="114">
        <v>-260</v>
      </c>
      <c r="G409" s="168"/>
      <c r="H409" s="169"/>
      <c r="I409" s="170"/>
      <c r="J409" s="171" t="s">
        <v>622</v>
      </c>
      <c r="K409" s="172" t="s">
        <v>177</v>
      </c>
      <c r="L409" s="172" t="s">
        <v>175</v>
      </c>
      <c r="M409" s="173" t="str" cm="1">
        <f t="array" ref="M409">IFERROR(INDEX(CategoriesTable[Category type],MATCH(Table1[[#This Row],[Category]],CategoriesTable[Category name],0),0),"")</f>
        <v>Transfer</v>
      </c>
      <c r="N409" s="173">
        <v>8</v>
      </c>
      <c r="O409" s="173">
        <f>MONTH(Table1[[#This Row],[Date]])</f>
        <v>11</v>
      </c>
      <c r="P409" s="173">
        <v>2020</v>
      </c>
      <c r="Q409" s="174">
        <f>IF(ISBLANK(Table1[[#This Row],[Date]]),"",Table1[[#This Row],[Date]]-WEEKDAY(Table1[[#This Row],[Date]],2)+1)</f>
        <v>44137</v>
      </c>
      <c r="R409" s="175">
        <f>IF(ISBLANK(Table1[[#This Row],[Date]]),"",DATE(Table1[[#This Row],[Date_Year]],Table1[[#This Row],[Date_Month]],1))</f>
        <v>44136</v>
      </c>
    </row>
    <row r="410" spans="2:18" ht="15.75" hidden="1" x14ac:dyDescent="0.25">
      <c r="B410" s="165">
        <v>44143</v>
      </c>
      <c r="C410" s="166" t="s">
        <v>199</v>
      </c>
      <c r="D410" s="166" t="s">
        <v>65</v>
      </c>
      <c r="E410" s="167"/>
      <c r="F410" s="114">
        <v>-80.38</v>
      </c>
      <c r="G410" s="168"/>
      <c r="H410" s="169"/>
      <c r="I410" s="170"/>
      <c r="J410" s="171" t="s">
        <v>623</v>
      </c>
      <c r="K410" s="172" t="s">
        <v>177</v>
      </c>
      <c r="L410" s="172" t="s">
        <v>175</v>
      </c>
      <c r="M410" s="173" t="str" cm="1">
        <f t="array" ref="M410">IFERROR(INDEX(CategoriesTable[Category type],MATCH(Table1[[#This Row],[Category]],CategoriesTable[Category name],0),0),"")</f>
        <v>Expense</v>
      </c>
      <c r="N410" s="173">
        <v>8</v>
      </c>
      <c r="O410" s="173">
        <f>MONTH(Table1[[#This Row],[Date]])</f>
        <v>11</v>
      </c>
      <c r="P410" s="173">
        <v>2020</v>
      </c>
      <c r="Q410" s="174">
        <f>IF(ISBLANK(Table1[[#This Row],[Date]]),"",Table1[[#This Row],[Date]]-WEEKDAY(Table1[[#This Row],[Date]],2)+1)</f>
        <v>44137</v>
      </c>
      <c r="R410" s="175">
        <f>IF(ISBLANK(Table1[[#This Row],[Date]]),"",DATE(Table1[[#This Row],[Date_Year]],Table1[[#This Row],[Date_Month]],1))</f>
        <v>44136</v>
      </c>
    </row>
    <row r="411" spans="2:18" ht="15.75" hidden="1" x14ac:dyDescent="0.25">
      <c r="B411" s="165">
        <v>44143</v>
      </c>
      <c r="C411" s="166" t="s">
        <v>1561</v>
      </c>
      <c r="D411" s="166" t="s">
        <v>55</v>
      </c>
      <c r="E411" s="167"/>
      <c r="F411" s="114">
        <v>-123.02</v>
      </c>
      <c r="G411" s="168"/>
      <c r="H411" s="169"/>
      <c r="I411" s="170"/>
      <c r="J411" s="171" t="s">
        <v>624</v>
      </c>
      <c r="K411" s="172" t="s">
        <v>177</v>
      </c>
      <c r="L411" s="172" t="s">
        <v>175</v>
      </c>
      <c r="M411" s="173" t="str" cm="1">
        <f t="array" ref="M411">IFERROR(INDEX(CategoriesTable[Category type],MATCH(Table1[[#This Row],[Category]],CategoriesTable[Category name],0),0),"")</f>
        <v>Expense</v>
      </c>
      <c r="N411" s="173">
        <v>8</v>
      </c>
      <c r="O411" s="173">
        <f>MONTH(Table1[[#This Row],[Date]])</f>
        <v>11</v>
      </c>
      <c r="P411" s="173">
        <v>2020</v>
      </c>
      <c r="Q411" s="174">
        <f>IF(ISBLANK(Table1[[#This Row],[Date]]),"",Table1[[#This Row],[Date]]-WEEKDAY(Table1[[#This Row],[Date]],2)+1)</f>
        <v>44137</v>
      </c>
      <c r="R411" s="175">
        <f>IF(ISBLANK(Table1[[#This Row],[Date]]),"",DATE(Table1[[#This Row],[Date_Year]],Table1[[#This Row],[Date_Month]],1))</f>
        <v>44136</v>
      </c>
    </row>
    <row r="412" spans="2:18" ht="15.75" hidden="1" x14ac:dyDescent="0.25">
      <c r="B412" s="165">
        <v>44143</v>
      </c>
      <c r="C412" s="166" t="s">
        <v>121</v>
      </c>
      <c r="D412" s="166" t="s">
        <v>65</v>
      </c>
      <c r="E412" s="167"/>
      <c r="F412" s="114">
        <v>-4.6500000000000004</v>
      </c>
      <c r="G412" s="168"/>
      <c r="H412" s="169"/>
      <c r="I412" s="170"/>
      <c r="J412" s="171" t="s">
        <v>625</v>
      </c>
      <c r="K412" s="172" t="s">
        <v>177</v>
      </c>
      <c r="L412" s="172" t="s">
        <v>175</v>
      </c>
      <c r="M412" s="173" t="str" cm="1">
        <f t="array" ref="M412">IFERROR(INDEX(CategoriesTable[Category type],MATCH(Table1[[#This Row],[Category]],CategoriesTable[Category name],0),0),"")</f>
        <v>Expense</v>
      </c>
      <c r="N412" s="173">
        <v>8</v>
      </c>
      <c r="O412" s="173">
        <f>MONTH(Table1[[#This Row],[Date]])</f>
        <v>11</v>
      </c>
      <c r="P412" s="173">
        <v>2020</v>
      </c>
      <c r="Q412" s="174">
        <f>IF(ISBLANK(Table1[[#This Row],[Date]]),"",Table1[[#This Row],[Date]]-WEEKDAY(Table1[[#This Row],[Date]],2)+1)</f>
        <v>44137</v>
      </c>
      <c r="R412" s="175">
        <f>IF(ISBLANK(Table1[[#This Row],[Date]]),"",DATE(Table1[[#This Row],[Date_Year]],Table1[[#This Row],[Date_Month]],1))</f>
        <v>44136</v>
      </c>
    </row>
    <row r="413" spans="2:18" ht="15.75" hidden="1" x14ac:dyDescent="0.25">
      <c r="B413" s="165">
        <v>44143</v>
      </c>
      <c r="C413" s="166" t="s">
        <v>121</v>
      </c>
      <c r="D413" s="166" t="s">
        <v>65</v>
      </c>
      <c r="E413" s="167"/>
      <c r="F413" s="114">
        <v>-9.14</v>
      </c>
      <c r="G413" s="168"/>
      <c r="H413" s="169"/>
      <c r="I413" s="170"/>
      <c r="J413" s="171" t="s">
        <v>626</v>
      </c>
      <c r="K413" s="172" t="s">
        <v>177</v>
      </c>
      <c r="L413" s="172" t="s">
        <v>175</v>
      </c>
      <c r="M413" s="173" t="str" cm="1">
        <f t="array" ref="M413">IFERROR(INDEX(CategoriesTable[Category type],MATCH(Table1[[#This Row],[Category]],CategoriesTable[Category name],0),0),"")</f>
        <v>Expense</v>
      </c>
      <c r="N413" s="173">
        <v>8</v>
      </c>
      <c r="O413" s="173">
        <f>MONTH(Table1[[#This Row],[Date]])</f>
        <v>11</v>
      </c>
      <c r="P413" s="173">
        <v>2020</v>
      </c>
      <c r="Q413" s="174">
        <f>IF(ISBLANK(Table1[[#This Row],[Date]]),"",Table1[[#This Row],[Date]]-WEEKDAY(Table1[[#This Row],[Date]],2)+1)</f>
        <v>44137</v>
      </c>
      <c r="R413" s="175">
        <f>IF(ISBLANK(Table1[[#This Row],[Date]]),"",DATE(Table1[[#This Row],[Date_Year]],Table1[[#This Row],[Date_Month]],1))</f>
        <v>44136</v>
      </c>
    </row>
    <row r="414" spans="2:18" ht="15.75" hidden="1" x14ac:dyDescent="0.25">
      <c r="B414" s="165">
        <v>44142</v>
      </c>
      <c r="C414" s="166" t="s">
        <v>120</v>
      </c>
      <c r="D414" s="166" t="s">
        <v>66</v>
      </c>
      <c r="E414" s="167"/>
      <c r="F414" s="114">
        <v>-27.99</v>
      </c>
      <c r="G414" s="168"/>
      <c r="H414" s="169"/>
      <c r="I414" s="170"/>
      <c r="J414" s="171" t="s">
        <v>627</v>
      </c>
      <c r="K414" s="172" t="s">
        <v>177</v>
      </c>
      <c r="L414" s="172" t="s">
        <v>175</v>
      </c>
      <c r="M414" s="173" t="str" cm="1">
        <f t="array" ref="M414">IFERROR(INDEX(CategoriesTable[Category type],MATCH(Table1[[#This Row],[Category]],CategoriesTable[Category name],0),0),"")</f>
        <v>Expense</v>
      </c>
      <c r="N414" s="173">
        <v>7</v>
      </c>
      <c r="O414" s="173">
        <f>MONTH(Table1[[#This Row],[Date]])</f>
        <v>11</v>
      </c>
      <c r="P414" s="173">
        <v>2020</v>
      </c>
      <c r="Q414" s="174">
        <f>IF(ISBLANK(Table1[[#This Row],[Date]]),"",Table1[[#This Row],[Date]]-WEEKDAY(Table1[[#This Row],[Date]],2)+1)</f>
        <v>44137</v>
      </c>
      <c r="R414" s="175">
        <f>IF(ISBLANK(Table1[[#This Row],[Date]]),"",DATE(Table1[[#This Row],[Date_Year]],Table1[[#This Row],[Date_Month]],1))</f>
        <v>44136</v>
      </c>
    </row>
    <row r="415" spans="2:18" ht="15.75" hidden="1" x14ac:dyDescent="0.25">
      <c r="B415" s="165">
        <v>44141</v>
      </c>
      <c r="C415" s="166" t="s">
        <v>628</v>
      </c>
      <c r="D415" s="166" t="s">
        <v>63</v>
      </c>
      <c r="E415" s="167"/>
      <c r="F415" s="114">
        <v>-198</v>
      </c>
      <c r="G415" s="168"/>
      <c r="H415" s="169"/>
      <c r="I415" s="170"/>
      <c r="J415" s="171" t="s">
        <v>629</v>
      </c>
      <c r="K415" s="172" t="s">
        <v>177</v>
      </c>
      <c r="L415" s="172" t="s">
        <v>175</v>
      </c>
      <c r="M415" s="173" t="str" cm="1">
        <f t="array" ref="M415">IFERROR(INDEX(CategoriesTable[Category type],MATCH(Table1[[#This Row],[Category]],CategoriesTable[Category name],0),0),"")</f>
        <v>Expense</v>
      </c>
      <c r="N415" s="173">
        <v>6</v>
      </c>
      <c r="O415" s="173">
        <f>MONTH(Table1[[#This Row],[Date]])</f>
        <v>11</v>
      </c>
      <c r="P415" s="173">
        <v>2020</v>
      </c>
      <c r="Q415" s="174">
        <f>IF(ISBLANK(Table1[[#This Row],[Date]]),"",Table1[[#This Row],[Date]]-WEEKDAY(Table1[[#This Row],[Date]],2)+1)</f>
        <v>44137</v>
      </c>
      <c r="R415" s="175">
        <f>IF(ISBLANK(Table1[[#This Row],[Date]]),"",DATE(Table1[[#This Row],[Date_Year]],Table1[[#This Row],[Date_Month]],1))</f>
        <v>44136</v>
      </c>
    </row>
    <row r="416" spans="2:18" ht="15.75" hidden="1" x14ac:dyDescent="0.25">
      <c r="B416" s="165">
        <v>44141</v>
      </c>
      <c r="C416" s="166" t="s">
        <v>120</v>
      </c>
      <c r="D416" s="166" t="s">
        <v>66</v>
      </c>
      <c r="E416" s="167"/>
      <c r="F416" s="114">
        <v>-48.78</v>
      </c>
      <c r="G416" s="168"/>
      <c r="H416" s="169"/>
      <c r="I416" s="170"/>
      <c r="J416" s="171" t="s">
        <v>630</v>
      </c>
      <c r="K416" s="172" t="s">
        <v>177</v>
      </c>
      <c r="L416" s="172" t="s">
        <v>175</v>
      </c>
      <c r="M416" s="173" t="str" cm="1">
        <f t="array" ref="M416">IFERROR(INDEX(CategoriesTable[Category type],MATCH(Table1[[#This Row],[Category]],CategoriesTable[Category name],0),0),"")</f>
        <v>Expense</v>
      </c>
      <c r="N416" s="173">
        <v>6</v>
      </c>
      <c r="O416" s="173">
        <f>MONTH(Table1[[#This Row],[Date]])</f>
        <v>11</v>
      </c>
      <c r="P416" s="173">
        <v>2020</v>
      </c>
      <c r="Q416" s="174">
        <f>IF(ISBLANK(Table1[[#This Row],[Date]]),"",Table1[[#This Row],[Date]]-WEEKDAY(Table1[[#This Row],[Date]],2)+1)</f>
        <v>44137</v>
      </c>
      <c r="R416" s="175">
        <f>IF(ISBLANK(Table1[[#This Row],[Date]]),"",DATE(Table1[[#This Row],[Date_Year]],Table1[[#This Row],[Date_Month]],1))</f>
        <v>44136</v>
      </c>
    </row>
    <row r="417" spans="2:18" ht="15.75" hidden="1" x14ac:dyDescent="0.25">
      <c r="B417" s="165">
        <v>44141</v>
      </c>
      <c r="C417" s="166" t="s">
        <v>121</v>
      </c>
      <c r="D417" s="166" t="s">
        <v>65</v>
      </c>
      <c r="E417" s="167"/>
      <c r="F417" s="114">
        <v>-16.48</v>
      </c>
      <c r="G417" s="168"/>
      <c r="H417" s="169"/>
      <c r="I417" s="170"/>
      <c r="J417" s="171" t="s">
        <v>631</v>
      </c>
      <c r="K417" s="172" t="s">
        <v>177</v>
      </c>
      <c r="L417" s="172" t="s">
        <v>175</v>
      </c>
      <c r="M417" s="173" t="str" cm="1">
        <f t="array" ref="M417">IFERROR(INDEX(CategoriesTable[Category type],MATCH(Table1[[#This Row],[Category]],CategoriesTable[Category name],0),0),"")</f>
        <v>Expense</v>
      </c>
      <c r="N417" s="173">
        <v>6</v>
      </c>
      <c r="O417" s="173">
        <f>MONTH(Table1[[#This Row],[Date]])</f>
        <v>11</v>
      </c>
      <c r="P417" s="173">
        <v>2020</v>
      </c>
      <c r="Q417" s="174">
        <f>IF(ISBLANK(Table1[[#This Row],[Date]]),"",Table1[[#This Row],[Date]]-WEEKDAY(Table1[[#This Row],[Date]],2)+1)</f>
        <v>44137</v>
      </c>
      <c r="R417" s="175">
        <f>IF(ISBLANK(Table1[[#This Row],[Date]]),"",DATE(Table1[[#This Row],[Date_Year]],Table1[[#This Row],[Date_Month]],1))</f>
        <v>44136</v>
      </c>
    </row>
    <row r="418" spans="2:18" ht="15.75" hidden="1" x14ac:dyDescent="0.25">
      <c r="B418" s="165">
        <v>44141</v>
      </c>
      <c r="C418" s="166" t="s">
        <v>135</v>
      </c>
      <c r="D418" s="166" t="s">
        <v>53</v>
      </c>
      <c r="E418" s="167"/>
      <c r="F418" s="114">
        <v>-25.42</v>
      </c>
      <c r="G418" s="168"/>
      <c r="H418" s="169"/>
      <c r="I418" s="170"/>
      <c r="J418" s="171" t="s">
        <v>632</v>
      </c>
      <c r="K418" s="172" t="s">
        <v>177</v>
      </c>
      <c r="L418" s="172" t="s">
        <v>175</v>
      </c>
      <c r="M418" s="173" t="str" cm="1">
        <f t="array" ref="M418">IFERROR(INDEX(CategoriesTable[Category type],MATCH(Table1[[#This Row],[Category]],CategoriesTable[Category name],0),0),"")</f>
        <v>Expense</v>
      </c>
      <c r="N418" s="173">
        <v>6</v>
      </c>
      <c r="O418" s="173">
        <f>MONTH(Table1[[#This Row],[Date]])</f>
        <v>11</v>
      </c>
      <c r="P418" s="173">
        <v>2020</v>
      </c>
      <c r="Q418" s="174">
        <f>IF(ISBLANK(Table1[[#This Row],[Date]]),"",Table1[[#This Row],[Date]]-WEEKDAY(Table1[[#This Row],[Date]],2)+1)</f>
        <v>44137</v>
      </c>
      <c r="R418" s="175">
        <f>IF(ISBLANK(Table1[[#This Row],[Date]]),"",DATE(Table1[[#This Row],[Date_Year]],Table1[[#This Row],[Date_Month]],1))</f>
        <v>44136</v>
      </c>
    </row>
    <row r="419" spans="2:18" ht="15.75" hidden="1" x14ac:dyDescent="0.25">
      <c r="B419" s="165">
        <v>44140</v>
      </c>
      <c r="C419" s="166" t="s">
        <v>123</v>
      </c>
      <c r="D419" s="166" t="s">
        <v>55</v>
      </c>
      <c r="E419" s="167"/>
      <c r="F419" s="114">
        <v>-15.99</v>
      </c>
      <c r="G419" s="168"/>
      <c r="H419" s="169"/>
      <c r="I419" s="170"/>
      <c r="J419" s="171" t="s">
        <v>633</v>
      </c>
      <c r="K419" s="172" t="s">
        <v>177</v>
      </c>
      <c r="L419" s="172" t="s">
        <v>175</v>
      </c>
      <c r="M419" s="173" t="str" cm="1">
        <f t="array" ref="M419">IFERROR(INDEX(CategoriesTable[Category type],MATCH(Table1[[#This Row],[Category]],CategoriesTable[Category name],0),0),"")</f>
        <v>Expense</v>
      </c>
      <c r="N419" s="173">
        <v>5</v>
      </c>
      <c r="O419" s="173">
        <f>MONTH(Table1[[#This Row],[Date]])</f>
        <v>11</v>
      </c>
      <c r="P419" s="173">
        <v>2020</v>
      </c>
      <c r="Q419" s="174">
        <f>IF(ISBLANK(Table1[[#This Row],[Date]]),"",Table1[[#This Row],[Date]]-WEEKDAY(Table1[[#This Row],[Date]],2)+1)</f>
        <v>44137</v>
      </c>
      <c r="R419" s="175">
        <f>IF(ISBLANK(Table1[[#This Row],[Date]]),"",DATE(Table1[[#This Row],[Date_Year]],Table1[[#This Row],[Date_Month]],1))</f>
        <v>44136</v>
      </c>
    </row>
    <row r="420" spans="2:18" ht="15.75" hidden="1" x14ac:dyDescent="0.25">
      <c r="B420" s="165">
        <v>44139</v>
      </c>
      <c r="C420" s="166" t="s">
        <v>634</v>
      </c>
      <c r="D420" s="166" t="s">
        <v>65</v>
      </c>
      <c r="E420" s="167"/>
      <c r="F420" s="114">
        <v>-31.43</v>
      </c>
      <c r="G420" s="168"/>
      <c r="H420" s="169"/>
      <c r="I420" s="170"/>
      <c r="J420" s="171" t="s">
        <v>635</v>
      </c>
      <c r="K420" s="172" t="s">
        <v>177</v>
      </c>
      <c r="L420" s="172" t="s">
        <v>175</v>
      </c>
      <c r="M420" s="173" t="str" cm="1">
        <f t="array" ref="M420">IFERROR(INDEX(CategoriesTable[Category type],MATCH(Table1[[#This Row],[Category]],CategoriesTable[Category name],0),0),"")</f>
        <v>Expense</v>
      </c>
      <c r="N420" s="173">
        <v>4</v>
      </c>
      <c r="O420" s="173">
        <f>MONTH(Table1[[#This Row],[Date]])</f>
        <v>11</v>
      </c>
      <c r="P420" s="173">
        <v>2020</v>
      </c>
      <c r="Q420" s="174">
        <f>IF(ISBLANK(Table1[[#This Row],[Date]]),"",Table1[[#This Row],[Date]]-WEEKDAY(Table1[[#This Row],[Date]],2)+1)</f>
        <v>44137</v>
      </c>
      <c r="R420" s="175">
        <f>IF(ISBLANK(Table1[[#This Row],[Date]]),"",DATE(Table1[[#This Row],[Date_Year]],Table1[[#This Row],[Date_Month]],1))</f>
        <v>44136</v>
      </c>
    </row>
    <row r="421" spans="2:18" ht="15.75" hidden="1" x14ac:dyDescent="0.25">
      <c r="B421" s="165">
        <v>44139</v>
      </c>
      <c r="C421" s="166" t="s">
        <v>636</v>
      </c>
      <c r="D421" s="166" t="s">
        <v>68</v>
      </c>
      <c r="E421" s="167"/>
      <c r="F421" s="114">
        <v>-39</v>
      </c>
      <c r="G421" s="168"/>
      <c r="H421" s="169"/>
      <c r="I421" s="170"/>
      <c r="J421" s="171" t="s">
        <v>637</v>
      </c>
      <c r="K421" s="172" t="s">
        <v>177</v>
      </c>
      <c r="L421" s="172" t="s">
        <v>175</v>
      </c>
      <c r="M421" s="173" t="str" cm="1">
        <f t="array" ref="M421">IFERROR(INDEX(CategoriesTable[Category type],MATCH(Table1[[#This Row],[Category]],CategoriesTable[Category name],0),0),"")</f>
        <v>Expense</v>
      </c>
      <c r="N421" s="173">
        <v>4</v>
      </c>
      <c r="O421" s="173">
        <f>MONTH(Table1[[#This Row],[Date]])</f>
        <v>11</v>
      </c>
      <c r="P421" s="173">
        <v>2020</v>
      </c>
      <c r="Q421" s="174">
        <f>IF(ISBLANK(Table1[[#This Row],[Date]]),"",Table1[[#This Row],[Date]]-WEEKDAY(Table1[[#This Row],[Date]],2)+1)</f>
        <v>44137</v>
      </c>
      <c r="R421" s="175">
        <f>IF(ISBLANK(Table1[[#This Row],[Date]]),"",DATE(Table1[[#This Row],[Date_Year]],Table1[[#This Row],[Date_Month]],1))</f>
        <v>44136</v>
      </c>
    </row>
    <row r="422" spans="2:18" ht="15.75" hidden="1" x14ac:dyDescent="0.25">
      <c r="B422" s="165">
        <v>44139</v>
      </c>
      <c r="C422" s="166" t="s">
        <v>497</v>
      </c>
      <c r="D422" s="166" t="s">
        <v>65</v>
      </c>
      <c r="E422" s="167"/>
      <c r="F422" s="114">
        <v>-22.99</v>
      </c>
      <c r="G422" s="168"/>
      <c r="H422" s="169"/>
      <c r="I422" s="170"/>
      <c r="J422" s="171" t="s">
        <v>638</v>
      </c>
      <c r="K422" s="172" t="s">
        <v>177</v>
      </c>
      <c r="L422" s="172" t="s">
        <v>175</v>
      </c>
      <c r="M422" s="173" t="str" cm="1">
        <f t="array" ref="M422">IFERROR(INDEX(CategoriesTable[Category type],MATCH(Table1[[#This Row],[Category]],CategoriesTable[Category name],0),0),"")</f>
        <v>Expense</v>
      </c>
      <c r="N422" s="173">
        <v>4</v>
      </c>
      <c r="O422" s="173">
        <f>MONTH(Table1[[#This Row],[Date]])</f>
        <v>11</v>
      </c>
      <c r="P422" s="173">
        <v>2020</v>
      </c>
      <c r="Q422" s="174">
        <f>IF(ISBLANK(Table1[[#This Row],[Date]]),"",Table1[[#This Row],[Date]]-WEEKDAY(Table1[[#This Row],[Date]],2)+1)</f>
        <v>44137</v>
      </c>
      <c r="R422" s="175">
        <f>IF(ISBLANK(Table1[[#This Row],[Date]]),"",DATE(Table1[[#This Row],[Date_Year]],Table1[[#This Row],[Date_Month]],1))</f>
        <v>44136</v>
      </c>
    </row>
    <row r="423" spans="2:18" ht="15.75" hidden="1" x14ac:dyDescent="0.25">
      <c r="B423" s="165">
        <v>44138</v>
      </c>
      <c r="C423" s="166" t="s">
        <v>121</v>
      </c>
      <c r="D423" s="166" t="s">
        <v>65</v>
      </c>
      <c r="E423" s="167"/>
      <c r="F423" s="114">
        <v>-18.600000000000001</v>
      </c>
      <c r="G423" s="168"/>
      <c r="H423" s="169"/>
      <c r="I423" s="170"/>
      <c r="J423" s="171" t="s">
        <v>639</v>
      </c>
      <c r="K423" s="172" t="s">
        <v>177</v>
      </c>
      <c r="L423" s="172" t="s">
        <v>175</v>
      </c>
      <c r="M423" s="173" t="str" cm="1">
        <f t="array" ref="M423">IFERROR(INDEX(CategoriesTable[Category type],MATCH(Table1[[#This Row],[Category]],CategoriesTable[Category name],0),0),"")</f>
        <v>Expense</v>
      </c>
      <c r="N423" s="173">
        <v>3</v>
      </c>
      <c r="O423" s="173">
        <f>MONTH(Table1[[#This Row],[Date]])</f>
        <v>11</v>
      </c>
      <c r="P423" s="173">
        <v>2020</v>
      </c>
      <c r="Q423" s="174">
        <f>IF(ISBLANK(Table1[[#This Row],[Date]]),"",Table1[[#This Row],[Date]]-WEEKDAY(Table1[[#This Row],[Date]],2)+1)</f>
        <v>44137</v>
      </c>
      <c r="R423" s="175">
        <f>IF(ISBLANK(Table1[[#This Row],[Date]]),"",DATE(Table1[[#This Row],[Date_Year]],Table1[[#This Row],[Date_Month]],1))</f>
        <v>44136</v>
      </c>
    </row>
    <row r="424" spans="2:18" ht="15.75" hidden="1" x14ac:dyDescent="0.25">
      <c r="B424" s="165">
        <v>44138</v>
      </c>
      <c r="C424" s="166" t="s">
        <v>184</v>
      </c>
      <c r="D424" s="166" t="s">
        <v>60</v>
      </c>
      <c r="E424" s="167"/>
      <c r="F424" s="114">
        <v>-47.88</v>
      </c>
      <c r="G424" s="168"/>
      <c r="H424" s="169"/>
      <c r="I424" s="170"/>
      <c r="J424" s="171" t="s">
        <v>640</v>
      </c>
      <c r="K424" s="172" t="s">
        <v>177</v>
      </c>
      <c r="L424" s="172" t="s">
        <v>175</v>
      </c>
      <c r="M424" s="173" t="str" cm="1">
        <f t="array" ref="M424">IFERROR(INDEX(CategoriesTable[Category type],MATCH(Table1[[#This Row],[Category]],CategoriesTable[Category name],0),0),"")</f>
        <v>Expense</v>
      </c>
      <c r="N424" s="173">
        <v>3</v>
      </c>
      <c r="O424" s="173">
        <f>MONTH(Table1[[#This Row],[Date]])</f>
        <v>11</v>
      </c>
      <c r="P424" s="173">
        <v>2020</v>
      </c>
      <c r="Q424" s="174">
        <f>IF(ISBLANK(Table1[[#This Row],[Date]]),"",Table1[[#This Row],[Date]]-WEEKDAY(Table1[[#This Row],[Date]],2)+1)</f>
        <v>44137</v>
      </c>
      <c r="R424" s="175">
        <f>IF(ISBLANK(Table1[[#This Row],[Date]]),"",DATE(Table1[[#This Row],[Date_Year]],Table1[[#This Row],[Date_Month]],1))</f>
        <v>44136</v>
      </c>
    </row>
    <row r="425" spans="2:18" ht="15.75" hidden="1" x14ac:dyDescent="0.25">
      <c r="B425" s="165">
        <v>44137</v>
      </c>
      <c r="C425" s="166" t="s">
        <v>149</v>
      </c>
      <c r="D425" s="166" t="s">
        <v>65</v>
      </c>
      <c r="E425" s="167"/>
      <c r="F425" s="114">
        <v>-28.15</v>
      </c>
      <c r="G425" s="168"/>
      <c r="H425" s="169"/>
      <c r="I425" s="170"/>
      <c r="J425" s="171" t="s">
        <v>641</v>
      </c>
      <c r="K425" s="172" t="s">
        <v>177</v>
      </c>
      <c r="L425" s="172" t="s">
        <v>175</v>
      </c>
      <c r="M425" s="173" t="str" cm="1">
        <f t="array" ref="M425">IFERROR(INDEX(CategoriesTable[Category type],MATCH(Table1[[#This Row],[Category]],CategoriesTable[Category name],0),0),"")</f>
        <v>Expense</v>
      </c>
      <c r="N425" s="173">
        <v>2</v>
      </c>
      <c r="O425" s="173">
        <f>MONTH(Table1[[#This Row],[Date]])</f>
        <v>11</v>
      </c>
      <c r="P425" s="173">
        <v>2020</v>
      </c>
      <c r="Q425" s="174">
        <f>IF(ISBLANK(Table1[[#This Row],[Date]]),"",Table1[[#This Row],[Date]]-WEEKDAY(Table1[[#This Row],[Date]],2)+1)</f>
        <v>44137</v>
      </c>
      <c r="R425" s="175">
        <f>IF(ISBLANK(Table1[[#This Row],[Date]]),"",DATE(Table1[[#This Row],[Date_Year]],Table1[[#This Row],[Date_Month]],1))</f>
        <v>44136</v>
      </c>
    </row>
    <row r="426" spans="2:18" ht="15.75" hidden="1" x14ac:dyDescent="0.25">
      <c r="B426" s="165">
        <v>44137</v>
      </c>
      <c r="C426" s="166" t="s">
        <v>120</v>
      </c>
      <c r="D426" s="166" t="s">
        <v>66</v>
      </c>
      <c r="E426" s="167"/>
      <c r="F426" s="114">
        <v>-29.3</v>
      </c>
      <c r="G426" s="168"/>
      <c r="H426" s="169"/>
      <c r="I426" s="170"/>
      <c r="J426" s="171" t="s">
        <v>642</v>
      </c>
      <c r="K426" s="172" t="s">
        <v>177</v>
      </c>
      <c r="L426" s="172" t="s">
        <v>175</v>
      </c>
      <c r="M426" s="173" t="str" cm="1">
        <f t="array" ref="M426">IFERROR(INDEX(CategoriesTable[Category type],MATCH(Table1[[#This Row],[Category]],CategoriesTable[Category name],0),0),"")</f>
        <v>Expense</v>
      </c>
      <c r="N426" s="173">
        <v>2</v>
      </c>
      <c r="O426" s="173">
        <f>MONTH(Table1[[#This Row],[Date]])</f>
        <v>11</v>
      </c>
      <c r="P426" s="173">
        <v>2020</v>
      </c>
      <c r="Q426" s="174">
        <f>IF(ISBLANK(Table1[[#This Row],[Date]]),"",Table1[[#This Row],[Date]]-WEEKDAY(Table1[[#This Row],[Date]],2)+1)</f>
        <v>44137</v>
      </c>
      <c r="R426" s="175">
        <f>IF(ISBLANK(Table1[[#This Row],[Date]]),"",DATE(Table1[[#This Row],[Date_Year]],Table1[[#This Row],[Date_Month]],1))</f>
        <v>44136</v>
      </c>
    </row>
    <row r="427" spans="2:18" ht="15.75" hidden="1" x14ac:dyDescent="0.25">
      <c r="B427" s="165">
        <v>44137</v>
      </c>
      <c r="C427" s="166" t="s">
        <v>125</v>
      </c>
      <c r="D427" s="166" t="s">
        <v>65</v>
      </c>
      <c r="E427" s="167"/>
      <c r="F427" s="114">
        <v>-23.8</v>
      </c>
      <c r="G427" s="168"/>
      <c r="H427" s="169"/>
      <c r="I427" s="170"/>
      <c r="J427" s="171" t="s">
        <v>643</v>
      </c>
      <c r="K427" s="172" t="s">
        <v>177</v>
      </c>
      <c r="L427" s="172" t="s">
        <v>175</v>
      </c>
      <c r="M427" s="173" t="str" cm="1">
        <f t="array" ref="M427">IFERROR(INDEX(CategoriesTable[Category type],MATCH(Table1[[#This Row],[Category]],CategoriesTable[Category name],0),0),"")</f>
        <v>Expense</v>
      </c>
      <c r="N427" s="173">
        <v>2</v>
      </c>
      <c r="O427" s="173">
        <f>MONTH(Table1[[#This Row],[Date]])</f>
        <v>11</v>
      </c>
      <c r="P427" s="173">
        <v>2020</v>
      </c>
      <c r="Q427" s="174">
        <f>IF(ISBLANK(Table1[[#This Row],[Date]]),"",Table1[[#This Row],[Date]]-WEEKDAY(Table1[[#This Row],[Date]],2)+1)</f>
        <v>44137</v>
      </c>
      <c r="R427" s="175">
        <f>IF(ISBLANK(Table1[[#This Row],[Date]]),"",DATE(Table1[[#This Row],[Date_Year]],Table1[[#This Row],[Date_Month]],1))</f>
        <v>44136</v>
      </c>
    </row>
    <row r="428" spans="2:18" ht="15.75" hidden="1" x14ac:dyDescent="0.25">
      <c r="B428" s="165">
        <v>44137</v>
      </c>
      <c r="C428" s="166" t="s">
        <v>121</v>
      </c>
      <c r="D428" s="166" t="s">
        <v>65</v>
      </c>
      <c r="E428" s="167"/>
      <c r="F428" s="114">
        <v>-14.48</v>
      </c>
      <c r="G428" s="168"/>
      <c r="H428" s="169"/>
      <c r="I428" s="170"/>
      <c r="J428" s="171" t="s">
        <v>644</v>
      </c>
      <c r="K428" s="172" t="s">
        <v>177</v>
      </c>
      <c r="L428" s="172" t="s">
        <v>175</v>
      </c>
      <c r="M428" s="173" t="str" cm="1">
        <f t="array" ref="M428">IFERROR(INDEX(CategoriesTable[Category type],MATCH(Table1[[#This Row],[Category]],CategoriesTable[Category name],0),0),"")</f>
        <v>Expense</v>
      </c>
      <c r="N428" s="173">
        <v>2</v>
      </c>
      <c r="O428" s="173">
        <f>MONTH(Table1[[#This Row],[Date]])</f>
        <v>11</v>
      </c>
      <c r="P428" s="173">
        <v>2020</v>
      </c>
      <c r="Q428" s="174">
        <f>IF(ISBLANK(Table1[[#This Row],[Date]]),"",Table1[[#This Row],[Date]]-WEEKDAY(Table1[[#This Row],[Date]],2)+1)</f>
        <v>44137</v>
      </c>
      <c r="R428" s="175">
        <f>IF(ISBLANK(Table1[[#This Row],[Date]]),"",DATE(Table1[[#This Row],[Date_Year]],Table1[[#This Row],[Date_Month]],1))</f>
        <v>44136</v>
      </c>
    </row>
    <row r="429" spans="2:18" ht="15.75" hidden="1" x14ac:dyDescent="0.25">
      <c r="B429" s="165">
        <v>44137</v>
      </c>
      <c r="C429" s="166" t="s">
        <v>180</v>
      </c>
      <c r="D429" s="166" t="s">
        <v>52</v>
      </c>
      <c r="E429" s="167"/>
      <c r="F429" s="114">
        <v>-260</v>
      </c>
      <c r="G429" s="168"/>
      <c r="H429" s="169"/>
      <c r="I429" s="170"/>
      <c r="J429" s="171" t="s">
        <v>645</v>
      </c>
      <c r="K429" s="172" t="s">
        <v>177</v>
      </c>
      <c r="L429" s="172" t="s">
        <v>175</v>
      </c>
      <c r="M429" s="173" t="str" cm="1">
        <f t="array" ref="M429">IFERROR(INDEX(CategoriesTable[Category type],MATCH(Table1[[#This Row],[Category]],CategoriesTable[Category name],0),0),"")</f>
        <v>Transfer</v>
      </c>
      <c r="N429" s="173">
        <v>2</v>
      </c>
      <c r="O429" s="173">
        <f>MONTH(Table1[[#This Row],[Date]])</f>
        <v>11</v>
      </c>
      <c r="P429" s="173">
        <v>2020</v>
      </c>
      <c r="Q429" s="174">
        <f>IF(ISBLANK(Table1[[#This Row],[Date]]),"",Table1[[#This Row],[Date]]-WEEKDAY(Table1[[#This Row],[Date]],2)+1)</f>
        <v>44137</v>
      </c>
      <c r="R429" s="175">
        <f>IF(ISBLANK(Table1[[#This Row],[Date]]),"",DATE(Table1[[#This Row],[Date_Year]],Table1[[#This Row],[Date_Month]],1))</f>
        <v>44136</v>
      </c>
    </row>
    <row r="430" spans="2:18" ht="15.75" hidden="1" x14ac:dyDescent="0.25">
      <c r="B430" s="165">
        <v>44137</v>
      </c>
      <c r="C430" s="166" t="s">
        <v>249</v>
      </c>
      <c r="D430" s="166" t="s">
        <v>52</v>
      </c>
      <c r="E430" s="167"/>
      <c r="F430" s="114">
        <v>-115</v>
      </c>
      <c r="G430" s="168"/>
      <c r="H430" s="169"/>
      <c r="I430" s="170"/>
      <c r="J430" s="171" t="s">
        <v>646</v>
      </c>
      <c r="K430" s="172" t="s">
        <v>177</v>
      </c>
      <c r="L430" s="172" t="s">
        <v>175</v>
      </c>
      <c r="M430" s="173" t="str" cm="1">
        <f t="array" ref="M430">IFERROR(INDEX(CategoriesTable[Category type],MATCH(Table1[[#This Row],[Category]],CategoriesTable[Category name],0),0),"")</f>
        <v>Transfer</v>
      </c>
      <c r="N430" s="173">
        <v>2</v>
      </c>
      <c r="O430" s="173">
        <f>MONTH(Table1[[#This Row],[Date]])</f>
        <v>11</v>
      </c>
      <c r="P430" s="173">
        <v>2020</v>
      </c>
      <c r="Q430" s="174">
        <f>IF(ISBLANK(Table1[[#This Row],[Date]]),"",Table1[[#This Row],[Date]]-WEEKDAY(Table1[[#This Row],[Date]],2)+1)</f>
        <v>44137</v>
      </c>
      <c r="R430" s="175">
        <f>IF(ISBLANK(Table1[[#This Row],[Date]]),"",DATE(Table1[[#This Row],[Date_Year]],Table1[[#This Row],[Date_Month]],1))</f>
        <v>44136</v>
      </c>
    </row>
    <row r="431" spans="2:18" ht="15.75" hidden="1" x14ac:dyDescent="0.25">
      <c r="B431" s="165">
        <v>44137</v>
      </c>
      <c r="C431" s="166" t="s">
        <v>196</v>
      </c>
      <c r="D431" s="166" t="s">
        <v>50</v>
      </c>
      <c r="E431" s="167"/>
      <c r="F431" s="114">
        <v>4373.0200000000004</v>
      </c>
      <c r="G431" s="168"/>
      <c r="H431" s="169"/>
      <c r="I431" s="170"/>
      <c r="J431" s="171" t="s">
        <v>647</v>
      </c>
      <c r="K431" s="172" t="s">
        <v>177</v>
      </c>
      <c r="L431" s="172" t="s">
        <v>175</v>
      </c>
      <c r="M431" s="173" t="str" cm="1">
        <f t="array" ref="M431">IFERROR(INDEX(CategoriesTable[Category type],MATCH(Table1[[#This Row],[Category]],CategoriesTable[Category name],0),0),"")</f>
        <v>Income</v>
      </c>
      <c r="N431" s="173">
        <v>2</v>
      </c>
      <c r="O431" s="173">
        <f>MONTH(Table1[[#This Row],[Date]])</f>
        <v>11</v>
      </c>
      <c r="P431" s="173">
        <v>2020</v>
      </c>
      <c r="Q431" s="174">
        <f>IF(ISBLANK(Table1[[#This Row],[Date]]),"",Table1[[#This Row],[Date]]-WEEKDAY(Table1[[#This Row],[Date]],2)+1)</f>
        <v>44137</v>
      </c>
      <c r="R431" s="175">
        <f>IF(ISBLANK(Table1[[#This Row],[Date]]),"",DATE(Table1[[#This Row],[Date_Year]],Table1[[#This Row],[Date_Month]],1))</f>
        <v>44136</v>
      </c>
    </row>
    <row r="432" spans="2:18" ht="15.75" hidden="1" x14ac:dyDescent="0.25">
      <c r="B432" s="165">
        <v>44137</v>
      </c>
      <c r="C432" s="166" t="s">
        <v>193</v>
      </c>
      <c r="D432" s="166" t="s">
        <v>56</v>
      </c>
      <c r="E432" s="167"/>
      <c r="F432" s="114">
        <v>-40.19</v>
      </c>
      <c r="G432" s="168"/>
      <c r="H432" s="169"/>
      <c r="I432" s="170"/>
      <c r="J432" s="171" t="s">
        <v>648</v>
      </c>
      <c r="K432" s="172" t="s">
        <v>177</v>
      </c>
      <c r="L432" s="172" t="s">
        <v>175</v>
      </c>
      <c r="M432" s="173" t="str" cm="1">
        <f t="array" ref="M432">IFERROR(INDEX(CategoriesTable[Category type],MATCH(Table1[[#This Row],[Category]],CategoriesTable[Category name],0),0),"")</f>
        <v>Expense</v>
      </c>
      <c r="N432" s="173">
        <v>2</v>
      </c>
      <c r="O432" s="173">
        <f>MONTH(Table1[[#This Row],[Date]])</f>
        <v>11</v>
      </c>
      <c r="P432" s="173">
        <v>2020</v>
      </c>
      <c r="Q432" s="174">
        <f>IF(ISBLANK(Table1[[#This Row],[Date]]),"",Table1[[#This Row],[Date]]-WEEKDAY(Table1[[#This Row],[Date]],2)+1)</f>
        <v>44137</v>
      </c>
      <c r="R432" s="175">
        <f>IF(ISBLANK(Table1[[#This Row],[Date]]),"",DATE(Table1[[#This Row],[Date_Year]],Table1[[#This Row],[Date_Month]],1))</f>
        <v>44136</v>
      </c>
    </row>
    <row r="433" spans="2:18" ht="15.75" hidden="1" x14ac:dyDescent="0.25">
      <c r="B433" s="165">
        <v>44136</v>
      </c>
      <c r="C433" s="166" t="s">
        <v>180</v>
      </c>
      <c r="D433" s="166" t="s">
        <v>52</v>
      </c>
      <c r="E433" s="167"/>
      <c r="F433" s="114">
        <v>-60</v>
      </c>
      <c r="G433" s="168"/>
      <c r="H433" s="169"/>
      <c r="I433" s="170"/>
      <c r="J433" s="171" t="s">
        <v>649</v>
      </c>
      <c r="K433" s="172" t="s">
        <v>177</v>
      </c>
      <c r="L433" s="172" t="s">
        <v>175</v>
      </c>
      <c r="M433" s="173" t="str" cm="1">
        <f t="array" ref="M433">IFERROR(INDEX(CategoriesTable[Category type],MATCH(Table1[[#This Row],[Category]],CategoriesTable[Category name],0),0),"")</f>
        <v>Transfer</v>
      </c>
      <c r="N433" s="173">
        <v>1</v>
      </c>
      <c r="O433" s="173">
        <f>MONTH(Table1[[#This Row],[Date]])</f>
        <v>11</v>
      </c>
      <c r="P433" s="173">
        <v>2020</v>
      </c>
      <c r="Q433" s="174">
        <f>IF(ISBLANK(Table1[[#This Row],[Date]]),"",Table1[[#This Row],[Date]]-WEEKDAY(Table1[[#This Row],[Date]],2)+1)</f>
        <v>44130</v>
      </c>
      <c r="R433" s="175">
        <f>IF(ISBLANK(Table1[[#This Row],[Date]]),"",DATE(Table1[[#This Row],[Date_Year]],Table1[[#This Row],[Date_Month]],1))</f>
        <v>44136</v>
      </c>
    </row>
    <row r="434" spans="2:18" ht="15.75" hidden="1" x14ac:dyDescent="0.25">
      <c r="B434" s="165">
        <v>44135</v>
      </c>
      <c r="C434" s="166" t="s">
        <v>138</v>
      </c>
      <c r="D434" s="166" t="s">
        <v>66</v>
      </c>
      <c r="E434" s="167"/>
      <c r="F434" s="114">
        <v>-12.99</v>
      </c>
      <c r="G434" s="168"/>
      <c r="H434" s="169"/>
      <c r="I434" s="170"/>
      <c r="J434" s="171" t="s">
        <v>650</v>
      </c>
      <c r="K434" s="172" t="s">
        <v>177</v>
      </c>
      <c r="L434" s="172" t="s">
        <v>175</v>
      </c>
      <c r="M434" s="173" t="str" cm="1">
        <f t="array" ref="M434">IFERROR(INDEX(CategoriesTable[Category type],MATCH(Table1[[#This Row],[Category]],CategoriesTable[Category name],0),0),"")</f>
        <v>Expense</v>
      </c>
      <c r="N434" s="173">
        <v>31</v>
      </c>
      <c r="O434" s="173">
        <f>MONTH(Table1[[#This Row],[Date]])</f>
        <v>10</v>
      </c>
      <c r="P434" s="173">
        <v>2020</v>
      </c>
      <c r="Q434" s="174">
        <f>IF(ISBLANK(Table1[[#This Row],[Date]]),"",Table1[[#This Row],[Date]]-WEEKDAY(Table1[[#This Row],[Date]],2)+1)</f>
        <v>44130</v>
      </c>
      <c r="R434" s="175">
        <f>IF(ISBLANK(Table1[[#This Row],[Date]]),"",DATE(Table1[[#This Row],[Date_Year]],Table1[[#This Row],[Date_Month]],1))</f>
        <v>44105</v>
      </c>
    </row>
    <row r="435" spans="2:18" ht="15.75" hidden="1" x14ac:dyDescent="0.25">
      <c r="B435" s="165">
        <v>44135</v>
      </c>
      <c r="C435" s="166" t="s">
        <v>128</v>
      </c>
      <c r="D435" s="166" t="s">
        <v>53</v>
      </c>
      <c r="E435" s="167"/>
      <c r="F435" s="114">
        <v>-20.92</v>
      </c>
      <c r="G435" s="168"/>
      <c r="H435" s="169"/>
      <c r="I435" s="170"/>
      <c r="J435" s="171" t="s">
        <v>651</v>
      </c>
      <c r="K435" s="172" t="s">
        <v>177</v>
      </c>
      <c r="L435" s="172" t="s">
        <v>175</v>
      </c>
      <c r="M435" s="173" t="str" cm="1">
        <f t="array" ref="M435">IFERROR(INDEX(CategoriesTable[Category type],MATCH(Table1[[#This Row],[Category]],CategoriesTable[Category name],0),0),"")</f>
        <v>Expense</v>
      </c>
      <c r="N435" s="173">
        <v>31</v>
      </c>
      <c r="O435" s="173">
        <f>MONTH(Table1[[#This Row],[Date]])</f>
        <v>10</v>
      </c>
      <c r="P435" s="173">
        <v>2020</v>
      </c>
      <c r="Q435" s="174">
        <f>IF(ISBLANK(Table1[[#This Row],[Date]]),"",Table1[[#This Row],[Date]]-WEEKDAY(Table1[[#This Row],[Date]],2)+1)</f>
        <v>44130</v>
      </c>
      <c r="R435" s="175">
        <f>IF(ISBLANK(Table1[[#This Row],[Date]]),"",DATE(Table1[[#This Row],[Date_Year]],Table1[[#This Row],[Date_Month]],1))</f>
        <v>44105</v>
      </c>
    </row>
    <row r="436" spans="2:18" ht="15.75" hidden="1" x14ac:dyDescent="0.25">
      <c r="B436" s="165">
        <v>44135</v>
      </c>
      <c r="C436" s="166" t="s">
        <v>121</v>
      </c>
      <c r="D436" s="166" t="s">
        <v>65</v>
      </c>
      <c r="E436" s="167"/>
      <c r="F436" s="114">
        <v>-29.51</v>
      </c>
      <c r="G436" s="168"/>
      <c r="H436" s="169"/>
      <c r="I436" s="170"/>
      <c r="J436" s="171" t="s">
        <v>652</v>
      </c>
      <c r="K436" s="172" t="s">
        <v>177</v>
      </c>
      <c r="L436" s="172" t="s">
        <v>175</v>
      </c>
      <c r="M436" s="173" t="str" cm="1">
        <f t="array" ref="M436">IFERROR(INDEX(CategoriesTable[Category type],MATCH(Table1[[#This Row],[Category]],CategoriesTable[Category name],0),0),"")</f>
        <v>Expense</v>
      </c>
      <c r="N436" s="173">
        <v>31</v>
      </c>
      <c r="O436" s="173">
        <f>MONTH(Table1[[#This Row],[Date]])</f>
        <v>10</v>
      </c>
      <c r="P436" s="173">
        <v>2020</v>
      </c>
      <c r="Q436" s="174">
        <f>IF(ISBLANK(Table1[[#This Row],[Date]]),"",Table1[[#This Row],[Date]]-WEEKDAY(Table1[[#This Row],[Date]],2)+1)</f>
        <v>44130</v>
      </c>
      <c r="R436" s="175">
        <f>IF(ISBLANK(Table1[[#This Row],[Date]]),"",DATE(Table1[[#This Row],[Date_Year]],Table1[[#This Row],[Date_Month]],1))</f>
        <v>44105</v>
      </c>
    </row>
    <row r="437" spans="2:18" ht="15.75" hidden="1" x14ac:dyDescent="0.25">
      <c r="B437" s="165">
        <v>44134</v>
      </c>
      <c r="C437" s="166" t="s">
        <v>120</v>
      </c>
      <c r="D437" s="166" t="s">
        <v>66</v>
      </c>
      <c r="E437" s="167"/>
      <c r="F437" s="114">
        <v>-39.47</v>
      </c>
      <c r="G437" s="168"/>
      <c r="H437" s="169"/>
      <c r="I437" s="170"/>
      <c r="J437" s="171" t="s">
        <v>653</v>
      </c>
      <c r="K437" s="172" t="s">
        <v>177</v>
      </c>
      <c r="L437" s="172" t="s">
        <v>175</v>
      </c>
      <c r="M437" s="173" t="str" cm="1">
        <f t="array" ref="M437">IFERROR(INDEX(CategoriesTable[Category type],MATCH(Table1[[#This Row],[Category]],CategoriesTable[Category name],0),0),"")</f>
        <v>Expense</v>
      </c>
      <c r="N437" s="173">
        <v>30</v>
      </c>
      <c r="O437" s="173">
        <f>MONTH(Table1[[#This Row],[Date]])</f>
        <v>10</v>
      </c>
      <c r="P437" s="173">
        <v>2020</v>
      </c>
      <c r="Q437" s="174">
        <f>IF(ISBLANK(Table1[[#This Row],[Date]]),"",Table1[[#This Row],[Date]]-WEEKDAY(Table1[[#This Row],[Date]],2)+1)</f>
        <v>44130</v>
      </c>
      <c r="R437" s="175">
        <f>IF(ISBLANK(Table1[[#This Row],[Date]]),"",DATE(Table1[[#This Row],[Date_Year]],Table1[[#This Row],[Date_Month]],1))</f>
        <v>44105</v>
      </c>
    </row>
    <row r="438" spans="2:18" ht="15.75" hidden="1" x14ac:dyDescent="0.25">
      <c r="B438" s="165">
        <v>44134</v>
      </c>
      <c r="C438" s="166" t="s">
        <v>654</v>
      </c>
      <c r="D438" s="166" t="s">
        <v>65</v>
      </c>
      <c r="E438" s="167"/>
      <c r="F438" s="114">
        <v>-38.65</v>
      </c>
      <c r="G438" s="168"/>
      <c r="H438" s="169"/>
      <c r="I438" s="170"/>
      <c r="J438" s="171" t="s">
        <v>655</v>
      </c>
      <c r="K438" s="172" t="s">
        <v>177</v>
      </c>
      <c r="L438" s="172" t="s">
        <v>175</v>
      </c>
      <c r="M438" s="173" t="str" cm="1">
        <f t="array" ref="M438">IFERROR(INDEX(CategoriesTable[Category type],MATCH(Table1[[#This Row],[Category]],CategoriesTable[Category name],0),0),"")</f>
        <v>Expense</v>
      </c>
      <c r="N438" s="173">
        <v>30</v>
      </c>
      <c r="O438" s="173">
        <f>MONTH(Table1[[#This Row],[Date]])</f>
        <v>10</v>
      </c>
      <c r="P438" s="173">
        <v>2020</v>
      </c>
      <c r="Q438" s="174">
        <f>IF(ISBLANK(Table1[[#This Row],[Date]]),"",Table1[[#This Row],[Date]]-WEEKDAY(Table1[[#This Row],[Date]],2)+1)</f>
        <v>44130</v>
      </c>
      <c r="R438" s="175">
        <f>IF(ISBLANK(Table1[[#This Row],[Date]]),"",DATE(Table1[[#This Row],[Date_Year]],Table1[[#This Row],[Date_Month]],1))</f>
        <v>44105</v>
      </c>
    </row>
    <row r="439" spans="2:18" ht="15.75" hidden="1" x14ac:dyDescent="0.25">
      <c r="B439" s="165">
        <v>44134</v>
      </c>
      <c r="C439" s="166" t="s">
        <v>148</v>
      </c>
      <c r="D439" s="166" t="s">
        <v>65</v>
      </c>
      <c r="E439" s="167"/>
      <c r="F439" s="114">
        <v>-10.99</v>
      </c>
      <c r="G439" s="168"/>
      <c r="H439" s="169"/>
      <c r="I439" s="170"/>
      <c r="J439" s="171" t="s">
        <v>656</v>
      </c>
      <c r="K439" s="172" t="s">
        <v>177</v>
      </c>
      <c r="L439" s="172" t="s">
        <v>175</v>
      </c>
      <c r="M439" s="173" t="str" cm="1">
        <f t="array" ref="M439">IFERROR(INDEX(CategoriesTable[Category type],MATCH(Table1[[#This Row],[Category]],CategoriesTable[Category name],0),0),"")</f>
        <v>Expense</v>
      </c>
      <c r="N439" s="173">
        <v>30</v>
      </c>
      <c r="O439" s="173">
        <f>MONTH(Table1[[#This Row],[Date]])</f>
        <v>10</v>
      </c>
      <c r="P439" s="173">
        <v>2020</v>
      </c>
      <c r="Q439" s="174">
        <f>IF(ISBLANK(Table1[[#This Row],[Date]]),"",Table1[[#This Row],[Date]]-WEEKDAY(Table1[[#This Row],[Date]],2)+1)</f>
        <v>44130</v>
      </c>
      <c r="R439" s="175">
        <f>IF(ISBLANK(Table1[[#This Row],[Date]]),"",DATE(Table1[[#This Row],[Date_Year]],Table1[[#This Row],[Date_Month]],1))</f>
        <v>44105</v>
      </c>
    </row>
    <row r="440" spans="2:18" ht="15.75" hidden="1" x14ac:dyDescent="0.25">
      <c r="B440" s="165">
        <v>44134</v>
      </c>
      <c r="C440" s="166" t="s">
        <v>121</v>
      </c>
      <c r="D440" s="166" t="s">
        <v>65</v>
      </c>
      <c r="E440" s="167"/>
      <c r="F440" s="114">
        <v>-15.75</v>
      </c>
      <c r="G440" s="168"/>
      <c r="H440" s="169"/>
      <c r="I440" s="170"/>
      <c r="J440" s="171" t="s">
        <v>657</v>
      </c>
      <c r="K440" s="172" t="s">
        <v>177</v>
      </c>
      <c r="L440" s="172" t="s">
        <v>175</v>
      </c>
      <c r="M440" s="173" t="str" cm="1">
        <f t="array" ref="M440">IFERROR(INDEX(CategoriesTable[Category type],MATCH(Table1[[#This Row],[Category]],CategoriesTable[Category name],0),0),"")</f>
        <v>Expense</v>
      </c>
      <c r="N440" s="173">
        <v>30</v>
      </c>
      <c r="O440" s="173">
        <f>MONTH(Table1[[#This Row],[Date]])</f>
        <v>10</v>
      </c>
      <c r="P440" s="173">
        <v>2020</v>
      </c>
      <c r="Q440" s="174">
        <f>IF(ISBLANK(Table1[[#This Row],[Date]]),"",Table1[[#This Row],[Date]]-WEEKDAY(Table1[[#This Row],[Date]],2)+1)</f>
        <v>44130</v>
      </c>
      <c r="R440" s="175">
        <f>IF(ISBLANK(Table1[[#This Row],[Date]]),"",DATE(Table1[[#This Row],[Date_Year]],Table1[[#This Row],[Date_Month]],1))</f>
        <v>44105</v>
      </c>
    </row>
    <row r="441" spans="2:18" ht="15.75" hidden="1" x14ac:dyDescent="0.25">
      <c r="B441" s="165">
        <v>44133</v>
      </c>
      <c r="C441" s="166" t="s">
        <v>134</v>
      </c>
      <c r="D441" s="166" t="s">
        <v>65</v>
      </c>
      <c r="E441" s="167"/>
      <c r="F441" s="114">
        <v>-26.61</v>
      </c>
      <c r="G441" s="168"/>
      <c r="H441" s="169"/>
      <c r="I441" s="170"/>
      <c r="J441" s="171" t="s">
        <v>658</v>
      </c>
      <c r="K441" s="172" t="s">
        <v>177</v>
      </c>
      <c r="L441" s="172" t="s">
        <v>175</v>
      </c>
      <c r="M441" s="173" t="str" cm="1">
        <f t="array" ref="M441">IFERROR(INDEX(CategoriesTable[Category type],MATCH(Table1[[#This Row],[Category]],CategoriesTable[Category name],0),0),"")</f>
        <v>Expense</v>
      </c>
      <c r="N441" s="173">
        <v>29</v>
      </c>
      <c r="O441" s="173">
        <f>MONTH(Table1[[#This Row],[Date]])</f>
        <v>10</v>
      </c>
      <c r="P441" s="173">
        <v>2020</v>
      </c>
      <c r="Q441" s="174">
        <f>IF(ISBLANK(Table1[[#This Row],[Date]]),"",Table1[[#This Row],[Date]]-WEEKDAY(Table1[[#This Row],[Date]],2)+1)</f>
        <v>44130</v>
      </c>
      <c r="R441" s="175">
        <f>IF(ISBLANK(Table1[[#This Row],[Date]]),"",DATE(Table1[[#This Row],[Date_Year]],Table1[[#This Row],[Date_Month]],1))</f>
        <v>44105</v>
      </c>
    </row>
    <row r="442" spans="2:18" ht="15.75" hidden="1" x14ac:dyDescent="0.25">
      <c r="B442" s="165">
        <v>44133</v>
      </c>
      <c r="C442" s="166" t="s">
        <v>121</v>
      </c>
      <c r="D442" s="166" t="s">
        <v>65</v>
      </c>
      <c r="E442" s="167"/>
      <c r="F442" s="114">
        <v>-16.39</v>
      </c>
      <c r="G442" s="168"/>
      <c r="H442" s="169"/>
      <c r="I442" s="170"/>
      <c r="J442" s="171" t="s">
        <v>659</v>
      </c>
      <c r="K442" s="172" t="s">
        <v>177</v>
      </c>
      <c r="L442" s="172" t="s">
        <v>175</v>
      </c>
      <c r="M442" s="173" t="str" cm="1">
        <f t="array" ref="M442">IFERROR(INDEX(CategoriesTable[Category type],MATCH(Table1[[#This Row],[Category]],CategoriesTable[Category name],0),0),"")</f>
        <v>Expense</v>
      </c>
      <c r="N442" s="173">
        <v>29</v>
      </c>
      <c r="O442" s="173">
        <f>MONTH(Table1[[#This Row],[Date]])</f>
        <v>10</v>
      </c>
      <c r="P442" s="173">
        <v>2020</v>
      </c>
      <c r="Q442" s="174">
        <f>IF(ISBLANK(Table1[[#This Row],[Date]]),"",Table1[[#This Row],[Date]]-WEEKDAY(Table1[[#This Row],[Date]],2)+1)</f>
        <v>44130</v>
      </c>
      <c r="R442" s="175">
        <f>IF(ISBLANK(Table1[[#This Row],[Date]]),"",DATE(Table1[[#This Row],[Date_Year]],Table1[[#This Row],[Date_Month]],1))</f>
        <v>44105</v>
      </c>
    </row>
    <row r="443" spans="2:18" ht="15.75" hidden="1" x14ac:dyDescent="0.25">
      <c r="B443" s="165">
        <v>44132</v>
      </c>
      <c r="C443" s="166" t="s">
        <v>120</v>
      </c>
      <c r="D443" s="166" t="s">
        <v>66</v>
      </c>
      <c r="E443" s="167"/>
      <c r="F443" s="114">
        <v>-19.510000000000002</v>
      </c>
      <c r="G443" s="168"/>
      <c r="H443" s="169"/>
      <c r="I443" s="170"/>
      <c r="J443" s="171" t="s">
        <v>660</v>
      </c>
      <c r="K443" s="172" t="s">
        <v>177</v>
      </c>
      <c r="L443" s="172" t="s">
        <v>175</v>
      </c>
      <c r="M443" s="173" t="str" cm="1">
        <f t="array" ref="M443">IFERROR(INDEX(CategoriesTable[Category type],MATCH(Table1[[#This Row],[Category]],CategoriesTable[Category name],0),0),"")</f>
        <v>Expense</v>
      </c>
      <c r="N443" s="173">
        <v>28</v>
      </c>
      <c r="O443" s="173">
        <f>MONTH(Table1[[#This Row],[Date]])</f>
        <v>10</v>
      </c>
      <c r="P443" s="173">
        <v>2020</v>
      </c>
      <c r="Q443" s="174">
        <f>IF(ISBLANK(Table1[[#This Row],[Date]]),"",Table1[[#This Row],[Date]]-WEEKDAY(Table1[[#This Row],[Date]],2)+1)</f>
        <v>44130</v>
      </c>
      <c r="R443" s="175">
        <f>IF(ISBLANK(Table1[[#This Row],[Date]]),"",DATE(Table1[[#This Row],[Date_Year]],Table1[[#This Row],[Date_Month]],1))</f>
        <v>44105</v>
      </c>
    </row>
    <row r="444" spans="2:18" ht="15.75" hidden="1" x14ac:dyDescent="0.25">
      <c r="B444" s="165">
        <v>44132</v>
      </c>
      <c r="C444" s="166" t="s">
        <v>202</v>
      </c>
      <c r="D444" s="166" t="s">
        <v>55</v>
      </c>
      <c r="E444" s="167"/>
      <c r="F444" s="114">
        <v>-344.72</v>
      </c>
      <c r="G444" s="168"/>
      <c r="H444" s="169"/>
      <c r="I444" s="170"/>
      <c r="J444" s="171" t="s">
        <v>661</v>
      </c>
      <c r="K444" s="172" t="s">
        <v>177</v>
      </c>
      <c r="L444" s="172" t="s">
        <v>175</v>
      </c>
      <c r="M444" s="173" t="str" cm="1">
        <f t="array" ref="M444">IFERROR(INDEX(CategoriesTable[Category type],MATCH(Table1[[#This Row],[Category]],CategoriesTable[Category name],0),0),"")</f>
        <v>Expense</v>
      </c>
      <c r="N444" s="173">
        <v>28</v>
      </c>
      <c r="O444" s="173">
        <f>MONTH(Table1[[#This Row],[Date]])</f>
        <v>10</v>
      </c>
      <c r="P444" s="173">
        <v>2020</v>
      </c>
      <c r="Q444" s="174">
        <f>IF(ISBLANK(Table1[[#This Row],[Date]]),"",Table1[[#This Row],[Date]]-WEEKDAY(Table1[[#This Row],[Date]],2)+1)</f>
        <v>44130</v>
      </c>
      <c r="R444" s="175">
        <f>IF(ISBLANK(Table1[[#This Row],[Date]]),"",DATE(Table1[[#This Row],[Date_Year]],Table1[[#This Row],[Date_Month]],1))</f>
        <v>44105</v>
      </c>
    </row>
    <row r="445" spans="2:18" ht="15.75" hidden="1" x14ac:dyDescent="0.25">
      <c r="B445" s="165">
        <v>44130</v>
      </c>
      <c r="C445" s="166" t="s">
        <v>180</v>
      </c>
      <c r="D445" s="166" t="s">
        <v>52</v>
      </c>
      <c r="E445" s="167"/>
      <c r="F445" s="114">
        <v>-260</v>
      </c>
      <c r="G445" s="168"/>
      <c r="H445" s="169"/>
      <c r="I445" s="170"/>
      <c r="J445" s="171" t="s">
        <v>662</v>
      </c>
      <c r="K445" s="172" t="s">
        <v>177</v>
      </c>
      <c r="L445" s="172" t="s">
        <v>175</v>
      </c>
      <c r="M445" s="173" t="str" cm="1">
        <f t="array" ref="M445">IFERROR(INDEX(CategoriesTable[Category type],MATCH(Table1[[#This Row],[Category]],CategoriesTable[Category name],0),0),"")</f>
        <v>Transfer</v>
      </c>
      <c r="N445" s="173">
        <v>26</v>
      </c>
      <c r="O445" s="173">
        <f>MONTH(Table1[[#This Row],[Date]])</f>
        <v>10</v>
      </c>
      <c r="P445" s="173">
        <v>2020</v>
      </c>
      <c r="Q445" s="174">
        <f>IF(ISBLANK(Table1[[#This Row],[Date]]),"",Table1[[#This Row],[Date]]-WEEKDAY(Table1[[#This Row],[Date]],2)+1)</f>
        <v>44130</v>
      </c>
      <c r="R445" s="175">
        <f>IF(ISBLANK(Table1[[#This Row],[Date]]),"",DATE(Table1[[#This Row],[Date_Year]],Table1[[#This Row],[Date_Month]],1))</f>
        <v>44105</v>
      </c>
    </row>
    <row r="446" spans="2:18" ht="15.75" hidden="1" x14ac:dyDescent="0.25">
      <c r="B446" s="165">
        <v>44130</v>
      </c>
      <c r="C446" s="166" t="s">
        <v>199</v>
      </c>
      <c r="D446" s="166" t="s">
        <v>65</v>
      </c>
      <c r="E446" s="167"/>
      <c r="F446" s="114">
        <v>-31.67</v>
      </c>
      <c r="G446" s="168"/>
      <c r="H446" s="169"/>
      <c r="I446" s="170"/>
      <c r="J446" s="171" t="s">
        <v>663</v>
      </c>
      <c r="K446" s="172" t="s">
        <v>177</v>
      </c>
      <c r="L446" s="172" t="s">
        <v>175</v>
      </c>
      <c r="M446" s="173" t="str" cm="1">
        <f t="array" ref="M446">IFERROR(INDEX(CategoriesTable[Category type],MATCH(Table1[[#This Row],[Category]],CategoriesTable[Category name],0),0),"")</f>
        <v>Expense</v>
      </c>
      <c r="N446" s="173">
        <v>26</v>
      </c>
      <c r="O446" s="173">
        <f>MONTH(Table1[[#This Row],[Date]])</f>
        <v>10</v>
      </c>
      <c r="P446" s="173">
        <v>2020</v>
      </c>
      <c r="Q446" s="174">
        <f>IF(ISBLANK(Table1[[#This Row],[Date]]),"",Table1[[#This Row],[Date]]-WEEKDAY(Table1[[#This Row],[Date]],2)+1)</f>
        <v>44130</v>
      </c>
      <c r="R446" s="175">
        <f>IF(ISBLANK(Table1[[#This Row],[Date]]),"",DATE(Table1[[#This Row],[Date_Year]],Table1[[#This Row],[Date_Month]],1))</f>
        <v>44105</v>
      </c>
    </row>
    <row r="447" spans="2:18" ht="15.75" hidden="1" x14ac:dyDescent="0.25">
      <c r="B447" s="165">
        <v>44130</v>
      </c>
      <c r="C447" s="166" t="s">
        <v>664</v>
      </c>
      <c r="D447" s="166" t="s">
        <v>66</v>
      </c>
      <c r="E447" s="167"/>
      <c r="F447" s="114">
        <v>-74.67</v>
      </c>
      <c r="G447" s="168"/>
      <c r="H447" s="169"/>
      <c r="I447" s="170"/>
      <c r="J447" s="171" t="s">
        <v>665</v>
      </c>
      <c r="K447" s="172" t="s">
        <v>177</v>
      </c>
      <c r="L447" s="172" t="s">
        <v>175</v>
      </c>
      <c r="M447" s="173" t="str" cm="1">
        <f t="array" ref="M447">IFERROR(INDEX(CategoriesTable[Category type],MATCH(Table1[[#This Row],[Category]],CategoriesTable[Category name],0),0),"")</f>
        <v>Expense</v>
      </c>
      <c r="N447" s="173">
        <v>26</v>
      </c>
      <c r="O447" s="173">
        <f>MONTH(Table1[[#This Row],[Date]])</f>
        <v>10</v>
      </c>
      <c r="P447" s="173">
        <v>2020</v>
      </c>
      <c r="Q447" s="174">
        <f>IF(ISBLANK(Table1[[#This Row],[Date]]),"",Table1[[#This Row],[Date]]-WEEKDAY(Table1[[#This Row],[Date]],2)+1)</f>
        <v>44130</v>
      </c>
      <c r="R447" s="175">
        <f>IF(ISBLANK(Table1[[#This Row],[Date]]),"",DATE(Table1[[#This Row],[Date_Year]],Table1[[#This Row],[Date_Month]],1))</f>
        <v>44105</v>
      </c>
    </row>
    <row r="448" spans="2:18" ht="15.75" hidden="1" x14ac:dyDescent="0.25">
      <c r="B448" s="165">
        <v>44130</v>
      </c>
      <c r="C448" s="166" t="s">
        <v>124</v>
      </c>
      <c r="D448" s="166" t="s">
        <v>55</v>
      </c>
      <c r="E448" s="167"/>
      <c r="F448" s="114">
        <v>-9.99</v>
      </c>
      <c r="G448" s="168"/>
      <c r="H448" s="169"/>
      <c r="I448" s="170"/>
      <c r="J448" s="171" t="s">
        <v>666</v>
      </c>
      <c r="K448" s="172" t="s">
        <v>177</v>
      </c>
      <c r="L448" s="172" t="s">
        <v>175</v>
      </c>
      <c r="M448" s="173" t="str" cm="1">
        <f t="array" ref="M448">IFERROR(INDEX(CategoriesTable[Category type],MATCH(Table1[[#This Row],[Category]],CategoriesTable[Category name],0),0),"")</f>
        <v>Expense</v>
      </c>
      <c r="N448" s="173">
        <v>26</v>
      </c>
      <c r="O448" s="173">
        <f>MONTH(Table1[[#This Row],[Date]])</f>
        <v>10</v>
      </c>
      <c r="P448" s="173">
        <v>2020</v>
      </c>
      <c r="Q448" s="174">
        <f>IF(ISBLANK(Table1[[#This Row],[Date]]),"",Table1[[#This Row],[Date]]-WEEKDAY(Table1[[#This Row],[Date]],2)+1)</f>
        <v>44130</v>
      </c>
      <c r="R448" s="175">
        <f>IF(ISBLANK(Table1[[#This Row],[Date]]),"",DATE(Table1[[#This Row],[Date_Year]],Table1[[#This Row],[Date_Month]],1))</f>
        <v>44105</v>
      </c>
    </row>
    <row r="449" spans="2:18" ht="15.75" hidden="1" x14ac:dyDescent="0.25">
      <c r="B449" s="165">
        <v>44129</v>
      </c>
      <c r="C449" s="166" t="s">
        <v>121</v>
      </c>
      <c r="D449" s="166" t="s">
        <v>65</v>
      </c>
      <c r="E449" s="167"/>
      <c r="F449" s="114">
        <v>-18.079999999999998</v>
      </c>
      <c r="G449" s="168"/>
      <c r="H449" s="169"/>
      <c r="I449" s="170"/>
      <c r="J449" s="171" t="s">
        <v>667</v>
      </c>
      <c r="K449" s="172" t="s">
        <v>177</v>
      </c>
      <c r="L449" s="172" t="s">
        <v>175</v>
      </c>
      <c r="M449" s="173" t="str" cm="1">
        <f t="array" ref="M449">IFERROR(INDEX(CategoriesTable[Category type],MATCH(Table1[[#This Row],[Category]],CategoriesTable[Category name],0),0),"")</f>
        <v>Expense</v>
      </c>
      <c r="N449" s="173">
        <v>25</v>
      </c>
      <c r="O449" s="173">
        <f>MONTH(Table1[[#This Row],[Date]])</f>
        <v>10</v>
      </c>
      <c r="P449" s="173">
        <v>2020</v>
      </c>
      <c r="Q449" s="174">
        <f>IF(ISBLANK(Table1[[#This Row],[Date]]),"",Table1[[#This Row],[Date]]-WEEKDAY(Table1[[#This Row],[Date]],2)+1)</f>
        <v>44123</v>
      </c>
      <c r="R449" s="175">
        <f>IF(ISBLANK(Table1[[#This Row],[Date]]),"",DATE(Table1[[#This Row],[Date_Year]],Table1[[#This Row],[Date_Month]],1))</f>
        <v>44105</v>
      </c>
    </row>
    <row r="450" spans="2:18" ht="15.75" hidden="1" x14ac:dyDescent="0.25">
      <c r="B450" s="165">
        <v>44127</v>
      </c>
      <c r="C450" s="166" t="s">
        <v>199</v>
      </c>
      <c r="D450" s="166" t="s">
        <v>65</v>
      </c>
      <c r="E450" s="167"/>
      <c r="F450" s="114">
        <v>-22.53</v>
      </c>
      <c r="G450" s="168"/>
      <c r="H450" s="169"/>
      <c r="I450" s="170"/>
      <c r="J450" s="171" t="s">
        <v>668</v>
      </c>
      <c r="K450" s="172" t="s">
        <v>177</v>
      </c>
      <c r="L450" s="172" t="s">
        <v>175</v>
      </c>
      <c r="M450" s="173" t="str" cm="1">
        <f t="array" ref="M450">IFERROR(INDEX(CategoriesTable[Category type],MATCH(Table1[[#This Row],[Category]],CategoriesTable[Category name],0),0),"")</f>
        <v>Expense</v>
      </c>
      <c r="N450" s="173">
        <v>23</v>
      </c>
      <c r="O450" s="173">
        <f>MONTH(Table1[[#This Row],[Date]])</f>
        <v>10</v>
      </c>
      <c r="P450" s="173">
        <v>2020</v>
      </c>
      <c r="Q450" s="174">
        <f>IF(ISBLANK(Table1[[#This Row],[Date]]),"",Table1[[#This Row],[Date]]-WEEKDAY(Table1[[#This Row],[Date]],2)+1)</f>
        <v>44123</v>
      </c>
      <c r="R450" s="175">
        <f>IF(ISBLANK(Table1[[#This Row],[Date]]),"",DATE(Table1[[#This Row],[Date_Year]],Table1[[#This Row],[Date_Month]],1))</f>
        <v>44105</v>
      </c>
    </row>
    <row r="451" spans="2:18" ht="15.75" hidden="1" x14ac:dyDescent="0.25">
      <c r="B451" s="165">
        <v>44127</v>
      </c>
      <c r="C451" s="166" t="s">
        <v>121</v>
      </c>
      <c r="D451" s="166" t="s">
        <v>65</v>
      </c>
      <c r="E451" s="167"/>
      <c r="F451" s="114">
        <v>-22.32</v>
      </c>
      <c r="G451" s="168"/>
      <c r="H451" s="169"/>
      <c r="I451" s="170"/>
      <c r="J451" s="171" t="s">
        <v>669</v>
      </c>
      <c r="K451" s="172" t="s">
        <v>177</v>
      </c>
      <c r="L451" s="172" t="s">
        <v>175</v>
      </c>
      <c r="M451" s="173" t="str" cm="1">
        <f t="array" ref="M451">IFERROR(INDEX(CategoriesTable[Category type],MATCH(Table1[[#This Row],[Category]],CategoriesTable[Category name],0),0),"")</f>
        <v>Expense</v>
      </c>
      <c r="N451" s="173">
        <v>23</v>
      </c>
      <c r="O451" s="173">
        <f>MONTH(Table1[[#This Row],[Date]])</f>
        <v>10</v>
      </c>
      <c r="P451" s="173">
        <v>2020</v>
      </c>
      <c r="Q451" s="174">
        <f>IF(ISBLANK(Table1[[#This Row],[Date]]),"",Table1[[#This Row],[Date]]-WEEKDAY(Table1[[#This Row],[Date]],2)+1)</f>
        <v>44123</v>
      </c>
      <c r="R451" s="175">
        <f>IF(ISBLANK(Table1[[#This Row],[Date]]),"",DATE(Table1[[#This Row],[Date_Year]],Table1[[#This Row],[Date_Month]],1))</f>
        <v>44105</v>
      </c>
    </row>
    <row r="452" spans="2:18" ht="15.75" hidden="1" x14ac:dyDescent="0.25">
      <c r="B452" s="165">
        <v>44127</v>
      </c>
      <c r="C452" s="166" t="s">
        <v>588</v>
      </c>
      <c r="D452" s="166" t="s">
        <v>65</v>
      </c>
      <c r="E452" s="167"/>
      <c r="F452" s="114">
        <v>-34.57</v>
      </c>
      <c r="G452" s="168"/>
      <c r="H452" s="169"/>
      <c r="I452" s="170"/>
      <c r="J452" s="171" t="s">
        <v>670</v>
      </c>
      <c r="K452" s="172" t="s">
        <v>177</v>
      </c>
      <c r="L452" s="172" t="s">
        <v>175</v>
      </c>
      <c r="M452" s="173" t="str" cm="1">
        <f t="array" ref="M452">IFERROR(INDEX(CategoriesTable[Category type],MATCH(Table1[[#This Row],[Category]],CategoriesTable[Category name],0),0),"")</f>
        <v>Expense</v>
      </c>
      <c r="N452" s="173">
        <v>23</v>
      </c>
      <c r="O452" s="173">
        <f>MONTH(Table1[[#This Row],[Date]])</f>
        <v>10</v>
      </c>
      <c r="P452" s="173">
        <v>2020</v>
      </c>
      <c r="Q452" s="174">
        <f>IF(ISBLANK(Table1[[#This Row],[Date]]),"",Table1[[#This Row],[Date]]-WEEKDAY(Table1[[#This Row],[Date]],2)+1)</f>
        <v>44123</v>
      </c>
      <c r="R452" s="175">
        <f>IF(ISBLANK(Table1[[#This Row],[Date]]),"",DATE(Table1[[#This Row],[Date_Year]],Table1[[#This Row],[Date_Month]],1))</f>
        <v>44105</v>
      </c>
    </row>
    <row r="453" spans="2:18" ht="15.75" hidden="1" x14ac:dyDescent="0.25">
      <c r="B453" s="165">
        <v>44127</v>
      </c>
      <c r="C453" s="166" t="s">
        <v>146</v>
      </c>
      <c r="D453" s="166" t="s">
        <v>58</v>
      </c>
      <c r="E453" s="167"/>
      <c r="F453" s="114">
        <v>-90.24</v>
      </c>
      <c r="G453" s="168"/>
      <c r="H453" s="169"/>
      <c r="I453" s="170"/>
      <c r="J453" s="171" t="s">
        <v>671</v>
      </c>
      <c r="K453" s="172" t="s">
        <v>177</v>
      </c>
      <c r="L453" s="172" t="s">
        <v>175</v>
      </c>
      <c r="M453" s="173" t="str" cm="1">
        <f t="array" ref="M453">IFERROR(INDEX(CategoriesTable[Category type],MATCH(Table1[[#This Row],[Category]],CategoriesTable[Category name],0),0),"")</f>
        <v>Expense</v>
      </c>
      <c r="N453" s="173">
        <v>23</v>
      </c>
      <c r="O453" s="173">
        <f>MONTH(Table1[[#This Row],[Date]])</f>
        <v>10</v>
      </c>
      <c r="P453" s="173">
        <v>2020</v>
      </c>
      <c r="Q453" s="174">
        <f>IF(ISBLANK(Table1[[#This Row],[Date]]),"",Table1[[#This Row],[Date]]-WEEKDAY(Table1[[#This Row],[Date]],2)+1)</f>
        <v>44123</v>
      </c>
      <c r="R453" s="175">
        <f>IF(ISBLANK(Table1[[#This Row],[Date]]),"",DATE(Table1[[#This Row],[Date_Year]],Table1[[#This Row],[Date_Month]],1))</f>
        <v>44105</v>
      </c>
    </row>
    <row r="454" spans="2:18" ht="15.75" hidden="1" x14ac:dyDescent="0.25">
      <c r="B454" s="165">
        <v>44126</v>
      </c>
      <c r="C454" s="166" t="s">
        <v>180</v>
      </c>
      <c r="D454" s="166" t="s">
        <v>52</v>
      </c>
      <c r="E454" s="167"/>
      <c r="F454" s="114">
        <v>-40</v>
      </c>
      <c r="G454" s="168"/>
      <c r="H454" s="169"/>
      <c r="I454" s="170"/>
      <c r="J454" s="171" t="s">
        <v>672</v>
      </c>
      <c r="K454" s="172" t="s">
        <v>177</v>
      </c>
      <c r="L454" s="172" t="s">
        <v>175</v>
      </c>
      <c r="M454" s="173" t="str" cm="1">
        <f t="array" ref="M454">IFERROR(INDEX(CategoriesTable[Category type],MATCH(Table1[[#This Row],[Category]],CategoriesTable[Category name],0),0),"")</f>
        <v>Transfer</v>
      </c>
      <c r="N454" s="173">
        <v>22</v>
      </c>
      <c r="O454" s="173">
        <f>MONTH(Table1[[#This Row],[Date]])</f>
        <v>10</v>
      </c>
      <c r="P454" s="173">
        <v>2020</v>
      </c>
      <c r="Q454" s="174">
        <f>IF(ISBLANK(Table1[[#This Row],[Date]]),"",Table1[[#This Row],[Date]]-WEEKDAY(Table1[[#This Row],[Date]],2)+1)</f>
        <v>44123</v>
      </c>
      <c r="R454" s="175">
        <f>IF(ISBLANK(Table1[[#This Row],[Date]]),"",DATE(Table1[[#This Row],[Date_Year]],Table1[[#This Row],[Date_Month]],1))</f>
        <v>44105</v>
      </c>
    </row>
    <row r="455" spans="2:18" ht="15.75" hidden="1" x14ac:dyDescent="0.25">
      <c r="B455" s="165">
        <v>44126</v>
      </c>
      <c r="C455" s="166" t="s">
        <v>135</v>
      </c>
      <c r="D455" s="166" t="s">
        <v>53</v>
      </c>
      <c r="E455" s="167"/>
      <c r="F455" s="114">
        <v>-13.95</v>
      </c>
      <c r="G455" s="168"/>
      <c r="H455" s="169"/>
      <c r="I455" s="170"/>
      <c r="J455" s="171" t="s">
        <v>673</v>
      </c>
      <c r="K455" s="172" t="s">
        <v>177</v>
      </c>
      <c r="L455" s="172" t="s">
        <v>175</v>
      </c>
      <c r="M455" s="173" t="str" cm="1">
        <f t="array" ref="M455">IFERROR(INDEX(CategoriesTable[Category type],MATCH(Table1[[#This Row],[Category]],CategoriesTable[Category name],0),0),"")</f>
        <v>Expense</v>
      </c>
      <c r="N455" s="173">
        <v>22</v>
      </c>
      <c r="O455" s="173">
        <f>MONTH(Table1[[#This Row],[Date]])</f>
        <v>10</v>
      </c>
      <c r="P455" s="173">
        <v>2020</v>
      </c>
      <c r="Q455" s="174">
        <f>IF(ISBLANK(Table1[[#This Row],[Date]]),"",Table1[[#This Row],[Date]]-WEEKDAY(Table1[[#This Row],[Date]],2)+1)</f>
        <v>44123</v>
      </c>
      <c r="R455" s="175">
        <f>IF(ISBLANK(Table1[[#This Row],[Date]]),"",DATE(Table1[[#This Row],[Date_Year]],Table1[[#This Row],[Date_Month]],1))</f>
        <v>44105</v>
      </c>
    </row>
    <row r="456" spans="2:18" ht="15.75" hidden="1" x14ac:dyDescent="0.25">
      <c r="B456" s="165">
        <v>44126</v>
      </c>
      <c r="C456" s="166" t="s">
        <v>208</v>
      </c>
      <c r="D456" s="166" t="s">
        <v>55</v>
      </c>
      <c r="E456" s="167"/>
      <c r="F456" s="114">
        <v>-40.28</v>
      </c>
      <c r="G456" s="168"/>
      <c r="H456" s="169"/>
      <c r="I456" s="170"/>
      <c r="J456" s="171" t="s">
        <v>674</v>
      </c>
      <c r="K456" s="172" t="s">
        <v>177</v>
      </c>
      <c r="L456" s="172" t="s">
        <v>175</v>
      </c>
      <c r="M456" s="173" t="str" cm="1">
        <f t="array" ref="M456">IFERROR(INDEX(CategoriesTable[Category type],MATCH(Table1[[#This Row],[Category]],CategoriesTable[Category name],0),0),"")</f>
        <v>Expense</v>
      </c>
      <c r="N456" s="173">
        <v>22</v>
      </c>
      <c r="O456" s="173">
        <f>MONTH(Table1[[#This Row],[Date]])</f>
        <v>10</v>
      </c>
      <c r="P456" s="173">
        <v>2020</v>
      </c>
      <c r="Q456" s="174">
        <f>IF(ISBLANK(Table1[[#This Row],[Date]]),"",Table1[[#This Row],[Date]]-WEEKDAY(Table1[[#This Row],[Date]],2)+1)</f>
        <v>44123</v>
      </c>
      <c r="R456" s="175">
        <f>IF(ISBLANK(Table1[[#This Row],[Date]]),"",DATE(Table1[[#This Row],[Date_Year]],Table1[[#This Row],[Date_Month]],1))</f>
        <v>44105</v>
      </c>
    </row>
    <row r="457" spans="2:18" ht="15.75" hidden="1" x14ac:dyDescent="0.25">
      <c r="B457" s="165">
        <v>44125</v>
      </c>
      <c r="C457" s="166" t="s">
        <v>180</v>
      </c>
      <c r="D457" s="166" t="s">
        <v>52</v>
      </c>
      <c r="E457" s="167"/>
      <c r="F457" s="114">
        <v>-100</v>
      </c>
      <c r="G457" s="168"/>
      <c r="H457" s="169"/>
      <c r="I457" s="170"/>
      <c r="J457" s="171" t="s">
        <v>675</v>
      </c>
      <c r="K457" s="172" t="s">
        <v>177</v>
      </c>
      <c r="L457" s="172" t="s">
        <v>175</v>
      </c>
      <c r="M457" s="173" t="str" cm="1">
        <f t="array" ref="M457">IFERROR(INDEX(CategoriesTable[Category type],MATCH(Table1[[#This Row],[Category]],CategoriesTable[Category name],0),0),"")</f>
        <v>Transfer</v>
      </c>
      <c r="N457" s="173">
        <v>21</v>
      </c>
      <c r="O457" s="173">
        <f>MONTH(Table1[[#This Row],[Date]])</f>
        <v>10</v>
      </c>
      <c r="P457" s="173">
        <v>2020</v>
      </c>
      <c r="Q457" s="174">
        <f>IF(ISBLANK(Table1[[#This Row],[Date]]),"",Table1[[#This Row],[Date]]-WEEKDAY(Table1[[#This Row],[Date]],2)+1)</f>
        <v>44123</v>
      </c>
      <c r="R457" s="175">
        <f>IF(ISBLANK(Table1[[#This Row],[Date]]),"",DATE(Table1[[#This Row],[Date_Year]],Table1[[#This Row],[Date_Month]],1))</f>
        <v>44105</v>
      </c>
    </row>
    <row r="458" spans="2:18" ht="15.75" hidden="1" x14ac:dyDescent="0.25">
      <c r="B458" s="165">
        <v>44125</v>
      </c>
      <c r="C458" s="166" t="s">
        <v>120</v>
      </c>
      <c r="D458" s="166" t="s">
        <v>66</v>
      </c>
      <c r="E458" s="167"/>
      <c r="F458" s="114">
        <v>-26.1</v>
      </c>
      <c r="G458" s="168"/>
      <c r="H458" s="169"/>
      <c r="I458" s="170"/>
      <c r="J458" s="171" t="s">
        <v>676</v>
      </c>
      <c r="K458" s="172" t="s">
        <v>177</v>
      </c>
      <c r="L458" s="172" t="s">
        <v>175</v>
      </c>
      <c r="M458" s="173" t="str" cm="1">
        <f t="array" ref="M458">IFERROR(INDEX(CategoriesTable[Category type],MATCH(Table1[[#This Row],[Category]],CategoriesTable[Category name],0),0),"")</f>
        <v>Expense</v>
      </c>
      <c r="N458" s="173">
        <v>21</v>
      </c>
      <c r="O458" s="173">
        <f>MONTH(Table1[[#This Row],[Date]])</f>
        <v>10</v>
      </c>
      <c r="P458" s="173">
        <v>2020</v>
      </c>
      <c r="Q458" s="174">
        <f>IF(ISBLANK(Table1[[#This Row],[Date]]),"",Table1[[#This Row],[Date]]-WEEKDAY(Table1[[#This Row],[Date]],2)+1)</f>
        <v>44123</v>
      </c>
      <c r="R458" s="175">
        <f>IF(ISBLANK(Table1[[#This Row],[Date]]),"",DATE(Table1[[#This Row],[Date_Year]],Table1[[#This Row],[Date_Month]],1))</f>
        <v>44105</v>
      </c>
    </row>
    <row r="459" spans="2:18" ht="15.75" hidden="1" x14ac:dyDescent="0.25">
      <c r="B459" s="165">
        <v>44125</v>
      </c>
      <c r="C459" s="166" t="s">
        <v>284</v>
      </c>
      <c r="D459" s="166" t="s">
        <v>52</v>
      </c>
      <c r="E459" s="167"/>
      <c r="F459" s="114">
        <v>-225</v>
      </c>
      <c r="G459" s="168"/>
      <c r="H459" s="169"/>
      <c r="I459" s="170"/>
      <c r="J459" s="171" t="s">
        <v>677</v>
      </c>
      <c r="K459" s="172" t="s">
        <v>177</v>
      </c>
      <c r="L459" s="172" t="s">
        <v>175</v>
      </c>
      <c r="M459" s="173" t="str" cm="1">
        <f t="array" ref="M459">IFERROR(INDEX(CategoriesTable[Category type],MATCH(Table1[[#This Row],[Category]],CategoriesTable[Category name],0),0),"")</f>
        <v>Transfer</v>
      </c>
      <c r="N459" s="173">
        <v>21</v>
      </c>
      <c r="O459" s="173">
        <f>MONTH(Table1[[#This Row],[Date]])</f>
        <v>10</v>
      </c>
      <c r="P459" s="173">
        <v>2020</v>
      </c>
      <c r="Q459" s="174">
        <f>IF(ISBLANK(Table1[[#This Row],[Date]]),"",Table1[[#This Row],[Date]]-WEEKDAY(Table1[[#This Row],[Date]],2)+1)</f>
        <v>44123</v>
      </c>
      <c r="R459" s="175">
        <f>IF(ISBLANK(Table1[[#This Row],[Date]]),"",DATE(Table1[[#This Row],[Date_Year]],Table1[[#This Row],[Date_Month]],1))</f>
        <v>44105</v>
      </c>
    </row>
    <row r="460" spans="2:18" ht="15.75" hidden="1" x14ac:dyDescent="0.25">
      <c r="B460" s="165">
        <v>44125</v>
      </c>
      <c r="C460" s="166" t="s">
        <v>313</v>
      </c>
      <c r="D460" s="166" t="s">
        <v>66</v>
      </c>
      <c r="E460" s="167"/>
      <c r="F460" s="114">
        <v>-150</v>
      </c>
      <c r="G460" s="168"/>
      <c r="H460" s="169"/>
      <c r="I460" s="170"/>
      <c r="J460" s="171" t="s">
        <v>678</v>
      </c>
      <c r="K460" s="172" t="s">
        <v>177</v>
      </c>
      <c r="L460" s="172" t="s">
        <v>175</v>
      </c>
      <c r="M460" s="173" t="str" cm="1">
        <f t="array" ref="M460">IFERROR(INDEX(CategoriesTable[Category type],MATCH(Table1[[#This Row],[Category]],CategoriesTable[Category name],0),0),"")</f>
        <v>Expense</v>
      </c>
      <c r="N460" s="173">
        <v>21</v>
      </c>
      <c r="O460" s="173">
        <f>MONTH(Table1[[#This Row],[Date]])</f>
        <v>10</v>
      </c>
      <c r="P460" s="173">
        <v>2020</v>
      </c>
      <c r="Q460" s="174">
        <f>IF(ISBLANK(Table1[[#This Row],[Date]]),"",Table1[[#This Row],[Date]]-WEEKDAY(Table1[[#This Row],[Date]],2)+1)</f>
        <v>44123</v>
      </c>
      <c r="R460" s="175">
        <f>IF(ISBLANK(Table1[[#This Row],[Date]]),"",DATE(Table1[[#This Row],[Date_Year]],Table1[[#This Row],[Date_Month]],1))</f>
        <v>44105</v>
      </c>
    </row>
    <row r="461" spans="2:18" ht="15.75" hidden="1" x14ac:dyDescent="0.25">
      <c r="B461" s="165">
        <v>44125</v>
      </c>
      <c r="C461" s="166" t="s">
        <v>465</v>
      </c>
      <c r="D461" s="166" t="s">
        <v>62</v>
      </c>
      <c r="E461" s="167"/>
      <c r="F461" s="114">
        <v>-178.62</v>
      </c>
      <c r="G461" s="168"/>
      <c r="H461" s="169"/>
      <c r="I461" s="170"/>
      <c r="J461" s="171" t="s">
        <v>679</v>
      </c>
      <c r="K461" s="172" t="s">
        <v>177</v>
      </c>
      <c r="L461" s="172" t="s">
        <v>175</v>
      </c>
      <c r="M461" s="173" t="str" cm="1">
        <f t="array" ref="M461">IFERROR(INDEX(CategoriesTable[Category type],MATCH(Table1[[#This Row],[Category]],CategoriesTable[Category name],0),0),"")</f>
        <v>Expense</v>
      </c>
      <c r="N461" s="173">
        <v>21</v>
      </c>
      <c r="O461" s="173">
        <f>MONTH(Table1[[#This Row],[Date]])</f>
        <v>10</v>
      </c>
      <c r="P461" s="173">
        <v>2020</v>
      </c>
      <c r="Q461" s="174">
        <f>IF(ISBLANK(Table1[[#This Row],[Date]]),"",Table1[[#This Row],[Date]]-WEEKDAY(Table1[[#This Row],[Date]],2)+1)</f>
        <v>44123</v>
      </c>
      <c r="R461" s="175">
        <f>IF(ISBLANK(Table1[[#This Row],[Date]]),"",DATE(Table1[[#This Row],[Date_Year]],Table1[[#This Row],[Date_Month]],1))</f>
        <v>44105</v>
      </c>
    </row>
    <row r="462" spans="2:18" ht="15.75" hidden="1" x14ac:dyDescent="0.25">
      <c r="B462" s="165">
        <v>44125</v>
      </c>
      <c r="C462" s="166" t="s">
        <v>680</v>
      </c>
      <c r="D462" s="166" t="s">
        <v>62</v>
      </c>
      <c r="E462" s="167"/>
      <c r="F462" s="114">
        <v>-479.64</v>
      </c>
      <c r="G462" s="168"/>
      <c r="H462" s="169"/>
      <c r="I462" s="170"/>
      <c r="J462" s="171" t="s">
        <v>681</v>
      </c>
      <c r="K462" s="172" t="s">
        <v>177</v>
      </c>
      <c r="L462" s="172" t="s">
        <v>175</v>
      </c>
      <c r="M462" s="173" t="str" cm="1">
        <f t="array" ref="M462">IFERROR(INDEX(CategoriesTable[Category type],MATCH(Table1[[#This Row],[Category]],CategoriesTable[Category name],0),0),"")</f>
        <v>Expense</v>
      </c>
      <c r="N462" s="173">
        <v>21</v>
      </c>
      <c r="O462" s="173">
        <f>MONTH(Table1[[#This Row],[Date]])</f>
        <v>10</v>
      </c>
      <c r="P462" s="173">
        <v>2020</v>
      </c>
      <c r="Q462" s="174">
        <f>IF(ISBLANK(Table1[[#This Row],[Date]]),"",Table1[[#This Row],[Date]]-WEEKDAY(Table1[[#This Row],[Date]],2)+1)</f>
        <v>44123</v>
      </c>
      <c r="R462" s="175">
        <f>IF(ISBLANK(Table1[[#This Row],[Date]]),"",DATE(Table1[[#This Row],[Date_Year]],Table1[[#This Row],[Date_Month]],1))</f>
        <v>44105</v>
      </c>
    </row>
    <row r="463" spans="2:18" ht="15.75" hidden="1" x14ac:dyDescent="0.25">
      <c r="B463" s="165">
        <v>44124</v>
      </c>
      <c r="C463" s="166" t="s">
        <v>229</v>
      </c>
      <c r="D463" s="166" t="s">
        <v>65</v>
      </c>
      <c r="E463" s="167"/>
      <c r="F463" s="114">
        <v>-25.89</v>
      </c>
      <c r="G463" s="168"/>
      <c r="H463" s="169"/>
      <c r="I463" s="170"/>
      <c r="J463" s="171" t="s">
        <v>682</v>
      </c>
      <c r="K463" s="172" t="s">
        <v>177</v>
      </c>
      <c r="L463" s="172" t="s">
        <v>175</v>
      </c>
      <c r="M463" s="173" t="str" cm="1">
        <f t="array" ref="M463">IFERROR(INDEX(CategoriesTable[Category type],MATCH(Table1[[#This Row],[Category]],CategoriesTable[Category name],0),0),"")</f>
        <v>Expense</v>
      </c>
      <c r="N463" s="173">
        <v>20</v>
      </c>
      <c r="O463" s="173">
        <f>MONTH(Table1[[#This Row],[Date]])</f>
        <v>10</v>
      </c>
      <c r="P463" s="173">
        <v>2020</v>
      </c>
      <c r="Q463" s="174">
        <f>IF(ISBLANK(Table1[[#This Row],[Date]]),"",Table1[[#This Row],[Date]]-WEEKDAY(Table1[[#This Row],[Date]],2)+1)</f>
        <v>44123</v>
      </c>
      <c r="R463" s="175">
        <f>IF(ISBLANK(Table1[[#This Row],[Date]]),"",DATE(Table1[[#This Row],[Date_Year]],Table1[[#This Row],[Date_Month]],1))</f>
        <v>44105</v>
      </c>
    </row>
    <row r="464" spans="2:18" ht="15.75" hidden="1" x14ac:dyDescent="0.25">
      <c r="B464" s="165">
        <v>44124</v>
      </c>
      <c r="C464" s="166" t="s">
        <v>193</v>
      </c>
      <c r="D464" s="166" t="s">
        <v>66</v>
      </c>
      <c r="E464" s="167"/>
      <c r="F464" s="114">
        <v>-217.12</v>
      </c>
      <c r="G464" s="168"/>
      <c r="H464" s="169"/>
      <c r="I464" s="170"/>
      <c r="J464" s="171" t="s">
        <v>683</v>
      </c>
      <c r="K464" s="172" t="s">
        <v>177</v>
      </c>
      <c r="L464" s="172" t="s">
        <v>175</v>
      </c>
      <c r="M464" s="173" t="str" cm="1">
        <f t="array" ref="M464">IFERROR(INDEX(CategoriesTable[Category type],MATCH(Table1[[#This Row],[Category]],CategoriesTable[Category name],0),0),"")</f>
        <v>Expense</v>
      </c>
      <c r="N464" s="173">
        <v>20</v>
      </c>
      <c r="O464" s="173">
        <f>MONTH(Table1[[#This Row],[Date]])</f>
        <v>10</v>
      </c>
      <c r="P464" s="173">
        <v>2020</v>
      </c>
      <c r="Q464" s="174">
        <f>IF(ISBLANK(Table1[[#This Row],[Date]]),"",Table1[[#This Row],[Date]]-WEEKDAY(Table1[[#This Row],[Date]],2)+1)</f>
        <v>44123</v>
      </c>
      <c r="R464" s="175">
        <f>IF(ISBLANK(Table1[[#This Row],[Date]]),"",DATE(Table1[[#This Row],[Date_Year]],Table1[[#This Row],[Date_Month]],1))</f>
        <v>44105</v>
      </c>
    </row>
    <row r="465" spans="2:18" ht="15.75" hidden="1" x14ac:dyDescent="0.25">
      <c r="B465" s="165">
        <v>44123</v>
      </c>
      <c r="C465" s="166" t="s">
        <v>142</v>
      </c>
      <c r="D465" s="166" t="s">
        <v>53</v>
      </c>
      <c r="E465" s="167"/>
      <c r="F465" s="114">
        <v>-14.67</v>
      </c>
      <c r="G465" s="168"/>
      <c r="H465" s="169"/>
      <c r="I465" s="170"/>
      <c r="J465" s="171" t="s">
        <v>684</v>
      </c>
      <c r="K465" s="172" t="s">
        <v>177</v>
      </c>
      <c r="L465" s="172" t="s">
        <v>175</v>
      </c>
      <c r="M465" s="173" t="str" cm="1">
        <f t="array" ref="M465">IFERROR(INDEX(CategoriesTable[Category type],MATCH(Table1[[#This Row],[Category]],CategoriesTable[Category name],0),0),"")</f>
        <v>Expense</v>
      </c>
      <c r="N465" s="173">
        <v>19</v>
      </c>
      <c r="O465" s="173">
        <f>MONTH(Table1[[#This Row],[Date]])</f>
        <v>10</v>
      </c>
      <c r="P465" s="173">
        <v>2020</v>
      </c>
      <c r="Q465" s="174">
        <f>IF(ISBLANK(Table1[[#This Row],[Date]]),"",Table1[[#This Row],[Date]]-WEEKDAY(Table1[[#This Row],[Date]],2)+1)</f>
        <v>44123</v>
      </c>
      <c r="R465" s="175">
        <f>IF(ISBLANK(Table1[[#This Row],[Date]]),"",DATE(Table1[[#This Row],[Date_Year]],Table1[[#This Row],[Date_Month]],1))</f>
        <v>44105</v>
      </c>
    </row>
    <row r="466" spans="2:18" ht="15.75" hidden="1" x14ac:dyDescent="0.25">
      <c r="B466" s="165">
        <v>44123</v>
      </c>
      <c r="C466" s="166" t="s">
        <v>180</v>
      </c>
      <c r="D466" s="166" t="s">
        <v>52</v>
      </c>
      <c r="E466" s="167"/>
      <c r="F466" s="114">
        <v>-100</v>
      </c>
      <c r="G466" s="168"/>
      <c r="H466" s="169"/>
      <c r="I466" s="170"/>
      <c r="J466" s="171" t="s">
        <v>685</v>
      </c>
      <c r="K466" s="172" t="s">
        <v>177</v>
      </c>
      <c r="L466" s="172" t="s">
        <v>175</v>
      </c>
      <c r="M466" s="173" t="str" cm="1">
        <f t="array" ref="M466">IFERROR(INDEX(CategoriesTable[Category type],MATCH(Table1[[#This Row],[Category]],CategoriesTable[Category name],0),0),"")</f>
        <v>Transfer</v>
      </c>
      <c r="N466" s="173">
        <v>19</v>
      </c>
      <c r="O466" s="173">
        <f>MONTH(Table1[[#This Row],[Date]])</f>
        <v>10</v>
      </c>
      <c r="P466" s="173">
        <v>2020</v>
      </c>
      <c r="Q466" s="174">
        <f>IF(ISBLANK(Table1[[#This Row],[Date]]),"",Table1[[#This Row],[Date]]-WEEKDAY(Table1[[#This Row],[Date]],2)+1)</f>
        <v>44123</v>
      </c>
      <c r="R466" s="175">
        <f>IF(ISBLANK(Table1[[#This Row],[Date]]),"",DATE(Table1[[#This Row],[Date_Year]],Table1[[#This Row],[Date_Month]],1))</f>
        <v>44105</v>
      </c>
    </row>
    <row r="467" spans="2:18" ht="15.75" hidden="1" x14ac:dyDescent="0.25">
      <c r="B467" s="165">
        <v>44123</v>
      </c>
      <c r="C467" s="166" t="s">
        <v>193</v>
      </c>
      <c r="D467" s="166" t="s">
        <v>66</v>
      </c>
      <c r="E467" s="167"/>
      <c r="F467" s="114">
        <v>-14.99</v>
      </c>
      <c r="G467" s="168"/>
      <c r="H467" s="169"/>
      <c r="I467" s="170"/>
      <c r="J467" s="171" t="s">
        <v>686</v>
      </c>
      <c r="K467" s="172" t="s">
        <v>177</v>
      </c>
      <c r="L467" s="172" t="s">
        <v>175</v>
      </c>
      <c r="M467" s="173" t="str" cm="1">
        <f t="array" ref="M467">IFERROR(INDEX(CategoriesTable[Category type],MATCH(Table1[[#This Row],[Category]],CategoriesTable[Category name],0),0),"")</f>
        <v>Expense</v>
      </c>
      <c r="N467" s="173">
        <v>19</v>
      </c>
      <c r="O467" s="173">
        <f>MONTH(Table1[[#This Row],[Date]])</f>
        <v>10</v>
      </c>
      <c r="P467" s="173">
        <v>2020</v>
      </c>
      <c r="Q467" s="174">
        <f>IF(ISBLANK(Table1[[#This Row],[Date]]),"",Table1[[#This Row],[Date]]-WEEKDAY(Table1[[#This Row],[Date]],2)+1)</f>
        <v>44123</v>
      </c>
      <c r="R467" s="175">
        <f>IF(ISBLANK(Table1[[#This Row],[Date]]),"",DATE(Table1[[#This Row],[Date_Year]],Table1[[#This Row],[Date_Month]],1))</f>
        <v>44105</v>
      </c>
    </row>
    <row r="468" spans="2:18" ht="15.75" hidden="1" x14ac:dyDescent="0.25">
      <c r="B468" s="165">
        <v>44123</v>
      </c>
      <c r="C468" s="166" t="s">
        <v>129</v>
      </c>
      <c r="D468" s="166" t="s">
        <v>55</v>
      </c>
      <c r="E468" s="167"/>
      <c r="F468" s="114">
        <v>-75.98</v>
      </c>
      <c r="G468" s="168"/>
      <c r="H468" s="169"/>
      <c r="I468" s="170"/>
      <c r="J468" s="171" t="s">
        <v>687</v>
      </c>
      <c r="K468" s="172" t="s">
        <v>177</v>
      </c>
      <c r="L468" s="172" t="s">
        <v>175</v>
      </c>
      <c r="M468" s="173" t="str" cm="1">
        <f t="array" ref="M468">IFERROR(INDEX(CategoriesTable[Category type],MATCH(Table1[[#This Row],[Category]],CategoriesTable[Category name],0),0),"")</f>
        <v>Expense</v>
      </c>
      <c r="N468" s="173">
        <v>19</v>
      </c>
      <c r="O468" s="173">
        <f>MONTH(Table1[[#This Row],[Date]])</f>
        <v>10</v>
      </c>
      <c r="P468" s="173">
        <v>2020</v>
      </c>
      <c r="Q468" s="174">
        <f>IF(ISBLANK(Table1[[#This Row],[Date]]),"",Table1[[#This Row],[Date]]-WEEKDAY(Table1[[#This Row],[Date]],2)+1)</f>
        <v>44123</v>
      </c>
      <c r="R468" s="175">
        <f>IF(ISBLANK(Table1[[#This Row],[Date]]),"",DATE(Table1[[#This Row],[Date_Year]],Table1[[#This Row],[Date_Month]],1))</f>
        <v>44105</v>
      </c>
    </row>
    <row r="469" spans="2:18" ht="15.75" hidden="1" x14ac:dyDescent="0.25">
      <c r="B469" s="165">
        <v>44122</v>
      </c>
      <c r="C469" s="166" t="s">
        <v>199</v>
      </c>
      <c r="D469" s="166" t="s">
        <v>65</v>
      </c>
      <c r="E469" s="167"/>
      <c r="F469" s="114">
        <v>-38.19</v>
      </c>
      <c r="G469" s="168"/>
      <c r="H469" s="169"/>
      <c r="I469" s="170"/>
      <c r="J469" s="171" t="s">
        <v>688</v>
      </c>
      <c r="K469" s="172" t="s">
        <v>177</v>
      </c>
      <c r="L469" s="172" t="s">
        <v>175</v>
      </c>
      <c r="M469" s="173" t="str" cm="1">
        <f t="array" ref="M469">IFERROR(INDEX(CategoriesTable[Category type],MATCH(Table1[[#This Row],[Category]],CategoriesTable[Category name],0),0),"")</f>
        <v>Expense</v>
      </c>
      <c r="N469" s="173">
        <v>18</v>
      </c>
      <c r="O469" s="173">
        <f>MONTH(Table1[[#This Row],[Date]])</f>
        <v>10</v>
      </c>
      <c r="P469" s="173">
        <v>2020</v>
      </c>
      <c r="Q469" s="174">
        <f>IF(ISBLANK(Table1[[#This Row],[Date]]),"",Table1[[#This Row],[Date]]-WEEKDAY(Table1[[#This Row],[Date]],2)+1)</f>
        <v>44116</v>
      </c>
      <c r="R469" s="175">
        <f>IF(ISBLANK(Table1[[#This Row],[Date]]),"",DATE(Table1[[#This Row],[Date_Year]],Table1[[#This Row],[Date_Month]],1))</f>
        <v>44105</v>
      </c>
    </row>
    <row r="470" spans="2:18" ht="15.75" hidden="1" x14ac:dyDescent="0.25">
      <c r="B470" s="165">
        <v>44121</v>
      </c>
      <c r="C470" s="166" t="s">
        <v>588</v>
      </c>
      <c r="D470" s="166" t="s">
        <v>65</v>
      </c>
      <c r="E470" s="167"/>
      <c r="F470" s="114">
        <v>-22.73</v>
      </c>
      <c r="G470" s="168"/>
      <c r="H470" s="169"/>
      <c r="I470" s="170"/>
      <c r="J470" s="171" t="s">
        <v>689</v>
      </c>
      <c r="K470" s="172" t="s">
        <v>177</v>
      </c>
      <c r="L470" s="172" t="s">
        <v>175</v>
      </c>
      <c r="M470" s="173" t="str" cm="1">
        <f t="array" ref="M470">IFERROR(INDEX(CategoriesTable[Category type],MATCH(Table1[[#This Row],[Category]],CategoriesTable[Category name],0),0),"")</f>
        <v>Expense</v>
      </c>
      <c r="N470" s="173">
        <v>17</v>
      </c>
      <c r="O470" s="173">
        <f>MONTH(Table1[[#This Row],[Date]])</f>
        <v>10</v>
      </c>
      <c r="P470" s="173">
        <v>2020</v>
      </c>
      <c r="Q470" s="174">
        <f>IF(ISBLANK(Table1[[#This Row],[Date]]),"",Table1[[#This Row],[Date]]-WEEKDAY(Table1[[#This Row],[Date]],2)+1)</f>
        <v>44116</v>
      </c>
      <c r="R470" s="175">
        <f>IF(ISBLANK(Table1[[#This Row],[Date]]),"",DATE(Table1[[#This Row],[Date_Year]],Table1[[#This Row],[Date_Month]],1))</f>
        <v>44105</v>
      </c>
    </row>
    <row r="471" spans="2:18" ht="15.75" hidden="1" x14ac:dyDescent="0.25">
      <c r="B471" s="165">
        <v>44120</v>
      </c>
      <c r="C471" s="166" t="s">
        <v>199</v>
      </c>
      <c r="D471" s="166" t="s">
        <v>65</v>
      </c>
      <c r="E471" s="167"/>
      <c r="F471" s="114">
        <v>-66.58</v>
      </c>
      <c r="G471" s="168"/>
      <c r="H471" s="169"/>
      <c r="I471" s="170"/>
      <c r="J471" s="171" t="s">
        <v>690</v>
      </c>
      <c r="K471" s="172" t="s">
        <v>177</v>
      </c>
      <c r="L471" s="172" t="s">
        <v>175</v>
      </c>
      <c r="M471" s="173" t="str" cm="1">
        <f t="array" ref="M471">IFERROR(INDEX(CategoriesTable[Category type],MATCH(Table1[[#This Row],[Category]],CategoriesTable[Category name],0),0),"")</f>
        <v>Expense</v>
      </c>
      <c r="N471" s="173">
        <v>16</v>
      </c>
      <c r="O471" s="173">
        <f>MONTH(Table1[[#This Row],[Date]])</f>
        <v>10</v>
      </c>
      <c r="P471" s="173">
        <v>2020</v>
      </c>
      <c r="Q471" s="174">
        <f>IF(ISBLANK(Table1[[#This Row],[Date]]),"",Table1[[#This Row],[Date]]-WEEKDAY(Table1[[#This Row],[Date]],2)+1)</f>
        <v>44116</v>
      </c>
      <c r="R471" s="175">
        <f>IF(ISBLANK(Table1[[#This Row],[Date]]),"",DATE(Table1[[#This Row],[Date_Year]],Table1[[#This Row],[Date_Month]],1))</f>
        <v>44105</v>
      </c>
    </row>
    <row r="472" spans="2:18" ht="15.75" hidden="1" x14ac:dyDescent="0.25">
      <c r="B472" s="165">
        <v>44120</v>
      </c>
      <c r="C472" s="166" t="s">
        <v>128</v>
      </c>
      <c r="D472" s="166" t="s">
        <v>53</v>
      </c>
      <c r="E472" s="167"/>
      <c r="F472" s="114">
        <v>-16.43</v>
      </c>
      <c r="G472" s="168"/>
      <c r="H472" s="169"/>
      <c r="I472" s="170"/>
      <c r="J472" s="171" t="s">
        <v>691</v>
      </c>
      <c r="K472" s="172" t="s">
        <v>177</v>
      </c>
      <c r="L472" s="172" t="s">
        <v>175</v>
      </c>
      <c r="M472" s="173" t="str" cm="1">
        <f t="array" ref="M472">IFERROR(INDEX(CategoriesTable[Category type],MATCH(Table1[[#This Row],[Category]],CategoriesTable[Category name],0),0),"")</f>
        <v>Expense</v>
      </c>
      <c r="N472" s="173">
        <v>16</v>
      </c>
      <c r="O472" s="173">
        <f>MONTH(Table1[[#This Row],[Date]])</f>
        <v>10</v>
      </c>
      <c r="P472" s="173">
        <v>2020</v>
      </c>
      <c r="Q472" s="174">
        <f>IF(ISBLANK(Table1[[#This Row],[Date]]),"",Table1[[#This Row],[Date]]-WEEKDAY(Table1[[#This Row],[Date]],2)+1)</f>
        <v>44116</v>
      </c>
      <c r="R472" s="175">
        <f>IF(ISBLANK(Table1[[#This Row],[Date]]),"",DATE(Table1[[#This Row],[Date_Year]],Table1[[#This Row],[Date_Month]],1))</f>
        <v>44105</v>
      </c>
    </row>
    <row r="473" spans="2:18" ht="15.75" hidden="1" x14ac:dyDescent="0.25">
      <c r="B473" s="165">
        <v>44120</v>
      </c>
      <c r="C473" s="166" t="s">
        <v>606</v>
      </c>
      <c r="D473" s="166" t="s">
        <v>55</v>
      </c>
      <c r="E473" s="167"/>
      <c r="F473" s="114">
        <v>-79.849999999999994</v>
      </c>
      <c r="G473" s="168"/>
      <c r="H473" s="169"/>
      <c r="I473" s="170"/>
      <c r="J473" s="171" t="s">
        <v>692</v>
      </c>
      <c r="K473" s="172" t="s">
        <v>177</v>
      </c>
      <c r="L473" s="172" t="s">
        <v>175</v>
      </c>
      <c r="M473" s="173" t="str" cm="1">
        <f t="array" ref="M473">IFERROR(INDEX(CategoriesTable[Category type],MATCH(Table1[[#This Row],[Category]],CategoriesTable[Category name],0),0),"")</f>
        <v>Expense</v>
      </c>
      <c r="N473" s="173">
        <v>16</v>
      </c>
      <c r="O473" s="173">
        <f>MONTH(Table1[[#This Row],[Date]])</f>
        <v>10</v>
      </c>
      <c r="P473" s="173">
        <v>2020</v>
      </c>
      <c r="Q473" s="174">
        <f>IF(ISBLANK(Table1[[#This Row],[Date]]),"",Table1[[#This Row],[Date]]-WEEKDAY(Table1[[#This Row],[Date]],2)+1)</f>
        <v>44116</v>
      </c>
      <c r="R473" s="175">
        <f>IF(ISBLANK(Table1[[#This Row],[Date]]),"",DATE(Table1[[#This Row],[Date_Year]],Table1[[#This Row],[Date_Month]],1))</f>
        <v>44105</v>
      </c>
    </row>
    <row r="474" spans="2:18" ht="15.75" hidden="1" x14ac:dyDescent="0.25">
      <c r="B474" s="165">
        <v>44119</v>
      </c>
      <c r="C474" s="166" t="s">
        <v>182</v>
      </c>
      <c r="D474" s="166" t="s">
        <v>55</v>
      </c>
      <c r="E474" s="167"/>
      <c r="F474" s="114">
        <v>-10.9</v>
      </c>
      <c r="G474" s="168"/>
      <c r="H474" s="169"/>
      <c r="I474" s="170"/>
      <c r="J474" s="171" t="s">
        <v>693</v>
      </c>
      <c r="K474" s="172" t="s">
        <v>177</v>
      </c>
      <c r="L474" s="172" t="s">
        <v>175</v>
      </c>
      <c r="M474" s="173" t="str" cm="1">
        <f t="array" ref="M474">IFERROR(INDEX(CategoriesTable[Category type],MATCH(Table1[[#This Row],[Category]],CategoriesTable[Category name],0),0),"")</f>
        <v>Expense</v>
      </c>
      <c r="N474" s="173">
        <v>15</v>
      </c>
      <c r="O474" s="173">
        <f>MONTH(Table1[[#This Row],[Date]])</f>
        <v>10</v>
      </c>
      <c r="P474" s="173">
        <v>2020</v>
      </c>
      <c r="Q474" s="174">
        <f>IF(ISBLANK(Table1[[#This Row],[Date]]),"",Table1[[#This Row],[Date]]-WEEKDAY(Table1[[#This Row],[Date]],2)+1)</f>
        <v>44116</v>
      </c>
      <c r="R474" s="175">
        <f>IF(ISBLANK(Table1[[#This Row],[Date]]),"",DATE(Table1[[#This Row],[Date_Year]],Table1[[#This Row],[Date_Month]],1))</f>
        <v>44105</v>
      </c>
    </row>
    <row r="475" spans="2:18" ht="15.75" hidden="1" x14ac:dyDescent="0.25">
      <c r="B475" s="165">
        <v>44118</v>
      </c>
      <c r="C475" s="166" t="s">
        <v>120</v>
      </c>
      <c r="D475" s="166" t="s">
        <v>66</v>
      </c>
      <c r="E475" s="167"/>
      <c r="F475" s="114">
        <v>-13.87</v>
      </c>
      <c r="G475" s="168"/>
      <c r="H475" s="169"/>
      <c r="I475" s="170"/>
      <c r="J475" s="171" t="s">
        <v>694</v>
      </c>
      <c r="K475" s="172" t="s">
        <v>177</v>
      </c>
      <c r="L475" s="172" t="s">
        <v>175</v>
      </c>
      <c r="M475" s="173" t="str" cm="1">
        <f t="array" ref="M475">IFERROR(INDEX(CategoriesTable[Category type],MATCH(Table1[[#This Row],[Category]],CategoriesTable[Category name],0),0),"")</f>
        <v>Expense</v>
      </c>
      <c r="N475" s="173">
        <v>14</v>
      </c>
      <c r="O475" s="173">
        <f>MONTH(Table1[[#This Row],[Date]])</f>
        <v>10</v>
      </c>
      <c r="P475" s="173">
        <v>2020</v>
      </c>
      <c r="Q475" s="174">
        <f>IF(ISBLANK(Table1[[#This Row],[Date]]),"",Table1[[#This Row],[Date]]-WEEKDAY(Table1[[#This Row],[Date]],2)+1)</f>
        <v>44116</v>
      </c>
      <c r="R475" s="175">
        <f>IF(ISBLANK(Table1[[#This Row],[Date]]),"",DATE(Table1[[#This Row],[Date_Year]],Table1[[#This Row],[Date_Month]],1))</f>
        <v>44105</v>
      </c>
    </row>
    <row r="476" spans="2:18" ht="15.75" hidden="1" x14ac:dyDescent="0.25">
      <c r="B476" s="165">
        <v>44118</v>
      </c>
      <c r="C476" s="166" t="s">
        <v>120</v>
      </c>
      <c r="D476" s="166" t="s">
        <v>66</v>
      </c>
      <c r="E476" s="167"/>
      <c r="F476" s="114">
        <v>-22.12</v>
      </c>
      <c r="G476" s="168"/>
      <c r="H476" s="169"/>
      <c r="I476" s="170"/>
      <c r="J476" s="171" t="s">
        <v>695</v>
      </c>
      <c r="K476" s="172" t="s">
        <v>177</v>
      </c>
      <c r="L476" s="172" t="s">
        <v>175</v>
      </c>
      <c r="M476" s="173" t="str" cm="1">
        <f t="array" ref="M476">IFERROR(INDEX(CategoriesTable[Category type],MATCH(Table1[[#This Row],[Category]],CategoriesTable[Category name],0),0),"")</f>
        <v>Expense</v>
      </c>
      <c r="N476" s="173">
        <v>14</v>
      </c>
      <c r="O476" s="173">
        <f>MONTH(Table1[[#This Row],[Date]])</f>
        <v>10</v>
      </c>
      <c r="P476" s="173">
        <v>2020</v>
      </c>
      <c r="Q476" s="174">
        <f>IF(ISBLANK(Table1[[#This Row],[Date]]),"",Table1[[#This Row],[Date]]-WEEKDAY(Table1[[#This Row],[Date]],2)+1)</f>
        <v>44116</v>
      </c>
      <c r="R476" s="175">
        <f>IF(ISBLANK(Table1[[#This Row],[Date]]),"",DATE(Table1[[#This Row],[Date_Year]],Table1[[#This Row],[Date_Month]],1))</f>
        <v>44105</v>
      </c>
    </row>
    <row r="477" spans="2:18" ht="15.75" hidden="1" x14ac:dyDescent="0.25">
      <c r="B477" s="165">
        <v>44118</v>
      </c>
      <c r="C477" s="166" t="s">
        <v>121</v>
      </c>
      <c r="D477" s="166" t="s">
        <v>65</v>
      </c>
      <c r="E477" s="167"/>
      <c r="F477" s="114">
        <v>-5.71</v>
      </c>
      <c r="G477" s="168"/>
      <c r="H477" s="169"/>
      <c r="I477" s="170"/>
      <c r="J477" s="171" t="s">
        <v>696</v>
      </c>
      <c r="K477" s="172" t="s">
        <v>177</v>
      </c>
      <c r="L477" s="172" t="s">
        <v>175</v>
      </c>
      <c r="M477" s="173" t="str" cm="1">
        <f t="array" ref="M477">IFERROR(INDEX(CategoriesTable[Category type],MATCH(Table1[[#This Row],[Category]],CategoriesTable[Category name],0),0),"")</f>
        <v>Expense</v>
      </c>
      <c r="N477" s="173">
        <v>14</v>
      </c>
      <c r="O477" s="173">
        <f>MONTH(Table1[[#This Row],[Date]])</f>
        <v>10</v>
      </c>
      <c r="P477" s="173">
        <v>2020</v>
      </c>
      <c r="Q477" s="174">
        <f>IF(ISBLANK(Table1[[#This Row],[Date]]),"",Table1[[#This Row],[Date]]-WEEKDAY(Table1[[#This Row],[Date]],2)+1)</f>
        <v>44116</v>
      </c>
      <c r="R477" s="175">
        <f>IF(ISBLANK(Table1[[#This Row],[Date]]),"",DATE(Table1[[#This Row],[Date_Year]],Table1[[#This Row],[Date_Month]],1))</f>
        <v>44105</v>
      </c>
    </row>
    <row r="478" spans="2:18" ht="15.75" hidden="1" x14ac:dyDescent="0.25">
      <c r="B478" s="165">
        <v>44117</v>
      </c>
      <c r="C478" s="166" t="s">
        <v>199</v>
      </c>
      <c r="D478" s="166" t="s">
        <v>65</v>
      </c>
      <c r="E478" s="167"/>
      <c r="F478" s="114">
        <v>-16.420000000000002</v>
      </c>
      <c r="G478" s="168"/>
      <c r="H478" s="169"/>
      <c r="I478" s="170"/>
      <c r="J478" s="171" t="s">
        <v>697</v>
      </c>
      <c r="K478" s="172" t="s">
        <v>177</v>
      </c>
      <c r="L478" s="172" t="s">
        <v>175</v>
      </c>
      <c r="M478" s="173" t="str" cm="1">
        <f t="array" ref="M478">IFERROR(INDEX(CategoriesTable[Category type],MATCH(Table1[[#This Row],[Category]],CategoriesTable[Category name],0),0),"")</f>
        <v>Expense</v>
      </c>
      <c r="N478" s="173">
        <v>13</v>
      </c>
      <c r="O478" s="173">
        <f>MONTH(Table1[[#This Row],[Date]])</f>
        <v>10</v>
      </c>
      <c r="P478" s="173">
        <v>2020</v>
      </c>
      <c r="Q478" s="174">
        <f>IF(ISBLANK(Table1[[#This Row],[Date]]),"",Table1[[#This Row],[Date]]-WEEKDAY(Table1[[#This Row],[Date]],2)+1)</f>
        <v>44116</v>
      </c>
      <c r="R478" s="175">
        <f>IF(ISBLANK(Table1[[#This Row],[Date]]),"",DATE(Table1[[#This Row],[Date_Year]],Table1[[#This Row],[Date_Month]],1))</f>
        <v>44105</v>
      </c>
    </row>
    <row r="479" spans="2:18" ht="15.75" hidden="1" x14ac:dyDescent="0.25">
      <c r="B479" s="165">
        <v>44117</v>
      </c>
      <c r="C479" s="166" t="s">
        <v>121</v>
      </c>
      <c r="D479" s="166" t="s">
        <v>65</v>
      </c>
      <c r="E479" s="167"/>
      <c r="F479" s="114">
        <v>-6.96</v>
      </c>
      <c r="G479" s="168"/>
      <c r="H479" s="169"/>
      <c r="I479" s="170"/>
      <c r="J479" s="171" t="s">
        <v>698</v>
      </c>
      <c r="K479" s="172" t="s">
        <v>177</v>
      </c>
      <c r="L479" s="172" t="s">
        <v>175</v>
      </c>
      <c r="M479" s="173" t="str" cm="1">
        <f t="array" ref="M479">IFERROR(INDEX(CategoriesTable[Category type],MATCH(Table1[[#This Row],[Category]],CategoriesTable[Category name],0),0),"")</f>
        <v>Expense</v>
      </c>
      <c r="N479" s="173">
        <v>13</v>
      </c>
      <c r="O479" s="173">
        <f>MONTH(Table1[[#This Row],[Date]])</f>
        <v>10</v>
      </c>
      <c r="P479" s="173">
        <v>2020</v>
      </c>
      <c r="Q479" s="174">
        <f>IF(ISBLANK(Table1[[#This Row],[Date]]),"",Table1[[#This Row],[Date]]-WEEKDAY(Table1[[#This Row],[Date]],2)+1)</f>
        <v>44116</v>
      </c>
      <c r="R479" s="175">
        <f>IF(ISBLANK(Table1[[#This Row],[Date]]),"",DATE(Table1[[#This Row],[Date_Year]],Table1[[#This Row],[Date_Month]],1))</f>
        <v>44105</v>
      </c>
    </row>
    <row r="480" spans="2:18" ht="15.75" hidden="1" x14ac:dyDescent="0.25">
      <c r="B480" s="165">
        <v>44117</v>
      </c>
      <c r="C480" s="166" t="s">
        <v>664</v>
      </c>
      <c r="D480" s="166" t="s">
        <v>66</v>
      </c>
      <c r="E480" s="167"/>
      <c r="F480" s="114">
        <v>-65.89</v>
      </c>
      <c r="G480" s="168"/>
      <c r="H480" s="169"/>
      <c r="I480" s="170"/>
      <c r="J480" s="171" t="s">
        <v>699</v>
      </c>
      <c r="K480" s="172" t="s">
        <v>177</v>
      </c>
      <c r="L480" s="172" t="s">
        <v>175</v>
      </c>
      <c r="M480" s="173" t="str" cm="1">
        <f t="array" ref="M480">IFERROR(INDEX(CategoriesTable[Category type],MATCH(Table1[[#This Row],[Category]],CategoriesTable[Category name],0),0),"")</f>
        <v>Expense</v>
      </c>
      <c r="N480" s="173">
        <v>13</v>
      </c>
      <c r="O480" s="173">
        <f>MONTH(Table1[[#This Row],[Date]])</f>
        <v>10</v>
      </c>
      <c r="P480" s="173">
        <v>2020</v>
      </c>
      <c r="Q480" s="174">
        <f>IF(ISBLANK(Table1[[#This Row],[Date]]),"",Table1[[#This Row],[Date]]-WEEKDAY(Table1[[#This Row],[Date]],2)+1)</f>
        <v>44116</v>
      </c>
      <c r="R480" s="175">
        <f>IF(ISBLANK(Table1[[#This Row],[Date]]),"",DATE(Table1[[#This Row],[Date_Year]],Table1[[#This Row],[Date_Month]],1))</f>
        <v>44105</v>
      </c>
    </row>
    <row r="481" spans="2:18" ht="15.75" hidden="1" x14ac:dyDescent="0.25">
      <c r="B481" s="165">
        <v>44117</v>
      </c>
      <c r="C481" s="166" t="s">
        <v>211</v>
      </c>
      <c r="D481" s="166" t="s">
        <v>66</v>
      </c>
      <c r="E481" s="167"/>
      <c r="F481" s="114">
        <v>-200</v>
      </c>
      <c r="G481" s="168"/>
      <c r="H481" s="169"/>
      <c r="I481" s="170"/>
      <c r="J481" s="171" t="s">
        <v>700</v>
      </c>
      <c r="K481" s="172" t="s">
        <v>177</v>
      </c>
      <c r="L481" s="172" t="s">
        <v>175</v>
      </c>
      <c r="M481" s="173" t="str" cm="1">
        <f t="array" ref="M481">IFERROR(INDEX(CategoriesTable[Category type],MATCH(Table1[[#This Row],[Category]],CategoriesTable[Category name],0),0),"")</f>
        <v>Expense</v>
      </c>
      <c r="N481" s="173">
        <v>13</v>
      </c>
      <c r="O481" s="173">
        <f>MONTH(Table1[[#This Row],[Date]])</f>
        <v>10</v>
      </c>
      <c r="P481" s="173">
        <v>2020</v>
      </c>
      <c r="Q481" s="174">
        <f>IF(ISBLANK(Table1[[#This Row],[Date]]),"",Table1[[#This Row],[Date]]-WEEKDAY(Table1[[#This Row],[Date]],2)+1)</f>
        <v>44116</v>
      </c>
      <c r="R481" s="175">
        <f>IF(ISBLANK(Table1[[#This Row],[Date]]),"",DATE(Table1[[#This Row],[Date_Year]],Table1[[#This Row],[Date_Month]],1))</f>
        <v>44105</v>
      </c>
    </row>
    <row r="482" spans="2:18" ht="15.75" hidden="1" x14ac:dyDescent="0.25">
      <c r="B482" s="165">
        <v>44116</v>
      </c>
      <c r="C482" s="166" t="s">
        <v>120</v>
      </c>
      <c r="D482" s="166" t="s">
        <v>66</v>
      </c>
      <c r="E482" s="167"/>
      <c r="F482" s="114">
        <v>-13.04</v>
      </c>
      <c r="G482" s="168"/>
      <c r="H482" s="169"/>
      <c r="I482" s="170"/>
      <c r="J482" s="171" t="s">
        <v>701</v>
      </c>
      <c r="K482" s="172" t="s">
        <v>177</v>
      </c>
      <c r="L482" s="172" t="s">
        <v>175</v>
      </c>
      <c r="M482" s="173" t="str" cm="1">
        <f t="array" ref="M482">IFERROR(INDEX(CategoriesTable[Category type],MATCH(Table1[[#This Row],[Category]],CategoriesTable[Category name],0),0),"")</f>
        <v>Expense</v>
      </c>
      <c r="N482" s="173">
        <v>12</v>
      </c>
      <c r="O482" s="173">
        <f>MONTH(Table1[[#This Row],[Date]])</f>
        <v>10</v>
      </c>
      <c r="P482" s="173">
        <v>2020</v>
      </c>
      <c r="Q482" s="174">
        <f>IF(ISBLANK(Table1[[#This Row],[Date]]),"",Table1[[#This Row],[Date]]-WEEKDAY(Table1[[#This Row],[Date]],2)+1)</f>
        <v>44116</v>
      </c>
      <c r="R482" s="175">
        <f>IF(ISBLANK(Table1[[#This Row],[Date]]),"",DATE(Table1[[#This Row],[Date_Year]],Table1[[#This Row],[Date_Month]],1))</f>
        <v>44105</v>
      </c>
    </row>
    <row r="483" spans="2:18" ht="15.75" hidden="1" x14ac:dyDescent="0.25">
      <c r="B483" s="165">
        <v>44115</v>
      </c>
      <c r="C483" s="166" t="s">
        <v>702</v>
      </c>
      <c r="D483" s="166" t="s">
        <v>65</v>
      </c>
      <c r="E483" s="167"/>
      <c r="F483" s="114">
        <v>-27.03</v>
      </c>
      <c r="G483" s="168"/>
      <c r="H483" s="169"/>
      <c r="I483" s="170"/>
      <c r="J483" s="171" t="s">
        <v>703</v>
      </c>
      <c r="K483" s="172" t="s">
        <v>177</v>
      </c>
      <c r="L483" s="172" t="s">
        <v>175</v>
      </c>
      <c r="M483" s="173" t="str" cm="1">
        <f t="array" ref="M483">IFERROR(INDEX(CategoriesTable[Category type],MATCH(Table1[[#This Row],[Category]],CategoriesTable[Category name],0),0),"")</f>
        <v>Expense</v>
      </c>
      <c r="N483" s="173">
        <v>11</v>
      </c>
      <c r="O483" s="173">
        <f>MONTH(Table1[[#This Row],[Date]])</f>
        <v>10</v>
      </c>
      <c r="P483" s="173">
        <v>2020</v>
      </c>
      <c r="Q483" s="174">
        <f>IF(ISBLANK(Table1[[#This Row],[Date]]),"",Table1[[#This Row],[Date]]-WEEKDAY(Table1[[#This Row],[Date]],2)+1)</f>
        <v>44109</v>
      </c>
      <c r="R483" s="175">
        <f>IF(ISBLANK(Table1[[#This Row],[Date]]),"",DATE(Table1[[#This Row],[Date_Year]],Table1[[#This Row],[Date_Month]],1))</f>
        <v>44105</v>
      </c>
    </row>
    <row r="484" spans="2:18" ht="15.75" hidden="1" x14ac:dyDescent="0.25">
      <c r="B484" s="165">
        <v>44114</v>
      </c>
      <c r="C484" s="166" t="s">
        <v>702</v>
      </c>
      <c r="D484" s="166" t="s">
        <v>65</v>
      </c>
      <c r="E484" s="167"/>
      <c r="F484" s="114">
        <v>-56.17</v>
      </c>
      <c r="G484" s="168"/>
      <c r="H484" s="169"/>
      <c r="I484" s="170"/>
      <c r="J484" s="171" t="s">
        <v>704</v>
      </c>
      <c r="K484" s="172" t="s">
        <v>177</v>
      </c>
      <c r="L484" s="172" t="s">
        <v>175</v>
      </c>
      <c r="M484" s="173" t="str" cm="1">
        <f t="array" ref="M484">IFERROR(INDEX(CategoriesTable[Category type],MATCH(Table1[[#This Row],[Category]],CategoriesTable[Category name],0),0),"")</f>
        <v>Expense</v>
      </c>
      <c r="N484" s="173">
        <v>10</v>
      </c>
      <c r="O484" s="173">
        <f>MONTH(Table1[[#This Row],[Date]])</f>
        <v>10</v>
      </c>
      <c r="P484" s="173">
        <v>2020</v>
      </c>
      <c r="Q484" s="174">
        <f>IF(ISBLANK(Table1[[#This Row],[Date]]),"",Table1[[#This Row],[Date]]-WEEKDAY(Table1[[#This Row],[Date]],2)+1)</f>
        <v>44109</v>
      </c>
      <c r="R484" s="175">
        <f>IF(ISBLANK(Table1[[#This Row],[Date]]),"",DATE(Table1[[#This Row],[Date_Year]],Table1[[#This Row],[Date_Month]],1))</f>
        <v>44105</v>
      </c>
    </row>
    <row r="485" spans="2:18" ht="15.75" hidden="1" x14ac:dyDescent="0.25">
      <c r="B485" s="165">
        <v>44112</v>
      </c>
      <c r="C485" s="166" t="s">
        <v>1564</v>
      </c>
      <c r="D485" s="166" t="s">
        <v>56</v>
      </c>
      <c r="E485" s="167"/>
      <c r="F485" s="114">
        <v>-9.99</v>
      </c>
      <c r="G485" s="168"/>
      <c r="H485" s="169"/>
      <c r="I485" s="170"/>
      <c r="J485" s="171" t="s">
        <v>705</v>
      </c>
      <c r="K485" s="172" t="s">
        <v>177</v>
      </c>
      <c r="L485" s="172" t="s">
        <v>175</v>
      </c>
      <c r="M485" s="173" t="str" cm="1">
        <f t="array" ref="M485">IFERROR(INDEX(CategoriesTable[Category type],MATCH(Table1[[#This Row],[Category]],CategoriesTable[Category name],0),0),"")</f>
        <v>Expense</v>
      </c>
      <c r="N485" s="173">
        <v>8</v>
      </c>
      <c r="O485" s="173">
        <f>MONTH(Table1[[#This Row],[Date]])</f>
        <v>10</v>
      </c>
      <c r="P485" s="173">
        <v>2020</v>
      </c>
      <c r="Q485" s="174">
        <f>IF(ISBLANK(Table1[[#This Row],[Date]]),"",Table1[[#This Row],[Date]]-WEEKDAY(Table1[[#This Row],[Date]],2)+1)</f>
        <v>44109</v>
      </c>
      <c r="R485" s="175">
        <f>IF(ISBLANK(Table1[[#This Row],[Date]]),"",DATE(Table1[[#This Row],[Date_Year]],Table1[[#This Row],[Date_Month]],1))</f>
        <v>44105</v>
      </c>
    </row>
    <row r="486" spans="2:18" ht="15.75" hidden="1" x14ac:dyDescent="0.25">
      <c r="B486" s="165">
        <v>44111</v>
      </c>
      <c r="C486" s="166" t="s">
        <v>120</v>
      </c>
      <c r="D486" s="166" t="s">
        <v>66</v>
      </c>
      <c r="E486" s="167"/>
      <c r="F486" s="114">
        <v>-42.97</v>
      </c>
      <c r="G486" s="168"/>
      <c r="H486" s="169"/>
      <c r="I486" s="170"/>
      <c r="J486" s="171" t="s">
        <v>706</v>
      </c>
      <c r="K486" s="172" t="s">
        <v>177</v>
      </c>
      <c r="L486" s="172" t="s">
        <v>175</v>
      </c>
      <c r="M486" s="173" t="str" cm="1">
        <f t="array" ref="M486">IFERROR(INDEX(CategoriesTable[Category type],MATCH(Table1[[#This Row],[Category]],CategoriesTable[Category name],0),0),"")</f>
        <v>Expense</v>
      </c>
      <c r="N486" s="173">
        <v>7</v>
      </c>
      <c r="O486" s="173">
        <f>MONTH(Table1[[#This Row],[Date]])</f>
        <v>10</v>
      </c>
      <c r="P486" s="173">
        <v>2020</v>
      </c>
      <c r="Q486" s="174">
        <f>IF(ISBLANK(Table1[[#This Row],[Date]]),"",Table1[[#This Row],[Date]]-WEEKDAY(Table1[[#This Row],[Date]],2)+1)</f>
        <v>44109</v>
      </c>
      <c r="R486" s="175">
        <f>IF(ISBLANK(Table1[[#This Row],[Date]]),"",DATE(Table1[[#This Row],[Date_Year]],Table1[[#This Row],[Date_Month]],1))</f>
        <v>44105</v>
      </c>
    </row>
    <row r="487" spans="2:18" ht="15.75" hidden="1" x14ac:dyDescent="0.25">
      <c r="B487" s="165">
        <v>44109</v>
      </c>
      <c r="C487" s="166" t="s">
        <v>180</v>
      </c>
      <c r="D487" s="166" t="s">
        <v>52</v>
      </c>
      <c r="E487" s="167"/>
      <c r="F487" s="114">
        <v>-100</v>
      </c>
      <c r="G487" s="168"/>
      <c r="H487" s="169"/>
      <c r="I487" s="170"/>
      <c r="J487" s="171" t="s">
        <v>707</v>
      </c>
      <c r="K487" s="172" t="s">
        <v>177</v>
      </c>
      <c r="L487" s="172" t="s">
        <v>175</v>
      </c>
      <c r="M487" s="173" t="str" cm="1">
        <f t="array" ref="M487">IFERROR(INDEX(CategoriesTable[Category type],MATCH(Table1[[#This Row],[Category]],CategoriesTable[Category name],0),0),"")</f>
        <v>Transfer</v>
      </c>
      <c r="N487" s="173">
        <v>5</v>
      </c>
      <c r="O487" s="173">
        <f>MONTH(Table1[[#This Row],[Date]])</f>
        <v>10</v>
      </c>
      <c r="P487" s="173">
        <v>2020</v>
      </c>
      <c r="Q487" s="174">
        <f>IF(ISBLANK(Table1[[#This Row],[Date]]),"",Table1[[#This Row],[Date]]-WEEKDAY(Table1[[#This Row],[Date]],2)+1)</f>
        <v>44109</v>
      </c>
      <c r="R487" s="175">
        <f>IF(ISBLANK(Table1[[#This Row],[Date]]),"",DATE(Table1[[#This Row],[Date_Year]],Table1[[#This Row],[Date_Month]],1))</f>
        <v>44105</v>
      </c>
    </row>
    <row r="488" spans="2:18" ht="15.75" hidden="1" x14ac:dyDescent="0.25">
      <c r="B488" s="165">
        <v>44109</v>
      </c>
      <c r="C488" s="166" t="s">
        <v>123</v>
      </c>
      <c r="D488" s="166" t="s">
        <v>55</v>
      </c>
      <c r="E488" s="167"/>
      <c r="F488" s="114">
        <v>-15.99</v>
      </c>
      <c r="G488" s="168"/>
      <c r="H488" s="169"/>
      <c r="I488" s="170"/>
      <c r="J488" s="171" t="s">
        <v>708</v>
      </c>
      <c r="K488" s="172" t="s">
        <v>177</v>
      </c>
      <c r="L488" s="172" t="s">
        <v>175</v>
      </c>
      <c r="M488" s="173" t="str" cm="1">
        <f t="array" ref="M488">IFERROR(INDEX(CategoriesTable[Category type],MATCH(Table1[[#This Row],[Category]],CategoriesTable[Category name],0),0),"")</f>
        <v>Expense</v>
      </c>
      <c r="N488" s="173">
        <v>5</v>
      </c>
      <c r="O488" s="173">
        <f>MONTH(Table1[[#This Row],[Date]])</f>
        <v>10</v>
      </c>
      <c r="P488" s="173">
        <v>2020</v>
      </c>
      <c r="Q488" s="174">
        <f>IF(ISBLANK(Table1[[#This Row],[Date]]),"",Table1[[#This Row],[Date]]-WEEKDAY(Table1[[#This Row],[Date]],2)+1)</f>
        <v>44109</v>
      </c>
      <c r="R488" s="175">
        <f>IF(ISBLANK(Table1[[#This Row],[Date]]),"",DATE(Table1[[#This Row],[Date_Year]],Table1[[#This Row],[Date_Month]],1))</f>
        <v>44105</v>
      </c>
    </row>
    <row r="489" spans="2:18" ht="15.75" hidden="1" x14ac:dyDescent="0.25">
      <c r="B489" s="165">
        <v>44108</v>
      </c>
      <c r="C489" s="166" t="s">
        <v>121</v>
      </c>
      <c r="D489" s="166" t="s">
        <v>65</v>
      </c>
      <c r="E489" s="167"/>
      <c r="F489" s="114">
        <v>-13.23</v>
      </c>
      <c r="G489" s="168"/>
      <c r="H489" s="169"/>
      <c r="I489" s="170"/>
      <c r="J489" s="171" t="s">
        <v>709</v>
      </c>
      <c r="K489" s="172" t="s">
        <v>177</v>
      </c>
      <c r="L489" s="172" t="s">
        <v>175</v>
      </c>
      <c r="M489" s="173" t="str" cm="1">
        <f t="array" ref="M489">IFERROR(INDEX(CategoriesTable[Category type],MATCH(Table1[[#This Row],[Category]],CategoriesTable[Category name],0),0),"")</f>
        <v>Expense</v>
      </c>
      <c r="N489" s="173">
        <v>4</v>
      </c>
      <c r="O489" s="173">
        <f>MONTH(Table1[[#This Row],[Date]])</f>
        <v>10</v>
      </c>
      <c r="P489" s="173">
        <v>2020</v>
      </c>
      <c r="Q489" s="174">
        <f>IF(ISBLANK(Table1[[#This Row],[Date]]),"",Table1[[#This Row],[Date]]-WEEKDAY(Table1[[#This Row],[Date]],2)+1)</f>
        <v>44102</v>
      </c>
      <c r="R489" s="175">
        <f>IF(ISBLANK(Table1[[#This Row],[Date]]),"",DATE(Table1[[#This Row],[Date_Year]],Table1[[#This Row],[Date_Month]],1))</f>
        <v>44105</v>
      </c>
    </row>
    <row r="490" spans="2:18" ht="15.75" hidden="1" x14ac:dyDescent="0.25">
      <c r="B490" s="165">
        <v>44107</v>
      </c>
      <c r="C490" s="166" t="s">
        <v>146</v>
      </c>
      <c r="D490" s="166" t="s">
        <v>58</v>
      </c>
      <c r="E490" s="167"/>
      <c r="F490" s="114">
        <v>-120.82</v>
      </c>
      <c r="G490" s="168"/>
      <c r="H490" s="169"/>
      <c r="I490" s="170"/>
      <c r="J490" s="171" t="s">
        <v>710</v>
      </c>
      <c r="K490" s="172" t="s">
        <v>177</v>
      </c>
      <c r="L490" s="172" t="s">
        <v>175</v>
      </c>
      <c r="M490" s="173" t="str" cm="1">
        <f t="array" ref="M490">IFERROR(INDEX(CategoriesTable[Category type],MATCH(Table1[[#This Row],[Category]],CategoriesTable[Category name],0),0),"")</f>
        <v>Expense</v>
      </c>
      <c r="N490" s="173">
        <v>3</v>
      </c>
      <c r="O490" s="173">
        <f>MONTH(Table1[[#This Row],[Date]])</f>
        <v>10</v>
      </c>
      <c r="P490" s="173">
        <v>2020</v>
      </c>
      <c r="Q490" s="174">
        <f>IF(ISBLANK(Table1[[#This Row],[Date]]),"",Table1[[#This Row],[Date]]-WEEKDAY(Table1[[#This Row],[Date]],2)+1)</f>
        <v>44102</v>
      </c>
      <c r="R490" s="175">
        <f>IF(ISBLANK(Table1[[#This Row],[Date]]),"",DATE(Table1[[#This Row],[Date_Year]],Table1[[#This Row],[Date_Month]],1))</f>
        <v>44105</v>
      </c>
    </row>
    <row r="491" spans="2:18" ht="15.75" hidden="1" x14ac:dyDescent="0.25">
      <c r="B491" s="165">
        <v>44106</v>
      </c>
      <c r="C491" s="166" t="s">
        <v>1571</v>
      </c>
      <c r="D491" s="166" t="s">
        <v>66</v>
      </c>
      <c r="E491" s="167"/>
      <c r="F491" s="114">
        <v>-5.3</v>
      </c>
      <c r="G491" s="168"/>
      <c r="H491" s="169"/>
      <c r="I491" s="170"/>
      <c r="J491" s="171" t="s">
        <v>711</v>
      </c>
      <c r="K491" s="172" t="s">
        <v>177</v>
      </c>
      <c r="L491" s="172" t="s">
        <v>175</v>
      </c>
      <c r="M491" s="173" t="str" cm="1">
        <f t="array" ref="M491">IFERROR(INDEX(CategoriesTable[Category type],MATCH(Table1[[#This Row],[Category]],CategoriesTable[Category name],0),0),"")</f>
        <v>Expense</v>
      </c>
      <c r="N491" s="173">
        <v>2</v>
      </c>
      <c r="O491" s="173">
        <f>MONTH(Table1[[#This Row],[Date]])</f>
        <v>10</v>
      </c>
      <c r="P491" s="173">
        <v>2020</v>
      </c>
      <c r="Q491" s="174">
        <f>IF(ISBLANK(Table1[[#This Row],[Date]]),"",Table1[[#This Row],[Date]]-WEEKDAY(Table1[[#This Row],[Date]],2)+1)</f>
        <v>44102</v>
      </c>
      <c r="R491" s="175">
        <f>IF(ISBLANK(Table1[[#This Row],[Date]]),"",DATE(Table1[[#This Row],[Date_Year]],Table1[[#This Row],[Date_Month]],1))</f>
        <v>44105</v>
      </c>
    </row>
    <row r="492" spans="2:18" ht="15.75" hidden="1" x14ac:dyDescent="0.25">
      <c r="B492" s="165">
        <v>44105</v>
      </c>
      <c r="C492" s="166" t="s">
        <v>196</v>
      </c>
      <c r="D492" s="166" t="s">
        <v>50</v>
      </c>
      <c r="E492" s="167"/>
      <c r="F492" s="114">
        <v>4373.0200000000004</v>
      </c>
      <c r="G492" s="168"/>
      <c r="H492" s="169"/>
      <c r="I492" s="170"/>
      <c r="J492" s="171" t="s">
        <v>712</v>
      </c>
      <c r="K492" s="172" t="s">
        <v>177</v>
      </c>
      <c r="L492" s="172" t="s">
        <v>175</v>
      </c>
      <c r="M492" s="173" t="str" cm="1">
        <f t="array" ref="M492">IFERROR(INDEX(CategoriesTable[Category type],MATCH(Table1[[#This Row],[Category]],CategoriesTable[Category name],0),0),"")</f>
        <v>Income</v>
      </c>
      <c r="N492" s="173">
        <v>1</v>
      </c>
      <c r="O492" s="173">
        <f>MONTH(Table1[[#This Row],[Date]])</f>
        <v>10</v>
      </c>
      <c r="P492" s="173">
        <v>2020</v>
      </c>
      <c r="Q492" s="174">
        <f>IF(ISBLANK(Table1[[#This Row],[Date]]),"",Table1[[#This Row],[Date]]-WEEKDAY(Table1[[#This Row],[Date]],2)+1)</f>
        <v>44102</v>
      </c>
      <c r="R492" s="175">
        <f>IF(ISBLANK(Table1[[#This Row],[Date]]),"",DATE(Table1[[#This Row],[Date_Year]],Table1[[#This Row],[Date_Month]],1))</f>
        <v>44105</v>
      </c>
    </row>
    <row r="493" spans="2:18" ht="15.75" hidden="1" x14ac:dyDescent="0.25">
      <c r="B493" s="165">
        <v>44104</v>
      </c>
      <c r="C493" s="166" t="s">
        <v>138</v>
      </c>
      <c r="D493" s="166" t="s">
        <v>66</v>
      </c>
      <c r="E493" s="167"/>
      <c r="F493" s="114">
        <v>-12.99</v>
      </c>
      <c r="G493" s="168"/>
      <c r="H493" s="169"/>
      <c r="I493" s="170"/>
      <c r="J493" s="171" t="s">
        <v>713</v>
      </c>
      <c r="K493" s="172" t="s">
        <v>177</v>
      </c>
      <c r="L493" s="172" t="s">
        <v>175</v>
      </c>
      <c r="M493" s="173" t="str" cm="1">
        <f t="array" ref="M493">IFERROR(INDEX(CategoriesTable[Category type],MATCH(Table1[[#This Row],[Category]],CategoriesTable[Category name],0),0),"")</f>
        <v>Expense</v>
      </c>
      <c r="N493" s="173">
        <v>30</v>
      </c>
      <c r="O493" s="173">
        <f>MONTH(Table1[[#This Row],[Date]])</f>
        <v>9</v>
      </c>
      <c r="P493" s="173">
        <v>2020</v>
      </c>
      <c r="Q493" s="174">
        <f>IF(ISBLANK(Table1[[#This Row],[Date]]),"",Table1[[#This Row],[Date]]-WEEKDAY(Table1[[#This Row],[Date]],2)+1)</f>
        <v>44102</v>
      </c>
      <c r="R493" s="175">
        <f>IF(ISBLANK(Table1[[#This Row],[Date]]),"",DATE(Table1[[#This Row],[Date_Year]],Table1[[#This Row],[Date_Month]],1))</f>
        <v>44075</v>
      </c>
    </row>
    <row r="494" spans="2:18" ht="15.75" hidden="1" x14ac:dyDescent="0.25">
      <c r="B494" s="165">
        <v>44103</v>
      </c>
      <c r="C494" s="166" t="s">
        <v>120</v>
      </c>
      <c r="D494" s="166" t="s">
        <v>66</v>
      </c>
      <c r="E494" s="167"/>
      <c r="F494" s="114">
        <v>-18.52</v>
      </c>
      <c r="G494" s="168"/>
      <c r="H494" s="169"/>
      <c r="I494" s="170"/>
      <c r="J494" s="171" t="s">
        <v>714</v>
      </c>
      <c r="K494" s="172" t="s">
        <v>177</v>
      </c>
      <c r="L494" s="172" t="s">
        <v>175</v>
      </c>
      <c r="M494" s="173" t="str" cm="1">
        <f t="array" ref="M494">IFERROR(INDEX(CategoriesTable[Category type],MATCH(Table1[[#This Row],[Category]],CategoriesTable[Category name],0),0),"")</f>
        <v>Expense</v>
      </c>
      <c r="N494" s="173">
        <v>29</v>
      </c>
      <c r="O494" s="173">
        <f>MONTH(Table1[[#This Row],[Date]])</f>
        <v>9</v>
      </c>
      <c r="P494" s="173">
        <v>2020</v>
      </c>
      <c r="Q494" s="174">
        <f>IF(ISBLANK(Table1[[#This Row],[Date]]),"",Table1[[#This Row],[Date]]-WEEKDAY(Table1[[#This Row],[Date]],2)+1)</f>
        <v>44102</v>
      </c>
      <c r="R494" s="175">
        <f>IF(ISBLANK(Table1[[#This Row],[Date]]),"",DATE(Table1[[#This Row],[Date_Year]],Table1[[#This Row],[Date_Month]],1))</f>
        <v>44075</v>
      </c>
    </row>
    <row r="495" spans="2:18" ht="15.75" hidden="1" x14ac:dyDescent="0.25">
      <c r="B495" s="165">
        <v>44103</v>
      </c>
      <c r="C495" s="166" t="s">
        <v>715</v>
      </c>
      <c r="D495" s="166" t="s">
        <v>55</v>
      </c>
      <c r="E495" s="167"/>
      <c r="F495" s="114">
        <v>-344.72</v>
      </c>
      <c r="G495" s="168"/>
      <c r="H495" s="169"/>
      <c r="I495" s="170"/>
      <c r="J495" s="171" t="s">
        <v>716</v>
      </c>
      <c r="K495" s="172" t="s">
        <v>177</v>
      </c>
      <c r="L495" s="172" t="s">
        <v>175</v>
      </c>
      <c r="M495" s="173" t="str" cm="1">
        <f t="array" ref="M495">IFERROR(INDEX(CategoriesTable[Category type],MATCH(Table1[[#This Row],[Category]],CategoriesTable[Category name],0),0),"")</f>
        <v>Expense</v>
      </c>
      <c r="N495" s="173">
        <v>29</v>
      </c>
      <c r="O495" s="173">
        <f>MONTH(Table1[[#This Row],[Date]])</f>
        <v>9</v>
      </c>
      <c r="P495" s="173">
        <v>2020</v>
      </c>
      <c r="Q495" s="174">
        <f>IF(ISBLANK(Table1[[#This Row],[Date]]),"",Table1[[#This Row],[Date]]-WEEKDAY(Table1[[#This Row],[Date]],2)+1)</f>
        <v>44102</v>
      </c>
      <c r="R495" s="175">
        <f>IF(ISBLANK(Table1[[#This Row],[Date]]),"",DATE(Table1[[#This Row],[Date_Year]],Table1[[#This Row],[Date_Month]],1))</f>
        <v>44075</v>
      </c>
    </row>
    <row r="496" spans="2:18" ht="15.75" hidden="1" x14ac:dyDescent="0.25">
      <c r="B496" s="165">
        <v>44102</v>
      </c>
      <c r="C496" s="166" t="s">
        <v>249</v>
      </c>
      <c r="D496" s="166" t="s">
        <v>52</v>
      </c>
      <c r="E496" s="167"/>
      <c r="F496" s="114">
        <v>-70</v>
      </c>
      <c r="G496" s="168"/>
      <c r="H496" s="169"/>
      <c r="I496" s="170"/>
      <c r="J496" s="171" t="s">
        <v>717</v>
      </c>
      <c r="K496" s="172" t="s">
        <v>177</v>
      </c>
      <c r="L496" s="172" t="s">
        <v>175</v>
      </c>
      <c r="M496" s="173" t="str" cm="1">
        <f t="array" ref="M496">IFERROR(INDEX(CategoriesTable[Category type],MATCH(Table1[[#This Row],[Category]],CategoriesTable[Category name],0),0),"")</f>
        <v>Transfer</v>
      </c>
      <c r="N496" s="173">
        <v>28</v>
      </c>
      <c r="O496" s="173">
        <f>MONTH(Table1[[#This Row],[Date]])</f>
        <v>9</v>
      </c>
      <c r="P496" s="173">
        <v>2020</v>
      </c>
      <c r="Q496" s="174">
        <f>IF(ISBLANK(Table1[[#This Row],[Date]]),"",Table1[[#This Row],[Date]]-WEEKDAY(Table1[[#This Row],[Date]],2)+1)</f>
        <v>44102</v>
      </c>
      <c r="R496" s="175">
        <f>IF(ISBLANK(Table1[[#This Row],[Date]]),"",DATE(Table1[[#This Row],[Date_Year]],Table1[[#This Row],[Date_Month]],1))</f>
        <v>44075</v>
      </c>
    </row>
    <row r="497" spans="2:18" ht="15.75" hidden="1" x14ac:dyDescent="0.25">
      <c r="B497" s="165">
        <v>44102</v>
      </c>
      <c r="C497" s="166" t="s">
        <v>664</v>
      </c>
      <c r="D497" s="166" t="s">
        <v>66</v>
      </c>
      <c r="E497" s="167"/>
      <c r="F497" s="114">
        <v>-92.15</v>
      </c>
      <c r="G497" s="168"/>
      <c r="H497" s="169"/>
      <c r="I497" s="170"/>
      <c r="J497" s="171" t="s">
        <v>718</v>
      </c>
      <c r="K497" s="172" t="s">
        <v>177</v>
      </c>
      <c r="L497" s="172" t="s">
        <v>175</v>
      </c>
      <c r="M497" s="173" t="str" cm="1">
        <f t="array" ref="M497">IFERROR(INDEX(CategoriesTable[Category type],MATCH(Table1[[#This Row],[Category]],CategoriesTable[Category name],0),0),"")</f>
        <v>Expense</v>
      </c>
      <c r="N497" s="173">
        <v>28</v>
      </c>
      <c r="O497" s="173">
        <f>MONTH(Table1[[#This Row],[Date]])</f>
        <v>9</v>
      </c>
      <c r="P497" s="173">
        <v>2020</v>
      </c>
      <c r="Q497" s="174">
        <f>IF(ISBLANK(Table1[[#This Row],[Date]]),"",Table1[[#This Row],[Date]]-WEEKDAY(Table1[[#This Row],[Date]],2)+1)</f>
        <v>44102</v>
      </c>
      <c r="R497" s="175">
        <f>IF(ISBLANK(Table1[[#This Row],[Date]]),"",DATE(Table1[[#This Row],[Date_Year]],Table1[[#This Row],[Date_Month]],1))</f>
        <v>44075</v>
      </c>
    </row>
    <row r="498" spans="2:18" ht="15.75" hidden="1" x14ac:dyDescent="0.25">
      <c r="B498" s="165">
        <v>44101</v>
      </c>
      <c r="C498" s="166" t="s">
        <v>199</v>
      </c>
      <c r="D498" s="166" t="s">
        <v>65</v>
      </c>
      <c r="E498" s="167"/>
      <c r="F498" s="114">
        <v>-65.69</v>
      </c>
      <c r="G498" s="168"/>
      <c r="H498" s="169"/>
      <c r="I498" s="170"/>
      <c r="J498" s="171" t="s">
        <v>719</v>
      </c>
      <c r="K498" s="172" t="s">
        <v>177</v>
      </c>
      <c r="L498" s="172" t="s">
        <v>175</v>
      </c>
      <c r="M498" s="173" t="str" cm="1">
        <f t="array" ref="M498">IFERROR(INDEX(CategoriesTable[Category type],MATCH(Table1[[#This Row],[Category]],CategoriesTable[Category name],0),0),"")</f>
        <v>Expense</v>
      </c>
      <c r="N498" s="173">
        <v>27</v>
      </c>
      <c r="O498" s="173">
        <f>MONTH(Table1[[#This Row],[Date]])</f>
        <v>9</v>
      </c>
      <c r="P498" s="173">
        <v>2020</v>
      </c>
      <c r="Q498" s="174">
        <f>IF(ISBLANK(Table1[[#This Row],[Date]]),"",Table1[[#This Row],[Date]]-WEEKDAY(Table1[[#This Row],[Date]],2)+1)</f>
        <v>44095</v>
      </c>
      <c r="R498" s="175">
        <f>IF(ISBLANK(Table1[[#This Row],[Date]]),"",DATE(Table1[[#This Row],[Date_Year]],Table1[[#This Row],[Date_Month]],1))</f>
        <v>44075</v>
      </c>
    </row>
    <row r="499" spans="2:18" ht="15.75" hidden="1" x14ac:dyDescent="0.25">
      <c r="B499" s="165">
        <v>44100</v>
      </c>
      <c r="C499" s="166" t="s">
        <v>124</v>
      </c>
      <c r="D499" s="166" t="s">
        <v>55</v>
      </c>
      <c r="E499" s="167"/>
      <c r="F499" s="114">
        <v>-9.99</v>
      </c>
      <c r="G499" s="168"/>
      <c r="H499" s="169"/>
      <c r="I499" s="170"/>
      <c r="J499" s="171" t="s">
        <v>720</v>
      </c>
      <c r="K499" s="172" t="s">
        <v>177</v>
      </c>
      <c r="L499" s="172" t="s">
        <v>175</v>
      </c>
      <c r="M499" s="173" t="str" cm="1">
        <f t="array" ref="M499">IFERROR(INDEX(CategoriesTable[Category type],MATCH(Table1[[#This Row],[Category]],CategoriesTable[Category name],0),0),"")</f>
        <v>Expense</v>
      </c>
      <c r="N499" s="173">
        <v>26</v>
      </c>
      <c r="O499" s="173">
        <f>MONTH(Table1[[#This Row],[Date]])</f>
        <v>9</v>
      </c>
      <c r="P499" s="173">
        <v>2020</v>
      </c>
      <c r="Q499" s="174">
        <f>IF(ISBLANK(Table1[[#This Row],[Date]]),"",Table1[[#This Row],[Date]]-WEEKDAY(Table1[[#This Row],[Date]],2)+1)</f>
        <v>44095</v>
      </c>
      <c r="R499" s="175">
        <f>IF(ISBLANK(Table1[[#This Row],[Date]]),"",DATE(Table1[[#This Row],[Date_Year]],Table1[[#This Row],[Date_Month]],1))</f>
        <v>44075</v>
      </c>
    </row>
    <row r="500" spans="2:18" ht="15.75" hidden="1" x14ac:dyDescent="0.25">
      <c r="B500" s="165">
        <v>44099</v>
      </c>
      <c r="C500" s="166" t="s">
        <v>572</v>
      </c>
      <c r="D500" s="166" t="s">
        <v>63</v>
      </c>
      <c r="E500" s="167"/>
      <c r="F500" s="114">
        <v>-3.5</v>
      </c>
      <c r="G500" s="168"/>
      <c r="H500" s="169"/>
      <c r="I500" s="170"/>
      <c r="J500" s="171" t="s">
        <v>721</v>
      </c>
      <c r="K500" s="172" t="s">
        <v>177</v>
      </c>
      <c r="L500" s="172" t="s">
        <v>175</v>
      </c>
      <c r="M500" s="173" t="str" cm="1">
        <f t="array" ref="M500">IFERROR(INDEX(CategoriesTable[Category type],MATCH(Table1[[#This Row],[Category]],CategoriesTable[Category name],0),0),"")</f>
        <v>Expense</v>
      </c>
      <c r="N500" s="173">
        <v>25</v>
      </c>
      <c r="O500" s="173">
        <f>MONTH(Table1[[#This Row],[Date]])</f>
        <v>9</v>
      </c>
      <c r="P500" s="173">
        <v>2020</v>
      </c>
      <c r="Q500" s="174">
        <f>IF(ISBLANK(Table1[[#This Row],[Date]]),"",Table1[[#This Row],[Date]]-WEEKDAY(Table1[[#This Row],[Date]],2)+1)</f>
        <v>44095</v>
      </c>
      <c r="R500" s="175">
        <f>IF(ISBLANK(Table1[[#This Row],[Date]]),"",DATE(Table1[[#This Row],[Date_Year]],Table1[[#This Row],[Date_Month]],1))</f>
        <v>44075</v>
      </c>
    </row>
    <row r="501" spans="2:18" ht="15.75" hidden="1" x14ac:dyDescent="0.25">
      <c r="B501" s="165">
        <v>44099</v>
      </c>
      <c r="C501" s="166" t="s">
        <v>574</v>
      </c>
      <c r="D501" s="166" t="s">
        <v>55</v>
      </c>
      <c r="E501" s="167"/>
      <c r="F501" s="114">
        <v>-576.03</v>
      </c>
      <c r="G501" s="168"/>
      <c r="H501" s="169"/>
      <c r="I501" s="170"/>
      <c r="J501" s="171" t="s">
        <v>722</v>
      </c>
      <c r="K501" s="172" t="s">
        <v>177</v>
      </c>
      <c r="L501" s="172" t="s">
        <v>175</v>
      </c>
      <c r="M501" s="173" t="str" cm="1">
        <f t="array" ref="M501">IFERROR(INDEX(CategoriesTable[Category type],MATCH(Table1[[#This Row],[Category]],CategoriesTable[Category name],0),0),"")</f>
        <v>Expense</v>
      </c>
      <c r="N501" s="173">
        <v>25</v>
      </c>
      <c r="O501" s="173">
        <f>MONTH(Table1[[#This Row],[Date]])</f>
        <v>9</v>
      </c>
      <c r="P501" s="173">
        <v>2020</v>
      </c>
      <c r="Q501" s="174">
        <f>IF(ISBLANK(Table1[[#This Row],[Date]]),"",Table1[[#This Row],[Date]]-WEEKDAY(Table1[[#This Row],[Date]],2)+1)</f>
        <v>44095</v>
      </c>
      <c r="R501" s="175">
        <f>IF(ISBLANK(Table1[[#This Row],[Date]]),"",DATE(Table1[[#This Row],[Date_Year]],Table1[[#This Row],[Date_Month]],1))</f>
        <v>44075</v>
      </c>
    </row>
    <row r="502" spans="2:18" ht="15.75" hidden="1" x14ac:dyDescent="0.25">
      <c r="B502" s="165">
        <v>44097</v>
      </c>
      <c r="C502" s="166" t="s">
        <v>208</v>
      </c>
      <c r="D502" s="166" t="s">
        <v>55</v>
      </c>
      <c r="E502" s="167"/>
      <c r="F502" s="114">
        <v>-40.28</v>
      </c>
      <c r="G502" s="168"/>
      <c r="H502" s="169"/>
      <c r="I502" s="170"/>
      <c r="J502" s="171" t="s">
        <v>723</v>
      </c>
      <c r="K502" s="172" t="s">
        <v>177</v>
      </c>
      <c r="L502" s="172" t="s">
        <v>175</v>
      </c>
      <c r="M502" s="173" t="str" cm="1">
        <f t="array" ref="M502">IFERROR(INDEX(CategoriesTable[Category type],MATCH(Table1[[#This Row],[Category]],CategoriesTable[Category name],0),0),"")</f>
        <v>Expense</v>
      </c>
      <c r="N502" s="173">
        <v>23</v>
      </c>
      <c r="O502" s="173">
        <f>MONTH(Table1[[#This Row],[Date]])</f>
        <v>9</v>
      </c>
      <c r="P502" s="173">
        <v>2020</v>
      </c>
      <c r="Q502" s="174">
        <f>IF(ISBLANK(Table1[[#This Row],[Date]]),"",Table1[[#This Row],[Date]]-WEEKDAY(Table1[[#This Row],[Date]],2)+1)</f>
        <v>44095</v>
      </c>
      <c r="R502" s="175">
        <f>IF(ISBLANK(Table1[[#This Row],[Date]]),"",DATE(Table1[[#This Row],[Date_Year]],Table1[[#This Row],[Date_Month]],1))</f>
        <v>44075</v>
      </c>
    </row>
    <row r="503" spans="2:18" ht="15.75" hidden="1" x14ac:dyDescent="0.25">
      <c r="B503" s="165">
        <v>44096</v>
      </c>
      <c r="C503" s="166" t="s">
        <v>724</v>
      </c>
      <c r="D503" s="166" t="s">
        <v>61</v>
      </c>
      <c r="E503" s="167"/>
      <c r="F503" s="114">
        <v>-83.95</v>
      </c>
      <c r="G503" s="168"/>
      <c r="H503" s="169"/>
      <c r="I503" s="170"/>
      <c r="J503" s="171" t="s">
        <v>725</v>
      </c>
      <c r="K503" s="172" t="s">
        <v>177</v>
      </c>
      <c r="L503" s="172" t="s">
        <v>175</v>
      </c>
      <c r="M503" s="173" t="str" cm="1">
        <f t="array" ref="M503">IFERROR(INDEX(CategoriesTable[Category type],MATCH(Table1[[#This Row],[Category]],CategoriesTable[Category name],0),0),"")</f>
        <v>Expense</v>
      </c>
      <c r="N503" s="173">
        <v>22</v>
      </c>
      <c r="O503" s="173">
        <f>MONTH(Table1[[#This Row],[Date]])</f>
        <v>9</v>
      </c>
      <c r="P503" s="173">
        <v>2020</v>
      </c>
      <c r="Q503" s="174">
        <f>IF(ISBLANK(Table1[[#This Row],[Date]]),"",Table1[[#This Row],[Date]]-WEEKDAY(Table1[[#This Row],[Date]],2)+1)</f>
        <v>44095</v>
      </c>
      <c r="R503" s="175">
        <f>IF(ISBLANK(Table1[[#This Row],[Date]]),"",DATE(Table1[[#This Row],[Date_Year]],Table1[[#This Row],[Date_Month]],1))</f>
        <v>44075</v>
      </c>
    </row>
    <row r="504" spans="2:18" ht="15.75" hidden="1" x14ac:dyDescent="0.25">
      <c r="B504" s="165">
        <v>44096</v>
      </c>
      <c r="C504" s="166" t="s">
        <v>120</v>
      </c>
      <c r="D504" s="166" t="s">
        <v>66</v>
      </c>
      <c r="E504" s="167"/>
      <c r="F504" s="114">
        <v>-88.91</v>
      </c>
      <c r="G504" s="168"/>
      <c r="H504" s="169"/>
      <c r="I504" s="170"/>
      <c r="J504" s="171" t="s">
        <v>726</v>
      </c>
      <c r="K504" s="172" t="s">
        <v>177</v>
      </c>
      <c r="L504" s="172" t="s">
        <v>175</v>
      </c>
      <c r="M504" s="173" t="str" cm="1">
        <f t="array" ref="M504">IFERROR(INDEX(CategoriesTable[Category type],MATCH(Table1[[#This Row],[Category]],CategoriesTable[Category name],0),0),"")</f>
        <v>Expense</v>
      </c>
      <c r="N504" s="173">
        <v>22</v>
      </c>
      <c r="O504" s="173">
        <f>MONTH(Table1[[#This Row],[Date]])</f>
        <v>9</v>
      </c>
      <c r="P504" s="173">
        <v>2020</v>
      </c>
      <c r="Q504" s="174">
        <f>IF(ISBLANK(Table1[[#This Row],[Date]]),"",Table1[[#This Row],[Date]]-WEEKDAY(Table1[[#This Row],[Date]],2)+1)</f>
        <v>44095</v>
      </c>
      <c r="R504" s="175">
        <f>IF(ISBLANK(Table1[[#This Row],[Date]]),"",DATE(Table1[[#This Row],[Date_Year]],Table1[[#This Row],[Date_Month]],1))</f>
        <v>44075</v>
      </c>
    </row>
    <row r="505" spans="2:18" ht="15.75" hidden="1" x14ac:dyDescent="0.25">
      <c r="B505" s="165">
        <v>44095</v>
      </c>
      <c r="C505" s="166" t="s">
        <v>180</v>
      </c>
      <c r="D505" s="166" t="s">
        <v>52</v>
      </c>
      <c r="E505" s="167"/>
      <c r="F505" s="114">
        <v>-100</v>
      </c>
      <c r="G505" s="168"/>
      <c r="H505" s="169"/>
      <c r="I505" s="170"/>
      <c r="J505" s="171" t="s">
        <v>727</v>
      </c>
      <c r="K505" s="172" t="s">
        <v>177</v>
      </c>
      <c r="L505" s="172" t="s">
        <v>175</v>
      </c>
      <c r="M505" s="173" t="str" cm="1">
        <f t="array" ref="M505">IFERROR(INDEX(CategoriesTable[Category type],MATCH(Table1[[#This Row],[Category]],CategoriesTable[Category name],0),0),"")</f>
        <v>Transfer</v>
      </c>
      <c r="N505" s="173">
        <v>21</v>
      </c>
      <c r="O505" s="173">
        <f>MONTH(Table1[[#This Row],[Date]])</f>
        <v>9</v>
      </c>
      <c r="P505" s="173">
        <v>2020</v>
      </c>
      <c r="Q505" s="174">
        <f>IF(ISBLANK(Table1[[#This Row],[Date]]),"",Table1[[#This Row],[Date]]-WEEKDAY(Table1[[#This Row],[Date]],2)+1)</f>
        <v>44095</v>
      </c>
      <c r="R505" s="175">
        <f>IF(ISBLANK(Table1[[#This Row],[Date]]),"",DATE(Table1[[#This Row],[Date_Year]],Table1[[#This Row],[Date_Month]],1))</f>
        <v>44075</v>
      </c>
    </row>
    <row r="506" spans="2:18" ht="15.75" hidden="1" x14ac:dyDescent="0.25">
      <c r="B506" s="165">
        <v>44094</v>
      </c>
      <c r="C506" s="166" t="s">
        <v>728</v>
      </c>
      <c r="D506" s="166" t="s">
        <v>65</v>
      </c>
      <c r="E506" s="167"/>
      <c r="F506" s="114">
        <v>-43.43</v>
      </c>
      <c r="G506" s="168"/>
      <c r="H506" s="169"/>
      <c r="I506" s="170"/>
      <c r="J506" s="171" t="s">
        <v>729</v>
      </c>
      <c r="K506" s="172" t="s">
        <v>177</v>
      </c>
      <c r="L506" s="172" t="s">
        <v>175</v>
      </c>
      <c r="M506" s="173" t="str" cm="1">
        <f t="array" ref="M506">IFERROR(INDEX(CategoriesTable[Category type],MATCH(Table1[[#This Row],[Category]],CategoriesTable[Category name],0),0),"")</f>
        <v>Expense</v>
      </c>
      <c r="N506" s="173">
        <v>20</v>
      </c>
      <c r="O506" s="173">
        <f>MONTH(Table1[[#This Row],[Date]])</f>
        <v>9</v>
      </c>
      <c r="P506" s="173">
        <v>2020</v>
      </c>
      <c r="Q506" s="174">
        <f>IF(ISBLANK(Table1[[#This Row],[Date]]),"",Table1[[#This Row],[Date]]-WEEKDAY(Table1[[#This Row],[Date]],2)+1)</f>
        <v>44088</v>
      </c>
      <c r="R506" s="175">
        <f>IF(ISBLANK(Table1[[#This Row],[Date]]),"",DATE(Table1[[#This Row],[Date_Year]],Table1[[#This Row],[Date_Month]],1))</f>
        <v>44075</v>
      </c>
    </row>
    <row r="507" spans="2:18" ht="15.75" hidden="1" x14ac:dyDescent="0.25">
      <c r="B507" s="165">
        <v>44094</v>
      </c>
      <c r="C507" s="166" t="s">
        <v>193</v>
      </c>
      <c r="D507" s="166" t="s">
        <v>58</v>
      </c>
      <c r="E507" s="167"/>
      <c r="F507" s="114">
        <v>-53.81</v>
      </c>
      <c r="G507" s="168"/>
      <c r="H507" s="169"/>
      <c r="I507" s="170"/>
      <c r="J507" s="171" t="s">
        <v>730</v>
      </c>
      <c r="K507" s="172" t="s">
        <v>177</v>
      </c>
      <c r="L507" s="172" t="s">
        <v>175</v>
      </c>
      <c r="M507" s="173" t="str" cm="1">
        <f t="array" ref="M507">IFERROR(INDEX(CategoriesTable[Category type],MATCH(Table1[[#This Row],[Category]],CategoriesTable[Category name],0),0),"")</f>
        <v>Expense</v>
      </c>
      <c r="N507" s="173">
        <v>20</v>
      </c>
      <c r="O507" s="173">
        <f>MONTH(Table1[[#This Row],[Date]])</f>
        <v>9</v>
      </c>
      <c r="P507" s="173">
        <v>2020</v>
      </c>
      <c r="Q507" s="174">
        <f>IF(ISBLANK(Table1[[#This Row],[Date]]),"",Table1[[#This Row],[Date]]-WEEKDAY(Table1[[#This Row],[Date]],2)+1)</f>
        <v>44088</v>
      </c>
      <c r="R507" s="175">
        <f>IF(ISBLANK(Table1[[#This Row],[Date]]),"",DATE(Table1[[#This Row],[Date_Year]],Table1[[#This Row],[Date_Month]],1))</f>
        <v>44075</v>
      </c>
    </row>
    <row r="508" spans="2:18" ht="15.75" hidden="1" x14ac:dyDescent="0.25">
      <c r="B508" s="165">
        <v>44094</v>
      </c>
      <c r="C508" s="166" t="s">
        <v>135</v>
      </c>
      <c r="D508" s="166" t="s">
        <v>53</v>
      </c>
      <c r="E508" s="167"/>
      <c r="F508" s="114">
        <v>-30</v>
      </c>
      <c r="G508" s="168"/>
      <c r="H508" s="169"/>
      <c r="I508" s="170"/>
      <c r="J508" s="171" t="s">
        <v>731</v>
      </c>
      <c r="K508" s="172" t="s">
        <v>177</v>
      </c>
      <c r="L508" s="172" t="s">
        <v>175</v>
      </c>
      <c r="M508" s="173" t="str" cm="1">
        <f t="array" ref="M508">IFERROR(INDEX(CategoriesTable[Category type],MATCH(Table1[[#This Row],[Category]],CategoriesTable[Category name],0),0),"")</f>
        <v>Expense</v>
      </c>
      <c r="N508" s="173">
        <v>20</v>
      </c>
      <c r="O508" s="173">
        <f>MONTH(Table1[[#This Row],[Date]])</f>
        <v>9</v>
      </c>
      <c r="P508" s="173">
        <v>2020</v>
      </c>
      <c r="Q508" s="174">
        <f>IF(ISBLANK(Table1[[#This Row],[Date]]),"",Table1[[#This Row],[Date]]-WEEKDAY(Table1[[#This Row],[Date]],2)+1)</f>
        <v>44088</v>
      </c>
      <c r="R508" s="175">
        <f>IF(ISBLANK(Table1[[#This Row],[Date]]),"",DATE(Table1[[#This Row],[Date_Year]],Table1[[#This Row],[Date_Month]],1))</f>
        <v>44075</v>
      </c>
    </row>
    <row r="509" spans="2:18" ht="15.75" hidden="1" x14ac:dyDescent="0.25">
      <c r="B509" s="165">
        <v>44092</v>
      </c>
      <c r="C509" s="166" t="s">
        <v>129</v>
      </c>
      <c r="D509" s="166" t="s">
        <v>55</v>
      </c>
      <c r="E509" s="167"/>
      <c r="F509" s="114">
        <v>-75.98</v>
      </c>
      <c r="G509" s="168"/>
      <c r="H509" s="169"/>
      <c r="I509" s="170"/>
      <c r="J509" s="171" t="s">
        <v>732</v>
      </c>
      <c r="K509" s="172" t="s">
        <v>177</v>
      </c>
      <c r="L509" s="172" t="s">
        <v>175</v>
      </c>
      <c r="M509" s="173" t="str" cm="1">
        <f t="array" ref="M509">IFERROR(INDEX(CategoriesTable[Category type],MATCH(Table1[[#This Row],[Category]],CategoriesTable[Category name],0),0),"")</f>
        <v>Expense</v>
      </c>
      <c r="N509" s="173">
        <v>18</v>
      </c>
      <c r="O509" s="173">
        <f>MONTH(Table1[[#This Row],[Date]])</f>
        <v>9</v>
      </c>
      <c r="P509" s="173">
        <v>2020</v>
      </c>
      <c r="Q509" s="174">
        <f>IF(ISBLANK(Table1[[#This Row],[Date]]),"",Table1[[#This Row],[Date]]-WEEKDAY(Table1[[#This Row],[Date]],2)+1)</f>
        <v>44088</v>
      </c>
      <c r="R509" s="175">
        <f>IF(ISBLANK(Table1[[#This Row],[Date]]),"",DATE(Table1[[#This Row],[Date_Year]],Table1[[#This Row],[Date_Month]],1))</f>
        <v>44075</v>
      </c>
    </row>
    <row r="510" spans="2:18" ht="15.75" hidden="1" x14ac:dyDescent="0.25">
      <c r="B510" s="165">
        <v>44090</v>
      </c>
      <c r="C510" s="166" t="s">
        <v>606</v>
      </c>
      <c r="D510" s="166" t="s">
        <v>55</v>
      </c>
      <c r="E510" s="167"/>
      <c r="F510" s="114">
        <v>-79.849999999999994</v>
      </c>
      <c r="G510" s="168"/>
      <c r="H510" s="169"/>
      <c r="I510" s="170"/>
      <c r="J510" s="171" t="s">
        <v>733</v>
      </c>
      <c r="K510" s="172" t="s">
        <v>177</v>
      </c>
      <c r="L510" s="172" t="s">
        <v>175</v>
      </c>
      <c r="M510" s="173" t="str" cm="1">
        <f t="array" ref="M510">IFERROR(INDEX(CategoriesTable[Category type],MATCH(Table1[[#This Row],[Category]],CategoriesTable[Category name],0),0),"")</f>
        <v>Expense</v>
      </c>
      <c r="N510" s="173">
        <v>16</v>
      </c>
      <c r="O510" s="173">
        <f>MONTH(Table1[[#This Row],[Date]])</f>
        <v>9</v>
      </c>
      <c r="P510" s="173">
        <v>2020</v>
      </c>
      <c r="Q510" s="174">
        <f>IF(ISBLANK(Table1[[#This Row],[Date]]),"",Table1[[#This Row],[Date]]-WEEKDAY(Table1[[#This Row],[Date]],2)+1)</f>
        <v>44088</v>
      </c>
      <c r="R510" s="175">
        <f>IF(ISBLANK(Table1[[#This Row],[Date]]),"",DATE(Table1[[#This Row],[Date_Year]],Table1[[#This Row],[Date_Month]],1))</f>
        <v>44075</v>
      </c>
    </row>
    <row r="511" spans="2:18" ht="15.75" hidden="1" x14ac:dyDescent="0.25">
      <c r="B511" s="165">
        <v>44090</v>
      </c>
      <c r="C511" s="166" t="s">
        <v>182</v>
      </c>
      <c r="D511" s="166" t="s">
        <v>55</v>
      </c>
      <c r="E511" s="167"/>
      <c r="F511" s="114">
        <v>-10.9</v>
      </c>
      <c r="G511" s="168"/>
      <c r="H511" s="169"/>
      <c r="I511" s="170"/>
      <c r="J511" s="171" t="s">
        <v>734</v>
      </c>
      <c r="K511" s="172" t="s">
        <v>177</v>
      </c>
      <c r="L511" s="172" t="s">
        <v>175</v>
      </c>
      <c r="M511" s="173" t="str" cm="1">
        <f t="array" ref="M511">IFERROR(INDEX(CategoriesTable[Category type],MATCH(Table1[[#This Row],[Category]],CategoriesTable[Category name],0),0),"")</f>
        <v>Expense</v>
      </c>
      <c r="N511" s="173">
        <v>16</v>
      </c>
      <c r="O511" s="173">
        <f>MONTH(Table1[[#This Row],[Date]])</f>
        <v>9</v>
      </c>
      <c r="P511" s="173">
        <v>2020</v>
      </c>
      <c r="Q511" s="174">
        <f>IF(ISBLANK(Table1[[#This Row],[Date]]),"",Table1[[#This Row],[Date]]-WEEKDAY(Table1[[#This Row],[Date]],2)+1)</f>
        <v>44088</v>
      </c>
      <c r="R511" s="175">
        <f>IF(ISBLANK(Table1[[#This Row],[Date]]),"",DATE(Table1[[#This Row],[Date_Year]],Table1[[#This Row],[Date_Month]],1))</f>
        <v>44075</v>
      </c>
    </row>
    <row r="512" spans="2:18" ht="15.75" hidden="1" x14ac:dyDescent="0.25">
      <c r="B512" s="165">
        <v>44088</v>
      </c>
      <c r="C512" s="166" t="s">
        <v>249</v>
      </c>
      <c r="D512" s="166" t="s">
        <v>52</v>
      </c>
      <c r="E512" s="167"/>
      <c r="F512" s="114">
        <v>-100</v>
      </c>
      <c r="G512" s="168"/>
      <c r="H512" s="169"/>
      <c r="I512" s="170"/>
      <c r="J512" s="171" t="s">
        <v>735</v>
      </c>
      <c r="K512" s="172" t="s">
        <v>177</v>
      </c>
      <c r="L512" s="172" t="s">
        <v>175</v>
      </c>
      <c r="M512" s="173" t="str" cm="1">
        <f t="array" ref="M512">IFERROR(INDEX(CategoriesTable[Category type],MATCH(Table1[[#This Row],[Category]],CategoriesTable[Category name],0),0),"")</f>
        <v>Transfer</v>
      </c>
      <c r="N512" s="173">
        <v>14</v>
      </c>
      <c r="O512" s="173">
        <f>MONTH(Table1[[#This Row],[Date]])</f>
        <v>9</v>
      </c>
      <c r="P512" s="173">
        <v>2020</v>
      </c>
      <c r="Q512" s="174">
        <f>IF(ISBLANK(Table1[[#This Row],[Date]]),"",Table1[[#This Row],[Date]]-WEEKDAY(Table1[[#This Row],[Date]],2)+1)</f>
        <v>44088</v>
      </c>
      <c r="R512" s="175">
        <f>IF(ISBLANK(Table1[[#This Row],[Date]]),"",DATE(Table1[[#This Row],[Date_Year]],Table1[[#This Row],[Date_Month]],1))</f>
        <v>44075</v>
      </c>
    </row>
    <row r="513" spans="2:18" ht="15.75" hidden="1" x14ac:dyDescent="0.25">
      <c r="B513" s="165">
        <v>44088</v>
      </c>
      <c r="C513" s="166" t="s">
        <v>465</v>
      </c>
      <c r="D513" s="166" t="s">
        <v>62</v>
      </c>
      <c r="E513" s="167"/>
      <c r="F513" s="114">
        <v>-103.81</v>
      </c>
      <c r="G513" s="168"/>
      <c r="H513" s="169"/>
      <c r="I513" s="170"/>
      <c r="J513" s="171" t="s">
        <v>736</v>
      </c>
      <c r="K513" s="172" t="s">
        <v>177</v>
      </c>
      <c r="L513" s="172" t="s">
        <v>175</v>
      </c>
      <c r="M513" s="173" t="str" cm="1">
        <f t="array" ref="M513">IFERROR(INDEX(CategoriesTable[Category type],MATCH(Table1[[#This Row],[Category]],CategoriesTable[Category name],0),0),"")</f>
        <v>Expense</v>
      </c>
      <c r="N513" s="173">
        <v>14</v>
      </c>
      <c r="O513" s="173">
        <f>MONTH(Table1[[#This Row],[Date]])</f>
        <v>9</v>
      </c>
      <c r="P513" s="173">
        <v>2020</v>
      </c>
      <c r="Q513" s="174">
        <f>IF(ISBLANK(Table1[[#This Row],[Date]]),"",Table1[[#This Row],[Date]]-WEEKDAY(Table1[[#This Row],[Date]],2)+1)</f>
        <v>44088</v>
      </c>
      <c r="R513" s="175">
        <f>IF(ISBLANK(Table1[[#This Row],[Date]]),"",DATE(Table1[[#This Row],[Date_Year]],Table1[[#This Row],[Date_Month]],1))</f>
        <v>44075</v>
      </c>
    </row>
    <row r="514" spans="2:18" ht="15.75" hidden="1" x14ac:dyDescent="0.25">
      <c r="B514" s="165">
        <v>44088</v>
      </c>
      <c r="C514" s="166" t="s">
        <v>664</v>
      </c>
      <c r="D514" s="166" t="s">
        <v>66</v>
      </c>
      <c r="E514" s="167"/>
      <c r="F514" s="114">
        <v>-54.9</v>
      </c>
      <c r="G514" s="168"/>
      <c r="H514" s="169"/>
      <c r="I514" s="170"/>
      <c r="J514" s="171" t="s">
        <v>737</v>
      </c>
      <c r="K514" s="172" t="s">
        <v>177</v>
      </c>
      <c r="L514" s="172" t="s">
        <v>175</v>
      </c>
      <c r="M514" s="173" t="str" cm="1">
        <f t="array" ref="M514">IFERROR(INDEX(CategoriesTable[Category type],MATCH(Table1[[#This Row],[Category]],CategoriesTable[Category name],0),0),"")</f>
        <v>Expense</v>
      </c>
      <c r="N514" s="173">
        <v>14</v>
      </c>
      <c r="O514" s="173">
        <f>MONTH(Table1[[#This Row],[Date]])</f>
        <v>9</v>
      </c>
      <c r="P514" s="173">
        <v>2020</v>
      </c>
      <c r="Q514" s="174">
        <f>IF(ISBLANK(Table1[[#This Row],[Date]]),"",Table1[[#This Row],[Date]]-WEEKDAY(Table1[[#This Row],[Date]],2)+1)</f>
        <v>44088</v>
      </c>
      <c r="R514" s="175">
        <f>IF(ISBLANK(Table1[[#This Row],[Date]]),"",DATE(Table1[[#This Row],[Date_Year]],Table1[[#This Row],[Date_Month]],1))</f>
        <v>44075</v>
      </c>
    </row>
    <row r="515" spans="2:18" ht="15.75" hidden="1" x14ac:dyDescent="0.25">
      <c r="B515" s="165">
        <v>44083</v>
      </c>
      <c r="C515" s="166" t="s">
        <v>738</v>
      </c>
      <c r="D515" s="166" t="s">
        <v>55</v>
      </c>
      <c r="E515" s="167"/>
      <c r="F515" s="114">
        <v>-173.87</v>
      </c>
      <c r="G515" s="168"/>
      <c r="H515" s="169"/>
      <c r="I515" s="170"/>
      <c r="J515" s="171" t="s">
        <v>739</v>
      </c>
      <c r="K515" s="172" t="s">
        <v>177</v>
      </c>
      <c r="L515" s="172" t="s">
        <v>175</v>
      </c>
      <c r="M515" s="173" t="str" cm="1">
        <f t="array" ref="M515">IFERROR(INDEX(CategoriesTable[Category type],MATCH(Table1[[#This Row],[Category]],CategoriesTable[Category name],0),0),"")</f>
        <v>Expense</v>
      </c>
      <c r="N515" s="173">
        <v>9</v>
      </c>
      <c r="O515" s="173">
        <f>MONTH(Table1[[#This Row],[Date]])</f>
        <v>9</v>
      </c>
      <c r="P515" s="173">
        <v>2020</v>
      </c>
      <c r="Q515" s="174">
        <f>IF(ISBLANK(Table1[[#This Row],[Date]]),"",Table1[[#This Row],[Date]]-WEEKDAY(Table1[[#This Row],[Date]],2)+1)</f>
        <v>44081</v>
      </c>
      <c r="R515" s="175">
        <f>IF(ISBLANK(Table1[[#This Row],[Date]]),"",DATE(Table1[[#This Row],[Date_Year]],Table1[[#This Row],[Date_Month]],1))</f>
        <v>44075</v>
      </c>
    </row>
    <row r="516" spans="2:18" ht="15.75" hidden="1" x14ac:dyDescent="0.25">
      <c r="B516" s="165">
        <v>44081</v>
      </c>
      <c r="C516" s="166" t="s">
        <v>1564</v>
      </c>
      <c r="D516" s="166" t="s">
        <v>56</v>
      </c>
      <c r="E516" s="167"/>
      <c r="F516" s="114">
        <v>-9.99</v>
      </c>
      <c r="G516" s="168"/>
      <c r="H516" s="169"/>
      <c r="I516" s="170"/>
      <c r="J516" s="171" t="s">
        <v>740</v>
      </c>
      <c r="K516" s="172" t="s">
        <v>177</v>
      </c>
      <c r="L516" s="172" t="s">
        <v>175</v>
      </c>
      <c r="M516" s="173" t="str" cm="1">
        <f t="array" ref="M516">IFERROR(INDEX(CategoriesTable[Category type],MATCH(Table1[[#This Row],[Category]],CategoriesTable[Category name],0),0),"")</f>
        <v>Expense</v>
      </c>
      <c r="N516" s="173">
        <v>7</v>
      </c>
      <c r="O516" s="173">
        <f>MONTH(Table1[[#This Row],[Date]])</f>
        <v>9</v>
      </c>
      <c r="P516" s="173">
        <v>2020</v>
      </c>
      <c r="Q516" s="174">
        <f>IF(ISBLANK(Table1[[#This Row],[Date]]),"",Table1[[#This Row],[Date]]-WEEKDAY(Table1[[#This Row],[Date]],2)+1)</f>
        <v>44081</v>
      </c>
      <c r="R516" s="175">
        <f>IF(ISBLANK(Table1[[#This Row],[Date]]),"",DATE(Table1[[#This Row],[Date_Year]],Table1[[#This Row],[Date_Month]],1))</f>
        <v>44075</v>
      </c>
    </row>
    <row r="517" spans="2:18" ht="15.75" hidden="1" x14ac:dyDescent="0.25">
      <c r="B517" s="165">
        <v>44079</v>
      </c>
      <c r="C517" s="166" t="s">
        <v>123</v>
      </c>
      <c r="D517" s="166" t="s">
        <v>55</v>
      </c>
      <c r="E517" s="167"/>
      <c r="F517" s="114">
        <v>-15.99</v>
      </c>
      <c r="G517" s="168"/>
      <c r="H517" s="169"/>
      <c r="I517" s="170"/>
      <c r="J517" s="171" t="s">
        <v>741</v>
      </c>
      <c r="K517" s="172" t="s">
        <v>177</v>
      </c>
      <c r="L517" s="172" t="s">
        <v>175</v>
      </c>
      <c r="M517" s="173" t="str" cm="1">
        <f t="array" ref="M517">IFERROR(INDEX(CategoriesTable[Category type],MATCH(Table1[[#This Row],[Category]],CategoriesTable[Category name],0),0),"")</f>
        <v>Expense</v>
      </c>
      <c r="N517" s="173">
        <v>5</v>
      </c>
      <c r="O517" s="173">
        <f>MONTH(Table1[[#This Row],[Date]])</f>
        <v>9</v>
      </c>
      <c r="P517" s="173">
        <v>2020</v>
      </c>
      <c r="Q517" s="174">
        <f>IF(ISBLANK(Table1[[#This Row],[Date]]),"",Table1[[#This Row],[Date]]-WEEKDAY(Table1[[#This Row],[Date]],2)+1)</f>
        <v>44074</v>
      </c>
      <c r="R517" s="175">
        <f>IF(ISBLANK(Table1[[#This Row],[Date]]),"",DATE(Table1[[#This Row],[Date_Year]],Table1[[#This Row],[Date_Month]],1))</f>
        <v>44075</v>
      </c>
    </row>
    <row r="518" spans="2:18" ht="15.75" hidden="1" x14ac:dyDescent="0.25">
      <c r="B518" s="165">
        <v>44076</v>
      </c>
      <c r="C518" s="166" t="s">
        <v>1571</v>
      </c>
      <c r="D518" s="166" t="s">
        <v>66</v>
      </c>
      <c r="E518" s="167"/>
      <c r="F518" s="114">
        <v>-5.3</v>
      </c>
      <c r="G518" s="168"/>
      <c r="H518" s="169"/>
      <c r="I518" s="170"/>
      <c r="J518" s="171" t="s">
        <v>742</v>
      </c>
      <c r="K518" s="172" t="s">
        <v>177</v>
      </c>
      <c r="L518" s="172" t="s">
        <v>175</v>
      </c>
      <c r="M518" s="173" t="str" cm="1">
        <f t="array" ref="M518">IFERROR(INDEX(CategoriesTable[Category type],MATCH(Table1[[#This Row],[Category]],CategoriesTable[Category name],0),0),"")</f>
        <v>Expense</v>
      </c>
      <c r="N518" s="173">
        <v>2</v>
      </c>
      <c r="O518" s="173">
        <f>MONTH(Table1[[#This Row],[Date]])</f>
        <v>9</v>
      </c>
      <c r="P518" s="173">
        <v>2020</v>
      </c>
      <c r="Q518" s="174">
        <f>IF(ISBLANK(Table1[[#This Row],[Date]]),"",Table1[[#This Row],[Date]]-WEEKDAY(Table1[[#This Row],[Date]],2)+1)</f>
        <v>44074</v>
      </c>
      <c r="R518" s="175">
        <f>IF(ISBLANK(Table1[[#This Row],[Date]]),"",DATE(Table1[[#This Row],[Date_Year]],Table1[[#This Row],[Date_Month]],1))</f>
        <v>44075</v>
      </c>
    </row>
    <row r="519" spans="2:18" ht="15.75" hidden="1" x14ac:dyDescent="0.25">
      <c r="B519" s="165">
        <v>44076</v>
      </c>
      <c r="C519" s="166" t="s">
        <v>184</v>
      </c>
      <c r="D519" s="166" t="s">
        <v>56</v>
      </c>
      <c r="E519" s="167"/>
      <c r="F519" s="114">
        <v>-79.989999999999995</v>
      </c>
      <c r="G519" s="168"/>
      <c r="H519" s="169"/>
      <c r="I519" s="170"/>
      <c r="J519" s="171" t="s">
        <v>743</v>
      </c>
      <c r="K519" s="172" t="s">
        <v>177</v>
      </c>
      <c r="L519" s="172" t="s">
        <v>175</v>
      </c>
      <c r="M519" s="173" t="str" cm="1">
        <f t="array" ref="M519">IFERROR(INDEX(CategoriesTable[Category type],MATCH(Table1[[#This Row],[Category]],CategoriesTable[Category name],0),0),"")</f>
        <v>Expense</v>
      </c>
      <c r="N519" s="173">
        <v>2</v>
      </c>
      <c r="O519" s="173">
        <f>MONTH(Table1[[#This Row],[Date]])</f>
        <v>9</v>
      </c>
      <c r="P519" s="173">
        <v>2020</v>
      </c>
      <c r="Q519" s="174">
        <f>IF(ISBLANK(Table1[[#This Row],[Date]]),"",Table1[[#This Row],[Date]]-WEEKDAY(Table1[[#This Row],[Date]],2)+1)</f>
        <v>44074</v>
      </c>
      <c r="R519" s="175">
        <f>IF(ISBLANK(Table1[[#This Row],[Date]]),"",DATE(Table1[[#This Row],[Date_Year]],Table1[[#This Row],[Date_Month]],1))</f>
        <v>44075</v>
      </c>
    </row>
    <row r="520" spans="2:18" ht="15.75" hidden="1" x14ac:dyDescent="0.25">
      <c r="B520" s="165">
        <v>44075</v>
      </c>
      <c r="C520" s="166" t="s">
        <v>249</v>
      </c>
      <c r="D520" s="166" t="s">
        <v>52</v>
      </c>
      <c r="E520" s="167"/>
      <c r="F520" s="114">
        <v>-70</v>
      </c>
      <c r="G520" s="168"/>
      <c r="H520" s="169"/>
      <c r="I520" s="170"/>
      <c r="J520" s="171" t="s">
        <v>744</v>
      </c>
      <c r="K520" s="172" t="s">
        <v>177</v>
      </c>
      <c r="L520" s="172" t="s">
        <v>175</v>
      </c>
      <c r="M520" s="173" t="str" cm="1">
        <f t="array" ref="M520">IFERROR(INDEX(CategoriesTable[Category type],MATCH(Table1[[#This Row],[Category]],CategoriesTable[Category name],0),0),"")</f>
        <v>Transfer</v>
      </c>
      <c r="N520" s="173">
        <v>1</v>
      </c>
      <c r="O520" s="173">
        <f>MONTH(Table1[[#This Row],[Date]])</f>
        <v>9</v>
      </c>
      <c r="P520" s="173">
        <v>2020</v>
      </c>
      <c r="Q520" s="174">
        <f>IF(ISBLANK(Table1[[#This Row],[Date]]),"",Table1[[#This Row],[Date]]-WEEKDAY(Table1[[#This Row],[Date]],2)+1)</f>
        <v>44074</v>
      </c>
      <c r="R520" s="175">
        <f>IF(ISBLANK(Table1[[#This Row],[Date]]),"",DATE(Table1[[#This Row],[Date_Year]],Table1[[#This Row],[Date_Month]],1))</f>
        <v>44075</v>
      </c>
    </row>
    <row r="521" spans="2:18" ht="15.75" hidden="1" x14ac:dyDescent="0.25">
      <c r="B521" s="165">
        <v>44075</v>
      </c>
      <c r="C521" s="166" t="s">
        <v>196</v>
      </c>
      <c r="D521" s="166" t="s">
        <v>50</v>
      </c>
      <c r="E521" s="167"/>
      <c r="F521" s="114">
        <v>4373.0200000000004</v>
      </c>
      <c r="G521" s="168"/>
      <c r="H521" s="169"/>
      <c r="I521" s="170"/>
      <c r="J521" s="171" t="s">
        <v>745</v>
      </c>
      <c r="K521" s="172" t="s">
        <v>177</v>
      </c>
      <c r="L521" s="172" t="s">
        <v>175</v>
      </c>
      <c r="M521" s="173" t="str" cm="1">
        <f t="array" ref="M521">IFERROR(INDEX(CategoriesTable[Category type],MATCH(Table1[[#This Row],[Category]],CategoriesTable[Category name],0),0),"")</f>
        <v>Income</v>
      </c>
      <c r="N521" s="173">
        <v>1</v>
      </c>
      <c r="O521" s="173">
        <f>MONTH(Table1[[#This Row],[Date]])</f>
        <v>9</v>
      </c>
      <c r="P521" s="173">
        <v>2020</v>
      </c>
      <c r="Q521" s="174">
        <f>IF(ISBLANK(Table1[[#This Row],[Date]]),"",Table1[[#This Row],[Date]]-WEEKDAY(Table1[[#This Row],[Date]],2)+1)</f>
        <v>44074</v>
      </c>
      <c r="R521" s="175">
        <f>IF(ISBLANK(Table1[[#This Row],[Date]]),"",DATE(Table1[[#This Row],[Date_Year]],Table1[[#This Row],[Date_Month]],1))</f>
        <v>44075</v>
      </c>
    </row>
    <row r="522" spans="2:18" ht="15.75" hidden="1" x14ac:dyDescent="0.25">
      <c r="B522" s="165">
        <v>44074</v>
      </c>
      <c r="C522" s="166" t="s">
        <v>138</v>
      </c>
      <c r="D522" s="166" t="s">
        <v>66</v>
      </c>
      <c r="E522" s="167"/>
      <c r="F522" s="114">
        <v>-12.99</v>
      </c>
      <c r="G522" s="168"/>
      <c r="H522" s="169"/>
      <c r="I522" s="170"/>
      <c r="J522" s="171" t="s">
        <v>746</v>
      </c>
      <c r="K522" s="172" t="s">
        <v>177</v>
      </c>
      <c r="L522" s="172" t="s">
        <v>175</v>
      </c>
      <c r="M522" s="173" t="str" cm="1">
        <f t="array" ref="M522">IFERROR(INDEX(CategoriesTable[Category type],MATCH(Table1[[#This Row],[Category]],CategoriesTable[Category name],0),0),"")</f>
        <v>Expense</v>
      </c>
      <c r="N522" s="173">
        <v>31</v>
      </c>
      <c r="O522" s="173">
        <f>MONTH(Table1[[#This Row],[Date]])</f>
        <v>8</v>
      </c>
      <c r="P522" s="173">
        <v>2020</v>
      </c>
      <c r="Q522" s="174">
        <f>IF(ISBLANK(Table1[[#This Row],[Date]]),"",Table1[[#This Row],[Date]]-WEEKDAY(Table1[[#This Row],[Date]],2)+1)</f>
        <v>44074</v>
      </c>
      <c r="R522" s="175">
        <f>IF(ISBLANK(Table1[[#This Row],[Date]]),"",DATE(Table1[[#This Row],[Date_Year]],Table1[[#This Row],[Date_Month]],1))</f>
        <v>44044</v>
      </c>
    </row>
    <row r="523" spans="2:18" ht="15.75" hidden="1" x14ac:dyDescent="0.25">
      <c r="B523" s="165">
        <v>44074</v>
      </c>
      <c r="C523" s="166" t="s">
        <v>664</v>
      </c>
      <c r="D523" s="166" t="s">
        <v>66</v>
      </c>
      <c r="E523" s="167"/>
      <c r="F523" s="114">
        <v>-72.89</v>
      </c>
      <c r="G523" s="168"/>
      <c r="H523" s="169"/>
      <c r="I523" s="170"/>
      <c r="J523" s="171" t="s">
        <v>747</v>
      </c>
      <c r="K523" s="172" t="s">
        <v>177</v>
      </c>
      <c r="L523" s="172" t="s">
        <v>175</v>
      </c>
      <c r="M523" s="173" t="str" cm="1">
        <f t="array" ref="M523">IFERROR(INDEX(CategoriesTable[Category type],MATCH(Table1[[#This Row],[Category]],CategoriesTable[Category name],0),0),"")</f>
        <v>Expense</v>
      </c>
      <c r="N523" s="173">
        <v>31</v>
      </c>
      <c r="O523" s="173">
        <f>MONTH(Table1[[#This Row],[Date]])</f>
        <v>8</v>
      </c>
      <c r="P523" s="173">
        <v>2020</v>
      </c>
      <c r="Q523" s="174">
        <f>IF(ISBLANK(Table1[[#This Row],[Date]]),"",Table1[[#This Row],[Date]]-WEEKDAY(Table1[[#This Row],[Date]],2)+1)</f>
        <v>44074</v>
      </c>
      <c r="R523" s="175">
        <f>IF(ISBLANK(Table1[[#This Row],[Date]]),"",DATE(Table1[[#This Row],[Date_Year]],Table1[[#This Row],[Date_Month]],1))</f>
        <v>44044</v>
      </c>
    </row>
    <row r="524" spans="2:18" ht="15.75" hidden="1" x14ac:dyDescent="0.25">
      <c r="B524" s="165">
        <v>44072</v>
      </c>
      <c r="C524" s="166" t="s">
        <v>193</v>
      </c>
      <c r="D524" s="166" t="s">
        <v>66</v>
      </c>
      <c r="E524" s="167"/>
      <c r="F524" s="114">
        <v>-15.46</v>
      </c>
      <c r="G524" s="168"/>
      <c r="H524" s="169"/>
      <c r="I524" s="170"/>
      <c r="J524" s="171" t="s">
        <v>748</v>
      </c>
      <c r="K524" s="172" t="s">
        <v>177</v>
      </c>
      <c r="L524" s="172" t="s">
        <v>175</v>
      </c>
      <c r="M524" s="173" t="str" cm="1">
        <f t="array" ref="M524">IFERROR(INDEX(CategoriesTable[Category type],MATCH(Table1[[#This Row],[Category]],CategoriesTable[Category name],0),0),"")</f>
        <v>Expense</v>
      </c>
      <c r="N524" s="173">
        <v>29</v>
      </c>
      <c r="O524" s="173">
        <f>MONTH(Table1[[#This Row],[Date]])</f>
        <v>8</v>
      </c>
      <c r="P524" s="173">
        <v>2020</v>
      </c>
      <c r="Q524" s="174">
        <f>IF(ISBLANK(Table1[[#This Row],[Date]]),"",Table1[[#This Row],[Date]]-WEEKDAY(Table1[[#This Row],[Date]],2)+1)</f>
        <v>44067</v>
      </c>
      <c r="R524" s="175">
        <f>IF(ISBLANK(Table1[[#This Row],[Date]]),"",DATE(Table1[[#This Row],[Date_Year]],Table1[[#This Row],[Date_Month]],1))</f>
        <v>44044</v>
      </c>
    </row>
    <row r="525" spans="2:18" ht="15.75" hidden="1" x14ac:dyDescent="0.25">
      <c r="B525" s="165">
        <v>44072</v>
      </c>
      <c r="C525" s="166" t="s">
        <v>193</v>
      </c>
      <c r="D525" s="166" t="s">
        <v>66</v>
      </c>
      <c r="E525" s="167"/>
      <c r="F525" s="114">
        <v>-49.15</v>
      </c>
      <c r="G525" s="168"/>
      <c r="H525" s="169"/>
      <c r="I525" s="170"/>
      <c r="J525" s="171" t="s">
        <v>749</v>
      </c>
      <c r="K525" s="172" t="s">
        <v>177</v>
      </c>
      <c r="L525" s="172" t="s">
        <v>175</v>
      </c>
      <c r="M525" s="173" t="str" cm="1">
        <f t="array" ref="M525">IFERROR(INDEX(CategoriesTable[Category type],MATCH(Table1[[#This Row],[Category]],CategoriesTable[Category name],0),0),"")</f>
        <v>Expense</v>
      </c>
      <c r="N525" s="173">
        <v>29</v>
      </c>
      <c r="O525" s="173">
        <f>MONTH(Table1[[#This Row],[Date]])</f>
        <v>8</v>
      </c>
      <c r="P525" s="173">
        <v>2020</v>
      </c>
      <c r="Q525" s="174">
        <f>IF(ISBLANK(Table1[[#This Row],[Date]]),"",Table1[[#This Row],[Date]]-WEEKDAY(Table1[[#This Row],[Date]],2)+1)</f>
        <v>44067</v>
      </c>
      <c r="R525" s="175">
        <f>IF(ISBLANK(Table1[[#This Row],[Date]]),"",DATE(Table1[[#This Row],[Date_Year]],Table1[[#This Row],[Date_Month]],1))</f>
        <v>44044</v>
      </c>
    </row>
    <row r="526" spans="2:18" ht="15.75" hidden="1" x14ac:dyDescent="0.25">
      <c r="B526" s="165">
        <v>44070</v>
      </c>
      <c r="C526" s="166" t="s">
        <v>715</v>
      </c>
      <c r="D526" s="166" t="s">
        <v>55</v>
      </c>
      <c r="E526" s="167"/>
      <c r="F526" s="114">
        <v>-344.72</v>
      </c>
      <c r="G526" s="168"/>
      <c r="H526" s="169"/>
      <c r="I526" s="170"/>
      <c r="J526" s="171" t="s">
        <v>319</v>
      </c>
      <c r="K526" s="172" t="s">
        <v>177</v>
      </c>
      <c r="L526" s="172" t="s">
        <v>175</v>
      </c>
      <c r="M526" s="173" t="str" cm="1">
        <f t="array" ref="M526">IFERROR(INDEX(CategoriesTable[Category type],MATCH(Table1[[#This Row],[Category]],CategoriesTable[Category name],0),0),"")</f>
        <v>Expense</v>
      </c>
      <c r="N526" s="173">
        <v>27</v>
      </c>
      <c r="O526" s="173">
        <f>MONTH(Table1[[#This Row],[Date]])</f>
        <v>8</v>
      </c>
      <c r="P526" s="173">
        <v>2020</v>
      </c>
      <c r="Q526" s="174">
        <f>IF(ISBLANK(Table1[[#This Row],[Date]]),"",Table1[[#This Row],[Date]]-WEEKDAY(Table1[[#This Row],[Date]],2)+1)</f>
        <v>44067</v>
      </c>
      <c r="R526" s="175">
        <f>IF(ISBLANK(Table1[[#This Row],[Date]]),"",DATE(Table1[[#This Row],[Date_Year]],Table1[[#This Row],[Date_Month]],1))</f>
        <v>44044</v>
      </c>
    </row>
    <row r="527" spans="2:18" ht="15.75" hidden="1" x14ac:dyDescent="0.25">
      <c r="B527" s="165">
        <v>44069</v>
      </c>
      <c r="C527" s="166" t="s">
        <v>750</v>
      </c>
      <c r="D527" s="166" t="s">
        <v>52</v>
      </c>
      <c r="E527" s="167"/>
      <c r="F527" s="114">
        <v>-203</v>
      </c>
      <c r="G527" s="168"/>
      <c r="H527" s="169"/>
      <c r="I527" s="170"/>
      <c r="J527" s="171" t="s">
        <v>751</v>
      </c>
      <c r="K527" s="172" t="s">
        <v>177</v>
      </c>
      <c r="L527" s="172" t="s">
        <v>175</v>
      </c>
      <c r="M527" s="173" t="str" cm="1">
        <f t="array" ref="M527">IFERROR(INDEX(CategoriesTable[Category type],MATCH(Table1[[#This Row],[Category]],CategoriesTable[Category name],0),0),"")</f>
        <v>Transfer</v>
      </c>
      <c r="N527" s="173">
        <v>26</v>
      </c>
      <c r="O527" s="173">
        <f>MONTH(Table1[[#This Row],[Date]])</f>
        <v>8</v>
      </c>
      <c r="P527" s="173">
        <v>2020</v>
      </c>
      <c r="Q527" s="174">
        <f>IF(ISBLANK(Table1[[#This Row],[Date]]),"",Table1[[#This Row],[Date]]-WEEKDAY(Table1[[#This Row],[Date]],2)+1)</f>
        <v>44067</v>
      </c>
      <c r="R527" s="175">
        <f>IF(ISBLANK(Table1[[#This Row],[Date]]),"",DATE(Table1[[#This Row],[Date_Year]],Table1[[#This Row],[Date_Month]],1))</f>
        <v>44044</v>
      </c>
    </row>
    <row r="528" spans="2:18" ht="15.75" hidden="1" x14ac:dyDescent="0.25">
      <c r="B528" s="165">
        <v>44069</v>
      </c>
      <c r="C528" s="166" t="s">
        <v>124</v>
      </c>
      <c r="D528" s="166" t="s">
        <v>55</v>
      </c>
      <c r="E528" s="167"/>
      <c r="F528" s="114">
        <v>-9.99</v>
      </c>
      <c r="G528" s="168"/>
      <c r="H528" s="169"/>
      <c r="I528" s="170"/>
      <c r="J528" s="171" t="s">
        <v>752</v>
      </c>
      <c r="K528" s="172" t="s">
        <v>177</v>
      </c>
      <c r="L528" s="172" t="s">
        <v>175</v>
      </c>
      <c r="M528" s="173" t="str" cm="1">
        <f t="array" ref="M528">IFERROR(INDEX(CategoriesTable[Category type],MATCH(Table1[[#This Row],[Category]],CategoriesTable[Category name],0),0),"")</f>
        <v>Expense</v>
      </c>
      <c r="N528" s="173">
        <v>26</v>
      </c>
      <c r="O528" s="173">
        <f>MONTH(Table1[[#This Row],[Date]])</f>
        <v>8</v>
      </c>
      <c r="P528" s="173">
        <v>2020</v>
      </c>
      <c r="Q528" s="174">
        <f>IF(ISBLANK(Table1[[#This Row],[Date]]),"",Table1[[#This Row],[Date]]-WEEKDAY(Table1[[#This Row],[Date]],2)+1)</f>
        <v>44067</v>
      </c>
      <c r="R528" s="175">
        <f>IF(ISBLANK(Table1[[#This Row],[Date]]),"",DATE(Table1[[#This Row],[Date_Year]],Table1[[#This Row],[Date_Month]],1))</f>
        <v>44044</v>
      </c>
    </row>
    <row r="529" spans="2:18" ht="15.75" hidden="1" x14ac:dyDescent="0.25">
      <c r="B529" s="165">
        <v>44067</v>
      </c>
      <c r="C529" s="166" t="s">
        <v>143</v>
      </c>
      <c r="D529" s="166" t="s">
        <v>65</v>
      </c>
      <c r="E529" s="167"/>
      <c r="F529" s="114">
        <v>-29.05</v>
      </c>
      <c r="G529" s="168"/>
      <c r="H529" s="169"/>
      <c r="I529" s="170"/>
      <c r="J529" s="171" t="s">
        <v>753</v>
      </c>
      <c r="K529" s="172" t="s">
        <v>177</v>
      </c>
      <c r="L529" s="172" t="s">
        <v>175</v>
      </c>
      <c r="M529" s="173" t="str" cm="1">
        <f t="array" ref="M529">IFERROR(INDEX(CategoriesTable[Category type],MATCH(Table1[[#This Row],[Category]],CategoriesTable[Category name],0),0),"")</f>
        <v>Expense</v>
      </c>
      <c r="N529" s="173">
        <v>24</v>
      </c>
      <c r="O529" s="173">
        <f>MONTH(Table1[[#This Row],[Date]])</f>
        <v>8</v>
      </c>
      <c r="P529" s="173">
        <v>2020</v>
      </c>
      <c r="Q529" s="174">
        <f>IF(ISBLANK(Table1[[#This Row],[Date]]),"",Table1[[#This Row],[Date]]-WEEKDAY(Table1[[#This Row],[Date]],2)+1)</f>
        <v>44067</v>
      </c>
      <c r="R529" s="175">
        <f>IF(ISBLANK(Table1[[#This Row],[Date]]),"",DATE(Table1[[#This Row],[Date_Year]],Table1[[#This Row],[Date_Month]],1))</f>
        <v>44044</v>
      </c>
    </row>
    <row r="530" spans="2:18" ht="15.75" hidden="1" x14ac:dyDescent="0.25">
      <c r="B530" s="165">
        <v>44067</v>
      </c>
      <c r="C530" s="166" t="s">
        <v>284</v>
      </c>
      <c r="D530" s="166" t="s">
        <v>52</v>
      </c>
      <c r="E530" s="167"/>
      <c r="F530" s="114">
        <v>-231</v>
      </c>
      <c r="G530" s="168"/>
      <c r="H530" s="169"/>
      <c r="I530" s="170"/>
      <c r="J530" s="171" t="s">
        <v>754</v>
      </c>
      <c r="K530" s="172" t="s">
        <v>177</v>
      </c>
      <c r="L530" s="172" t="s">
        <v>175</v>
      </c>
      <c r="M530" s="173" t="str" cm="1">
        <f t="array" ref="M530">IFERROR(INDEX(CategoriesTable[Category type],MATCH(Table1[[#This Row],[Category]],CategoriesTable[Category name],0),0),"")</f>
        <v>Transfer</v>
      </c>
      <c r="N530" s="173">
        <v>24</v>
      </c>
      <c r="O530" s="173">
        <f>MONTH(Table1[[#This Row],[Date]])</f>
        <v>8</v>
      </c>
      <c r="P530" s="173">
        <v>2020</v>
      </c>
      <c r="Q530" s="174">
        <f>IF(ISBLANK(Table1[[#This Row],[Date]]),"",Table1[[#This Row],[Date]]-WEEKDAY(Table1[[#This Row],[Date]],2)+1)</f>
        <v>44067</v>
      </c>
      <c r="R530" s="175">
        <f>IF(ISBLANK(Table1[[#This Row],[Date]]),"",DATE(Table1[[#This Row],[Date_Year]],Table1[[#This Row],[Date_Month]],1))</f>
        <v>44044</v>
      </c>
    </row>
    <row r="531" spans="2:18" ht="15.75" hidden="1" x14ac:dyDescent="0.25">
      <c r="B531" s="165">
        <v>44067</v>
      </c>
      <c r="C531" s="166" t="s">
        <v>208</v>
      </c>
      <c r="D531" s="166" t="s">
        <v>55</v>
      </c>
      <c r="E531" s="167"/>
      <c r="F531" s="114">
        <v>-40.28</v>
      </c>
      <c r="G531" s="168"/>
      <c r="H531" s="169"/>
      <c r="I531" s="170"/>
      <c r="J531" s="171" t="s">
        <v>755</v>
      </c>
      <c r="K531" s="172" t="s">
        <v>177</v>
      </c>
      <c r="L531" s="172" t="s">
        <v>175</v>
      </c>
      <c r="M531" s="173" t="str" cm="1">
        <f t="array" ref="M531">IFERROR(INDEX(CategoriesTable[Category type],MATCH(Table1[[#This Row],[Category]],CategoriesTable[Category name],0),0),"")</f>
        <v>Expense</v>
      </c>
      <c r="N531" s="173">
        <v>24</v>
      </c>
      <c r="O531" s="173">
        <f>MONTH(Table1[[#This Row],[Date]])</f>
        <v>8</v>
      </c>
      <c r="P531" s="173">
        <v>2020</v>
      </c>
      <c r="Q531" s="174">
        <f>IF(ISBLANK(Table1[[#This Row],[Date]]),"",Table1[[#This Row],[Date]]-WEEKDAY(Table1[[#This Row],[Date]],2)+1)</f>
        <v>44067</v>
      </c>
      <c r="R531" s="175">
        <f>IF(ISBLANK(Table1[[#This Row],[Date]]),"",DATE(Table1[[#This Row],[Date_Year]],Table1[[#This Row],[Date_Month]],1))</f>
        <v>44044</v>
      </c>
    </row>
    <row r="532" spans="2:18" ht="15.75" hidden="1" x14ac:dyDescent="0.25">
      <c r="B532" s="165">
        <v>44064</v>
      </c>
      <c r="C532" s="166" t="s">
        <v>199</v>
      </c>
      <c r="D532" s="166" t="s">
        <v>65</v>
      </c>
      <c r="E532" s="167"/>
      <c r="F532" s="114">
        <v>-35.770000000000003</v>
      </c>
      <c r="G532" s="168"/>
      <c r="H532" s="169"/>
      <c r="I532" s="170"/>
      <c r="J532" s="171" t="s">
        <v>756</v>
      </c>
      <c r="K532" s="172" t="s">
        <v>177</v>
      </c>
      <c r="L532" s="172" t="s">
        <v>175</v>
      </c>
      <c r="M532" s="173" t="str" cm="1">
        <f t="array" ref="M532">IFERROR(INDEX(CategoriesTable[Category type],MATCH(Table1[[#This Row],[Category]],CategoriesTable[Category name],0),0),"")</f>
        <v>Expense</v>
      </c>
      <c r="N532" s="173">
        <v>21</v>
      </c>
      <c r="O532" s="173">
        <f>MONTH(Table1[[#This Row],[Date]])</f>
        <v>8</v>
      </c>
      <c r="P532" s="173">
        <v>2020</v>
      </c>
      <c r="Q532" s="174">
        <f>IF(ISBLANK(Table1[[#This Row],[Date]]),"",Table1[[#This Row],[Date]]-WEEKDAY(Table1[[#This Row],[Date]],2)+1)</f>
        <v>44060</v>
      </c>
      <c r="R532" s="175">
        <f>IF(ISBLANK(Table1[[#This Row],[Date]]),"",DATE(Table1[[#This Row],[Date_Year]],Table1[[#This Row],[Date_Month]],1))</f>
        <v>44044</v>
      </c>
    </row>
    <row r="533" spans="2:18" ht="15.75" hidden="1" x14ac:dyDescent="0.25">
      <c r="B533" s="165">
        <v>44064</v>
      </c>
      <c r="C533" s="166" t="s">
        <v>486</v>
      </c>
      <c r="D533" s="166" t="s">
        <v>50</v>
      </c>
      <c r="E533" s="167"/>
      <c r="F533" s="114">
        <v>120</v>
      </c>
      <c r="G533" s="168"/>
      <c r="H533" s="169"/>
      <c r="I533" s="170"/>
      <c r="J533" s="171" t="s">
        <v>757</v>
      </c>
      <c r="K533" s="172" t="s">
        <v>177</v>
      </c>
      <c r="L533" s="172" t="s">
        <v>175</v>
      </c>
      <c r="M533" s="173" t="str" cm="1">
        <f t="array" ref="M533">IFERROR(INDEX(CategoriesTable[Category type],MATCH(Table1[[#This Row],[Category]],CategoriesTable[Category name],0),0),"")</f>
        <v>Income</v>
      </c>
      <c r="N533" s="173">
        <v>21</v>
      </c>
      <c r="O533" s="173">
        <f>MONTH(Table1[[#This Row],[Date]])</f>
        <v>8</v>
      </c>
      <c r="P533" s="173">
        <v>2020</v>
      </c>
      <c r="Q533" s="174">
        <f>IF(ISBLANK(Table1[[#This Row],[Date]]),"",Table1[[#This Row],[Date]]-WEEKDAY(Table1[[#This Row],[Date]],2)+1)</f>
        <v>44060</v>
      </c>
      <c r="R533" s="175">
        <f>IF(ISBLANK(Table1[[#This Row],[Date]]),"",DATE(Table1[[#This Row],[Date_Year]],Table1[[#This Row],[Date_Month]],1))</f>
        <v>44044</v>
      </c>
    </row>
    <row r="534" spans="2:18" ht="15.75" hidden="1" x14ac:dyDescent="0.25">
      <c r="B534" s="165">
        <v>44064</v>
      </c>
      <c r="C534" s="166" t="s">
        <v>193</v>
      </c>
      <c r="D534" s="166" t="s">
        <v>58</v>
      </c>
      <c r="E534" s="167"/>
      <c r="F534" s="114">
        <v>-156.6</v>
      </c>
      <c r="G534" s="168"/>
      <c r="H534" s="169"/>
      <c r="I534" s="170"/>
      <c r="J534" s="171" t="s">
        <v>758</v>
      </c>
      <c r="K534" s="172" t="s">
        <v>177</v>
      </c>
      <c r="L534" s="172" t="s">
        <v>175</v>
      </c>
      <c r="M534" s="173" t="str" cm="1">
        <f t="array" ref="M534">IFERROR(INDEX(CategoriesTable[Category type],MATCH(Table1[[#This Row],[Category]],CategoriesTable[Category name],0),0),"")</f>
        <v>Expense</v>
      </c>
      <c r="N534" s="173">
        <v>21</v>
      </c>
      <c r="O534" s="173">
        <f>MONTH(Table1[[#This Row],[Date]])</f>
        <v>8</v>
      </c>
      <c r="P534" s="173">
        <v>2020</v>
      </c>
      <c r="Q534" s="174">
        <f>IF(ISBLANK(Table1[[#This Row],[Date]]),"",Table1[[#This Row],[Date]]-WEEKDAY(Table1[[#This Row],[Date]],2)+1)</f>
        <v>44060</v>
      </c>
      <c r="R534" s="175">
        <f>IF(ISBLANK(Table1[[#This Row],[Date]]),"",DATE(Table1[[#This Row],[Date_Year]],Table1[[#This Row],[Date_Month]],1))</f>
        <v>44044</v>
      </c>
    </row>
    <row r="535" spans="2:18" ht="15.75" hidden="1" x14ac:dyDescent="0.25">
      <c r="B535" s="165">
        <v>44063</v>
      </c>
      <c r="C535" s="166" t="s">
        <v>189</v>
      </c>
      <c r="D535" s="166" t="s">
        <v>65</v>
      </c>
      <c r="E535" s="167"/>
      <c r="F535" s="114">
        <v>-26.97</v>
      </c>
      <c r="G535" s="168"/>
      <c r="H535" s="169"/>
      <c r="I535" s="170"/>
      <c r="J535" s="171" t="s">
        <v>759</v>
      </c>
      <c r="K535" s="172" t="s">
        <v>177</v>
      </c>
      <c r="L535" s="172" t="s">
        <v>175</v>
      </c>
      <c r="M535" s="173" t="str" cm="1">
        <f t="array" ref="M535">IFERROR(INDEX(CategoriesTable[Category type],MATCH(Table1[[#This Row],[Category]],CategoriesTable[Category name],0),0),"")</f>
        <v>Expense</v>
      </c>
      <c r="N535" s="173">
        <v>20</v>
      </c>
      <c r="O535" s="173">
        <f>MONTH(Table1[[#This Row],[Date]])</f>
        <v>8</v>
      </c>
      <c r="P535" s="173">
        <v>2020</v>
      </c>
      <c r="Q535" s="174">
        <f>IF(ISBLANK(Table1[[#This Row],[Date]]),"",Table1[[#This Row],[Date]]-WEEKDAY(Table1[[#This Row],[Date]],2)+1)</f>
        <v>44060</v>
      </c>
      <c r="R535" s="175">
        <f>IF(ISBLANK(Table1[[#This Row],[Date]]),"",DATE(Table1[[#This Row],[Date_Year]],Table1[[#This Row],[Date_Month]],1))</f>
        <v>44044</v>
      </c>
    </row>
    <row r="536" spans="2:18" ht="15.75" hidden="1" x14ac:dyDescent="0.25">
      <c r="B536" s="165">
        <v>44061</v>
      </c>
      <c r="C536" s="166" t="s">
        <v>572</v>
      </c>
      <c r="D536" s="166" t="s">
        <v>63</v>
      </c>
      <c r="E536" s="167"/>
      <c r="F536" s="114">
        <v>-3.5</v>
      </c>
      <c r="G536" s="168"/>
      <c r="H536" s="169"/>
      <c r="I536" s="170"/>
      <c r="J536" s="171" t="s">
        <v>760</v>
      </c>
      <c r="K536" s="172" t="s">
        <v>177</v>
      </c>
      <c r="L536" s="172" t="s">
        <v>175</v>
      </c>
      <c r="M536" s="173" t="str" cm="1">
        <f t="array" ref="M536">IFERROR(INDEX(CategoriesTable[Category type],MATCH(Table1[[#This Row],[Category]],CategoriesTable[Category name],0),0),"")</f>
        <v>Expense</v>
      </c>
      <c r="N536" s="173">
        <v>18</v>
      </c>
      <c r="O536" s="173">
        <f>MONTH(Table1[[#This Row],[Date]])</f>
        <v>8</v>
      </c>
      <c r="P536" s="173">
        <v>2020</v>
      </c>
      <c r="Q536" s="174">
        <f>IF(ISBLANK(Table1[[#This Row],[Date]]),"",Table1[[#This Row],[Date]]-WEEKDAY(Table1[[#This Row],[Date]],2)+1)</f>
        <v>44060</v>
      </c>
      <c r="R536" s="175">
        <f>IF(ISBLANK(Table1[[#This Row],[Date]]),"",DATE(Table1[[#This Row],[Date_Year]],Table1[[#This Row],[Date_Month]],1))</f>
        <v>44044</v>
      </c>
    </row>
    <row r="537" spans="2:18" ht="15.75" hidden="1" x14ac:dyDescent="0.25">
      <c r="B537" s="165">
        <v>44061</v>
      </c>
      <c r="C537" s="166" t="s">
        <v>574</v>
      </c>
      <c r="D537" s="166" t="s">
        <v>55</v>
      </c>
      <c r="E537" s="167"/>
      <c r="F537" s="114">
        <v>-291.42</v>
      </c>
      <c r="G537" s="168"/>
      <c r="H537" s="169"/>
      <c r="I537" s="170"/>
      <c r="J537" s="171" t="s">
        <v>761</v>
      </c>
      <c r="K537" s="172" t="s">
        <v>177</v>
      </c>
      <c r="L537" s="172" t="s">
        <v>175</v>
      </c>
      <c r="M537" s="173" t="str" cm="1">
        <f t="array" ref="M537">IFERROR(INDEX(CategoriesTable[Category type],MATCH(Table1[[#This Row],[Category]],CategoriesTable[Category name],0),0),"")</f>
        <v>Expense</v>
      </c>
      <c r="N537" s="173">
        <v>18</v>
      </c>
      <c r="O537" s="173">
        <f>MONTH(Table1[[#This Row],[Date]])</f>
        <v>8</v>
      </c>
      <c r="P537" s="173">
        <v>2020</v>
      </c>
      <c r="Q537" s="174">
        <f>IF(ISBLANK(Table1[[#This Row],[Date]]),"",Table1[[#This Row],[Date]]-WEEKDAY(Table1[[#This Row],[Date]],2)+1)</f>
        <v>44060</v>
      </c>
      <c r="R537" s="175">
        <f>IF(ISBLANK(Table1[[#This Row],[Date]]),"",DATE(Table1[[#This Row],[Date_Year]],Table1[[#This Row],[Date_Month]],1))</f>
        <v>44044</v>
      </c>
    </row>
    <row r="538" spans="2:18" ht="15.75" hidden="1" x14ac:dyDescent="0.25">
      <c r="B538" s="165">
        <v>44061</v>
      </c>
      <c r="C538" s="166" t="s">
        <v>313</v>
      </c>
      <c r="D538" s="166" t="s">
        <v>66</v>
      </c>
      <c r="E538" s="167"/>
      <c r="F538" s="114">
        <v>-100</v>
      </c>
      <c r="G538" s="168"/>
      <c r="H538" s="169"/>
      <c r="I538" s="170"/>
      <c r="J538" s="176" t="s">
        <v>762</v>
      </c>
      <c r="K538" s="172" t="s">
        <v>177</v>
      </c>
      <c r="L538" s="172" t="s">
        <v>175</v>
      </c>
      <c r="M538" s="173" t="str" cm="1">
        <f t="array" ref="M538">IFERROR(INDEX(CategoriesTable[Category type],MATCH(Table1[[#This Row],[Category]],CategoriesTable[Category name],0),0),"")</f>
        <v>Expense</v>
      </c>
      <c r="N538" s="173">
        <v>18</v>
      </c>
      <c r="O538" s="173">
        <f>MONTH(Table1[[#This Row],[Date]])</f>
        <v>8</v>
      </c>
      <c r="P538" s="173">
        <v>2020</v>
      </c>
      <c r="Q538" s="174">
        <f>IF(ISBLANK(Table1[[#This Row],[Date]]),"",Table1[[#This Row],[Date]]-WEEKDAY(Table1[[#This Row],[Date]],2)+1)</f>
        <v>44060</v>
      </c>
      <c r="R538" s="175">
        <f>IF(ISBLANK(Table1[[#This Row],[Date]]),"",DATE(Table1[[#This Row],[Date_Year]],Table1[[#This Row],[Date_Month]],1))</f>
        <v>44044</v>
      </c>
    </row>
    <row r="539" spans="2:18" ht="15.75" hidden="1" x14ac:dyDescent="0.25">
      <c r="B539" s="165">
        <v>44061</v>
      </c>
      <c r="C539" s="166" t="s">
        <v>129</v>
      </c>
      <c r="D539" s="166" t="s">
        <v>55</v>
      </c>
      <c r="E539" s="167"/>
      <c r="F539" s="114">
        <v>-75.98</v>
      </c>
      <c r="G539" s="168"/>
      <c r="H539" s="169"/>
      <c r="I539" s="170"/>
      <c r="J539" s="171" t="s">
        <v>763</v>
      </c>
      <c r="K539" s="172" t="s">
        <v>177</v>
      </c>
      <c r="L539" s="172" t="s">
        <v>175</v>
      </c>
      <c r="M539" s="173" t="str" cm="1">
        <f t="array" ref="M539">IFERROR(INDEX(CategoriesTable[Category type],MATCH(Table1[[#This Row],[Category]],CategoriesTable[Category name],0),0),"")</f>
        <v>Expense</v>
      </c>
      <c r="N539" s="173">
        <v>18</v>
      </c>
      <c r="O539" s="173">
        <f>MONTH(Table1[[#This Row],[Date]])</f>
        <v>8</v>
      </c>
      <c r="P539" s="173">
        <v>2020</v>
      </c>
      <c r="Q539" s="174">
        <f>IF(ISBLANK(Table1[[#This Row],[Date]]),"",Table1[[#This Row],[Date]]-WEEKDAY(Table1[[#This Row],[Date]],2)+1)</f>
        <v>44060</v>
      </c>
      <c r="R539" s="175">
        <f>IF(ISBLANK(Table1[[#This Row],[Date]]),"",DATE(Table1[[#This Row],[Date_Year]],Table1[[#This Row],[Date_Month]],1))</f>
        <v>44044</v>
      </c>
    </row>
    <row r="540" spans="2:18" ht="15.75" hidden="1" x14ac:dyDescent="0.25">
      <c r="B540" s="165">
        <v>44060</v>
      </c>
      <c r="C540" s="166" t="s">
        <v>249</v>
      </c>
      <c r="D540" s="166" t="s">
        <v>52</v>
      </c>
      <c r="E540" s="167"/>
      <c r="F540" s="114">
        <v>-70</v>
      </c>
      <c r="G540" s="168"/>
      <c r="H540" s="169"/>
      <c r="I540" s="170"/>
      <c r="J540" s="171" t="s">
        <v>764</v>
      </c>
      <c r="K540" s="172" t="s">
        <v>177</v>
      </c>
      <c r="L540" s="172" t="s">
        <v>175</v>
      </c>
      <c r="M540" s="173" t="str" cm="1">
        <f t="array" ref="M540">IFERROR(INDEX(CategoriesTable[Category type],MATCH(Table1[[#This Row],[Category]],CategoriesTable[Category name],0),0),"")</f>
        <v>Transfer</v>
      </c>
      <c r="N540" s="173">
        <v>17</v>
      </c>
      <c r="O540" s="173">
        <f>MONTH(Table1[[#This Row],[Date]])</f>
        <v>8</v>
      </c>
      <c r="P540" s="173">
        <v>2020</v>
      </c>
      <c r="Q540" s="174">
        <f>IF(ISBLANK(Table1[[#This Row],[Date]]),"",Table1[[#This Row],[Date]]-WEEKDAY(Table1[[#This Row],[Date]],2)+1)</f>
        <v>44060</v>
      </c>
      <c r="R540" s="175">
        <f>IF(ISBLANK(Table1[[#This Row],[Date]]),"",DATE(Table1[[#This Row],[Date_Year]],Table1[[#This Row],[Date_Month]],1))</f>
        <v>44044</v>
      </c>
    </row>
    <row r="541" spans="2:18" ht="15.75" hidden="1" x14ac:dyDescent="0.25">
      <c r="B541" s="165">
        <v>44060</v>
      </c>
      <c r="C541" s="166" t="s">
        <v>606</v>
      </c>
      <c r="D541" s="166" t="s">
        <v>55</v>
      </c>
      <c r="E541" s="167"/>
      <c r="F541" s="114">
        <v>-79.849999999999994</v>
      </c>
      <c r="G541" s="168"/>
      <c r="H541" s="169"/>
      <c r="I541" s="170"/>
      <c r="J541" s="171" t="s">
        <v>765</v>
      </c>
      <c r="K541" s="172" t="s">
        <v>177</v>
      </c>
      <c r="L541" s="172" t="s">
        <v>175</v>
      </c>
      <c r="M541" s="173" t="str" cm="1">
        <f t="array" ref="M541">IFERROR(INDEX(CategoriesTable[Category type],MATCH(Table1[[#This Row],[Category]],CategoriesTable[Category name],0),0),"")</f>
        <v>Expense</v>
      </c>
      <c r="N541" s="173">
        <v>17</v>
      </c>
      <c r="O541" s="173">
        <f>MONTH(Table1[[#This Row],[Date]])</f>
        <v>8</v>
      </c>
      <c r="P541" s="173">
        <v>2020</v>
      </c>
      <c r="Q541" s="174">
        <f>IF(ISBLANK(Table1[[#This Row],[Date]]),"",Table1[[#This Row],[Date]]-WEEKDAY(Table1[[#This Row],[Date]],2)+1)</f>
        <v>44060</v>
      </c>
      <c r="R541" s="175">
        <f>IF(ISBLANK(Table1[[#This Row],[Date]]),"",DATE(Table1[[#This Row],[Date_Year]],Table1[[#This Row],[Date_Month]],1))</f>
        <v>44044</v>
      </c>
    </row>
    <row r="542" spans="2:18" ht="15.75" hidden="1" x14ac:dyDescent="0.25">
      <c r="B542" s="165">
        <v>44060</v>
      </c>
      <c r="C542" s="166" t="s">
        <v>664</v>
      </c>
      <c r="D542" s="166" t="s">
        <v>66</v>
      </c>
      <c r="E542" s="167"/>
      <c r="F542" s="114">
        <v>-46.95</v>
      </c>
      <c r="G542" s="168"/>
      <c r="H542" s="169"/>
      <c r="I542" s="170"/>
      <c r="J542" s="171" t="s">
        <v>766</v>
      </c>
      <c r="K542" s="172" t="s">
        <v>177</v>
      </c>
      <c r="L542" s="172" t="s">
        <v>175</v>
      </c>
      <c r="M542" s="173" t="str" cm="1">
        <f t="array" ref="M542">IFERROR(INDEX(CategoriesTable[Category type],MATCH(Table1[[#This Row],[Category]],CategoriesTable[Category name],0),0),"")</f>
        <v>Expense</v>
      </c>
      <c r="N542" s="173">
        <v>17</v>
      </c>
      <c r="O542" s="173">
        <f>MONTH(Table1[[#This Row],[Date]])</f>
        <v>8</v>
      </c>
      <c r="P542" s="173">
        <v>2020</v>
      </c>
      <c r="Q542" s="174">
        <f>IF(ISBLANK(Table1[[#This Row],[Date]]),"",Table1[[#This Row],[Date]]-WEEKDAY(Table1[[#This Row],[Date]],2)+1)</f>
        <v>44060</v>
      </c>
      <c r="R542" s="175">
        <f>IF(ISBLANK(Table1[[#This Row],[Date]]),"",DATE(Table1[[#This Row],[Date_Year]],Table1[[#This Row],[Date_Month]],1))</f>
        <v>44044</v>
      </c>
    </row>
    <row r="543" spans="2:18" ht="15.75" hidden="1" x14ac:dyDescent="0.25">
      <c r="B543" s="165">
        <v>44060</v>
      </c>
      <c r="C543" s="166" t="s">
        <v>182</v>
      </c>
      <c r="D543" s="166" t="s">
        <v>55</v>
      </c>
      <c r="E543" s="167"/>
      <c r="F543" s="114">
        <v>-10.9</v>
      </c>
      <c r="G543" s="168"/>
      <c r="H543" s="169"/>
      <c r="I543" s="170"/>
      <c r="J543" s="171" t="s">
        <v>767</v>
      </c>
      <c r="K543" s="172" t="s">
        <v>177</v>
      </c>
      <c r="L543" s="172" t="s">
        <v>175</v>
      </c>
      <c r="M543" s="173" t="str" cm="1">
        <f t="array" ref="M543">IFERROR(INDEX(CategoriesTable[Category type],MATCH(Table1[[#This Row],[Category]],CategoriesTable[Category name],0),0),"")</f>
        <v>Expense</v>
      </c>
      <c r="N543" s="173">
        <v>17</v>
      </c>
      <c r="O543" s="173">
        <f>MONTH(Table1[[#This Row],[Date]])</f>
        <v>8</v>
      </c>
      <c r="P543" s="173">
        <v>2020</v>
      </c>
      <c r="Q543" s="174">
        <f>IF(ISBLANK(Table1[[#This Row],[Date]]),"",Table1[[#This Row],[Date]]-WEEKDAY(Table1[[#This Row],[Date]],2)+1)</f>
        <v>44060</v>
      </c>
      <c r="R543" s="175">
        <f>IF(ISBLANK(Table1[[#This Row],[Date]]),"",DATE(Table1[[#This Row],[Date_Year]],Table1[[#This Row],[Date_Month]],1))</f>
        <v>44044</v>
      </c>
    </row>
    <row r="544" spans="2:18" ht="15.75" hidden="1" x14ac:dyDescent="0.25">
      <c r="B544" s="165">
        <v>44059</v>
      </c>
      <c r="C544" s="166" t="s">
        <v>199</v>
      </c>
      <c r="D544" s="166" t="s">
        <v>65</v>
      </c>
      <c r="E544" s="167"/>
      <c r="F544" s="114">
        <v>-31.99</v>
      </c>
      <c r="G544" s="168"/>
      <c r="H544" s="169"/>
      <c r="I544" s="170"/>
      <c r="J544" s="171" t="s">
        <v>768</v>
      </c>
      <c r="K544" s="172" t="s">
        <v>177</v>
      </c>
      <c r="L544" s="172" t="s">
        <v>175</v>
      </c>
      <c r="M544" s="173" t="str" cm="1">
        <f t="array" ref="M544">IFERROR(INDEX(CategoriesTable[Category type],MATCH(Table1[[#This Row],[Category]],CategoriesTable[Category name],0),0),"")</f>
        <v>Expense</v>
      </c>
      <c r="N544" s="173">
        <v>16</v>
      </c>
      <c r="O544" s="173">
        <f>MONTH(Table1[[#This Row],[Date]])</f>
        <v>8</v>
      </c>
      <c r="P544" s="173">
        <v>2020</v>
      </c>
      <c r="Q544" s="174">
        <f>IF(ISBLANK(Table1[[#This Row],[Date]]),"",Table1[[#This Row],[Date]]-WEEKDAY(Table1[[#This Row],[Date]],2)+1)</f>
        <v>44053</v>
      </c>
      <c r="R544" s="175">
        <f>IF(ISBLANK(Table1[[#This Row],[Date]]),"",DATE(Table1[[#This Row],[Date_Year]],Table1[[#This Row],[Date_Month]],1))</f>
        <v>44044</v>
      </c>
    </row>
    <row r="545" spans="2:18" ht="15.75" hidden="1" x14ac:dyDescent="0.25">
      <c r="B545" s="165">
        <v>44057</v>
      </c>
      <c r="C545" s="166" t="s">
        <v>769</v>
      </c>
      <c r="D545" s="166" t="s">
        <v>65</v>
      </c>
      <c r="E545" s="167"/>
      <c r="F545" s="114">
        <v>-54.96</v>
      </c>
      <c r="G545" s="168"/>
      <c r="H545" s="169"/>
      <c r="I545" s="170"/>
      <c r="J545" s="171" t="s">
        <v>770</v>
      </c>
      <c r="K545" s="172" t="s">
        <v>177</v>
      </c>
      <c r="L545" s="172" t="s">
        <v>175</v>
      </c>
      <c r="M545" s="173" t="str" cm="1">
        <f t="array" ref="M545">IFERROR(INDEX(CategoriesTable[Category type],MATCH(Table1[[#This Row],[Category]],CategoriesTable[Category name],0),0),"")</f>
        <v>Expense</v>
      </c>
      <c r="N545" s="173">
        <v>14</v>
      </c>
      <c r="O545" s="173">
        <f>MONTH(Table1[[#This Row],[Date]])</f>
        <v>8</v>
      </c>
      <c r="P545" s="173">
        <v>2020</v>
      </c>
      <c r="Q545" s="174">
        <f>IF(ISBLANK(Table1[[#This Row],[Date]]),"",Table1[[#This Row],[Date]]-WEEKDAY(Table1[[#This Row],[Date]],2)+1)</f>
        <v>44053</v>
      </c>
      <c r="R545" s="175">
        <f>IF(ISBLANK(Table1[[#This Row],[Date]]),"",DATE(Table1[[#This Row],[Date_Year]],Table1[[#This Row],[Date_Month]],1))</f>
        <v>44044</v>
      </c>
    </row>
    <row r="546" spans="2:18" ht="15.75" hidden="1" x14ac:dyDescent="0.25">
      <c r="B546" s="165">
        <v>44055</v>
      </c>
      <c r="C546" s="166" t="s">
        <v>771</v>
      </c>
      <c r="D546" s="166" t="s">
        <v>65</v>
      </c>
      <c r="E546" s="167"/>
      <c r="F546" s="114">
        <v>-32.4</v>
      </c>
      <c r="G546" s="168"/>
      <c r="H546" s="169"/>
      <c r="I546" s="170"/>
      <c r="J546" s="171" t="s">
        <v>772</v>
      </c>
      <c r="K546" s="172" t="s">
        <v>177</v>
      </c>
      <c r="L546" s="172" t="s">
        <v>175</v>
      </c>
      <c r="M546" s="173" t="str" cm="1">
        <f t="array" ref="M546">IFERROR(INDEX(CategoriesTable[Category type],MATCH(Table1[[#This Row],[Category]],CategoriesTable[Category name],0),0),"")</f>
        <v>Expense</v>
      </c>
      <c r="N546" s="173">
        <v>12</v>
      </c>
      <c r="O546" s="173">
        <f>MONTH(Table1[[#This Row],[Date]])</f>
        <v>8</v>
      </c>
      <c r="P546" s="173">
        <v>2020</v>
      </c>
      <c r="Q546" s="174">
        <f>IF(ISBLANK(Table1[[#This Row],[Date]]),"",Table1[[#This Row],[Date]]-WEEKDAY(Table1[[#This Row],[Date]],2)+1)</f>
        <v>44053</v>
      </c>
      <c r="R546" s="175">
        <f>IF(ISBLANK(Table1[[#This Row],[Date]]),"",DATE(Table1[[#This Row],[Date_Year]],Table1[[#This Row],[Date_Month]],1))</f>
        <v>44044</v>
      </c>
    </row>
    <row r="547" spans="2:18" ht="15.75" hidden="1" x14ac:dyDescent="0.25">
      <c r="B547" s="165">
        <v>44055</v>
      </c>
      <c r="C547" s="166" t="s">
        <v>120</v>
      </c>
      <c r="D547" s="166" t="s">
        <v>66</v>
      </c>
      <c r="E547" s="167"/>
      <c r="F547" s="114">
        <v>-53.07</v>
      </c>
      <c r="G547" s="168"/>
      <c r="H547" s="169"/>
      <c r="I547" s="170"/>
      <c r="J547" s="171" t="s">
        <v>773</v>
      </c>
      <c r="K547" s="172" t="s">
        <v>177</v>
      </c>
      <c r="L547" s="172" t="s">
        <v>175</v>
      </c>
      <c r="M547" s="173" t="str" cm="1">
        <f t="array" ref="M547">IFERROR(INDEX(CategoriesTable[Category type],MATCH(Table1[[#This Row],[Category]],CategoriesTable[Category name],0),0),"")</f>
        <v>Expense</v>
      </c>
      <c r="N547" s="173">
        <v>12</v>
      </c>
      <c r="O547" s="173">
        <f>MONTH(Table1[[#This Row],[Date]])</f>
        <v>8</v>
      </c>
      <c r="P547" s="173">
        <v>2020</v>
      </c>
      <c r="Q547" s="174">
        <f>IF(ISBLANK(Table1[[#This Row],[Date]]),"",Table1[[#This Row],[Date]]-WEEKDAY(Table1[[#This Row],[Date]],2)+1)</f>
        <v>44053</v>
      </c>
      <c r="R547" s="175">
        <f>IF(ISBLANK(Table1[[#This Row],[Date]]),"",DATE(Table1[[#This Row],[Date_Year]],Table1[[#This Row],[Date_Month]],1))</f>
        <v>44044</v>
      </c>
    </row>
    <row r="548" spans="2:18" ht="15.75" hidden="1" x14ac:dyDescent="0.25">
      <c r="B548" s="165">
        <v>44054</v>
      </c>
      <c r="C548" s="166" t="s">
        <v>120</v>
      </c>
      <c r="D548" s="166" t="s">
        <v>66</v>
      </c>
      <c r="E548" s="167"/>
      <c r="F548" s="114">
        <v>-241.14</v>
      </c>
      <c r="G548" s="168"/>
      <c r="H548" s="169"/>
      <c r="I548" s="170"/>
      <c r="J548" s="171" t="s">
        <v>774</v>
      </c>
      <c r="K548" s="172" t="s">
        <v>177</v>
      </c>
      <c r="L548" s="172" t="s">
        <v>175</v>
      </c>
      <c r="M548" s="173" t="str" cm="1">
        <f t="array" ref="M548">IFERROR(INDEX(CategoriesTable[Category type],MATCH(Table1[[#This Row],[Category]],CategoriesTable[Category name],0),0),"")</f>
        <v>Expense</v>
      </c>
      <c r="N548" s="173">
        <v>11</v>
      </c>
      <c r="O548" s="173">
        <f>MONTH(Table1[[#This Row],[Date]])</f>
        <v>8</v>
      </c>
      <c r="P548" s="173">
        <v>2020</v>
      </c>
      <c r="Q548" s="174">
        <f>IF(ISBLANK(Table1[[#This Row],[Date]]),"",Table1[[#This Row],[Date]]-WEEKDAY(Table1[[#This Row],[Date]],2)+1)</f>
        <v>44053</v>
      </c>
      <c r="R548" s="175">
        <f>IF(ISBLANK(Table1[[#This Row],[Date]]),"",DATE(Table1[[#This Row],[Date_Year]],Table1[[#This Row],[Date_Month]],1))</f>
        <v>44044</v>
      </c>
    </row>
    <row r="549" spans="2:18" ht="15.75" hidden="1" x14ac:dyDescent="0.25">
      <c r="B549" s="165">
        <v>44051</v>
      </c>
      <c r="C549" s="166" t="s">
        <v>1564</v>
      </c>
      <c r="D549" s="166" t="s">
        <v>56</v>
      </c>
      <c r="E549" s="167"/>
      <c r="F549" s="114">
        <v>-9.99</v>
      </c>
      <c r="G549" s="168"/>
      <c r="H549" s="169"/>
      <c r="I549" s="170"/>
      <c r="J549" s="171" t="s">
        <v>775</v>
      </c>
      <c r="K549" s="172" t="s">
        <v>177</v>
      </c>
      <c r="L549" s="172" t="s">
        <v>175</v>
      </c>
      <c r="M549" s="173" t="str" cm="1">
        <f t="array" ref="M549">IFERROR(INDEX(CategoriesTable[Category type],MATCH(Table1[[#This Row],[Category]],CategoriesTable[Category name],0),0),"")</f>
        <v>Expense</v>
      </c>
      <c r="N549" s="173">
        <v>8</v>
      </c>
      <c r="O549" s="173">
        <f>MONTH(Table1[[#This Row],[Date]])</f>
        <v>8</v>
      </c>
      <c r="P549" s="173">
        <v>2020</v>
      </c>
      <c r="Q549" s="174">
        <f>IF(ISBLANK(Table1[[#This Row],[Date]]),"",Table1[[#This Row],[Date]]-WEEKDAY(Table1[[#This Row],[Date]],2)+1)</f>
        <v>44046</v>
      </c>
      <c r="R549" s="175">
        <f>IF(ISBLANK(Table1[[#This Row],[Date]]),"",DATE(Table1[[#This Row],[Date_Year]],Table1[[#This Row],[Date_Month]],1))</f>
        <v>44044</v>
      </c>
    </row>
    <row r="550" spans="2:18" ht="15.75" hidden="1" x14ac:dyDescent="0.25">
      <c r="B550" s="165">
        <v>44049</v>
      </c>
      <c r="C550" s="166" t="s">
        <v>738</v>
      </c>
      <c r="D550" s="166" t="s">
        <v>55</v>
      </c>
      <c r="E550" s="167"/>
      <c r="F550" s="114">
        <v>-173.83</v>
      </c>
      <c r="G550" s="168"/>
      <c r="H550" s="169"/>
      <c r="I550" s="170"/>
      <c r="J550" s="171" t="s">
        <v>776</v>
      </c>
      <c r="K550" s="172" t="s">
        <v>177</v>
      </c>
      <c r="L550" s="172" t="s">
        <v>175</v>
      </c>
      <c r="M550" s="173" t="str" cm="1">
        <f t="array" ref="M550">IFERROR(INDEX(CategoriesTable[Category type],MATCH(Table1[[#This Row],[Category]],CategoriesTable[Category name],0),0),"")</f>
        <v>Expense</v>
      </c>
      <c r="N550" s="173">
        <v>6</v>
      </c>
      <c r="O550" s="173">
        <f>MONTH(Table1[[#This Row],[Date]])</f>
        <v>8</v>
      </c>
      <c r="P550" s="173">
        <v>2020</v>
      </c>
      <c r="Q550" s="174">
        <f>IF(ISBLANK(Table1[[#This Row],[Date]]),"",Table1[[#This Row],[Date]]-WEEKDAY(Table1[[#This Row],[Date]],2)+1)</f>
        <v>44046</v>
      </c>
      <c r="R550" s="175">
        <f>IF(ISBLANK(Table1[[#This Row],[Date]]),"",DATE(Table1[[#This Row],[Date_Year]],Table1[[#This Row],[Date_Month]],1))</f>
        <v>44044</v>
      </c>
    </row>
    <row r="551" spans="2:18" ht="15.75" hidden="1" x14ac:dyDescent="0.25">
      <c r="B551" s="165">
        <v>44049</v>
      </c>
      <c r="C551" s="166" t="s">
        <v>199</v>
      </c>
      <c r="D551" s="166" t="s">
        <v>65</v>
      </c>
      <c r="E551" s="167"/>
      <c r="F551" s="114">
        <v>-18.61</v>
      </c>
      <c r="G551" s="168"/>
      <c r="H551" s="169"/>
      <c r="I551" s="170"/>
      <c r="J551" s="171" t="s">
        <v>777</v>
      </c>
      <c r="K551" s="172" t="s">
        <v>177</v>
      </c>
      <c r="L551" s="172" t="s">
        <v>175</v>
      </c>
      <c r="M551" s="173" t="str" cm="1">
        <f t="array" ref="M551">IFERROR(INDEX(CategoriesTable[Category type],MATCH(Table1[[#This Row],[Category]],CategoriesTable[Category name],0),0),"")</f>
        <v>Expense</v>
      </c>
      <c r="N551" s="173">
        <v>6</v>
      </c>
      <c r="O551" s="173">
        <f>MONTH(Table1[[#This Row],[Date]])</f>
        <v>8</v>
      </c>
      <c r="P551" s="173">
        <v>2020</v>
      </c>
      <c r="Q551" s="174">
        <f>IF(ISBLANK(Table1[[#This Row],[Date]]),"",Table1[[#This Row],[Date]]-WEEKDAY(Table1[[#This Row],[Date]],2)+1)</f>
        <v>44046</v>
      </c>
      <c r="R551" s="175">
        <f>IF(ISBLANK(Table1[[#This Row],[Date]]),"",DATE(Table1[[#This Row],[Date_Year]],Table1[[#This Row],[Date_Month]],1))</f>
        <v>44044</v>
      </c>
    </row>
    <row r="552" spans="2:18" ht="15.75" hidden="1" x14ac:dyDescent="0.25">
      <c r="B552" s="165">
        <v>44048</v>
      </c>
      <c r="C552" s="166" t="s">
        <v>199</v>
      </c>
      <c r="D552" s="166" t="s">
        <v>65</v>
      </c>
      <c r="E552" s="167"/>
      <c r="F552" s="114">
        <v>-39.08</v>
      </c>
      <c r="G552" s="168"/>
      <c r="H552" s="169"/>
      <c r="I552" s="170"/>
      <c r="J552" s="171" t="s">
        <v>778</v>
      </c>
      <c r="K552" s="172" t="s">
        <v>177</v>
      </c>
      <c r="L552" s="172" t="s">
        <v>175</v>
      </c>
      <c r="M552" s="173" t="str" cm="1">
        <f t="array" ref="M552">IFERROR(INDEX(CategoriesTable[Category type],MATCH(Table1[[#This Row],[Category]],CategoriesTable[Category name],0),0),"")</f>
        <v>Expense</v>
      </c>
      <c r="N552" s="173">
        <v>5</v>
      </c>
      <c r="O552" s="173">
        <f>MONTH(Table1[[#This Row],[Date]])</f>
        <v>8</v>
      </c>
      <c r="P552" s="173">
        <v>2020</v>
      </c>
      <c r="Q552" s="174">
        <f>IF(ISBLANK(Table1[[#This Row],[Date]]),"",Table1[[#This Row],[Date]]-WEEKDAY(Table1[[#This Row],[Date]],2)+1)</f>
        <v>44046</v>
      </c>
      <c r="R552" s="175">
        <f>IF(ISBLANK(Table1[[#This Row],[Date]]),"",DATE(Table1[[#This Row],[Date_Year]],Table1[[#This Row],[Date_Month]],1))</f>
        <v>44044</v>
      </c>
    </row>
    <row r="553" spans="2:18" ht="15.75" hidden="1" x14ac:dyDescent="0.25">
      <c r="B553" s="165">
        <v>44048</v>
      </c>
      <c r="C553" s="166" t="s">
        <v>184</v>
      </c>
      <c r="D553" s="166" t="s">
        <v>56</v>
      </c>
      <c r="E553" s="167"/>
      <c r="F553" s="114">
        <v>-9.99</v>
      </c>
      <c r="G553" s="168"/>
      <c r="H553" s="169"/>
      <c r="I553" s="170"/>
      <c r="J553" s="171" t="s">
        <v>779</v>
      </c>
      <c r="K553" s="172" t="s">
        <v>177</v>
      </c>
      <c r="L553" s="172" t="s">
        <v>175</v>
      </c>
      <c r="M553" s="173" t="str" cm="1">
        <f t="array" ref="M553">IFERROR(INDEX(CategoriesTable[Category type],MATCH(Table1[[#This Row],[Category]],CategoriesTable[Category name],0),0),"")</f>
        <v>Expense</v>
      </c>
      <c r="N553" s="173">
        <v>5</v>
      </c>
      <c r="O553" s="173">
        <f>MONTH(Table1[[#This Row],[Date]])</f>
        <v>8</v>
      </c>
      <c r="P553" s="173">
        <v>2020</v>
      </c>
      <c r="Q553" s="174">
        <f>IF(ISBLANK(Table1[[#This Row],[Date]]),"",Table1[[#This Row],[Date]]-WEEKDAY(Table1[[#This Row],[Date]],2)+1)</f>
        <v>44046</v>
      </c>
      <c r="R553" s="175">
        <f>IF(ISBLANK(Table1[[#This Row],[Date]]),"",DATE(Table1[[#This Row],[Date_Year]],Table1[[#This Row],[Date_Month]],1))</f>
        <v>44044</v>
      </c>
    </row>
    <row r="554" spans="2:18" ht="15.75" hidden="1" x14ac:dyDescent="0.25">
      <c r="B554" s="165">
        <v>44048</v>
      </c>
      <c r="C554" s="166" t="s">
        <v>184</v>
      </c>
      <c r="D554" s="166" t="s">
        <v>56</v>
      </c>
      <c r="E554" s="167"/>
      <c r="F554" s="114">
        <v>-19.989999999999998</v>
      </c>
      <c r="G554" s="168"/>
      <c r="H554" s="169"/>
      <c r="I554" s="170"/>
      <c r="J554" s="171" t="s">
        <v>780</v>
      </c>
      <c r="K554" s="172" t="s">
        <v>177</v>
      </c>
      <c r="L554" s="172" t="s">
        <v>175</v>
      </c>
      <c r="M554" s="173" t="str" cm="1">
        <f t="array" ref="M554">IFERROR(INDEX(CategoriesTable[Category type],MATCH(Table1[[#This Row],[Category]],CategoriesTable[Category name],0),0),"")</f>
        <v>Expense</v>
      </c>
      <c r="N554" s="173">
        <v>5</v>
      </c>
      <c r="O554" s="173">
        <f>MONTH(Table1[[#This Row],[Date]])</f>
        <v>8</v>
      </c>
      <c r="P554" s="173">
        <v>2020</v>
      </c>
      <c r="Q554" s="174">
        <f>IF(ISBLANK(Table1[[#This Row],[Date]]),"",Table1[[#This Row],[Date]]-WEEKDAY(Table1[[#This Row],[Date]],2)+1)</f>
        <v>44046</v>
      </c>
      <c r="R554" s="175">
        <f>IF(ISBLANK(Table1[[#This Row],[Date]]),"",DATE(Table1[[#This Row],[Date_Year]],Table1[[#This Row],[Date_Month]],1))</f>
        <v>44044</v>
      </c>
    </row>
    <row r="555" spans="2:18" ht="15.75" hidden="1" x14ac:dyDescent="0.25">
      <c r="B555" s="165">
        <v>44048</v>
      </c>
      <c r="C555" s="166" t="s">
        <v>123</v>
      </c>
      <c r="D555" s="166" t="s">
        <v>55</v>
      </c>
      <c r="E555" s="167"/>
      <c r="F555" s="114">
        <v>-15.99</v>
      </c>
      <c r="G555" s="168"/>
      <c r="H555" s="169"/>
      <c r="I555" s="170"/>
      <c r="J555" s="171" t="s">
        <v>781</v>
      </c>
      <c r="K555" s="172" t="s">
        <v>177</v>
      </c>
      <c r="L555" s="172" t="s">
        <v>175</v>
      </c>
      <c r="M555" s="173" t="str" cm="1">
        <f t="array" ref="M555">IFERROR(INDEX(CategoriesTable[Category type],MATCH(Table1[[#This Row],[Category]],CategoriesTable[Category name],0),0),"")</f>
        <v>Expense</v>
      </c>
      <c r="N555" s="173">
        <v>5</v>
      </c>
      <c r="O555" s="173">
        <f>MONTH(Table1[[#This Row],[Date]])</f>
        <v>8</v>
      </c>
      <c r="P555" s="173">
        <v>2020</v>
      </c>
      <c r="Q555" s="174">
        <f>IF(ISBLANK(Table1[[#This Row],[Date]]),"",Table1[[#This Row],[Date]]-WEEKDAY(Table1[[#This Row],[Date]],2)+1)</f>
        <v>44046</v>
      </c>
      <c r="R555" s="175">
        <f>IF(ISBLANK(Table1[[#This Row],[Date]]),"",DATE(Table1[[#This Row],[Date_Year]],Table1[[#This Row],[Date_Month]],1))</f>
        <v>44044</v>
      </c>
    </row>
    <row r="556" spans="2:18" ht="15.75" hidden="1" x14ac:dyDescent="0.25">
      <c r="B556" s="165">
        <v>44047</v>
      </c>
      <c r="C556" s="166" t="s">
        <v>193</v>
      </c>
      <c r="D556" s="166" t="s">
        <v>66</v>
      </c>
      <c r="E556" s="167"/>
      <c r="F556" s="114">
        <v>-61.47</v>
      </c>
      <c r="G556" s="168"/>
      <c r="H556" s="169"/>
      <c r="I556" s="170"/>
      <c r="J556" s="171" t="s">
        <v>782</v>
      </c>
      <c r="K556" s="172" t="s">
        <v>177</v>
      </c>
      <c r="L556" s="172" t="s">
        <v>175</v>
      </c>
      <c r="M556" s="173" t="str" cm="1">
        <f t="array" ref="M556">IFERROR(INDEX(CategoriesTable[Category type],MATCH(Table1[[#This Row],[Category]],CategoriesTable[Category name],0),0),"")</f>
        <v>Expense</v>
      </c>
      <c r="N556" s="173">
        <v>4</v>
      </c>
      <c r="O556" s="173">
        <f>MONTH(Table1[[#This Row],[Date]])</f>
        <v>8</v>
      </c>
      <c r="P556" s="173">
        <v>2020</v>
      </c>
      <c r="Q556" s="174">
        <f>IF(ISBLANK(Table1[[#This Row],[Date]]),"",Table1[[#This Row],[Date]]-WEEKDAY(Table1[[#This Row],[Date]],2)+1)</f>
        <v>44046</v>
      </c>
      <c r="R556" s="175">
        <f>IF(ISBLANK(Table1[[#This Row],[Date]]),"",DATE(Table1[[#This Row],[Date_Year]],Table1[[#This Row],[Date_Month]],1))</f>
        <v>44044</v>
      </c>
    </row>
    <row r="557" spans="2:18" ht="15.75" hidden="1" x14ac:dyDescent="0.25">
      <c r="B557" s="165">
        <v>44046</v>
      </c>
      <c r="C557" s="166" t="s">
        <v>138</v>
      </c>
      <c r="D557" s="166" t="s">
        <v>66</v>
      </c>
      <c r="E557" s="167"/>
      <c r="F557" s="114">
        <v>-12.99</v>
      </c>
      <c r="G557" s="168"/>
      <c r="H557" s="169"/>
      <c r="I557" s="170"/>
      <c r="J557" s="171" t="s">
        <v>783</v>
      </c>
      <c r="K557" s="172" t="s">
        <v>177</v>
      </c>
      <c r="L557" s="172" t="s">
        <v>175</v>
      </c>
      <c r="M557" s="173" t="str" cm="1">
        <f t="array" ref="M557">IFERROR(INDEX(CategoriesTable[Category type],MATCH(Table1[[#This Row],[Category]],CategoriesTable[Category name],0),0),"")</f>
        <v>Expense</v>
      </c>
      <c r="N557" s="173">
        <v>3</v>
      </c>
      <c r="O557" s="173">
        <f>MONTH(Table1[[#This Row],[Date]])</f>
        <v>8</v>
      </c>
      <c r="P557" s="173">
        <v>2020</v>
      </c>
      <c r="Q557" s="174">
        <f>IF(ISBLANK(Table1[[#This Row],[Date]]),"",Table1[[#This Row],[Date]]-WEEKDAY(Table1[[#This Row],[Date]],2)+1)</f>
        <v>44046</v>
      </c>
      <c r="R557" s="175">
        <f>IF(ISBLANK(Table1[[#This Row],[Date]]),"",DATE(Table1[[#This Row],[Date_Year]],Table1[[#This Row],[Date_Month]],1))</f>
        <v>44044</v>
      </c>
    </row>
    <row r="558" spans="2:18" ht="15.75" hidden="1" x14ac:dyDescent="0.25">
      <c r="B558" s="165">
        <v>44046</v>
      </c>
      <c r="C558" s="166" t="s">
        <v>784</v>
      </c>
      <c r="D558" s="166" t="s">
        <v>64</v>
      </c>
      <c r="E558" s="167"/>
      <c r="F558" s="114">
        <v>-500</v>
      </c>
      <c r="G558" s="168"/>
      <c r="H558" s="169"/>
      <c r="I558" s="170"/>
      <c r="J558" s="171" t="s">
        <v>785</v>
      </c>
      <c r="K558" s="172" t="s">
        <v>177</v>
      </c>
      <c r="L558" s="172" t="s">
        <v>175</v>
      </c>
      <c r="M558" s="173" t="str" cm="1">
        <f t="array" ref="M558">IFERROR(INDEX(CategoriesTable[Category type],MATCH(Table1[[#This Row],[Category]],CategoriesTable[Category name],0),0),"")</f>
        <v>Expense</v>
      </c>
      <c r="N558" s="173">
        <v>3</v>
      </c>
      <c r="O558" s="173">
        <f>MONTH(Table1[[#This Row],[Date]])</f>
        <v>8</v>
      </c>
      <c r="P558" s="173">
        <v>2020</v>
      </c>
      <c r="Q558" s="174">
        <f>IF(ISBLANK(Table1[[#This Row],[Date]]),"",Table1[[#This Row],[Date]]-WEEKDAY(Table1[[#This Row],[Date]],2)+1)</f>
        <v>44046</v>
      </c>
      <c r="R558" s="175">
        <f>IF(ISBLANK(Table1[[#This Row],[Date]]),"",DATE(Table1[[#This Row],[Date_Year]],Table1[[#This Row],[Date_Month]],1))</f>
        <v>44044</v>
      </c>
    </row>
    <row r="559" spans="2:18" ht="15.75" hidden="1" x14ac:dyDescent="0.25">
      <c r="B559" s="165">
        <v>44046</v>
      </c>
      <c r="C559" s="166" t="s">
        <v>196</v>
      </c>
      <c r="D559" s="166" t="s">
        <v>50</v>
      </c>
      <c r="E559" s="167"/>
      <c r="F559" s="114">
        <v>4373.0200000000004</v>
      </c>
      <c r="G559" s="168"/>
      <c r="H559" s="169"/>
      <c r="I559" s="170"/>
      <c r="J559" s="171" t="s">
        <v>786</v>
      </c>
      <c r="K559" s="172" t="s">
        <v>177</v>
      </c>
      <c r="L559" s="172" t="s">
        <v>175</v>
      </c>
      <c r="M559" s="173" t="str" cm="1">
        <f t="array" ref="M559">IFERROR(INDEX(CategoriesTable[Category type],MATCH(Table1[[#This Row],[Category]],CategoriesTable[Category name],0),0),"")</f>
        <v>Income</v>
      </c>
      <c r="N559" s="173">
        <v>3</v>
      </c>
      <c r="O559" s="173">
        <f>MONTH(Table1[[#This Row],[Date]])</f>
        <v>8</v>
      </c>
      <c r="P559" s="173">
        <v>2020</v>
      </c>
      <c r="Q559" s="174">
        <f>IF(ISBLANK(Table1[[#This Row],[Date]]),"",Table1[[#This Row],[Date]]-WEEKDAY(Table1[[#This Row],[Date]],2)+1)</f>
        <v>44046</v>
      </c>
      <c r="R559" s="175">
        <f>IF(ISBLANK(Table1[[#This Row],[Date]]),"",DATE(Table1[[#This Row],[Date_Year]],Table1[[#This Row],[Date_Month]],1))</f>
        <v>44044</v>
      </c>
    </row>
    <row r="560" spans="2:18" ht="15.75" hidden="1" x14ac:dyDescent="0.25">
      <c r="B560" s="165">
        <v>44046</v>
      </c>
      <c r="C560" s="166" t="s">
        <v>664</v>
      </c>
      <c r="D560" s="166" t="s">
        <v>66</v>
      </c>
      <c r="E560" s="167"/>
      <c r="F560" s="114">
        <v>-160.18</v>
      </c>
      <c r="G560" s="168"/>
      <c r="H560" s="169"/>
      <c r="I560" s="170"/>
      <c r="J560" s="171" t="s">
        <v>787</v>
      </c>
      <c r="K560" s="172" t="s">
        <v>177</v>
      </c>
      <c r="L560" s="172" t="s">
        <v>175</v>
      </c>
      <c r="M560" s="173" t="str" cm="1">
        <f t="array" ref="M560">IFERROR(INDEX(CategoriesTable[Category type],MATCH(Table1[[#This Row],[Category]],CategoriesTable[Category name],0),0),"")</f>
        <v>Expense</v>
      </c>
      <c r="N560" s="173">
        <v>3</v>
      </c>
      <c r="O560" s="173">
        <f>MONTH(Table1[[#This Row],[Date]])</f>
        <v>8</v>
      </c>
      <c r="P560" s="173">
        <v>2020</v>
      </c>
      <c r="Q560" s="174">
        <f>IF(ISBLANK(Table1[[#This Row],[Date]]),"",Table1[[#This Row],[Date]]-WEEKDAY(Table1[[#This Row],[Date]],2)+1)</f>
        <v>44046</v>
      </c>
      <c r="R560" s="175">
        <f>IF(ISBLANK(Table1[[#This Row],[Date]]),"",DATE(Table1[[#This Row],[Date_Year]],Table1[[#This Row],[Date_Month]],1))</f>
        <v>44044</v>
      </c>
    </row>
    <row r="561" spans="2:18" ht="15.75" hidden="1" x14ac:dyDescent="0.25">
      <c r="B561" s="165">
        <v>44045</v>
      </c>
      <c r="C561" s="166" t="s">
        <v>1571</v>
      </c>
      <c r="D561" s="166" t="s">
        <v>66</v>
      </c>
      <c r="E561" s="167"/>
      <c r="F561" s="114">
        <v>-5.3</v>
      </c>
      <c r="G561" s="168"/>
      <c r="H561" s="169"/>
      <c r="I561" s="170"/>
      <c r="J561" s="171" t="s">
        <v>788</v>
      </c>
      <c r="K561" s="172" t="s">
        <v>177</v>
      </c>
      <c r="L561" s="172" t="s">
        <v>175</v>
      </c>
      <c r="M561" s="173" t="str" cm="1">
        <f t="array" ref="M561">IFERROR(INDEX(CategoriesTable[Category type],MATCH(Table1[[#This Row],[Category]],CategoriesTable[Category name],0),0),"")</f>
        <v>Expense</v>
      </c>
      <c r="N561" s="173">
        <v>2</v>
      </c>
      <c r="O561" s="173">
        <f>MONTH(Table1[[#This Row],[Date]])</f>
        <v>8</v>
      </c>
      <c r="P561" s="173">
        <v>2020</v>
      </c>
      <c r="Q561" s="174">
        <f>IF(ISBLANK(Table1[[#This Row],[Date]]),"",Table1[[#This Row],[Date]]-WEEKDAY(Table1[[#This Row],[Date]],2)+1)</f>
        <v>44039</v>
      </c>
      <c r="R561" s="175">
        <f>IF(ISBLANK(Table1[[#This Row],[Date]]),"",DATE(Table1[[#This Row],[Date_Year]],Table1[[#This Row],[Date_Month]],1))</f>
        <v>44044</v>
      </c>
    </row>
    <row r="562" spans="2:18" ht="15.75" hidden="1" x14ac:dyDescent="0.25">
      <c r="B562" s="165">
        <v>44041</v>
      </c>
      <c r="C562" s="166" t="s">
        <v>789</v>
      </c>
      <c r="D562" s="166" t="s">
        <v>55</v>
      </c>
      <c r="E562" s="167"/>
      <c r="F562" s="114">
        <v>-36</v>
      </c>
      <c r="G562" s="168"/>
      <c r="H562" s="169"/>
      <c r="I562" s="170"/>
      <c r="J562" s="171" t="s">
        <v>790</v>
      </c>
      <c r="K562" s="172" t="s">
        <v>177</v>
      </c>
      <c r="L562" s="172" t="s">
        <v>175</v>
      </c>
      <c r="M562" s="173" t="str" cm="1">
        <f t="array" ref="M562">IFERROR(INDEX(CategoriesTable[Category type],MATCH(Table1[[#This Row],[Category]],CategoriesTable[Category name],0),0),"")</f>
        <v>Expense</v>
      </c>
      <c r="N562" s="173">
        <v>29</v>
      </c>
      <c r="O562" s="173">
        <f>MONTH(Table1[[#This Row],[Date]])</f>
        <v>7</v>
      </c>
      <c r="P562" s="173">
        <v>2020</v>
      </c>
      <c r="Q562" s="174">
        <f>IF(ISBLANK(Table1[[#This Row],[Date]]),"",Table1[[#This Row],[Date]]-WEEKDAY(Table1[[#This Row],[Date]],2)+1)</f>
        <v>44039</v>
      </c>
      <c r="R562" s="175">
        <f>IF(ISBLANK(Table1[[#This Row],[Date]]),"",DATE(Table1[[#This Row],[Date_Year]],Table1[[#This Row],[Date_Month]],1))</f>
        <v>44013</v>
      </c>
    </row>
    <row r="563" spans="2:18" ht="15.75" hidden="1" x14ac:dyDescent="0.25">
      <c r="B563" s="165">
        <v>44039</v>
      </c>
      <c r="C563" s="166" t="s">
        <v>120</v>
      </c>
      <c r="D563" s="166" t="s">
        <v>57</v>
      </c>
      <c r="E563" s="167"/>
      <c r="F563" s="114">
        <v>-36</v>
      </c>
      <c r="G563" s="168"/>
      <c r="H563" s="169"/>
      <c r="I563" s="170"/>
      <c r="J563" s="171" t="s">
        <v>791</v>
      </c>
      <c r="K563" s="172" t="s">
        <v>177</v>
      </c>
      <c r="L563" s="172" t="s">
        <v>175</v>
      </c>
      <c r="M563" s="173" t="str" cm="1">
        <f t="array" ref="M563">IFERROR(INDEX(CategoriesTable[Category type],MATCH(Table1[[#This Row],[Category]],CategoriesTable[Category name],0),0),"")</f>
        <v>Expense</v>
      </c>
      <c r="N563" s="173">
        <v>27</v>
      </c>
      <c r="O563" s="173">
        <f>MONTH(Table1[[#This Row],[Date]])</f>
        <v>7</v>
      </c>
      <c r="P563" s="173">
        <v>2020</v>
      </c>
      <c r="Q563" s="174">
        <f>IF(ISBLANK(Table1[[#This Row],[Date]]),"",Table1[[#This Row],[Date]]-WEEKDAY(Table1[[#This Row],[Date]],2)+1)</f>
        <v>44039</v>
      </c>
      <c r="R563" s="175">
        <f>IF(ISBLANK(Table1[[#This Row],[Date]]),"",DATE(Table1[[#This Row],[Date_Year]],Table1[[#This Row],[Date_Month]],1))</f>
        <v>44013</v>
      </c>
    </row>
    <row r="564" spans="2:18" ht="15.75" hidden="1" x14ac:dyDescent="0.25">
      <c r="B564" s="165">
        <v>44039</v>
      </c>
      <c r="C564" s="166" t="s">
        <v>792</v>
      </c>
      <c r="D564" s="166" t="s">
        <v>57</v>
      </c>
      <c r="E564" s="167"/>
      <c r="F564" s="114">
        <v>-36</v>
      </c>
      <c r="G564" s="168"/>
      <c r="H564" s="169"/>
      <c r="I564" s="170"/>
      <c r="J564" s="171" t="s">
        <v>793</v>
      </c>
      <c r="K564" s="172" t="s">
        <v>177</v>
      </c>
      <c r="L564" s="172" t="s">
        <v>175</v>
      </c>
      <c r="M564" s="173" t="str" cm="1">
        <f t="array" ref="M564">IFERROR(INDEX(CategoriesTable[Category type],MATCH(Table1[[#This Row],[Category]],CategoriesTable[Category name],0),0),"")</f>
        <v>Expense</v>
      </c>
      <c r="N564" s="173">
        <v>27</v>
      </c>
      <c r="O564" s="173">
        <f>MONTH(Table1[[#This Row],[Date]])</f>
        <v>7</v>
      </c>
      <c r="P564" s="173">
        <v>2020</v>
      </c>
      <c r="Q564" s="174">
        <f>IF(ISBLANK(Table1[[#This Row],[Date]]),"",Table1[[#This Row],[Date]]-WEEKDAY(Table1[[#This Row],[Date]],2)+1)</f>
        <v>44039</v>
      </c>
      <c r="R564" s="175">
        <f>IF(ISBLANK(Table1[[#This Row],[Date]]),"",DATE(Table1[[#This Row],[Date_Year]],Table1[[#This Row],[Date_Month]],1))</f>
        <v>44013</v>
      </c>
    </row>
    <row r="565" spans="2:18" ht="15.75" hidden="1" x14ac:dyDescent="0.25">
      <c r="B565" s="165">
        <v>44039</v>
      </c>
      <c r="C565" s="166" t="s">
        <v>124</v>
      </c>
      <c r="D565" s="166" t="s">
        <v>57</v>
      </c>
      <c r="E565" s="167"/>
      <c r="F565" s="114">
        <v>-36</v>
      </c>
      <c r="G565" s="168"/>
      <c r="H565" s="169"/>
      <c r="I565" s="170"/>
      <c r="J565" s="171" t="s">
        <v>794</v>
      </c>
      <c r="K565" s="172" t="s">
        <v>177</v>
      </c>
      <c r="L565" s="172" t="s">
        <v>175</v>
      </c>
      <c r="M565" s="173" t="str" cm="1">
        <f t="array" ref="M565">IFERROR(INDEX(CategoriesTable[Category type],MATCH(Table1[[#This Row],[Category]],CategoriesTable[Category name],0),0),"")</f>
        <v>Expense</v>
      </c>
      <c r="N565" s="173">
        <v>27</v>
      </c>
      <c r="O565" s="173">
        <f>MONTH(Table1[[#This Row],[Date]])</f>
        <v>7</v>
      </c>
      <c r="P565" s="173">
        <v>2020</v>
      </c>
      <c r="Q565" s="174">
        <f>IF(ISBLANK(Table1[[#This Row],[Date]]),"",Table1[[#This Row],[Date]]-WEEKDAY(Table1[[#This Row],[Date]],2)+1)</f>
        <v>44039</v>
      </c>
      <c r="R565" s="175">
        <f>IF(ISBLANK(Table1[[#This Row],[Date]]),"",DATE(Table1[[#This Row],[Date_Year]],Table1[[#This Row],[Date_Month]],1))</f>
        <v>44013</v>
      </c>
    </row>
    <row r="566" spans="2:18" ht="15.75" hidden="1" x14ac:dyDescent="0.25">
      <c r="B566" s="165">
        <v>44037</v>
      </c>
      <c r="C566" s="166" t="s">
        <v>120</v>
      </c>
      <c r="D566" s="166" t="s">
        <v>66</v>
      </c>
      <c r="E566" s="167"/>
      <c r="F566" s="114">
        <v>-52.88</v>
      </c>
      <c r="G566" s="168"/>
      <c r="H566" s="169"/>
      <c r="I566" s="170"/>
      <c r="J566" s="171" t="s">
        <v>795</v>
      </c>
      <c r="K566" s="172" t="s">
        <v>177</v>
      </c>
      <c r="L566" s="172" t="s">
        <v>175</v>
      </c>
      <c r="M566" s="173" t="str" cm="1">
        <f t="array" ref="M566">IFERROR(INDEX(CategoriesTable[Category type],MATCH(Table1[[#This Row],[Category]],CategoriesTable[Category name],0),0),"")</f>
        <v>Expense</v>
      </c>
      <c r="N566" s="173">
        <v>25</v>
      </c>
      <c r="O566" s="173">
        <f>MONTH(Table1[[#This Row],[Date]])</f>
        <v>7</v>
      </c>
      <c r="P566" s="173">
        <v>2020</v>
      </c>
      <c r="Q566" s="174">
        <f>IF(ISBLANK(Table1[[#This Row],[Date]]),"",Table1[[#This Row],[Date]]-WEEKDAY(Table1[[#This Row],[Date]],2)+1)</f>
        <v>44032</v>
      </c>
      <c r="R566" s="175">
        <f>IF(ISBLANK(Table1[[#This Row],[Date]]),"",DATE(Table1[[#This Row],[Date_Year]],Table1[[#This Row],[Date_Month]],1))</f>
        <v>44013</v>
      </c>
    </row>
    <row r="567" spans="2:18" ht="15.75" hidden="1" x14ac:dyDescent="0.25">
      <c r="B567" s="165">
        <v>44036</v>
      </c>
      <c r="C567" s="166" t="s">
        <v>121</v>
      </c>
      <c r="D567" s="166" t="s">
        <v>57</v>
      </c>
      <c r="E567" s="167"/>
      <c r="F567" s="114">
        <v>-36</v>
      </c>
      <c r="G567" s="168"/>
      <c r="H567" s="169"/>
      <c r="I567" s="170"/>
      <c r="J567" s="171" t="s">
        <v>796</v>
      </c>
      <c r="K567" s="172" t="s">
        <v>177</v>
      </c>
      <c r="L567" s="172" t="s">
        <v>175</v>
      </c>
      <c r="M567" s="173" t="str" cm="1">
        <f t="array" ref="M567">IFERROR(INDEX(CategoriesTable[Category type],MATCH(Table1[[#This Row],[Category]],CategoriesTable[Category name],0),0),"")</f>
        <v>Expense</v>
      </c>
      <c r="N567" s="173">
        <v>24</v>
      </c>
      <c r="O567" s="173">
        <f>MONTH(Table1[[#This Row],[Date]])</f>
        <v>7</v>
      </c>
      <c r="P567" s="173">
        <v>2020</v>
      </c>
      <c r="Q567" s="174">
        <f>IF(ISBLANK(Table1[[#This Row],[Date]]),"",Table1[[#This Row],[Date]]-WEEKDAY(Table1[[#This Row],[Date]],2)+1)</f>
        <v>44032</v>
      </c>
      <c r="R567" s="175">
        <f>IF(ISBLANK(Table1[[#This Row],[Date]]),"",DATE(Table1[[#This Row],[Date_Year]],Table1[[#This Row],[Date_Month]],1))</f>
        <v>44013</v>
      </c>
    </row>
    <row r="568" spans="2:18" ht="15.75" hidden="1" x14ac:dyDescent="0.25">
      <c r="B568" s="165">
        <v>44036</v>
      </c>
      <c r="C568" s="166" t="s">
        <v>358</v>
      </c>
      <c r="D568" s="166" t="s">
        <v>57</v>
      </c>
      <c r="E568" s="167"/>
      <c r="F568" s="114">
        <v>-36</v>
      </c>
      <c r="G568" s="168"/>
      <c r="H568" s="169"/>
      <c r="I568" s="170"/>
      <c r="J568" s="171" t="s">
        <v>797</v>
      </c>
      <c r="K568" s="172" t="s">
        <v>177</v>
      </c>
      <c r="L568" s="172" t="s">
        <v>175</v>
      </c>
      <c r="M568" s="173" t="str" cm="1">
        <f t="array" ref="M568">IFERROR(INDEX(CategoriesTable[Category type],MATCH(Table1[[#This Row],[Category]],CategoriesTable[Category name],0),0),"")</f>
        <v>Expense</v>
      </c>
      <c r="N568" s="173">
        <v>24</v>
      </c>
      <c r="O568" s="173">
        <f>MONTH(Table1[[#This Row],[Date]])</f>
        <v>7</v>
      </c>
      <c r="P568" s="173">
        <v>2020</v>
      </c>
      <c r="Q568" s="174">
        <f>IF(ISBLANK(Table1[[#This Row],[Date]]),"",Table1[[#This Row],[Date]]-WEEKDAY(Table1[[#This Row],[Date]],2)+1)</f>
        <v>44032</v>
      </c>
      <c r="R568" s="175">
        <f>IF(ISBLANK(Table1[[#This Row],[Date]]),"",DATE(Table1[[#This Row],[Date_Year]],Table1[[#This Row],[Date_Month]],1))</f>
        <v>44013</v>
      </c>
    </row>
    <row r="569" spans="2:18" ht="15.75" hidden="1" x14ac:dyDescent="0.25">
      <c r="B569" s="165">
        <v>44035</v>
      </c>
      <c r="C569" s="166" t="s">
        <v>199</v>
      </c>
      <c r="D569" s="166" t="s">
        <v>65</v>
      </c>
      <c r="E569" s="167"/>
      <c r="F569" s="114">
        <v>-31.71</v>
      </c>
      <c r="G569" s="168"/>
      <c r="H569" s="169"/>
      <c r="I569" s="170"/>
      <c r="J569" s="171" t="s">
        <v>798</v>
      </c>
      <c r="K569" s="172" t="s">
        <v>177</v>
      </c>
      <c r="L569" s="172" t="s">
        <v>175</v>
      </c>
      <c r="M569" s="173" t="str" cm="1">
        <f t="array" ref="M569">IFERROR(INDEX(CategoriesTable[Category type],MATCH(Table1[[#This Row],[Category]],CategoriesTable[Category name],0),0),"")</f>
        <v>Expense</v>
      </c>
      <c r="N569" s="173">
        <v>23</v>
      </c>
      <c r="O569" s="173">
        <f>MONTH(Table1[[#This Row],[Date]])</f>
        <v>7</v>
      </c>
      <c r="P569" s="173">
        <v>2020</v>
      </c>
      <c r="Q569" s="174">
        <f>IF(ISBLANK(Table1[[#This Row],[Date]]),"",Table1[[#This Row],[Date]]-WEEKDAY(Table1[[#This Row],[Date]],2)+1)</f>
        <v>44032</v>
      </c>
      <c r="R569" s="175">
        <f>IF(ISBLANK(Table1[[#This Row],[Date]]),"",DATE(Table1[[#This Row],[Date_Year]],Table1[[#This Row],[Date_Month]],1))</f>
        <v>44013</v>
      </c>
    </row>
    <row r="570" spans="2:18" ht="15.75" hidden="1" x14ac:dyDescent="0.25">
      <c r="B570" s="165">
        <v>44035</v>
      </c>
      <c r="C570" s="166" t="s">
        <v>121</v>
      </c>
      <c r="D570" s="166" t="s">
        <v>65</v>
      </c>
      <c r="E570" s="167"/>
      <c r="F570" s="114">
        <v>-10.98</v>
      </c>
      <c r="G570" s="168"/>
      <c r="H570" s="169"/>
      <c r="I570" s="170"/>
      <c r="J570" s="171" t="s">
        <v>799</v>
      </c>
      <c r="K570" s="172" t="s">
        <v>177</v>
      </c>
      <c r="L570" s="172" t="s">
        <v>175</v>
      </c>
      <c r="M570" s="173" t="str" cm="1">
        <f t="array" ref="M570">IFERROR(INDEX(CategoriesTable[Category type],MATCH(Table1[[#This Row],[Category]],CategoriesTable[Category name],0),0),"")</f>
        <v>Expense</v>
      </c>
      <c r="N570" s="173">
        <v>23</v>
      </c>
      <c r="O570" s="173">
        <f>MONTH(Table1[[#This Row],[Date]])</f>
        <v>7</v>
      </c>
      <c r="P570" s="173">
        <v>2020</v>
      </c>
      <c r="Q570" s="174">
        <f>IF(ISBLANK(Table1[[#This Row],[Date]]),"",Table1[[#This Row],[Date]]-WEEKDAY(Table1[[#This Row],[Date]],2)+1)</f>
        <v>44032</v>
      </c>
      <c r="R570" s="175">
        <f>IF(ISBLANK(Table1[[#This Row],[Date]]),"",DATE(Table1[[#This Row],[Date_Year]],Table1[[#This Row],[Date_Month]],1))</f>
        <v>44013</v>
      </c>
    </row>
    <row r="571" spans="2:18" ht="15.75" hidden="1" x14ac:dyDescent="0.25">
      <c r="B571" s="165">
        <v>44035</v>
      </c>
      <c r="C571" s="166" t="s">
        <v>800</v>
      </c>
      <c r="D571" s="166" t="s">
        <v>57</v>
      </c>
      <c r="E571" s="167"/>
      <c r="F571" s="114">
        <v>-36</v>
      </c>
      <c r="G571" s="168"/>
      <c r="H571" s="169"/>
      <c r="I571" s="170"/>
      <c r="J571" s="171" t="s">
        <v>801</v>
      </c>
      <c r="K571" s="172" t="s">
        <v>177</v>
      </c>
      <c r="L571" s="172" t="s">
        <v>175</v>
      </c>
      <c r="M571" s="173" t="str" cm="1">
        <f t="array" ref="M571">IFERROR(INDEX(CategoriesTable[Category type],MATCH(Table1[[#This Row],[Category]],CategoriesTable[Category name],0),0),"")</f>
        <v>Expense</v>
      </c>
      <c r="N571" s="173">
        <v>23</v>
      </c>
      <c r="O571" s="173">
        <f>MONTH(Table1[[#This Row],[Date]])</f>
        <v>7</v>
      </c>
      <c r="P571" s="173">
        <v>2020</v>
      </c>
      <c r="Q571" s="174">
        <f>IF(ISBLANK(Table1[[#This Row],[Date]]),"",Table1[[#This Row],[Date]]-WEEKDAY(Table1[[#This Row],[Date]],2)+1)</f>
        <v>44032</v>
      </c>
      <c r="R571" s="175">
        <f>IF(ISBLANK(Table1[[#This Row],[Date]]),"",DATE(Table1[[#This Row],[Date_Year]],Table1[[#This Row],[Date_Month]],1))</f>
        <v>44013</v>
      </c>
    </row>
    <row r="572" spans="2:18" ht="15.75" hidden="1" x14ac:dyDescent="0.25">
      <c r="B572" s="165">
        <v>44034</v>
      </c>
      <c r="C572" s="166" t="s">
        <v>800</v>
      </c>
      <c r="D572" s="166" t="s">
        <v>65</v>
      </c>
      <c r="E572" s="167"/>
      <c r="F572" s="114">
        <v>-30.61</v>
      </c>
      <c r="G572" s="168"/>
      <c r="H572" s="169"/>
      <c r="I572" s="170"/>
      <c r="J572" s="171" t="s">
        <v>802</v>
      </c>
      <c r="K572" s="172" t="s">
        <v>177</v>
      </c>
      <c r="L572" s="172" t="s">
        <v>175</v>
      </c>
      <c r="M572" s="173" t="str" cm="1">
        <f t="array" ref="M572">IFERROR(INDEX(CategoriesTable[Category type],MATCH(Table1[[#This Row],[Category]],CategoriesTable[Category name],0),0),"")</f>
        <v>Expense</v>
      </c>
      <c r="N572" s="173">
        <v>22</v>
      </c>
      <c r="O572" s="173">
        <f>MONTH(Table1[[#This Row],[Date]])</f>
        <v>7</v>
      </c>
      <c r="P572" s="173">
        <v>2020</v>
      </c>
      <c r="Q572" s="174">
        <f>IF(ISBLANK(Table1[[#This Row],[Date]]),"",Table1[[#This Row],[Date]]-WEEKDAY(Table1[[#This Row],[Date]],2)+1)</f>
        <v>44032</v>
      </c>
      <c r="R572" s="175">
        <f>IF(ISBLANK(Table1[[#This Row],[Date]]),"",DATE(Table1[[#This Row],[Date_Year]],Table1[[#This Row],[Date_Month]],1))</f>
        <v>44013</v>
      </c>
    </row>
    <row r="573" spans="2:18" ht="15.75" hidden="1" x14ac:dyDescent="0.25">
      <c r="B573" s="165">
        <v>44034</v>
      </c>
      <c r="C573" s="166" t="s">
        <v>803</v>
      </c>
      <c r="D573" s="166" t="s">
        <v>51</v>
      </c>
      <c r="E573" s="167"/>
      <c r="F573" s="114">
        <v>65</v>
      </c>
      <c r="G573" s="168"/>
      <c r="H573" s="169"/>
      <c r="I573" s="170"/>
      <c r="J573" s="171" t="s">
        <v>804</v>
      </c>
      <c r="K573" s="172" t="s">
        <v>177</v>
      </c>
      <c r="L573" s="172" t="s">
        <v>175</v>
      </c>
      <c r="M573" s="173" t="str" cm="1">
        <f t="array" ref="M573">IFERROR(INDEX(CategoriesTable[Category type],MATCH(Table1[[#This Row],[Category]],CategoriesTable[Category name],0),0),"")</f>
        <v>Transfer</v>
      </c>
      <c r="N573" s="173">
        <v>22</v>
      </c>
      <c r="O573" s="173">
        <f>MONTH(Table1[[#This Row],[Date]])</f>
        <v>7</v>
      </c>
      <c r="P573" s="173">
        <v>2020</v>
      </c>
      <c r="Q573" s="174">
        <f>IF(ISBLANK(Table1[[#This Row],[Date]]),"",Table1[[#This Row],[Date]]-WEEKDAY(Table1[[#This Row],[Date]],2)+1)</f>
        <v>44032</v>
      </c>
      <c r="R573" s="175">
        <f>IF(ISBLANK(Table1[[#This Row],[Date]]),"",DATE(Table1[[#This Row],[Date_Year]],Table1[[#This Row],[Date_Month]],1))</f>
        <v>44013</v>
      </c>
    </row>
    <row r="574" spans="2:18" ht="15.75" hidden="1" x14ac:dyDescent="0.25">
      <c r="B574" s="165">
        <v>44034</v>
      </c>
      <c r="C574" s="166" t="s">
        <v>208</v>
      </c>
      <c r="D574" s="166" t="s">
        <v>55</v>
      </c>
      <c r="E574" s="167"/>
      <c r="F574" s="114">
        <v>-40.28</v>
      </c>
      <c r="G574" s="168"/>
      <c r="H574" s="169"/>
      <c r="I574" s="170"/>
      <c r="J574" s="171" t="s">
        <v>805</v>
      </c>
      <c r="K574" s="172" t="s">
        <v>177</v>
      </c>
      <c r="L574" s="172" t="s">
        <v>175</v>
      </c>
      <c r="M574" s="173" t="str" cm="1">
        <f t="array" ref="M574">IFERROR(INDEX(CategoriesTable[Category type],MATCH(Table1[[#This Row],[Category]],CategoriesTable[Category name],0),0),"")</f>
        <v>Expense</v>
      </c>
      <c r="N574" s="173">
        <v>22</v>
      </c>
      <c r="O574" s="173">
        <f>MONTH(Table1[[#This Row],[Date]])</f>
        <v>7</v>
      </c>
      <c r="P574" s="173">
        <v>2020</v>
      </c>
      <c r="Q574" s="174">
        <f>IF(ISBLANK(Table1[[#This Row],[Date]]),"",Table1[[#This Row],[Date]]-WEEKDAY(Table1[[#This Row],[Date]],2)+1)</f>
        <v>44032</v>
      </c>
      <c r="R574" s="175">
        <f>IF(ISBLANK(Table1[[#This Row],[Date]]),"",DATE(Table1[[#This Row],[Date_Year]],Table1[[#This Row],[Date_Month]],1))</f>
        <v>44013</v>
      </c>
    </row>
    <row r="575" spans="2:18" ht="15.75" hidden="1" x14ac:dyDescent="0.25">
      <c r="B575" s="165">
        <v>44034</v>
      </c>
      <c r="C575" s="166" t="s">
        <v>806</v>
      </c>
      <c r="D575" s="166" t="s">
        <v>63</v>
      </c>
      <c r="E575" s="167"/>
      <c r="F575" s="114">
        <v>-12.5</v>
      </c>
      <c r="G575" s="168"/>
      <c r="H575" s="169"/>
      <c r="I575" s="170"/>
      <c r="J575" s="171" t="s">
        <v>807</v>
      </c>
      <c r="K575" s="172" t="s">
        <v>177</v>
      </c>
      <c r="L575" s="172" t="s">
        <v>175</v>
      </c>
      <c r="M575" s="173" t="str" cm="1">
        <f t="array" ref="M575">IFERROR(INDEX(CategoriesTable[Category type],MATCH(Table1[[#This Row],[Category]],CategoriesTable[Category name],0),0),"")</f>
        <v>Expense</v>
      </c>
      <c r="N575" s="173">
        <v>22</v>
      </c>
      <c r="O575" s="173">
        <f>MONTH(Table1[[#This Row],[Date]])</f>
        <v>7</v>
      </c>
      <c r="P575" s="173">
        <v>2020</v>
      </c>
      <c r="Q575" s="174">
        <f>IF(ISBLANK(Table1[[#This Row],[Date]]),"",Table1[[#This Row],[Date]]-WEEKDAY(Table1[[#This Row],[Date]],2)+1)</f>
        <v>44032</v>
      </c>
      <c r="R575" s="175">
        <f>IF(ISBLANK(Table1[[#This Row],[Date]]),"",DATE(Table1[[#This Row],[Date_Year]],Table1[[#This Row],[Date_Month]],1))</f>
        <v>44013</v>
      </c>
    </row>
    <row r="576" spans="2:18" ht="15.75" hidden="1" x14ac:dyDescent="0.25">
      <c r="B576" s="165">
        <v>44033</v>
      </c>
      <c r="C576" s="166" t="s">
        <v>121</v>
      </c>
      <c r="D576" s="166" t="s">
        <v>65</v>
      </c>
      <c r="E576" s="167"/>
      <c r="F576" s="114">
        <v>-13.43</v>
      </c>
      <c r="G576" s="168"/>
      <c r="H576" s="169"/>
      <c r="I576" s="170"/>
      <c r="J576" s="171" t="s">
        <v>808</v>
      </c>
      <c r="K576" s="172" t="s">
        <v>177</v>
      </c>
      <c r="L576" s="172" t="s">
        <v>175</v>
      </c>
      <c r="M576" s="173" t="str" cm="1">
        <f t="array" ref="M576">IFERROR(INDEX(CategoriesTable[Category type],MATCH(Table1[[#This Row],[Category]],CategoriesTable[Category name],0),0),"")</f>
        <v>Expense</v>
      </c>
      <c r="N576" s="173">
        <v>21</v>
      </c>
      <c r="O576" s="173">
        <f>MONTH(Table1[[#This Row],[Date]])</f>
        <v>7</v>
      </c>
      <c r="P576" s="173">
        <v>2020</v>
      </c>
      <c r="Q576" s="174">
        <f>IF(ISBLANK(Table1[[#This Row],[Date]]),"",Table1[[#This Row],[Date]]-WEEKDAY(Table1[[#This Row],[Date]],2)+1)</f>
        <v>44032</v>
      </c>
      <c r="R576" s="175">
        <f>IF(ISBLANK(Table1[[#This Row],[Date]]),"",DATE(Table1[[#This Row],[Date_Year]],Table1[[#This Row],[Date_Month]],1))</f>
        <v>44013</v>
      </c>
    </row>
    <row r="577" spans="2:18" ht="15.75" hidden="1" x14ac:dyDescent="0.25">
      <c r="B577" s="165">
        <v>44033</v>
      </c>
      <c r="C577" s="166" t="s">
        <v>664</v>
      </c>
      <c r="D577" s="166" t="s">
        <v>66</v>
      </c>
      <c r="E577" s="167"/>
      <c r="F577" s="114">
        <v>-112.63</v>
      </c>
      <c r="G577" s="168"/>
      <c r="H577" s="169"/>
      <c r="I577" s="170"/>
      <c r="J577" s="171" t="s">
        <v>809</v>
      </c>
      <c r="K577" s="172" t="s">
        <v>177</v>
      </c>
      <c r="L577" s="172" t="s">
        <v>175</v>
      </c>
      <c r="M577" s="173" t="str" cm="1">
        <f t="array" ref="M577">IFERROR(INDEX(CategoriesTable[Category type],MATCH(Table1[[#This Row],[Category]],CategoriesTable[Category name],0),0),"")</f>
        <v>Expense</v>
      </c>
      <c r="N577" s="173">
        <v>21</v>
      </c>
      <c r="O577" s="173">
        <f>MONTH(Table1[[#This Row],[Date]])</f>
        <v>7</v>
      </c>
      <c r="P577" s="173">
        <v>2020</v>
      </c>
      <c r="Q577" s="174">
        <f>IF(ISBLANK(Table1[[#This Row],[Date]]),"",Table1[[#This Row],[Date]]-WEEKDAY(Table1[[#This Row],[Date]],2)+1)</f>
        <v>44032</v>
      </c>
      <c r="R577" s="175">
        <f>IF(ISBLANK(Table1[[#This Row],[Date]]),"",DATE(Table1[[#This Row],[Date_Year]],Table1[[#This Row],[Date_Month]],1))</f>
        <v>44013</v>
      </c>
    </row>
    <row r="578" spans="2:18" ht="15.75" hidden="1" x14ac:dyDescent="0.25">
      <c r="B578" s="165">
        <v>44033</v>
      </c>
      <c r="C578" s="166" t="s">
        <v>358</v>
      </c>
      <c r="D578" s="166" t="s">
        <v>57</v>
      </c>
      <c r="E578" s="167"/>
      <c r="F578" s="114">
        <v>-36</v>
      </c>
      <c r="G578" s="168"/>
      <c r="H578" s="169"/>
      <c r="I578" s="170"/>
      <c r="J578" s="171" t="s">
        <v>810</v>
      </c>
      <c r="K578" s="172" t="s">
        <v>177</v>
      </c>
      <c r="L578" s="172" t="s">
        <v>175</v>
      </c>
      <c r="M578" s="173" t="str" cm="1">
        <f t="array" ref="M578">IFERROR(INDEX(CategoriesTable[Category type],MATCH(Table1[[#This Row],[Category]],CategoriesTable[Category name],0),0),"")</f>
        <v>Expense</v>
      </c>
      <c r="N578" s="173">
        <v>21</v>
      </c>
      <c r="O578" s="173">
        <f>MONTH(Table1[[#This Row],[Date]])</f>
        <v>7</v>
      </c>
      <c r="P578" s="173">
        <v>2020</v>
      </c>
      <c r="Q578" s="174">
        <f>IF(ISBLANK(Table1[[#This Row],[Date]]),"",Table1[[#This Row],[Date]]-WEEKDAY(Table1[[#This Row],[Date]],2)+1)</f>
        <v>44032</v>
      </c>
      <c r="R578" s="175">
        <f>IF(ISBLANK(Table1[[#This Row],[Date]]),"",DATE(Table1[[#This Row],[Date_Year]],Table1[[#This Row],[Date_Month]],1))</f>
        <v>44013</v>
      </c>
    </row>
    <row r="579" spans="2:18" ht="15.75" hidden="1" x14ac:dyDescent="0.25">
      <c r="B579" s="165">
        <v>44032</v>
      </c>
      <c r="C579" s="166" t="s">
        <v>572</v>
      </c>
      <c r="D579" s="166" t="s">
        <v>63</v>
      </c>
      <c r="E579" s="167"/>
      <c r="F579" s="114">
        <v>-3.5</v>
      </c>
      <c r="G579" s="168"/>
      <c r="H579" s="169"/>
      <c r="I579" s="170"/>
      <c r="J579" s="171" t="s">
        <v>811</v>
      </c>
      <c r="K579" s="172" t="s">
        <v>177</v>
      </c>
      <c r="L579" s="172" t="s">
        <v>175</v>
      </c>
      <c r="M579" s="173" t="str" cm="1">
        <f t="array" ref="M579">IFERROR(INDEX(CategoriesTable[Category type],MATCH(Table1[[#This Row],[Category]],CategoriesTable[Category name],0),0),"")</f>
        <v>Expense</v>
      </c>
      <c r="N579" s="173">
        <v>20</v>
      </c>
      <c r="O579" s="173">
        <f>MONTH(Table1[[#This Row],[Date]])</f>
        <v>7</v>
      </c>
      <c r="P579" s="173">
        <v>2020</v>
      </c>
      <c r="Q579" s="174">
        <f>IF(ISBLANK(Table1[[#This Row],[Date]]),"",Table1[[#This Row],[Date]]-WEEKDAY(Table1[[#This Row],[Date]],2)+1)</f>
        <v>44032</v>
      </c>
      <c r="R579" s="175">
        <f>IF(ISBLANK(Table1[[#This Row],[Date]]),"",DATE(Table1[[#This Row],[Date_Year]],Table1[[#This Row],[Date_Month]],1))</f>
        <v>44013</v>
      </c>
    </row>
    <row r="580" spans="2:18" ht="15.75" hidden="1" x14ac:dyDescent="0.25">
      <c r="B580" s="165">
        <v>44032</v>
      </c>
      <c r="C580" s="166" t="s">
        <v>574</v>
      </c>
      <c r="D580" s="166" t="s">
        <v>55</v>
      </c>
      <c r="E580" s="167"/>
      <c r="F580" s="114">
        <v>-323.8</v>
      </c>
      <c r="G580" s="168"/>
      <c r="H580" s="169"/>
      <c r="I580" s="170"/>
      <c r="J580" s="171" t="s">
        <v>812</v>
      </c>
      <c r="K580" s="172" t="s">
        <v>177</v>
      </c>
      <c r="L580" s="172" t="s">
        <v>175</v>
      </c>
      <c r="M580" s="173" t="str" cm="1">
        <f t="array" ref="M580">IFERROR(INDEX(CategoriesTable[Category type],MATCH(Table1[[#This Row],[Category]],CategoriesTable[Category name],0),0),"")</f>
        <v>Expense</v>
      </c>
      <c r="N580" s="173">
        <v>20</v>
      </c>
      <c r="O580" s="173">
        <f>MONTH(Table1[[#This Row],[Date]])</f>
        <v>7</v>
      </c>
      <c r="P580" s="173">
        <v>2020</v>
      </c>
      <c r="Q580" s="174">
        <f>IF(ISBLANK(Table1[[#This Row],[Date]]),"",Table1[[#This Row],[Date]]-WEEKDAY(Table1[[#This Row],[Date]],2)+1)</f>
        <v>44032</v>
      </c>
      <c r="R580" s="175">
        <f>IF(ISBLANK(Table1[[#This Row],[Date]]),"",DATE(Table1[[#This Row],[Date_Year]],Table1[[#This Row],[Date_Month]],1))</f>
        <v>44013</v>
      </c>
    </row>
    <row r="581" spans="2:18" ht="15.75" hidden="1" x14ac:dyDescent="0.25">
      <c r="B581" s="165">
        <v>44032</v>
      </c>
      <c r="C581" s="166" t="s">
        <v>211</v>
      </c>
      <c r="D581" s="166" t="s">
        <v>66</v>
      </c>
      <c r="E581" s="167"/>
      <c r="F581" s="114">
        <v>-200</v>
      </c>
      <c r="G581" s="168"/>
      <c r="H581" s="169"/>
      <c r="I581" s="170"/>
      <c r="J581" s="171" t="s">
        <v>813</v>
      </c>
      <c r="K581" s="172" t="s">
        <v>177</v>
      </c>
      <c r="L581" s="172" t="s">
        <v>175</v>
      </c>
      <c r="M581" s="173" t="str" cm="1">
        <f t="array" ref="M581">IFERROR(INDEX(CategoriesTable[Category type],MATCH(Table1[[#This Row],[Category]],CategoriesTable[Category name],0),0),"")</f>
        <v>Expense</v>
      </c>
      <c r="N581" s="173">
        <v>20</v>
      </c>
      <c r="O581" s="173">
        <f>MONTH(Table1[[#This Row],[Date]])</f>
        <v>7</v>
      </c>
      <c r="P581" s="173">
        <v>2020</v>
      </c>
      <c r="Q581" s="174">
        <f>IF(ISBLANK(Table1[[#This Row],[Date]]),"",Table1[[#This Row],[Date]]-WEEKDAY(Table1[[#This Row],[Date]],2)+1)</f>
        <v>44032</v>
      </c>
      <c r="R581" s="175">
        <f>IF(ISBLANK(Table1[[#This Row],[Date]]),"",DATE(Table1[[#This Row],[Date_Year]],Table1[[#This Row],[Date_Month]],1))</f>
        <v>44013</v>
      </c>
    </row>
    <row r="582" spans="2:18" ht="15.75" hidden="1" x14ac:dyDescent="0.25">
      <c r="B582" s="165">
        <v>44032</v>
      </c>
      <c r="C582" s="166" t="s">
        <v>129</v>
      </c>
      <c r="D582" s="166" t="s">
        <v>55</v>
      </c>
      <c r="E582" s="167"/>
      <c r="F582" s="114">
        <v>-76.17</v>
      </c>
      <c r="G582" s="168"/>
      <c r="H582" s="169"/>
      <c r="I582" s="170"/>
      <c r="J582" s="171" t="s">
        <v>814</v>
      </c>
      <c r="K582" s="172" t="s">
        <v>177</v>
      </c>
      <c r="L582" s="172" t="s">
        <v>175</v>
      </c>
      <c r="M582" s="173" t="str" cm="1">
        <f t="array" ref="M582">IFERROR(INDEX(CategoriesTable[Category type],MATCH(Table1[[#This Row],[Category]],CategoriesTable[Category name],0),0),"")</f>
        <v>Expense</v>
      </c>
      <c r="N582" s="173">
        <v>20</v>
      </c>
      <c r="O582" s="173">
        <f>MONTH(Table1[[#This Row],[Date]])</f>
        <v>7</v>
      </c>
      <c r="P582" s="173">
        <v>2020</v>
      </c>
      <c r="Q582" s="174">
        <f>IF(ISBLANK(Table1[[#This Row],[Date]]),"",Table1[[#This Row],[Date]]-WEEKDAY(Table1[[#This Row],[Date]],2)+1)</f>
        <v>44032</v>
      </c>
      <c r="R582" s="175">
        <f>IF(ISBLANK(Table1[[#This Row],[Date]]),"",DATE(Table1[[#This Row],[Date_Year]],Table1[[#This Row],[Date_Month]],1))</f>
        <v>44013</v>
      </c>
    </row>
    <row r="583" spans="2:18" ht="15.75" hidden="1" x14ac:dyDescent="0.25">
      <c r="B583" s="165">
        <v>44031</v>
      </c>
      <c r="C583" s="166" t="s">
        <v>120</v>
      </c>
      <c r="D583" s="166" t="s">
        <v>66</v>
      </c>
      <c r="E583" s="167"/>
      <c r="F583" s="114">
        <v>-53.19</v>
      </c>
      <c r="G583" s="168"/>
      <c r="H583" s="169"/>
      <c r="I583" s="170"/>
      <c r="J583" s="171" t="s">
        <v>815</v>
      </c>
      <c r="K583" s="172" t="s">
        <v>177</v>
      </c>
      <c r="L583" s="172" t="s">
        <v>175</v>
      </c>
      <c r="M583" s="173" t="str" cm="1">
        <f t="array" ref="M583">IFERROR(INDEX(CategoriesTable[Category type],MATCH(Table1[[#This Row],[Category]],CategoriesTable[Category name],0),0),"")</f>
        <v>Expense</v>
      </c>
      <c r="N583" s="173">
        <v>19</v>
      </c>
      <c r="O583" s="173">
        <f>MONTH(Table1[[#This Row],[Date]])</f>
        <v>7</v>
      </c>
      <c r="P583" s="173">
        <v>2020</v>
      </c>
      <c r="Q583" s="174">
        <f>IF(ISBLANK(Table1[[#This Row],[Date]]),"",Table1[[#This Row],[Date]]-WEEKDAY(Table1[[#This Row],[Date]],2)+1)</f>
        <v>44025</v>
      </c>
      <c r="R583" s="175">
        <f>IF(ISBLANK(Table1[[#This Row],[Date]]),"",DATE(Table1[[#This Row],[Date_Year]],Table1[[#This Row],[Date_Month]],1))</f>
        <v>44013</v>
      </c>
    </row>
    <row r="584" spans="2:18" ht="15.75" hidden="1" x14ac:dyDescent="0.25">
      <c r="B584" s="165">
        <v>44031</v>
      </c>
      <c r="C584" s="166" t="s">
        <v>184</v>
      </c>
      <c r="D584" s="166" t="s">
        <v>56</v>
      </c>
      <c r="E584" s="167"/>
      <c r="F584" s="114">
        <v>-19.989999999999998</v>
      </c>
      <c r="G584" s="168"/>
      <c r="H584" s="169"/>
      <c r="I584" s="170"/>
      <c r="J584" s="171" t="s">
        <v>816</v>
      </c>
      <c r="K584" s="172" t="s">
        <v>177</v>
      </c>
      <c r="L584" s="172" t="s">
        <v>175</v>
      </c>
      <c r="M584" s="173" t="str" cm="1">
        <f t="array" ref="M584">IFERROR(INDEX(CategoriesTable[Category type],MATCH(Table1[[#This Row],[Category]],CategoriesTable[Category name],0),0),"")</f>
        <v>Expense</v>
      </c>
      <c r="N584" s="173">
        <v>19</v>
      </c>
      <c r="O584" s="173">
        <f>MONTH(Table1[[#This Row],[Date]])</f>
        <v>7</v>
      </c>
      <c r="P584" s="173">
        <v>2020</v>
      </c>
      <c r="Q584" s="174">
        <f>IF(ISBLANK(Table1[[#This Row],[Date]]),"",Table1[[#This Row],[Date]]-WEEKDAY(Table1[[#This Row],[Date]],2)+1)</f>
        <v>44025</v>
      </c>
      <c r="R584" s="175">
        <f>IF(ISBLANK(Table1[[#This Row],[Date]]),"",DATE(Table1[[#This Row],[Date_Year]],Table1[[#This Row],[Date_Month]],1))</f>
        <v>44013</v>
      </c>
    </row>
    <row r="585" spans="2:18" ht="15.75" hidden="1" x14ac:dyDescent="0.25">
      <c r="B585" s="165">
        <v>44030</v>
      </c>
      <c r="C585" s="166" t="s">
        <v>199</v>
      </c>
      <c r="D585" s="166" t="s">
        <v>65</v>
      </c>
      <c r="E585" s="167"/>
      <c r="F585" s="114">
        <v>-36.020000000000003</v>
      </c>
      <c r="G585" s="168"/>
      <c r="H585" s="169"/>
      <c r="I585" s="170"/>
      <c r="J585" s="171" t="s">
        <v>817</v>
      </c>
      <c r="K585" s="172" t="s">
        <v>177</v>
      </c>
      <c r="L585" s="172" t="s">
        <v>175</v>
      </c>
      <c r="M585" s="173" t="str" cm="1">
        <f t="array" ref="M585">IFERROR(INDEX(CategoriesTable[Category type],MATCH(Table1[[#This Row],[Category]],CategoriesTable[Category name],0),0),"")</f>
        <v>Expense</v>
      </c>
      <c r="N585" s="173">
        <v>18</v>
      </c>
      <c r="O585" s="173">
        <f>MONTH(Table1[[#This Row],[Date]])</f>
        <v>7</v>
      </c>
      <c r="P585" s="173">
        <v>2020</v>
      </c>
      <c r="Q585" s="174">
        <f>IF(ISBLANK(Table1[[#This Row],[Date]]),"",Table1[[#This Row],[Date]]-WEEKDAY(Table1[[#This Row],[Date]],2)+1)</f>
        <v>44025</v>
      </c>
      <c r="R585" s="175">
        <f>IF(ISBLANK(Table1[[#This Row],[Date]]),"",DATE(Table1[[#This Row],[Date_Year]],Table1[[#This Row],[Date_Month]],1))</f>
        <v>44013</v>
      </c>
    </row>
    <row r="586" spans="2:18" ht="15.75" hidden="1" x14ac:dyDescent="0.25">
      <c r="B586" s="165">
        <v>44029</v>
      </c>
      <c r="C586" s="166" t="s">
        <v>189</v>
      </c>
      <c r="D586" s="166" t="s">
        <v>65</v>
      </c>
      <c r="E586" s="167"/>
      <c r="F586" s="114">
        <v>-29.4</v>
      </c>
      <c r="G586" s="168"/>
      <c r="H586" s="169"/>
      <c r="I586" s="170"/>
      <c r="J586" s="171" t="s">
        <v>818</v>
      </c>
      <c r="K586" s="172" t="s">
        <v>177</v>
      </c>
      <c r="L586" s="172" t="s">
        <v>175</v>
      </c>
      <c r="M586" s="173" t="str" cm="1">
        <f t="array" ref="M586">IFERROR(INDEX(CategoriesTable[Category type],MATCH(Table1[[#This Row],[Category]],CategoriesTable[Category name],0),0),"")</f>
        <v>Expense</v>
      </c>
      <c r="N586" s="173">
        <v>17</v>
      </c>
      <c r="O586" s="173">
        <f>MONTH(Table1[[#This Row],[Date]])</f>
        <v>7</v>
      </c>
      <c r="P586" s="173">
        <v>2020</v>
      </c>
      <c r="Q586" s="174">
        <f>IF(ISBLANK(Table1[[#This Row],[Date]]),"",Table1[[#This Row],[Date]]-WEEKDAY(Table1[[#This Row],[Date]],2)+1)</f>
        <v>44025</v>
      </c>
      <c r="R586" s="175">
        <f>IF(ISBLANK(Table1[[#This Row],[Date]]),"",DATE(Table1[[#This Row],[Date_Year]],Table1[[#This Row],[Date_Month]],1))</f>
        <v>44013</v>
      </c>
    </row>
    <row r="587" spans="2:18" ht="15.75" hidden="1" x14ac:dyDescent="0.25">
      <c r="B587" s="165">
        <v>44028</v>
      </c>
      <c r="C587" s="166" t="s">
        <v>121</v>
      </c>
      <c r="D587" s="166" t="s">
        <v>65</v>
      </c>
      <c r="E587" s="167"/>
      <c r="F587" s="114">
        <v>-17.75</v>
      </c>
      <c r="G587" s="168"/>
      <c r="H587" s="169"/>
      <c r="I587" s="170"/>
      <c r="J587" s="171" t="s">
        <v>819</v>
      </c>
      <c r="K587" s="172" t="s">
        <v>177</v>
      </c>
      <c r="L587" s="172" t="s">
        <v>175</v>
      </c>
      <c r="M587" s="173" t="str" cm="1">
        <f t="array" ref="M587">IFERROR(INDEX(CategoriesTable[Category type],MATCH(Table1[[#This Row],[Category]],CategoriesTable[Category name],0),0),"")</f>
        <v>Expense</v>
      </c>
      <c r="N587" s="173">
        <v>16</v>
      </c>
      <c r="O587" s="173">
        <f>MONTH(Table1[[#This Row],[Date]])</f>
        <v>7</v>
      </c>
      <c r="P587" s="173">
        <v>2020</v>
      </c>
      <c r="Q587" s="174">
        <f>IF(ISBLANK(Table1[[#This Row],[Date]]),"",Table1[[#This Row],[Date]]-WEEKDAY(Table1[[#This Row],[Date]],2)+1)</f>
        <v>44025</v>
      </c>
      <c r="R587" s="175">
        <f>IF(ISBLANK(Table1[[#This Row],[Date]]),"",DATE(Table1[[#This Row],[Date_Year]],Table1[[#This Row],[Date_Month]],1))</f>
        <v>44013</v>
      </c>
    </row>
    <row r="588" spans="2:18" ht="15.75" hidden="1" x14ac:dyDescent="0.25">
      <c r="B588" s="165">
        <v>44028</v>
      </c>
      <c r="C588" s="166" t="s">
        <v>606</v>
      </c>
      <c r="D588" s="166" t="s">
        <v>55</v>
      </c>
      <c r="E588" s="167"/>
      <c r="F588" s="114">
        <v>-79.849999999999994</v>
      </c>
      <c r="G588" s="168"/>
      <c r="H588" s="169"/>
      <c r="I588" s="170"/>
      <c r="J588" s="171" t="s">
        <v>820</v>
      </c>
      <c r="K588" s="172" t="s">
        <v>177</v>
      </c>
      <c r="L588" s="172" t="s">
        <v>175</v>
      </c>
      <c r="M588" s="173" t="str" cm="1">
        <f t="array" ref="M588">IFERROR(INDEX(CategoriesTable[Category type],MATCH(Table1[[#This Row],[Category]],CategoriesTable[Category name],0),0),"")</f>
        <v>Expense</v>
      </c>
      <c r="N588" s="173">
        <v>16</v>
      </c>
      <c r="O588" s="173">
        <f>MONTH(Table1[[#This Row],[Date]])</f>
        <v>7</v>
      </c>
      <c r="P588" s="173">
        <v>2020</v>
      </c>
      <c r="Q588" s="174">
        <f>IF(ISBLANK(Table1[[#This Row],[Date]]),"",Table1[[#This Row],[Date]]-WEEKDAY(Table1[[#This Row],[Date]],2)+1)</f>
        <v>44025</v>
      </c>
      <c r="R588" s="175">
        <f>IF(ISBLANK(Table1[[#This Row],[Date]]),"",DATE(Table1[[#This Row],[Date_Year]],Table1[[#This Row],[Date_Month]],1))</f>
        <v>44013</v>
      </c>
    </row>
    <row r="589" spans="2:18" ht="15.75" hidden="1" x14ac:dyDescent="0.25">
      <c r="B589" s="165">
        <v>44028</v>
      </c>
      <c r="C589" s="166" t="s">
        <v>465</v>
      </c>
      <c r="D589" s="166" t="s">
        <v>62</v>
      </c>
      <c r="E589" s="167"/>
      <c r="F589" s="114">
        <v>-265.62</v>
      </c>
      <c r="G589" s="168"/>
      <c r="H589" s="169"/>
      <c r="I589" s="170"/>
      <c r="J589" s="171" t="s">
        <v>821</v>
      </c>
      <c r="K589" s="172" t="s">
        <v>177</v>
      </c>
      <c r="L589" s="172" t="s">
        <v>175</v>
      </c>
      <c r="M589" s="173" t="str" cm="1">
        <f t="array" ref="M589">IFERROR(INDEX(CategoriesTable[Category type],MATCH(Table1[[#This Row],[Category]],CategoriesTable[Category name],0),0),"")</f>
        <v>Expense</v>
      </c>
      <c r="N589" s="173">
        <v>16</v>
      </c>
      <c r="O589" s="173">
        <f>MONTH(Table1[[#This Row],[Date]])</f>
        <v>7</v>
      </c>
      <c r="P589" s="173">
        <v>2020</v>
      </c>
      <c r="Q589" s="174">
        <f>IF(ISBLANK(Table1[[#This Row],[Date]]),"",Table1[[#This Row],[Date]]-WEEKDAY(Table1[[#This Row],[Date]],2)+1)</f>
        <v>44025</v>
      </c>
      <c r="R589" s="175">
        <f>IF(ISBLANK(Table1[[#This Row],[Date]]),"",DATE(Table1[[#This Row],[Date_Year]],Table1[[#This Row],[Date_Month]],1))</f>
        <v>44013</v>
      </c>
    </row>
    <row r="590" spans="2:18" ht="15.75" hidden="1" x14ac:dyDescent="0.25">
      <c r="B590" s="165">
        <v>44028</v>
      </c>
      <c r="C590" s="166" t="s">
        <v>822</v>
      </c>
      <c r="D590" s="166" t="s">
        <v>63</v>
      </c>
      <c r="E590" s="167"/>
      <c r="F590" s="114">
        <v>-46.94</v>
      </c>
      <c r="G590" s="168"/>
      <c r="H590" s="169"/>
      <c r="I590" s="170"/>
      <c r="J590" s="171" t="s">
        <v>823</v>
      </c>
      <c r="K590" s="172" t="s">
        <v>177</v>
      </c>
      <c r="L590" s="172" t="s">
        <v>175</v>
      </c>
      <c r="M590" s="173" t="str" cm="1">
        <f t="array" ref="M590">IFERROR(INDEX(CategoriesTable[Category type],MATCH(Table1[[#This Row],[Category]],CategoriesTable[Category name],0),0),"")</f>
        <v>Expense</v>
      </c>
      <c r="N590" s="173">
        <v>16</v>
      </c>
      <c r="O590" s="173">
        <f>MONTH(Table1[[#This Row],[Date]])</f>
        <v>7</v>
      </c>
      <c r="P590" s="173">
        <v>2020</v>
      </c>
      <c r="Q590" s="174">
        <f>IF(ISBLANK(Table1[[#This Row],[Date]]),"",Table1[[#This Row],[Date]]-WEEKDAY(Table1[[#This Row],[Date]],2)+1)</f>
        <v>44025</v>
      </c>
      <c r="R590" s="175">
        <f>IF(ISBLANK(Table1[[#This Row],[Date]]),"",DATE(Table1[[#This Row],[Date_Year]],Table1[[#This Row],[Date_Month]],1))</f>
        <v>44013</v>
      </c>
    </row>
    <row r="591" spans="2:18" ht="15.75" hidden="1" x14ac:dyDescent="0.25">
      <c r="B591" s="165">
        <v>44027</v>
      </c>
      <c r="C591" s="166" t="s">
        <v>199</v>
      </c>
      <c r="D591" s="166" t="s">
        <v>65</v>
      </c>
      <c r="E591" s="167"/>
      <c r="F591" s="114">
        <v>-29.18</v>
      </c>
      <c r="G591" s="168"/>
      <c r="H591" s="169"/>
      <c r="I591" s="170"/>
      <c r="J591" s="171" t="s">
        <v>824</v>
      </c>
      <c r="K591" s="172" t="s">
        <v>177</v>
      </c>
      <c r="L591" s="172" t="s">
        <v>175</v>
      </c>
      <c r="M591" s="173" t="str" cm="1">
        <f t="array" ref="M591">IFERROR(INDEX(CategoriesTable[Category type],MATCH(Table1[[#This Row],[Category]],CategoriesTable[Category name],0),0),"")</f>
        <v>Expense</v>
      </c>
      <c r="N591" s="173">
        <v>15</v>
      </c>
      <c r="O591" s="173">
        <f>MONTH(Table1[[#This Row],[Date]])</f>
        <v>7</v>
      </c>
      <c r="P591" s="173">
        <v>2020</v>
      </c>
      <c r="Q591" s="174">
        <f>IF(ISBLANK(Table1[[#This Row],[Date]]),"",Table1[[#This Row],[Date]]-WEEKDAY(Table1[[#This Row],[Date]],2)+1)</f>
        <v>44025</v>
      </c>
      <c r="R591" s="175">
        <f>IF(ISBLANK(Table1[[#This Row],[Date]]),"",DATE(Table1[[#This Row],[Date_Year]],Table1[[#This Row],[Date_Month]],1))</f>
        <v>44013</v>
      </c>
    </row>
    <row r="592" spans="2:18" ht="15.75" hidden="1" x14ac:dyDescent="0.25">
      <c r="B592" s="165">
        <v>44027</v>
      </c>
      <c r="C592" s="166" t="s">
        <v>193</v>
      </c>
      <c r="D592" s="166" t="s">
        <v>56</v>
      </c>
      <c r="E592" s="167"/>
      <c r="F592" s="114">
        <v>-14.99</v>
      </c>
      <c r="G592" s="168"/>
      <c r="H592" s="169"/>
      <c r="I592" s="170"/>
      <c r="J592" s="171" t="s">
        <v>825</v>
      </c>
      <c r="K592" s="172" t="s">
        <v>177</v>
      </c>
      <c r="L592" s="172" t="s">
        <v>175</v>
      </c>
      <c r="M592" s="173" t="str" cm="1">
        <f t="array" ref="M592">IFERROR(INDEX(CategoriesTable[Category type],MATCH(Table1[[#This Row],[Category]],CategoriesTable[Category name],0),0),"")</f>
        <v>Expense</v>
      </c>
      <c r="N592" s="173">
        <v>15</v>
      </c>
      <c r="O592" s="173">
        <f>MONTH(Table1[[#This Row],[Date]])</f>
        <v>7</v>
      </c>
      <c r="P592" s="173">
        <v>2020</v>
      </c>
      <c r="Q592" s="174">
        <f>IF(ISBLANK(Table1[[#This Row],[Date]]),"",Table1[[#This Row],[Date]]-WEEKDAY(Table1[[#This Row],[Date]],2)+1)</f>
        <v>44025</v>
      </c>
      <c r="R592" s="175">
        <f>IF(ISBLANK(Table1[[#This Row],[Date]]),"",DATE(Table1[[#This Row],[Date_Year]],Table1[[#This Row],[Date_Month]],1))</f>
        <v>44013</v>
      </c>
    </row>
    <row r="593" spans="2:18" ht="15.75" hidden="1" x14ac:dyDescent="0.25">
      <c r="B593" s="165">
        <v>44027</v>
      </c>
      <c r="C593" s="166" t="s">
        <v>750</v>
      </c>
      <c r="D593" s="166" t="s">
        <v>52</v>
      </c>
      <c r="E593" s="167"/>
      <c r="F593" s="114">
        <v>-202</v>
      </c>
      <c r="G593" s="168"/>
      <c r="H593" s="169"/>
      <c r="I593" s="170"/>
      <c r="J593" s="171" t="s">
        <v>826</v>
      </c>
      <c r="K593" s="172" t="s">
        <v>177</v>
      </c>
      <c r="L593" s="172" t="s">
        <v>175</v>
      </c>
      <c r="M593" s="173" t="str" cm="1">
        <f t="array" ref="M593">IFERROR(INDEX(CategoriesTable[Category type],MATCH(Table1[[#This Row],[Category]],CategoriesTable[Category name],0),0),"")</f>
        <v>Transfer</v>
      </c>
      <c r="N593" s="173">
        <v>15</v>
      </c>
      <c r="O593" s="173">
        <f>MONTH(Table1[[#This Row],[Date]])</f>
        <v>7</v>
      </c>
      <c r="P593" s="173">
        <v>2020</v>
      </c>
      <c r="Q593" s="174">
        <f>IF(ISBLANK(Table1[[#This Row],[Date]]),"",Table1[[#This Row],[Date]]-WEEKDAY(Table1[[#This Row],[Date]],2)+1)</f>
        <v>44025</v>
      </c>
      <c r="R593" s="175">
        <f>IF(ISBLANK(Table1[[#This Row],[Date]]),"",DATE(Table1[[#This Row],[Date_Year]],Table1[[#This Row],[Date_Month]],1))</f>
        <v>44013</v>
      </c>
    </row>
    <row r="594" spans="2:18" ht="15.75" hidden="1" x14ac:dyDescent="0.25">
      <c r="B594" s="165">
        <v>44027</v>
      </c>
      <c r="C594" s="166" t="s">
        <v>680</v>
      </c>
      <c r="D594" s="166" t="s">
        <v>62</v>
      </c>
      <c r="E594" s="167"/>
      <c r="F594" s="114">
        <v>-239.82</v>
      </c>
      <c r="G594" s="168"/>
      <c r="H594" s="169"/>
      <c r="I594" s="170"/>
      <c r="J594" s="171" t="s">
        <v>827</v>
      </c>
      <c r="K594" s="172" t="s">
        <v>177</v>
      </c>
      <c r="L594" s="172" t="s">
        <v>175</v>
      </c>
      <c r="M594" s="173" t="str" cm="1">
        <f t="array" ref="M594">IFERROR(INDEX(CategoriesTable[Category type],MATCH(Table1[[#This Row],[Category]],CategoriesTable[Category name],0),0),"")</f>
        <v>Expense</v>
      </c>
      <c r="N594" s="173">
        <v>15</v>
      </c>
      <c r="O594" s="173">
        <f>MONTH(Table1[[#This Row],[Date]])</f>
        <v>7</v>
      </c>
      <c r="P594" s="173">
        <v>2020</v>
      </c>
      <c r="Q594" s="174">
        <f>IF(ISBLANK(Table1[[#This Row],[Date]]),"",Table1[[#This Row],[Date]]-WEEKDAY(Table1[[#This Row],[Date]],2)+1)</f>
        <v>44025</v>
      </c>
      <c r="R594" s="175">
        <f>IF(ISBLANK(Table1[[#This Row],[Date]]),"",DATE(Table1[[#This Row],[Date_Year]],Table1[[#This Row],[Date_Month]],1))</f>
        <v>44013</v>
      </c>
    </row>
    <row r="595" spans="2:18" ht="15.75" hidden="1" x14ac:dyDescent="0.25">
      <c r="B595" s="165">
        <v>44027</v>
      </c>
      <c r="C595" s="166" t="s">
        <v>182</v>
      </c>
      <c r="D595" s="166" t="s">
        <v>55</v>
      </c>
      <c r="E595" s="167"/>
      <c r="F595" s="114">
        <v>-10.9</v>
      </c>
      <c r="G595" s="168"/>
      <c r="H595" s="169"/>
      <c r="I595" s="170"/>
      <c r="J595" s="171" t="s">
        <v>828</v>
      </c>
      <c r="K595" s="172" t="s">
        <v>177</v>
      </c>
      <c r="L595" s="172" t="s">
        <v>175</v>
      </c>
      <c r="M595" s="173" t="str" cm="1">
        <f t="array" ref="M595">IFERROR(INDEX(CategoriesTable[Category type],MATCH(Table1[[#This Row],[Category]],CategoriesTable[Category name],0),0),"")</f>
        <v>Expense</v>
      </c>
      <c r="N595" s="173">
        <v>15</v>
      </c>
      <c r="O595" s="173">
        <f>MONTH(Table1[[#This Row],[Date]])</f>
        <v>7</v>
      </c>
      <c r="P595" s="173">
        <v>2020</v>
      </c>
      <c r="Q595" s="174">
        <f>IF(ISBLANK(Table1[[#This Row],[Date]]),"",Table1[[#This Row],[Date]]-WEEKDAY(Table1[[#This Row],[Date]],2)+1)</f>
        <v>44025</v>
      </c>
      <c r="R595" s="175">
        <f>IF(ISBLANK(Table1[[#This Row],[Date]]),"",DATE(Table1[[#This Row],[Date_Year]],Table1[[#This Row],[Date_Month]],1))</f>
        <v>44013</v>
      </c>
    </row>
    <row r="596" spans="2:18" ht="15.75" hidden="1" x14ac:dyDescent="0.25">
      <c r="B596" s="165">
        <v>44026</v>
      </c>
      <c r="C596" s="166" t="s">
        <v>143</v>
      </c>
      <c r="D596" s="166" t="s">
        <v>65</v>
      </c>
      <c r="E596" s="167"/>
      <c r="F596" s="114">
        <v>-34.61</v>
      </c>
      <c r="G596" s="168"/>
      <c r="H596" s="169"/>
      <c r="I596" s="170"/>
      <c r="J596" s="171" t="s">
        <v>829</v>
      </c>
      <c r="K596" s="172" t="s">
        <v>177</v>
      </c>
      <c r="L596" s="172" t="s">
        <v>175</v>
      </c>
      <c r="M596" s="173" t="str" cm="1">
        <f t="array" ref="M596">IFERROR(INDEX(CategoriesTable[Category type],MATCH(Table1[[#This Row],[Category]],CategoriesTable[Category name],0),0),"")</f>
        <v>Expense</v>
      </c>
      <c r="N596" s="173">
        <v>14</v>
      </c>
      <c r="O596" s="173">
        <f>MONTH(Table1[[#This Row],[Date]])</f>
        <v>7</v>
      </c>
      <c r="P596" s="173">
        <v>2020</v>
      </c>
      <c r="Q596" s="174">
        <f>IF(ISBLANK(Table1[[#This Row],[Date]]),"",Table1[[#This Row],[Date]]-WEEKDAY(Table1[[#This Row],[Date]],2)+1)</f>
        <v>44025</v>
      </c>
      <c r="R596" s="175">
        <f>IF(ISBLANK(Table1[[#This Row],[Date]]),"",DATE(Table1[[#This Row],[Date_Year]],Table1[[#This Row],[Date_Month]],1))</f>
        <v>44013</v>
      </c>
    </row>
    <row r="597" spans="2:18" ht="15.75" hidden="1" x14ac:dyDescent="0.25">
      <c r="B597" s="165">
        <v>44025</v>
      </c>
      <c r="C597" s="166" t="s">
        <v>199</v>
      </c>
      <c r="D597" s="166" t="s">
        <v>65</v>
      </c>
      <c r="E597" s="167"/>
      <c r="F597" s="114">
        <v>-44.3</v>
      </c>
      <c r="G597" s="168"/>
      <c r="H597" s="169"/>
      <c r="I597" s="170"/>
      <c r="J597" s="171" t="s">
        <v>830</v>
      </c>
      <c r="K597" s="172" t="s">
        <v>177</v>
      </c>
      <c r="L597" s="172" t="s">
        <v>175</v>
      </c>
      <c r="M597" s="173" t="str" cm="1">
        <f t="array" ref="M597">IFERROR(INDEX(CategoriesTable[Category type],MATCH(Table1[[#This Row],[Category]],CategoriesTable[Category name],0),0),"")</f>
        <v>Expense</v>
      </c>
      <c r="N597" s="173">
        <v>13</v>
      </c>
      <c r="O597" s="173">
        <f>MONTH(Table1[[#This Row],[Date]])</f>
        <v>7</v>
      </c>
      <c r="P597" s="173">
        <v>2020</v>
      </c>
      <c r="Q597" s="174">
        <f>IF(ISBLANK(Table1[[#This Row],[Date]]),"",Table1[[#This Row],[Date]]-WEEKDAY(Table1[[#This Row],[Date]],2)+1)</f>
        <v>44025</v>
      </c>
      <c r="R597" s="175">
        <f>IF(ISBLANK(Table1[[#This Row],[Date]]),"",DATE(Table1[[#This Row],[Date_Year]],Table1[[#This Row],[Date_Month]],1))</f>
        <v>44013</v>
      </c>
    </row>
    <row r="598" spans="2:18" ht="15.75" hidden="1" x14ac:dyDescent="0.25">
      <c r="B598" s="165">
        <v>44024</v>
      </c>
      <c r="C598" s="166" t="s">
        <v>199</v>
      </c>
      <c r="D598" s="166" t="s">
        <v>65</v>
      </c>
      <c r="E598" s="167"/>
      <c r="F598" s="114">
        <v>-26.09</v>
      </c>
      <c r="G598" s="168"/>
      <c r="H598" s="169"/>
      <c r="I598" s="170"/>
      <c r="J598" s="171" t="s">
        <v>831</v>
      </c>
      <c r="K598" s="172" t="s">
        <v>177</v>
      </c>
      <c r="L598" s="172" t="s">
        <v>175</v>
      </c>
      <c r="M598" s="173" t="str" cm="1">
        <f t="array" ref="M598">IFERROR(INDEX(CategoriesTable[Category type],MATCH(Table1[[#This Row],[Category]],CategoriesTable[Category name],0),0),"")</f>
        <v>Expense</v>
      </c>
      <c r="N598" s="173">
        <v>12</v>
      </c>
      <c r="O598" s="173">
        <f>MONTH(Table1[[#This Row],[Date]])</f>
        <v>7</v>
      </c>
      <c r="P598" s="173">
        <v>2020</v>
      </c>
      <c r="Q598" s="174">
        <f>IF(ISBLANK(Table1[[#This Row],[Date]]),"",Table1[[#This Row],[Date]]-WEEKDAY(Table1[[#This Row],[Date]],2)+1)</f>
        <v>44018</v>
      </c>
      <c r="R598" s="175">
        <f>IF(ISBLANK(Table1[[#This Row],[Date]]),"",DATE(Table1[[#This Row],[Date_Year]],Table1[[#This Row],[Date_Month]],1))</f>
        <v>44013</v>
      </c>
    </row>
    <row r="599" spans="2:18" ht="15.75" hidden="1" x14ac:dyDescent="0.25">
      <c r="B599" s="165">
        <v>44022</v>
      </c>
      <c r="C599" s="166" t="s">
        <v>784</v>
      </c>
      <c r="D599" s="166" t="s">
        <v>64</v>
      </c>
      <c r="E599" s="167"/>
      <c r="F599" s="114">
        <v>-500</v>
      </c>
      <c r="G599" s="168"/>
      <c r="H599" s="169"/>
      <c r="I599" s="170"/>
      <c r="J599" s="171" t="s">
        <v>832</v>
      </c>
      <c r="K599" s="172" t="s">
        <v>177</v>
      </c>
      <c r="L599" s="172" t="s">
        <v>175</v>
      </c>
      <c r="M599" s="173" t="str" cm="1">
        <f t="array" ref="M599">IFERROR(INDEX(CategoriesTable[Category type],MATCH(Table1[[#This Row],[Category]],CategoriesTable[Category name],0),0),"")</f>
        <v>Expense</v>
      </c>
      <c r="N599" s="173">
        <v>10</v>
      </c>
      <c r="O599" s="173">
        <f>MONTH(Table1[[#This Row],[Date]])</f>
        <v>7</v>
      </c>
      <c r="P599" s="173">
        <v>2020</v>
      </c>
      <c r="Q599" s="174">
        <f>IF(ISBLANK(Table1[[#This Row],[Date]]),"",Table1[[#This Row],[Date]]-WEEKDAY(Table1[[#This Row],[Date]],2)+1)</f>
        <v>44018</v>
      </c>
      <c r="R599" s="175">
        <f>IF(ISBLANK(Table1[[#This Row],[Date]]),"",DATE(Table1[[#This Row],[Date_Year]],Table1[[#This Row],[Date_Month]],1))</f>
        <v>44013</v>
      </c>
    </row>
    <row r="600" spans="2:18" ht="15.75" hidden="1" x14ac:dyDescent="0.25">
      <c r="B600" s="165">
        <v>44021</v>
      </c>
      <c r="C600" s="166" t="s">
        <v>588</v>
      </c>
      <c r="D600" s="166" t="s">
        <v>65</v>
      </c>
      <c r="E600" s="167"/>
      <c r="F600" s="114">
        <v>-19.850000000000001</v>
      </c>
      <c r="G600" s="168"/>
      <c r="H600" s="169"/>
      <c r="I600" s="170"/>
      <c r="J600" s="171" t="s">
        <v>833</v>
      </c>
      <c r="K600" s="172" t="s">
        <v>177</v>
      </c>
      <c r="L600" s="172" t="s">
        <v>175</v>
      </c>
      <c r="M600" s="173" t="str" cm="1">
        <f t="array" ref="M600">IFERROR(INDEX(CategoriesTable[Category type],MATCH(Table1[[#This Row],[Category]],CategoriesTable[Category name],0),0),"")</f>
        <v>Expense</v>
      </c>
      <c r="N600" s="173">
        <v>9</v>
      </c>
      <c r="O600" s="173">
        <f>MONTH(Table1[[#This Row],[Date]])</f>
        <v>7</v>
      </c>
      <c r="P600" s="173">
        <v>2020</v>
      </c>
      <c r="Q600" s="174">
        <f>IF(ISBLANK(Table1[[#This Row],[Date]]),"",Table1[[#This Row],[Date]]-WEEKDAY(Table1[[#This Row],[Date]],2)+1)</f>
        <v>44018</v>
      </c>
      <c r="R600" s="175">
        <f>IF(ISBLANK(Table1[[#This Row],[Date]]),"",DATE(Table1[[#This Row],[Date_Year]],Table1[[#This Row],[Date_Month]],1))</f>
        <v>44013</v>
      </c>
    </row>
    <row r="601" spans="2:18" ht="15.75" hidden="1" x14ac:dyDescent="0.25">
      <c r="B601" s="165">
        <v>44020</v>
      </c>
      <c r="C601" s="166" t="s">
        <v>834</v>
      </c>
      <c r="D601" s="166" t="s">
        <v>57</v>
      </c>
      <c r="E601" s="167"/>
      <c r="F601" s="114">
        <v>-1.95</v>
      </c>
      <c r="G601" s="168"/>
      <c r="H601" s="169"/>
      <c r="I601" s="170"/>
      <c r="J601" s="171" t="s">
        <v>835</v>
      </c>
      <c r="K601" s="172" t="s">
        <v>177</v>
      </c>
      <c r="L601" s="172" t="s">
        <v>175</v>
      </c>
      <c r="M601" s="173" t="str" cm="1">
        <f t="array" ref="M601">IFERROR(INDEX(CategoriesTable[Category type],MATCH(Table1[[#This Row],[Category]],CategoriesTable[Category name],0),0),"")</f>
        <v>Expense</v>
      </c>
      <c r="N601" s="173">
        <v>8</v>
      </c>
      <c r="O601" s="173">
        <f>MONTH(Table1[[#This Row],[Date]])</f>
        <v>7</v>
      </c>
      <c r="P601" s="173">
        <v>2020</v>
      </c>
      <c r="Q601" s="174">
        <f>IF(ISBLANK(Table1[[#This Row],[Date]]),"",Table1[[#This Row],[Date]]-WEEKDAY(Table1[[#This Row],[Date]],2)+1)</f>
        <v>44018</v>
      </c>
      <c r="R601" s="175">
        <f>IF(ISBLANK(Table1[[#This Row],[Date]]),"",DATE(Table1[[#This Row],[Date_Year]],Table1[[#This Row],[Date_Month]],1))</f>
        <v>44013</v>
      </c>
    </row>
    <row r="602" spans="2:18" ht="15.75" hidden="1" x14ac:dyDescent="0.25">
      <c r="B602" s="165">
        <v>44020</v>
      </c>
      <c r="C602" s="166" t="s">
        <v>120</v>
      </c>
      <c r="D602" s="166" t="s">
        <v>66</v>
      </c>
      <c r="E602" s="167"/>
      <c r="F602" s="114">
        <v>-77.180000000000007</v>
      </c>
      <c r="G602" s="168"/>
      <c r="H602" s="169"/>
      <c r="I602" s="170"/>
      <c r="J602" s="171" t="s">
        <v>836</v>
      </c>
      <c r="K602" s="172" t="s">
        <v>177</v>
      </c>
      <c r="L602" s="172" t="s">
        <v>175</v>
      </c>
      <c r="M602" s="173" t="str" cm="1">
        <f t="array" ref="M602">IFERROR(INDEX(CategoriesTable[Category type],MATCH(Table1[[#This Row],[Category]],CategoriesTable[Category name],0),0),"")</f>
        <v>Expense</v>
      </c>
      <c r="N602" s="173">
        <v>8</v>
      </c>
      <c r="O602" s="173">
        <f>MONTH(Table1[[#This Row],[Date]])</f>
        <v>7</v>
      </c>
      <c r="P602" s="173">
        <v>2020</v>
      </c>
      <c r="Q602" s="174">
        <f>IF(ISBLANK(Table1[[#This Row],[Date]]),"",Table1[[#This Row],[Date]]-WEEKDAY(Table1[[#This Row],[Date]],2)+1)</f>
        <v>44018</v>
      </c>
      <c r="R602" s="175">
        <f>IF(ISBLANK(Table1[[#This Row],[Date]]),"",DATE(Table1[[#This Row],[Date_Year]],Table1[[#This Row],[Date_Month]],1))</f>
        <v>44013</v>
      </c>
    </row>
    <row r="603" spans="2:18" ht="15.75" hidden="1" x14ac:dyDescent="0.25">
      <c r="B603" s="165">
        <v>44020</v>
      </c>
      <c r="C603" s="166" t="s">
        <v>1564</v>
      </c>
      <c r="D603" s="166" t="s">
        <v>56</v>
      </c>
      <c r="E603" s="167"/>
      <c r="F603" s="114">
        <v>-9.99</v>
      </c>
      <c r="G603" s="168"/>
      <c r="H603" s="169"/>
      <c r="I603" s="170"/>
      <c r="J603" s="171" t="s">
        <v>837</v>
      </c>
      <c r="K603" s="172" t="s">
        <v>177</v>
      </c>
      <c r="L603" s="172" t="s">
        <v>175</v>
      </c>
      <c r="M603" s="173" t="str" cm="1">
        <f t="array" ref="M603">IFERROR(INDEX(CategoriesTable[Category type],MATCH(Table1[[#This Row],[Category]],CategoriesTable[Category name],0),0),"")</f>
        <v>Expense</v>
      </c>
      <c r="N603" s="173">
        <v>8</v>
      </c>
      <c r="O603" s="173">
        <f>MONTH(Table1[[#This Row],[Date]])</f>
        <v>7</v>
      </c>
      <c r="P603" s="173">
        <v>2020</v>
      </c>
      <c r="Q603" s="174">
        <f>IF(ISBLANK(Table1[[#This Row],[Date]]),"",Table1[[#This Row],[Date]]-WEEKDAY(Table1[[#This Row],[Date]],2)+1)</f>
        <v>44018</v>
      </c>
      <c r="R603" s="175">
        <f>IF(ISBLANK(Table1[[#This Row],[Date]]),"",DATE(Table1[[#This Row],[Date_Year]],Table1[[#This Row],[Date_Month]],1))</f>
        <v>44013</v>
      </c>
    </row>
    <row r="604" spans="2:18" ht="15.75" hidden="1" x14ac:dyDescent="0.25">
      <c r="B604" s="165">
        <v>44020</v>
      </c>
      <c r="C604" s="166" t="s">
        <v>1564</v>
      </c>
      <c r="D604" s="166" t="s">
        <v>56</v>
      </c>
      <c r="E604" s="167"/>
      <c r="F604" s="114">
        <v>-9.99</v>
      </c>
      <c r="G604" s="168"/>
      <c r="H604" s="169"/>
      <c r="I604" s="170"/>
      <c r="J604" s="171" t="s">
        <v>838</v>
      </c>
      <c r="K604" s="172" t="s">
        <v>177</v>
      </c>
      <c r="L604" s="172" t="s">
        <v>175</v>
      </c>
      <c r="M604" s="173" t="str" cm="1">
        <f t="array" ref="M604">IFERROR(INDEX(CategoriesTable[Category type],MATCH(Table1[[#This Row],[Category]],CategoriesTable[Category name],0),0),"")</f>
        <v>Expense</v>
      </c>
      <c r="N604" s="173">
        <v>8</v>
      </c>
      <c r="O604" s="173">
        <f>MONTH(Table1[[#This Row],[Date]])</f>
        <v>7</v>
      </c>
      <c r="P604" s="173">
        <v>2020</v>
      </c>
      <c r="Q604" s="174">
        <f>IF(ISBLANK(Table1[[#This Row],[Date]]),"",Table1[[#This Row],[Date]]-WEEKDAY(Table1[[#This Row],[Date]],2)+1)</f>
        <v>44018</v>
      </c>
      <c r="R604" s="175">
        <f>IF(ISBLANK(Table1[[#This Row],[Date]]),"",DATE(Table1[[#This Row],[Date_Year]],Table1[[#This Row],[Date_Month]],1))</f>
        <v>44013</v>
      </c>
    </row>
    <row r="605" spans="2:18" ht="15.75" hidden="1" x14ac:dyDescent="0.25">
      <c r="B605" s="165">
        <v>44020</v>
      </c>
      <c r="C605" s="166" t="s">
        <v>1564</v>
      </c>
      <c r="D605" s="166" t="s">
        <v>56</v>
      </c>
      <c r="E605" s="167"/>
      <c r="F605" s="114">
        <v>-9.99</v>
      </c>
      <c r="G605" s="168"/>
      <c r="H605" s="169"/>
      <c r="I605" s="170"/>
      <c r="J605" s="171" t="s">
        <v>839</v>
      </c>
      <c r="K605" s="172" t="s">
        <v>177</v>
      </c>
      <c r="L605" s="172" t="s">
        <v>175</v>
      </c>
      <c r="M605" s="173" t="str" cm="1">
        <f t="array" ref="M605">IFERROR(INDEX(CategoriesTable[Category type],MATCH(Table1[[#This Row],[Category]],CategoriesTable[Category name],0),0),"")</f>
        <v>Expense</v>
      </c>
      <c r="N605" s="173">
        <v>8</v>
      </c>
      <c r="O605" s="173">
        <f>MONTH(Table1[[#This Row],[Date]])</f>
        <v>7</v>
      </c>
      <c r="P605" s="173">
        <v>2020</v>
      </c>
      <c r="Q605" s="174">
        <f>IF(ISBLANK(Table1[[#This Row],[Date]]),"",Table1[[#This Row],[Date]]-WEEKDAY(Table1[[#This Row],[Date]],2)+1)</f>
        <v>44018</v>
      </c>
      <c r="R605" s="175">
        <f>IF(ISBLANK(Table1[[#This Row],[Date]]),"",DATE(Table1[[#This Row],[Date_Year]],Table1[[#This Row],[Date_Month]],1))</f>
        <v>44013</v>
      </c>
    </row>
    <row r="606" spans="2:18" ht="15.75" hidden="1" x14ac:dyDescent="0.25">
      <c r="B606" s="165">
        <v>44020</v>
      </c>
      <c r="C606" s="166" t="s">
        <v>840</v>
      </c>
      <c r="D606" s="166" t="s">
        <v>55</v>
      </c>
      <c r="E606" s="167"/>
      <c r="F606" s="114">
        <v>-342.87</v>
      </c>
      <c r="G606" s="168"/>
      <c r="H606" s="169"/>
      <c r="I606" s="170"/>
      <c r="J606" s="171" t="s">
        <v>841</v>
      </c>
      <c r="K606" s="172" t="s">
        <v>177</v>
      </c>
      <c r="L606" s="172" t="s">
        <v>175</v>
      </c>
      <c r="M606" s="173" t="str" cm="1">
        <f t="array" ref="M606">IFERROR(INDEX(CategoriesTable[Category type],MATCH(Table1[[#This Row],[Category]],CategoriesTable[Category name],0),0),"")</f>
        <v>Expense</v>
      </c>
      <c r="N606" s="173">
        <v>8</v>
      </c>
      <c r="O606" s="173">
        <f>MONTH(Table1[[#This Row],[Date]])</f>
        <v>7</v>
      </c>
      <c r="P606" s="173">
        <v>2020</v>
      </c>
      <c r="Q606" s="174">
        <f>IF(ISBLANK(Table1[[#This Row],[Date]]),"",Table1[[#This Row],[Date]]-WEEKDAY(Table1[[#This Row],[Date]],2)+1)</f>
        <v>44018</v>
      </c>
      <c r="R606" s="175">
        <f>IF(ISBLANK(Table1[[#This Row],[Date]]),"",DATE(Table1[[#This Row],[Date_Year]],Table1[[#This Row],[Date_Month]],1))</f>
        <v>44013</v>
      </c>
    </row>
    <row r="607" spans="2:18" ht="15.75" hidden="1" x14ac:dyDescent="0.25">
      <c r="B607" s="165">
        <v>44019</v>
      </c>
      <c r="C607" s="166" t="s">
        <v>738</v>
      </c>
      <c r="D607" s="166" t="s">
        <v>55</v>
      </c>
      <c r="E607" s="167"/>
      <c r="F607" s="114">
        <v>-173.83</v>
      </c>
      <c r="G607" s="168"/>
      <c r="H607" s="169"/>
      <c r="I607" s="170"/>
      <c r="J607" s="171" t="s">
        <v>842</v>
      </c>
      <c r="K607" s="172" t="s">
        <v>177</v>
      </c>
      <c r="L607" s="172" t="s">
        <v>175</v>
      </c>
      <c r="M607" s="173" t="str" cm="1">
        <f t="array" ref="M607">IFERROR(INDEX(CategoriesTable[Category type],MATCH(Table1[[#This Row],[Category]],CategoriesTable[Category name],0),0),"")</f>
        <v>Expense</v>
      </c>
      <c r="N607" s="173">
        <v>7</v>
      </c>
      <c r="O607" s="173">
        <f>MONTH(Table1[[#This Row],[Date]])</f>
        <v>7</v>
      </c>
      <c r="P607" s="173">
        <v>2020</v>
      </c>
      <c r="Q607" s="174">
        <f>IF(ISBLANK(Table1[[#This Row],[Date]]),"",Table1[[#This Row],[Date]]-WEEKDAY(Table1[[#This Row],[Date]],2)+1)</f>
        <v>44018</v>
      </c>
      <c r="R607" s="175">
        <f>IF(ISBLANK(Table1[[#This Row],[Date]]),"",DATE(Table1[[#This Row],[Date_Year]],Table1[[#This Row],[Date_Month]],1))</f>
        <v>44013</v>
      </c>
    </row>
    <row r="608" spans="2:18" ht="15.75" hidden="1" x14ac:dyDescent="0.25">
      <c r="B608" s="165">
        <v>44018</v>
      </c>
      <c r="C608" s="166" t="s">
        <v>572</v>
      </c>
      <c r="D608" s="166" t="s">
        <v>63</v>
      </c>
      <c r="E608" s="167"/>
      <c r="F608" s="114">
        <v>-3.5</v>
      </c>
      <c r="G608" s="168"/>
      <c r="H608" s="169"/>
      <c r="I608" s="170"/>
      <c r="J608" s="171" t="s">
        <v>843</v>
      </c>
      <c r="K608" s="172" t="s">
        <v>177</v>
      </c>
      <c r="L608" s="172" t="s">
        <v>175</v>
      </c>
      <c r="M608" s="173" t="str" cm="1">
        <f t="array" ref="M608">IFERROR(INDEX(CategoriesTable[Category type],MATCH(Table1[[#This Row],[Category]],CategoriesTable[Category name],0),0),"")</f>
        <v>Expense</v>
      </c>
      <c r="N608" s="173">
        <v>6</v>
      </c>
      <c r="O608" s="173">
        <f>MONTH(Table1[[#This Row],[Date]])</f>
        <v>7</v>
      </c>
      <c r="P608" s="173">
        <v>2020</v>
      </c>
      <c r="Q608" s="174">
        <f>IF(ISBLANK(Table1[[#This Row],[Date]]),"",Table1[[#This Row],[Date]]-WEEKDAY(Table1[[#This Row],[Date]],2)+1)</f>
        <v>44018</v>
      </c>
      <c r="R608" s="175">
        <f>IF(ISBLANK(Table1[[#This Row],[Date]]),"",DATE(Table1[[#This Row],[Date_Year]],Table1[[#This Row],[Date_Month]],1))</f>
        <v>44013</v>
      </c>
    </row>
    <row r="609" spans="2:18" ht="15.75" hidden="1" x14ac:dyDescent="0.25">
      <c r="B609" s="165">
        <v>44018</v>
      </c>
      <c r="C609" s="166" t="s">
        <v>664</v>
      </c>
      <c r="D609" s="166" t="s">
        <v>66</v>
      </c>
      <c r="E609" s="167"/>
      <c r="F609" s="114">
        <v>-124.13</v>
      </c>
      <c r="G609" s="168"/>
      <c r="H609" s="169"/>
      <c r="I609" s="170"/>
      <c r="J609" s="171" t="s">
        <v>844</v>
      </c>
      <c r="K609" s="172" t="s">
        <v>177</v>
      </c>
      <c r="L609" s="172" t="s">
        <v>175</v>
      </c>
      <c r="M609" s="173" t="str" cm="1">
        <f t="array" ref="M609">IFERROR(INDEX(CategoriesTable[Category type],MATCH(Table1[[#This Row],[Category]],CategoriesTable[Category name],0),0),"")</f>
        <v>Expense</v>
      </c>
      <c r="N609" s="173">
        <v>6</v>
      </c>
      <c r="O609" s="173">
        <f>MONTH(Table1[[#This Row],[Date]])</f>
        <v>7</v>
      </c>
      <c r="P609" s="173">
        <v>2020</v>
      </c>
      <c r="Q609" s="174">
        <f>IF(ISBLANK(Table1[[#This Row],[Date]]),"",Table1[[#This Row],[Date]]-WEEKDAY(Table1[[#This Row],[Date]],2)+1)</f>
        <v>44018</v>
      </c>
      <c r="R609" s="175">
        <f>IF(ISBLANK(Table1[[#This Row],[Date]]),"",DATE(Table1[[#This Row],[Date_Year]],Table1[[#This Row],[Date_Month]],1))</f>
        <v>44013</v>
      </c>
    </row>
    <row r="610" spans="2:18" ht="15.75" hidden="1" x14ac:dyDescent="0.25">
      <c r="B610" s="165">
        <v>44018</v>
      </c>
      <c r="C610" s="166" t="s">
        <v>845</v>
      </c>
      <c r="D610" s="166" t="s">
        <v>55</v>
      </c>
      <c r="E610" s="167"/>
      <c r="F610" s="114">
        <v>-323.8</v>
      </c>
      <c r="G610" s="168"/>
      <c r="H610" s="169"/>
      <c r="I610" s="170"/>
      <c r="J610" s="171" t="s">
        <v>846</v>
      </c>
      <c r="K610" s="172" t="s">
        <v>177</v>
      </c>
      <c r="L610" s="172" t="s">
        <v>175</v>
      </c>
      <c r="M610" s="173" t="str" cm="1">
        <f t="array" ref="M610">IFERROR(INDEX(CategoriesTable[Category type],MATCH(Table1[[#This Row],[Category]],CategoriesTable[Category name],0),0),"")</f>
        <v>Expense</v>
      </c>
      <c r="N610" s="173">
        <v>6</v>
      </c>
      <c r="O610" s="173">
        <f>MONTH(Table1[[#This Row],[Date]])</f>
        <v>7</v>
      </c>
      <c r="P610" s="173">
        <v>2020</v>
      </c>
      <c r="Q610" s="174">
        <f>IF(ISBLANK(Table1[[#This Row],[Date]]),"",Table1[[#This Row],[Date]]-WEEKDAY(Table1[[#This Row],[Date]],2)+1)</f>
        <v>44018</v>
      </c>
      <c r="R610" s="175">
        <f>IF(ISBLANK(Table1[[#This Row],[Date]]),"",DATE(Table1[[#This Row],[Date_Year]],Table1[[#This Row],[Date_Month]],1))</f>
        <v>44013</v>
      </c>
    </row>
    <row r="611" spans="2:18" ht="15.75" hidden="1" x14ac:dyDescent="0.25">
      <c r="B611" s="165">
        <v>44017</v>
      </c>
      <c r="C611" s="166" t="s">
        <v>199</v>
      </c>
      <c r="D611" s="166" t="s">
        <v>65</v>
      </c>
      <c r="E611" s="167"/>
      <c r="F611" s="114">
        <v>-21.71</v>
      </c>
      <c r="G611" s="168"/>
      <c r="H611" s="169"/>
      <c r="I611" s="170"/>
      <c r="J611" s="171" t="s">
        <v>847</v>
      </c>
      <c r="K611" s="172" t="s">
        <v>177</v>
      </c>
      <c r="L611" s="172" t="s">
        <v>175</v>
      </c>
      <c r="M611" s="173" t="str" cm="1">
        <f t="array" ref="M611">IFERROR(INDEX(CategoriesTable[Category type],MATCH(Table1[[#This Row],[Category]],CategoriesTable[Category name],0),0),"")</f>
        <v>Expense</v>
      </c>
      <c r="N611" s="173">
        <v>5</v>
      </c>
      <c r="O611" s="173">
        <f>MONTH(Table1[[#This Row],[Date]])</f>
        <v>7</v>
      </c>
      <c r="P611" s="173">
        <v>2020</v>
      </c>
      <c r="Q611" s="174">
        <f>IF(ISBLANK(Table1[[#This Row],[Date]]),"",Table1[[#This Row],[Date]]-WEEKDAY(Table1[[#This Row],[Date]],2)+1)</f>
        <v>44011</v>
      </c>
      <c r="R611" s="175">
        <f>IF(ISBLANK(Table1[[#This Row],[Date]]),"",DATE(Table1[[#This Row],[Date_Year]],Table1[[#This Row],[Date_Month]],1))</f>
        <v>44013</v>
      </c>
    </row>
    <row r="612" spans="2:18" ht="15.75" hidden="1" x14ac:dyDescent="0.25">
      <c r="B612" s="165">
        <v>44017</v>
      </c>
      <c r="C612" s="166" t="s">
        <v>199</v>
      </c>
      <c r="D612" s="166" t="s">
        <v>65</v>
      </c>
      <c r="E612" s="167"/>
      <c r="F612" s="114">
        <v>-26.15</v>
      </c>
      <c r="G612" s="168"/>
      <c r="H612" s="169"/>
      <c r="I612" s="170"/>
      <c r="J612" s="171" t="s">
        <v>848</v>
      </c>
      <c r="K612" s="172" t="s">
        <v>177</v>
      </c>
      <c r="L612" s="172" t="s">
        <v>175</v>
      </c>
      <c r="M612" s="173" t="str" cm="1">
        <f t="array" ref="M612">IFERROR(INDEX(CategoriesTable[Category type],MATCH(Table1[[#This Row],[Category]],CategoriesTable[Category name],0),0),"")</f>
        <v>Expense</v>
      </c>
      <c r="N612" s="173">
        <v>5</v>
      </c>
      <c r="O612" s="173">
        <f>MONTH(Table1[[#This Row],[Date]])</f>
        <v>7</v>
      </c>
      <c r="P612" s="173">
        <v>2020</v>
      </c>
      <c r="Q612" s="174">
        <f>IF(ISBLANK(Table1[[#This Row],[Date]]),"",Table1[[#This Row],[Date]]-WEEKDAY(Table1[[#This Row],[Date]],2)+1)</f>
        <v>44011</v>
      </c>
      <c r="R612" s="175">
        <f>IF(ISBLANK(Table1[[#This Row],[Date]]),"",DATE(Table1[[#This Row],[Date_Year]],Table1[[#This Row],[Date_Month]],1))</f>
        <v>44013</v>
      </c>
    </row>
    <row r="613" spans="2:18" ht="15.75" hidden="1" x14ac:dyDescent="0.25">
      <c r="B613" s="165">
        <v>44017</v>
      </c>
      <c r="C613" s="166" t="s">
        <v>120</v>
      </c>
      <c r="D613" s="166" t="s">
        <v>66</v>
      </c>
      <c r="E613" s="167"/>
      <c r="F613" s="114">
        <v>-11.12</v>
      </c>
      <c r="G613" s="168"/>
      <c r="H613" s="169"/>
      <c r="I613" s="170"/>
      <c r="J613" s="171" t="s">
        <v>849</v>
      </c>
      <c r="K613" s="172" t="s">
        <v>177</v>
      </c>
      <c r="L613" s="172" t="s">
        <v>175</v>
      </c>
      <c r="M613" s="173" t="str" cm="1">
        <f t="array" ref="M613">IFERROR(INDEX(CategoriesTable[Category type],MATCH(Table1[[#This Row],[Category]],CategoriesTable[Category name],0),0),"")</f>
        <v>Expense</v>
      </c>
      <c r="N613" s="173">
        <v>5</v>
      </c>
      <c r="O613" s="173">
        <f>MONTH(Table1[[#This Row],[Date]])</f>
        <v>7</v>
      </c>
      <c r="P613" s="173">
        <v>2020</v>
      </c>
      <c r="Q613" s="174">
        <f>IF(ISBLANK(Table1[[#This Row],[Date]]),"",Table1[[#This Row],[Date]]-WEEKDAY(Table1[[#This Row],[Date]],2)+1)</f>
        <v>44011</v>
      </c>
      <c r="R613" s="175">
        <f>IF(ISBLANK(Table1[[#This Row],[Date]]),"",DATE(Table1[[#This Row],[Date_Year]],Table1[[#This Row],[Date_Month]],1))</f>
        <v>44013</v>
      </c>
    </row>
    <row r="614" spans="2:18" ht="15.75" hidden="1" x14ac:dyDescent="0.25">
      <c r="B614" s="165">
        <v>44017</v>
      </c>
      <c r="C614" s="166" t="s">
        <v>120</v>
      </c>
      <c r="D614" s="166" t="s">
        <v>66</v>
      </c>
      <c r="E614" s="167"/>
      <c r="F614" s="114">
        <v>-132.63999999999999</v>
      </c>
      <c r="G614" s="168"/>
      <c r="H614" s="169"/>
      <c r="I614" s="170"/>
      <c r="J614" s="171" t="s">
        <v>850</v>
      </c>
      <c r="K614" s="172" t="s">
        <v>177</v>
      </c>
      <c r="L614" s="172" t="s">
        <v>175</v>
      </c>
      <c r="M614" s="173" t="str" cm="1">
        <f t="array" ref="M614">IFERROR(INDEX(CategoriesTable[Category type],MATCH(Table1[[#This Row],[Category]],CategoriesTable[Category name],0),0),"")</f>
        <v>Expense</v>
      </c>
      <c r="N614" s="173">
        <v>5</v>
      </c>
      <c r="O614" s="173">
        <f>MONTH(Table1[[#This Row],[Date]])</f>
        <v>7</v>
      </c>
      <c r="P614" s="173">
        <v>2020</v>
      </c>
      <c r="Q614" s="174">
        <f>IF(ISBLANK(Table1[[#This Row],[Date]]),"",Table1[[#This Row],[Date]]-WEEKDAY(Table1[[#This Row],[Date]],2)+1)</f>
        <v>44011</v>
      </c>
      <c r="R614" s="175">
        <f>IF(ISBLANK(Table1[[#This Row],[Date]]),"",DATE(Table1[[#This Row],[Date_Year]],Table1[[#This Row],[Date_Month]],1))</f>
        <v>44013</v>
      </c>
    </row>
    <row r="615" spans="2:18" ht="15.75" hidden="1" x14ac:dyDescent="0.25">
      <c r="B615" s="165">
        <v>44017</v>
      </c>
      <c r="C615" s="166" t="s">
        <v>123</v>
      </c>
      <c r="D615" s="166" t="s">
        <v>55</v>
      </c>
      <c r="E615" s="167"/>
      <c r="F615" s="114">
        <v>-15.99</v>
      </c>
      <c r="G615" s="168"/>
      <c r="H615" s="169"/>
      <c r="I615" s="170"/>
      <c r="J615" s="171" t="s">
        <v>851</v>
      </c>
      <c r="K615" s="172" t="s">
        <v>177</v>
      </c>
      <c r="L615" s="172" t="s">
        <v>175</v>
      </c>
      <c r="M615" s="173" t="str" cm="1">
        <f t="array" ref="M615">IFERROR(INDEX(CategoriesTable[Category type],MATCH(Table1[[#This Row],[Category]],CategoriesTable[Category name],0),0),"")</f>
        <v>Expense</v>
      </c>
      <c r="N615" s="173">
        <v>5</v>
      </c>
      <c r="O615" s="173">
        <f>MONTH(Table1[[#This Row],[Date]])</f>
        <v>7</v>
      </c>
      <c r="P615" s="173">
        <v>2020</v>
      </c>
      <c r="Q615" s="174">
        <f>IF(ISBLANK(Table1[[#This Row],[Date]]),"",Table1[[#This Row],[Date]]-WEEKDAY(Table1[[#This Row],[Date]],2)+1)</f>
        <v>44011</v>
      </c>
      <c r="R615" s="175">
        <f>IF(ISBLANK(Table1[[#This Row],[Date]]),"",DATE(Table1[[#This Row],[Date_Year]],Table1[[#This Row],[Date_Month]],1))</f>
        <v>44013</v>
      </c>
    </row>
    <row r="616" spans="2:18" ht="15.75" hidden="1" x14ac:dyDescent="0.25">
      <c r="B616" s="165">
        <v>44016</v>
      </c>
      <c r="C616" s="166" t="s">
        <v>199</v>
      </c>
      <c r="D616" s="166" t="s">
        <v>65</v>
      </c>
      <c r="E616" s="167"/>
      <c r="F616" s="114">
        <v>-49.01</v>
      </c>
      <c r="G616" s="168"/>
      <c r="H616" s="169"/>
      <c r="I616" s="170"/>
      <c r="J616" s="171" t="s">
        <v>852</v>
      </c>
      <c r="K616" s="172" t="s">
        <v>177</v>
      </c>
      <c r="L616" s="172" t="s">
        <v>175</v>
      </c>
      <c r="M616" s="173" t="str" cm="1">
        <f t="array" ref="M616">IFERROR(INDEX(CategoriesTable[Category type],MATCH(Table1[[#This Row],[Category]],CategoriesTable[Category name],0),0),"")</f>
        <v>Expense</v>
      </c>
      <c r="N616" s="173">
        <v>4</v>
      </c>
      <c r="O616" s="173">
        <f>MONTH(Table1[[#This Row],[Date]])</f>
        <v>7</v>
      </c>
      <c r="P616" s="173">
        <v>2020</v>
      </c>
      <c r="Q616" s="174">
        <f>IF(ISBLANK(Table1[[#This Row],[Date]]),"",Table1[[#This Row],[Date]]-WEEKDAY(Table1[[#This Row],[Date]],2)+1)</f>
        <v>44011</v>
      </c>
      <c r="R616" s="175">
        <f>IF(ISBLANK(Table1[[#This Row],[Date]]),"",DATE(Table1[[#This Row],[Date_Year]],Table1[[#This Row],[Date_Month]],1))</f>
        <v>44013</v>
      </c>
    </row>
    <row r="617" spans="2:18" ht="15.75" hidden="1" x14ac:dyDescent="0.25">
      <c r="B617" s="165">
        <v>44016</v>
      </c>
      <c r="C617" s="166" t="s">
        <v>120</v>
      </c>
      <c r="D617" s="166" t="s">
        <v>66</v>
      </c>
      <c r="E617" s="167"/>
      <c r="F617" s="114">
        <v>-30.01</v>
      </c>
      <c r="G617" s="168"/>
      <c r="H617" s="169"/>
      <c r="I617" s="170"/>
      <c r="J617" s="171" t="s">
        <v>853</v>
      </c>
      <c r="K617" s="172" t="s">
        <v>177</v>
      </c>
      <c r="L617" s="172" t="s">
        <v>175</v>
      </c>
      <c r="M617" s="173" t="str" cm="1">
        <f t="array" ref="M617">IFERROR(INDEX(CategoriesTable[Category type],MATCH(Table1[[#This Row],[Category]],CategoriesTable[Category name],0),0),"")</f>
        <v>Expense</v>
      </c>
      <c r="N617" s="173">
        <v>4</v>
      </c>
      <c r="O617" s="173">
        <f>MONTH(Table1[[#This Row],[Date]])</f>
        <v>7</v>
      </c>
      <c r="P617" s="173">
        <v>2020</v>
      </c>
      <c r="Q617" s="174">
        <f>IF(ISBLANK(Table1[[#This Row],[Date]]),"",Table1[[#This Row],[Date]]-WEEKDAY(Table1[[#This Row],[Date]],2)+1)</f>
        <v>44011</v>
      </c>
      <c r="R617" s="175">
        <f>IF(ISBLANK(Table1[[#This Row],[Date]]),"",DATE(Table1[[#This Row],[Date_Year]],Table1[[#This Row],[Date_Month]],1))</f>
        <v>44013</v>
      </c>
    </row>
    <row r="618" spans="2:18" ht="15.75" hidden="1" x14ac:dyDescent="0.25">
      <c r="B618" s="165">
        <v>44015</v>
      </c>
      <c r="C618" s="166" t="s">
        <v>199</v>
      </c>
      <c r="D618" s="166" t="s">
        <v>65</v>
      </c>
      <c r="E618" s="167"/>
      <c r="F618" s="114">
        <v>-32.08</v>
      </c>
      <c r="G618" s="168"/>
      <c r="H618" s="169"/>
      <c r="I618" s="170"/>
      <c r="J618" s="171" t="s">
        <v>854</v>
      </c>
      <c r="K618" s="172" t="s">
        <v>177</v>
      </c>
      <c r="L618" s="172" t="s">
        <v>175</v>
      </c>
      <c r="M618" s="173" t="str" cm="1">
        <f t="array" ref="M618">IFERROR(INDEX(CategoriesTable[Category type],MATCH(Table1[[#This Row],[Category]],CategoriesTable[Category name],0),0),"")</f>
        <v>Expense</v>
      </c>
      <c r="N618" s="173">
        <v>3</v>
      </c>
      <c r="O618" s="173">
        <f>MONTH(Table1[[#This Row],[Date]])</f>
        <v>7</v>
      </c>
      <c r="P618" s="173">
        <v>2020</v>
      </c>
      <c r="Q618" s="174">
        <f>IF(ISBLANK(Table1[[#This Row],[Date]]),"",Table1[[#This Row],[Date]]-WEEKDAY(Table1[[#This Row],[Date]],2)+1)</f>
        <v>44011</v>
      </c>
      <c r="R618" s="175">
        <f>IF(ISBLANK(Table1[[#This Row],[Date]]),"",DATE(Table1[[#This Row],[Date_Year]],Table1[[#This Row],[Date_Month]],1))</f>
        <v>44013</v>
      </c>
    </row>
    <row r="619" spans="2:18" ht="15.75" hidden="1" x14ac:dyDescent="0.25">
      <c r="B619" s="165">
        <v>44015</v>
      </c>
      <c r="C619" s="166" t="s">
        <v>284</v>
      </c>
      <c r="D619" s="166" t="s">
        <v>52</v>
      </c>
      <c r="E619" s="167"/>
      <c r="F619" s="114">
        <v>-239</v>
      </c>
      <c r="G619" s="168"/>
      <c r="H619" s="169"/>
      <c r="I619" s="170"/>
      <c r="J619" s="171" t="s">
        <v>855</v>
      </c>
      <c r="K619" s="172" t="s">
        <v>177</v>
      </c>
      <c r="L619" s="172" t="s">
        <v>175</v>
      </c>
      <c r="M619" s="173" t="str" cm="1">
        <f t="array" ref="M619">IFERROR(INDEX(CategoriesTable[Category type],MATCH(Table1[[#This Row],[Category]],CategoriesTable[Category name],0),0),"")</f>
        <v>Transfer</v>
      </c>
      <c r="N619" s="173">
        <v>3</v>
      </c>
      <c r="O619" s="173">
        <f>MONTH(Table1[[#This Row],[Date]])</f>
        <v>7</v>
      </c>
      <c r="P619" s="173">
        <v>2020</v>
      </c>
      <c r="Q619" s="174">
        <f>IF(ISBLANK(Table1[[#This Row],[Date]]),"",Table1[[#This Row],[Date]]-WEEKDAY(Table1[[#This Row],[Date]],2)+1)</f>
        <v>44011</v>
      </c>
      <c r="R619" s="175">
        <f>IF(ISBLANK(Table1[[#This Row],[Date]]),"",DATE(Table1[[#This Row],[Date_Year]],Table1[[#This Row],[Date_Month]],1))</f>
        <v>44013</v>
      </c>
    </row>
    <row r="620" spans="2:18" ht="15.75" hidden="1" x14ac:dyDescent="0.25">
      <c r="B620" s="165">
        <v>44014</v>
      </c>
      <c r="C620" s="166" t="s">
        <v>1571</v>
      </c>
      <c r="D620" s="166" t="s">
        <v>66</v>
      </c>
      <c r="E620" s="167"/>
      <c r="F620" s="114">
        <v>-5.3</v>
      </c>
      <c r="G620" s="168"/>
      <c r="H620" s="169"/>
      <c r="I620" s="170"/>
      <c r="J620" s="171" t="s">
        <v>856</v>
      </c>
      <c r="K620" s="172" t="s">
        <v>177</v>
      </c>
      <c r="L620" s="172" t="s">
        <v>175</v>
      </c>
      <c r="M620" s="173" t="str" cm="1">
        <f t="array" ref="M620">IFERROR(INDEX(CategoriesTable[Category type],MATCH(Table1[[#This Row],[Category]],CategoriesTable[Category name],0),0),"")</f>
        <v>Expense</v>
      </c>
      <c r="N620" s="173">
        <v>2</v>
      </c>
      <c r="O620" s="173">
        <f>MONTH(Table1[[#This Row],[Date]])</f>
        <v>7</v>
      </c>
      <c r="P620" s="173">
        <v>2020</v>
      </c>
      <c r="Q620" s="174">
        <f>IF(ISBLANK(Table1[[#This Row],[Date]]),"",Table1[[#This Row],[Date]]-WEEKDAY(Table1[[#This Row],[Date]],2)+1)</f>
        <v>44011</v>
      </c>
      <c r="R620" s="175">
        <f>IF(ISBLANK(Table1[[#This Row],[Date]]),"",DATE(Table1[[#This Row],[Date_Year]],Table1[[#This Row],[Date_Month]],1))</f>
        <v>44013</v>
      </c>
    </row>
    <row r="621" spans="2:18" ht="15.75" hidden="1" x14ac:dyDescent="0.25">
      <c r="B621" s="165">
        <v>44014</v>
      </c>
      <c r="C621" s="166" t="s">
        <v>199</v>
      </c>
      <c r="D621" s="166" t="s">
        <v>65</v>
      </c>
      <c r="E621" s="167"/>
      <c r="F621" s="114">
        <v>-70.91</v>
      </c>
      <c r="G621" s="168"/>
      <c r="H621" s="169"/>
      <c r="I621" s="170"/>
      <c r="J621" s="171" t="s">
        <v>857</v>
      </c>
      <c r="K621" s="172" t="s">
        <v>177</v>
      </c>
      <c r="L621" s="172" t="s">
        <v>175</v>
      </c>
      <c r="M621" s="173" t="str" cm="1">
        <f t="array" ref="M621">IFERROR(INDEX(CategoriesTable[Category type],MATCH(Table1[[#This Row],[Category]],CategoriesTable[Category name],0),0),"")</f>
        <v>Expense</v>
      </c>
      <c r="N621" s="173">
        <v>2</v>
      </c>
      <c r="O621" s="173">
        <f>MONTH(Table1[[#This Row],[Date]])</f>
        <v>7</v>
      </c>
      <c r="P621" s="173">
        <v>2020</v>
      </c>
      <c r="Q621" s="174">
        <f>IF(ISBLANK(Table1[[#This Row],[Date]]),"",Table1[[#This Row],[Date]]-WEEKDAY(Table1[[#This Row],[Date]],2)+1)</f>
        <v>44011</v>
      </c>
      <c r="R621" s="175">
        <f>IF(ISBLANK(Table1[[#This Row],[Date]]),"",DATE(Table1[[#This Row],[Date_Year]],Table1[[#This Row],[Date_Month]],1))</f>
        <v>44013</v>
      </c>
    </row>
    <row r="622" spans="2:18" ht="15.75" hidden="1" x14ac:dyDescent="0.25">
      <c r="B622" s="165">
        <v>44013</v>
      </c>
      <c r="C622" s="166" t="s">
        <v>196</v>
      </c>
      <c r="D622" s="166" t="s">
        <v>50</v>
      </c>
      <c r="E622" s="167"/>
      <c r="F622" s="114">
        <v>4373.0200000000004</v>
      </c>
      <c r="G622" s="168"/>
      <c r="H622" s="169"/>
      <c r="I622" s="170"/>
      <c r="J622" s="171" t="s">
        <v>858</v>
      </c>
      <c r="K622" s="172" t="s">
        <v>177</v>
      </c>
      <c r="L622" s="172" t="s">
        <v>175</v>
      </c>
      <c r="M622" s="173" t="str" cm="1">
        <f t="array" ref="M622">IFERROR(INDEX(CategoriesTable[Category type],MATCH(Table1[[#This Row],[Category]],CategoriesTable[Category name],0),0),"")</f>
        <v>Income</v>
      </c>
      <c r="N622" s="173">
        <v>1</v>
      </c>
      <c r="O622" s="173">
        <f>MONTH(Table1[[#This Row],[Date]])</f>
        <v>7</v>
      </c>
      <c r="P622" s="173">
        <v>2020</v>
      </c>
      <c r="Q622" s="174">
        <f>IF(ISBLANK(Table1[[#This Row],[Date]]),"",Table1[[#This Row],[Date]]-WEEKDAY(Table1[[#This Row],[Date]],2)+1)</f>
        <v>44011</v>
      </c>
      <c r="R622" s="175">
        <f>IF(ISBLANK(Table1[[#This Row],[Date]]),"",DATE(Table1[[#This Row],[Date_Year]],Table1[[#This Row],[Date_Month]],1))</f>
        <v>44013</v>
      </c>
    </row>
    <row r="623" spans="2:18" ht="15.75" hidden="1" x14ac:dyDescent="0.25">
      <c r="B623" s="165">
        <v>44012</v>
      </c>
      <c r="C623" s="166" t="s">
        <v>138</v>
      </c>
      <c r="D623" s="166" t="s">
        <v>66</v>
      </c>
      <c r="E623" s="167"/>
      <c r="F623" s="114">
        <v>-12.99</v>
      </c>
      <c r="G623" s="168"/>
      <c r="H623" s="169"/>
      <c r="I623" s="170"/>
      <c r="J623" s="171" t="s">
        <v>859</v>
      </c>
      <c r="K623" s="172" t="s">
        <v>177</v>
      </c>
      <c r="L623" s="172" t="s">
        <v>175</v>
      </c>
      <c r="M623" s="173" t="str" cm="1">
        <f t="array" ref="M623">IFERROR(INDEX(CategoriesTable[Category type],MATCH(Table1[[#This Row],[Category]],CategoriesTable[Category name],0),0),"")</f>
        <v>Expense</v>
      </c>
      <c r="N623" s="173">
        <v>30</v>
      </c>
      <c r="O623" s="173">
        <f>MONTH(Table1[[#This Row],[Date]])</f>
        <v>6</v>
      </c>
      <c r="P623" s="173">
        <v>2020</v>
      </c>
      <c r="Q623" s="174">
        <f>IF(ISBLANK(Table1[[#This Row],[Date]]),"",Table1[[#This Row],[Date]]-WEEKDAY(Table1[[#This Row],[Date]],2)+1)</f>
        <v>44011</v>
      </c>
      <c r="R623" s="175">
        <f>IF(ISBLANK(Table1[[#This Row],[Date]]),"",DATE(Table1[[#This Row],[Date_Year]],Table1[[#This Row],[Date_Month]],1))</f>
        <v>43983</v>
      </c>
    </row>
    <row r="624" spans="2:18" ht="15.75" hidden="1" x14ac:dyDescent="0.25">
      <c r="B624" s="165">
        <v>44011</v>
      </c>
      <c r="C624" s="166" t="s">
        <v>486</v>
      </c>
      <c r="D624" s="166" t="s">
        <v>50</v>
      </c>
      <c r="E624" s="167"/>
      <c r="F624" s="114">
        <v>540</v>
      </c>
      <c r="G624" s="168"/>
      <c r="H624" s="169"/>
      <c r="I624" s="170"/>
      <c r="J624" s="171" t="s">
        <v>860</v>
      </c>
      <c r="K624" s="172" t="s">
        <v>177</v>
      </c>
      <c r="L624" s="172" t="s">
        <v>175</v>
      </c>
      <c r="M624" s="173" t="str" cm="1">
        <f t="array" ref="M624">IFERROR(INDEX(CategoriesTable[Category type],MATCH(Table1[[#This Row],[Category]],CategoriesTable[Category name],0),0),"")</f>
        <v>Income</v>
      </c>
      <c r="N624" s="173">
        <v>29</v>
      </c>
      <c r="O624" s="173">
        <f>MONTH(Table1[[#This Row],[Date]])</f>
        <v>6</v>
      </c>
      <c r="P624" s="173">
        <v>2020</v>
      </c>
      <c r="Q624" s="174">
        <f>IF(ISBLANK(Table1[[#This Row],[Date]]),"",Table1[[#This Row],[Date]]-WEEKDAY(Table1[[#This Row],[Date]],2)+1)</f>
        <v>44011</v>
      </c>
      <c r="R624" s="175">
        <f>IF(ISBLANK(Table1[[#This Row],[Date]]),"",DATE(Table1[[#This Row],[Date_Year]],Table1[[#This Row],[Date_Month]],1))</f>
        <v>43983</v>
      </c>
    </row>
    <row r="625" spans="2:18" ht="15.75" hidden="1" x14ac:dyDescent="0.25">
      <c r="B625" s="165">
        <v>44011</v>
      </c>
      <c r="C625" s="166" t="s">
        <v>715</v>
      </c>
      <c r="D625" s="166" t="s">
        <v>55</v>
      </c>
      <c r="E625" s="167"/>
      <c r="F625" s="114">
        <v>-318</v>
      </c>
      <c r="G625" s="168"/>
      <c r="H625" s="169"/>
      <c r="I625" s="170"/>
      <c r="J625" s="171" t="s">
        <v>861</v>
      </c>
      <c r="K625" s="172" t="s">
        <v>177</v>
      </c>
      <c r="L625" s="172" t="s">
        <v>175</v>
      </c>
      <c r="M625" s="173" t="str" cm="1">
        <f t="array" ref="M625">IFERROR(INDEX(CategoriesTable[Category type],MATCH(Table1[[#This Row],[Category]],CategoriesTable[Category name],0),0),"")</f>
        <v>Expense</v>
      </c>
      <c r="N625" s="173">
        <v>29</v>
      </c>
      <c r="O625" s="173">
        <f>MONTH(Table1[[#This Row],[Date]])</f>
        <v>6</v>
      </c>
      <c r="P625" s="173">
        <v>2020</v>
      </c>
      <c r="Q625" s="174">
        <f>IF(ISBLANK(Table1[[#This Row],[Date]]),"",Table1[[#This Row],[Date]]-WEEKDAY(Table1[[#This Row],[Date]],2)+1)</f>
        <v>44011</v>
      </c>
      <c r="R625" s="175">
        <f>IF(ISBLANK(Table1[[#This Row],[Date]]),"",DATE(Table1[[#This Row],[Date_Year]],Table1[[#This Row],[Date_Month]],1))</f>
        <v>43983</v>
      </c>
    </row>
    <row r="626" spans="2:18" ht="15.75" hidden="1" x14ac:dyDescent="0.25">
      <c r="B626" s="165">
        <v>44011</v>
      </c>
      <c r="C626" s="166" t="s">
        <v>358</v>
      </c>
      <c r="D626" s="166" t="s">
        <v>57</v>
      </c>
      <c r="E626" s="167"/>
      <c r="F626" s="114">
        <v>-36</v>
      </c>
      <c r="G626" s="168"/>
      <c r="H626" s="169"/>
      <c r="I626" s="170"/>
      <c r="J626" s="171" t="s">
        <v>862</v>
      </c>
      <c r="K626" s="172" t="s">
        <v>177</v>
      </c>
      <c r="L626" s="172" t="s">
        <v>175</v>
      </c>
      <c r="M626" s="173" t="str" cm="1">
        <f t="array" ref="M626">IFERROR(INDEX(CategoriesTable[Category type],MATCH(Table1[[#This Row],[Category]],CategoriesTable[Category name],0),0),"")</f>
        <v>Expense</v>
      </c>
      <c r="N626" s="173">
        <v>29</v>
      </c>
      <c r="O626" s="173">
        <f>MONTH(Table1[[#This Row],[Date]])</f>
        <v>6</v>
      </c>
      <c r="P626" s="173">
        <v>2020</v>
      </c>
      <c r="Q626" s="174">
        <f>IF(ISBLANK(Table1[[#This Row],[Date]]),"",Table1[[#This Row],[Date]]-WEEKDAY(Table1[[#This Row],[Date]],2)+1)</f>
        <v>44011</v>
      </c>
      <c r="R626" s="175">
        <f>IF(ISBLANK(Table1[[#This Row],[Date]]),"",DATE(Table1[[#This Row],[Date_Year]],Table1[[#This Row],[Date_Month]],1))</f>
        <v>43983</v>
      </c>
    </row>
    <row r="627" spans="2:18" ht="15.75" hidden="1" x14ac:dyDescent="0.25">
      <c r="B627" s="165">
        <v>44008</v>
      </c>
      <c r="C627" s="166" t="s">
        <v>806</v>
      </c>
      <c r="D627" s="166" t="s">
        <v>63</v>
      </c>
      <c r="E627" s="167"/>
      <c r="F627" s="114">
        <v>-12.5</v>
      </c>
      <c r="G627" s="168"/>
      <c r="H627" s="169"/>
      <c r="I627" s="170"/>
      <c r="J627" s="171" t="s">
        <v>863</v>
      </c>
      <c r="K627" s="172" t="s">
        <v>177</v>
      </c>
      <c r="L627" s="172" t="s">
        <v>175</v>
      </c>
      <c r="M627" s="173" t="str" cm="1">
        <f t="array" ref="M627">IFERROR(INDEX(CategoriesTable[Category type],MATCH(Table1[[#This Row],[Category]],CategoriesTable[Category name],0),0),"")</f>
        <v>Expense</v>
      </c>
      <c r="N627" s="173">
        <v>26</v>
      </c>
      <c r="O627" s="173">
        <f>MONTH(Table1[[#This Row],[Date]])</f>
        <v>6</v>
      </c>
      <c r="P627" s="173">
        <v>2020</v>
      </c>
      <c r="Q627" s="174">
        <f>IF(ISBLANK(Table1[[#This Row],[Date]]),"",Table1[[#This Row],[Date]]-WEEKDAY(Table1[[#This Row],[Date]],2)+1)</f>
        <v>44004</v>
      </c>
      <c r="R627" s="175">
        <f>IF(ISBLANK(Table1[[#This Row],[Date]]),"",DATE(Table1[[#This Row],[Date_Year]],Table1[[#This Row],[Date_Month]],1))</f>
        <v>43983</v>
      </c>
    </row>
    <row r="628" spans="2:18" ht="15.75" hidden="1" x14ac:dyDescent="0.25">
      <c r="B628" s="165">
        <v>44008</v>
      </c>
      <c r="C628" s="166" t="s">
        <v>803</v>
      </c>
      <c r="D628" s="166" t="s">
        <v>51</v>
      </c>
      <c r="E628" s="167"/>
      <c r="F628" s="114">
        <v>18</v>
      </c>
      <c r="G628" s="168"/>
      <c r="H628" s="169"/>
      <c r="I628" s="170"/>
      <c r="J628" s="171" t="s">
        <v>864</v>
      </c>
      <c r="K628" s="172" t="s">
        <v>177</v>
      </c>
      <c r="L628" s="172" t="s">
        <v>175</v>
      </c>
      <c r="M628" s="173" t="str" cm="1">
        <f t="array" ref="M628">IFERROR(INDEX(CategoriesTable[Category type],MATCH(Table1[[#This Row],[Category]],CategoriesTable[Category name],0),0),"")</f>
        <v>Transfer</v>
      </c>
      <c r="N628" s="173">
        <v>26</v>
      </c>
      <c r="O628" s="173">
        <f>MONTH(Table1[[#This Row],[Date]])</f>
        <v>6</v>
      </c>
      <c r="P628" s="173">
        <v>2020</v>
      </c>
      <c r="Q628" s="174">
        <f>IF(ISBLANK(Table1[[#This Row],[Date]]),"",Table1[[#This Row],[Date]]-WEEKDAY(Table1[[#This Row],[Date]],2)+1)</f>
        <v>44004</v>
      </c>
      <c r="R628" s="175">
        <f>IF(ISBLANK(Table1[[#This Row],[Date]]),"",DATE(Table1[[#This Row],[Date_Year]],Table1[[#This Row],[Date_Month]],1))</f>
        <v>43983</v>
      </c>
    </row>
    <row r="629" spans="2:18" ht="15.75" hidden="1" x14ac:dyDescent="0.25">
      <c r="B629" s="165">
        <v>44008</v>
      </c>
      <c r="C629" s="166" t="s">
        <v>792</v>
      </c>
      <c r="D629" s="166" t="s">
        <v>57</v>
      </c>
      <c r="E629" s="167"/>
      <c r="F629" s="114">
        <v>-36</v>
      </c>
      <c r="G629" s="168"/>
      <c r="H629" s="169"/>
      <c r="I629" s="170"/>
      <c r="J629" s="171" t="s">
        <v>865</v>
      </c>
      <c r="K629" s="172" t="s">
        <v>177</v>
      </c>
      <c r="L629" s="172" t="s">
        <v>175</v>
      </c>
      <c r="M629" s="173" t="str" cm="1">
        <f t="array" ref="M629">IFERROR(INDEX(CategoriesTable[Category type],MATCH(Table1[[#This Row],[Category]],CategoriesTable[Category name],0),0),"")</f>
        <v>Expense</v>
      </c>
      <c r="N629" s="173">
        <v>26</v>
      </c>
      <c r="O629" s="173">
        <f>MONTH(Table1[[#This Row],[Date]])</f>
        <v>6</v>
      </c>
      <c r="P629" s="173">
        <v>2020</v>
      </c>
      <c r="Q629" s="174">
        <f>IF(ISBLANK(Table1[[#This Row],[Date]]),"",Table1[[#This Row],[Date]]-WEEKDAY(Table1[[#This Row],[Date]],2)+1)</f>
        <v>44004</v>
      </c>
      <c r="R629" s="175">
        <f>IF(ISBLANK(Table1[[#This Row],[Date]]),"",DATE(Table1[[#This Row],[Date_Year]],Table1[[#This Row],[Date_Month]],1))</f>
        <v>43983</v>
      </c>
    </row>
    <row r="630" spans="2:18" ht="15.75" hidden="1" x14ac:dyDescent="0.25">
      <c r="B630" s="165">
        <v>44008</v>
      </c>
      <c r="C630" s="166" t="s">
        <v>789</v>
      </c>
      <c r="D630" s="166" t="s">
        <v>57</v>
      </c>
      <c r="E630" s="167"/>
      <c r="F630" s="114">
        <v>-36</v>
      </c>
      <c r="G630" s="168"/>
      <c r="H630" s="169"/>
      <c r="I630" s="170"/>
      <c r="J630" s="171" t="s">
        <v>866</v>
      </c>
      <c r="K630" s="172" t="s">
        <v>177</v>
      </c>
      <c r="L630" s="172" t="s">
        <v>175</v>
      </c>
      <c r="M630" s="173" t="str" cm="1">
        <f t="array" ref="M630">IFERROR(INDEX(CategoriesTable[Category type],MATCH(Table1[[#This Row],[Category]],CategoriesTable[Category name],0),0),"")</f>
        <v>Expense</v>
      </c>
      <c r="N630" s="173">
        <v>26</v>
      </c>
      <c r="O630" s="173">
        <f>MONTH(Table1[[#This Row],[Date]])</f>
        <v>6</v>
      </c>
      <c r="P630" s="173">
        <v>2020</v>
      </c>
      <c r="Q630" s="174">
        <f>IF(ISBLANK(Table1[[#This Row],[Date]]),"",Table1[[#This Row],[Date]]-WEEKDAY(Table1[[#This Row],[Date]],2)+1)</f>
        <v>44004</v>
      </c>
      <c r="R630" s="175">
        <f>IF(ISBLANK(Table1[[#This Row],[Date]]),"",DATE(Table1[[#This Row],[Date_Year]],Table1[[#This Row],[Date_Month]],1))</f>
        <v>43983</v>
      </c>
    </row>
    <row r="631" spans="2:18" ht="15.75" hidden="1" x14ac:dyDescent="0.25">
      <c r="B631" s="165">
        <v>44008</v>
      </c>
      <c r="C631" s="166" t="s">
        <v>124</v>
      </c>
      <c r="D631" s="166" t="s">
        <v>55</v>
      </c>
      <c r="E631" s="167"/>
      <c r="F631" s="114">
        <v>-9.99</v>
      </c>
      <c r="G631" s="168"/>
      <c r="H631" s="169"/>
      <c r="I631" s="170"/>
      <c r="J631" s="171" t="s">
        <v>867</v>
      </c>
      <c r="K631" s="172" t="s">
        <v>177</v>
      </c>
      <c r="L631" s="172" t="s">
        <v>175</v>
      </c>
      <c r="M631" s="173" t="str" cm="1">
        <f t="array" ref="M631">IFERROR(INDEX(CategoriesTable[Category type],MATCH(Table1[[#This Row],[Category]],CategoriesTable[Category name],0),0),"")</f>
        <v>Expense</v>
      </c>
      <c r="N631" s="173">
        <v>26</v>
      </c>
      <c r="O631" s="173">
        <f>MONTH(Table1[[#This Row],[Date]])</f>
        <v>6</v>
      </c>
      <c r="P631" s="173">
        <v>2020</v>
      </c>
      <c r="Q631" s="174">
        <f>IF(ISBLANK(Table1[[#This Row],[Date]]),"",Table1[[#This Row],[Date]]-WEEKDAY(Table1[[#This Row],[Date]],2)+1)</f>
        <v>44004</v>
      </c>
      <c r="R631" s="175">
        <f>IF(ISBLANK(Table1[[#This Row],[Date]]),"",DATE(Table1[[#This Row],[Date_Year]],Table1[[#This Row],[Date_Month]],1))</f>
        <v>43983</v>
      </c>
    </row>
    <row r="632" spans="2:18" ht="15.75" hidden="1" x14ac:dyDescent="0.25">
      <c r="B632" s="165">
        <v>44007</v>
      </c>
      <c r="C632" s="166" t="s">
        <v>211</v>
      </c>
      <c r="D632" s="166" t="s">
        <v>66</v>
      </c>
      <c r="E632" s="167"/>
      <c r="F632" s="114">
        <v>-36</v>
      </c>
      <c r="G632" s="168"/>
      <c r="H632" s="169"/>
      <c r="I632" s="170"/>
      <c r="J632" s="171" t="s">
        <v>868</v>
      </c>
      <c r="K632" s="172" t="s">
        <v>177</v>
      </c>
      <c r="L632" s="172" t="s">
        <v>175</v>
      </c>
      <c r="M632" s="173" t="str" cm="1">
        <f t="array" ref="M632">IFERROR(INDEX(CategoriesTable[Category type],MATCH(Table1[[#This Row],[Category]],CategoriesTable[Category name],0),0),"")</f>
        <v>Expense</v>
      </c>
      <c r="N632" s="173">
        <v>25</v>
      </c>
      <c r="O632" s="173">
        <f>MONTH(Table1[[#This Row],[Date]])</f>
        <v>6</v>
      </c>
      <c r="P632" s="173">
        <v>2020</v>
      </c>
      <c r="Q632" s="174">
        <f>IF(ISBLANK(Table1[[#This Row],[Date]]),"",Table1[[#This Row],[Date]]-WEEKDAY(Table1[[#This Row],[Date]],2)+1)</f>
        <v>44004</v>
      </c>
      <c r="R632" s="175">
        <f>IF(ISBLANK(Table1[[#This Row],[Date]]),"",DATE(Table1[[#This Row],[Date_Year]],Table1[[#This Row],[Date_Month]],1))</f>
        <v>43983</v>
      </c>
    </row>
    <row r="633" spans="2:18" ht="15.75" hidden="1" x14ac:dyDescent="0.25">
      <c r="B633" s="165">
        <v>44007</v>
      </c>
      <c r="C633" s="166" t="s">
        <v>121</v>
      </c>
      <c r="D633" s="166" t="s">
        <v>57</v>
      </c>
      <c r="E633" s="167"/>
      <c r="F633" s="114">
        <v>-36</v>
      </c>
      <c r="G633" s="168"/>
      <c r="H633" s="169"/>
      <c r="I633" s="170"/>
      <c r="J633" s="171" t="s">
        <v>869</v>
      </c>
      <c r="K633" s="172" t="s">
        <v>177</v>
      </c>
      <c r="L633" s="172" t="s">
        <v>175</v>
      </c>
      <c r="M633" s="173" t="str" cm="1">
        <f t="array" ref="M633">IFERROR(INDEX(CategoriesTable[Category type],MATCH(Table1[[#This Row],[Category]],CategoriesTable[Category name],0),0),"")</f>
        <v>Expense</v>
      </c>
      <c r="N633" s="173">
        <v>25</v>
      </c>
      <c r="O633" s="173">
        <f>MONTH(Table1[[#This Row],[Date]])</f>
        <v>6</v>
      </c>
      <c r="P633" s="173">
        <v>2020</v>
      </c>
      <c r="Q633" s="174">
        <f>IF(ISBLANK(Table1[[#This Row],[Date]]),"",Table1[[#This Row],[Date]]-WEEKDAY(Table1[[#This Row],[Date]],2)+1)</f>
        <v>44004</v>
      </c>
      <c r="R633" s="175">
        <f>IF(ISBLANK(Table1[[#This Row],[Date]]),"",DATE(Table1[[#This Row],[Date_Year]],Table1[[#This Row],[Date_Month]],1))</f>
        <v>43983</v>
      </c>
    </row>
    <row r="634" spans="2:18" ht="15.75" hidden="1" x14ac:dyDescent="0.25">
      <c r="B634" s="165">
        <v>44007</v>
      </c>
      <c r="C634" s="166" t="s">
        <v>121</v>
      </c>
      <c r="D634" s="166" t="s">
        <v>57</v>
      </c>
      <c r="E634" s="167"/>
      <c r="F634" s="114">
        <v>-36</v>
      </c>
      <c r="G634" s="168"/>
      <c r="H634" s="169"/>
      <c r="I634" s="170"/>
      <c r="J634" s="171" t="s">
        <v>870</v>
      </c>
      <c r="K634" s="172" t="s">
        <v>177</v>
      </c>
      <c r="L634" s="172" t="s">
        <v>175</v>
      </c>
      <c r="M634" s="173" t="str" cm="1">
        <f t="array" ref="M634">IFERROR(INDEX(CategoriesTable[Category type],MATCH(Table1[[#This Row],[Category]],CategoriesTable[Category name],0),0),"")</f>
        <v>Expense</v>
      </c>
      <c r="N634" s="173">
        <v>25</v>
      </c>
      <c r="O634" s="173">
        <f>MONTH(Table1[[#This Row],[Date]])</f>
        <v>6</v>
      </c>
      <c r="P634" s="173">
        <v>2020</v>
      </c>
      <c r="Q634" s="174">
        <f>IF(ISBLANK(Table1[[#This Row],[Date]]),"",Table1[[#This Row],[Date]]-WEEKDAY(Table1[[#This Row],[Date]],2)+1)</f>
        <v>44004</v>
      </c>
      <c r="R634" s="175">
        <f>IF(ISBLANK(Table1[[#This Row],[Date]]),"",DATE(Table1[[#This Row],[Date_Year]],Table1[[#This Row],[Date_Month]],1))</f>
        <v>43983</v>
      </c>
    </row>
    <row r="635" spans="2:18" ht="15.75" hidden="1" x14ac:dyDescent="0.25">
      <c r="B635" s="165">
        <v>44006</v>
      </c>
      <c r="C635" s="166" t="s">
        <v>121</v>
      </c>
      <c r="D635" s="166" t="s">
        <v>65</v>
      </c>
      <c r="E635" s="167"/>
      <c r="F635" s="114">
        <v>-22.1</v>
      </c>
      <c r="G635" s="168"/>
      <c r="H635" s="169"/>
      <c r="I635" s="170"/>
      <c r="J635" s="171" t="s">
        <v>871</v>
      </c>
      <c r="K635" s="172" t="s">
        <v>177</v>
      </c>
      <c r="L635" s="172" t="s">
        <v>175</v>
      </c>
      <c r="M635" s="173" t="str" cm="1">
        <f t="array" ref="M635">IFERROR(INDEX(CategoriesTable[Category type],MATCH(Table1[[#This Row],[Category]],CategoriesTable[Category name],0),0),"")</f>
        <v>Expense</v>
      </c>
      <c r="N635" s="173">
        <v>24</v>
      </c>
      <c r="O635" s="173">
        <f>MONTH(Table1[[#This Row],[Date]])</f>
        <v>6</v>
      </c>
      <c r="P635" s="173">
        <v>2020</v>
      </c>
      <c r="Q635" s="174">
        <f>IF(ISBLANK(Table1[[#This Row],[Date]]),"",Table1[[#This Row],[Date]]-WEEKDAY(Table1[[#This Row],[Date]],2)+1)</f>
        <v>44004</v>
      </c>
      <c r="R635" s="175">
        <f>IF(ISBLANK(Table1[[#This Row],[Date]]),"",DATE(Table1[[#This Row],[Date_Year]],Table1[[#This Row],[Date_Month]],1))</f>
        <v>43983</v>
      </c>
    </row>
    <row r="636" spans="2:18" ht="15.75" hidden="1" x14ac:dyDescent="0.25">
      <c r="B636" s="165">
        <v>44006</v>
      </c>
      <c r="C636" s="166" t="s">
        <v>121</v>
      </c>
      <c r="D636" s="166" t="s">
        <v>65</v>
      </c>
      <c r="E636" s="167"/>
      <c r="F636" s="114">
        <v>-19.55</v>
      </c>
      <c r="G636" s="168"/>
      <c r="H636" s="169"/>
      <c r="I636" s="170"/>
      <c r="J636" s="171" t="s">
        <v>872</v>
      </c>
      <c r="K636" s="172" t="s">
        <v>177</v>
      </c>
      <c r="L636" s="172" t="s">
        <v>175</v>
      </c>
      <c r="M636" s="173" t="str" cm="1">
        <f t="array" ref="M636">IFERROR(INDEX(CategoriesTable[Category type],MATCH(Table1[[#This Row],[Category]],CategoriesTable[Category name],0),0),"")</f>
        <v>Expense</v>
      </c>
      <c r="N636" s="173">
        <v>24</v>
      </c>
      <c r="O636" s="173">
        <f>MONTH(Table1[[#This Row],[Date]])</f>
        <v>6</v>
      </c>
      <c r="P636" s="173">
        <v>2020</v>
      </c>
      <c r="Q636" s="174">
        <f>IF(ISBLANK(Table1[[#This Row],[Date]]),"",Table1[[#This Row],[Date]]-WEEKDAY(Table1[[#This Row],[Date]],2)+1)</f>
        <v>44004</v>
      </c>
      <c r="R636" s="175">
        <f>IF(ISBLANK(Table1[[#This Row],[Date]]),"",DATE(Table1[[#This Row],[Date_Year]],Table1[[#This Row],[Date_Month]],1))</f>
        <v>43983</v>
      </c>
    </row>
    <row r="637" spans="2:18" ht="15.75" hidden="1" x14ac:dyDescent="0.25">
      <c r="B637" s="165">
        <v>44006</v>
      </c>
      <c r="C637" s="166" t="s">
        <v>208</v>
      </c>
      <c r="D637" s="166" t="s">
        <v>55</v>
      </c>
      <c r="E637" s="167"/>
      <c r="F637" s="114">
        <v>-40.28</v>
      </c>
      <c r="G637" s="168"/>
      <c r="H637" s="169"/>
      <c r="I637" s="170"/>
      <c r="J637" s="171" t="s">
        <v>873</v>
      </c>
      <c r="K637" s="172" t="s">
        <v>177</v>
      </c>
      <c r="L637" s="172" t="s">
        <v>175</v>
      </c>
      <c r="M637" s="173" t="str" cm="1">
        <f t="array" ref="M637">IFERROR(INDEX(CategoriesTable[Category type],MATCH(Table1[[#This Row],[Category]],CategoriesTable[Category name],0),0),"")</f>
        <v>Expense</v>
      </c>
      <c r="N637" s="173">
        <v>24</v>
      </c>
      <c r="O637" s="173">
        <f>MONTH(Table1[[#This Row],[Date]])</f>
        <v>6</v>
      </c>
      <c r="P637" s="173">
        <v>2020</v>
      </c>
      <c r="Q637" s="174">
        <f>IF(ISBLANK(Table1[[#This Row],[Date]]),"",Table1[[#This Row],[Date]]-WEEKDAY(Table1[[#This Row],[Date]],2)+1)</f>
        <v>44004</v>
      </c>
      <c r="R637" s="175">
        <f>IF(ISBLANK(Table1[[#This Row],[Date]]),"",DATE(Table1[[#This Row],[Date_Year]],Table1[[#This Row],[Date_Month]],1))</f>
        <v>43983</v>
      </c>
    </row>
    <row r="638" spans="2:18" ht="15.75" hidden="1" x14ac:dyDescent="0.25">
      <c r="B638" s="165">
        <v>44006</v>
      </c>
      <c r="C638" s="166" t="s">
        <v>358</v>
      </c>
      <c r="D638" s="166" t="s">
        <v>57</v>
      </c>
      <c r="E638" s="167"/>
      <c r="F638" s="114">
        <v>-36</v>
      </c>
      <c r="G638" s="168"/>
      <c r="H638" s="169"/>
      <c r="I638" s="170"/>
      <c r="J638" s="171" t="s">
        <v>874</v>
      </c>
      <c r="K638" s="172" t="s">
        <v>177</v>
      </c>
      <c r="L638" s="172" t="s">
        <v>175</v>
      </c>
      <c r="M638" s="173" t="str" cm="1">
        <f t="array" ref="M638">IFERROR(INDEX(CategoriesTable[Category type],MATCH(Table1[[#This Row],[Category]],CategoriesTable[Category name],0),0),"")</f>
        <v>Expense</v>
      </c>
      <c r="N638" s="173">
        <v>24</v>
      </c>
      <c r="O638" s="173">
        <f>MONTH(Table1[[#This Row],[Date]])</f>
        <v>6</v>
      </c>
      <c r="P638" s="173">
        <v>2020</v>
      </c>
      <c r="Q638" s="174">
        <f>IF(ISBLANK(Table1[[#This Row],[Date]]),"",Table1[[#This Row],[Date]]-WEEKDAY(Table1[[#This Row],[Date]],2)+1)</f>
        <v>44004</v>
      </c>
      <c r="R638" s="175">
        <f>IF(ISBLANK(Table1[[#This Row],[Date]]),"",DATE(Table1[[#This Row],[Date_Year]],Table1[[#This Row],[Date_Month]],1))</f>
        <v>43983</v>
      </c>
    </row>
    <row r="639" spans="2:18" ht="15.75" hidden="1" x14ac:dyDescent="0.25">
      <c r="B639" s="165">
        <v>44005</v>
      </c>
      <c r="C639" s="166" t="s">
        <v>249</v>
      </c>
      <c r="D639" s="166" t="s">
        <v>52</v>
      </c>
      <c r="E639" s="167"/>
      <c r="F639" s="114">
        <v>-10</v>
      </c>
      <c r="G639" s="168"/>
      <c r="H639" s="169"/>
      <c r="I639" s="170"/>
      <c r="J639" s="171" t="s">
        <v>875</v>
      </c>
      <c r="K639" s="172" t="s">
        <v>177</v>
      </c>
      <c r="L639" s="172" t="s">
        <v>175</v>
      </c>
      <c r="M639" s="173" t="str" cm="1">
        <f t="array" ref="M639">IFERROR(INDEX(CategoriesTable[Category type],MATCH(Table1[[#This Row],[Category]],CategoriesTable[Category name],0),0),"")</f>
        <v>Transfer</v>
      </c>
      <c r="N639" s="173">
        <v>23</v>
      </c>
      <c r="O639" s="173">
        <f>MONTH(Table1[[#This Row],[Date]])</f>
        <v>6</v>
      </c>
      <c r="P639" s="173">
        <v>2020</v>
      </c>
      <c r="Q639" s="174">
        <f>IF(ISBLANK(Table1[[#This Row],[Date]]),"",Table1[[#This Row],[Date]]-WEEKDAY(Table1[[#This Row],[Date]],2)+1)</f>
        <v>44004</v>
      </c>
      <c r="R639" s="175">
        <f>IF(ISBLANK(Table1[[#This Row],[Date]]),"",DATE(Table1[[#This Row],[Date_Year]],Table1[[#This Row],[Date_Month]],1))</f>
        <v>43983</v>
      </c>
    </row>
    <row r="640" spans="2:18" ht="15.75" hidden="1" x14ac:dyDescent="0.25">
      <c r="B640" s="165">
        <v>44005</v>
      </c>
      <c r="C640" s="166" t="s">
        <v>358</v>
      </c>
      <c r="D640" s="166" t="s">
        <v>57</v>
      </c>
      <c r="E640" s="167"/>
      <c r="F640" s="114">
        <v>-36</v>
      </c>
      <c r="G640" s="168"/>
      <c r="H640" s="169"/>
      <c r="I640" s="170"/>
      <c r="J640" s="171" t="s">
        <v>876</v>
      </c>
      <c r="K640" s="172" t="s">
        <v>177</v>
      </c>
      <c r="L640" s="172" t="s">
        <v>175</v>
      </c>
      <c r="M640" s="173" t="str" cm="1">
        <f t="array" ref="M640">IFERROR(INDEX(CategoriesTable[Category type],MATCH(Table1[[#This Row],[Category]],CategoriesTable[Category name],0),0),"")</f>
        <v>Expense</v>
      </c>
      <c r="N640" s="173">
        <v>23</v>
      </c>
      <c r="O640" s="173">
        <f>MONTH(Table1[[#This Row],[Date]])</f>
        <v>6</v>
      </c>
      <c r="P640" s="173">
        <v>2020</v>
      </c>
      <c r="Q640" s="174">
        <f>IF(ISBLANK(Table1[[#This Row],[Date]]),"",Table1[[#This Row],[Date]]-WEEKDAY(Table1[[#This Row],[Date]],2)+1)</f>
        <v>44004</v>
      </c>
      <c r="R640" s="175">
        <f>IF(ISBLANK(Table1[[#This Row],[Date]]),"",DATE(Table1[[#This Row],[Date_Year]],Table1[[#This Row],[Date_Month]],1))</f>
        <v>43983</v>
      </c>
    </row>
    <row r="641" spans="2:18" ht="15.75" hidden="1" x14ac:dyDescent="0.25">
      <c r="B641" s="165">
        <v>44005</v>
      </c>
      <c r="C641" s="166" t="s">
        <v>358</v>
      </c>
      <c r="D641" s="166" t="s">
        <v>57</v>
      </c>
      <c r="E641" s="167"/>
      <c r="F641" s="114">
        <v>-36</v>
      </c>
      <c r="G641" s="168"/>
      <c r="H641" s="169"/>
      <c r="I641" s="170"/>
      <c r="J641" s="171" t="s">
        <v>877</v>
      </c>
      <c r="K641" s="172" t="s">
        <v>177</v>
      </c>
      <c r="L641" s="172" t="s">
        <v>175</v>
      </c>
      <c r="M641" s="173" t="str" cm="1">
        <f t="array" ref="M641">IFERROR(INDEX(CategoriesTable[Category type],MATCH(Table1[[#This Row],[Category]],CategoriesTable[Category name],0),0),"")</f>
        <v>Expense</v>
      </c>
      <c r="N641" s="173">
        <v>23</v>
      </c>
      <c r="O641" s="173">
        <f>MONTH(Table1[[#This Row],[Date]])</f>
        <v>6</v>
      </c>
      <c r="P641" s="173">
        <v>2020</v>
      </c>
      <c r="Q641" s="174">
        <f>IF(ISBLANK(Table1[[#This Row],[Date]]),"",Table1[[#This Row],[Date]]-WEEKDAY(Table1[[#This Row],[Date]],2)+1)</f>
        <v>44004</v>
      </c>
      <c r="R641" s="175">
        <f>IF(ISBLANK(Table1[[#This Row],[Date]]),"",DATE(Table1[[#This Row],[Date_Year]],Table1[[#This Row],[Date_Month]],1))</f>
        <v>43983</v>
      </c>
    </row>
    <row r="642" spans="2:18" ht="15.75" hidden="1" x14ac:dyDescent="0.25">
      <c r="B642" s="165">
        <v>44004</v>
      </c>
      <c r="C642" s="166" t="s">
        <v>199</v>
      </c>
      <c r="D642" s="166" t="s">
        <v>65</v>
      </c>
      <c r="E642" s="167"/>
      <c r="F642" s="114">
        <v>-77.569999999999993</v>
      </c>
      <c r="G642" s="168"/>
      <c r="H642" s="169"/>
      <c r="I642" s="170"/>
      <c r="J642" s="171" t="s">
        <v>878</v>
      </c>
      <c r="K642" s="172" t="s">
        <v>177</v>
      </c>
      <c r="L642" s="172" t="s">
        <v>175</v>
      </c>
      <c r="M642" s="173" t="str" cm="1">
        <f t="array" ref="M642">IFERROR(INDEX(CategoriesTable[Category type],MATCH(Table1[[#This Row],[Category]],CategoriesTable[Category name],0),0),"")</f>
        <v>Expense</v>
      </c>
      <c r="N642" s="173">
        <v>22</v>
      </c>
      <c r="O642" s="173">
        <f>MONTH(Table1[[#This Row],[Date]])</f>
        <v>6</v>
      </c>
      <c r="P642" s="173">
        <v>2020</v>
      </c>
      <c r="Q642" s="174">
        <f>IF(ISBLANK(Table1[[#This Row],[Date]]),"",Table1[[#This Row],[Date]]-WEEKDAY(Table1[[#This Row],[Date]],2)+1)</f>
        <v>44004</v>
      </c>
      <c r="R642" s="175">
        <f>IF(ISBLANK(Table1[[#This Row],[Date]]),"",DATE(Table1[[#This Row],[Date_Year]],Table1[[#This Row],[Date_Month]],1))</f>
        <v>43983</v>
      </c>
    </row>
    <row r="643" spans="2:18" ht="15.75" hidden="1" x14ac:dyDescent="0.25">
      <c r="B643" s="165">
        <v>44004</v>
      </c>
      <c r="C643" s="166" t="s">
        <v>249</v>
      </c>
      <c r="D643" s="166" t="s">
        <v>52</v>
      </c>
      <c r="E643" s="167"/>
      <c r="F643" s="114">
        <v>-115</v>
      </c>
      <c r="G643" s="168"/>
      <c r="H643" s="169"/>
      <c r="I643" s="170"/>
      <c r="J643" s="171" t="s">
        <v>879</v>
      </c>
      <c r="K643" s="172" t="s">
        <v>177</v>
      </c>
      <c r="L643" s="172" t="s">
        <v>175</v>
      </c>
      <c r="M643" s="173" t="str" cm="1">
        <f t="array" ref="M643">IFERROR(INDEX(CategoriesTable[Category type],MATCH(Table1[[#This Row],[Category]],CategoriesTable[Category name],0),0),"")</f>
        <v>Transfer</v>
      </c>
      <c r="N643" s="173">
        <v>22</v>
      </c>
      <c r="O643" s="173">
        <f>MONTH(Table1[[#This Row],[Date]])</f>
        <v>6</v>
      </c>
      <c r="P643" s="173">
        <v>2020</v>
      </c>
      <c r="Q643" s="174">
        <f>IF(ISBLANK(Table1[[#This Row],[Date]]),"",Table1[[#This Row],[Date]]-WEEKDAY(Table1[[#This Row],[Date]],2)+1)</f>
        <v>44004</v>
      </c>
      <c r="R643" s="175">
        <f>IF(ISBLANK(Table1[[#This Row],[Date]]),"",DATE(Table1[[#This Row],[Date_Year]],Table1[[#This Row],[Date_Month]],1))</f>
        <v>43983</v>
      </c>
    </row>
    <row r="644" spans="2:18" ht="15.75" hidden="1" x14ac:dyDescent="0.25">
      <c r="B644" s="165">
        <v>44004</v>
      </c>
      <c r="C644" s="166" t="s">
        <v>750</v>
      </c>
      <c r="D644" s="166" t="s">
        <v>52</v>
      </c>
      <c r="E644" s="167"/>
      <c r="F644" s="114">
        <v>-154</v>
      </c>
      <c r="G644" s="168"/>
      <c r="H644" s="169"/>
      <c r="I644" s="170"/>
      <c r="J644" s="171" t="s">
        <v>880</v>
      </c>
      <c r="K644" s="172" t="s">
        <v>177</v>
      </c>
      <c r="L644" s="172" t="s">
        <v>175</v>
      </c>
      <c r="M644" s="173" t="str" cm="1">
        <f t="array" ref="M644">IFERROR(INDEX(CategoriesTable[Category type],MATCH(Table1[[#This Row],[Category]],CategoriesTable[Category name],0),0),"")</f>
        <v>Transfer</v>
      </c>
      <c r="N644" s="173">
        <v>22</v>
      </c>
      <c r="O644" s="173">
        <f>MONTH(Table1[[#This Row],[Date]])</f>
        <v>6</v>
      </c>
      <c r="P644" s="173">
        <v>2020</v>
      </c>
      <c r="Q644" s="174">
        <f>IF(ISBLANK(Table1[[#This Row],[Date]]),"",Table1[[#This Row],[Date]]-WEEKDAY(Table1[[#This Row],[Date]],2)+1)</f>
        <v>44004</v>
      </c>
      <c r="R644" s="175">
        <f>IF(ISBLANK(Table1[[#This Row],[Date]]),"",DATE(Table1[[#This Row],[Date_Year]],Table1[[#This Row],[Date_Month]],1))</f>
        <v>43983</v>
      </c>
    </row>
    <row r="645" spans="2:18" ht="15.75" hidden="1" x14ac:dyDescent="0.25">
      <c r="B645" s="165">
        <v>44004</v>
      </c>
      <c r="C645" s="166" t="s">
        <v>120</v>
      </c>
      <c r="D645" s="166" t="s">
        <v>66</v>
      </c>
      <c r="E645" s="167"/>
      <c r="F645" s="114">
        <v>-132.35</v>
      </c>
      <c r="G645" s="168"/>
      <c r="H645" s="169"/>
      <c r="I645" s="170"/>
      <c r="J645" s="171" t="s">
        <v>881</v>
      </c>
      <c r="K645" s="172" t="s">
        <v>177</v>
      </c>
      <c r="L645" s="172" t="s">
        <v>175</v>
      </c>
      <c r="M645" s="173" t="str" cm="1">
        <f t="array" ref="M645">IFERROR(INDEX(CategoriesTable[Category type],MATCH(Table1[[#This Row],[Category]],CategoriesTable[Category name],0),0),"")</f>
        <v>Expense</v>
      </c>
      <c r="N645" s="173">
        <v>22</v>
      </c>
      <c r="O645" s="173">
        <f>MONTH(Table1[[#This Row],[Date]])</f>
        <v>6</v>
      </c>
      <c r="P645" s="173">
        <v>2020</v>
      </c>
      <c r="Q645" s="174">
        <f>IF(ISBLANK(Table1[[#This Row],[Date]]),"",Table1[[#This Row],[Date]]-WEEKDAY(Table1[[#This Row],[Date]],2)+1)</f>
        <v>44004</v>
      </c>
      <c r="R645" s="175">
        <f>IF(ISBLANK(Table1[[#This Row],[Date]]),"",DATE(Table1[[#This Row],[Date_Year]],Table1[[#This Row],[Date_Month]],1))</f>
        <v>43983</v>
      </c>
    </row>
    <row r="646" spans="2:18" ht="15.75" hidden="1" x14ac:dyDescent="0.25">
      <c r="B646" s="165">
        <v>44004</v>
      </c>
      <c r="C646" s="166" t="s">
        <v>664</v>
      </c>
      <c r="D646" s="166" t="s">
        <v>66</v>
      </c>
      <c r="E646" s="167"/>
      <c r="F646" s="114">
        <v>-95.63</v>
      </c>
      <c r="G646" s="168"/>
      <c r="H646" s="169"/>
      <c r="I646" s="170"/>
      <c r="J646" s="171" t="s">
        <v>882</v>
      </c>
      <c r="K646" s="172" t="s">
        <v>177</v>
      </c>
      <c r="L646" s="172" t="s">
        <v>175</v>
      </c>
      <c r="M646" s="173" t="str" cm="1">
        <f t="array" ref="M646">IFERROR(INDEX(CategoriesTable[Category type],MATCH(Table1[[#This Row],[Category]],CategoriesTable[Category name],0),0),"")</f>
        <v>Expense</v>
      </c>
      <c r="N646" s="173">
        <v>22</v>
      </c>
      <c r="O646" s="173">
        <f>MONTH(Table1[[#This Row],[Date]])</f>
        <v>6</v>
      </c>
      <c r="P646" s="173">
        <v>2020</v>
      </c>
      <c r="Q646" s="174">
        <f>IF(ISBLANK(Table1[[#This Row],[Date]]),"",Table1[[#This Row],[Date]]-WEEKDAY(Table1[[#This Row],[Date]],2)+1)</f>
        <v>44004</v>
      </c>
      <c r="R646" s="175">
        <f>IF(ISBLANK(Table1[[#This Row],[Date]]),"",DATE(Table1[[#This Row],[Date_Year]],Table1[[#This Row],[Date_Month]],1))</f>
        <v>43983</v>
      </c>
    </row>
    <row r="647" spans="2:18" ht="15.75" hidden="1" x14ac:dyDescent="0.25">
      <c r="B647" s="165">
        <v>44004</v>
      </c>
      <c r="C647" s="166" t="s">
        <v>680</v>
      </c>
      <c r="D647" s="166" t="s">
        <v>62</v>
      </c>
      <c r="E647" s="167"/>
      <c r="F647" s="114">
        <v>-239.82</v>
      </c>
      <c r="G647" s="168"/>
      <c r="H647" s="169"/>
      <c r="I647" s="170"/>
      <c r="J647" s="171" t="s">
        <v>883</v>
      </c>
      <c r="K647" s="172" t="s">
        <v>177</v>
      </c>
      <c r="L647" s="172" t="s">
        <v>175</v>
      </c>
      <c r="M647" s="173" t="str" cm="1">
        <f t="array" ref="M647">IFERROR(INDEX(CategoriesTable[Category type],MATCH(Table1[[#This Row],[Category]],CategoriesTable[Category name],0),0),"")</f>
        <v>Expense</v>
      </c>
      <c r="N647" s="173">
        <v>22</v>
      </c>
      <c r="O647" s="173">
        <f>MONTH(Table1[[#This Row],[Date]])</f>
        <v>6</v>
      </c>
      <c r="P647" s="173">
        <v>2020</v>
      </c>
      <c r="Q647" s="174">
        <f>IF(ISBLANK(Table1[[#This Row],[Date]]),"",Table1[[#This Row],[Date]]-WEEKDAY(Table1[[#This Row],[Date]],2)+1)</f>
        <v>44004</v>
      </c>
      <c r="R647" s="175">
        <f>IF(ISBLANK(Table1[[#This Row],[Date]]),"",DATE(Table1[[#This Row],[Date_Year]],Table1[[#This Row],[Date_Month]],1))</f>
        <v>43983</v>
      </c>
    </row>
    <row r="648" spans="2:18" ht="15.75" hidden="1" x14ac:dyDescent="0.25">
      <c r="B648" s="165">
        <v>44004</v>
      </c>
      <c r="C648" s="166" t="s">
        <v>358</v>
      </c>
      <c r="D648" s="166" t="s">
        <v>57</v>
      </c>
      <c r="E648" s="167"/>
      <c r="F648" s="114">
        <v>-36</v>
      </c>
      <c r="G648" s="168"/>
      <c r="H648" s="169"/>
      <c r="I648" s="170"/>
      <c r="J648" s="171" t="s">
        <v>884</v>
      </c>
      <c r="K648" s="172" t="s">
        <v>177</v>
      </c>
      <c r="L648" s="172" t="s">
        <v>175</v>
      </c>
      <c r="M648" s="173" t="str" cm="1">
        <f t="array" ref="M648">IFERROR(INDEX(CategoriesTable[Category type],MATCH(Table1[[#This Row],[Category]],CategoriesTable[Category name],0),0),"")</f>
        <v>Expense</v>
      </c>
      <c r="N648" s="173">
        <v>22</v>
      </c>
      <c r="O648" s="173">
        <f>MONTH(Table1[[#This Row],[Date]])</f>
        <v>6</v>
      </c>
      <c r="P648" s="173">
        <v>2020</v>
      </c>
      <c r="Q648" s="174">
        <f>IF(ISBLANK(Table1[[#This Row],[Date]]),"",Table1[[#This Row],[Date]]-WEEKDAY(Table1[[#This Row],[Date]],2)+1)</f>
        <v>44004</v>
      </c>
      <c r="R648" s="175">
        <f>IF(ISBLANK(Table1[[#This Row],[Date]]),"",DATE(Table1[[#This Row],[Date_Year]],Table1[[#This Row],[Date_Month]],1))</f>
        <v>43983</v>
      </c>
    </row>
    <row r="649" spans="2:18" ht="15.75" hidden="1" x14ac:dyDescent="0.25">
      <c r="B649" s="165">
        <v>44004</v>
      </c>
      <c r="C649" s="166" t="s">
        <v>193</v>
      </c>
      <c r="D649" s="166" t="s">
        <v>66</v>
      </c>
      <c r="E649" s="167"/>
      <c r="F649" s="114">
        <v>-21.03</v>
      </c>
      <c r="G649" s="168"/>
      <c r="H649" s="169"/>
      <c r="I649" s="170"/>
      <c r="J649" s="171" t="s">
        <v>885</v>
      </c>
      <c r="K649" s="172" t="s">
        <v>177</v>
      </c>
      <c r="L649" s="172" t="s">
        <v>175</v>
      </c>
      <c r="M649" s="173" t="str" cm="1">
        <f t="array" ref="M649">IFERROR(INDEX(CategoriesTable[Category type],MATCH(Table1[[#This Row],[Category]],CategoriesTable[Category name],0),0),"")</f>
        <v>Expense</v>
      </c>
      <c r="N649" s="173">
        <v>22</v>
      </c>
      <c r="O649" s="173">
        <f>MONTH(Table1[[#This Row],[Date]])</f>
        <v>6</v>
      </c>
      <c r="P649" s="173">
        <v>2020</v>
      </c>
      <c r="Q649" s="174">
        <f>IF(ISBLANK(Table1[[#This Row],[Date]]),"",Table1[[#This Row],[Date]]-WEEKDAY(Table1[[#This Row],[Date]],2)+1)</f>
        <v>44004</v>
      </c>
      <c r="R649" s="175">
        <f>IF(ISBLANK(Table1[[#This Row],[Date]]),"",DATE(Table1[[#This Row],[Date_Year]],Table1[[#This Row],[Date_Month]],1))</f>
        <v>43983</v>
      </c>
    </row>
    <row r="650" spans="2:18" ht="15.75" hidden="1" x14ac:dyDescent="0.25">
      <c r="B650" s="165">
        <v>44003</v>
      </c>
      <c r="C650" s="166" t="s">
        <v>199</v>
      </c>
      <c r="D650" s="166" t="s">
        <v>65</v>
      </c>
      <c r="E650" s="167"/>
      <c r="F650" s="114">
        <v>-41.25</v>
      </c>
      <c r="G650" s="168"/>
      <c r="H650" s="169"/>
      <c r="I650" s="170"/>
      <c r="J650" s="171" t="s">
        <v>886</v>
      </c>
      <c r="K650" s="172" t="s">
        <v>177</v>
      </c>
      <c r="L650" s="172" t="s">
        <v>175</v>
      </c>
      <c r="M650" s="173" t="str" cm="1">
        <f t="array" ref="M650">IFERROR(INDEX(CategoriesTable[Category type],MATCH(Table1[[#This Row],[Category]],CategoriesTable[Category name],0),0),"")</f>
        <v>Expense</v>
      </c>
      <c r="N650" s="173">
        <v>21</v>
      </c>
      <c r="O650" s="173">
        <f>MONTH(Table1[[#This Row],[Date]])</f>
        <v>6</v>
      </c>
      <c r="P650" s="173">
        <v>2020</v>
      </c>
      <c r="Q650" s="174">
        <f>IF(ISBLANK(Table1[[#This Row],[Date]]),"",Table1[[#This Row],[Date]]-WEEKDAY(Table1[[#This Row],[Date]],2)+1)</f>
        <v>43997</v>
      </c>
      <c r="R650" s="175">
        <f>IF(ISBLANK(Table1[[#This Row],[Date]]),"",DATE(Table1[[#This Row],[Date_Year]],Table1[[#This Row],[Date_Month]],1))</f>
        <v>43983</v>
      </c>
    </row>
    <row r="651" spans="2:18" ht="15.75" hidden="1" x14ac:dyDescent="0.25">
      <c r="B651" s="165">
        <v>44003</v>
      </c>
      <c r="C651" s="166" t="s">
        <v>247</v>
      </c>
      <c r="D651" s="166" t="s">
        <v>65</v>
      </c>
      <c r="E651" s="167"/>
      <c r="F651" s="114">
        <v>-12.19</v>
      </c>
      <c r="G651" s="168"/>
      <c r="H651" s="169"/>
      <c r="I651" s="170"/>
      <c r="J651" s="171" t="s">
        <v>887</v>
      </c>
      <c r="K651" s="172" t="s">
        <v>177</v>
      </c>
      <c r="L651" s="172" t="s">
        <v>175</v>
      </c>
      <c r="M651" s="173" t="str" cm="1">
        <f t="array" ref="M651">IFERROR(INDEX(CategoriesTable[Category type],MATCH(Table1[[#This Row],[Category]],CategoriesTable[Category name],0),0),"")</f>
        <v>Expense</v>
      </c>
      <c r="N651" s="173">
        <v>21</v>
      </c>
      <c r="O651" s="173">
        <f>MONTH(Table1[[#This Row],[Date]])</f>
        <v>6</v>
      </c>
      <c r="P651" s="173">
        <v>2020</v>
      </c>
      <c r="Q651" s="174">
        <f>IF(ISBLANK(Table1[[#This Row],[Date]]),"",Table1[[#This Row],[Date]]-WEEKDAY(Table1[[#This Row],[Date]],2)+1)</f>
        <v>43997</v>
      </c>
      <c r="R651" s="175">
        <f>IF(ISBLANK(Table1[[#This Row],[Date]]),"",DATE(Table1[[#This Row],[Date_Year]],Table1[[#This Row],[Date_Month]],1))</f>
        <v>43983</v>
      </c>
    </row>
    <row r="652" spans="2:18" ht="15.75" hidden="1" x14ac:dyDescent="0.25">
      <c r="B652" s="165">
        <v>44002</v>
      </c>
      <c r="C652" s="166" t="s">
        <v>180</v>
      </c>
      <c r="D652" s="166" t="s">
        <v>52</v>
      </c>
      <c r="E652" s="167"/>
      <c r="F652" s="114">
        <v>-40</v>
      </c>
      <c r="G652" s="168"/>
      <c r="H652" s="169"/>
      <c r="I652" s="170"/>
      <c r="J652" s="171" t="s">
        <v>888</v>
      </c>
      <c r="K652" s="172" t="s">
        <v>177</v>
      </c>
      <c r="L652" s="172" t="s">
        <v>175</v>
      </c>
      <c r="M652" s="173" t="str" cm="1">
        <f t="array" ref="M652">IFERROR(INDEX(CategoriesTable[Category type],MATCH(Table1[[#This Row],[Category]],CategoriesTable[Category name],0),0),"")</f>
        <v>Transfer</v>
      </c>
      <c r="N652" s="173">
        <v>20</v>
      </c>
      <c r="O652" s="173">
        <f>MONTH(Table1[[#This Row],[Date]])</f>
        <v>6</v>
      </c>
      <c r="P652" s="173">
        <v>2020</v>
      </c>
      <c r="Q652" s="174">
        <f>IF(ISBLANK(Table1[[#This Row],[Date]]),"",Table1[[#This Row],[Date]]-WEEKDAY(Table1[[#This Row],[Date]],2)+1)</f>
        <v>43997</v>
      </c>
      <c r="R652" s="175">
        <f>IF(ISBLANK(Table1[[#This Row],[Date]]),"",DATE(Table1[[#This Row],[Date_Year]],Table1[[#This Row],[Date_Month]],1))</f>
        <v>43983</v>
      </c>
    </row>
    <row r="653" spans="2:18" ht="15.75" hidden="1" x14ac:dyDescent="0.25">
      <c r="B653" s="165">
        <v>44002</v>
      </c>
      <c r="C653" s="166" t="s">
        <v>193</v>
      </c>
      <c r="D653" s="166" t="s">
        <v>66</v>
      </c>
      <c r="E653" s="167"/>
      <c r="F653" s="114">
        <v>-53.22</v>
      </c>
      <c r="G653" s="168"/>
      <c r="H653" s="169"/>
      <c r="I653" s="170"/>
      <c r="J653" s="171" t="s">
        <v>889</v>
      </c>
      <c r="K653" s="172" t="s">
        <v>177</v>
      </c>
      <c r="L653" s="172" t="s">
        <v>175</v>
      </c>
      <c r="M653" s="173" t="str" cm="1">
        <f t="array" ref="M653">IFERROR(INDEX(CategoriesTable[Category type],MATCH(Table1[[#This Row],[Category]],CategoriesTable[Category name],0),0),"")</f>
        <v>Expense</v>
      </c>
      <c r="N653" s="173">
        <v>20</v>
      </c>
      <c r="O653" s="173">
        <f>MONTH(Table1[[#This Row],[Date]])</f>
        <v>6</v>
      </c>
      <c r="P653" s="173">
        <v>2020</v>
      </c>
      <c r="Q653" s="174">
        <f>IF(ISBLANK(Table1[[#This Row],[Date]]),"",Table1[[#This Row],[Date]]-WEEKDAY(Table1[[#This Row],[Date]],2)+1)</f>
        <v>43997</v>
      </c>
      <c r="R653" s="175">
        <f>IF(ISBLANK(Table1[[#This Row],[Date]]),"",DATE(Table1[[#This Row],[Date_Year]],Table1[[#This Row],[Date_Month]],1))</f>
        <v>43983</v>
      </c>
    </row>
    <row r="654" spans="2:18" ht="15.75" hidden="1" x14ac:dyDescent="0.25">
      <c r="B654" s="165">
        <v>44000</v>
      </c>
      <c r="C654" s="166" t="s">
        <v>129</v>
      </c>
      <c r="D654" s="166" t="s">
        <v>55</v>
      </c>
      <c r="E654" s="167"/>
      <c r="F654" s="114">
        <v>-75.92</v>
      </c>
      <c r="G654" s="168"/>
      <c r="H654" s="169"/>
      <c r="I654" s="170"/>
      <c r="J654" s="171" t="s">
        <v>890</v>
      </c>
      <c r="K654" s="172" t="s">
        <v>177</v>
      </c>
      <c r="L654" s="172" t="s">
        <v>175</v>
      </c>
      <c r="M654" s="173" t="str" cm="1">
        <f t="array" ref="M654">IFERROR(INDEX(CategoriesTable[Category type],MATCH(Table1[[#This Row],[Category]],CategoriesTable[Category name],0),0),"")</f>
        <v>Expense</v>
      </c>
      <c r="N654" s="173">
        <v>18</v>
      </c>
      <c r="O654" s="173">
        <f>MONTH(Table1[[#This Row],[Date]])</f>
        <v>6</v>
      </c>
      <c r="P654" s="173">
        <v>2020</v>
      </c>
      <c r="Q654" s="174">
        <f>IF(ISBLANK(Table1[[#This Row],[Date]]),"",Table1[[#This Row],[Date]]-WEEKDAY(Table1[[#This Row],[Date]],2)+1)</f>
        <v>43997</v>
      </c>
      <c r="R654" s="175">
        <f>IF(ISBLANK(Table1[[#This Row],[Date]]),"",DATE(Table1[[#This Row],[Date_Year]],Table1[[#This Row],[Date_Month]],1))</f>
        <v>43983</v>
      </c>
    </row>
    <row r="655" spans="2:18" ht="15.75" hidden="1" x14ac:dyDescent="0.25">
      <c r="B655" s="165">
        <v>43999</v>
      </c>
      <c r="C655" s="166" t="s">
        <v>182</v>
      </c>
      <c r="D655" s="166" t="s">
        <v>55</v>
      </c>
      <c r="E655" s="167"/>
      <c r="F655" s="114">
        <v>-10.9</v>
      </c>
      <c r="G655" s="168"/>
      <c r="H655" s="169"/>
      <c r="I655" s="170"/>
      <c r="J655" s="171" t="s">
        <v>891</v>
      </c>
      <c r="K655" s="172" t="s">
        <v>177</v>
      </c>
      <c r="L655" s="172" t="s">
        <v>175</v>
      </c>
      <c r="M655" s="173" t="str" cm="1">
        <f t="array" ref="M655">IFERROR(INDEX(CategoriesTable[Category type],MATCH(Table1[[#This Row],[Category]],CategoriesTable[Category name],0),0),"")</f>
        <v>Expense</v>
      </c>
      <c r="N655" s="173">
        <v>17</v>
      </c>
      <c r="O655" s="173">
        <f>MONTH(Table1[[#This Row],[Date]])</f>
        <v>6</v>
      </c>
      <c r="P655" s="173">
        <v>2020</v>
      </c>
      <c r="Q655" s="174">
        <f>IF(ISBLANK(Table1[[#This Row],[Date]]),"",Table1[[#This Row],[Date]]-WEEKDAY(Table1[[#This Row],[Date]],2)+1)</f>
        <v>43997</v>
      </c>
      <c r="R655" s="175">
        <f>IF(ISBLANK(Table1[[#This Row],[Date]]),"",DATE(Table1[[#This Row],[Date_Year]],Table1[[#This Row],[Date_Month]],1))</f>
        <v>43983</v>
      </c>
    </row>
    <row r="656" spans="2:18" ht="15.75" hidden="1" x14ac:dyDescent="0.25">
      <c r="B656" s="165">
        <v>43998</v>
      </c>
      <c r="C656" s="166" t="s">
        <v>199</v>
      </c>
      <c r="D656" s="166" t="s">
        <v>65</v>
      </c>
      <c r="E656" s="167"/>
      <c r="F656" s="114">
        <v>-58.5</v>
      </c>
      <c r="G656" s="168"/>
      <c r="H656" s="169"/>
      <c r="I656" s="170"/>
      <c r="J656" s="171" t="s">
        <v>892</v>
      </c>
      <c r="K656" s="172" t="s">
        <v>177</v>
      </c>
      <c r="L656" s="172" t="s">
        <v>175</v>
      </c>
      <c r="M656" s="173" t="str" cm="1">
        <f t="array" ref="M656">IFERROR(INDEX(CategoriesTable[Category type],MATCH(Table1[[#This Row],[Category]],CategoriesTable[Category name],0),0),"")</f>
        <v>Expense</v>
      </c>
      <c r="N656" s="173">
        <v>16</v>
      </c>
      <c r="O656" s="173">
        <f>MONTH(Table1[[#This Row],[Date]])</f>
        <v>6</v>
      </c>
      <c r="P656" s="173">
        <v>2020</v>
      </c>
      <c r="Q656" s="174">
        <f>IF(ISBLANK(Table1[[#This Row],[Date]]),"",Table1[[#This Row],[Date]]-WEEKDAY(Table1[[#This Row],[Date]],2)+1)</f>
        <v>43997</v>
      </c>
      <c r="R656" s="175">
        <f>IF(ISBLANK(Table1[[#This Row],[Date]]),"",DATE(Table1[[#This Row],[Date_Year]],Table1[[#This Row],[Date_Month]],1))</f>
        <v>43983</v>
      </c>
    </row>
    <row r="657" spans="2:18" ht="15.75" hidden="1" x14ac:dyDescent="0.25">
      <c r="B657" s="165">
        <v>43998</v>
      </c>
      <c r="C657" s="166" t="s">
        <v>606</v>
      </c>
      <c r="D657" s="166" t="s">
        <v>55</v>
      </c>
      <c r="E657" s="167"/>
      <c r="F657" s="114">
        <v>-79.849999999999994</v>
      </c>
      <c r="G657" s="168"/>
      <c r="H657" s="169"/>
      <c r="I657" s="170"/>
      <c r="J657" s="171" t="s">
        <v>893</v>
      </c>
      <c r="K657" s="172" t="s">
        <v>177</v>
      </c>
      <c r="L657" s="172" t="s">
        <v>175</v>
      </c>
      <c r="M657" s="173" t="str" cm="1">
        <f t="array" ref="M657">IFERROR(INDEX(CategoriesTable[Category type],MATCH(Table1[[#This Row],[Category]],CategoriesTable[Category name],0),0),"")</f>
        <v>Expense</v>
      </c>
      <c r="N657" s="173">
        <v>16</v>
      </c>
      <c r="O657" s="173">
        <f>MONTH(Table1[[#This Row],[Date]])</f>
        <v>6</v>
      </c>
      <c r="P657" s="173">
        <v>2020</v>
      </c>
      <c r="Q657" s="174">
        <f>IF(ISBLANK(Table1[[#This Row],[Date]]),"",Table1[[#This Row],[Date]]-WEEKDAY(Table1[[#This Row],[Date]],2)+1)</f>
        <v>43997</v>
      </c>
      <c r="R657" s="175">
        <f>IF(ISBLANK(Table1[[#This Row],[Date]]),"",DATE(Table1[[#This Row],[Date_Year]],Table1[[#This Row],[Date_Month]],1))</f>
        <v>43983</v>
      </c>
    </row>
    <row r="658" spans="2:18" ht="15.75" hidden="1" x14ac:dyDescent="0.25">
      <c r="B658" s="165">
        <v>43997</v>
      </c>
      <c r="C658" s="166" t="s">
        <v>199</v>
      </c>
      <c r="D658" s="166" t="s">
        <v>65</v>
      </c>
      <c r="E658" s="167"/>
      <c r="F658" s="114">
        <v>-33.28</v>
      </c>
      <c r="G658" s="168"/>
      <c r="H658" s="169"/>
      <c r="I658" s="170"/>
      <c r="J658" s="171" t="s">
        <v>894</v>
      </c>
      <c r="K658" s="172" t="s">
        <v>177</v>
      </c>
      <c r="L658" s="172" t="s">
        <v>175</v>
      </c>
      <c r="M658" s="173" t="str" cm="1">
        <f t="array" ref="M658">IFERROR(INDEX(CategoriesTable[Category type],MATCH(Table1[[#This Row],[Category]],CategoriesTable[Category name],0),0),"")</f>
        <v>Expense</v>
      </c>
      <c r="N658" s="173">
        <v>15</v>
      </c>
      <c r="O658" s="173">
        <f>MONTH(Table1[[#This Row],[Date]])</f>
        <v>6</v>
      </c>
      <c r="P658" s="173">
        <v>2020</v>
      </c>
      <c r="Q658" s="174">
        <f>IF(ISBLANK(Table1[[#This Row],[Date]]),"",Table1[[#This Row],[Date]]-WEEKDAY(Table1[[#This Row],[Date]],2)+1)</f>
        <v>43997</v>
      </c>
      <c r="R658" s="175">
        <f>IF(ISBLANK(Table1[[#This Row],[Date]]),"",DATE(Table1[[#This Row],[Date_Year]],Table1[[#This Row],[Date_Month]],1))</f>
        <v>43983</v>
      </c>
    </row>
    <row r="659" spans="2:18" ht="15.75" hidden="1" x14ac:dyDescent="0.25">
      <c r="B659" s="165">
        <v>43997</v>
      </c>
      <c r="C659" s="166" t="s">
        <v>895</v>
      </c>
      <c r="D659" s="166" t="s">
        <v>55</v>
      </c>
      <c r="E659" s="167"/>
      <c r="F659" s="114">
        <v>-297.75</v>
      </c>
      <c r="G659" s="168"/>
      <c r="H659" s="169"/>
      <c r="I659" s="170"/>
      <c r="J659" s="171" t="s">
        <v>896</v>
      </c>
      <c r="K659" s="172" t="s">
        <v>177</v>
      </c>
      <c r="L659" s="172" t="s">
        <v>175</v>
      </c>
      <c r="M659" s="173" t="str" cm="1">
        <f t="array" ref="M659">IFERROR(INDEX(CategoriesTable[Category type],MATCH(Table1[[#This Row],[Category]],CategoriesTable[Category name],0),0),"")</f>
        <v>Expense</v>
      </c>
      <c r="N659" s="173">
        <v>15</v>
      </c>
      <c r="O659" s="173">
        <f>MONTH(Table1[[#This Row],[Date]])</f>
        <v>6</v>
      </c>
      <c r="P659" s="173">
        <v>2020</v>
      </c>
      <c r="Q659" s="174">
        <f>IF(ISBLANK(Table1[[#This Row],[Date]]),"",Table1[[#This Row],[Date]]-WEEKDAY(Table1[[#This Row],[Date]],2)+1)</f>
        <v>43997</v>
      </c>
      <c r="R659" s="175">
        <f>IF(ISBLANK(Table1[[#This Row],[Date]]),"",DATE(Table1[[#This Row],[Date_Year]],Table1[[#This Row],[Date_Month]],1))</f>
        <v>43983</v>
      </c>
    </row>
    <row r="660" spans="2:18" ht="15.75" hidden="1" x14ac:dyDescent="0.25">
      <c r="B660" s="165">
        <v>43995</v>
      </c>
      <c r="C660" s="166" t="s">
        <v>199</v>
      </c>
      <c r="D660" s="166" t="s">
        <v>65</v>
      </c>
      <c r="E660" s="167"/>
      <c r="F660" s="114">
        <v>-36.04</v>
      </c>
      <c r="G660" s="168"/>
      <c r="H660" s="169"/>
      <c r="I660" s="170"/>
      <c r="J660" s="171" t="s">
        <v>897</v>
      </c>
      <c r="K660" s="172" t="s">
        <v>177</v>
      </c>
      <c r="L660" s="172" t="s">
        <v>175</v>
      </c>
      <c r="M660" s="173" t="str" cm="1">
        <f t="array" ref="M660">IFERROR(INDEX(CategoriesTable[Category type],MATCH(Table1[[#This Row],[Category]],CategoriesTable[Category name],0),0),"")</f>
        <v>Expense</v>
      </c>
      <c r="N660" s="173">
        <v>13</v>
      </c>
      <c r="O660" s="173">
        <f>MONTH(Table1[[#This Row],[Date]])</f>
        <v>6</v>
      </c>
      <c r="P660" s="173">
        <v>2020</v>
      </c>
      <c r="Q660" s="174">
        <f>IF(ISBLANK(Table1[[#This Row],[Date]]),"",Table1[[#This Row],[Date]]-WEEKDAY(Table1[[#This Row],[Date]],2)+1)</f>
        <v>43990</v>
      </c>
      <c r="R660" s="175">
        <f>IF(ISBLANK(Table1[[#This Row],[Date]]),"",DATE(Table1[[#This Row],[Date_Year]],Table1[[#This Row],[Date_Month]],1))</f>
        <v>43983</v>
      </c>
    </row>
    <row r="661" spans="2:18" ht="15.75" hidden="1" x14ac:dyDescent="0.25">
      <c r="B661" s="165">
        <v>43994</v>
      </c>
      <c r="C661" s="166" t="s">
        <v>840</v>
      </c>
      <c r="D661" s="166" t="s">
        <v>55</v>
      </c>
      <c r="E661" s="167"/>
      <c r="F661" s="114">
        <v>-343.58</v>
      </c>
      <c r="G661" s="168"/>
      <c r="H661" s="169"/>
      <c r="I661" s="170"/>
      <c r="J661" s="171" t="s">
        <v>898</v>
      </c>
      <c r="K661" s="172" t="s">
        <v>177</v>
      </c>
      <c r="L661" s="172" t="s">
        <v>175</v>
      </c>
      <c r="M661" s="173" t="str" cm="1">
        <f t="array" ref="M661">IFERROR(INDEX(CategoriesTable[Category type],MATCH(Table1[[#This Row],[Category]],CategoriesTable[Category name],0),0),"")</f>
        <v>Expense</v>
      </c>
      <c r="N661" s="173">
        <v>12</v>
      </c>
      <c r="O661" s="173">
        <f>MONTH(Table1[[#This Row],[Date]])</f>
        <v>6</v>
      </c>
      <c r="P661" s="173">
        <v>2020</v>
      </c>
      <c r="Q661" s="174">
        <f>IF(ISBLANK(Table1[[#This Row],[Date]]),"",Table1[[#This Row],[Date]]-WEEKDAY(Table1[[#This Row],[Date]],2)+1)</f>
        <v>43990</v>
      </c>
      <c r="R661" s="175">
        <f>IF(ISBLANK(Table1[[#This Row],[Date]]),"",DATE(Table1[[#This Row],[Date_Year]],Table1[[#This Row],[Date_Month]],1))</f>
        <v>43983</v>
      </c>
    </row>
    <row r="662" spans="2:18" ht="15.75" hidden="1" x14ac:dyDescent="0.25">
      <c r="B662" s="165">
        <v>43993</v>
      </c>
      <c r="C662" s="166" t="s">
        <v>784</v>
      </c>
      <c r="D662" s="166" t="s">
        <v>64</v>
      </c>
      <c r="E662" s="167"/>
      <c r="F662" s="114">
        <v>-500</v>
      </c>
      <c r="G662" s="168"/>
      <c r="H662" s="169"/>
      <c r="I662" s="170"/>
      <c r="J662" s="171" t="s">
        <v>899</v>
      </c>
      <c r="K662" s="172" t="s">
        <v>177</v>
      </c>
      <c r="L662" s="172" t="s">
        <v>175</v>
      </c>
      <c r="M662" s="173" t="str" cm="1">
        <f t="array" ref="M662">IFERROR(INDEX(CategoriesTable[Category type],MATCH(Table1[[#This Row],[Category]],CategoriesTable[Category name],0),0),"")</f>
        <v>Expense</v>
      </c>
      <c r="N662" s="173">
        <v>11</v>
      </c>
      <c r="O662" s="173">
        <f>MONTH(Table1[[#This Row],[Date]])</f>
        <v>6</v>
      </c>
      <c r="P662" s="173">
        <v>2020</v>
      </c>
      <c r="Q662" s="174">
        <f>IF(ISBLANK(Table1[[#This Row],[Date]]),"",Table1[[#This Row],[Date]]-WEEKDAY(Table1[[#This Row],[Date]],2)+1)</f>
        <v>43990</v>
      </c>
      <c r="R662" s="175">
        <f>IF(ISBLANK(Table1[[#This Row],[Date]]),"",DATE(Table1[[#This Row],[Date_Year]],Table1[[#This Row],[Date_Month]],1))</f>
        <v>43983</v>
      </c>
    </row>
    <row r="663" spans="2:18" ht="15.75" hidden="1" x14ac:dyDescent="0.25">
      <c r="B663" s="165">
        <v>43993</v>
      </c>
      <c r="C663" s="166" t="s">
        <v>834</v>
      </c>
      <c r="D663" s="166" t="s">
        <v>57</v>
      </c>
      <c r="E663" s="167"/>
      <c r="F663" s="114">
        <v>-1.95</v>
      </c>
      <c r="G663" s="168"/>
      <c r="H663" s="169"/>
      <c r="I663" s="170"/>
      <c r="J663" s="171" t="s">
        <v>900</v>
      </c>
      <c r="K663" s="172" t="s">
        <v>177</v>
      </c>
      <c r="L663" s="172" t="s">
        <v>175</v>
      </c>
      <c r="M663" s="173" t="str" cm="1">
        <f t="array" ref="M663">IFERROR(INDEX(CategoriesTable[Category type],MATCH(Table1[[#This Row],[Category]],CategoriesTable[Category name],0),0),"")</f>
        <v>Expense</v>
      </c>
      <c r="N663" s="173">
        <v>11</v>
      </c>
      <c r="O663" s="173">
        <f>MONTH(Table1[[#This Row],[Date]])</f>
        <v>6</v>
      </c>
      <c r="P663" s="173">
        <v>2020</v>
      </c>
      <c r="Q663" s="174">
        <f>IF(ISBLANK(Table1[[#This Row],[Date]]),"",Table1[[#This Row],[Date]]-WEEKDAY(Table1[[#This Row],[Date]],2)+1)</f>
        <v>43990</v>
      </c>
      <c r="R663" s="175">
        <f>IF(ISBLANK(Table1[[#This Row],[Date]]),"",DATE(Table1[[#This Row],[Date_Year]],Table1[[#This Row],[Date_Month]],1))</f>
        <v>43983</v>
      </c>
    </row>
    <row r="664" spans="2:18" ht="15.75" hidden="1" x14ac:dyDescent="0.25">
      <c r="B664" s="165">
        <v>43990</v>
      </c>
      <c r="C664" s="166" t="s">
        <v>199</v>
      </c>
      <c r="D664" s="166" t="s">
        <v>65</v>
      </c>
      <c r="E664" s="167"/>
      <c r="F664" s="114">
        <v>-91.06</v>
      </c>
      <c r="G664" s="168"/>
      <c r="H664" s="169"/>
      <c r="I664" s="170"/>
      <c r="J664" s="171" t="s">
        <v>901</v>
      </c>
      <c r="K664" s="172" t="s">
        <v>177</v>
      </c>
      <c r="L664" s="172" t="s">
        <v>175</v>
      </c>
      <c r="M664" s="173" t="str" cm="1">
        <f t="array" ref="M664">IFERROR(INDEX(CategoriesTable[Category type],MATCH(Table1[[#This Row],[Category]],CategoriesTable[Category name],0),0),"")</f>
        <v>Expense</v>
      </c>
      <c r="N664" s="173">
        <v>8</v>
      </c>
      <c r="O664" s="173">
        <f>MONTH(Table1[[#This Row],[Date]])</f>
        <v>6</v>
      </c>
      <c r="P664" s="173">
        <v>2020</v>
      </c>
      <c r="Q664" s="174">
        <f>IF(ISBLANK(Table1[[#This Row],[Date]]),"",Table1[[#This Row],[Date]]-WEEKDAY(Table1[[#This Row],[Date]],2)+1)</f>
        <v>43990</v>
      </c>
      <c r="R664" s="175">
        <f>IF(ISBLANK(Table1[[#This Row],[Date]]),"",DATE(Table1[[#This Row],[Date_Year]],Table1[[#This Row],[Date_Month]],1))</f>
        <v>43983</v>
      </c>
    </row>
    <row r="665" spans="2:18" ht="15.75" hidden="1" x14ac:dyDescent="0.25">
      <c r="B665" s="165">
        <v>43990</v>
      </c>
      <c r="C665" s="166" t="s">
        <v>572</v>
      </c>
      <c r="D665" s="166" t="s">
        <v>63</v>
      </c>
      <c r="E665" s="167"/>
      <c r="F665" s="114">
        <v>-3.5</v>
      </c>
      <c r="G665" s="168"/>
      <c r="H665" s="169"/>
      <c r="I665" s="170"/>
      <c r="J665" s="171" t="s">
        <v>902</v>
      </c>
      <c r="K665" s="172" t="s">
        <v>177</v>
      </c>
      <c r="L665" s="172" t="s">
        <v>175</v>
      </c>
      <c r="M665" s="173" t="str" cm="1">
        <f t="array" ref="M665">IFERROR(INDEX(CategoriesTable[Category type],MATCH(Table1[[#This Row],[Category]],CategoriesTable[Category name],0),0),"")</f>
        <v>Expense</v>
      </c>
      <c r="N665" s="173">
        <v>8</v>
      </c>
      <c r="O665" s="173">
        <f>MONTH(Table1[[#This Row],[Date]])</f>
        <v>6</v>
      </c>
      <c r="P665" s="173">
        <v>2020</v>
      </c>
      <c r="Q665" s="174">
        <f>IF(ISBLANK(Table1[[#This Row],[Date]]),"",Table1[[#This Row],[Date]]-WEEKDAY(Table1[[#This Row],[Date]],2)+1)</f>
        <v>43990</v>
      </c>
      <c r="R665" s="175">
        <f>IF(ISBLANK(Table1[[#This Row],[Date]]),"",DATE(Table1[[#This Row],[Date_Year]],Table1[[#This Row],[Date_Month]],1))</f>
        <v>43983</v>
      </c>
    </row>
    <row r="666" spans="2:18" ht="15.75" hidden="1" x14ac:dyDescent="0.25">
      <c r="B666" s="165">
        <v>43990</v>
      </c>
      <c r="C666" s="166" t="s">
        <v>574</v>
      </c>
      <c r="D666" s="166" t="s">
        <v>55</v>
      </c>
      <c r="E666" s="167"/>
      <c r="F666" s="114">
        <v>-515.23</v>
      </c>
      <c r="G666" s="168"/>
      <c r="H666" s="169"/>
      <c r="I666" s="170"/>
      <c r="J666" s="171" t="s">
        <v>903</v>
      </c>
      <c r="K666" s="172" t="s">
        <v>177</v>
      </c>
      <c r="L666" s="172" t="s">
        <v>175</v>
      </c>
      <c r="M666" s="173" t="str" cm="1">
        <f t="array" ref="M666">IFERROR(INDEX(CategoriesTable[Category type],MATCH(Table1[[#This Row],[Category]],CategoriesTable[Category name],0),0),"")</f>
        <v>Expense</v>
      </c>
      <c r="N666" s="173">
        <v>8</v>
      </c>
      <c r="O666" s="173">
        <f>MONTH(Table1[[#This Row],[Date]])</f>
        <v>6</v>
      </c>
      <c r="P666" s="173">
        <v>2020</v>
      </c>
      <c r="Q666" s="174">
        <f>IF(ISBLANK(Table1[[#This Row],[Date]]),"",Table1[[#This Row],[Date]]-WEEKDAY(Table1[[#This Row],[Date]],2)+1)</f>
        <v>43990</v>
      </c>
      <c r="R666" s="175">
        <f>IF(ISBLANK(Table1[[#This Row],[Date]]),"",DATE(Table1[[#This Row],[Date_Year]],Table1[[#This Row],[Date_Month]],1))</f>
        <v>43983</v>
      </c>
    </row>
    <row r="667" spans="2:18" ht="15.75" hidden="1" x14ac:dyDescent="0.25">
      <c r="B667" s="165">
        <v>43988</v>
      </c>
      <c r="C667" s="166" t="s">
        <v>738</v>
      </c>
      <c r="D667" s="166" t="s">
        <v>55</v>
      </c>
      <c r="E667" s="167"/>
      <c r="F667" s="114">
        <v>-173.83</v>
      </c>
      <c r="G667" s="168"/>
      <c r="H667" s="169"/>
      <c r="I667" s="170"/>
      <c r="J667" s="171" t="s">
        <v>904</v>
      </c>
      <c r="K667" s="172" t="s">
        <v>177</v>
      </c>
      <c r="L667" s="172" t="s">
        <v>175</v>
      </c>
      <c r="M667" s="173" t="str" cm="1">
        <f t="array" ref="M667">IFERROR(INDEX(CategoriesTable[Category type],MATCH(Table1[[#This Row],[Category]],CategoriesTable[Category name],0),0),"")</f>
        <v>Expense</v>
      </c>
      <c r="N667" s="173">
        <v>6</v>
      </c>
      <c r="O667" s="173">
        <f>MONTH(Table1[[#This Row],[Date]])</f>
        <v>6</v>
      </c>
      <c r="P667" s="173">
        <v>2020</v>
      </c>
      <c r="Q667" s="174">
        <f>IF(ISBLANK(Table1[[#This Row],[Date]]),"",Table1[[#This Row],[Date]]-WEEKDAY(Table1[[#This Row],[Date]],2)+1)</f>
        <v>43983</v>
      </c>
      <c r="R667" s="175">
        <f>IF(ISBLANK(Table1[[#This Row],[Date]]),"",DATE(Table1[[#This Row],[Date_Year]],Table1[[#This Row],[Date_Month]],1))</f>
        <v>43983</v>
      </c>
    </row>
    <row r="668" spans="2:18" ht="15.75" hidden="1" x14ac:dyDescent="0.25">
      <c r="B668" s="165">
        <v>43988</v>
      </c>
      <c r="C668" s="166" t="s">
        <v>150</v>
      </c>
      <c r="D668" s="166" t="s">
        <v>65</v>
      </c>
      <c r="E668" s="167"/>
      <c r="F668" s="114">
        <v>-47.89</v>
      </c>
      <c r="G668" s="168"/>
      <c r="H668" s="169"/>
      <c r="I668" s="170"/>
      <c r="J668" s="171" t="s">
        <v>905</v>
      </c>
      <c r="K668" s="172" t="s">
        <v>177</v>
      </c>
      <c r="L668" s="172" t="s">
        <v>175</v>
      </c>
      <c r="M668" s="173" t="str" cm="1">
        <f t="array" ref="M668">IFERROR(INDEX(CategoriesTable[Category type],MATCH(Table1[[#This Row],[Category]],CategoriesTable[Category name],0),0),"")</f>
        <v>Expense</v>
      </c>
      <c r="N668" s="173">
        <v>6</v>
      </c>
      <c r="O668" s="173">
        <f>MONTH(Table1[[#This Row],[Date]])</f>
        <v>6</v>
      </c>
      <c r="P668" s="173">
        <v>2020</v>
      </c>
      <c r="Q668" s="174">
        <f>IF(ISBLANK(Table1[[#This Row],[Date]]),"",Table1[[#This Row],[Date]]-WEEKDAY(Table1[[#This Row],[Date]],2)+1)</f>
        <v>43983</v>
      </c>
      <c r="R668" s="175">
        <f>IF(ISBLANK(Table1[[#This Row],[Date]]),"",DATE(Table1[[#This Row],[Date_Year]],Table1[[#This Row],[Date_Month]],1))</f>
        <v>43983</v>
      </c>
    </row>
    <row r="669" spans="2:18" ht="15.75" hidden="1" x14ac:dyDescent="0.25">
      <c r="B669" s="165">
        <v>43987</v>
      </c>
      <c r="C669" s="166" t="s">
        <v>123</v>
      </c>
      <c r="D669" s="166" t="s">
        <v>55</v>
      </c>
      <c r="E669" s="167"/>
      <c r="F669" s="114">
        <v>-15.99</v>
      </c>
      <c r="G669" s="168"/>
      <c r="H669" s="169"/>
      <c r="I669" s="170"/>
      <c r="J669" s="171" t="s">
        <v>906</v>
      </c>
      <c r="K669" s="172" t="s">
        <v>177</v>
      </c>
      <c r="L669" s="172" t="s">
        <v>175</v>
      </c>
      <c r="M669" s="173" t="str" cm="1">
        <f t="array" ref="M669">IFERROR(INDEX(CategoriesTable[Category type],MATCH(Table1[[#This Row],[Category]],CategoriesTable[Category name],0),0),"")</f>
        <v>Expense</v>
      </c>
      <c r="N669" s="173">
        <v>5</v>
      </c>
      <c r="O669" s="173">
        <f>MONTH(Table1[[#This Row],[Date]])</f>
        <v>6</v>
      </c>
      <c r="P669" s="173">
        <v>2020</v>
      </c>
      <c r="Q669" s="174">
        <f>IF(ISBLANK(Table1[[#This Row],[Date]]),"",Table1[[#This Row],[Date]]-WEEKDAY(Table1[[#This Row],[Date]],2)+1)</f>
        <v>43983</v>
      </c>
      <c r="R669" s="175">
        <f>IF(ISBLANK(Table1[[#This Row],[Date]]),"",DATE(Table1[[#This Row],[Date_Year]],Table1[[#This Row],[Date_Month]],1))</f>
        <v>43983</v>
      </c>
    </row>
    <row r="670" spans="2:18" ht="15.75" hidden="1" x14ac:dyDescent="0.25">
      <c r="B670" s="165">
        <v>43986</v>
      </c>
      <c r="C670" s="166" t="s">
        <v>199</v>
      </c>
      <c r="D670" s="166" t="s">
        <v>65</v>
      </c>
      <c r="E670" s="167"/>
      <c r="F670" s="114">
        <v>-48.97</v>
      </c>
      <c r="G670" s="168"/>
      <c r="H670" s="169"/>
      <c r="I670" s="170"/>
      <c r="J670" s="171" t="s">
        <v>907</v>
      </c>
      <c r="K670" s="172" t="s">
        <v>177</v>
      </c>
      <c r="L670" s="172" t="s">
        <v>175</v>
      </c>
      <c r="M670" s="173" t="str" cm="1">
        <f t="array" ref="M670">IFERROR(INDEX(CategoriesTable[Category type],MATCH(Table1[[#This Row],[Category]],CategoriesTable[Category name],0),0),"")</f>
        <v>Expense</v>
      </c>
      <c r="N670" s="173">
        <v>4</v>
      </c>
      <c r="O670" s="173">
        <f>MONTH(Table1[[#This Row],[Date]])</f>
        <v>6</v>
      </c>
      <c r="P670" s="173">
        <v>2020</v>
      </c>
      <c r="Q670" s="174">
        <f>IF(ISBLANK(Table1[[#This Row],[Date]]),"",Table1[[#This Row],[Date]]-WEEKDAY(Table1[[#This Row],[Date]],2)+1)</f>
        <v>43983</v>
      </c>
      <c r="R670" s="175">
        <f>IF(ISBLANK(Table1[[#This Row],[Date]]),"",DATE(Table1[[#This Row],[Date_Year]],Table1[[#This Row],[Date_Month]],1))</f>
        <v>43983</v>
      </c>
    </row>
    <row r="671" spans="2:18" ht="15.75" hidden="1" x14ac:dyDescent="0.25">
      <c r="B671" s="165">
        <v>43986</v>
      </c>
      <c r="C671" s="166" t="s">
        <v>150</v>
      </c>
      <c r="D671" s="166" t="s">
        <v>65</v>
      </c>
      <c r="E671" s="167"/>
      <c r="F671" s="114">
        <v>-41.93</v>
      </c>
      <c r="G671" s="168"/>
      <c r="H671" s="169"/>
      <c r="I671" s="170"/>
      <c r="J671" s="171" t="s">
        <v>908</v>
      </c>
      <c r="K671" s="172" t="s">
        <v>177</v>
      </c>
      <c r="L671" s="172" t="s">
        <v>175</v>
      </c>
      <c r="M671" s="173" t="str" cm="1">
        <f t="array" ref="M671">IFERROR(INDEX(CategoriesTable[Category type],MATCH(Table1[[#This Row],[Category]],CategoriesTable[Category name],0),0),"")</f>
        <v>Expense</v>
      </c>
      <c r="N671" s="173">
        <v>4</v>
      </c>
      <c r="O671" s="173">
        <f>MONTH(Table1[[#This Row],[Date]])</f>
        <v>6</v>
      </c>
      <c r="P671" s="173">
        <v>2020</v>
      </c>
      <c r="Q671" s="174">
        <f>IF(ISBLANK(Table1[[#This Row],[Date]]),"",Table1[[#This Row],[Date]]-WEEKDAY(Table1[[#This Row],[Date]],2)+1)</f>
        <v>43983</v>
      </c>
      <c r="R671" s="175">
        <f>IF(ISBLANK(Table1[[#This Row],[Date]]),"",DATE(Table1[[#This Row],[Date_Year]],Table1[[#This Row],[Date_Month]],1))</f>
        <v>43983</v>
      </c>
    </row>
    <row r="672" spans="2:18" ht="15.75" hidden="1" x14ac:dyDescent="0.25">
      <c r="B672" s="165">
        <v>43985</v>
      </c>
      <c r="C672" s="166" t="s">
        <v>664</v>
      </c>
      <c r="D672" s="166" t="s">
        <v>66</v>
      </c>
      <c r="E672" s="167"/>
      <c r="F672" s="114">
        <v>-109.44</v>
      </c>
      <c r="G672" s="168"/>
      <c r="H672" s="169"/>
      <c r="I672" s="170"/>
      <c r="J672" s="171" t="s">
        <v>909</v>
      </c>
      <c r="K672" s="172" t="s">
        <v>177</v>
      </c>
      <c r="L672" s="172" t="s">
        <v>175</v>
      </c>
      <c r="M672" s="173" t="str" cm="1">
        <f t="array" ref="M672">IFERROR(INDEX(CategoriesTable[Category type],MATCH(Table1[[#This Row],[Category]],CategoriesTable[Category name],0),0),"")</f>
        <v>Expense</v>
      </c>
      <c r="N672" s="173">
        <v>3</v>
      </c>
      <c r="O672" s="173">
        <f>MONTH(Table1[[#This Row],[Date]])</f>
        <v>6</v>
      </c>
      <c r="P672" s="173">
        <v>2020</v>
      </c>
      <c r="Q672" s="174">
        <f>IF(ISBLANK(Table1[[#This Row],[Date]]),"",Table1[[#This Row],[Date]]-WEEKDAY(Table1[[#This Row],[Date]],2)+1)</f>
        <v>43983</v>
      </c>
      <c r="R672" s="175">
        <f>IF(ISBLANK(Table1[[#This Row],[Date]]),"",DATE(Table1[[#This Row],[Date_Year]],Table1[[#This Row],[Date_Month]],1))</f>
        <v>43983</v>
      </c>
    </row>
    <row r="673" spans="2:18" ht="15.75" hidden="1" x14ac:dyDescent="0.25">
      <c r="B673" s="165">
        <v>43984</v>
      </c>
      <c r="C673" s="166" t="s">
        <v>121</v>
      </c>
      <c r="D673" s="166" t="s">
        <v>65</v>
      </c>
      <c r="E673" s="167"/>
      <c r="F673" s="114">
        <v>-14.18</v>
      </c>
      <c r="G673" s="168"/>
      <c r="H673" s="169"/>
      <c r="I673" s="170"/>
      <c r="J673" s="171" t="s">
        <v>910</v>
      </c>
      <c r="K673" s="172" t="s">
        <v>177</v>
      </c>
      <c r="L673" s="172" t="s">
        <v>175</v>
      </c>
      <c r="M673" s="173" t="str" cm="1">
        <f t="array" ref="M673">IFERROR(INDEX(CategoriesTable[Category type],MATCH(Table1[[#This Row],[Category]],CategoriesTable[Category name],0),0),"")</f>
        <v>Expense</v>
      </c>
      <c r="N673" s="173">
        <v>2</v>
      </c>
      <c r="O673" s="173">
        <f>MONTH(Table1[[#This Row],[Date]])</f>
        <v>6</v>
      </c>
      <c r="P673" s="173">
        <v>2020</v>
      </c>
      <c r="Q673" s="174">
        <f>IF(ISBLANK(Table1[[#This Row],[Date]]),"",Table1[[#This Row],[Date]]-WEEKDAY(Table1[[#This Row],[Date]],2)+1)</f>
        <v>43983</v>
      </c>
      <c r="R673" s="175">
        <f>IF(ISBLANK(Table1[[#This Row],[Date]]),"",DATE(Table1[[#This Row],[Date_Year]],Table1[[#This Row],[Date_Month]],1))</f>
        <v>43983</v>
      </c>
    </row>
    <row r="674" spans="2:18" ht="15.75" hidden="1" x14ac:dyDescent="0.25">
      <c r="B674" s="165">
        <v>43984</v>
      </c>
      <c r="C674" s="166" t="s">
        <v>145</v>
      </c>
      <c r="D674" s="166" t="s">
        <v>58</v>
      </c>
      <c r="E674" s="167"/>
      <c r="F674" s="114">
        <v>-23.28</v>
      </c>
      <c r="G674" s="168"/>
      <c r="H674" s="169"/>
      <c r="I674" s="170"/>
      <c r="J674" s="171" t="s">
        <v>911</v>
      </c>
      <c r="K674" s="172" t="s">
        <v>177</v>
      </c>
      <c r="L674" s="172" t="s">
        <v>175</v>
      </c>
      <c r="M674" s="173" t="str" cm="1">
        <f t="array" ref="M674">IFERROR(INDEX(CategoriesTable[Category type],MATCH(Table1[[#This Row],[Category]],CategoriesTable[Category name],0),0),"")</f>
        <v>Expense</v>
      </c>
      <c r="N674" s="173">
        <v>2</v>
      </c>
      <c r="O674" s="173">
        <f>MONTH(Table1[[#This Row],[Date]])</f>
        <v>6</v>
      </c>
      <c r="P674" s="173">
        <v>2020</v>
      </c>
      <c r="Q674" s="174">
        <f>IF(ISBLANK(Table1[[#This Row],[Date]]),"",Table1[[#This Row],[Date]]-WEEKDAY(Table1[[#This Row],[Date]],2)+1)</f>
        <v>43983</v>
      </c>
      <c r="R674" s="175">
        <f>IF(ISBLANK(Table1[[#This Row],[Date]]),"",DATE(Table1[[#This Row],[Date_Year]],Table1[[#This Row],[Date_Month]],1))</f>
        <v>43983</v>
      </c>
    </row>
    <row r="675" spans="2:18" ht="15.75" hidden="1" x14ac:dyDescent="0.25">
      <c r="B675" s="165">
        <v>43984</v>
      </c>
      <c r="C675" s="166" t="s">
        <v>193</v>
      </c>
      <c r="D675" s="166" t="s">
        <v>66</v>
      </c>
      <c r="E675" s="167"/>
      <c r="F675" s="114">
        <v>-81.59</v>
      </c>
      <c r="G675" s="168"/>
      <c r="H675" s="169"/>
      <c r="I675" s="170"/>
      <c r="J675" s="171" t="s">
        <v>912</v>
      </c>
      <c r="K675" s="172" t="s">
        <v>177</v>
      </c>
      <c r="L675" s="172" t="s">
        <v>175</v>
      </c>
      <c r="M675" s="173" t="str" cm="1">
        <f t="array" ref="M675">IFERROR(INDEX(CategoriesTable[Category type],MATCH(Table1[[#This Row],[Category]],CategoriesTable[Category name],0),0),"")</f>
        <v>Expense</v>
      </c>
      <c r="N675" s="173">
        <v>2</v>
      </c>
      <c r="O675" s="173">
        <f>MONTH(Table1[[#This Row],[Date]])</f>
        <v>6</v>
      </c>
      <c r="P675" s="173">
        <v>2020</v>
      </c>
      <c r="Q675" s="174">
        <f>IF(ISBLANK(Table1[[#This Row],[Date]]),"",Table1[[#This Row],[Date]]-WEEKDAY(Table1[[#This Row],[Date]],2)+1)</f>
        <v>43983</v>
      </c>
      <c r="R675" s="175">
        <f>IF(ISBLANK(Table1[[#This Row],[Date]]),"",DATE(Table1[[#This Row],[Date_Year]],Table1[[#This Row],[Date_Month]],1))</f>
        <v>43983</v>
      </c>
    </row>
    <row r="676" spans="2:18" ht="15.75" hidden="1" x14ac:dyDescent="0.25">
      <c r="B676" s="165">
        <v>43984</v>
      </c>
      <c r="C676" s="166" t="s">
        <v>193</v>
      </c>
      <c r="D676" s="166" t="s">
        <v>66</v>
      </c>
      <c r="E676" s="167"/>
      <c r="F676" s="114">
        <v>-30.88</v>
      </c>
      <c r="G676" s="168"/>
      <c r="H676" s="169"/>
      <c r="I676" s="170"/>
      <c r="J676" s="171" t="s">
        <v>913</v>
      </c>
      <c r="K676" s="172" t="s">
        <v>177</v>
      </c>
      <c r="L676" s="172" t="s">
        <v>175</v>
      </c>
      <c r="M676" s="173" t="str" cm="1">
        <f t="array" ref="M676">IFERROR(INDEX(CategoriesTable[Category type],MATCH(Table1[[#This Row],[Category]],CategoriesTable[Category name],0),0),"")</f>
        <v>Expense</v>
      </c>
      <c r="N676" s="173">
        <v>2</v>
      </c>
      <c r="O676" s="173">
        <f>MONTH(Table1[[#This Row],[Date]])</f>
        <v>6</v>
      </c>
      <c r="P676" s="173">
        <v>2020</v>
      </c>
      <c r="Q676" s="174">
        <f>IF(ISBLANK(Table1[[#This Row],[Date]]),"",Table1[[#This Row],[Date]]-WEEKDAY(Table1[[#This Row],[Date]],2)+1)</f>
        <v>43983</v>
      </c>
      <c r="R676" s="175">
        <f>IF(ISBLANK(Table1[[#This Row],[Date]]),"",DATE(Table1[[#This Row],[Date_Year]],Table1[[#This Row],[Date_Month]],1))</f>
        <v>43983</v>
      </c>
    </row>
    <row r="677" spans="2:18" ht="15.75" hidden="1" x14ac:dyDescent="0.25">
      <c r="B677" s="165">
        <v>43983</v>
      </c>
      <c r="C677" s="166" t="s">
        <v>355</v>
      </c>
      <c r="D677" s="166" t="s">
        <v>65</v>
      </c>
      <c r="E677" s="167"/>
      <c r="F677" s="114">
        <v>-17.78</v>
      </c>
      <c r="G677" s="168"/>
      <c r="H677" s="169"/>
      <c r="I677" s="170"/>
      <c r="J677" s="171" t="s">
        <v>914</v>
      </c>
      <c r="K677" s="172" t="s">
        <v>177</v>
      </c>
      <c r="L677" s="172" t="s">
        <v>175</v>
      </c>
      <c r="M677" s="173" t="str" cm="1">
        <f t="array" ref="M677">IFERROR(INDEX(CategoriesTable[Category type],MATCH(Table1[[#This Row],[Category]],CategoriesTable[Category name],0),0),"")</f>
        <v>Expense</v>
      </c>
      <c r="N677" s="173">
        <v>1</v>
      </c>
      <c r="O677" s="173">
        <f>MONTH(Table1[[#This Row],[Date]])</f>
        <v>6</v>
      </c>
      <c r="P677" s="173">
        <v>2020</v>
      </c>
      <c r="Q677" s="174">
        <f>IF(ISBLANK(Table1[[#This Row],[Date]]),"",Table1[[#This Row],[Date]]-WEEKDAY(Table1[[#This Row],[Date]],2)+1)</f>
        <v>43983</v>
      </c>
      <c r="R677" s="175">
        <f>IF(ISBLANK(Table1[[#This Row],[Date]]),"",DATE(Table1[[#This Row],[Date_Year]],Table1[[#This Row],[Date_Month]],1))</f>
        <v>43983</v>
      </c>
    </row>
    <row r="678" spans="2:18" ht="15.75" hidden="1" x14ac:dyDescent="0.25">
      <c r="B678" s="165">
        <v>43983</v>
      </c>
      <c r="C678" s="166" t="s">
        <v>184</v>
      </c>
      <c r="D678" s="166" t="s">
        <v>56</v>
      </c>
      <c r="E678" s="167"/>
      <c r="F678" s="114">
        <v>-9.89</v>
      </c>
      <c r="G678" s="168"/>
      <c r="H678" s="169"/>
      <c r="I678" s="170"/>
      <c r="J678" s="171" t="s">
        <v>915</v>
      </c>
      <c r="K678" s="172" t="s">
        <v>177</v>
      </c>
      <c r="L678" s="172" t="s">
        <v>175</v>
      </c>
      <c r="M678" s="173" t="str" cm="1">
        <f t="array" ref="M678">IFERROR(INDEX(CategoriesTable[Category type],MATCH(Table1[[#This Row],[Category]],CategoriesTable[Category name],0),0),"")</f>
        <v>Expense</v>
      </c>
      <c r="N678" s="173">
        <v>1</v>
      </c>
      <c r="O678" s="173">
        <f>MONTH(Table1[[#This Row],[Date]])</f>
        <v>6</v>
      </c>
      <c r="P678" s="173">
        <v>2020</v>
      </c>
      <c r="Q678" s="174">
        <f>IF(ISBLANK(Table1[[#This Row],[Date]]),"",Table1[[#This Row],[Date]]-WEEKDAY(Table1[[#This Row],[Date]],2)+1)</f>
        <v>43983</v>
      </c>
      <c r="R678" s="175">
        <f>IF(ISBLANK(Table1[[#This Row],[Date]]),"",DATE(Table1[[#This Row],[Date_Year]],Table1[[#This Row],[Date_Month]],1))</f>
        <v>43983</v>
      </c>
    </row>
    <row r="679" spans="2:18" ht="15.75" hidden="1" x14ac:dyDescent="0.25">
      <c r="B679" s="165">
        <v>43983</v>
      </c>
      <c r="C679" s="166" t="s">
        <v>184</v>
      </c>
      <c r="D679" s="166" t="s">
        <v>56</v>
      </c>
      <c r="E679" s="167"/>
      <c r="F679" s="114">
        <v>-22.49</v>
      </c>
      <c r="G679" s="168"/>
      <c r="H679" s="169"/>
      <c r="I679" s="170"/>
      <c r="J679" s="171" t="s">
        <v>916</v>
      </c>
      <c r="K679" s="172" t="s">
        <v>177</v>
      </c>
      <c r="L679" s="172" t="s">
        <v>175</v>
      </c>
      <c r="M679" s="173" t="str" cm="1">
        <f t="array" ref="M679">IFERROR(INDEX(CategoriesTable[Category type],MATCH(Table1[[#This Row],[Category]],CategoriesTable[Category name],0),0),"")</f>
        <v>Expense</v>
      </c>
      <c r="N679" s="173">
        <v>1</v>
      </c>
      <c r="O679" s="173">
        <f>MONTH(Table1[[#This Row],[Date]])</f>
        <v>6</v>
      </c>
      <c r="P679" s="173">
        <v>2020</v>
      </c>
      <c r="Q679" s="174">
        <f>IF(ISBLANK(Table1[[#This Row],[Date]]),"",Table1[[#This Row],[Date]]-WEEKDAY(Table1[[#This Row],[Date]],2)+1)</f>
        <v>43983</v>
      </c>
      <c r="R679" s="175">
        <f>IF(ISBLANK(Table1[[#This Row],[Date]]),"",DATE(Table1[[#This Row],[Date_Year]],Table1[[#This Row],[Date_Month]],1))</f>
        <v>43983</v>
      </c>
    </row>
    <row r="680" spans="2:18" ht="15.75" hidden="1" x14ac:dyDescent="0.25">
      <c r="B680" s="165">
        <v>43983</v>
      </c>
      <c r="C680" s="166" t="s">
        <v>196</v>
      </c>
      <c r="D680" s="166" t="s">
        <v>50</v>
      </c>
      <c r="E680" s="167"/>
      <c r="F680" s="114">
        <v>4373.0200000000004</v>
      </c>
      <c r="G680" s="168"/>
      <c r="H680" s="169"/>
      <c r="I680" s="170"/>
      <c r="J680" s="171" t="s">
        <v>917</v>
      </c>
      <c r="K680" s="172" t="s">
        <v>177</v>
      </c>
      <c r="L680" s="172" t="s">
        <v>175</v>
      </c>
      <c r="M680" s="173" t="str" cm="1">
        <f t="array" ref="M680">IFERROR(INDEX(CategoriesTable[Category type],MATCH(Table1[[#This Row],[Category]],CategoriesTable[Category name],0),0),"")</f>
        <v>Income</v>
      </c>
      <c r="N680" s="173">
        <v>1</v>
      </c>
      <c r="O680" s="173">
        <f>MONTH(Table1[[#This Row],[Date]])</f>
        <v>6</v>
      </c>
      <c r="P680" s="173">
        <v>2020</v>
      </c>
      <c r="Q680" s="174">
        <f>IF(ISBLANK(Table1[[#This Row],[Date]]),"",Table1[[#This Row],[Date]]-WEEKDAY(Table1[[#This Row],[Date]],2)+1)</f>
        <v>43983</v>
      </c>
      <c r="R680" s="175">
        <f>IF(ISBLANK(Table1[[#This Row],[Date]]),"",DATE(Table1[[#This Row],[Date_Year]],Table1[[#This Row],[Date_Month]],1))</f>
        <v>43983</v>
      </c>
    </row>
    <row r="681" spans="2:18" ht="15.75" hidden="1" x14ac:dyDescent="0.25">
      <c r="B681" s="165">
        <v>43982</v>
      </c>
      <c r="C681" s="166" t="s">
        <v>180</v>
      </c>
      <c r="D681" s="166" t="s">
        <v>52</v>
      </c>
      <c r="E681" s="167"/>
      <c r="F681" s="114">
        <v>-60</v>
      </c>
      <c r="G681" s="168"/>
      <c r="H681" s="169"/>
      <c r="I681" s="170"/>
      <c r="J681" s="171" t="s">
        <v>918</v>
      </c>
      <c r="K681" s="172" t="s">
        <v>177</v>
      </c>
      <c r="L681" s="172" t="s">
        <v>175</v>
      </c>
      <c r="M681" s="173" t="str" cm="1">
        <f t="array" ref="M681">IFERROR(INDEX(CategoriesTable[Category type],MATCH(Table1[[#This Row],[Category]],CategoriesTable[Category name],0),0),"")</f>
        <v>Transfer</v>
      </c>
      <c r="N681" s="173">
        <v>31</v>
      </c>
      <c r="O681" s="173">
        <f>MONTH(Table1[[#This Row],[Date]])</f>
        <v>5</v>
      </c>
      <c r="P681" s="173">
        <v>2020</v>
      </c>
      <c r="Q681" s="174">
        <f>IF(ISBLANK(Table1[[#This Row],[Date]]),"",Table1[[#This Row],[Date]]-WEEKDAY(Table1[[#This Row],[Date]],2)+1)</f>
        <v>43976</v>
      </c>
      <c r="R681" s="175">
        <f>IF(ISBLANK(Table1[[#This Row],[Date]]),"",DATE(Table1[[#This Row],[Date_Year]],Table1[[#This Row],[Date_Month]],1))</f>
        <v>43952</v>
      </c>
    </row>
    <row r="682" spans="2:18" ht="15.75" hidden="1" x14ac:dyDescent="0.25">
      <c r="B682" s="165">
        <v>43982</v>
      </c>
      <c r="C682" s="166" t="s">
        <v>138</v>
      </c>
      <c r="D682" s="166" t="s">
        <v>66</v>
      </c>
      <c r="E682" s="167"/>
      <c r="F682" s="114">
        <v>-12.99</v>
      </c>
      <c r="G682" s="168"/>
      <c r="H682" s="169"/>
      <c r="I682" s="170"/>
      <c r="J682" s="171" t="s">
        <v>919</v>
      </c>
      <c r="K682" s="172" t="s">
        <v>177</v>
      </c>
      <c r="L682" s="172" t="s">
        <v>175</v>
      </c>
      <c r="M682" s="173" t="str" cm="1">
        <f t="array" ref="M682">IFERROR(INDEX(CategoriesTable[Category type],MATCH(Table1[[#This Row],[Category]],CategoriesTable[Category name],0),0),"")</f>
        <v>Expense</v>
      </c>
      <c r="N682" s="173">
        <v>31</v>
      </c>
      <c r="O682" s="173">
        <f>MONTH(Table1[[#This Row],[Date]])</f>
        <v>5</v>
      </c>
      <c r="P682" s="173">
        <v>2020</v>
      </c>
      <c r="Q682" s="174">
        <f>IF(ISBLANK(Table1[[#This Row],[Date]]),"",Table1[[#This Row],[Date]]-WEEKDAY(Table1[[#This Row],[Date]],2)+1)</f>
        <v>43976</v>
      </c>
      <c r="R682" s="175">
        <f>IF(ISBLANK(Table1[[#This Row],[Date]]),"",DATE(Table1[[#This Row],[Date_Year]],Table1[[#This Row],[Date_Month]],1))</f>
        <v>43952</v>
      </c>
    </row>
    <row r="683" spans="2:18" ht="15.75" hidden="1" x14ac:dyDescent="0.25">
      <c r="B683" s="165">
        <v>43982</v>
      </c>
      <c r="C683" s="166" t="s">
        <v>920</v>
      </c>
      <c r="D683" s="166" t="s">
        <v>65</v>
      </c>
      <c r="E683" s="167"/>
      <c r="F683" s="114">
        <v>-34.950000000000003</v>
      </c>
      <c r="G683" s="168"/>
      <c r="H683" s="169"/>
      <c r="I683" s="170"/>
      <c r="J683" s="171" t="s">
        <v>921</v>
      </c>
      <c r="K683" s="172" t="s">
        <v>177</v>
      </c>
      <c r="L683" s="172" t="s">
        <v>175</v>
      </c>
      <c r="M683" s="173" t="str" cm="1">
        <f t="array" ref="M683">IFERROR(INDEX(CategoriesTable[Category type],MATCH(Table1[[#This Row],[Category]],CategoriesTable[Category name],0),0),"")</f>
        <v>Expense</v>
      </c>
      <c r="N683" s="173">
        <v>31</v>
      </c>
      <c r="O683" s="173">
        <f>MONTH(Table1[[#This Row],[Date]])</f>
        <v>5</v>
      </c>
      <c r="P683" s="173">
        <v>2020</v>
      </c>
      <c r="Q683" s="174">
        <f>IF(ISBLANK(Table1[[#This Row],[Date]]),"",Table1[[#This Row],[Date]]-WEEKDAY(Table1[[#This Row],[Date]],2)+1)</f>
        <v>43976</v>
      </c>
      <c r="R683" s="175">
        <f>IF(ISBLANK(Table1[[#This Row],[Date]]),"",DATE(Table1[[#This Row],[Date_Year]],Table1[[#This Row],[Date_Month]],1))</f>
        <v>43952</v>
      </c>
    </row>
    <row r="684" spans="2:18" ht="15.75" hidden="1" x14ac:dyDescent="0.25">
      <c r="B684" s="165">
        <v>43982</v>
      </c>
      <c r="C684" s="166" t="s">
        <v>193</v>
      </c>
      <c r="D684" s="166" t="s">
        <v>66</v>
      </c>
      <c r="E684" s="167"/>
      <c r="F684" s="114">
        <v>-8.99</v>
      </c>
      <c r="G684" s="168"/>
      <c r="H684" s="169"/>
      <c r="I684" s="170"/>
      <c r="J684" s="171" t="s">
        <v>922</v>
      </c>
      <c r="K684" s="172" t="s">
        <v>177</v>
      </c>
      <c r="L684" s="172" t="s">
        <v>175</v>
      </c>
      <c r="M684" s="173" t="str" cm="1">
        <f t="array" ref="M684">IFERROR(INDEX(CategoriesTable[Category type],MATCH(Table1[[#This Row],[Category]],CategoriesTable[Category name],0),0),"")</f>
        <v>Expense</v>
      </c>
      <c r="N684" s="173">
        <v>31</v>
      </c>
      <c r="O684" s="173">
        <f>MONTH(Table1[[#This Row],[Date]])</f>
        <v>5</v>
      </c>
      <c r="P684" s="173">
        <v>2020</v>
      </c>
      <c r="Q684" s="174">
        <f>IF(ISBLANK(Table1[[#This Row],[Date]]),"",Table1[[#This Row],[Date]]-WEEKDAY(Table1[[#This Row],[Date]],2)+1)</f>
        <v>43976</v>
      </c>
      <c r="R684" s="175">
        <f>IF(ISBLANK(Table1[[#This Row],[Date]]),"",DATE(Table1[[#This Row],[Date_Year]],Table1[[#This Row],[Date_Month]],1))</f>
        <v>43952</v>
      </c>
    </row>
    <row r="685" spans="2:18" ht="15.75" hidden="1" x14ac:dyDescent="0.25">
      <c r="B685" s="165">
        <v>43981</v>
      </c>
      <c r="C685" s="166" t="s">
        <v>146</v>
      </c>
      <c r="D685" s="166" t="s">
        <v>58</v>
      </c>
      <c r="E685" s="167"/>
      <c r="F685" s="114">
        <v>-98.88</v>
      </c>
      <c r="G685" s="168"/>
      <c r="H685" s="169"/>
      <c r="I685" s="170"/>
      <c r="J685" s="171" t="s">
        <v>923</v>
      </c>
      <c r="K685" s="172" t="s">
        <v>177</v>
      </c>
      <c r="L685" s="172" t="s">
        <v>175</v>
      </c>
      <c r="M685" s="173" t="str" cm="1">
        <f t="array" ref="M685">IFERROR(INDEX(CategoriesTable[Category type],MATCH(Table1[[#This Row],[Category]],CategoriesTable[Category name],0),0),"")</f>
        <v>Expense</v>
      </c>
      <c r="N685" s="173">
        <v>30</v>
      </c>
      <c r="O685" s="173">
        <f>MONTH(Table1[[#This Row],[Date]])</f>
        <v>5</v>
      </c>
      <c r="P685" s="173">
        <v>2020</v>
      </c>
      <c r="Q685" s="174">
        <f>IF(ISBLANK(Table1[[#This Row],[Date]]),"",Table1[[#This Row],[Date]]-WEEKDAY(Table1[[#This Row],[Date]],2)+1)</f>
        <v>43976</v>
      </c>
      <c r="R685" s="175">
        <f>IF(ISBLANK(Table1[[#This Row],[Date]]),"",DATE(Table1[[#This Row],[Date_Year]],Table1[[#This Row],[Date_Month]],1))</f>
        <v>43952</v>
      </c>
    </row>
    <row r="686" spans="2:18" ht="15.75" hidden="1" x14ac:dyDescent="0.25">
      <c r="B686" s="165">
        <v>43980</v>
      </c>
      <c r="C686" s="166" t="s">
        <v>355</v>
      </c>
      <c r="D686" s="166" t="s">
        <v>65</v>
      </c>
      <c r="E686" s="167"/>
      <c r="F686" s="114">
        <v>-24.79</v>
      </c>
      <c r="G686" s="168"/>
      <c r="H686" s="169"/>
      <c r="I686" s="170"/>
      <c r="J686" s="171" t="s">
        <v>924</v>
      </c>
      <c r="K686" s="172" t="s">
        <v>177</v>
      </c>
      <c r="L686" s="172" t="s">
        <v>175</v>
      </c>
      <c r="M686" s="173" t="str" cm="1">
        <f t="array" ref="M686">IFERROR(INDEX(CategoriesTable[Category type],MATCH(Table1[[#This Row],[Category]],CategoriesTable[Category name],0),0),"")</f>
        <v>Expense</v>
      </c>
      <c r="N686" s="173">
        <v>29</v>
      </c>
      <c r="O686" s="173">
        <f>MONTH(Table1[[#This Row],[Date]])</f>
        <v>5</v>
      </c>
      <c r="P686" s="173">
        <v>2020</v>
      </c>
      <c r="Q686" s="174">
        <f>IF(ISBLANK(Table1[[#This Row],[Date]]),"",Table1[[#This Row],[Date]]-WEEKDAY(Table1[[#This Row],[Date]],2)+1)</f>
        <v>43976</v>
      </c>
      <c r="R686" s="175">
        <f>IF(ISBLANK(Table1[[#This Row],[Date]]),"",DATE(Table1[[#This Row],[Date_Year]],Table1[[#This Row],[Date_Month]],1))</f>
        <v>43952</v>
      </c>
    </row>
    <row r="687" spans="2:18" ht="15.75" hidden="1" x14ac:dyDescent="0.25">
      <c r="B687" s="165">
        <v>43980</v>
      </c>
      <c r="C687" s="166" t="s">
        <v>803</v>
      </c>
      <c r="D687" s="166" t="s">
        <v>51</v>
      </c>
      <c r="E687" s="167"/>
      <c r="F687" s="114">
        <v>214</v>
      </c>
      <c r="G687" s="168"/>
      <c r="H687" s="169"/>
      <c r="I687" s="170"/>
      <c r="J687" s="171" t="s">
        <v>925</v>
      </c>
      <c r="K687" s="172" t="s">
        <v>177</v>
      </c>
      <c r="L687" s="172" t="s">
        <v>175</v>
      </c>
      <c r="M687" s="173" t="str" cm="1">
        <f t="array" ref="M687">IFERROR(INDEX(CategoriesTable[Category type],MATCH(Table1[[#This Row],[Category]],CategoriesTable[Category name],0),0),"")</f>
        <v>Transfer</v>
      </c>
      <c r="N687" s="173">
        <v>29</v>
      </c>
      <c r="O687" s="173">
        <f>MONTH(Table1[[#This Row],[Date]])</f>
        <v>5</v>
      </c>
      <c r="P687" s="173">
        <v>2020</v>
      </c>
      <c r="Q687" s="174">
        <f>IF(ISBLANK(Table1[[#This Row],[Date]]),"",Table1[[#This Row],[Date]]-WEEKDAY(Table1[[#This Row],[Date]],2)+1)</f>
        <v>43976</v>
      </c>
      <c r="R687" s="175">
        <f>IF(ISBLANK(Table1[[#This Row],[Date]]),"",DATE(Table1[[#This Row],[Date_Year]],Table1[[#This Row],[Date_Month]],1))</f>
        <v>43952</v>
      </c>
    </row>
    <row r="688" spans="2:18" ht="15.75" hidden="1" x14ac:dyDescent="0.25">
      <c r="B688" s="165">
        <v>43980</v>
      </c>
      <c r="C688" s="166" t="s">
        <v>806</v>
      </c>
      <c r="D688" s="166" t="s">
        <v>63</v>
      </c>
      <c r="E688" s="167"/>
      <c r="F688" s="114">
        <v>-12.5</v>
      </c>
      <c r="G688" s="168"/>
      <c r="H688" s="169"/>
      <c r="I688" s="170"/>
      <c r="J688" s="171" t="s">
        <v>926</v>
      </c>
      <c r="K688" s="172" t="s">
        <v>177</v>
      </c>
      <c r="L688" s="172" t="s">
        <v>175</v>
      </c>
      <c r="M688" s="173" t="str" cm="1">
        <f t="array" ref="M688">IFERROR(INDEX(CategoriesTable[Category type],MATCH(Table1[[#This Row],[Category]],CategoriesTable[Category name],0),0),"")</f>
        <v>Expense</v>
      </c>
      <c r="N688" s="173">
        <v>29</v>
      </c>
      <c r="O688" s="173">
        <f>MONTH(Table1[[#This Row],[Date]])</f>
        <v>5</v>
      </c>
      <c r="P688" s="173">
        <v>2020</v>
      </c>
      <c r="Q688" s="174">
        <f>IF(ISBLANK(Table1[[#This Row],[Date]]),"",Table1[[#This Row],[Date]]-WEEKDAY(Table1[[#This Row],[Date]],2)+1)</f>
        <v>43976</v>
      </c>
      <c r="R688" s="175">
        <f>IF(ISBLANK(Table1[[#This Row],[Date]]),"",DATE(Table1[[#This Row],[Date_Year]],Table1[[#This Row],[Date_Month]],1))</f>
        <v>43952</v>
      </c>
    </row>
    <row r="689" spans="2:18" ht="15.75" hidden="1" x14ac:dyDescent="0.25">
      <c r="B689" s="165">
        <v>43979</v>
      </c>
      <c r="C689" s="166" t="s">
        <v>803</v>
      </c>
      <c r="D689" s="166" t="s">
        <v>51</v>
      </c>
      <c r="E689" s="167"/>
      <c r="F689" s="114">
        <v>200</v>
      </c>
      <c r="G689" s="168"/>
      <c r="H689" s="169"/>
      <c r="I689" s="170"/>
      <c r="J689" s="171" t="s">
        <v>928</v>
      </c>
      <c r="K689" s="172" t="s">
        <v>177</v>
      </c>
      <c r="L689" s="172" t="s">
        <v>175</v>
      </c>
      <c r="M689" s="173" t="str" cm="1">
        <f t="array" ref="M689">IFERROR(INDEX(CategoriesTable[Category type],MATCH(Table1[[#This Row],[Category]],CategoriesTable[Category name],0),0),"")</f>
        <v>Transfer</v>
      </c>
      <c r="N689" s="173">
        <v>28</v>
      </c>
      <c r="O689" s="173">
        <f>MONTH(Table1[[#This Row],[Date]])</f>
        <v>5</v>
      </c>
      <c r="P689" s="173">
        <v>2020</v>
      </c>
      <c r="Q689" s="174">
        <f>IF(ISBLANK(Table1[[#This Row],[Date]]),"",Table1[[#This Row],[Date]]-WEEKDAY(Table1[[#This Row],[Date]],2)+1)</f>
        <v>43976</v>
      </c>
      <c r="R689" s="175">
        <f>IF(ISBLANK(Table1[[#This Row],[Date]]),"",DATE(Table1[[#This Row],[Date_Year]],Table1[[#This Row],[Date_Month]],1))</f>
        <v>43952</v>
      </c>
    </row>
    <row r="690" spans="2:18" ht="15.75" hidden="1" x14ac:dyDescent="0.25">
      <c r="B690" s="165">
        <v>43979</v>
      </c>
      <c r="C690" s="166" t="s">
        <v>715</v>
      </c>
      <c r="D690" s="166" t="s">
        <v>55</v>
      </c>
      <c r="E690" s="167"/>
      <c r="F690" s="114">
        <v>-318</v>
      </c>
      <c r="G690" s="168"/>
      <c r="H690" s="169"/>
      <c r="I690" s="170"/>
      <c r="J690" s="171" t="s">
        <v>929</v>
      </c>
      <c r="K690" s="172" t="s">
        <v>177</v>
      </c>
      <c r="L690" s="172" t="s">
        <v>175</v>
      </c>
      <c r="M690" s="173" t="str" cm="1">
        <f t="array" ref="M690">IFERROR(INDEX(CategoriesTable[Category type],MATCH(Table1[[#This Row],[Category]],CategoriesTable[Category name],0),0),"")</f>
        <v>Expense</v>
      </c>
      <c r="N690" s="173">
        <v>28</v>
      </c>
      <c r="O690" s="173">
        <f>MONTH(Table1[[#This Row],[Date]])</f>
        <v>5</v>
      </c>
      <c r="P690" s="173">
        <v>2020</v>
      </c>
      <c r="Q690" s="174">
        <f>IF(ISBLANK(Table1[[#This Row],[Date]]),"",Table1[[#This Row],[Date]]-WEEKDAY(Table1[[#This Row],[Date]],2)+1)</f>
        <v>43976</v>
      </c>
      <c r="R690" s="175">
        <f>IF(ISBLANK(Table1[[#This Row],[Date]]),"",DATE(Table1[[#This Row],[Date_Year]],Table1[[#This Row],[Date_Month]],1))</f>
        <v>43952</v>
      </c>
    </row>
    <row r="691" spans="2:18" ht="15.75" hidden="1" x14ac:dyDescent="0.25">
      <c r="B691" s="165">
        <v>43979</v>
      </c>
      <c r="C691" s="166" t="s">
        <v>211</v>
      </c>
      <c r="D691" s="166" t="s">
        <v>66</v>
      </c>
      <c r="E691" s="167"/>
      <c r="F691" s="114">
        <v>-200</v>
      </c>
      <c r="G691" s="168"/>
      <c r="H691" s="169"/>
      <c r="I691" s="170"/>
      <c r="J691" s="171" t="s">
        <v>930</v>
      </c>
      <c r="K691" s="172" t="s">
        <v>177</v>
      </c>
      <c r="L691" s="172" t="s">
        <v>175</v>
      </c>
      <c r="M691" s="173" t="str" cm="1">
        <f t="array" ref="M691">IFERROR(INDEX(CategoriesTable[Category type],MATCH(Table1[[#This Row],[Category]],CategoriesTable[Category name],0),0),"")</f>
        <v>Expense</v>
      </c>
      <c r="N691" s="173">
        <v>28</v>
      </c>
      <c r="O691" s="173">
        <f>MONTH(Table1[[#This Row],[Date]])</f>
        <v>5</v>
      </c>
      <c r="P691" s="173">
        <v>2020</v>
      </c>
      <c r="Q691" s="174">
        <f>IF(ISBLANK(Table1[[#This Row],[Date]]),"",Table1[[#This Row],[Date]]-WEEKDAY(Table1[[#This Row],[Date]],2)+1)</f>
        <v>43976</v>
      </c>
      <c r="R691" s="175">
        <f>IF(ISBLANK(Table1[[#This Row],[Date]]),"",DATE(Table1[[#This Row],[Date_Year]],Table1[[#This Row],[Date_Month]],1))</f>
        <v>43952</v>
      </c>
    </row>
    <row r="692" spans="2:18" ht="15.75" hidden="1" x14ac:dyDescent="0.25">
      <c r="B692" s="165">
        <v>43979</v>
      </c>
      <c r="C692" s="166" t="s">
        <v>358</v>
      </c>
      <c r="D692" s="166" t="s">
        <v>57</v>
      </c>
      <c r="E692" s="167"/>
      <c r="F692" s="114">
        <v>-36</v>
      </c>
      <c r="G692" s="168"/>
      <c r="H692" s="169"/>
      <c r="I692" s="170"/>
      <c r="J692" s="171" t="s">
        <v>931</v>
      </c>
      <c r="K692" s="172" t="s">
        <v>177</v>
      </c>
      <c r="L692" s="172" t="s">
        <v>175</v>
      </c>
      <c r="M692" s="173" t="str" cm="1">
        <f t="array" ref="M692">IFERROR(INDEX(CategoriesTable[Category type],MATCH(Table1[[#This Row],[Category]],CategoriesTable[Category name],0),0),"")</f>
        <v>Expense</v>
      </c>
      <c r="N692" s="173">
        <v>28</v>
      </c>
      <c r="O692" s="173">
        <f>MONTH(Table1[[#This Row],[Date]])</f>
        <v>5</v>
      </c>
      <c r="P692" s="173">
        <v>2020</v>
      </c>
      <c r="Q692" s="174">
        <f>IF(ISBLANK(Table1[[#This Row],[Date]]),"",Table1[[#This Row],[Date]]-WEEKDAY(Table1[[#This Row],[Date]],2)+1)</f>
        <v>43976</v>
      </c>
      <c r="R692" s="175">
        <f>IF(ISBLANK(Table1[[#This Row],[Date]]),"",DATE(Table1[[#This Row],[Date_Year]],Table1[[#This Row],[Date_Month]],1))</f>
        <v>43952</v>
      </c>
    </row>
    <row r="693" spans="2:18" ht="15.75" hidden="1" x14ac:dyDescent="0.25">
      <c r="B693" s="165">
        <v>43979</v>
      </c>
      <c r="C693" s="166" t="s">
        <v>806</v>
      </c>
      <c r="D693" s="166" t="s">
        <v>63</v>
      </c>
      <c r="E693" s="167"/>
      <c r="F693" s="114">
        <v>-12.5</v>
      </c>
      <c r="G693" s="168"/>
      <c r="H693" s="169"/>
      <c r="I693" s="170"/>
      <c r="J693" s="171" t="s">
        <v>932</v>
      </c>
      <c r="K693" s="172" t="s">
        <v>177</v>
      </c>
      <c r="L693" s="172" t="s">
        <v>175</v>
      </c>
      <c r="M693" s="173" t="str" cm="1">
        <f t="array" ref="M693">IFERROR(INDEX(CategoriesTable[Category type],MATCH(Table1[[#This Row],[Category]],CategoriesTable[Category name],0),0),"")</f>
        <v>Expense</v>
      </c>
      <c r="N693" s="173">
        <v>28</v>
      </c>
      <c r="O693" s="173">
        <f>MONTH(Table1[[#This Row],[Date]])</f>
        <v>5</v>
      </c>
      <c r="P693" s="173">
        <v>2020</v>
      </c>
      <c r="Q693" s="174">
        <f>IF(ISBLANK(Table1[[#This Row],[Date]]),"",Table1[[#This Row],[Date]]-WEEKDAY(Table1[[#This Row],[Date]],2)+1)</f>
        <v>43976</v>
      </c>
      <c r="R693" s="175">
        <f>IF(ISBLANK(Table1[[#This Row],[Date]]),"",DATE(Table1[[#This Row],[Date_Year]],Table1[[#This Row],[Date_Month]],1))</f>
        <v>43952</v>
      </c>
    </row>
    <row r="694" spans="2:18" ht="15.75" hidden="1" x14ac:dyDescent="0.25">
      <c r="B694" s="165">
        <v>43979</v>
      </c>
      <c r="C694" s="166" t="s">
        <v>148</v>
      </c>
      <c r="D694" s="166" t="s">
        <v>65</v>
      </c>
      <c r="E694" s="167"/>
      <c r="F694" s="114">
        <v>-3.7</v>
      </c>
      <c r="G694" s="168"/>
      <c r="H694" s="169"/>
      <c r="I694" s="170"/>
      <c r="J694" s="171" t="s">
        <v>927</v>
      </c>
      <c r="K694" s="172" t="s">
        <v>177</v>
      </c>
      <c r="L694" s="172" t="s">
        <v>175</v>
      </c>
      <c r="M694" s="173" t="str" cm="1">
        <f t="array" ref="M694">IFERROR(INDEX(CategoriesTable[Category type],MATCH(Table1[[#This Row],[Category]],CategoriesTable[Category name],0),0),"")</f>
        <v>Expense</v>
      </c>
      <c r="N694" s="173">
        <v>28</v>
      </c>
      <c r="O694" s="173">
        <f>MONTH(Table1[[#This Row],[Date]])</f>
        <v>5</v>
      </c>
      <c r="P694" s="173">
        <v>2020</v>
      </c>
      <c r="Q694" s="174">
        <f>IF(ISBLANK(Table1[[#This Row],[Date]]),"",Table1[[#This Row],[Date]]-WEEKDAY(Table1[[#This Row],[Date]],2)+1)</f>
        <v>43976</v>
      </c>
      <c r="R694" s="175">
        <f>IF(ISBLANK(Table1[[#This Row],[Date]]),"",DATE(Table1[[#This Row],[Date_Year]],Table1[[#This Row],[Date_Month]],1))</f>
        <v>43952</v>
      </c>
    </row>
    <row r="695" spans="2:18" ht="15.75" hidden="1" x14ac:dyDescent="0.25">
      <c r="B695" s="165">
        <v>43978</v>
      </c>
      <c r="C695" s="166" t="s">
        <v>135</v>
      </c>
      <c r="D695" s="166" t="s">
        <v>53</v>
      </c>
      <c r="E695" s="167"/>
      <c r="F695" s="114">
        <v>-232.59</v>
      </c>
      <c r="G695" s="168"/>
      <c r="H695" s="169"/>
      <c r="I695" s="170"/>
      <c r="J695" s="171" t="s">
        <v>933</v>
      </c>
      <c r="K695" s="172" t="s">
        <v>177</v>
      </c>
      <c r="L695" s="172" t="s">
        <v>175</v>
      </c>
      <c r="M695" s="173" t="str" cm="1">
        <f t="array" ref="M695">IFERROR(INDEX(CategoriesTable[Category type],MATCH(Table1[[#This Row],[Category]],CategoriesTable[Category name],0),0),"")</f>
        <v>Expense</v>
      </c>
      <c r="N695" s="173">
        <v>27</v>
      </c>
      <c r="O695" s="173">
        <f>MONTH(Table1[[#This Row],[Date]])</f>
        <v>5</v>
      </c>
      <c r="P695" s="173">
        <v>2020</v>
      </c>
      <c r="Q695" s="174">
        <f>IF(ISBLANK(Table1[[#This Row],[Date]]),"",Table1[[#This Row],[Date]]-WEEKDAY(Table1[[#This Row],[Date]],2)+1)</f>
        <v>43976</v>
      </c>
      <c r="R695" s="175">
        <f>IF(ISBLANK(Table1[[#This Row],[Date]]),"",DATE(Table1[[#This Row],[Date_Year]],Table1[[#This Row],[Date_Month]],1))</f>
        <v>43952</v>
      </c>
    </row>
    <row r="696" spans="2:18" ht="15.75" hidden="1" x14ac:dyDescent="0.25">
      <c r="B696" s="165">
        <v>43977</v>
      </c>
      <c r="C696" s="166" t="s">
        <v>199</v>
      </c>
      <c r="D696" s="166" t="s">
        <v>65</v>
      </c>
      <c r="E696" s="167"/>
      <c r="F696" s="114">
        <v>-37.71</v>
      </c>
      <c r="G696" s="168"/>
      <c r="H696" s="169"/>
      <c r="I696" s="170"/>
      <c r="J696" s="171" t="s">
        <v>934</v>
      </c>
      <c r="K696" s="172" t="s">
        <v>177</v>
      </c>
      <c r="L696" s="172" t="s">
        <v>175</v>
      </c>
      <c r="M696" s="173" t="str" cm="1">
        <f t="array" ref="M696">IFERROR(INDEX(CategoriesTable[Category type],MATCH(Table1[[#This Row],[Category]],CategoriesTable[Category name],0),0),"")</f>
        <v>Expense</v>
      </c>
      <c r="N696" s="173">
        <v>26</v>
      </c>
      <c r="O696" s="173">
        <f>MONTH(Table1[[#This Row],[Date]])</f>
        <v>5</v>
      </c>
      <c r="P696" s="173">
        <v>2020</v>
      </c>
      <c r="Q696" s="174">
        <f>IF(ISBLANK(Table1[[#This Row],[Date]]),"",Table1[[#This Row],[Date]]-WEEKDAY(Table1[[#This Row],[Date]],2)+1)</f>
        <v>43976</v>
      </c>
      <c r="R696" s="175">
        <f>IF(ISBLANK(Table1[[#This Row],[Date]]),"",DATE(Table1[[#This Row],[Date_Year]],Table1[[#This Row],[Date_Month]],1))</f>
        <v>43952</v>
      </c>
    </row>
    <row r="697" spans="2:18" ht="15.75" hidden="1" x14ac:dyDescent="0.25">
      <c r="B697" s="165">
        <v>43977</v>
      </c>
      <c r="C697" s="166" t="s">
        <v>465</v>
      </c>
      <c r="D697" s="166" t="s">
        <v>62</v>
      </c>
      <c r="E697" s="167"/>
      <c r="F697" s="114">
        <v>-103.81</v>
      </c>
      <c r="G697" s="168"/>
      <c r="H697" s="169"/>
      <c r="I697" s="170"/>
      <c r="J697" s="171" t="s">
        <v>935</v>
      </c>
      <c r="K697" s="172" t="s">
        <v>177</v>
      </c>
      <c r="L697" s="172" t="s">
        <v>175</v>
      </c>
      <c r="M697" s="173" t="str" cm="1">
        <f t="array" ref="M697">IFERROR(INDEX(CategoriesTable[Category type],MATCH(Table1[[#This Row],[Category]],CategoriesTable[Category name],0),0),"")</f>
        <v>Expense</v>
      </c>
      <c r="N697" s="173">
        <v>26</v>
      </c>
      <c r="O697" s="173">
        <f>MONTH(Table1[[#This Row],[Date]])</f>
        <v>5</v>
      </c>
      <c r="P697" s="173">
        <v>2020</v>
      </c>
      <c r="Q697" s="174">
        <f>IF(ISBLANK(Table1[[#This Row],[Date]]),"",Table1[[#This Row],[Date]]-WEEKDAY(Table1[[#This Row],[Date]],2)+1)</f>
        <v>43976</v>
      </c>
      <c r="R697" s="175">
        <f>IF(ISBLANK(Table1[[#This Row],[Date]]),"",DATE(Table1[[#This Row],[Date_Year]],Table1[[#This Row],[Date_Month]],1))</f>
        <v>43952</v>
      </c>
    </row>
    <row r="698" spans="2:18" ht="15.75" hidden="1" x14ac:dyDescent="0.25">
      <c r="B698" s="165">
        <v>43977</v>
      </c>
      <c r="C698" s="166" t="s">
        <v>680</v>
      </c>
      <c r="D698" s="166" t="s">
        <v>62</v>
      </c>
      <c r="E698" s="167"/>
      <c r="F698" s="114">
        <v>-239.82</v>
      </c>
      <c r="G698" s="168"/>
      <c r="H698" s="169"/>
      <c r="I698" s="170"/>
      <c r="J698" s="171" t="s">
        <v>936</v>
      </c>
      <c r="K698" s="172" t="s">
        <v>177</v>
      </c>
      <c r="L698" s="172" t="s">
        <v>175</v>
      </c>
      <c r="M698" s="173" t="str" cm="1">
        <f t="array" ref="M698">IFERROR(INDEX(CategoriesTable[Category type],MATCH(Table1[[#This Row],[Category]],CategoriesTable[Category name],0),0),"")</f>
        <v>Expense</v>
      </c>
      <c r="N698" s="173">
        <v>26</v>
      </c>
      <c r="O698" s="173">
        <f>MONTH(Table1[[#This Row],[Date]])</f>
        <v>5</v>
      </c>
      <c r="P698" s="173">
        <v>2020</v>
      </c>
      <c r="Q698" s="174">
        <f>IF(ISBLANK(Table1[[#This Row],[Date]]),"",Table1[[#This Row],[Date]]-WEEKDAY(Table1[[#This Row],[Date]],2)+1)</f>
        <v>43976</v>
      </c>
      <c r="R698" s="175">
        <f>IF(ISBLANK(Table1[[#This Row],[Date]]),"",DATE(Table1[[#This Row],[Date_Year]],Table1[[#This Row],[Date_Month]],1))</f>
        <v>43952</v>
      </c>
    </row>
    <row r="699" spans="2:18" ht="15.75" hidden="1" x14ac:dyDescent="0.25">
      <c r="B699" s="165">
        <v>43977</v>
      </c>
      <c r="C699" s="166" t="s">
        <v>124</v>
      </c>
      <c r="D699" s="166" t="s">
        <v>55</v>
      </c>
      <c r="E699" s="167"/>
      <c r="F699" s="114">
        <v>-9.99</v>
      </c>
      <c r="G699" s="168"/>
      <c r="H699" s="169"/>
      <c r="I699" s="170"/>
      <c r="J699" s="171" t="s">
        <v>937</v>
      </c>
      <c r="K699" s="172" t="s">
        <v>177</v>
      </c>
      <c r="L699" s="172" t="s">
        <v>175</v>
      </c>
      <c r="M699" s="173" t="str" cm="1">
        <f t="array" ref="M699">IFERROR(INDEX(CategoriesTable[Category type],MATCH(Table1[[#This Row],[Category]],CategoriesTable[Category name],0),0),"")</f>
        <v>Expense</v>
      </c>
      <c r="N699" s="173">
        <v>26</v>
      </c>
      <c r="O699" s="173">
        <f>MONTH(Table1[[#This Row],[Date]])</f>
        <v>5</v>
      </c>
      <c r="P699" s="173">
        <v>2020</v>
      </c>
      <c r="Q699" s="174">
        <f>IF(ISBLANK(Table1[[#This Row],[Date]]),"",Table1[[#This Row],[Date]]-WEEKDAY(Table1[[#This Row],[Date]],2)+1)</f>
        <v>43976</v>
      </c>
      <c r="R699" s="175">
        <f>IF(ISBLANK(Table1[[#This Row],[Date]]),"",DATE(Table1[[#This Row],[Date_Year]],Table1[[#This Row],[Date_Month]],1))</f>
        <v>43952</v>
      </c>
    </row>
    <row r="700" spans="2:18" ht="15.75" hidden="1" x14ac:dyDescent="0.25">
      <c r="B700" s="165">
        <v>43976</v>
      </c>
      <c r="C700" s="166" t="s">
        <v>193</v>
      </c>
      <c r="D700" s="166" t="s">
        <v>66</v>
      </c>
      <c r="E700" s="167"/>
      <c r="F700" s="114">
        <v>-84.79</v>
      </c>
      <c r="G700" s="168"/>
      <c r="H700" s="169"/>
      <c r="I700" s="170"/>
      <c r="J700" s="171" t="s">
        <v>938</v>
      </c>
      <c r="K700" s="172" t="s">
        <v>177</v>
      </c>
      <c r="L700" s="172" t="s">
        <v>175</v>
      </c>
      <c r="M700" s="173" t="str" cm="1">
        <f t="array" ref="M700">IFERROR(INDEX(CategoriesTable[Category type],MATCH(Table1[[#This Row],[Category]],CategoriesTable[Category name],0),0),"")</f>
        <v>Expense</v>
      </c>
      <c r="N700" s="173">
        <v>25</v>
      </c>
      <c r="O700" s="173">
        <f>MONTH(Table1[[#This Row],[Date]])</f>
        <v>5</v>
      </c>
      <c r="P700" s="173">
        <v>2020</v>
      </c>
      <c r="Q700" s="174">
        <f>IF(ISBLANK(Table1[[#This Row],[Date]]),"",Table1[[#This Row],[Date]]-WEEKDAY(Table1[[#This Row],[Date]],2)+1)</f>
        <v>43976</v>
      </c>
      <c r="R700" s="175">
        <f>IF(ISBLANK(Table1[[#This Row],[Date]]),"",DATE(Table1[[#This Row],[Date_Year]],Table1[[#This Row],[Date_Month]],1))</f>
        <v>43952</v>
      </c>
    </row>
    <row r="701" spans="2:18" ht="15.75" hidden="1" x14ac:dyDescent="0.25">
      <c r="B701" s="165">
        <v>43976</v>
      </c>
      <c r="C701" s="166" t="s">
        <v>193</v>
      </c>
      <c r="D701" s="166" t="s">
        <v>66</v>
      </c>
      <c r="E701" s="167"/>
      <c r="F701" s="114">
        <v>-25.42</v>
      </c>
      <c r="G701" s="168"/>
      <c r="H701" s="169"/>
      <c r="I701" s="170"/>
      <c r="J701" s="171" t="s">
        <v>939</v>
      </c>
      <c r="K701" s="172" t="s">
        <v>177</v>
      </c>
      <c r="L701" s="172" t="s">
        <v>175</v>
      </c>
      <c r="M701" s="173" t="str" cm="1">
        <f t="array" ref="M701">IFERROR(INDEX(CategoriesTable[Category type],MATCH(Table1[[#This Row],[Category]],CategoriesTable[Category name],0),0),"")</f>
        <v>Expense</v>
      </c>
      <c r="N701" s="173">
        <v>25</v>
      </c>
      <c r="O701" s="173">
        <f>MONTH(Table1[[#This Row],[Date]])</f>
        <v>5</v>
      </c>
      <c r="P701" s="173">
        <v>2020</v>
      </c>
      <c r="Q701" s="174">
        <f>IF(ISBLANK(Table1[[#This Row],[Date]]),"",Table1[[#This Row],[Date]]-WEEKDAY(Table1[[#This Row],[Date]],2)+1)</f>
        <v>43976</v>
      </c>
      <c r="R701" s="175">
        <f>IF(ISBLANK(Table1[[#This Row],[Date]]),"",DATE(Table1[[#This Row],[Date_Year]],Table1[[#This Row],[Date_Month]],1))</f>
        <v>43952</v>
      </c>
    </row>
    <row r="702" spans="2:18" ht="15.75" hidden="1" x14ac:dyDescent="0.25">
      <c r="B702" s="165">
        <v>43975</v>
      </c>
      <c r="C702" s="166" t="s">
        <v>199</v>
      </c>
      <c r="D702" s="166" t="s">
        <v>65</v>
      </c>
      <c r="E702" s="167"/>
      <c r="F702" s="114">
        <v>-43.85</v>
      </c>
      <c r="G702" s="168"/>
      <c r="H702" s="169"/>
      <c r="I702" s="170"/>
      <c r="J702" s="171" t="s">
        <v>940</v>
      </c>
      <c r="K702" s="172" t="s">
        <v>177</v>
      </c>
      <c r="L702" s="172" t="s">
        <v>175</v>
      </c>
      <c r="M702" s="173" t="str" cm="1">
        <f t="array" ref="M702">IFERROR(INDEX(CategoriesTable[Category type],MATCH(Table1[[#This Row],[Category]],CategoriesTable[Category name],0),0),"")</f>
        <v>Expense</v>
      </c>
      <c r="N702" s="173">
        <v>24</v>
      </c>
      <c r="O702" s="173">
        <f>MONTH(Table1[[#This Row],[Date]])</f>
        <v>5</v>
      </c>
      <c r="P702" s="173">
        <v>2020</v>
      </c>
      <c r="Q702" s="174">
        <f>IF(ISBLANK(Table1[[#This Row],[Date]]),"",Table1[[#This Row],[Date]]-WEEKDAY(Table1[[#This Row],[Date]],2)+1)</f>
        <v>43969</v>
      </c>
      <c r="R702" s="175">
        <f>IF(ISBLANK(Table1[[#This Row],[Date]]),"",DATE(Table1[[#This Row],[Date_Year]],Table1[[#This Row],[Date_Month]],1))</f>
        <v>43952</v>
      </c>
    </row>
    <row r="703" spans="2:18" ht="15.75" hidden="1" x14ac:dyDescent="0.25">
      <c r="B703" s="165">
        <v>43974</v>
      </c>
      <c r="C703" s="166" t="s">
        <v>941</v>
      </c>
      <c r="D703" s="166" t="s">
        <v>65</v>
      </c>
      <c r="E703" s="167"/>
      <c r="F703" s="114">
        <v>-40.67</v>
      </c>
      <c r="G703" s="168"/>
      <c r="H703" s="169"/>
      <c r="I703" s="170"/>
      <c r="J703" s="171" t="s">
        <v>942</v>
      </c>
      <c r="K703" s="172" t="s">
        <v>177</v>
      </c>
      <c r="L703" s="172" t="s">
        <v>175</v>
      </c>
      <c r="M703" s="173" t="str" cm="1">
        <f t="array" ref="M703">IFERROR(INDEX(CategoriesTable[Category type],MATCH(Table1[[#This Row],[Category]],CategoriesTable[Category name],0),0),"")</f>
        <v>Expense</v>
      </c>
      <c r="N703" s="173">
        <v>23</v>
      </c>
      <c r="O703" s="173">
        <f>MONTH(Table1[[#This Row],[Date]])</f>
        <v>5</v>
      </c>
      <c r="P703" s="173">
        <v>2020</v>
      </c>
      <c r="Q703" s="174">
        <f>IF(ISBLANK(Table1[[#This Row],[Date]]),"",Table1[[#This Row],[Date]]-WEEKDAY(Table1[[#This Row],[Date]],2)+1)</f>
        <v>43969</v>
      </c>
      <c r="R703" s="175">
        <f>IF(ISBLANK(Table1[[#This Row],[Date]]),"",DATE(Table1[[#This Row],[Date_Year]],Table1[[#This Row],[Date_Month]],1))</f>
        <v>43952</v>
      </c>
    </row>
    <row r="704" spans="2:18" ht="15.75" hidden="1" x14ac:dyDescent="0.25">
      <c r="B704" s="165">
        <v>43973</v>
      </c>
      <c r="C704" s="166" t="s">
        <v>199</v>
      </c>
      <c r="D704" s="166" t="s">
        <v>65</v>
      </c>
      <c r="E704" s="167"/>
      <c r="F704" s="114">
        <v>-52.27</v>
      </c>
      <c r="G704" s="168"/>
      <c r="H704" s="169"/>
      <c r="I704" s="170"/>
      <c r="J704" s="171" t="s">
        <v>943</v>
      </c>
      <c r="K704" s="172" t="s">
        <v>177</v>
      </c>
      <c r="L704" s="172" t="s">
        <v>175</v>
      </c>
      <c r="M704" s="173" t="str" cm="1">
        <f t="array" ref="M704">IFERROR(INDEX(CategoriesTable[Category type],MATCH(Table1[[#This Row],[Category]],CategoriesTable[Category name],0),0),"")</f>
        <v>Expense</v>
      </c>
      <c r="N704" s="173">
        <v>22</v>
      </c>
      <c r="O704" s="173">
        <f>MONTH(Table1[[#This Row],[Date]])</f>
        <v>5</v>
      </c>
      <c r="P704" s="173">
        <v>2020</v>
      </c>
      <c r="Q704" s="174">
        <f>IF(ISBLANK(Table1[[#This Row],[Date]]),"",Table1[[#This Row],[Date]]-WEEKDAY(Table1[[#This Row],[Date]],2)+1)</f>
        <v>43969</v>
      </c>
      <c r="R704" s="175">
        <f>IF(ISBLANK(Table1[[#This Row],[Date]]),"",DATE(Table1[[#This Row],[Date_Year]],Table1[[#This Row],[Date_Month]],1))</f>
        <v>43952</v>
      </c>
    </row>
    <row r="705" spans="2:18" ht="15.75" hidden="1" x14ac:dyDescent="0.25">
      <c r="B705" s="165">
        <v>43973</v>
      </c>
      <c r="C705" s="166" t="s">
        <v>208</v>
      </c>
      <c r="D705" s="166" t="s">
        <v>55</v>
      </c>
      <c r="E705" s="167"/>
      <c r="F705" s="114">
        <v>-40.28</v>
      </c>
      <c r="G705" s="168"/>
      <c r="H705" s="169"/>
      <c r="I705" s="170"/>
      <c r="J705" s="171" t="s">
        <v>944</v>
      </c>
      <c r="K705" s="172" t="s">
        <v>177</v>
      </c>
      <c r="L705" s="172" t="s">
        <v>175</v>
      </c>
      <c r="M705" s="173" t="str" cm="1">
        <f t="array" ref="M705">IFERROR(INDEX(CategoriesTable[Category type],MATCH(Table1[[#This Row],[Category]],CategoriesTable[Category name],0),0),"")</f>
        <v>Expense</v>
      </c>
      <c r="N705" s="173">
        <v>22</v>
      </c>
      <c r="O705" s="173">
        <f>MONTH(Table1[[#This Row],[Date]])</f>
        <v>5</v>
      </c>
      <c r="P705" s="173">
        <v>2020</v>
      </c>
      <c r="Q705" s="174">
        <f>IF(ISBLANK(Table1[[#This Row],[Date]]),"",Table1[[#This Row],[Date]]-WEEKDAY(Table1[[#This Row],[Date]],2)+1)</f>
        <v>43969</v>
      </c>
      <c r="R705" s="175">
        <f>IF(ISBLANK(Table1[[#This Row],[Date]]),"",DATE(Table1[[#This Row],[Date_Year]],Table1[[#This Row],[Date_Month]],1))</f>
        <v>43952</v>
      </c>
    </row>
    <row r="706" spans="2:18" ht="15.75" hidden="1" x14ac:dyDescent="0.25">
      <c r="B706" s="165">
        <v>43970</v>
      </c>
      <c r="C706" s="166" t="s">
        <v>121</v>
      </c>
      <c r="D706" s="166" t="s">
        <v>65</v>
      </c>
      <c r="E706" s="167"/>
      <c r="F706" s="114">
        <v>-12.26</v>
      </c>
      <c r="G706" s="168"/>
      <c r="H706" s="169"/>
      <c r="I706" s="170"/>
      <c r="J706" s="171" t="s">
        <v>945</v>
      </c>
      <c r="K706" s="172" t="s">
        <v>177</v>
      </c>
      <c r="L706" s="172" t="s">
        <v>175</v>
      </c>
      <c r="M706" s="173" t="str" cm="1">
        <f t="array" ref="M706">IFERROR(INDEX(CategoriesTable[Category type],MATCH(Table1[[#This Row],[Category]],CategoriesTable[Category name],0),0),"")</f>
        <v>Expense</v>
      </c>
      <c r="N706" s="173">
        <v>19</v>
      </c>
      <c r="O706" s="173">
        <f>MONTH(Table1[[#This Row],[Date]])</f>
        <v>5</v>
      </c>
      <c r="P706" s="173">
        <v>2020</v>
      </c>
      <c r="Q706" s="174">
        <f>IF(ISBLANK(Table1[[#This Row],[Date]]),"",Table1[[#This Row],[Date]]-WEEKDAY(Table1[[#This Row],[Date]],2)+1)</f>
        <v>43969</v>
      </c>
      <c r="R706" s="175">
        <f>IF(ISBLANK(Table1[[#This Row],[Date]]),"",DATE(Table1[[#This Row],[Date_Year]],Table1[[#This Row],[Date_Month]],1))</f>
        <v>43952</v>
      </c>
    </row>
    <row r="707" spans="2:18" ht="15.75" hidden="1" x14ac:dyDescent="0.25">
      <c r="B707" s="165">
        <v>43970</v>
      </c>
      <c r="C707" s="166" t="s">
        <v>193</v>
      </c>
      <c r="D707" s="166" t="s">
        <v>66</v>
      </c>
      <c r="E707" s="167"/>
      <c r="F707" s="114">
        <v>-25.42</v>
      </c>
      <c r="G707" s="168"/>
      <c r="H707" s="169"/>
      <c r="I707" s="170"/>
      <c r="J707" s="171" t="s">
        <v>946</v>
      </c>
      <c r="K707" s="172" t="s">
        <v>177</v>
      </c>
      <c r="L707" s="172" t="s">
        <v>175</v>
      </c>
      <c r="M707" s="173" t="str" cm="1">
        <f t="array" ref="M707">IFERROR(INDEX(CategoriesTable[Category type],MATCH(Table1[[#This Row],[Category]],CategoriesTable[Category name],0),0),"")</f>
        <v>Expense</v>
      </c>
      <c r="N707" s="173">
        <v>19</v>
      </c>
      <c r="O707" s="173">
        <f>MONTH(Table1[[#This Row],[Date]])</f>
        <v>5</v>
      </c>
      <c r="P707" s="173">
        <v>2020</v>
      </c>
      <c r="Q707" s="174">
        <f>IF(ISBLANK(Table1[[#This Row],[Date]]),"",Table1[[#This Row],[Date]]-WEEKDAY(Table1[[#This Row],[Date]],2)+1)</f>
        <v>43969</v>
      </c>
      <c r="R707" s="175">
        <f>IF(ISBLANK(Table1[[#This Row],[Date]]),"",DATE(Table1[[#This Row],[Date_Year]],Table1[[#This Row],[Date_Month]],1))</f>
        <v>43952</v>
      </c>
    </row>
    <row r="708" spans="2:18" ht="15.75" hidden="1" x14ac:dyDescent="0.25">
      <c r="B708" s="165">
        <v>43969</v>
      </c>
      <c r="C708" s="166" t="s">
        <v>606</v>
      </c>
      <c r="D708" s="166" t="s">
        <v>55</v>
      </c>
      <c r="E708" s="167"/>
      <c r="F708" s="114">
        <v>-79.849999999999994</v>
      </c>
      <c r="G708" s="168"/>
      <c r="H708" s="169"/>
      <c r="I708" s="170"/>
      <c r="J708" s="171" t="s">
        <v>947</v>
      </c>
      <c r="K708" s="172" t="s">
        <v>177</v>
      </c>
      <c r="L708" s="172" t="s">
        <v>175</v>
      </c>
      <c r="M708" s="173" t="str" cm="1">
        <f t="array" ref="M708">IFERROR(INDEX(CategoriesTable[Category type],MATCH(Table1[[#This Row],[Category]],CategoriesTable[Category name],0),0),"")</f>
        <v>Expense</v>
      </c>
      <c r="N708" s="173">
        <v>18</v>
      </c>
      <c r="O708" s="173">
        <f>MONTH(Table1[[#This Row],[Date]])</f>
        <v>5</v>
      </c>
      <c r="P708" s="173">
        <v>2020</v>
      </c>
      <c r="Q708" s="174">
        <f>IF(ISBLANK(Table1[[#This Row],[Date]]),"",Table1[[#This Row],[Date]]-WEEKDAY(Table1[[#This Row],[Date]],2)+1)</f>
        <v>43969</v>
      </c>
      <c r="R708" s="175">
        <f>IF(ISBLANK(Table1[[#This Row],[Date]]),"",DATE(Table1[[#This Row],[Date_Year]],Table1[[#This Row],[Date_Month]],1))</f>
        <v>43952</v>
      </c>
    </row>
    <row r="709" spans="2:18" ht="15.75" hidden="1" x14ac:dyDescent="0.25">
      <c r="B709" s="165">
        <v>43969</v>
      </c>
      <c r="C709" s="166" t="s">
        <v>129</v>
      </c>
      <c r="D709" s="166" t="s">
        <v>55</v>
      </c>
      <c r="E709" s="167"/>
      <c r="F709" s="114">
        <v>-75.92</v>
      </c>
      <c r="G709" s="168"/>
      <c r="H709" s="169"/>
      <c r="I709" s="170"/>
      <c r="J709" s="171" t="s">
        <v>948</v>
      </c>
      <c r="K709" s="172" t="s">
        <v>177</v>
      </c>
      <c r="L709" s="172" t="s">
        <v>175</v>
      </c>
      <c r="M709" s="173" t="str" cm="1">
        <f t="array" ref="M709">IFERROR(INDEX(CategoriesTable[Category type],MATCH(Table1[[#This Row],[Category]],CategoriesTable[Category name],0),0),"")</f>
        <v>Expense</v>
      </c>
      <c r="N709" s="173">
        <v>18</v>
      </c>
      <c r="O709" s="173">
        <f>MONTH(Table1[[#This Row],[Date]])</f>
        <v>5</v>
      </c>
      <c r="P709" s="173">
        <v>2020</v>
      </c>
      <c r="Q709" s="174">
        <f>IF(ISBLANK(Table1[[#This Row],[Date]]),"",Table1[[#This Row],[Date]]-WEEKDAY(Table1[[#This Row],[Date]],2)+1)</f>
        <v>43969</v>
      </c>
      <c r="R709" s="175">
        <f>IF(ISBLANK(Table1[[#This Row],[Date]]),"",DATE(Table1[[#This Row],[Date_Year]],Table1[[#This Row],[Date_Month]],1))</f>
        <v>43952</v>
      </c>
    </row>
    <row r="710" spans="2:18" ht="15.75" hidden="1" x14ac:dyDescent="0.25">
      <c r="B710" s="165">
        <v>43968</v>
      </c>
      <c r="C710" s="166" t="s">
        <v>149</v>
      </c>
      <c r="D710" s="166" t="s">
        <v>65</v>
      </c>
      <c r="E710" s="167"/>
      <c r="F710" s="114">
        <v>-22.31</v>
      </c>
      <c r="G710" s="168"/>
      <c r="H710" s="169"/>
      <c r="I710" s="170"/>
      <c r="J710" s="171" t="s">
        <v>949</v>
      </c>
      <c r="K710" s="172" t="s">
        <v>177</v>
      </c>
      <c r="L710" s="172" t="s">
        <v>175</v>
      </c>
      <c r="M710" s="173" t="str" cm="1">
        <f t="array" ref="M710">IFERROR(INDEX(CategoriesTable[Category type],MATCH(Table1[[#This Row],[Category]],CategoriesTable[Category name],0),0),"")</f>
        <v>Expense</v>
      </c>
      <c r="N710" s="173">
        <v>17</v>
      </c>
      <c r="O710" s="173">
        <f>MONTH(Table1[[#This Row],[Date]])</f>
        <v>5</v>
      </c>
      <c r="P710" s="173">
        <v>2020</v>
      </c>
      <c r="Q710" s="174">
        <f>IF(ISBLANK(Table1[[#This Row],[Date]]),"",Table1[[#This Row],[Date]]-WEEKDAY(Table1[[#This Row],[Date]],2)+1)</f>
        <v>43962</v>
      </c>
      <c r="R710" s="175">
        <f>IF(ISBLANK(Table1[[#This Row],[Date]]),"",DATE(Table1[[#This Row],[Date_Year]],Table1[[#This Row],[Date_Month]],1))</f>
        <v>43952</v>
      </c>
    </row>
    <row r="711" spans="2:18" ht="15.75" hidden="1" x14ac:dyDescent="0.25">
      <c r="B711" s="165">
        <v>43968</v>
      </c>
      <c r="C711" s="166" t="s">
        <v>128</v>
      </c>
      <c r="D711" s="166" t="s">
        <v>53</v>
      </c>
      <c r="E711" s="167"/>
      <c r="F711" s="114">
        <v>-20.8</v>
      </c>
      <c r="G711" s="168"/>
      <c r="H711" s="169"/>
      <c r="I711" s="170"/>
      <c r="J711" s="171" t="s">
        <v>950</v>
      </c>
      <c r="K711" s="172" t="s">
        <v>177</v>
      </c>
      <c r="L711" s="172" t="s">
        <v>175</v>
      </c>
      <c r="M711" s="173" t="str" cm="1">
        <f t="array" ref="M711">IFERROR(INDEX(CategoriesTable[Category type],MATCH(Table1[[#This Row],[Category]],CategoriesTable[Category name],0),0),"")</f>
        <v>Expense</v>
      </c>
      <c r="N711" s="173">
        <v>17</v>
      </c>
      <c r="O711" s="173">
        <f>MONTH(Table1[[#This Row],[Date]])</f>
        <v>5</v>
      </c>
      <c r="P711" s="173">
        <v>2020</v>
      </c>
      <c r="Q711" s="174">
        <f>IF(ISBLANK(Table1[[#This Row],[Date]]),"",Table1[[#This Row],[Date]]-WEEKDAY(Table1[[#This Row],[Date]],2)+1)</f>
        <v>43962</v>
      </c>
      <c r="R711" s="175">
        <f>IF(ISBLANK(Table1[[#This Row],[Date]]),"",DATE(Table1[[#This Row],[Date_Year]],Table1[[#This Row],[Date_Month]],1))</f>
        <v>43952</v>
      </c>
    </row>
    <row r="712" spans="2:18" ht="15.75" hidden="1" x14ac:dyDescent="0.25">
      <c r="B712" s="165">
        <v>43966</v>
      </c>
      <c r="C712" s="166" t="s">
        <v>120</v>
      </c>
      <c r="D712" s="166" t="s">
        <v>66</v>
      </c>
      <c r="E712" s="167"/>
      <c r="F712" s="114">
        <v>-41.69</v>
      </c>
      <c r="G712" s="168"/>
      <c r="H712" s="169"/>
      <c r="I712" s="170"/>
      <c r="J712" s="171" t="s">
        <v>951</v>
      </c>
      <c r="K712" s="172" t="s">
        <v>177</v>
      </c>
      <c r="L712" s="172" t="s">
        <v>175</v>
      </c>
      <c r="M712" s="173" t="str" cm="1">
        <f t="array" ref="M712">IFERROR(INDEX(CategoriesTable[Category type],MATCH(Table1[[#This Row],[Category]],CategoriesTable[Category name],0),0),"")</f>
        <v>Expense</v>
      </c>
      <c r="N712" s="173">
        <v>15</v>
      </c>
      <c r="O712" s="173">
        <f>MONTH(Table1[[#This Row],[Date]])</f>
        <v>5</v>
      </c>
      <c r="P712" s="173">
        <v>2020</v>
      </c>
      <c r="Q712" s="174">
        <f>IF(ISBLANK(Table1[[#This Row],[Date]]),"",Table1[[#This Row],[Date]]-WEEKDAY(Table1[[#This Row],[Date]],2)+1)</f>
        <v>43962</v>
      </c>
      <c r="R712" s="175">
        <f>IF(ISBLANK(Table1[[#This Row],[Date]]),"",DATE(Table1[[#This Row],[Date_Year]],Table1[[#This Row],[Date_Month]],1))</f>
        <v>43952</v>
      </c>
    </row>
    <row r="713" spans="2:18" ht="15.75" hidden="1" x14ac:dyDescent="0.25">
      <c r="B713" s="165">
        <v>43966</v>
      </c>
      <c r="C713" s="166" t="s">
        <v>182</v>
      </c>
      <c r="D713" s="166" t="s">
        <v>55</v>
      </c>
      <c r="E713" s="167"/>
      <c r="F713" s="114">
        <v>-10.9</v>
      </c>
      <c r="G713" s="168"/>
      <c r="H713" s="169"/>
      <c r="I713" s="170"/>
      <c r="J713" s="171" t="s">
        <v>952</v>
      </c>
      <c r="K713" s="172" t="s">
        <v>177</v>
      </c>
      <c r="L713" s="172" t="s">
        <v>175</v>
      </c>
      <c r="M713" s="173" t="str" cm="1">
        <f t="array" ref="M713">IFERROR(INDEX(CategoriesTable[Category type],MATCH(Table1[[#This Row],[Category]],CategoriesTable[Category name],0),0),"")</f>
        <v>Expense</v>
      </c>
      <c r="N713" s="173">
        <v>15</v>
      </c>
      <c r="O713" s="173">
        <f>MONTH(Table1[[#This Row],[Date]])</f>
        <v>5</v>
      </c>
      <c r="P713" s="173">
        <v>2020</v>
      </c>
      <c r="Q713" s="174">
        <f>IF(ISBLANK(Table1[[#This Row],[Date]]),"",Table1[[#This Row],[Date]]-WEEKDAY(Table1[[#This Row],[Date]],2)+1)</f>
        <v>43962</v>
      </c>
      <c r="R713" s="175">
        <f>IF(ISBLANK(Table1[[#This Row],[Date]]),"",DATE(Table1[[#This Row],[Date_Year]],Table1[[#This Row],[Date_Month]],1))</f>
        <v>43952</v>
      </c>
    </row>
    <row r="714" spans="2:18" ht="15.75" hidden="1" x14ac:dyDescent="0.25">
      <c r="B714" s="165">
        <v>43965</v>
      </c>
      <c r="C714" s="166" t="s">
        <v>953</v>
      </c>
      <c r="D714" s="166" t="s">
        <v>58</v>
      </c>
      <c r="E714" s="167"/>
      <c r="F714" s="114">
        <v>-13.37</v>
      </c>
      <c r="G714" s="168"/>
      <c r="H714" s="169"/>
      <c r="I714" s="170"/>
      <c r="J714" s="171" t="s">
        <v>954</v>
      </c>
      <c r="K714" s="172" t="s">
        <v>177</v>
      </c>
      <c r="L714" s="172" t="s">
        <v>175</v>
      </c>
      <c r="M714" s="173" t="str" cm="1">
        <f t="array" ref="M714">IFERROR(INDEX(CategoriesTable[Category type],MATCH(Table1[[#This Row],[Category]],CategoriesTable[Category name],0),0),"")</f>
        <v>Expense</v>
      </c>
      <c r="N714" s="173">
        <v>14</v>
      </c>
      <c r="O714" s="173">
        <f>MONTH(Table1[[#This Row],[Date]])</f>
        <v>5</v>
      </c>
      <c r="P714" s="173">
        <v>2020</v>
      </c>
      <c r="Q714" s="174">
        <f>IF(ISBLANK(Table1[[#This Row],[Date]]),"",Table1[[#This Row],[Date]]-WEEKDAY(Table1[[#This Row],[Date]],2)+1)</f>
        <v>43962</v>
      </c>
      <c r="R714" s="175">
        <f>IF(ISBLANK(Table1[[#This Row],[Date]]),"",DATE(Table1[[#This Row],[Date_Year]],Table1[[#This Row],[Date_Month]],1))</f>
        <v>43952</v>
      </c>
    </row>
    <row r="715" spans="2:18" ht="15.75" hidden="1" x14ac:dyDescent="0.25">
      <c r="B715" s="165">
        <v>43965</v>
      </c>
      <c r="C715" s="166" t="s">
        <v>121</v>
      </c>
      <c r="D715" s="166" t="s">
        <v>65</v>
      </c>
      <c r="E715" s="167"/>
      <c r="F715" s="114">
        <v>-7.82</v>
      </c>
      <c r="G715" s="168"/>
      <c r="H715" s="169"/>
      <c r="I715" s="170"/>
      <c r="J715" s="171" t="s">
        <v>955</v>
      </c>
      <c r="K715" s="172" t="s">
        <v>177</v>
      </c>
      <c r="L715" s="172" t="s">
        <v>175</v>
      </c>
      <c r="M715" s="173" t="str" cm="1">
        <f t="array" ref="M715">IFERROR(INDEX(CategoriesTable[Category type],MATCH(Table1[[#This Row],[Category]],CategoriesTable[Category name],0),0),"")</f>
        <v>Expense</v>
      </c>
      <c r="N715" s="173">
        <v>14</v>
      </c>
      <c r="O715" s="173">
        <f>MONTH(Table1[[#This Row],[Date]])</f>
        <v>5</v>
      </c>
      <c r="P715" s="173">
        <v>2020</v>
      </c>
      <c r="Q715" s="174">
        <f>IF(ISBLANK(Table1[[#This Row],[Date]]),"",Table1[[#This Row],[Date]]-WEEKDAY(Table1[[#This Row],[Date]],2)+1)</f>
        <v>43962</v>
      </c>
      <c r="R715" s="175">
        <f>IF(ISBLANK(Table1[[#This Row],[Date]]),"",DATE(Table1[[#This Row],[Date_Year]],Table1[[#This Row],[Date_Month]],1))</f>
        <v>43952</v>
      </c>
    </row>
    <row r="716" spans="2:18" ht="15.75" hidden="1" x14ac:dyDescent="0.25">
      <c r="B716" s="165">
        <v>43965</v>
      </c>
      <c r="C716" s="166" t="s">
        <v>146</v>
      </c>
      <c r="D716" s="166" t="s">
        <v>58</v>
      </c>
      <c r="E716" s="167"/>
      <c r="F716" s="114">
        <v>-106.69</v>
      </c>
      <c r="G716" s="168"/>
      <c r="H716" s="169"/>
      <c r="I716" s="170"/>
      <c r="J716" s="171" t="s">
        <v>956</v>
      </c>
      <c r="K716" s="172" t="s">
        <v>177</v>
      </c>
      <c r="L716" s="172" t="s">
        <v>175</v>
      </c>
      <c r="M716" s="173" t="str" cm="1">
        <f t="array" ref="M716">IFERROR(INDEX(CategoriesTable[Category type],MATCH(Table1[[#This Row],[Category]],CategoriesTable[Category name],0),0),"")</f>
        <v>Expense</v>
      </c>
      <c r="N716" s="173">
        <v>14</v>
      </c>
      <c r="O716" s="173">
        <f>MONTH(Table1[[#This Row],[Date]])</f>
        <v>5</v>
      </c>
      <c r="P716" s="173">
        <v>2020</v>
      </c>
      <c r="Q716" s="174">
        <f>IF(ISBLANK(Table1[[#This Row],[Date]]),"",Table1[[#This Row],[Date]]-WEEKDAY(Table1[[#This Row],[Date]],2)+1)</f>
        <v>43962</v>
      </c>
      <c r="R716" s="175">
        <f>IF(ISBLANK(Table1[[#This Row],[Date]]),"",DATE(Table1[[#This Row],[Date_Year]],Table1[[#This Row],[Date_Month]],1))</f>
        <v>43952</v>
      </c>
    </row>
    <row r="717" spans="2:18" ht="15.75" hidden="1" x14ac:dyDescent="0.25">
      <c r="B717" s="165">
        <v>43964</v>
      </c>
      <c r="C717" s="166" t="s">
        <v>120</v>
      </c>
      <c r="D717" s="166" t="s">
        <v>66</v>
      </c>
      <c r="E717" s="167"/>
      <c r="F717" s="114">
        <v>-33.61</v>
      </c>
      <c r="G717" s="168"/>
      <c r="H717" s="169"/>
      <c r="I717" s="170"/>
      <c r="J717" s="171" t="s">
        <v>957</v>
      </c>
      <c r="K717" s="172" t="s">
        <v>177</v>
      </c>
      <c r="L717" s="172" t="s">
        <v>175</v>
      </c>
      <c r="M717" s="173" t="str" cm="1">
        <f t="array" ref="M717">IFERROR(INDEX(CategoriesTable[Category type],MATCH(Table1[[#This Row],[Category]],CategoriesTable[Category name],0),0),"")</f>
        <v>Expense</v>
      </c>
      <c r="N717" s="173">
        <v>13</v>
      </c>
      <c r="O717" s="173">
        <f>MONTH(Table1[[#This Row],[Date]])</f>
        <v>5</v>
      </c>
      <c r="P717" s="173">
        <v>2020</v>
      </c>
      <c r="Q717" s="174">
        <f>IF(ISBLANK(Table1[[#This Row],[Date]]),"",Table1[[#This Row],[Date]]-WEEKDAY(Table1[[#This Row],[Date]],2)+1)</f>
        <v>43962</v>
      </c>
      <c r="R717" s="175">
        <f>IF(ISBLANK(Table1[[#This Row],[Date]]),"",DATE(Table1[[#This Row],[Date_Year]],Table1[[#This Row],[Date_Month]],1))</f>
        <v>43952</v>
      </c>
    </row>
    <row r="718" spans="2:18" ht="15.75" hidden="1" x14ac:dyDescent="0.25">
      <c r="B718" s="165">
        <v>43964</v>
      </c>
      <c r="C718" s="166" t="s">
        <v>958</v>
      </c>
      <c r="D718" s="166" t="s">
        <v>65</v>
      </c>
      <c r="E718" s="167"/>
      <c r="F718" s="114">
        <v>-24.37</v>
      </c>
      <c r="G718" s="168"/>
      <c r="H718" s="169"/>
      <c r="I718" s="170"/>
      <c r="J718" s="171" t="s">
        <v>959</v>
      </c>
      <c r="K718" s="172" t="s">
        <v>177</v>
      </c>
      <c r="L718" s="172" t="s">
        <v>175</v>
      </c>
      <c r="M718" s="173" t="str" cm="1">
        <f t="array" ref="M718">IFERROR(INDEX(CategoriesTable[Category type],MATCH(Table1[[#This Row],[Category]],CategoriesTable[Category name],0),0),"")</f>
        <v>Expense</v>
      </c>
      <c r="N718" s="173">
        <v>13</v>
      </c>
      <c r="O718" s="173">
        <f>MONTH(Table1[[#This Row],[Date]])</f>
        <v>5</v>
      </c>
      <c r="P718" s="173">
        <v>2020</v>
      </c>
      <c r="Q718" s="174">
        <f>IF(ISBLANK(Table1[[#This Row],[Date]]),"",Table1[[#This Row],[Date]]-WEEKDAY(Table1[[#This Row],[Date]],2)+1)</f>
        <v>43962</v>
      </c>
      <c r="R718" s="175">
        <f>IF(ISBLANK(Table1[[#This Row],[Date]]),"",DATE(Table1[[#This Row],[Date_Year]],Table1[[#This Row],[Date_Month]],1))</f>
        <v>43952</v>
      </c>
    </row>
    <row r="719" spans="2:18" ht="15.75" hidden="1" x14ac:dyDescent="0.25">
      <c r="B719" s="165">
        <v>43964</v>
      </c>
      <c r="C719" s="166" t="s">
        <v>121</v>
      </c>
      <c r="D719" s="166" t="s">
        <v>65</v>
      </c>
      <c r="E719" s="167"/>
      <c r="F719" s="114">
        <v>-7.81</v>
      </c>
      <c r="G719" s="168"/>
      <c r="H719" s="169"/>
      <c r="I719" s="170"/>
      <c r="J719" s="171" t="s">
        <v>960</v>
      </c>
      <c r="K719" s="172" t="s">
        <v>177</v>
      </c>
      <c r="L719" s="172" t="s">
        <v>175</v>
      </c>
      <c r="M719" s="173" t="str" cm="1">
        <f t="array" ref="M719">IFERROR(INDEX(CategoriesTable[Category type],MATCH(Table1[[#This Row],[Category]],CategoriesTable[Category name],0),0),"")</f>
        <v>Expense</v>
      </c>
      <c r="N719" s="173">
        <v>13</v>
      </c>
      <c r="O719" s="173">
        <f>MONTH(Table1[[#This Row],[Date]])</f>
        <v>5</v>
      </c>
      <c r="P719" s="173">
        <v>2020</v>
      </c>
      <c r="Q719" s="174">
        <f>IF(ISBLANK(Table1[[#This Row],[Date]]),"",Table1[[#This Row],[Date]]-WEEKDAY(Table1[[#This Row],[Date]],2)+1)</f>
        <v>43962</v>
      </c>
      <c r="R719" s="175">
        <f>IF(ISBLANK(Table1[[#This Row],[Date]]),"",DATE(Table1[[#This Row],[Date_Year]],Table1[[#This Row],[Date_Month]],1))</f>
        <v>43952</v>
      </c>
    </row>
    <row r="720" spans="2:18" ht="15.75" hidden="1" x14ac:dyDescent="0.25">
      <c r="B720" s="165">
        <v>43963</v>
      </c>
      <c r="C720" s="166" t="s">
        <v>149</v>
      </c>
      <c r="D720" s="166" t="s">
        <v>65</v>
      </c>
      <c r="E720" s="167"/>
      <c r="F720" s="114">
        <v>-11.85</v>
      </c>
      <c r="G720" s="168"/>
      <c r="H720" s="169"/>
      <c r="I720" s="170"/>
      <c r="J720" s="171" t="s">
        <v>961</v>
      </c>
      <c r="K720" s="172" t="s">
        <v>177</v>
      </c>
      <c r="L720" s="172" t="s">
        <v>175</v>
      </c>
      <c r="M720" s="173" t="str" cm="1">
        <f t="array" ref="M720">IFERROR(INDEX(CategoriesTable[Category type],MATCH(Table1[[#This Row],[Category]],CategoriesTable[Category name],0),0),"")</f>
        <v>Expense</v>
      </c>
      <c r="N720" s="173">
        <v>12</v>
      </c>
      <c r="O720" s="173">
        <f>MONTH(Table1[[#This Row],[Date]])</f>
        <v>5</v>
      </c>
      <c r="P720" s="173">
        <v>2020</v>
      </c>
      <c r="Q720" s="174">
        <f>IF(ISBLANK(Table1[[#This Row],[Date]]),"",Table1[[#This Row],[Date]]-WEEKDAY(Table1[[#This Row],[Date]],2)+1)</f>
        <v>43962</v>
      </c>
      <c r="R720" s="175">
        <f>IF(ISBLANK(Table1[[#This Row],[Date]]),"",DATE(Table1[[#This Row],[Date_Year]],Table1[[#This Row],[Date_Month]],1))</f>
        <v>43952</v>
      </c>
    </row>
    <row r="721" spans="2:18" ht="15.75" hidden="1" x14ac:dyDescent="0.25">
      <c r="B721" s="165">
        <v>43963</v>
      </c>
      <c r="C721" s="166" t="s">
        <v>962</v>
      </c>
      <c r="D721" s="166" t="s">
        <v>65</v>
      </c>
      <c r="E721" s="167"/>
      <c r="F721" s="114">
        <v>-19.059999999999999</v>
      </c>
      <c r="G721" s="168"/>
      <c r="H721" s="169"/>
      <c r="I721" s="170"/>
      <c r="J721" s="171" t="s">
        <v>963</v>
      </c>
      <c r="K721" s="172" t="s">
        <v>177</v>
      </c>
      <c r="L721" s="172" t="s">
        <v>175</v>
      </c>
      <c r="M721" s="173" t="str" cm="1">
        <f t="array" ref="M721">IFERROR(INDEX(CategoriesTable[Category type],MATCH(Table1[[#This Row],[Category]],CategoriesTable[Category name],0),0),"")</f>
        <v>Expense</v>
      </c>
      <c r="N721" s="173">
        <v>12</v>
      </c>
      <c r="O721" s="173">
        <f>MONTH(Table1[[#This Row],[Date]])</f>
        <v>5</v>
      </c>
      <c r="P721" s="173">
        <v>2020</v>
      </c>
      <c r="Q721" s="174">
        <f>IF(ISBLANK(Table1[[#This Row],[Date]]),"",Table1[[#This Row],[Date]]-WEEKDAY(Table1[[#This Row],[Date]],2)+1)</f>
        <v>43962</v>
      </c>
      <c r="R721" s="175">
        <f>IF(ISBLANK(Table1[[#This Row],[Date]]),"",DATE(Table1[[#This Row],[Date_Year]],Table1[[#This Row],[Date_Month]],1))</f>
        <v>43952</v>
      </c>
    </row>
    <row r="722" spans="2:18" ht="15.75" hidden="1" x14ac:dyDescent="0.25">
      <c r="B722" s="165">
        <v>43962</v>
      </c>
      <c r="C722" s="166" t="s">
        <v>247</v>
      </c>
      <c r="D722" s="166" t="s">
        <v>65</v>
      </c>
      <c r="E722" s="167"/>
      <c r="F722" s="114">
        <v>-19.77</v>
      </c>
      <c r="G722" s="168"/>
      <c r="H722" s="169"/>
      <c r="I722" s="170"/>
      <c r="J722" s="171" t="s">
        <v>964</v>
      </c>
      <c r="K722" s="172" t="s">
        <v>177</v>
      </c>
      <c r="L722" s="172" t="s">
        <v>175</v>
      </c>
      <c r="M722" s="173" t="str" cm="1">
        <f t="array" ref="M722">IFERROR(INDEX(CategoriesTable[Category type],MATCH(Table1[[#This Row],[Category]],CategoriesTable[Category name],0),0),"")</f>
        <v>Expense</v>
      </c>
      <c r="N722" s="173">
        <v>11</v>
      </c>
      <c r="O722" s="173">
        <f>MONTH(Table1[[#This Row],[Date]])</f>
        <v>5</v>
      </c>
      <c r="P722" s="173">
        <v>2020</v>
      </c>
      <c r="Q722" s="174">
        <f>IF(ISBLANK(Table1[[#This Row],[Date]]),"",Table1[[#This Row],[Date]]-WEEKDAY(Table1[[#This Row],[Date]],2)+1)</f>
        <v>43962</v>
      </c>
      <c r="R722" s="175">
        <f>IF(ISBLANK(Table1[[#This Row],[Date]]),"",DATE(Table1[[#This Row],[Date_Year]],Table1[[#This Row],[Date_Month]],1))</f>
        <v>43952</v>
      </c>
    </row>
    <row r="723" spans="2:18" ht="15.75" hidden="1" x14ac:dyDescent="0.25">
      <c r="B723" s="165">
        <v>43962</v>
      </c>
      <c r="C723" s="166" t="s">
        <v>128</v>
      </c>
      <c r="D723" s="166" t="s">
        <v>53</v>
      </c>
      <c r="E723" s="167"/>
      <c r="F723" s="114">
        <v>-22.39</v>
      </c>
      <c r="G723" s="168"/>
      <c r="H723" s="169"/>
      <c r="I723" s="170"/>
      <c r="J723" s="171" t="s">
        <v>965</v>
      </c>
      <c r="K723" s="172" t="s">
        <v>177</v>
      </c>
      <c r="L723" s="172" t="s">
        <v>175</v>
      </c>
      <c r="M723" s="173" t="str" cm="1">
        <f t="array" ref="M723">IFERROR(INDEX(CategoriesTable[Category type],MATCH(Table1[[#This Row],[Category]],CategoriesTable[Category name],0),0),"")</f>
        <v>Expense</v>
      </c>
      <c r="N723" s="173">
        <v>11</v>
      </c>
      <c r="O723" s="173">
        <f>MONTH(Table1[[#This Row],[Date]])</f>
        <v>5</v>
      </c>
      <c r="P723" s="173">
        <v>2020</v>
      </c>
      <c r="Q723" s="174">
        <f>IF(ISBLANK(Table1[[#This Row],[Date]]),"",Table1[[#This Row],[Date]]-WEEKDAY(Table1[[#This Row],[Date]],2)+1)</f>
        <v>43962</v>
      </c>
      <c r="R723" s="175">
        <f>IF(ISBLANK(Table1[[#This Row],[Date]]),"",DATE(Table1[[#This Row],[Date_Year]],Table1[[#This Row],[Date_Month]],1))</f>
        <v>43952</v>
      </c>
    </row>
    <row r="724" spans="2:18" ht="15.75" hidden="1" x14ac:dyDescent="0.25">
      <c r="B724" s="165">
        <v>43962</v>
      </c>
      <c r="C724" s="166" t="s">
        <v>121</v>
      </c>
      <c r="D724" s="166" t="s">
        <v>65</v>
      </c>
      <c r="E724" s="167"/>
      <c r="F724" s="114">
        <v>-8.9700000000000006</v>
      </c>
      <c r="G724" s="168"/>
      <c r="H724" s="169"/>
      <c r="I724" s="170"/>
      <c r="J724" s="171" t="s">
        <v>966</v>
      </c>
      <c r="K724" s="172" t="s">
        <v>177</v>
      </c>
      <c r="L724" s="172" t="s">
        <v>175</v>
      </c>
      <c r="M724" s="173" t="str" cm="1">
        <f t="array" ref="M724">IFERROR(INDEX(CategoriesTable[Category type],MATCH(Table1[[#This Row],[Category]],CategoriesTable[Category name],0),0),"")</f>
        <v>Expense</v>
      </c>
      <c r="N724" s="173">
        <v>11</v>
      </c>
      <c r="O724" s="173">
        <f>MONTH(Table1[[#This Row],[Date]])</f>
        <v>5</v>
      </c>
      <c r="P724" s="173">
        <v>2020</v>
      </c>
      <c r="Q724" s="174">
        <f>IF(ISBLANK(Table1[[#This Row],[Date]]),"",Table1[[#This Row],[Date]]-WEEKDAY(Table1[[#This Row],[Date]],2)+1)</f>
        <v>43962</v>
      </c>
      <c r="R724" s="175">
        <f>IF(ISBLANK(Table1[[#This Row],[Date]]),"",DATE(Table1[[#This Row],[Date_Year]],Table1[[#This Row],[Date_Month]],1))</f>
        <v>43952</v>
      </c>
    </row>
    <row r="725" spans="2:18" ht="15.75" hidden="1" x14ac:dyDescent="0.25">
      <c r="B725" s="165">
        <v>43962</v>
      </c>
      <c r="C725" s="166" t="s">
        <v>180</v>
      </c>
      <c r="D725" s="166" t="s">
        <v>52</v>
      </c>
      <c r="E725" s="167"/>
      <c r="F725" s="114">
        <v>-60</v>
      </c>
      <c r="G725" s="168"/>
      <c r="H725" s="169"/>
      <c r="I725" s="170"/>
      <c r="J725" s="171" t="s">
        <v>967</v>
      </c>
      <c r="K725" s="172" t="s">
        <v>177</v>
      </c>
      <c r="L725" s="172" t="s">
        <v>175</v>
      </c>
      <c r="M725" s="173" t="str" cm="1">
        <f t="array" ref="M725">IFERROR(INDEX(CategoriesTable[Category type],MATCH(Table1[[#This Row],[Category]],CategoriesTable[Category name],0),0),"")</f>
        <v>Transfer</v>
      </c>
      <c r="N725" s="173">
        <v>11</v>
      </c>
      <c r="O725" s="173">
        <f>MONTH(Table1[[#This Row],[Date]])</f>
        <v>5</v>
      </c>
      <c r="P725" s="173">
        <v>2020</v>
      </c>
      <c r="Q725" s="174">
        <f>IF(ISBLANK(Table1[[#This Row],[Date]]),"",Table1[[#This Row],[Date]]-WEEKDAY(Table1[[#This Row],[Date]],2)+1)</f>
        <v>43962</v>
      </c>
      <c r="R725" s="175">
        <f>IF(ISBLANK(Table1[[#This Row],[Date]]),"",DATE(Table1[[#This Row],[Date_Year]],Table1[[#This Row],[Date_Month]],1))</f>
        <v>43952</v>
      </c>
    </row>
    <row r="726" spans="2:18" ht="15.75" hidden="1" x14ac:dyDescent="0.25">
      <c r="B726" s="165">
        <v>43962</v>
      </c>
      <c r="C726" s="166" t="s">
        <v>750</v>
      </c>
      <c r="D726" s="166" t="s">
        <v>52</v>
      </c>
      <c r="E726" s="167"/>
      <c r="F726" s="114">
        <v>-388</v>
      </c>
      <c r="G726" s="168"/>
      <c r="H726" s="169"/>
      <c r="I726" s="170"/>
      <c r="J726" s="171" t="s">
        <v>968</v>
      </c>
      <c r="K726" s="172" t="s">
        <v>177</v>
      </c>
      <c r="L726" s="172" t="s">
        <v>175</v>
      </c>
      <c r="M726" s="173" t="str" cm="1">
        <f t="array" ref="M726">IFERROR(INDEX(CategoriesTable[Category type],MATCH(Table1[[#This Row],[Category]],CategoriesTable[Category name],0),0),"")</f>
        <v>Transfer</v>
      </c>
      <c r="N726" s="173">
        <v>11</v>
      </c>
      <c r="O726" s="173">
        <f>MONTH(Table1[[#This Row],[Date]])</f>
        <v>5</v>
      </c>
      <c r="P726" s="173">
        <v>2020</v>
      </c>
      <c r="Q726" s="174">
        <f>IF(ISBLANK(Table1[[#This Row],[Date]]),"",Table1[[#This Row],[Date]]-WEEKDAY(Table1[[#This Row],[Date]],2)+1)</f>
        <v>43962</v>
      </c>
      <c r="R726" s="175">
        <f>IF(ISBLANK(Table1[[#This Row],[Date]]),"",DATE(Table1[[#This Row],[Date_Year]],Table1[[#This Row],[Date_Month]],1))</f>
        <v>43952</v>
      </c>
    </row>
    <row r="727" spans="2:18" ht="15.75" hidden="1" x14ac:dyDescent="0.25">
      <c r="B727" s="165">
        <v>43962</v>
      </c>
      <c r="C727" s="166" t="s">
        <v>664</v>
      </c>
      <c r="D727" s="166" t="s">
        <v>66</v>
      </c>
      <c r="E727" s="167"/>
      <c r="F727" s="114">
        <v>-88.66</v>
      </c>
      <c r="G727" s="168"/>
      <c r="H727" s="169"/>
      <c r="I727" s="170"/>
      <c r="J727" s="171" t="s">
        <v>969</v>
      </c>
      <c r="K727" s="172" t="s">
        <v>177</v>
      </c>
      <c r="L727" s="172" t="s">
        <v>175</v>
      </c>
      <c r="M727" s="173" t="str" cm="1">
        <f t="array" ref="M727">IFERROR(INDEX(CategoriesTable[Category type],MATCH(Table1[[#This Row],[Category]],CategoriesTable[Category name],0),0),"")</f>
        <v>Expense</v>
      </c>
      <c r="N727" s="173">
        <v>11</v>
      </c>
      <c r="O727" s="173">
        <f>MONTH(Table1[[#This Row],[Date]])</f>
        <v>5</v>
      </c>
      <c r="P727" s="173">
        <v>2020</v>
      </c>
      <c r="Q727" s="174">
        <f>IF(ISBLANK(Table1[[#This Row],[Date]]),"",Table1[[#This Row],[Date]]-WEEKDAY(Table1[[#This Row],[Date]],2)+1)</f>
        <v>43962</v>
      </c>
      <c r="R727" s="175">
        <f>IF(ISBLANK(Table1[[#This Row],[Date]]),"",DATE(Table1[[#This Row],[Date_Year]],Table1[[#This Row],[Date_Month]],1))</f>
        <v>43952</v>
      </c>
    </row>
    <row r="728" spans="2:18" ht="15.75" hidden="1" x14ac:dyDescent="0.25">
      <c r="B728" s="165">
        <v>43961</v>
      </c>
      <c r="C728" s="166" t="s">
        <v>120</v>
      </c>
      <c r="D728" s="166" t="s">
        <v>66</v>
      </c>
      <c r="E728" s="167"/>
      <c r="F728" s="114">
        <v>-42.77</v>
      </c>
      <c r="G728" s="168"/>
      <c r="H728" s="169"/>
      <c r="I728" s="170"/>
      <c r="J728" s="171" t="s">
        <v>970</v>
      </c>
      <c r="K728" s="172" t="s">
        <v>177</v>
      </c>
      <c r="L728" s="172" t="s">
        <v>175</v>
      </c>
      <c r="M728" s="173" t="str" cm="1">
        <f t="array" ref="M728">IFERROR(INDEX(CategoriesTable[Category type],MATCH(Table1[[#This Row],[Category]],CategoriesTable[Category name],0),0),"")</f>
        <v>Expense</v>
      </c>
      <c r="N728" s="173">
        <v>10</v>
      </c>
      <c r="O728" s="173">
        <f>MONTH(Table1[[#This Row],[Date]])</f>
        <v>5</v>
      </c>
      <c r="P728" s="173">
        <v>2020</v>
      </c>
      <c r="Q728" s="174">
        <f>IF(ISBLANK(Table1[[#This Row],[Date]]),"",Table1[[#This Row],[Date]]-WEEKDAY(Table1[[#This Row],[Date]],2)+1)</f>
        <v>43955</v>
      </c>
      <c r="R728" s="175">
        <f>IF(ISBLANK(Table1[[#This Row],[Date]]),"",DATE(Table1[[#This Row],[Date_Year]],Table1[[#This Row],[Date_Month]],1))</f>
        <v>43952</v>
      </c>
    </row>
    <row r="729" spans="2:18" ht="15.75" hidden="1" x14ac:dyDescent="0.25">
      <c r="B729" s="165">
        <v>43960</v>
      </c>
      <c r="C729" s="166" t="s">
        <v>146</v>
      </c>
      <c r="D729" s="166" t="s">
        <v>58</v>
      </c>
      <c r="E729" s="167"/>
      <c r="F729" s="114">
        <v>-86.46</v>
      </c>
      <c r="G729" s="168"/>
      <c r="H729" s="169"/>
      <c r="I729" s="170"/>
      <c r="J729" s="171" t="s">
        <v>971</v>
      </c>
      <c r="K729" s="172" t="s">
        <v>177</v>
      </c>
      <c r="L729" s="172" t="s">
        <v>175</v>
      </c>
      <c r="M729" s="173" t="str" cm="1">
        <f t="array" ref="M729">IFERROR(INDEX(CategoriesTable[Category type],MATCH(Table1[[#This Row],[Category]],CategoriesTable[Category name],0),0),"")</f>
        <v>Expense</v>
      </c>
      <c r="N729" s="173">
        <v>9</v>
      </c>
      <c r="O729" s="173">
        <f>MONTH(Table1[[#This Row],[Date]])</f>
        <v>5</v>
      </c>
      <c r="P729" s="173">
        <v>2020</v>
      </c>
      <c r="Q729" s="174">
        <f>IF(ISBLANK(Table1[[#This Row],[Date]]),"",Table1[[#This Row],[Date]]-WEEKDAY(Table1[[#This Row],[Date]],2)+1)</f>
        <v>43955</v>
      </c>
      <c r="R729" s="175">
        <f>IF(ISBLANK(Table1[[#This Row],[Date]]),"",DATE(Table1[[#This Row],[Date_Year]],Table1[[#This Row],[Date_Month]],1))</f>
        <v>43952</v>
      </c>
    </row>
    <row r="730" spans="2:18" ht="15.75" hidden="1" x14ac:dyDescent="0.25">
      <c r="B730" s="165">
        <v>43960</v>
      </c>
      <c r="C730" s="166" t="s">
        <v>136</v>
      </c>
      <c r="D730" s="166" t="s">
        <v>58</v>
      </c>
      <c r="E730" s="167"/>
      <c r="F730" s="114">
        <v>-105.74</v>
      </c>
      <c r="G730" s="168"/>
      <c r="H730" s="169"/>
      <c r="I730" s="170"/>
      <c r="J730" s="171" t="s">
        <v>972</v>
      </c>
      <c r="K730" s="172" t="s">
        <v>177</v>
      </c>
      <c r="L730" s="172" t="s">
        <v>175</v>
      </c>
      <c r="M730" s="173" t="str" cm="1">
        <f t="array" ref="M730">IFERROR(INDEX(CategoriesTable[Category type],MATCH(Table1[[#This Row],[Category]],CategoriesTable[Category name],0),0),"")</f>
        <v>Expense</v>
      </c>
      <c r="N730" s="173">
        <v>9</v>
      </c>
      <c r="O730" s="173">
        <f>MONTH(Table1[[#This Row],[Date]])</f>
        <v>5</v>
      </c>
      <c r="P730" s="173">
        <v>2020</v>
      </c>
      <c r="Q730" s="174">
        <f>IF(ISBLANK(Table1[[#This Row],[Date]]),"",Table1[[#This Row],[Date]]-WEEKDAY(Table1[[#This Row],[Date]],2)+1)</f>
        <v>43955</v>
      </c>
      <c r="R730" s="175">
        <f>IF(ISBLANK(Table1[[#This Row],[Date]]),"",DATE(Table1[[#This Row],[Date_Year]],Table1[[#This Row],[Date_Month]],1))</f>
        <v>43952</v>
      </c>
    </row>
    <row r="731" spans="2:18" ht="15.75" hidden="1" x14ac:dyDescent="0.25">
      <c r="B731" s="165">
        <v>43959</v>
      </c>
      <c r="C731" s="166" t="s">
        <v>120</v>
      </c>
      <c r="D731" s="166" t="s">
        <v>66</v>
      </c>
      <c r="E731" s="167"/>
      <c r="F731" s="114">
        <v>-69.849999999999994</v>
      </c>
      <c r="G731" s="168"/>
      <c r="H731" s="169"/>
      <c r="I731" s="170"/>
      <c r="J731" s="171" t="s">
        <v>973</v>
      </c>
      <c r="K731" s="172" t="s">
        <v>177</v>
      </c>
      <c r="L731" s="172" t="s">
        <v>175</v>
      </c>
      <c r="M731" s="173" t="str" cm="1">
        <f t="array" ref="M731">IFERROR(INDEX(CategoriesTable[Category type],MATCH(Table1[[#This Row],[Category]],CategoriesTable[Category name],0),0),"")</f>
        <v>Expense</v>
      </c>
      <c r="N731" s="173">
        <v>8</v>
      </c>
      <c r="O731" s="173">
        <f>MONTH(Table1[[#This Row],[Date]])</f>
        <v>5</v>
      </c>
      <c r="P731" s="173">
        <v>2020</v>
      </c>
      <c r="Q731" s="174">
        <f>IF(ISBLANK(Table1[[#This Row],[Date]]),"",Table1[[#This Row],[Date]]-WEEKDAY(Table1[[#This Row],[Date]],2)+1)</f>
        <v>43955</v>
      </c>
      <c r="R731" s="175">
        <f>IF(ISBLANK(Table1[[#This Row],[Date]]),"",DATE(Table1[[#This Row],[Date_Year]],Table1[[#This Row],[Date_Month]],1))</f>
        <v>43952</v>
      </c>
    </row>
    <row r="732" spans="2:18" ht="15.75" hidden="1" x14ac:dyDescent="0.25">
      <c r="B732" s="165">
        <v>43959</v>
      </c>
      <c r="C732" s="166" t="s">
        <v>958</v>
      </c>
      <c r="D732" s="166" t="s">
        <v>65</v>
      </c>
      <c r="E732" s="167"/>
      <c r="F732" s="114">
        <v>-33.47</v>
      </c>
      <c r="G732" s="168"/>
      <c r="H732" s="169"/>
      <c r="I732" s="170"/>
      <c r="J732" s="171" t="s">
        <v>974</v>
      </c>
      <c r="K732" s="172" t="s">
        <v>177</v>
      </c>
      <c r="L732" s="172" t="s">
        <v>175</v>
      </c>
      <c r="M732" s="173" t="str" cm="1">
        <f t="array" ref="M732">IFERROR(INDEX(CategoriesTable[Category type],MATCH(Table1[[#This Row],[Category]],CategoriesTable[Category name],0),0),"")</f>
        <v>Expense</v>
      </c>
      <c r="N732" s="173">
        <v>8</v>
      </c>
      <c r="O732" s="173">
        <f>MONTH(Table1[[#This Row],[Date]])</f>
        <v>5</v>
      </c>
      <c r="P732" s="173">
        <v>2020</v>
      </c>
      <c r="Q732" s="174">
        <f>IF(ISBLANK(Table1[[#This Row],[Date]]),"",Table1[[#This Row],[Date]]-WEEKDAY(Table1[[#This Row],[Date]],2)+1)</f>
        <v>43955</v>
      </c>
      <c r="R732" s="175">
        <f>IF(ISBLANK(Table1[[#This Row],[Date]]),"",DATE(Table1[[#This Row],[Date_Year]],Table1[[#This Row],[Date_Month]],1))</f>
        <v>43952</v>
      </c>
    </row>
    <row r="733" spans="2:18" ht="15.75" hidden="1" x14ac:dyDescent="0.25">
      <c r="B733" s="165">
        <v>43959</v>
      </c>
      <c r="C733" s="166" t="s">
        <v>135</v>
      </c>
      <c r="D733" s="166" t="s">
        <v>53</v>
      </c>
      <c r="E733" s="167"/>
      <c r="F733" s="114">
        <v>-6.35</v>
      </c>
      <c r="G733" s="168"/>
      <c r="H733" s="169"/>
      <c r="I733" s="170"/>
      <c r="J733" s="171" t="s">
        <v>975</v>
      </c>
      <c r="K733" s="172" t="s">
        <v>177</v>
      </c>
      <c r="L733" s="172" t="s">
        <v>175</v>
      </c>
      <c r="M733" s="173" t="str" cm="1">
        <f t="array" ref="M733">IFERROR(INDEX(CategoriesTable[Category type],MATCH(Table1[[#This Row],[Category]],CategoriesTable[Category name],0),0),"")</f>
        <v>Expense</v>
      </c>
      <c r="N733" s="173">
        <v>8</v>
      </c>
      <c r="O733" s="173">
        <f>MONTH(Table1[[#This Row],[Date]])</f>
        <v>5</v>
      </c>
      <c r="P733" s="173">
        <v>2020</v>
      </c>
      <c r="Q733" s="174">
        <f>IF(ISBLANK(Table1[[#This Row],[Date]]),"",Table1[[#This Row],[Date]]-WEEKDAY(Table1[[#This Row],[Date]],2)+1)</f>
        <v>43955</v>
      </c>
      <c r="R733" s="175">
        <f>IF(ISBLANK(Table1[[#This Row],[Date]]),"",DATE(Table1[[#This Row],[Date_Year]],Table1[[#This Row],[Date_Month]],1))</f>
        <v>43952</v>
      </c>
    </row>
    <row r="734" spans="2:18" ht="15.75" hidden="1" x14ac:dyDescent="0.25">
      <c r="B734" s="165">
        <v>43959</v>
      </c>
      <c r="C734" s="166" t="s">
        <v>320</v>
      </c>
      <c r="D734" s="166" t="s">
        <v>66</v>
      </c>
      <c r="E734" s="167"/>
      <c r="F734" s="114">
        <v>-92.28</v>
      </c>
      <c r="G734" s="168"/>
      <c r="H734" s="169"/>
      <c r="I734" s="170"/>
      <c r="J734" s="171" t="s">
        <v>976</v>
      </c>
      <c r="K734" s="172" t="s">
        <v>177</v>
      </c>
      <c r="L734" s="172" t="s">
        <v>175</v>
      </c>
      <c r="M734" s="173" t="str" cm="1">
        <f t="array" ref="M734">IFERROR(INDEX(CategoriesTable[Category type],MATCH(Table1[[#This Row],[Category]],CategoriesTable[Category name],0),0),"")</f>
        <v>Expense</v>
      </c>
      <c r="N734" s="173">
        <v>8</v>
      </c>
      <c r="O734" s="173">
        <f>MONTH(Table1[[#This Row],[Date]])</f>
        <v>5</v>
      </c>
      <c r="P734" s="173">
        <v>2020</v>
      </c>
      <c r="Q734" s="174">
        <f>IF(ISBLANK(Table1[[#This Row],[Date]]),"",Table1[[#This Row],[Date]]-WEEKDAY(Table1[[#This Row],[Date]],2)+1)</f>
        <v>43955</v>
      </c>
      <c r="R734" s="175">
        <f>IF(ISBLANK(Table1[[#This Row],[Date]]),"",DATE(Table1[[#This Row],[Date_Year]],Table1[[#This Row],[Date_Month]],1))</f>
        <v>43952</v>
      </c>
    </row>
    <row r="735" spans="2:18" ht="15.75" hidden="1" x14ac:dyDescent="0.25">
      <c r="B735" s="165">
        <v>43958</v>
      </c>
      <c r="C735" s="166" t="s">
        <v>193</v>
      </c>
      <c r="D735" s="166" t="s">
        <v>58</v>
      </c>
      <c r="E735" s="167"/>
      <c r="F735" s="114">
        <v>-81.89</v>
      </c>
      <c r="G735" s="168"/>
      <c r="H735" s="169"/>
      <c r="I735" s="170"/>
      <c r="J735" s="171" t="s">
        <v>977</v>
      </c>
      <c r="K735" s="172" t="s">
        <v>177</v>
      </c>
      <c r="L735" s="172" t="s">
        <v>175</v>
      </c>
      <c r="M735" s="173" t="str" cm="1">
        <f t="array" ref="M735">IFERROR(INDEX(CategoriesTable[Category type],MATCH(Table1[[#This Row],[Category]],CategoriesTable[Category name],0),0),"")</f>
        <v>Expense</v>
      </c>
      <c r="N735" s="173">
        <v>7</v>
      </c>
      <c r="O735" s="173">
        <f>MONTH(Table1[[#This Row],[Date]])</f>
        <v>5</v>
      </c>
      <c r="P735" s="173">
        <v>2020</v>
      </c>
      <c r="Q735" s="174">
        <f>IF(ISBLANK(Table1[[#This Row],[Date]]),"",Table1[[#This Row],[Date]]-WEEKDAY(Table1[[#This Row],[Date]],2)+1)</f>
        <v>43955</v>
      </c>
      <c r="R735" s="175">
        <f>IF(ISBLANK(Table1[[#This Row],[Date]]),"",DATE(Table1[[#This Row],[Date_Year]],Table1[[#This Row],[Date_Month]],1))</f>
        <v>43952</v>
      </c>
    </row>
    <row r="736" spans="2:18" ht="15.75" hidden="1" x14ac:dyDescent="0.25">
      <c r="B736" s="165">
        <v>43958</v>
      </c>
      <c r="C736" s="166" t="s">
        <v>180</v>
      </c>
      <c r="D736" s="166" t="s">
        <v>52</v>
      </c>
      <c r="E736" s="167"/>
      <c r="F736" s="114">
        <v>-40</v>
      </c>
      <c r="G736" s="168"/>
      <c r="H736" s="169"/>
      <c r="I736" s="170"/>
      <c r="J736" s="171" t="s">
        <v>978</v>
      </c>
      <c r="K736" s="172" t="s">
        <v>177</v>
      </c>
      <c r="L736" s="172" t="s">
        <v>175</v>
      </c>
      <c r="M736" s="173" t="str" cm="1">
        <f t="array" ref="M736">IFERROR(INDEX(CategoriesTable[Category type],MATCH(Table1[[#This Row],[Category]],CategoriesTable[Category name],0),0),"")</f>
        <v>Transfer</v>
      </c>
      <c r="N736" s="173">
        <v>7</v>
      </c>
      <c r="O736" s="173">
        <f>MONTH(Table1[[#This Row],[Date]])</f>
        <v>5</v>
      </c>
      <c r="P736" s="173">
        <v>2020</v>
      </c>
      <c r="Q736" s="174">
        <f>IF(ISBLANK(Table1[[#This Row],[Date]]),"",Table1[[#This Row],[Date]]-WEEKDAY(Table1[[#This Row],[Date]],2)+1)</f>
        <v>43955</v>
      </c>
      <c r="R736" s="175">
        <f>IF(ISBLANK(Table1[[#This Row],[Date]]),"",DATE(Table1[[#This Row],[Date_Year]],Table1[[#This Row],[Date_Month]],1))</f>
        <v>43952</v>
      </c>
    </row>
    <row r="737" spans="2:18" ht="15.75" hidden="1" x14ac:dyDescent="0.25">
      <c r="B737" s="165">
        <v>43958</v>
      </c>
      <c r="C737" s="166" t="s">
        <v>572</v>
      </c>
      <c r="D737" s="166" t="s">
        <v>63</v>
      </c>
      <c r="E737" s="167"/>
      <c r="F737" s="114">
        <v>-3.5</v>
      </c>
      <c r="G737" s="168"/>
      <c r="H737" s="169"/>
      <c r="I737" s="170"/>
      <c r="J737" s="171" t="s">
        <v>979</v>
      </c>
      <c r="K737" s="172" t="s">
        <v>177</v>
      </c>
      <c r="L737" s="172" t="s">
        <v>175</v>
      </c>
      <c r="M737" s="173" t="str" cm="1">
        <f t="array" ref="M737">IFERROR(INDEX(CategoriesTable[Category type],MATCH(Table1[[#This Row],[Category]],CategoriesTable[Category name],0),0),"")</f>
        <v>Expense</v>
      </c>
      <c r="N737" s="173">
        <v>7</v>
      </c>
      <c r="O737" s="173">
        <f>MONTH(Table1[[#This Row],[Date]])</f>
        <v>5</v>
      </c>
      <c r="P737" s="173">
        <v>2020</v>
      </c>
      <c r="Q737" s="174">
        <f>IF(ISBLANK(Table1[[#This Row],[Date]]),"",Table1[[#This Row],[Date]]-WEEKDAY(Table1[[#This Row],[Date]],2)+1)</f>
        <v>43955</v>
      </c>
      <c r="R737" s="175">
        <f>IF(ISBLANK(Table1[[#This Row],[Date]]),"",DATE(Table1[[#This Row],[Date_Year]],Table1[[#This Row],[Date_Month]],1))</f>
        <v>43952</v>
      </c>
    </row>
    <row r="738" spans="2:18" ht="15.75" hidden="1" x14ac:dyDescent="0.25">
      <c r="B738" s="165">
        <v>43958</v>
      </c>
      <c r="C738" s="166" t="s">
        <v>284</v>
      </c>
      <c r="D738" s="166" t="s">
        <v>52</v>
      </c>
      <c r="E738" s="167"/>
      <c r="F738" s="114">
        <v>-396</v>
      </c>
      <c r="G738" s="168"/>
      <c r="H738" s="169"/>
      <c r="I738" s="170"/>
      <c r="J738" s="171" t="s">
        <v>980</v>
      </c>
      <c r="K738" s="172" t="s">
        <v>177</v>
      </c>
      <c r="L738" s="172" t="s">
        <v>175</v>
      </c>
      <c r="M738" s="173" t="str" cm="1">
        <f t="array" ref="M738">IFERROR(INDEX(CategoriesTable[Category type],MATCH(Table1[[#This Row],[Category]],CategoriesTable[Category name],0),0),"")</f>
        <v>Transfer</v>
      </c>
      <c r="N738" s="173">
        <v>7</v>
      </c>
      <c r="O738" s="173">
        <f>MONTH(Table1[[#This Row],[Date]])</f>
        <v>5</v>
      </c>
      <c r="P738" s="173">
        <v>2020</v>
      </c>
      <c r="Q738" s="174">
        <f>IF(ISBLANK(Table1[[#This Row],[Date]]),"",Table1[[#This Row],[Date]]-WEEKDAY(Table1[[#This Row],[Date]],2)+1)</f>
        <v>43955</v>
      </c>
      <c r="R738" s="175">
        <f>IF(ISBLANK(Table1[[#This Row],[Date]]),"",DATE(Table1[[#This Row],[Date_Year]],Table1[[#This Row],[Date_Month]],1))</f>
        <v>43952</v>
      </c>
    </row>
    <row r="739" spans="2:18" ht="15.75" hidden="1" x14ac:dyDescent="0.25">
      <c r="B739" s="165">
        <v>43958</v>
      </c>
      <c r="C739" s="166" t="s">
        <v>574</v>
      </c>
      <c r="D739" s="166" t="s">
        <v>55</v>
      </c>
      <c r="E739" s="167"/>
      <c r="F739" s="114">
        <v>-515.23</v>
      </c>
      <c r="G739" s="168"/>
      <c r="H739" s="169"/>
      <c r="I739" s="170"/>
      <c r="J739" s="171" t="s">
        <v>981</v>
      </c>
      <c r="K739" s="172" t="s">
        <v>177</v>
      </c>
      <c r="L739" s="172" t="s">
        <v>175</v>
      </c>
      <c r="M739" s="173" t="str" cm="1">
        <f t="array" ref="M739">IFERROR(INDEX(CategoriesTable[Category type],MATCH(Table1[[#This Row],[Category]],CategoriesTable[Category name],0),0),"")</f>
        <v>Expense</v>
      </c>
      <c r="N739" s="173">
        <v>7</v>
      </c>
      <c r="O739" s="173">
        <f>MONTH(Table1[[#This Row],[Date]])</f>
        <v>5</v>
      </c>
      <c r="P739" s="173">
        <v>2020</v>
      </c>
      <c r="Q739" s="174">
        <f>IF(ISBLANK(Table1[[#This Row],[Date]]),"",Table1[[#This Row],[Date]]-WEEKDAY(Table1[[#This Row],[Date]],2)+1)</f>
        <v>43955</v>
      </c>
      <c r="R739" s="175">
        <f>IF(ISBLANK(Table1[[#This Row],[Date]]),"",DATE(Table1[[#This Row],[Date_Year]],Table1[[#This Row],[Date_Month]],1))</f>
        <v>43952</v>
      </c>
    </row>
    <row r="740" spans="2:18" ht="15.75" hidden="1" x14ac:dyDescent="0.25">
      <c r="B740" s="165">
        <v>43957</v>
      </c>
      <c r="C740" s="166" t="s">
        <v>140</v>
      </c>
      <c r="D740" s="166" t="s">
        <v>65</v>
      </c>
      <c r="E740" s="167"/>
      <c r="F740" s="114">
        <v>-23.24</v>
      </c>
      <c r="G740" s="168"/>
      <c r="H740" s="169"/>
      <c r="I740" s="170"/>
      <c r="J740" s="171" t="s">
        <v>982</v>
      </c>
      <c r="K740" s="172" t="s">
        <v>177</v>
      </c>
      <c r="L740" s="172" t="s">
        <v>175</v>
      </c>
      <c r="M740" s="173" t="str" cm="1">
        <f t="array" ref="M740">IFERROR(INDEX(CategoriesTable[Category type],MATCH(Table1[[#This Row],[Category]],CategoriesTable[Category name],0),0),"")</f>
        <v>Expense</v>
      </c>
      <c r="N740" s="173">
        <v>6</v>
      </c>
      <c r="O740" s="173">
        <f>MONTH(Table1[[#This Row],[Date]])</f>
        <v>5</v>
      </c>
      <c r="P740" s="173">
        <v>2020</v>
      </c>
      <c r="Q740" s="174">
        <f>IF(ISBLANK(Table1[[#This Row],[Date]]),"",Table1[[#This Row],[Date]]-WEEKDAY(Table1[[#This Row],[Date]],2)+1)</f>
        <v>43955</v>
      </c>
      <c r="R740" s="175">
        <f>IF(ISBLANK(Table1[[#This Row],[Date]]),"",DATE(Table1[[#This Row],[Date_Year]],Table1[[#This Row],[Date_Month]],1))</f>
        <v>43952</v>
      </c>
    </row>
    <row r="741" spans="2:18" ht="15.75" hidden="1" x14ac:dyDescent="0.25">
      <c r="B741" s="165">
        <v>43957</v>
      </c>
      <c r="C741" s="166" t="s">
        <v>738</v>
      </c>
      <c r="D741" s="166" t="s">
        <v>55</v>
      </c>
      <c r="E741" s="167"/>
      <c r="F741" s="114">
        <v>-173.83</v>
      </c>
      <c r="G741" s="168"/>
      <c r="H741" s="169"/>
      <c r="I741" s="170"/>
      <c r="J741" s="171" t="s">
        <v>983</v>
      </c>
      <c r="K741" s="172" t="s">
        <v>177</v>
      </c>
      <c r="L741" s="172" t="s">
        <v>175</v>
      </c>
      <c r="M741" s="173" t="str" cm="1">
        <f t="array" ref="M741">IFERROR(INDEX(CategoriesTable[Category type],MATCH(Table1[[#This Row],[Category]],CategoriesTable[Category name],0),0),"")</f>
        <v>Expense</v>
      </c>
      <c r="N741" s="173">
        <v>6</v>
      </c>
      <c r="O741" s="173">
        <f>MONTH(Table1[[#This Row],[Date]])</f>
        <v>5</v>
      </c>
      <c r="P741" s="173">
        <v>2020</v>
      </c>
      <c r="Q741" s="174">
        <f>IF(ISBLANK(Table1[[#This Row],[Date]]),"",Table1[[#This Row],[Date]]-WEEKDAY(Table1[[#This Row],[Date]],2)+1)</f>
        <v>43955</v>
      </c>
      <c r="R741" s="175">
        <f>IF(ISBLANK(Table1[[#This Row],[Date]]),"",DATE(Table1[[#This Row],[Date_Year]],Table1[[#This Row],[Date_Month]],1))</f>
        <v>43952</v>
      </c>
    </row>
    <row r="742" spans="2:18" ht="15.75" hidden="1" x14ac:dyDescent="0.25">
      <c r="B742" s="165">
        <v>43957</v>
      </c>
      <c r="C742" s="166" t="s">
        <v>984</v>
      </c>
      <c r="D742" s="166" t="s">
        <v>66</v>
      </c>
      <c r="E742" s="167"/>
      <c r="F742" s="114">
        <v>-79.989999999999995</v>
      </c>
      <c r="G742" s="168"/>
      <c r="H742" s="169"/>
      <c r="I742" s="170"/>
      <c r="J742" s="171" t="s">
        <v>985</v>
      </c>
      <c r="K742" s="172" t="s">
        <v>177</v>
      </c>
      <c r="L742" s="172" t="s">
        <v>175</v>
      </c>
      <c r="M742" s="173" t="str" cm="1">
        <f t="array" ref="M742">IFERROR(INDEX(CategoriesTable[Category type],MATCH(Table1[[#This Row],[Category]],CategoriesTable[Category name],0),0),"")</f>
        <v>Expense</v>
      </c>
      <c r="N742" s="173">
        <v>6</v>
      </c>
      <c r="O742" s="173">
        <f>MONTH(Table1[[#This Row],[Date]])</f>
        <v>5</v>
      </c>
      <c r="P742" s="173">
        <v>2020</v>
      </c>
      <c r="Q742" s="174">
        <f>IF(ISBLANK(Table1[[#This Row],[Date]]),"",Table1[[#This Row],[Date]]-WEEKDAY(Table1[[#This Row],[Date]],2)+1)</f>
        <v>43955</v>
      </c>
      <c r="R742" s="175">
        <f>IF(ISBLANK(Table1[[#This Row],[Date]]),"",DATE(Table1[[#This Row],[Date_Year]],Table1[[#This Row],[Date_Month]],1))</f>
        <v>43952</v>
      </c>
    </row>
    <row r="743" spans="2:18" ht="15.75" hidden="1" x14ac:dyDescent="0.25">
      <c r="B743" s="165">
        <v>43957</v>
      </c>
      <c r="C743" s="166" t="s">
        <v>120</v>
      </c>
      <c r="D743" s="166" t="s">
        <v>66</v>
      </c>
      <c r="E743" s="167"/>
      <c r="F743" s="114">
        <v>-188.71</v>
      </c>
      <c r="G743" s="168"/>
      <c r="H743" s="169"/>
      <c r="I743" s="170"/>
      <c r="J743" s="171" t="s">
        <v>986</v>
      </c>
      <c r="K743" s="172" t="s">
        <v>177</v>
      </c>
      <c r="L743" s="172" t="s">
        <v>175</v>
      </c>
      <c r="M743" s="173" t="str" cm="1">
        <f t="array" ref="M743">IFERROR(INDEX(CategoriesTable[Category type],MATCH(Table1[[#This Row],[Category]],CategoriesTable[Category name],0),0),"")</f>
        <v>Expense</v>
      </c>
      <c r="N743" s="173">
        <v>6</v>
      </c>
      <c r="O743" s="173">
        <f>MONTH(Table1[[#This Row],[Date]])</f>
        <v>5</v>
      </c>
      <c r="P743" s="173">
        <v>2020</v>
      </c>
      <c r="Q743" s="174">
        <f>IF(ISBLANK(Table1[[#This Row],[Date]]),"",Table1[[#This Row],[Date]]-WEEKDAY(Table1[[#This Row],[Date]],2)+1)</f>
        <v>43955</v>
      </c>
      <c r="R743" s="175">
        <f>IF(ISBLANK(Table1[[#This Row],[Date]]),"",DATE(Table1[[#This Row],[Date_Year]],Table1[[#This Row],[Date_Month]],1))</f>
        <v>43952</v>
      </c>
    </row>
    <row r="744" spans="2:18" ht="15.75" hidden="1" x14ac:dyDescent="0.25">
      <c r="B744" s="165">
        <v>43956</v>
      </c>
      <c r="C744" s="166" t="s">
        <v>180</v>
      </c>
      <c r="D744" s="166" t="s">
        <v>52</v>
      </c>
      <c r="E744" s="167"/>
      <c r="F744" s="114">
        <v>-40</v>
      </c>
      <c r="G744" s="168"/>
      <c r="H744" s="169"/>
      <c r="I744" s="170"/>
      <c r="J744" s="171" t="s">
        <v>987</v>
      </c>
      <c r="K744" s="172" t="s">
        <v>177</v>
      </c>
      <c r="L744" s="172" t="s">
        <v>175</v>
      </c>
      <c r="M744" s="173" t="str" cm="1">
        <f t="array" ref="M744">IFERROR(INDEX(CategoriesTable[Category type],MATCH(Table1[[#This Row],[Category]],CategoriesTable[Category name],0),0),"")</f>
        <v>Transfer</v>
      </c>
      <c r="N744" s="173">
        <v>5</v>
      </c>
      <c r="O744" s="173">
        <f>MONTH(Table1[[#This Row],[Date]])</f>
        <v>5</v>
      </c>
      <c r="P744" s="173">
        <v>2020</v>
      </c>
      <c r="Q744" s="174">
        <f>IF(ISBLANK(Table1[[#This Row],[Date]]),"",Table1[[#This Row],[Date]]-WEEKDAY(Table1[[#This Row],[Date]],2)+1)</f>
        <v>43955</v>
      </c>
      <c r="R744" s="175">
        <f>IF(ISBLANK(Table1[[#This Row],[Date]]),"",DATE(Table1[[#This Row],[Date_Year]],Table1[[#This Row],[Date_Month]],1))</f>
        <v>43952</v>
      </c>
    </row>
    <row r="745" spans="2:18" ht="15.75" hidden="1" x14ac:dyDescent="0.25">
      <c r="B745" s="165">
        <v>43956</v>
      </c>
      <c r="C745" s="166" t="s">
        <v>128</v>
      </c>
      <c r="D745" s="166" t="s">
        <v>53</v>
      </c>
      <c r="E745" s="167"/>
      <c r="F745" s="114">
        <v>-28.23</v>
      </c>
      <c r="G745" s="168"/>
      <c r="H745" s="169"/>
      <c r="I745" s="170"/>
      <c r="J745" s="171" t="s">
        <v>988</v>
      </c>
      <c r="K745" s="172" t="s">
        <v>177</v>
      </c>
      <c r="L745" s="172" t="s">
        <v>175</v>
      </c>
      <c r="M745" s="173" t="str" cm="1">
        <f t="array" ref="M745">IFERROR(INDEX(CategoriesTable[Category type],MATCH(Table1[[#This Row],[Category]],CategoriesTable[Category name],0),0),"")</f>
        <v>Expense</v>
      </c>
      <c r="N745" s="173">
        <v>5</v>
      </c>
      <c r="O745" s="173">
        <f>MONTH(Table1[[#This Row],[Date]])</f>
        <v>5</v>
      </c>
      <c r="P745" s="173">
        <v>2020</v>
      </c>
      <c r="Q745" s="174">
        <f>IF(ISBLANK(Table1[[#This Row],[Date]]),"",Table1[[#This Row],[Date]]-WEEKDAY(Table1[[#This Row],[Date]],2)+1)</f>
        <v>43955</v>
      </c>
      <c r="R745" s="175">
        <f>IF(ISBLANK(Table1[[#This Row],[Date]]),"",DATE(Table1[[#This Row],[Date_Year]],Table1[[#This Row],[Date_Month]],1))</f>
        <v>43952</v>
      </c>
    </row>
    <row r="746" spans="2:18" ht="15.75" hidden="1" x14ac:dyDescent="0.25">
      <c r="B746" s="165">
        <v>43956</v>
      </c>
      <c r="C746" s="166" t="s">
        <v>121</v>
      </c>
      <c r="D746" s="166" t="s">
        <v>65</v>
      </c>
      <c r="E746" s="167"/>
      <c r="F746" s="114">
        <v>-7.82</v>
      </c>
      <c r="G746" s="168"/>
      <c r="H746" s="169"/>
      <c r="I746" s="170"/>
      <c r="J746" s="171" t="s">
        <v>989</v>
      </c>
      <c r="K746" s="172" t="s">
        <v>177</v>
      </c>
      <c r="L746" s="172" t="s">
        <v>175</v>
      </c>
      <c r="M746" s="173" t="str" cm="1">
        <f t="array" ref="M746">IFERROR(INDEX(CategoriesTable[Category type],MATCH(Table1[[#This Row],[Category]],CategoriesTable[Category name],0),0),"")</f>
        <v>Expense</v>
      </c>
      <c r="N746" s="173">
        <v>5</v>
      </c>
      <c r="O746" s="173">
        <f>MONTH(Table1[[#This Row],[Date]])</f>
        <v>5</v>
      </c>
      <c r="P746" s="173">
        <v>2020</v>
      </c>
      <c r="Q746" s="174">
        <f>IF(ISBLANK(Table1[[#This Row],[Date]]),"",Table1[[#This Row],[Date]]-WEEKDAY(Table1[[#This Row],[Date]],2)+1)</f>
        <v>43955</v>
      </c>
      <c r="R746" s="175">
        <f>IF(ISBLANK(Table1[[#This Row],[Date]]),"",DATE(Table1[[#This Row],[Date_Year]],Table1[[#This Row],[Date_Month]],1))</f>
        <v>43952</v>
      </c>
    </row>
    <row r="747" spans="2:18" ht="15.75" hidden="1" x14ac:dyDescent="0.25">
      <c r="B747" s="165">
        <v>43956</v>
      </c>
      <c r="C747" s="166" t="s">
        <v>121</v>
      </c>
      <c r="D747" s="166" t="s">
        <v>65</v>
      </c>
      <c r="E747" s="167"/>
      <c r="F747" s="114">
        <v>-14.69</v>
      </c>
      <c r="G747" s="168"/>
      <c r="H747" s="169"/>
      <c r="I747" s="170"/>
      <c r="J747" s="171" t="s">
        <v>990</v>
      </c>
      <c r="K747" s="172" t="s">
        <v>177</v>
      </c>
      <c r="L747" s="172" t="s">
        <v>175</v>
      </c>
      <c r="M747" s="173" t="str" cm="1">
        <f t="array" ref="M747">IFERROR(INDEX(CategoriesTable[Category type],MATCH(Table1[[#This Row],[Category]],CategoriesTable[Category name],0),0),"")</f>
        <v>Expense</v>
      </c>
      <c r="N747" s="173">
        <v>5</v>
      </c>
      <c r="O747" s="173">
        <f>MONTH(Table1[[#This Row],[Date]])</f>
        <v>5</v>
      </c>
      <c r="P747" s="173">
        <v>2020</v>
      </c>
      <c r="Q747" s="174">
        <f>IF(ISBLANK(Table1[[#This Row],[Date]]),"",Table1[[#This Row],[Date]]-WEEKDAY(Table1[[#This Row],[Date]],2)+1)</f>
        <v>43955</v>
      </c>
      <c r="R747" s="175">
        <f>IF(ISBLANK(Table1[[#This Row],[Date]]),"",DATE(Table1[[#This Row],[Date_Year]],Table1[[#This Row],[Date_Month]],1))</f>
        <v>43952</v>
      </c>
    </row>
    <row r="748" spans="2:18" ht="15.75" hidden="1" x14ac:dyDescent="0.25">
      <c r="B748" s="165">
        <v>43956</v>
      </c>
      <c r="C748" s="166" t="s">
        <v>123</v>
      </c>
      <c r="D748" s="166" t="s">
        <v>55</v>
      </c>
      <c r="E748" s="167"/>
      <c r="F748" s="114">
        <v>-15.99</v>
      </c>
      <c r="G748" s="168"/>
      <c r="H748" s="169"/>
      <c r="I748" s="170"/>
      <c r="J748" s="171" t="s">
        <v>991</v>
      </c>
      <c r="K748" s="172" t="s">
        <v>177</v>
      </c>
      <c r="L748" s="172" t="s">
        <v>175</v>
      </c>
      <c r="M748" s="173" t="str" cm="1">
        <f t="array" ref="M748">IFERROR(INDEX(CategoriesTable[Category type],MATCH(Table1[[#This Row],[Category]],CategoriesTable[Category name],0),0),"")</f>
        <v>Expense</v>
      </c>
      <c r="N748" s="173">
        <v>5</v>
      </c>
      <c r="O748" s="173">
        <f>MONTH(Table1[[#This Row],[Date]])</f>
        <v>5</v>
      </c>
      <c r="P748" s="173">
        <v>2020</v>
      </c>
      <c r="Q748" s="174">
        <f>IF(ISBLANK(Table1[[#This Row],[Date]]),"",Table1[[#This Row],[Date]]-WEEKDAY(Table1[[#This Row],[Date]],2)+1)</f>
        <v>43955</v>
      </c>
      <c r="R748" s="175">
        <f>IF(ISBLANK(Table1[[#This Row],[Date]]),"",DATE(Table1[[#This Row],[Date_Year]],Table1[[#This Row],[Date_Month]],1))</f>
        <v>43952</v>
      </c>
    </row>
    <row r="749" spans="2:18" ht="15.75" hidden="1" x14ac:dyDescent="0.25">
      <c r="B749" s="165">
        <v>43953</v>
      </c>
      <c r="C749" s="166" t="s">
        <v>992</v>
      </c>
      <c r="D749" s="166" t="s">
        <v>65</v>
      </c>
      <c r="E749" s="167"/>
      <c r="F749" s="114">
        <v>-45</v>
      </c>
      <c r="G749" s="168"/>
      <c r="H749" s="169"/>
      <c r="I749" s="170"/>
      <c r="J749" s="171" t="s">
        <v>993</v>
      </c>
      <c r="K749" s="172" t="s">
        <v>177</v>
      </c>
      <c r="L749" s="172" t="s">
        <v>175</v>
      </c>
      <c r="M749" s="173" t="str" cm="1">
        <f t="array" ref="M749">IFERROR(INDEX(CategoriesTable[Category type],MATCH(Table1[[#This Row],[Category]],CategoriesTable[Category name],0),0),"")</f>
        <v>Expense</v>
      </c>
      <c r="N749" s="173">
        <v>2</v>
      </c>
      <c r="O749" s="173">
        <f>MONTH(Table1[[#This Row],[Date]])</f>
        <v>5</v>
      </c>
      <c r="P749" s="173">
        <v>2020</v>
      </c>
      <c r="Q749" s="174">
        <f>IF(ISBLANK(Table1[[#This Row],[Date]]),"",Table1[[#This Row],[Date]]-WEEKDAY(Table1[[#This Row],[Date]],2)+1)</f>
        <v>43948</v>
      </c>
      <c r="R749" s="175">
        <f>IF(ISBLANK(Table1[[#This Row],[Date]]),"",DATE(Table1[[#This Row],[Date_Year]],Table1[[#This Row],[Date_Month]],1))</f>
        <v>43952</v>
      </c>
    </row>
    <row r="750" spans="2:18" ht="15.75" hidden="1" x14ac:dyDescent="0.25">
      <c r="B750" s="165">
        <v>43953</v>
      </c>
      <c r="C750" s="166" t="s">
        <v>121</v>
      </c>
      <c r="D750" s="166" t="s">
        <v>65</v>
      </c>
      <c r="E750" s="167"/>
      <c r="F750" s="114">
        <v>-7.29</v>
      </c>
      <c r="G750" s="168"/>
      <c r="H750" s="169"/>
      <c r="I750" s="170"/>
      <c r="J750" s="171" t="s">
        <v>994</v>
      </c>
      <c r="K750" s="172" t="s">
        <v>177</v>
      </c>
      <c r="L750" s="172" t="s">
        <v>175</v>
      </c>
      <c r="M750" s="173" t="str" cm="1">
        <f t="array" ref="M750">IFERROR(INDEX(CategoriesTable[Category type],MATCH(Table1[[#This Row],[Category]],CategoriesTable[Category name],0),0),"")</f>
        <v>Expense</v>
      </c>
      <c r="N750" s="173">
        <v>2</v>
      </c>
      <c r="O750" s="173">
        <f>MONTH(Table1[[#This Row],[Date]])</f>
        <v>5</v>
      </c>
      <c r="P750" s="173">
        <v>2020</v>
      </c>
      <c r="Q750" s="174">
        <f>IF(ISBLANK(Table1[[#This Row],[Date]]),"",Table1[[#This Row],[Date]]-WEEKDAY(Table1[[#This Row],[Date]],2)+1)</f>
        <v>43948</v>
      </c>
      <c r="R750" s="175">
        <f>IF(ISBLANK(Table1[[#This Row],[Date]]),"",DATE(Table1[[#This Row],[Date_Year]],Table1[[#This Row],[Date_Month]],1))</f>
        <v>43952</v>
      </c>
    </row>
    <row r="751" spans="2:18" ht="15.75" hidden="1" x14ac:dyDescent="0.25">
      <c r="B751" s="165">
        <v>43953</v>
      </c>
      <c r="C751" s="166" t="s">
        <v>184</v>
      </c>
      <c r="D751" s="166" t="s">
        <v>56</v>
      </c>
      <c r="E751" s="167"/>
      <c r="F751" s="114">
        <v>-19.989999999999998</v>
      </c>
      <c r="G751" s="168"/>
      <c r="H751" s="169"/>
      <c r="I751" s="170"/>
      <c r="J751" s="171" t="s">
        <v>995</v>
      </c>
      <c r="K751" s="172" t="s">
        <v>177</v>
      </c>
      <c r="L751" s="172" t="s">
        <v>175</v>
      </c>
      <c r="M751" s="173" t="str" cm="1">
        <f t="array" ref="M751">IFERROR(INDEX(CategoriesTable[Category type],MATCH(Table1[[#This Row],[Category]],CategoriesTable[Category name],0),0),"")</f>
        <v>Expense</v>
      </c>
      <c r="N751" s="173">
        <v>2</v>
      </c>
      <c r="O751" s="173">
        <f>MONTH(Table1[[#This Row],[Date]])</f>
        <v>5</v>
      </c>
      <c r="P751" s="173">
        <v>2020</v>
      </c>
      <c r="Q751" s="174">
        <f>IF(ISBLANK(Table1[[#This Row],[Date]]),"",Table1[[#This Row],[Date]]-WEEKDAY(Table1[[#This Row],[Date]],2)+1)</f>
        <v>43948</v>
      </c>
      <c r="R751" s="175">
        <f>IF(ISBLANK(Table1[[#This Row],[Date]]),"",DATE(Table1[[#This Row],[Date_Year]],Table1[[#This Row],[Date_Month]],1))</f>
        <v>43952</v>
      </c>
    </row>
    <row r="752" spans="2:18" ht="15.75" hidden="1" x14ac:dyDescent="0.25">
      <c r="B752" s="165">
        <v>43953</v>
      </c>
      <c r="C752" s="166" t="s">
        <v>1571</v>
      </c>
      <c r="D752" s="166" t="s">
        <v>66</v>
      </c>
      <c r="E752" s="167"/>
      <c r="F752" s="114">
        <v>-5.3</v>
      </c>
      <c r="G752" s="168"/>
      <c r="H752" s="169"/>
      <c r="I752" s="170"/>
      <c r="J752" s="171" t="s">
        <v>996</v>
      </c>
      <c r="K752" s="172" t="s">
        <v>177</v>
      </c>
      <c r="L752" s="172" t="s">
        <v>175</v>
      </c>
      <c r="M752" s="173" t="str" cm="1">
        <f t="array" ref="M752">IFERROR(INDEX(CategoriesTable[Category type],MATCH(Table1[[#This Row],[Category]],CategoriesTable[Category name],0),0),"")</f>
        <v>Expense</v>
      </c>
      <c r="N752" s="173">
        <v>2</v>
      </c>
      <c r="O752" s="173">
        <f>MONTH(Table1[[#This Row],[Date]])</f>
        <v>5</v>
      </c>
      <c r="P752" s="173">
        <v>2020</v>
      </c>
      <c r="Q752" s="174">
        <f>IF(ISBLANK(Table1[[#This Row],[Date]]),"",Table1[[#This Row],[Date]]-WEEKDAY(Table1[[#This Row],[Date]],2)+1)</f>
        <v>43948</v>
      </c>
      <c r="R752" s="175">
        <f>IF(ISBLANK(Table1[[#This Row],[Date]]),"",DATE(Table1[[#This Row],[Date_Year]],Table1[[#This Row],[Date_Month]],1))</f>
        <v>43952</v>
      </c>
    </row>
    <row r="753" spans="2:18" ht="15.75" hidden="1" x14ac:dyDescent="0.25">
      <c r="B753" s="165">
        <v>43952</v>
      </c>
      <c r="C753" s="166" t="s">
        <v>784</v>
      </c>
      <c r="D753" s="166" t="s">
        <v>64</v>
      </c>
      <c r="E753" s="167"/>
      <c r="F753" s="114">
        <v>-500</v>
      </c>
      <c r="G753" s="168"/>
      <c r="H753" s="169"/>
      <c r="I753" s="170"/>
      <c r="J753" s="171" t="s">
        <v>997</v>
      </c>
      <c r="K753" s="172" t="s">
        <v>177</v>
      </c>
      <c r="L753" s="172" t="s">
        <v>175</v>
      </c>
      <c r="M753" s="173" t="str" cm="1">
        <f t="array" ref="M753">IFERROR(INDEX(CategoriesTable[Category type],MATCH(Table1[[#This Row],[Category]],CategoriesTable[Category name],0),0),"")</f>
        <v>Expense</v>
      </c>
      <c r="N753" s="173">
        <v>1</v>
      </c>
      <c r="O753" s="173">
        <f>MONTH(Table1[[#This Row],[Date]])</f>
        <v>5</v>
      </c>
      <c r="P753" s="173">
        <v>2020</v>
      </c>
      <c r="Q753" s="174">
        <f>IF(ISBLANK(Table1[[#This Row],[Date]]),"",Table1[[#This Row],[Date]]-WEEKDAY(Table1[[#This Row],[Date]],2)+1)</f>
        <v>43948</v>
      </c>
      <c r="R753" s="175">
        <f>IF(ISBLANK(Table1[[#This Row],[Date]]),"",DATE(Table1[[#This Row],[Date_Year]],Table1[[#This Row],[Date_Month]],1))</f>
        <v>43952</v>
      </c>
    </row>
    <row r="754" spans="2:18" ht="15.75" hidden="1" x14ac:dyDescent="0.25">
      <c r="B754" s="165">
        <v>43952</v>
      </c>
      <c r="C754" s="166" t="s">
        <v>196</v>
      </c>
      <c r="D754" s="166" t="s">
        <v>50</v>
      </c>
      <c r="E754" s="167"/>
      <c r="F754" s="114">
        <v>4373.0200000000004</v>
      </c>
      <c r="G754" s="168"/>
      <c r="H754" s="169"/>
      <c r="I754" s="170"/>
      <c r="J754" s="171" t="s">
        <v>998</v>
      </c>
      <c r="K754" s="172" t="s">
        <v>177</v>
      </c>
      <c r="L754" s="172" t="s">
        <v>175</v>
      </c>
      <c r="M754" s="173" t="str" cm="1">
        <f t="array" ref="M754">IFERROR(INDEX(CategoriesTable[Category type],MATCH(Table1[[#This Row],[Category]],CategoriesTable[Category name],0),0),"")</f>
        <v>Income</v>
      </c>
      <c r="N754" s="173">
        <v>1</v>
      </c>
      <c r="O754" s="173">
        <f>MONTH(Table1[[#This Row],[Date]])</f>
        <v>5</v>
      </c>
      <c r="P754" s="173">
        <v>2020</v>
      </c>
      <c r="Q754" s="174">
        <f>IF(ISBLANK(Table1[[#This Row],[Date]]),"",Table1[[#This Row],[Date]]-WEEKDAY(Table1[[#This Row],[Date]],2)+1)</f>
        <v>43948</v>
      </c>
      <c r="R754" s="175">
        <f>IF(ISBLANK(Table1[[#This Row],[Date]]),"",DATE(Table1[[#This Row],[Date_Year]],Table1[[#This Row],[Date_Month]],1))</f>
        <v>43952</v>
      </c>
    </row>
    <row r="755" spans="2:18" ht="15.75" hidden="1" x14ac:dyDescent="0.25">
      <c r="B755" s="165">
        <v>43951</v>
      </c>
      <c r="C755" s="166" t="s">
        <v>138</v>
      </c>
      <c r="D755" s="166" t="s">
        <v>66</v>
      </c>
      <c r="E755" s="167"/>
      <c r="F755" s="114">
        <v>-12.99</v>
      </c>
      <c r="G755" s="168"/>
      <c r="H755" s="169"/>
      <c r="I755" s="170"/>
      <c r="J755" s="171" t="s">
        <v>999</v>
      </c>
      <c r="K755" s="172" t="s">
        <v>177</v>
      </c>
      <c r="L755" s="172" t="s">
        <v>175</v>
      </c>
      <c r="M755" s="173" t="str" cm="1">
        <f t="array" ref="M755">IFERROR(INDEX(CategoriesTable[Category type],MATCH(Table1[[#This Row],[Category]],CategoriesTable[Category name],0),0),"")</f>
        <v>Expense</v>
      </c>
      <c r="N755" s="173">
        <v>30</v>
      </c>
      <c r="O755" s="173">
        <f>MONTH(Table1[[#This Row],[Date]])</f>
        <v>4</v>
      </c>
      <c r="P755" s="173">
        <v>2020</v>
      </c>
      <c r="Q755" s="174">
        <f>IF(ISBLANK(Table1[[#This Row],[Date]]),"",Table1[[#This Row],[Date]]-WEEKDAY(Table1[[#This Row],[Date]],2)+1)</f>
        <v>43948</v>
      </c>
      <c r="R755" s="175">
        <f>IF(ISBLANK(Table1[[#This Row],[Date]]),"",DATE(Table1[[#This Row],[Date_Year]],Table1[[#This Row],[Date_Month]],1))</f>
        <v>43922</v>
      </c>
    </row>
    <row r="756" spans="2:18" ht="15.75" hidden="1" x14ac:dyDescent="0.25">
      <c r="B756" s="165">
        <v>43951</v>
      </c>
      <c r="C756" s="166" t="s">
        <v>184</v>
      </c>
      <c r="D756" s="166" t="s">
        <v>56</v>
      </c>
      <c r="E756" s="167"/>
      <c r="F756" s="114">
        <v>-9.99</v>
      </c>
      <c r="G756" s="168"/>
      <c r="H756" s="169"/>
      <c r="I756" s="170"/>
      <c r="J756" s="176" t="s">
        <v>1000</v>
      </c>
      <c r="K756" s="172" t="s">
        <v>177</v>
      </c>
      <c r="L756" s="172" t="s">
        <v>175</v>
      </c>
      <c r="M756" s="173" t="str" cm="1">
        <f t="array" ref="M756">IFERROR(INDEX(CategoriesTable[Category type],MATCH(Table1[[#This Row],[Category]],CategoriesTable[Category name],0),0),"")</f>
        <v>Expense</v>
      </c>
      <c r="N756" s="173">
        <v>30</v>
      </c>
      <c r="O756" s="173">
        <f>MONTH(Table1[[#This Row],[Date]])</f>
        <v>4</v>
      </c>
      <c r="P756" s="173">
        <v>2020</v>
      </c>
      <c r="Q756" s="174">
        <f>IF(ISBLANK(Table1[[#This Row],[Date]]),"",Table1[[#This Row],[Date]]-WEEKDAY(Table1[[#This Row],[Date]],2)+1)</f>
        <v>43948</v>
      </c>
      <c r="R756" s="175">
        <f>IF(ISBLANK(Table1[[#This Row],[Date]]),"",DATE(Table1[[#This Row],[Date_Year]],Table1[[#This Row],[Date_Month]],1))</f>
        <v>43922</v>
      </c>
    </row>
    <row r="757" spans="2:18" ht="15.75" hidden="1" x14ac:dyDescent="0.25">
      <c r="B757" s="165">
        <v>43950</v>
      </c>
      <c r="C757" s="166" t="s">
        <v>180</v>
      </c>
      <c r="D757" s="166" t="s">
        <v>52</v>
      </c>
      <c r="E757" s="167"/>
      <c r="F757" s="114">
        <v>-40</v>
      </c>
      <c r="G757" s="168"/>
      <c r="H757" s="169"/>
      <c r="I757" s="170"/>
      <c r="J757" s="171" t="s">
        <v>1001</v>
      </c>
      <c r="K757" s="172" t="s">
        <v>177</v>
      </c>
      <c r="L757" s="172" t="s">
        <v>175</v>
      </c>
      <c r="M757" s="173" t="str" cm="1">
        <f t="array" ref="M757">IFERROR(INDEX(CategoriesTable[Category type],MATCH(Table1[[#This Row],[Category]],CategoriesTable[Category name],0),0),"")</f>
        <v>Transfer</v>
      </c>
      <c r="N757" s="173">
        <v>29</v>
      </c>
      <c r="O757" s="173">
        <f>MONTH(Table1[[#This Row],[Date]])</f>
        <v>4</v>
      </c>
      <c r="P757" s="173">
        <v>2020</v>
      </c>
      <c r="Q757" s="174">
        <f>IF(ISBLANK(Table1[[#This Row],[Date]]),"",Table1[[#This Row],[Date]]-WEEKDAY(Table1[[#This Row],[Date]],2)+1)</f>
        <v>43948</v>
      </c>
      <c r="R757" s="175">
        <f>IF(ISBLANK(Table1[[#This Row],[Date]]),"",DATE(Table1[[#This Row],[Date_Year]],Table1[[#This Row],[Date_Month]],1))</f>
        <v>43922</v>
      </c>
    </row>
    <row r="758" spans="2:18" ht="15.75" hidden="1" x14ac:dyDescent="0.25">
      <c r="B758" s="165">
        <v>43950</v>
      </c>
      <c r="C758" s="166" t="s">
        <v>121</v>
      </c>
      <c r="D758" s="166" t="s">
        <v>65</v>
      </c>
      <c r="E758" s="167"/>
      <c r="F758" s="114">
        <v>-11.32</v>
      </c>
      <c r="G758" s="168"/>
      <c r="H758" s="169"/>
      <c r="I758" s="170"/>
      <c r="J758" s="171" t="s">
        <v>1002</v>
      </c>
      <c r="K758" s="172" t="s">
        <v>177</v>
      </c>
      <c r="L758" s="172" t="s">
        <v>175</v>
      </c>
      <c r="M758" s="173" t="str" cm="1">
        <f t="array" ref="M758">IFERROR(INDEX(CategoriesTable[Category type],MATCH(Table1[[#This Row],[Category]],CategoriesTable[Category name],0),0),"")</f>
        <v>Expense</v>
      </c>
      <c r="N758" s="173">
        <v>29</v>
      </c>
      <c r="O758" s="173">
        <f>MONTH(Table1[[#This Row],[Date]])</f>
        <v>4</v>
      </c>
      <c r="P758" s="173">
        <v>2020</v>
      </c>
      <c r="Q758" s="174">
        <f>IF(ISBLANK(Table1[[#This Row],[Date]]),"",Table1[[#This Row],[Date]]-WEEKDAY(Table1[[#This Row],[Date]],2)+1)</f>
        <v>43948</v>
      </c>
      <c r="R758" s="175">
        <f>IF(ISBLANK(Table1[[#This Row],[Date]]),"",DATE(Table1[[#This Row],[Date_Year]],Table1[[#This Row],[Date_Month]],1))</f>
        <v>43922</v>
      </c>
    </row>
    <row r="759" spans="2:18" ht="15.75" hidden="1" x14ac:dyDescent="0.25">
      <c r="B759" s="165">
        <v>43950</v>
      </c>
      <c r="C759" s="166" t="s">
        <v>715</v>
      </c>
      <c r="D759" s="166" t="s">
        <v>55</v>
      </c>
      <c r="E759" s="167"/>
      <c r="F759" s="114">
        <v>-318</v>
      </c>
      <c r="G759" s="168"/>
      <c r="H759" s="169"/>
      <c r="I759" s="170"/>
      <c r="J759" s="171" t="s">
        <v>1003</v>
      </c>
      <c r="K759" s="172" t="s">
        <v>177</v>
      </c>
      <c r="L759" s="172" t="s">
        <v>175</v>
      </c>
      <c r="M759" s="173" t="str" cm="1">
        <f t="array" ref="M759">IFERROR(INDEX(CategoriesTable[Category type],MATCH(Table1[[#This Row],[Category]],CategoriesTable[Category name],0),0),"")</f>
        <v>Expense</v>
      </c>
      <c r="N759" s="173">
        <v>29</v>
      </c>
      <c r="O759" s="173">
        <f>MONTH(Table1[[#This Row],[Date]])</f>
        <v>4</v>
      </c>
      <c r="P759" s="173">
        <v>2020</v>
      </c>
      <c r="Q759" s="174">
        <f>IF(ISBLANK(Table1[[#This Row],[Date]]),"",Table1[[#This Row],[Date]]-WEEKDAY(Table1[[#This Row],[Date]],2)+1)</f>
        <v>43948</v>
      </c>
      <c r="R759" s="175">
        <f>IF(ISBLANK(Table1[[#This Row],[Date]]),"",DATE(Table1[[#This Row],[Date_Year]],Table1[[#This Row],[Date_Month]],1))</f>
        <v>43922</v>
      </c>
    </row>
    <row r="760" spans="2:18" ht="15.75" hidden="1" x14ac:dyDescent="0.25">
      <c r="B760" s="165">
        <v>43949</v>
      </c>
      <c r="C760" s="166" t="s">
        <v>120</v>
      </c>
      <c r="D760" s="166" t="s">
        <v>66</v>
      </c>
      <c r="E760" s="167"/>
      <c r="F760" s="114">
        <v>-31.4</v>
      </c>
      <c r="G760" s="168"/>
      <c r="H760" s="169"/>
      <c r="I760" s="170"/>
      <c r="J760" s="171" t="s">
        <v>1004</v>
      </c>
      <c r="K760" s="172" t="s">
        <v>177</v>
      </c>
      <c r="L760" s="172" t="s">
        <v>175</v>
      </c>
      <c r="M760" s="173" t="str" cm="1">
        <f t="array" ref="M760">IFERROR(INDEX(CategoriesTable[Category type],MATCH(Table1[[#This Row],[Category]],CategoriesTable[Category name],0),0),"")</f>
        <v>Expense</v>
      </c>
      <c r="N760" s="173">
        <v>28</v>
      </c>
      <c r="O760" s="173">
        <f>MONTH(Table1[[#This Row],[Date]])</f>
        <v>4</v>
      </c>
      <c r="P760" s="173">
        <v>2020</v>
      </c>
      <c r="Q760" s="174">
        <f>IF(ISBLANK(Table1[[#This Row],[Date]]),"",Table1[[#This Row],[Date]]-WEEKDAY(Table1[[#This Row],[Date]],2)+1)</f>
        <v>43948</v>
      </c>
      <c r="R760" s="175">
        <f>IF(ISBLANK(Table1[[#This Row],[Date]]),"",DATE(Table1[[#This Row],[Date_Year]],Table1[[#This Row],[Date_Month]],1))</f>
        <v>43922</v>
      </c>
    </row>
    <row r="761" spans="2:18" ht="15.75" hidden="1" x14ac:dyDescent="0.25">
      <c r="B761" s="165">
        <v>43949</v>
      </c>
      <c r="C761" s="166" t="s">
        <v>121</v>
      </c>
      <c r="D761" s="166" t="s">
        <v>65</v>
      </c>
      <c r="E761" s="167"/>
      <c r="F761" s="114">
        <v>-19.66</v>
      </c>
      <c r="G761" s="168"/>
      <c r="H761" s="169"/>
      <c r="I761" s="170"/>
      <c r="J761" s="171" t="s">
        <v>1005</v>
      </c>
      <c r="K761" s="172" t="s">
        <v>177</v>
      </c>
      <c r="L761" s="172" t="s">
        <v>175</v>
      </c>
      <c r="M761" s="173" t="str" cm="1">
        <f t="array" ref="M761">IFERROR(INDEX(CategoriesTable[Category type],MATCH(Table1[[#This Row],[Category]],CategoriesTable[Category name],0),0),"")</f>
        <v>Expense</v>
      </c>
      <c r="N761" s="173">
        <v>28</v>
      </c>
      <c r="O761" s="173">
        <f>MONTH(Table1[[#This Row],[Date]])</f>
        <v>4</v>
      </c>
      <c r="P761" s="173">
        <v>2020</v>
      </c>
      <c r="Q761" s="174">
        <f>IF(ISBLANK(Table1[[#This Row],[Date]]),"",Table1[[#This Row],[Date]]-WEEKDAY(Table1[[#This Row],[Date]],2)+1)</f>
        <v>43948</v>
      </c>
      <c r="R761" s="175">
        <f>IF(ISBLANK(Table1[[#This Row],[Date]]),"",DATE(Table1[[#This Row],[Date_Year]],Table1[[#This Row],[Date_Month]],1))</f>
        <v>43922</v>
      </c>
    </row>
    <row r="762" spans="2:18" ht="15.75" hidden="1" x14ac:dyDescent="0.25">
      <c r="B762" s="165">
        <v>43948</v>
      </c>
      <c r="C762" s="166" t="s">
        <v>121</v>
      </c>
      <c r="D762" s="166" t="s">
        <v>65</v>
      </c>
      <c r="E762" s="167"/>
      <c r="F762" s="114">
        <v>-9.6</v>
      </c>
      <c r="G762" s="168"/>
      <c r="H762" s="169"/>
      <c r="I762" s="170"/>
      <c r="J762" s="171" t="s">
        <v>1006</v>
      </c>
      <c r="K762" s="172" t="s">
        <v>177</v>
      </c>
      <c r="L762" s="172" t="s">
        <v>175</v>
      </c>
      <c r="M762" s="173" t="str" cm="1">
        <f t="array" ref="M762">IFERROR(INDEX(CategoriesTable[Category type],MATCH(Table1[[#This Row],[Category]],CategoriesTable[Category name],0),0),"")</f>
        <v>Expense</v>
      </c>
      <c r="N762" s="173">
        <v>27</v>
      </c>
      <c r="O762" s="173">
        <f>MONTH(Table1[[#This Row],[Date]])</f>
        <v>4</v>
      </c>
      <c r="P762" s="173">
        <v>2020</v>
      </c>
      <c r="Q762" s="174">
        <f>IF(ISBLANK(Table1[[#This Row],[Date]]),"",Table1[[#This Row],[Date]]-WEEKDAY(Table1[[#This Row],[Date]],2)+1)</f>
        <v>43948</v>
      </c>
      <c r="R762" s="175">
        <f>IF(ISBLANK(Table1[[#This Row],[Date]]),"",DATE(Table1[[#This Row],[Date_Year]],Table1[[#This Row],[Date_Month]],1))</f>
        <v>43922</v>
      </c>
    </row>
    <row r="763" spans="2:18" ht="15.75" hidden="1" x14ac:dyDescent="0.25">
      <c r="B763" s="165">
        <v>43948</v>
      </c>
      <c r="C763" s="166" t="s">
        <v>1007</v>
      </c>
      <c r="D763" s="166" t="s">
        <v>65</v>
      </c>
      <c r="E763" s="167"/>
      <c r="F763" s="114">
        <v>-11.43</v>
      </c>
      <c r="G763" s="168"/>
      <c r="H763" s="169"/>
      <c r="I763" s="170"/>
      <c r="J763" s="171" t="s">
        <v>1008</v>
      </c>
      <c r="K763" s="172" t="s">
        <v>177</v>
      </c>
      <c r="L763" s="172" t="s">
        <v>175</v>
      </c>
      <c r="M763" s="173" t="str" cm="1">
        <f t="array" ref="M763">IFERROR(INDEX(CategoriesTable[Category type],MATCH(Table1[[#This Row],[Category]],CategoriesTable[Category name],0),0),"")</f>
        <v>Expense</v>
      </c>
      <c r="N763" s="173">
        <v>27</v>
      </c>
      <c r="O763" s="173">
        <f>MONTH(Table1[[#This Row],[Date]])</f>
        <v>4</v>
      </c>
      <c r="P763" s="173">
        <v>2020</v>
      </c>
      <c r="Q763" s="174">
        <f>IF(ISBLANK(Table1[[#This Row],[Date]]),"",Table1[[#This Row],[Date]]-WEEKDAY(Table1[[#This Row],[Date]],2)+1)</f>
        <v>43948</v>
      </c>
      <c r="R763" s="175">
        <f>IF(ISBLANK(Table1[[#This Row],[Date]]),"",DATE(Table1[[#This Row],[Date_Year]],Table1[[#This Row],[Date_Month]],1))</f>
        <v>43922</v>
      </c>
    </row>
    <row r="764" spans="2:18" ht="15.75" hidden="1" x14ac:dyDescent="0.25">
      <c r="B764" s="165">
        <v>43948</v>
      </c>
      <c r="C764" s="166" t="s">
        <v>834</v>
      </c>
      <c r="D764" s="166" t="s">
        <v>57</v>
      </c>
      <c r="E764" s="167"/>
      <c r="F764" s="114">
        <v>-1.95</v>
      </c>
      <c r="G764" s="168"/>
      <c r="H764" s="169"/>
      <c r="I764" s="170"/>
      <c r="J764" s="171" t="s">
        <v>1009</v>
      </c>
      <c r="K764" s="172" t="s">
        <v>177</v>
      </c>
      <c r="L764" s="172" t="s">
        <v>175</v>
      </c>
      <c r="M764" s="173" t="str" cm="1">
        <f t="array" ref="M764">IFERROR(INDEX(CategoriesTable[Category type],MATCH(Table1[[#This Row],[Category]],CategoriesTable[Category name],0),0),"")</f>
        <v>Expense</v>
      </c>
      <c r="N764" s="173">
        <v>27</v>
      </c>
      <c r="O764" s="173">
        <f>MONTH(Table1[[#This Row],[Date]])</f>
        <v>4</v>
      </c>
      <c r="P764" s="173">
        <v>2020</v>
      </c>
      <c r="Q764" s="174">
        <f>IF(ISBLANK(Table1[[#This Row],[Date]]),"",Table1[[#This Row],[Date]]-WEEKDAY(Table1[[#This Row],[Date]],2)+1)</f>
        <v>43948</v>
      </c>
      <c r="R764" s="175">
        <f>IF(ISBLANK(Table1[[#This Row],[Date]]),"",DATE(Table1[[#This Row],[Date_Year]],Table1[[#This Row],[Date_Month]],1))</f>
        <v>43922</v>
      </c>
    </row>
    <row r="765" spans="2:18" ht="15.75" hidden="1" x14ac:dyDescent="0.25">
      <c r="B765" s="165">
        <v>43948</v>
      </c>
      <c r="C765" s="166" t="s">
        <v>840</v>
      </c>
      <c r="D765" s="166" t="s">
        <v>55</v>
      </c>
      <c r="E765" s="167"/>
      <c r="F765" s="114">
        <v>-300</v>
      </c>
      <c r="G765" s="168"/>
      <c r="H765" s="169"/>
      <c r="I765" s="170"/>
      <c r="J765" s="171" t="s">
        <v>1010</v>
      </c>
      <c r="K765" s="172" t="s">
        <v>177</v>
      </c>
      <c r="L765" s="172" t="s">
        <v>175</v>
      </c>
      <c r="M765" s="173" t="str" cm="1">
        <f t="array" ref="M765">IFERROR(INDEX(CategoriesTable[Category type],MATCH(Table1[[#This Row],[Category]],CategoriesTable[Category name],0),0),"")</f>
        <v>Expense</v>
      </c>
      <c r="N765" s="173">
        <v>27</v>
      </c>
      <c r="O765" s="173">
        <f>MONTH(Table1[[#This Row],[Date]])</f>
        <v>4</v>
      </c>
      <c r="P765" s="173">
        <v>2020</v>
      </c>
      <c r="Q765" s="174">
        <f>IF(ISBLANK(Table1[[#This Row],[Date]]),"",Table1[[#This Row],[Date]]-WEEKDAY(Table1[[#This Row],[Date]],2)+1)</f>
        <v>43948</v>
      </c>
      <c r="R765" s="175">
        <f>IF(ISBLANK(Table1[[#This Row],[Date]]),"",DATE(Table1[[#This Row],[Date_Year]],Table1[[#This Row],[Date_Month]],1))</f>
        <v>43922</v>
      </c>
    </row>
    <row r="766" spans="2:18" ht="15.75" hidden="1" x14ac:dyDescent="0.25">
      <c r="B766" s="165">
        <v>43948</v>
      </c>
      <c r="C766" s="166" t="s">
        <v>664</v>
      </c>
      <c r="D766" s="166" t="s">
        <v>66</v>
      </c>
      <c r="E766" s="167"/>
      <c r="F766" s="114">
        <v>-46.96</v>
      </c>
      <c r="G766" s="168"/>
      <c r="H766" s="169"/>
      <c r="I766" s="170"/>
      <c r="J766" s="171" t="s">
        <v>1011</v>
      </c>
      <c r="K766" s="172" t="s">
        <v>177</v>
      </c>
      <c r="L766" s="172" t="s">
        <v>175</v>
      </c>
      <c r="M766" s="173" t="str" cm="1">
        <f t="array" ref="M766">IFERROR(INDEX(CategoriesTable[Category type],MATCH(Table1[[#This Row],[Category]],CategoriesTable[Category name],0),0),"")</f>
        <v>Expense</v>
      </c>
      <c r="N766" s="173">
        <v>27</v>
      </c>
      <c r="O766" s="173">
        <f>MONTH(Table1[[#This Row],[Date]])</f>
        <v>4</v>
      </c>
      <c r="P766" s="173">
        <v>2020</v>
      </c>
      <c r="Q766" s="174">
        <f>IF(ISBLANK(Table1[[#This Row],[Date]]),"",Table1[[#This Row],[Date]]-WEEKDAY(Table1[[#This Row],[Date]],2)+1)</f>
        <v>43948</v>
      </c>
      <c r="R766" s="175">
        <f>IF(ISBLANK(Table1[[#This Row],[Date]]),"",DATE(Table1[[#This Row],[Date_Year]],Table1[[#This Row],[Date_Month]],1))</f>
        <v>43922</v>
      </c>
    </row>
    <row r="767" spans="2:18" ht="15.75" hidden="1" x14ac:dyDescent="0.25">
      <c r="B767" s="165">
        <v>43948</v>
      </c>
      <c r="C767" s="166" t="s">
        <v>680</v>
      </c>
      <c r="D767" s="166" t="s">
        <v>62</v>
      </c>
      <c r="E767" s="167"/>
      <c r="F767" s="114">
        <v>-143.88999999999999</v>
      </c>
      <c r="G767" s="168"/>
      <c r="H767" s="169"/>
      <c r="I767" s="170"/>
      <c r="J767" s="171" t="s">
        <v>1012</v>
      </c>
      <c r="K767" s="172" t="s">
        <v>177</v>
      </c>
      <c r="L767" s="172" t="s">
        <v>175</v>
      </c>
      <c r="M767" s="173" t="str" cm="1">
        <f t="array" ref="M767">IFERROR(INDEX(CategoriesTable[Category type],MATCH(Table1[[#This Row],[Category]],CategoriesTable[Category name],0),0),"")</f>
        <v>Expense</v>
      </c>
      <c r="N767" s="173">
        <v>27</v>
      </c>
      <c r="O767" s="173">
        <f>MONTH(Table1[[#This Row],[Date]])</f>
        <v>4</v>
      </c>
      <c r="P767" s="173">
        <v>2020</v>
      </c>
      <c r="Q767" s="174">
        <f>IF(ISBLANK(Table1[[#This Row],[Date]]),"",Table1[[#This Row],[Date]]-WEEKDAY(Table1[[#This Row],[Date]],2)+1)</f>
        <v>43948</v>
      </c>
      <c r="R767" s="175">
        <f>IF(ISBLANK(Table1[[#This Row],[Date]]),"",DATE(Table1[[#This Row],[Date_Year]],Table1[[#This Row],[Date_Month]],1))</f>
        <v>43922</v>
      </c>
    </row>
    <row r="768" spans="2:18" ht="15.75" hidden="1" x14ac:dyDescent="0.25">
      <c r="B768" s="165">
        <v>43947</v>
      </c>
      <c r="C768" s="166" t="s">
        <v>184</v>
      </c>
      <c r="D768" s="166" t="s">
        <v>56</v>
      </c>
      <c r="E768" s="167"/>
      <c r="F768" s="114">
        <v>-19.989999999999998</v>
      </c>
      <c r="G768" s="168"/>
      <c r="H768" s="169"/>
      <c r="I768" s="170"/>
      <c r="J768" s="171" t="s">
        <v>1013</v>
      </c>
      <c r="K768" s="172" t="s">
        <v>177</v>
      </c>
      <c r="L768" s="172" t="s">
        <v>175</v>
      </c>
      <c r="M768" s="173" t="str" cm="1">
        <f t="array" ref="M768">IFERROR(INDEX(CategoriesTable[Category type],MATCH(Table1[[#This Row],[Category]],CategoriesTable[Category name],0),0),"")</f>
        <v>Expense</v>
      </c>
      <c r="N768" s="173">
        <v>26</v>
      </c>
      <c r="O768" s="173">
        <f>MONTH(Table1[[#This Row],[Date]])</f>
        <v>4</v>
      </c>
      <c r="P768" s="173">
        <v>2020</v>
      </c>
      <c r="Q768" s="174">
        <f>IF(ISBLANK(Table1[[#This Row],[Date]]),"",Table1[[#This Row],[Date]]-WEEKDAY(Table1[[#This Row],[Date]],2)+1)</f>
        <v>43941</v>
      </c>
      <c r="R768" s="175">
        <f>IF(ISBLANK(Table1[[#This Row],[Date]]),"",DATE(Table1[[#This Row],[Date_Year]],Table1[[#This Row],[Date_Month]],1))</f>
        <v>43922</v>
      </c>
    </row>
    <row r="769" spans="2:18" ht="15.75" hidden="1" x14ac:dyDescent="0.25">
      <c r="B769" s="165">
        <v>43947</v>
      </c>
      <c r="C769" s="166" t="s">
        <v>124</v>
      </c>
      <c r="D769" s="166" t="s">
        <v>55</v>
      </c>
      <c r="E769" s="167"/>
      <c r="F769" s="114">
        <v>-9.99</v>
      </c>
      <c r="G769" s="168"/>
      <c r="H769" s="169"/>
      <c r="I769" s="170"/>
      <c r="J769" s="176" t="s">
        <v>1014</v>
      </c>
      <c r="K769" s="172" t="s">
        <v>177</v>
      </c>
      <c r="L769" s="172" t="s">
        <v>175</v>
      </c>
      <c r="M769" s="173" t="str" cm="1">
        <f t="array" ref="M769">IFERROR(INDEX(CategoriesTable[Category type],MATCH(Table1[[#This Row],[Category]],CategoriesTable[Category name],0),0),"")</f>
        <v>Expense</v>
      </c>
      <c r="N769" s="173">
        <v>26</v>
      </c>
      <c r="O769" s="173">
        <f>MONTH(Table1[[#This Row],[Date]])</f>
        <v>4</v>
      </c>
      <c r="P769" s="173">
        <v>2020</v>
      </c>
      <c r="Q769" s="174">
        <f>IF(ISBLANK(Table1[[#This Row],[Date]]),"",Table1[[#This Row],[Date]]-WEEKDAY(Table1[[#This Row],[Date]],2)+1)</f>
        <v>43941</v>
      </c>
      <c r="R769" s="175">
        <f>IF(ISBLANK(Table1[[#This Row],[Date]]),"",DATE(Table1[[#This Row],[Date_Year]],Table1[[#This Row],[Date_Month]],1))</f>
        <v>43922</v>
      </c>
    </row>
    <row r="770" spans="2:18" ht="15.75" hidden="1" x14ac:dyDescent="0.25">
      <c r="B770" s="165">
        <v>43946</v>
      </c>
      <c r="C770" s="166" t="s">
        <v>1015</v>
      </c>
      <c r="D770" s="166" t="s">
        <v>65</v>
      </c>
      <c r="E770" s="167"/>
      <c r="F770" s="114">
        <v>-22.37</v>
      </c>
      <c r="G770" s="168"/>
      <c r="H770" s="169"/>
      <c r="I770" s="170"/>
      <c r="J770" s="171" t="s">
        <v>1016</v>
      </c>
      <c r="K770" s="172" t="s">
        <v>177</v>
      </c>
      <c r="L770" s="172" t="s">
        <v>175</v>
      </c>
      <c r="M770" s="173" t="str" cm="1">
        <f t="array" ref="M770">IFERROR(INDEX(CategoriesTable[Category type],MATCH(Table1[[#This Row],[Category]],CategoriesTable[Category name],0),0),"")</f>
        <v>Expense</v>
      </c>
      <c r="N770" s="173">
        <v>25</v>
      </c>
      <c r="O770" s="173">
        <f>MONTH(Table1[[#This Row],[Date]])</f>
        <v>4</v>
      </c>
      <c r="P770" s="173">
        <v>2020</v>
      </c>
      <c r="Q770" s="174">
        <f>IF(ISBLANK(Table1[[#This Row],[Date]]),"",Table1[[#This Row],[Date]]-WEEKDAY(Table1[[#This Row],[Date]],2)+1)</f>
        <v>43941</v>
      </c>
      <c r="R770" s="175">
        <f>IF(ISBLANK(Table1[[#This Row],[Date]]),"",DATE(Table1[[#This Row],[Date_Year]],Table1[[#This Row],[Date_Month]],1))</f>
        <v>43922</v>
      </c>
    </row>
    <row r="771" spans="2:18" ht="15.75" hidden="1" x14ac:dyDescent="0.25">
      <c r="B771" s="165">
        <v>43946</v>
      </c>
      <c r="C771" s="166" t="s">
        <v>121</v>
      </c>
      <c r="D771" s="166" t="s">
        <v>65</v>
      </c>
      <c r="E771" s="167"/>
      <c r="F771" s="114">
        <v>-21.78</v>
      </c>
      <c r="G771" s="168"/>
      <c r="H771" s="169"/>
      <c r="I771" s="170"/>
      <c r="J771" s="171" t="s">
        <v>1017</v>
      </c>
      <c r="K771" s="172" t="s">
        <v>177</v>
      </c>
      <c r="L771" s="172" t="s">
        <v>175</v>
      </c>
      <c r="M771" s="173" t="str" cm="1">
        <f t="array" ref="M771">IFERROR(INDEX(CategoriesTable[Category type],MATCH(Table1[[#This Row],[Category]],CategoriesTable[Category name],0),0),"")</f>
        <v>Expense</v>
      </c>
      <c r="N771" s="173">
        <v>25</v>
      </c>
      <c r="O771" s="173">
        <f>MONTH(Table1[[#This Row],[Date]])</f>
        <v>4</v>
      </c>
      <c r="P771" s="173">
        <v>2020</v>
      </c>
      <c r="Q771" s="174">
        <f>IF(ISBLANK(Table1[[#This Row],[Date]]),"",Table1[[#This Row],[Date]]-WEEKDAY(Table1[[#This Row],[Date]],2)+1)</f>
        <v>43941</v>
      </c>
      <c r="R771" s="175">
        <f>IF(ISBLANK(Table1[[#This Row],[Date]]),"",DATE(Table1[[#This Row],[Date_Year]],Table1[[#This Row],[Date_Month]],1))</f>
        <v>43922</v>
      </c>
    </row>
    <row r="772" spans="2:18" ht="15.75" hidden="1" x14ac:dyDescent="0.25">
      <c r="B772" s="165">
        <v>43945</v>
      </c>
      <c r="C772" s="166" t="s">
        <v>953</v>
      </c>
      <c r="D772" s="166" t="s">
        <v>58</v>
      </c>
      <c r="E772" s="167"/>
      <c r="F772" s="114">
        <v>-24.08</v>
      </c>
      <c r="G772" s="168"/>
      <c r="H772" s="169"/>
      <c r="I772" s="170"/>
      <c r="J772" s="171" t="s">
        <v>1018</v>
      </c>
      <c r="K772" s="172" t="s">
        <v>177</v>
      </c>
      <c r="L772" s="172" t="s">
        <v>175</v>
      </c>
      <c r="M772" s="173" t="str" cm="1">
        <f t="array" ref="M772">IFERROR(INDEX(CategoriesTable[Category type],MATCH(Table1[[#This Row],[Category]],CategoriesTable[Category name],0),0),"")</f>
        <v>Expense</v>
      </c>
      <c r="N772" s="173">
        <v>24</v>
      </c>
      <c r="O772" s="173">
        <f>MONTH(Table1[[#This Row],[Date]])</f>
        <v>4</v>
      </c>
      <c r="P772" s="173">
        <v>2020</v>
      </c>
      <c r="Q772" s="174">
        <f>IF(ISBLANK(Table1[[#This Row],[Date]]),"",Table1[[#This Row],[Date]]-WEEKDAY(Table1[[#This Row],[Date]],2)+1)</f>
        <v>43941</v>
      </c>
      <c r="R772" s="175">
        <f>IF(ISBLANK(Table1[[#This Row],[Date]]),"",DATE(Table1[[#This Row],[Date_Year]],Table1[[#This Row],[Date_Month]],1))</f>
        <v>43922</v>
      </c>
    </row>
    <row r="773" spans="2:18" ht="15.75" hidden="1" x14ac:dyDescent="0.25">
      <c r="B773" s="165">
        <v>43945</v>
      </c>
      <c r="C773" s="166" t="s">
        <v>121</v>
      </c>
      <c r="D773" s="166" t="s">
        <v>65</v>
      </c>
      <c r="E773" s="167"/>
      <c r="F773" s="114">
        <v>-9.41</v>
      </c>
      <c r="G773" s="168"/>
      <c r="H773" s="169"/>
      <c r="I773" s="170"/>
      <c r="J773" s="171" t="s">
        <v>1019</v>
      </c>
      <c r="K773" s="172" t="s">
        <v>177</v>
      </c>
      <c r="L773" s="172" t="s">
        <v>175</v>
      </c>
      <c r="M773" s="173" t="str" cm="1">
        <f t="array" ref="M773">IFERROR(INDEX(CategoriesTable[Category type],MATCH(Table1[[#This Row],[Category]],CategoriesTable[Category name],0),0),"")</f>
        <v>Expense</v>
      </c>
      <c r="N773" s="173">
        <v>24</v>
      </c>
      <c r="O773" s="173">
        <f>MONTH(Table1[[#This Row],[Date]])</f>
        <v>4</v>
      </c>
      <c r="P773" s="173">
        <v>2020</v>
      </c>
      <c r="Q773" s="174">
        <f>IF(ISBLANK(Table1[[#This Row],[Date]]),"",Table1[[#This Row],[Date]]-WEEKDAY(Table1[[#This Row],[Date]],2)+1)</f>
        <v>43941</v>
      </c>
      <c r="R773" s="175">
        <f>IF(ISBLANK(Table1[[#This Row],[Date]]),"",DATE(Table1[[#This Row],[Date_Year]],Table1[[#This Row],[Date_Month]],1))</f>
        <v>43922</v>
      </c>
    </row>
    <row r="774" spans="2:18" ht="15.75" hidden="1" x14ac:dyDescent="0.25">
      <c r="B774" s="165">
        <v>43945</v>
      </c>
      <c r="C774" s="166" t="s">
        <v>180</v>
      </c>
      <c r="D774" s="166" t="s">
        <v>52</v>
      </c>
      <c r="E774" s="167"/>
      <c r="F774" s="114">
        <v>-20</v>
      </c>
      <c r="G774" s="168"/>
      <c r="H774" s="169"/>
      <c r="I774" s="170"/>
      <c r="J774" s="171" t="s">
        <v>1020</v>
      </c>
      <c r="K774" s="172" t="s">
        <v>177</v>
      </c>
      <c r="L774" s="172" t="s">
        <v>175</v>
      </c>
      <c r="M774" s="173" t="str" cm="1">
        <f t="array" ref="M774">IFERROR(INDEX(CategoriesTable[Category type],MATCH(Table1[[#This Row],[Category]],CategoriesTable[Category name],0),0),"")</f>
        <v>Transfer</v>
      </c>
      <c r="N774" s="173">
        <v>24</v>
      </c>
      <c r="O774" s="173">
        <f>MONTH(Table1[[#This Row],[Date]])</f>
        <v>4</v>
      </c>
      <c r="P774" s="173">
        <v>2020</v>
      </c>
      <c r="Q774" s="174">
        <f>IF(ISBLANK(Table1[[#This Row],[Date]]),"",Table1[[#This Row],[Date]]-WEEKDAY(Table1[[#This Row],[Date]],2)+1)</f>
        <v>43941</v>
      </c>
      <c r="R774" s="175">
        <f>IF(ISBLANK(Table1[[#This Row],[Date]]),"",DATE(Table1[[#This Row],[Date_Year]],Table1[[#This Row],[Date_Month]],1))</f>
        <v>43922</v>
      </c>
    </row>
    <row r="775" spans="2:18" ht="15.75" hidden="1" x14ac:dyDescent="0.25">
      <c r="B775" s="165">
        <v>43945</v>
      </c>
      <c r="C775" s="166" t="s">
        <v>193</v>
      </c>
      <c r="D775" s="166" t="s">
        <v>65</v>
      </c>
      <c r="E775" s="167"/>
      <c r="F775" s="114">
        <v>-26.04</v>
      </c>
      <c r="G775" s="168"/>
      <c r="H775" s="169"/>
      <c r="I775" s="170"/>
      <c r="J775" s="171" t="s">
        <v>1021</v>
      </c>
      <c r="K775" s="172" t="s">
        <v>177</v>
      </c>
      <c r="L775" s="172" t="s">
        <v>175</v>
      </c>
      <c r="M775" s="173" t="str" cm="1">
        <f t="array" ref="M775">IFERROR(INDEX(CategoriesTable[Category type],MATCH(Table1[[#This Row],[Category]],CategoriesTable[Category name],0),0),"")</f>
        <v>Expense</v>
      </c>
      <c r="N775" s="173">
        <v>24</v>
      </c>
      <c r="O775" s="173">
        <f>MONTH(Table1[[#This Row],[Date]])</f>
        <v>4</v>
      </c>
      <c r="P775" s="173">
        <v>2020</v>
      </c>
      <c r="Q775" s="174">
        <f>IF(ISBLANK(Table1[[#This Row],[Date]]),"",Table1[[#This Row],[Date]]-WEEKDAY(Table1[[#This Row],[Date]],2)+1)</f>
        <v>43941</v>
      </c>
      <c r="R775" s="175">
        <f>IF(ISBLANK(Table1[[#This Row],[Date]]),"",DATE(Table1[[#This Row],[Date_Year]],Table1[[#This Row],[Date_Month]],1))</f>
        <v>43922</v>
      </c>
    </row>
    <row r="776" spans="2:18" ht="15.75" hidden="1" x14ac:dyDescent="0.25">
      <c r="B776" s="165">
        <v>43944</v>
      </c>
      <c r="C776" s="166" t="s">
        <v>121</v>
      </c>
      <c r="D776" s="166" t="s">
        <v>65</v>
      </c>
      <c r="E776" s="167"/>
      <c r="F776" s="114">
        <v>-5.7</v>
      </c>
      <c r="G776" s="168"/>
      <c r="H776" s="169"/>
      <c r="I776" s="170"/>
      <c r="J776" s="171" t="s">
        <v>1022</v>
      </c>
      <c r="K776" s="172" t="s">
        <v>177</v>
      </c>
      <c r="L776" s="172" t="s">
        <v>175</v>
      </c>
      <c r="M776" s="173" t="str" cm="1">
        <f t="array" ref="M776">IFERROR(INDEX(CategoriesTable[Category type],MATCH(Table1[[#This Row],[Category]],CategoriesTable[Category name],0),0),"")</f>
        <v>Expense</v>
      </c>
      <c r="N776" s="173">
        <v>23</v>
      </c>
      <c r="O776" s="173">
        <f>MONTH(Table1[[#This Row],[Date]])</f>
        <v>4</v>
      </c>
      <c r="P776" s="173">
        <v>2020</v>
      </c>
      <c r="Q776" s="174">
        <f>IF(ISBLANK(Table1[[#This Row],[Date]]),"",Table1[[#This Row],[Date]]-WEEKDAY(Table1[[#This Row],[Date]],2)+1)</f>
        <v>43941</v>
      </c>
      <c r="R776" s="175">
        <f>IF(ISBLANK(Table1[[#This Row],[Date]]),"",DATE(Table1[[#This Row],[Date_Year]],Table1[[#This Row],[Date_Month]],1))</f>
        <v>43922</v>
      </c>
    </row>
    <row r="777" spans="2:18" ht="15.75" hidden="1" x14ac:dyDescent="0.25">
      <c r="B777" s="165">
        <v>43944</v>
      </c>
      <c r="C777" s="166" t="s">
        <v>1007</v>
      </c>
      <c r="D777" s="166" t="s">
        <v>65</v>
      </c>
      <c r="E777" s="167"/>
      <c r="F777" s="114">
        <v>-12.38</v>
      </c>
      <c r="G777" s="168"/>
      <c r="H777" s="169"/>
      <c r="I777" s="170"/>
      <c r="J777" s="176" t="s">
        <v>1023</v>
      </c>
      <c r="K777" s="172" t="s">
        <v>177</v>
      </c>
      <c r="L777" s="172" t="s">
        <v>175</v>
      </c>
      <c r="M777" s="173" t="str" cm="1">
        <f t="array" ref="M777">IFERROR(INDEX(CategoriesTable[Category type],MATCH(Table1[[#This Row],[Category]],CategoriesTable[Category name],0),0),"")</f>
        <v>Expense</v>
      </c>
      <c r="N777" s="173">
        <v>23</v>
      </c>
      <c r="O777" s="173">
        <f>MONTH(Table1[[#This Row],[Date]])</f>
        <v>4</v>
      </c>
      <c r="P777" s="173">
        <v>2020</v>
      </c>
      <c r="Q777" s="174">
        <f>IF(ISBLANK(Table1[[#This Row],[Date]]),"",Table1[[#This Row],[Date]]-WEEKDAY(Table1[[#This Row],[Date]],2)+1)</f>
        <v>43941</v>
      </c>
      <c r="R777" s="175">
        <f>IF(ISBLANK(Table1[[#This Row],[Date]]),"",DATE(Table1[[#This Row],[Date_Year]],Table1[[#This Row],[Date_Month]],1))</f>
        <v>43922</v>
      </c>
    </row>
    <row r="778" spans="2:18" ht="15.75" hidden="1" x14ac:dyDescent="0.25">
      <c r="B778" s="165">
        <v>43943</v>
      </c>
      <c r="C778" s="166" t="s">
        <v>149</v>
      </c>
      <c r="D778" s="166" t="s">
        <v>65</v>
      </c>
      <c r="E778" s="167"/>
      <c r="F778" s="114">
        <v>-13.96</v>
      </c>
      <c r="G778" s="168"/>
      <c r="H778" s="169"/>
      <c r="I778" s="170"/>
      <c r="J778" s="171" t="s">
        <v>1024</v>
      </c>
      <c r="K778" s="172" t="s">
        <v>177</v>
      </c>
      <c r="L778" s="172" t="s">
        <v>175</v>
      </c>
      <c r="M778" s="173" t="str" cm="1">
        <f t="array" ref="M778">IFERROR(INDEX(CategoriesTable[Category type],MATCH(Table1[[#This Row],[Category]],CategoriesTable[Category name],0),0),"")</f>
        <v>Expense</v>
      </c>
      <c r="N778" s="173">
        <v>22</v>
      </c>
      <c r="O778" s="173">
        <f>MONTH(Table1[[#This Row],[Date]])</f>
        <v>4</v>
      </c>
      <c r="P778" s="173">
        <v>2020</v>
      </c>
      <c r="Q778" s="174">
        <f>IF(ISBLANK(Table1[[#This Row],[Date]]),"",Table1[[#This Row],[Date]]-WEEKDAY(Table1[[#This Row],[Date]],2)+1)</f>
        <v>43941</v>
      </c>
      <c r="R778" s="175">
        <f>IF(ISBLANK(Table1[[#This Row],[Date]]),"",DATE(Table1[[#This Row],[Date_Year]],Table1[[#This Row],[Date_Month]],1))</f>
        <v>43922</v>
      </c>
    </row>
    <row r="779" spans="2:18" ht="15.75" hidden="1" x14ac:dyDescent="0.25">
      <c r="B779" s="165">
        <v>43943</v>
      </c>
      <c r="C779" s="166" t="s">
        <v>576</v>
      </c>
      <c r="D779" s="166" t="s">
        <v>65</v>
      </c>
      <c r="E779" s="167"/>
      <c r="F779" s="114">
        <v>-15.27</v>
      </c>
      <c r="G779" s="168"/>
      <c r="H779" s="169"/>
      <c r="I779" s="170"/>
      <c r="J779" s="171" t="s">
        <v>1025</v>
      </c>
      <c r="K779" s="172" t="s">
        <v>177</v>
      </c>
      <c r="L779" s="172" t="s">
        <v>175</v>
      </c>
      <c r="M779" s="173" t="str" cm="1">
        <f t="array" ref="M779">IFERROR(INDEX(CategoriesTable[Category type],MATCH(Table1[[#This Row],[Category]],CategoriesTable[Category name],0),0),"")</f>
        <v>Expense</v>
      </c>
      <c r="N779" s="173">
        <v>22</v>
      </c>
      <c r="O779" s="173">
        <f>MONTH(Table1[[#This Row],[Date]])</f>
        <v>4</v>
      </c>
      <c r="P779" s="173">
        <v>2020</v>
      </c>
      <c r="Q779" s="174">
        <f>IF(ISBLANK(Table1[[#This Row],[Date]]),"",Table1[[#This Row],[Date]]-WEEKDAY(Table1[[#This Row],[Date]],2)+1)</f>
        <v>43941</v>
      </c>
      <c r="R779" s="175">
        <f>IF(ISBLANK(Table1[[#This Row],[Date]]),"",DATE(Table1[[#This Row],[Date_Year]],Table1[[#This Row],[Date_Month]],1))</f>
        <v>43922</v>
      </c>
    </row>
    <row r="780" spans="2:18" ht="15.75" hidden="1" x14ac:dyDescent="0.25">
      <c r="B780" s="165">
        <v>43943</v>
      </c>
      <c r="C780" s="166" t="s">
        <v>199</v>
      </c>
      <c r="D780" s="166" t="s">
        <v>65</v>
      </c>
      <c r="E780" s="167"/>
      <c r="F780" s="114">
        <v>-21.9</v>
      </c>
      <c r="G780" s="168"/>
      <c r="H780" s="169"/>
      <c r="I780" s="170"/>
      <c r="J780" s="171" t="s">
        <v>1026</v>
      </c>
      <c r="K780" s="172" t="s">
        <v>177</v>
      </c>
      <c r="L780" s="172" t="s">
        <v>175</v>
      </c>
      <c r="M780" s="173" t="str" cm="1">
        <f t="array" ref="M780">IFERROR(INDEX(CategoriesTable[Category type],MATCH(Table1[[#This Row],[Category]],CategoriesTable[Category name],0),0),"")</f>
        <v>Expense</v>
      </c>
      <c r="N780" s="173">
        <v>22</v>
      </c>
      <c r="O780" s="173">
        <f>MONTH(Table1[[#This Row],[Date]])</f>
        <v>4</v>
      </c>
      <c r="P780" s="173">
        <v>2020</v>
      </c>
      <c r="Q780" s="174">
        <f>IF(ISBLANK(Table1[[#This Row],[Date]]),"",Table1[[#This Row],[Date]]-WEEKDAY(Table1[[#This Row],[Date]],2)+1)</f>
        <v>43941</v>
      </c>
      <c r="R780" s="175">
        <f>IF(ISBLANK(Table1[[#This Row],[Date]]),"",DATE(Table1[[#This Row],[Date_Year]],Table1[[#This Row],[Date_Month]],1))</f>
        <v>43922</v>
      </c>
    </row>
    <row r="781" spans="2:18" ht="15.75" hidden="1" x14ac:dyDescent="0.25">
      <c r="B781" s="165">
        <v>43943</v>
      </c>
      <c r="C781" s="166" t="s">
        <v>120</v>
      </c>
      <c r="D781" s="166" t="s">
        <v>66</v>
      </c>
      <c r="E781" s="167"/>
      <c r="F781" s="114">
        <v>-25</v>
      </c>
      <c r="G781" s="168"/>
      <c r="H781" s="169"/>
      <c r="I781" s="170"/>
      <c r="J781" s="171" t="s">
        <v>1027</v>
      </c>
      <c r="K781" s="172" t="s">
        <v>177</v>
      </c>
      <c r="L781" s="172" t="s">
        <v>175</v>
      </c>
      <c r="M781" s="173" t="str" cm="1">
        <f t="array" ref="M781">IFERROR(INDEX(CategoriesTable[Category type],MATCH(Table1[[#This Row],[Category]],CategoriesTable[Category name],0),0),"")</f>
        <v>Expense</v>
      </c>
      <c r="N781" s="173">
        <v>22</v>
      </c>
      <c r="O781" s="173">
        <f>MONTH(Table1[[#This Row],[Date]])</f>
        <v>4</v>
      </c>
      <c r="P781" s="173">
        <v>2020</v>
      </c>
      <c r="Q781" s="174">
        <f>IF(ISBLANK(Table1[[#This Row],[Date]]),"",Table1[[#This Row],[Date]]-WEEKDAY(Table1[[#This Row],[Date]],2)+1)</f>
        <v>43941</v>
      </c>
      <c r="R781" s="175">
        <f>IF(ISBLANK(Table1[[#This Row],[Date]]),"",DATE(Table1[[#This Row],[Date_Year]],Table1[[#This Row],[Date_Month]],1))</f>
        <v>43922</v>
      </c>
    </row>
    <row r="782" spans="2:18" ht="15.75" hidden="1" x14ac:dyDescent="0.25">
      <c r="B782" s="165">
        <v>43943</v>
      </c>
      <c r="C782" s="166" t="s">
        <v>208</v>
      </c>
      <c r="D782" s="166" t="s">
        <v>55</v>
      </c>
      <c r="E782" s="167"/>
      <c r="F782" s="114">
        <v>-40.28</v>
      </c>
      <c r="G782" s="168"/>
      <c r="H782" s="169"/>
      <c r="I782" s="170"/>
      <c r="J782" s="176" t="s">
        <v>1028</v>
      </c>
      <c r="K782" s="172" t="s">
        <v>177</v>
      </c>
      <c r="L782" s="172" t="s">
        <v>175</v>
      </c>
      <c r="M782" s="173" t="str" cm="1">
        <f t="array" ref="M782">IFERROR(INDEX(CategoriesTable[Category type],MATCH(Table1[[#This Row],[Category]],CategoriesTable[Category name],0),0),"")</f>
        <v>Expense</v>
      </c>
      <c r="N782" s="173">
        <v>22</v>
      </c>
      <c r="O782" s="173">
        <f>MONTH(Table1[[#This Row],[Date]])</f>
        <v>4</v>
      </c>
      <c r="P782" s="173">
        <v>2020</v>
      </c>
      <c r="Q782" s="174">
        <f>IF(ISBLANK(Table1[[#This Row],[Date]]),"",Table1[[#This Row],[Date]]-WEEKDAY(Table1[[#This Row],[Date]],2)+1)</f>
        <v>43941</v>
      </c>
      <c r="R782" s="175">
        <f>IF(ISBLANK(Table1[[#This Row],[Date]]),"",DATE(Table1[[#This Row],[Date_Year]],Table1[[#This Row],[Date_Month]],1))</f>
        <v>43922</v>
      </c>
    </row>
    <row r="783" spans="2:18" ht="15.75" hidden="1" x14ac:dyDescent="0.25">
      <c r="B783" s="165">
        <v>43942</v>
      </c>
      <c r="C783" s="166" t="s">
        <v>149</v>
      </c>
      <c r="D783" s="166" t="s">
        <v>65</v>
      </c>
      <c r="E783" s="167"/>
      <c r="F783" s="114">
        <v>-19.149999999999999</v>
      </c>
      <c r="G783" s="168"/>
      <c r="H783" s="169"/>
      <c r="I783" s="170"/>
      <c r="J783" s="171" t="s">
        <v>1029</v>
      </c>
      <c r="K783" s="172" t="s">
        <v>177</v>
      </c>
      <c r="L783" s="172" t="s">
        <v>175</v>
      </c>
      <c r="M783" s="173" t="str" cm="1">
        <f t="array" ref="M783">IFERROR(INDEX(CategoriesTable[Category type],MATCH(Table1[[#This Row],[Category]],CategoriesTable[Category name],0),0),"")</f>
        <v>Expense</v>
      </c>
      <c r="N783" s="173">
        <v>21</v>
      </c>
      <c r="O783" s="173">
        <f>MONTH(Table1[[#This Row],[Date]])</f>
        <v>4</v>
      </c>
      <c r="P783" s="173">
        <v>2020</v>
      </c>
      <c r="Q783" s="174">
        <f>IF(ISBLANK(Table1[[#This Row],[Date]]),"",Table1[[#This Row],[Date]]-WEEKDAY(Table1[[#This Row],[Date]],2)+1)</f>
        <v>43941</v>
      </c>
      <c r="R783" s="175">
        <f>IF(ISBLANK(Table1[[#This Row],[Date]]),"",DATE(Table1[[#This Row],[Date_Year]],Table1[[#This Row],[Date_Month]],1))</f>
        <v>43922</v>
      </c>
    </row>
    <row r="784" spans="2:18" ht="15.75" hidden="1" x14ac:dyDescent="0.25">
      <c r="B784" s="165">
        <v>43942</v>
      </c>
      <c r="C784" s="166" t="s">
        <v>120</v>
      </c>
      <c r="D784" s="166" t="s">
        <v>66</v>
      </c>
      <c r="E784" s="167"/>
      <c r="F784" s="114">
        <v>-45.23</v>
      </c>
      <c r="G784" s="168"/>
      <c r="H784" s="169"/>
      <c r="I784" s="170"/>
      <c r="J784" s="171" t="s">
        <v>1030</v>
      </c>
      <c r="K784" s="172" t="s">
        <v>177</v>
      </c>
      <c r="L784" s="172" t="s">
        <v>175</v>
      </c>
      <c r="M784" s="173" t="str" cm="1">
        <f t="array" ref="M784">IFERROR(INDEX(CategoriesTable[Category type],MATCH(Table1[[#This Row],[Category]],CategoriesTable[Category name],0),0),"")</f>
        <v>Expense</v>
      </c>
      <c r="N784" s="173">
        <v>21</v>
      </c>
      <c r="O784" s="173">
        <f>MONTH(Table1[[#This Row],[Date]])</f>
        <v>4</v>
      </c>
      <c r="P784" s="173">
        <v>2020</v>
      </c>
      <c r="Q784" s="174">
        <f>IF(ISBLANK(Table1[[#This Row],[Date]]),"",Table1[[#This Row],[Date]]-WEEKDAY(Table1[[#This Row],[Date]],2)+1)</f>
        <v>43941</v>
      </c>
      <c r="R784" s="175">
        <f>IF(ISBLANK(Table1[[#This Row],[Date]]),"",DATE(Table1[[#This Row],[Date_Year]],Table1[[#This Row],[Date_Month]],1))</f>
        <v>43922</v>
      </c>
    </row>
    <row r="785" spans="2:18" ht="15.75" hidden="1" x14ac:dyDescent="0.25">
      <c r="B785" s="165">
        <v>43941</v>
      </c>
      <c r="C785" s="166" t="s">
        <v>121</v>
      </c>
      <c r="D785" s="166" t="s">
        <v>65</v>
      </c>
      <c r="E785" s="167"/>
      <c r="F785" s="114">
        <v>-5.38</v>
      </c>
      <c r="G785" s="168"/>
      <c r="H785" s="169"/>
      <c r="I785" s="170"/>
      <c r="J785" s="171" t="s">
        <v>1031</v>
      </c>
      <c r="K785" s="172" t="s">
        <v>177</v>
      </c>
      <c r="L785" s="172" t="s">
        <v>175</v>
      </c>
      <c r="M785" s="173" t="str" cm="1">
        <f t="array" ref="M785">IFERROR(INDEX(CategoriesTable[Category type],MATCH(Table1[[#This Row],[Category]],CategoriesTable[Category name],0),0),"")</f>
        <v>Expense</v>
      </c>
      <c r="N785" s="173">
        <v>20</v>
      </c>
      <c r="O785" s="173">
        <f>MONTH(Table1[[#This Row],[Date]])</f>
        <v>4</v>
      </c>
      <c r="P785" s="173">
        <v>2020</v>
      </c>
      <c r="Q785" s="174">
        <f>IF(ISBLANK(Table1[[#This Row],[Date]]),"",Table1[[#This Row],[Date]]-WEEKDAY(Table1[[#This Row],[Date]],2)+1)</f>
        <v>43941</v>
      </c>
      <c r="R785" s="175">
        <f>IF(ISBLANK(Table1[[#This Row],[Date]]),"",DATE(Table1[[#This Row],[Date_Year]],Table1[[#This Row],[Date_Month]],1))</f>
        <v>43922</v>
      </c>
    </row>
    <row r="786" spans="2:18" ht="15.75" hidden="1" x14ac:dyDescent="0.25">
      <c r="B786" s="165">
        <v>43941</v>
      </c>
      <c r="C786" s="166" t="s">
        <v>129</v>
      </c>
      <c r="D786" s="166" t="s">
        <v>55</v>
      </c>
      <c r="E786" s="167"/>
      <c r="F786" s="114">
        <v>-75.98</v>
      </c>
      <c r="G786" s="168"/>
      <c r="H786" s="169"/>
      <c r="I786" s="170"/>
      <c r="J786" s="171" t="s">
        <v>1032</v>
      </c>
      <c r="K786" s="172" t="s">
        <v>177</v>
      </c>
      <c r="L786" s="172" t="s">
        <v>175</v>
      </c>
      <c r="M786" s="173" t="str" cm="1">
        <f t="array" ref="M786">IFERROR(INDEX(CategoriesTable[Category type],MATCH(Table1[[#This Row],[Category]],CategoriesTable[Category name],0),0),"")</f>
        <v>Expense</v>
      </c>
      <c r="N786" s="173">
        <v>20</v>
      </c>
      <c r="O786" s="173">
        <f>MONTH(Table1[[#This Row],[Date]])</f>
        <v>4</v>
      </c>
      <c r="P786" s="173">
        <v>2020</v>
      </c>
      <c r="Q786" s="174">
        <f>IF(ISBLANK(Table1[[#This Row],[Date]]),"",Table1[[#This Row],[Date]]-WEEKDAY(Table1[[#This Row],[Date]],2)+1)</f>
        <v>43941</v>
      </c>
      <c r="R786" s="175">
        <f>IF(ISBLANK(Table1[[#This Row],[Date]]),"",DATE(Table1[[#This Row],[Date_Year]],Table1[[#This Row],[Date_Month]],1))</f>
        <v>43922</v>
      </c>
    </row>
    <row r="787" spans="2:18" ht="15.75" hidden="1" x14ac:dyDescent="0.25">
      <c r="B787" s="165">
        <v>43940</v>
      </c>
      <c r="C787" s="166" t="s">
        <v>180</v>
      </c>
      <c r="D787" s="166" t="s">
        <v>52</v>
      </c>
      <c r="E787" s="167"/>
      <c r="F787" s="114">
        <v>-40</v>
      </c>
      <c r="G787" s="168"/>
      <c r="H787" s="169"/>
      <c r="I787" s="170"/>
      <c r="J787" s="171" t="s">
        <v>1033</v>
      </c>
      <c r="K787" s="172" t="s">
        <v>177</v>
      </c>
      <c r="L787" s="172" t="s">
        <v>175</v>
      </c>
      <c r="M787" s="173" t="str" cm="1">
        <f t="array" ref="M787">IFERROR(INDEX(CategoriesTable[Category type],MATCH(Table1[[#This Row],[Category]],CategoriesTable[Category name],0),0),"")</f>
        <v>Transfer</v>
      </c>
      <c r="N787" s="173">
        <v>19</v>
      </c>
      <c r="O787" s="173">
        <f>MONTH(Table1[[#This Row],[Date]])</f>
        <v>4</v>
      </c>
      <c r="P787" s="173">
        <v>2020</v>
      </c>
      <c r="Q787" s="174">
        <f>IF(ISBLANK(Table1[[#This Row],[Date]]),"",Table1[[#This Row],[Date]]-WEEKDAY(Table1[[#This Row],[Date]],2)+1)</f>
        <v>43934</v>
      </c>
      <c r="R787" s="175">
        <f>IF(ISBLANK(Table1[[#This Row],[Date]]),"",DATE(Table1[[#This Row],[Date_Year]],Table1[[#This Row],[Date_Month]],1))</f>
        <v>43922</v>
      </c>
    </row>
    <row r="788" spans="2:18" ht="15.75" hidden="1" x14ac:dyDescent="0.25">
      <c r="B788" s="165">
        <v>43940</v>
      </c>
      <c r="C788" s="166" t="s">
        <v>121</v>
      </c>
      <c r="D788" s="166" t="s">
        <v>65</v>
      </c>
      <c r="E788" s="167"/>
      <c r="F788" s="114">
        <v>-10.57</v>
      </c>
      <c r="G788" s="168"/>
      <c r="H788" s="169"/>
      <c r="I788" s="170"/>
      <c r="J788" s="171" t="s">
        <v>1034</v>
      </c>
      <c r="K788" s="172" t="s">
        <v>177</v>
      </c>
      <c r="L788" s="172" t="s">
        <v>175</v>
      </c>
      <c r="M788" s="173" t="str" cm="1">
        <f t="array" ref="M788">IFERROR(INDEX(CategoriesTable[Category type],MATCH(Table1[[#This Row],[Category]],CategoriesTable[Category name],0),0),"")</f>
        <v>Expense</v>
      </c>
      <c r="N788" s="173">
        <v>19</v>
      </c>
      <c r="O788" s="173">
        <f>MONTH(Table1[[#This Row],[Date]])</f>
        <v>4</v>
      </c>
      <c r="P788" s="173">
        <v>2020</v>
      </c>
      <c r="Q788" s="174">
        <f>IF(ISBLANK(Table1[[#This Row],[Date]]),"",Table1[[#This Row],[Date]]-WEEKDAY(Table1[[#This Row],[Date]],2)+1)</f>
        <v>43934</v>
      </c>
      <c r="R788" s="175">
        <f>IF(ISBLANK(Table1[[#This Row],[Date]]),"",DATE(Table1[[#This Row],[Date_Year]],Table1[[#This Row],[Date_Month]],1))</f>
        <v>43922</v>
      </c>
    </row>
    <row r="789" spans="2:18" ht="15.75" hidden="1" x14ac:dyDescent="0.25">
      <c r="B789" s="165">
        <v>43939</v>
      </c>
      <c r="C789" s="166" t="s">
        <v>180</v>
      </c>
      <c r="D789" s="166" t="s">
        <v>52</v>
      </c>
      <c r="E789" s="167"/>
      <c r="F789" s="114">
        <v>-20</v>
      </c>
      <c r="G789" s="168"/>
      <c r="H789" s="169"/>
      <c r="I789" s="170"/>
      <c r="J789" s="171" t="s">
        <v>1035</v>
      </c>
      <c r="K789" s="172" t="s">
        <v>177</v>
      </c>
      <c r="L789" s="172" t="s">
        <v>175</v>
      </c>
      <c r="M789" s="173" t="str" cm="1">
        <f t="array" ref="M789">IFERROR(INDEX(CategoriesTable[Category type],MATCH(Table1[[#This Row],[Category]],CategoriesTable[Category name],0),0),"")</f>
        <v>Transfer</v>
      </c>
      <c r="N789" s="173">
        <v>18</v>
      </c>
      <c r="O789" s="173">
        <f>MONTH(Table1[[#This Row],[Date]])</f>
        <v>4</v>
      </c>
      <c r="P789" s="173">
        <v>2020</v>
      </c>
      <c r="Q789" s="174">
        <f>IF(ISBLANK(Table1[[#This Row],[Date]]),"",Table1[[#This Row],[Date]]-WEEKDAY(Table1[[#This Row],[Date]],2)+1)</f>
        <v>43934</v>
      </c>
      <c r="R789" s="175">
        <f>IF(ISBLANK(Table1[[#This Row],[Date]]),"",DATE(Table1[[#This Row],[Date_Year]],Table1[[#This Row],[Date_Month]],1))</f>
        <v>43922</v>
      </c>
    </row>
    <row r="790" spans="2:18" ht="15.75" hidden="1" x14ac:dyDescent="0.25">
      <c r="B790" s="165">
        <v>43939</v>
      </c>
      <c r="C790" s="166" t="s">
        <v>120</v>
      </c>
      <c r="D790" s="166" t="s">
        <v>66</v>
      </c>
      <c r="E790" s="167"/>
      <c r="F790" s="114">
        <v>-33.950000000000003</v>
      </c>
      <c r="G790" s="168"/>
      <c r="H790" s="169"/>
      <c r="I790" s="170"/>
      <c r="J790" s="171" t="s">
        <v>1036</v>
      </c>
      <c r="K790" s="172" t="s">
        <v>177</v>
      </c>
      <c r="L790" s="172" t="s">
        <v>175</v>
      </c>
      <c r="M790" s="173" t="str" cm="1">
        <f t="array" ref="M790">IFERROR(INDEX(CategoriesTable[Category type],MATCH(Table1[[#This Row],[Category]],CategoriesTable[Category name],0),0),"")</f>
        <v>Expense</v>
      </c>
      <c r="N790" s="173">
        <v>18</v>
      </c>
      <c r="O790" s="173">
        <f>MONTH(Table1[[#This Row],[Date]])</f>
        <v>4</v>
      </c>
      <c r="P790" s="173">
        <v>2020</v>
      </c>
      <c r="Q790" s="174">
        <f>IF(ISBLANK(Table1[[#This Row],[Date]]),"",Table1[[#This Row],[Date]]-WEEKDAY(Table1[[#This Row],[Date]],2)+1)</f>
        <v>43934</v>
      </c>
      <c r="R790" s="175">
        <f>IF(ISBLANK(Table1[[#This Row],[Date]]),"",DATE(Table1[[#This Row],[Date_Year]],Table1[[#This Row],[Date_Month]],1))</f>
        <v>43922</v>
      </c>
    </row>
    <row r="791" spans="2:18" ht="15.75" hidden="1" x14ac:dyDescent="0.25">
      <c r="B791" s="165">
        <v>43939</v>
      </c>
      <c r="C791" s="166" t="s">
        <v>121</v>
      </c>
      <c r="D791" s="166" t="s">
        <v>65</v>
      </c>
      <c r="E791" s="167"/>
      <c r="F791" s="114">
        <v>-5.38</v>
      </c>
      <c r="G791" s="168"/>
      <c r="H791" s="169"/>
      <c r="I791" s="170"/>
      <c r="J791" s="171" t="s">
        <v>1037</v>
      </c>
      <c r="K791" s="172" t="s">
        <v>177</v>
      </c>
      <c r="L791" s="172" t="s">
        <v>175</v>
      </c>
      <c r="M791" s="173" t="str" cm="1">
        <f t="array" ref="M791">IFERROR(INDEX(CategoriesTable[Category type],MATCH(Table1[[#This Row],[Category]],CategoriesTable[Category name],0),0),"")</f>
        <v>Expense</v>
      </c>
      <c r="N791" s="173">
        <v>18</v>
      </c>
      <c r="O791" s="173">
        <f>MONTH(Table1[[#This Row],[Date]])</f>
        <v>4</v>
      </c>
      <c r="P791" s="173">
        <v>2020</v>
      </c>
      <c r="Q791" s="174">
        <f>IF(ISBLANK(Table1[[#This Row],[Date]]),"",Table1[[#This Row],[Date]]-WEEKDAY(Table1[[#This Row],[Date]],2)+1)</f>
        <v>43934</v>
      </c>
      <c r="R791" s="175">
        <f>IF(ISBLANK(Table1[[#This Row],[Date]]),"",DATE(Table1[[#This Row],[Date_Year]],Table1[[#This Row],[Date_Month]],1))</f>
        <v>43922</v>
      </c>
    </row>
    <row r="792" spans="2:18" ht="15.75" hidden="1" x14ac:dyDescent="0.25">
      <c r="B792" s="165">
        <v>43939</v>
      </c>
      <c r="C792" s="166" t="s">
        <v>121</v>
      </c>
      <c r="D792" s="166" t="s">
        <v>65</v>
      </c>
      <c r="E792" s="167"/>
      <c r="F792" s="114">
        <v>-11.64</v>
      </c>
      <c r="G792" s="168"/>
      <c r="H792" s="169"/>
      <c r="I792" s="170"/>
      <c r="J792" s="171" t="s">
        <v>1038</v>
      </c>
      <c r="K792" s="172" t="s">
        <v>177</v>
      </c>
      <c r="L792" s="172" t="s">
        <v>175</v>
      </c>
      <c r="M792" s="173" t="str" cm="1">
        <f t="array" ref="M792">IFERROR(INDEX(CategoriesTable[Category type],MATCH(Table1[[#This Row],[Category]],CategoriesTable[Category name],0),0),"")</f>
        <v>Expense</v>
      </c>
      <c r="N792" s="173">
        <v>18</v>
      </c>
      <c r="O792" s="173">
        <f>MONTH(Table1[[#This Row],[Date]])</f>
        <v>4</v>
      </c>
      <c r="P792" s="173">
        <v>2020</v>
      </c>
      <c r="Q792" s="174">
        <f>IF(ISBLANK(Table1[[#This Row],[Date]]),"",Table1[[#This Row],[Date]]-WEEKDAY(Table1[[#This Row],[Date]],2)+1)</f>
        <v>43934</v>
      </c>
      <c r="R792" s="175">
        <f>IF(ISBLANK(Table1[[#This Row],[Date]]),"",DATE(Table1[[#This Row],[Date_Year]],Table1[[#This Row],[Date_Month]],1))</f>
        <v>43922</v>
      </c>
    </row>
    <row r="793" spans="2:18" ht="15.75" hidden="1" x14ac:dyDescent="0.25">
      <c r="B793" s="165">
        <v>43938</v>
      </c>
      <c r="C793" s="166" t="s">
        <v>992</v>
      </c>
      <c r="D793" s="166" t="s">
        <v>65</v>
      </c>
      <c r="E793" s="167"/>
      <c r="F793" s="114">
        <v>-14.79</v>
      </c>
      <c r="G793" s="168"/>
      <c r="H793" s="169"/>
      <c r="I793" s="170"/>
      <c r="J793" s="171" t="s">
        <v>1039</v>
      </c>
      <c r="K793" s="172" t="s">
        <v>177</v>
      </c>
      <c r="L793" s="172" t="s">
        <v>175</v>
      </c>
      <c r="M793" s="173" t="str" cm="1">
        <f t="array" ref="M793">IFERROR(INDEX(CategoriesTable[Category type],MATCH(Table1[[#This Row],[Category]],CategoriesTable[Category name],0),0),"")</f>
        <v>Expense</v>
      </c>
      <c r="N793" s="173">
        <v>17</v>
      </c>
      <c r="O793" s="173">
        <f>MONTH(Table1[[#This Row],[Date]])</f>
        <v>4</v>
      </c>
      <c r="P793" s="173">
        <v>2020</v>
      </c>
      <c r="Q793" s="174">
        <f>IF(ISBLANK(Table1[[#This Row],[Date]]),"",Table1[[#This Row],[Date]]-WEEKDAY(Table1[[#This Row],[Date]],2)+1)</f>
        <v>43934</v>
      </c>
      <c r="R793" s="175">
        <f>IF(ISBLANK(Table1[[#This Row],[Date]]),"",DATE(Table1[[#This Row],[Date_Year]],Table1[[#This Row],[Date_Month]],1))</f>
        <v>43922</v>
      </c>
    </row>
    <row r="794" spans="2:18" ht="15.75" hidden="1" x14ac:dyDescent="0.25">
      <c r="B794" s="165">
        <v>43938</v>
      </c>
      <c r="C794" s="166" t="s">
        <v>247</v>
      </c>
      <c r="D794" s="166" t="s">
        <v>65</v>
      </c>
      <c r="E794" s="167"/>
      <c r="F794" s="114">
        <v>-8.4600000000000009</v>
      </c>
      <c r="G794" s="168"/>
      <c r="H794" s="169"/>
      <c r="I794" s="170"/>
      <c r="J794" s="171" t="s">
        <v>1040</v>
      </c>
      <c r="K794" s="172" t="s">
        <v>177</v>
      </c>
      <c r="L794" s="172" t="s">
        <v>175</v>
      </c>
      <c r="M794" s="173" t="str" cm="1">
        <f t="array" ref="M794">IFERROR(INDEX(CategoriesTable[Category type],MATCH(Table1[[#This Row],[Category]],CategoriesTable[Category name],0),0),"")</f>
        <v>Expense</v>
      </c>
      <c r="N794" s="173">
        <v>17</v>
      </c>
      <c r="O794" s="173">
        <f>MONTH(Table1[[#This Row],[Date]])</f>
        <v>4</v>
      </c>
      <c r="P794" s="173">
        <v>2020</v>
      </c>
      <c r="Q794" s="174">
        <f>IF(ISBLANK(Table1[[#This Row],[Date]]),"",Table1[[#This Row],[Date]]-WEEKDAY(Table1[[#This Row],[Date]],2)+1)</f>
        <v>43934</v>
      </c>
      <c r="R794" s="175">
        <f>IF(ISBLANK(Table1[[#This Row],[Date]]),"",DATE(Table1[[#This Row],[Date_Year]],Table1[[#This Row],[Date_Month]],1))</f>
        <v>43922</v>
      </c>
    </row>
    <row r="795" spans="2:18" ht="15.75" hidden="1" x14ac:dyDescent="0.25">
      <c r="B795" s="165">
        <v>43938</v>
      </c>
      <c r="C795" s="166" t="s">
        <v>121</v>
      </c>
      <c r="D795" s="166" t="s">
        <v>65</v>
      </c>
      <c r="E795" s="167"/>
      <c r="F795" s="114">
        <v>-5.38</v>
      </c>
      <c r="G795" s="168"/>
      <c r="H795" s="169"/>
      <c r="I795" s="170"/>
      <c r="J795" s="171" t="s">
        <v>1041</v>
      </c>
      <c r="K795" s="172" t="s">
        <v>177</v>
      </c>
      <c r="L795" s="172" t="s">
        <v>175</v>
      </c>
      <c r="M795" s="173" t="str" cm="1">
        <f t="array" ref="M795">IFERROR(INDEX(CategoriesTable[Category type],MATCH(Table1[[#This Row],[Category]],CategoriesTable[Category name],0),0),"")</f>
        <v>Expense</v>
      </c>
      <c r="N795" s="173">
        <v>17</v>
      </c>
      <c r="O795" s="173">
        <f>MONTH(Table1[[#This Row],[Date]])</f>
        <v>4</v>
      </c>
      <c r="P795" s="173">
        <v>2020</v>
      </c>
      <c r="Q795" s="174">
        <f>IF(ISBLANK(Table1[[#This Row],[Date]]),"",Table1[[#This Row],[Date]]-WEEKDAY(Table1[[#This Row],[Date]],2)+1)</f>
        <v>43934</v>
      </c>
      <c r="R795" s="175">
        <f>IF(ISBLANK(Table1[[#This Row],[Date]]),"",DATE(Table1[[#This Row],[Date_Year]],Table1[[#This Row],[Date_Month]],1))</f>
        <v>43922</v>
      </c>
    </row>
    <row r="796" spans="2:18" ht="15.75" hidden="1" x14ac:dyDescent="0.25">
      <c r="B796" s="165">
        <v>43938</v>
      </c>
      <c r="C796" s="166" t="s">
        <v>193</v>
      </c>
      <c r="D796" s="166" t="s">
        <v>58</v>
      </c>
      <c r="E796" s="167"/>
      <c r="F796" s="114">
        <v>-35.61</v>
      </c>
      <c r="G796" s="168"/>
      <c r="H796" s="169"/>
      <c r="I796" s="170"/>
      <c r="J796" s="171" t="s">
        <v>1042</v>
      </c>
      <c r="K796" s="172" t="s">
        <v>177</v>
      </c>
      <c r="L796" s="172" t="s">
        <v>175</v>
      </c>
      <c r="M796" s="173" t="str" cm="1">
        <f t="array" ref="M796">IFERROR(INDEX(CategoriesTable[Category type],MATCH(Table1[[#This Row],[Category]],CategoriesTable[Category name],0),0),"")</f>
        <v>Expense</v>
      </c>
      <c r="N796" s="173">
        <v>17</v>
      </c>
      <c r="O796" s="173">
        <f>MONTH(Table1[[#This Row],[Date]])</f>
        <v>4</v>
      </c>
      <c r="P796" s="173">
        <v>2020</v>
      </c>
      <c r="Q796" s="174">
        <f>IF(ISBLANK(Table1[[#This Row],[Date]]),"",Table1[[#This Row],[Date]]-WEEKDAY(Table1[[#This Row],[Date]],2)+1)</f>
        <v>43934</v>
      </c>
      <c r="R796" s="175">
        <f>IF(ISBLANK(Table1[[#This Row],[Date]]),"",DATE(Table1[[#This Row],[Date_Year]],Table1[[#This Row],[Date_Month]],1))</f>
        <v>43922</v>
      </c>
    </row>
    <row r="797" spans="2:18" ht="15.75" hidden="1" x14ac:dyDescent="0.25">
      <c r="B797" s="165">
        <v>43937</v>
      </c>
      <c r="C797" s="166" t="s">
        <v>1043</v>
      </c>
      <c r="D797" s="166" t="s">
        <v>65</v>
      </c>
      <c r="E797" s="167"/>
      <c r="F797" s="114">
        <v>-34.61</v>
      </c>
      <c r="G797" s="168"/>
      <c r="H797" s="169"/>
      <c r="I797" s="170"/>
      <c r="J797" s="171" t="s">
        <v>1044</v>
      </c>
      <c r="K797" s="172" t="s">
        <v>177</v>
      </c>
      <c r="L797" s="172" t="s">
        <v>175</v>
      </c>
      <c r="M797" s="173" t="str" cm="1">
        <f t="array" ref="M797">IFERROR(INDEX(CategoriesTable[Category type],MATCH(Table1[[#This Row],[Category]],CategoriesTable[Category name],0),0),"")</f>
        <v>Expense</v>
      </c>
      <c r="N797" s="173">
        <v>16</v>
      </c>
      <c r="O797" s="173">
        <f>MONTH(Table1[[#This Row],[Date]])</f>
        <v>4</v>
      </c>
      <c r="P797" s="173">
        <v>2020</v>
      </c>
      <c r="Q797" s="174">
        <f>IF(ISBLANK(Table1[[#This Row],[Date]]),"",Table1[[#This Row],[Date]]-WEEKDAY(Table1[[#This Row],[Date]],2)+1)</f>
        <v>43934</v>
      </c>
      <c r="R797" s="175">
        <f>IF(ISBLANK(Table1[[#This Row],[Date]]),"",DATE(Table1[[#This Row],[Date_Year]],Table1[[#This Row],[Date_Month]],1))</f>
        <v>43922</v>
      </c>
    </row>
    <row r="798" spans="2:18" ht="15.75" hidden="1" x14ac:dyDescent="0.25">
      <c r="B798" s="165">
        <v>43937</v>
      </c>
      <c r="C798" s="166" t="s">
        <v>606</v>
      </c>
      <c r="D798" s="166" t="s">
        <v>55</v>
      </c>
      <c r="E798" s="167"/>
      <c r="F798" s="114">
        <v>-79.849999999999994</v>
      </c>
      <c r="G798" s="168"/>
      <c r="H798" s="169"/>
      <c r="I798" s="170"/>
      <c r="J798" s="171" t="s">
        <v>1045</v>
      </c>
      <c r="K798" s="172" t="s">
        <v>177</v>
      </c>
      <c r="L798" s="172" t="s">
        <v>175</v>
      </c>
      <c r="M798" s="173" t="str" cm="1">
        <f t="array" ref="M798">IFERROR(INDEX(CategoriesTable[Category type],MATCH(Table1[[#This Row],[Category]],CategoriesTable[Category name],0),0),"")</f>
        <v>Expense</v>
      </c>
      <c r="N798" s="173">
        <v>16</v>
      </c>
      <c r="O798" s="173">
        <f>MONTH(Table1[[#This Row],[Date]])</f>
        <v>4</v>
      </c>
      <c r="P798" s="173">
        <v>2020</v>
      </c>
      <c r="Q798" s="174">
        <f>IF(ISBLANK(Table1[[#This Row],[Date]]),"",Table1[[#This Row],[Date]]-WEEKDAY(Table1[[#This Row],[Date]],2)+1)</f>
        <v>43934</v>
      </c>
      <c r="R798" s="175">
        <f>IF(ISBLANK(Table1[[#This Row],[Date]]),"",DATE(Table1[[#This Row],[Date_Year]],Table1[[#This Row],[Date_Month]],1))</f>
        <v>43922</v>
      </c>
    </row>
    <row r="799" spans="2:18" ht="15.75" hidden="1" x14ac:dyDescent="0.25">
      <c r="B799" s="165">
        <v>43936</v>
      </c>
      <c r="C799" s="166" t="s">
        <v>120</v>
      </c>
      <c r="D799" s="166" t="s">
        <v>66</v>
      </c>
      <c r="E799" s="167"/>
      <c r="F799" s="114">
        <v>-11.87</v>
      </c>
      <c r="G799" s="168"/>
      <c r="H799" s="169"/>
      <c r="I799" s="170"/>
      <c r="J799" s="171" t="s">
        <v>1046</v>
      </c>
      <c r="K799" s="172" t="s">
        <v>177</v>
      </c>
      <c r="L799" s="172" t="s">
        <v>175</v>
      </c>
      <c r="M799" s="173" t="str" cm="1">
        <f t="array" ref="M799">IFERROR(INDEX(CategoriesTable[Category type],MATCH(Table1[[#This Row],[Category]],CategoriesTable[Category name],0),0),"")</f>
        <v>Expense</v>
      </c>
      <c r="N799" s="173">
        <v>15</v>
      </c>
      <c r="O799" s="173">
        <f>MONTH(Table1[[#This Row],[Date]])</f>
        <v>4</v>
      </c>
      <c r="P799" s="173">
        <v>2020</v>
      </c>
      <c r="Q799" s="174">
        <f>IF(ISBLANK(Table1[[#This Row],[Date]]),"",Table1[[#This Row],[Date]]-WEEKDAY(Table1[[#This Row],[Date]],2)+1)</f>
        <v>43934</v>
      </c>
      <c r="R799" s="175">
        <f>IF(ISBLANK(Table1[[#This Row],[Date]]),"",DATE(Table1[[#This Row],[Date_Year]],Table1[[#This Row],[Date_Month]],1))</f>
        <v>43922</v>
      </c>
    </row>
    <row r="800" spans="2:18" ht="15.75" hidden="1" x14ac:dyDescent="0.25">
      <c r="B800" s="165">
        <v>43936</v>
      </c>
      <c r="C800" s="166" t="s">
        <v>121</v>
      </c>
      <c r="D800" s="166" t="s">
        <v>65</v>
      </c>
      <c r="E800" s="167"/>
      <c r="F800" s="114">
        <v>-5.91</v>
      </c>
      <c r="G800" s="168"/>
      <c r="H800" s="169"/>
      <c r="I800" s="170"/>
      <c r="J800" s="171" t="s">
        <v>1047</v>
      </c>
      <c r="K800" s="172" t="s">
        <v>177</v>
      </c>
      <c r="L800" s="172" t="s">
        <v>175</v>
      </c>
      <c r="M800" s="173" t="str" cm="1">
        <f t="array" ref="M800">IFERROR(INDEX(CategoriesTable[Category type],MATCH(Table1[[#This Row],[Category]],CategoriesTable[Category name],0),0),"")</f>
        <v>Expense</v>
      </c>
      <c r="N800" s="173">
        <v>15</v>
      </c>
      <c r="O800" s="173">
        <f>MONTH(Table1[[#This Row],[Date]])</f>
        <v>4</v>
      </c>
      <c r="P800" s="173">
        <v>2020</v>
      </c>
      <c r="Q800" s="174">
        <f>IF(ISBLANK(Table1[[#This Row],[Date]]),"",Table1[[#This Row],[Date]]-WEEKDAY(Table1[[#This Row],[Date]],2)+1)</f>
        <v>43934</v>
      </c>
      <c r="R800" s="175">
        <f>IF(ISBLANK(Table1[[#This Row],[Date]]),"",DATE(Table1[[#This Row],[Date_Year]],Table1[[#This Row],[Date_Month]],1))</f>
        <v>43922</v>
      </c>
    </row>
    <row r="801" spans="2:18" ht="15.75" hidden="1" x14ac:dyDescent="0.25">
      <c r="B801" s="165">
        <v>43936</v>
      </c>
      <c r="C801" s="166" t="s">
        <v>941</v>
      </c>
      <c r="D801" s="166" t="s">
        <v>65</v>
      </c>
      <c r="E801" s="167"/>
      <c r="F801" s="114">
        <v>-22</v>
      </c>
      <c r="G801" s="168"/>
      <c r="H801" s="169"/>
      <c r="I801" s="170"/>
      <c r="J801" s="171" t="s">
        <v>1048</v>
      </c>
      <c r="K801" s="172" t="s">
        <v>177</v>
      </c>
      <c r="L801" s="172" t="s">
        <v>175</v>
      </c>
      <c r="M801" s="173" t="str" cm="1">
        <f t="array" ref="M801">IFERROR(INDEX(CategoriesTable[Category type],MATCH(Table1[[#This Row],[Category]],CategoriesTable[Category name],0),0),"")</f>
        <v>Expense</v>
      </c>
      <c r="N801" s="173">
        <v>15</v>
      </c>
      <c r="O801" s="173">
        <f>MONTH(Table1[[#This Row],[Date]])</f>
        <v>4</v>
      </c>
      <c r="P801" s="173">
        <v>2020</v>
      </c>
      <c r="Q801" s="174">
        <f>IF(ISBLANK(Table1[[#This Row],[Date]]),"",Table1[[#This Row],[Date]]-WEEKDAY(Table1[[#This Row],[Date]],2)+1)</f>
        <v>43934</v>
      </c>
      <c r="R801" s="175">
        <f>IF(ISBLANK(Table1[[#This Row],[Date]]),"",DATE(Table1[[#This Row],[Date_Year]],Table1[[#This Row],[Date_Month]],1))</f>
        <v>43922</v>
      </c>
    </row>
    <row r="802" spans="2:18" ht="15.75" hidden="1" x14ac:dyDescent="0.25">
      <c r="B802" s="165">
        <v>43936</v>
      </c>
      <c r="C802" s="166" t="s">
        <v>182</v>
      </c>
      <c r="D802" s="166" t="s">
        <v>55</v>
      </c>
      <c r="E802" s="167"/>
      <c r="F802" s="114">
        <v>-10.9</v>
      </c>
      <c r="G802" s="168"/>
      <c r="H802" s="169"/>
      <c r="I802" s="170"/>
      <c r="J802" s="171" t="s">
        <v>1049</v>
      </c>
      <c r="K802" s="172" t="s">
        <v>177</v>
      </c>
      <c r="L802" s="172" t="s">
        <v>175</v>
      </c>
      <c r="M802" s="173" t="str" cm="1">
        <f t="array" ref="M802">IFERROR(INDEX(CategoriesTable[Category type],MATCH(Table1[[#This Row],[Category]],CategoriesTable[Category name],0),0),"")</f>
        <v>Expense</v>
      </c>
      <c r="N802" s="173">
        <v>15</v>
      </c>
      <c r="O802" s="173">
        <f>MONTH(Table1[[#This Row],[Date]])</f>
        <v>4</v>
      </c>
      <c r="P802" s="173">
        <v>2020</v>
      </c>
      <c r="Q802" s="174">
        <f>IF(ISBLANK(Table1[[#This Row],[Date]]),"",Table1[[#This Row],[Date]]-WEEKDAY(Table1[[#This Row],[Date]],2)+1)</f>
        <v>43934</v>
      </c>
      <c r="R802" s="175">
        <f>IF(ISBLANK(Table1[[#This Row],[Date]]),"",DATE(Table1[[#This Row],[Date_Year]],Table1[[#This Row],[Date_Month]],1))</f>
        <v>43922</v>
      </c>
    </row>
    <row r="803" spans="2:18" ht="15.75" hidden="1" x14ac:dyDescent="0.25">
      <c r="B803" s="165">
        <v>43935</v>
      </c>
      <c r="C803" s="166" t="s">
        <v>135</v>
      </c>
      <c r="D803" s="166" t="s">
        <v>53</v>
      </c>
      <c r="E803" s="167"/>
      <c r="F803" s="114">
        <v>-29.55</v>
      </c>
      <c r="G803" s="168"/>
      <c r="H803" s="169"/>
      <c r="I803" s="170"/>
      <c r="J803" s="171" t="s">
        <v>1050</v>
      </c>
      <c r="K803" s="172" t="s">
        <v>177</v>
      </c>
      <c r="L803" s="172" t="s">
        <v>175</v>
      </c>
      <c r="M803" s="173" t="str" cm="1">
        <f t="array" ref="M803">IFERROR(INDEX(CategoriesTable[Category type],MATCH(Table1[[#This Row],[Category]],CategoriesTable[Category name],0),0),"")</f>
        <v>Expense</v>
      </c>
      <c r="N803" s="173">
        <v>14</v>
      </c>
      <c r="O803" s="173">
        <f>MONTH(Table1[[#This Row],[Date]])</f>
        <v>4</v>
      </c>
      <c r="P803" s="173">
        <v>2020</v>
      </c>
      <c r="Q803" s="174">
        <f>IF(ISBLANK(Table1[[#This Row],[Date]]),"",Table1[[#This Row],[Date]]-WEEKDAY(Table1[[#This Row],[Date]],2)+1)</f>
        <v>43934</v>
      </c>
      <c r="R803" s="175">
        <f>IF(ISBLANK(Table1[[#This Row],[Date]]),"",DATE(Table1[[#This Row],[Date_Year]],Table1[[#This Row],[Date_Month]],1))</f>
        <v>43922</v>
      </c>
    </row>
    <row r="804" spans="2:18" ht="15.75" hidden="1" x14ac:dyDescent="0.25">
      <c r="B804" s="165">
        <v>43935</v>
      </c>
      <c r="C804" s="166" t="s">
        <v>608</v>
      </c>
      <c r="D804" s="166" t="s">
        <v>66</v>
      </c>
      <c r="E804" s="167"/>
      <c r="F804" s="114">
        <v>-60</v>
      </c>
      <c r="G804" s="168"/>
      <c r="H804" s="169"/>
      <c r="I804" s="170"/>
      <c r="J804" s="171" t="s">
        <v>1051</v>
      </c>
      <c r="K804" s="172" t="s">
        <v>177</v>
      </c>
      <c r="L804" s="172" t="s">
        <v>175</v>
      </c>
      <c r="M804" s="173" t="str" cm="1">
        <f t="array" ref="M804">IFERROR(INDEX(CategoriesTable[Category type],MATCH(Table1[[#This Row],[Category]],CategoriesTable[Category name],0),0),"")</f>
        <v>Expense</v>
      </c>
      <c r="N804" s="173">
        <v>14</v>
      </c>
      <c r="O804" s="173">
        <f>MONTH(Table1[[#This Row],[Date]])</f>
        <v>4</v>
      </c>
      <c r="P804" s="173">
        <v>2020</v>
      </c>
      <c r="Q804" s="174">
        <f>IF(ISBLANK(Table1[[#This Row],[Date]]),"",Table1[[#This Row],[Date]]-WEEKDAY(Table1[[#This Row],[Date]],2)+1)</f>
        <v>43934</v>
      </c>
      <c r="R804" s="175">
        <f>IF(ISBLANK(Table1[[#This Row],[Date]]),"",DATE(Table1[[#This Row],[Date_Year]],Table1[[#This Row],[Date_Month]],1))</f>
        <v>43922</v>
      </c>
    </row>
    <row r="805" spans="2:18" ht="15.75" hidden="1" x14ac:dyDescent="0.25">
      <c r="B805" s="165">
        <v>43934</v>
      </c>
      <c r="C805" s="166" t="s">
        <v>121</v>
      </c>
      <c r="D805" s="166" t="s">
        <v>65</v>
      </c>
      <c r="E805" s="167"/>
      <c r="F805" s="114">
        <v>-11.32</v>
      </c>
      <c r="G805" s="168"/>
      <c r="H805" s="169"/>
      <c r="I805" s="170"/>
      <c r="J805" s="171" t="s">
        <v>1052</v>
      </c>
      <c r="K805" s="172" t="s">
        <v>177</v>
      </c>
      <c r="L805" s="172" t="s">
        <v>175</v>
      </c>
      <c r="M805" s="173" t="str" cm="1">
        <f t="array" ref="M805">IFERROR(INDEX(CategoriesTable[Category type],MATCH(Table1[[#This Row],[Category]],CategoriesTable[Category name],0),0),"")</f>
        <v>Expense</v>
      </c>
      <c r="N805" s="173">
        <v>13</v>
      </c>
      <c r="O805" s="173">
        <f>MONTH(Table1[[#This Row],[Date]])</f>
        <v>4</v>
      </c>
      <c r="P805" s="173">
        <v>2020</v>
      </c>
      <c r="Q805" s="174">
        <f>IF(ISBLANK(Table1[[#This Row],[Date]]),"",Table1[[#This Row],[Date]]-WEEKDAY(Table1[[#This Row],[Date]],2)+1)</f>
        <v>43934</v>
      </c>
      <c r="R805" s="175">
        <f>IF(ISBLANK(Table1[[#This Row],[Date]]),"",DATE(Table1[[#This Row],[Date_Year]],Table1[[#This Row],[Date_Month]],1))</f>
        <v>43922</v>
      </c>
    </row>
    <row r="806" spans="2:18" ht="15.75" hidden="1" x14ac:dyDescent="0.25">
      <c r="B806" s="165">
        <v>43934</v>
      </c>
      <c r="C806" s="166" t="s">
        <v>180</v>
      </c>
      <c r="D806" s="166" t="s">
        <v>52</v>
      </c>
      <c r="E806" s="167"/>
      <c r="F806" s="114">
        <v>-40</v>
      </c>
      <c r="G806" s="168"/>
      <c r="H806" s="169"/>
      <c r="I806" s="170"/>
      <c r="J806" s="171" t="s">
        <v>1053</v>
      </c>
      <c r="K806" s="172" t="s">
        <v>177</v>
      </c>
      <c r="L806" s="172" t="s">
        <v>175</v>
      </c>
      <c r="M806" s="173" t="str" cm="1">
        <f t="array" ref="M806">IFERROR(INDEX(CategoriesTable[Category type],MATCH(Table1[[#This Row],[Category]],CategoriesTable[Category name],0),0),"")</f>
        <v>Transfer</v>
      </c>
      <c r="N806" s="173">
        <v>13</v>
      </c>
      <c r="O806" s="173">
        <f>MONTH(Table1[[#This Row],[Date]])</f>
        <v>4</v>
      </c>
      <c r="P806" s="173">
        <v>2020</v>
      </c>
      <c r="Q806" s="174">
        <f>IF(ISBLANK(Table1[[#This Row],[Date]]),"",Table1[[#This Row],[Date]]-WEEKDAY(Table1[[#This Row],[Date]],2)+1)</f>
        <v>43934</v>
      </c>
      <c r="R806" s="175">
        <f>IF(ISBLANK(Table1[[#This Row],[Date]]),"",DATE(Table1[[#This Row],[Date_Year]],Table1[[#This Row],[Date_Month]],1))</f>
        <v>43922</v>
      </c>
    </row>
    <row r="807" spans="2:18" ht="15.75" hidden="1" x14ac:dyDescent="0.25">
      <c r="B807" s="165">
        <v>43933</v>
      </c>
      <c r="C807" s="166" t="s">
        <v>121</v>
      </c>
      <c r="D807" s="166" t="s">
        <v>65</v>
      </c>
      <c r="E807" s="167"/>
      <c r="F807" s="114">
        <v>-17.13</v>
      </c>
      <c r="G807" s="168"/>
      <c r="H807" s="169"/>
      <c r="I807" s="170"/>
      <c r="J807" s="171" t="s">
        <v>1054</v>
      </c>
      <c r="K807" s="172" t="s">
        <v>177</v>
      </c>
      <c r="L807" s="172" t="s">
        <v>175</v>
      </c>
      <c r="M807" s="173" t="str" cm="1">
        <f t="array" ref="M807">IFERROR(INDEX(CategoriesTable[Category type],MATCH(Table1[[#This Row],[Category]],CategoriesTable[Category name],0),0),"")</f>
        <v>Expense</v>
      </c>
      <c r="N807" s="173">
        <v>12</v>
      </c>
      <c r="O807" s="173">
        <f>MONTH(Table1[[#This Row],[Date]])</f>
        <v>4</v>
      </c>
      <c r="P807" s="173">
        <v>2020</v>
      </c>
      <c r="Q807" s="174">
        <f>IF(ISBLANK(Table1[[#This Row],[Date]]),"",Table1[[#This Row],[Date]]-WEEKDAY(Table1[[#This Row],[Date]],2)+1)</f>
        <v>43927</v>
      </c>
      <c r="R807" s="175">
        <f>IF(ISBLANK(Table1[[#This Row],[Date]]),"",DATE(Table1[[#This Row],[Date_Year]],Table1[[#This Row],[Date_Month]],1))</f>
        <v>43922</v>
      </c>
    </row>
    <row r="808" spans="2:18" ht="15.75" hidden="1" x14ac:dyDescent="0.25">
      <c r="B808" s="165">
        <v>43933</v>
      </c>
      <c r="C808" s="166" t="s">
        <v>193</v>
      </c>
      <c r="D808" s="166" t="s">
        <v>58</v>
      </c>
      <c r="E808" s="167"/>
      <c r="F808" s="114">
        <v>-21.79</v>
      </c>
      <c r="G808" s="168"/>
      <c r="H808" s="169"/>
      <c r="I808" s="170"/>
      <c r="J808" s="171" t="s">
        <v>1055</v>
      </c>
      <c r="K808" s="172" t="s">
        <v>177</v>
      </c>
      <c r="L808" s="172" t="s">
        <v>175</v>
      </c>
      <c r="M808" s="173" t="str" cm="1">
        <f t="array" ref="M808">IFERROR(INDEX(CategoriesTable[Category type],MATCH(Table1[[#This Row],[Category]],CategoriesTable[Category name],0),0),"")</f>
        <v>Expense</v>
      </c>
      <c r="N808" s="173">
        <v>12</v>
      </c>
      <c r="O808" s="173">
        <f>MONTH(Table1[[#This Row],[Date]])</f>
        <v>4</v>
      </c>
      <c r="P808" s="173">
        <v>2020</v>
      </c>
      <c r="Q808" s="174">
        <f>IF(ISBLANK(Table1[[#This Row],[Date]]),"",Table1[[#This Row],[Date]]-WEEKDAY(Table1[[#This Row],[Date]],2)+1)</f>
        <v>43927</v>
      </c>
      <c r="R808" s="175">
        <f>IF(ISBLANK(Table1[[#This Row],[Date]]),"",DATE(Table1[[#This Row],[Date_Year]],Table1[[#This Row],[Date_Month]],1))</f>
        <v>43922</v>
      </c>
    </row>
    <row r="809" spans="2:18" ht="15.75" hidden="1" x14ac:dyDescent="0.25">
      <c r="B809" s="165">
        <v>43932</v>
      </c>
      <c r="C809" s="166" t="s">
        <v>576</v>
      </c>
      <c r="D809" s="166" t="s">
        <v>58</v>
      </c>
      <c r="E809" s="167"/>
      <c r="F809" s="114">
        <v>-9.69</v>
      </c>
      <c r="G809" s="168"/>
      <c r="H809" s="169"/>
      <c r="I809" s="170"/>
      <c r="J809" s="171" t="s">
        <v>1056</v>
      </c>
      <c r="K809" s="172" t="s">
        <v>177</v>
      </c>
      <c r="L809" s="172" t="s">
        <v>175</v>
      </c>
      <c r="M809" s="173" t="str" cm="1">
        <f t="array" ref="M809">IFERROR(INDEX(CategoriesTable[Category type],MATCH(Table1[[#This Row],[Category]],CategoriesTable[Category name],0),0),"")</f>
        <v>Expense</v>
      </c>
      <c r="N809" s="173">
        <v>11</v>
      </c>
      <c r="O809" s="173">
        <f>MONTH(Table1[[#This Row],[Date]])</f>
        <v>4</v>
      </c>
      <c r="P809" s="173">
        <v>2020</v>
      </c>
      <c r="Q809" s="174">
        <f>IF(ISBLANK(Table1[[#This Row],[Date]]),"",Table1[[#This Row],[Date]]-WEEKDAY(Table1[[#This Row],[Date]],2)+1)</f>
        <v>43927</v>
      </c>
      <c r="R809" s="175">
        <f>IF(ISBLANK(Table1[[#This Row],[Date]]),"",DATE(Table1[[#This Row],[Date_Year]],Table1[[#This Row],[Date_Month]],1))</f>
        <v>43922</v>
      </c>
    </row>
    <row r="810" spans="2:18" ht="15.75" hidden="1" x14ac:dyDescent="0.25">
      <c r="B810" s="165">
        <v>43932</v>
      </c>
      <c r="C810" s="166" t="s">
        <v>120</v>
      </c>
      <c r="D810" s="166" t="s">
        <v>66</v>
      </c>
      <c r="E810" s="167"/>
      <c r="F810" s="114">
        <v>-41.48</v>
      </c>
      <c r="G810" s="168"/>
      <c r="H810" s="169"/>
      <c r="I810" s="170"/>
      <c r="J810" s="171" t="s">
        <v>1057</v>
      </c>
      <c r="K810" s="172" t="s">
        <v>177</v>
      </c>
      <c r="L810" s="172" t="s">
        <v>175</v>
      </c>
      <c r="M810" s="173" t="str" cm="1">
        <f t="array" ref="M810">IFERROR(INDEX(CategoriesTable[Category type],MATCH(Table1[[#This Row],[Category]],CategoriesTable[Category name],0),0),"")</f>
        <v>Expense</v>
      </c>
      <c r="N810" s="173">
        <v>11</v>
      </c>
      <c r="O810" s="173">
        <f>MONTH(Table1[[#This Row],[Date]])</f>
        <v>4</v>
      </c>
      <c r="P810" s="173">
        <v>2020</v>
      </c>
      <c r="Q810" s="174">
        <f>IF(ISBLANK(Table1[[#This Row],[Date]]),"",Table1[[#This Row],[Date]]-WEEKDAY(Table1[[#This Row],[Date]],2)+1)</f>
        <v>43927</v>
      </c>
      <c r="R810" s="175">
        <f>IF(ISBLANK(Table1[[#This Row],[Date]]),"",DATE(Table1[[#This Row],[Date_Year]],Table1[[#This Row],[Date_Month]],1))</f>
        <v>43922</v>
      </c>
    </row>
    <row r="811" spans="2:18" ht="15.75" hidden="1" x14ac:dyDescent="0.25">
      <c r="B811" s="165">
        <v>43932</v>
      </c>
      <c r="C811" s="166" t="s">
        <v>800</v>
      </c>
      <c r="D811" s="166" t="s">
        <v>65</v>
      </c>
      <c r="E811" s="167"/>
      <c r="F811" s="114">
        <v>-14.72</v>
      </c>
      <c r="G811" s="168"/>
      <c r="H811" s="169"/>
      <c r="I811" s="170"/>
      <c r="J811" s="171" t="s">
        <v>1058</v>
      </c>
      <c r="K811" s="172" t="s">
        <v>177</v>
      </c>
      <c r="L811" s="172" t="s">
        <v>175</v>
      </c>
      <c r="M811" s="173" t="str" cm="1">
        <f t="array" ref="M811">IFERROR(INDEX(CategoriesTable[Category type],MATCH(Table1[[#This Row],[Category]],CategoriesTable[Category name],0),0),"")</f>
        <v>Expense</v>
      </c>
      <c r="N811" s="173">
        <v>11</v>
      </c>
      <c r="O811" s="173">
        <f>MONTH(Table1[[#This Row],[Date]])</f>
        <v>4</v>
      </c>
      <c r="P811" s="173">
        <v>2020</v>
      </c>
      <c r="Q811" s="174">
        <f>IF(ISBLANK(Table1[[#This Row],[Date]]),"",Table1[[#This Row],[Date]]-WEEKDAY(Table1[[#This Row],[Date]],2)+1)</f>
        <v>43927</v>
      </c>
      <c r="R811" s="175">
        <f>IF(ISBLANK(Table1[[#This Row],[Date]]),"",DATE(Table1[[#This Row],[Date_Year]],Table1[[#This Row],[Date_Month]],1))</f>
        <v>43922</v>
      </c>
    </row>
    <row r="812" spans="2:18" ht="15.75" hidden="1" x14ac:dyDescent="0.25">
      <c r="B812" s="165">
        <v>43931</v>
      </c>
      <c r="C812" s="166" t="s">
        <v>128</v>
      </c>
      <c r="D812" s="166" t="s">
        <v>53</v>
      </c>
      <c r="E812" s="167"/>
      <c r="F812" s="114">
        <v>-17.64</v>
      </c>
      <c r="G812" s="168"/>
      <c r="H812" s="169"/>
      <c r="I812" s="170"/>
      <c r="J812" s="171" t="s">
        <v>1059</v>
      </c>
      <c r="K812" s="172" t="s">
        <v>177</v>
      </c>
      <c r="L812" s="172" t="s">
        <v>175</v>
      </c>
      <c r="M812" s="173" t="str" cm="1">
        <f t="array" ref="M812">IFERROR(INDEX(CategoriesTable[Category type],MATCH(Table1[[#This Row],[Category]],CategoriesTable[Category name],0),0),"")</f>
        <v>Expense</v>
      </c>
      <c r="N812" s="173">
        <v>10</v>
      </c>
      <c r="O812" s="173">
        <f>MONTH(Table1[[#This Row],[Date]])</f>
        <v>4</v>
      </c>
      <c r="P812" s="173">
        <v>2020</v>
      </c>
      <c r="Q812" s="174">
        <f>IF(ISBLANK(Table1[[#This Row],[Date]]),"",Table1[[#This Row],[Date]]-WEEKDAY(Table1[[#This Row],[Date]],2)+1)</f>
        <v>43927</v>
      </c>
      <c r="R812" s="175">
        <f>IF(ISBLANK(Table1[[#This Row],[Date]]),"",DATE(Table1[[#This Row],[Date_Year]],Table1[[#This Row],[Date_Month]],1))</f>
        <v>43922</v>
      </c>
    </row>
    <row r="813" spans="2:18" ht="15.75" hidden="1" x14ac:dyDescent="0.25">
      <c r="B813" s="165">
        <v>43931</v>
      </c>
      <c r="C813" s="166" t="s">
        <v>121</v>
      </c>
      <c r="D813" s="166" t="s">
        <v>65</v>
      </c>
      <c r="E813" s="167"/>
      <c r="F813" s="114">
        <v>-20.39</v>
      </c>
      <c r="G813" s="168"/>
      <c r="H813" s="169"/>
      <c r="I813" s="170"/>
      <c r="J813" s="171" t="s">
        <v>1060</v>
      </c>
      <c r="K813" s="172" t="s">
        <v>177</v>
      </c>
      <c r="L813" s="172" t="s">
        <v>175</v>
      </c>
      <c r="M813" s="173" t="str" cm="1">
        <f t="array" ref="M813">IFERROR(INDEX(CategoriesTable[Category type],MATCH(Table1[[#This Row],[Category]],CategoriesTable[Category name],0),0),"")</f>
        <v>Expense</v>
      </c>
      <c r="N813" s="173">
        <v>10</v>
      </c>
      <c r="O813" s="173">
        <f>MONTH(Table1[[#This Row],[Date]])</f>
        <v>4</v>
      </c>
      <c r="P813" s="173">
        <v>2020</v>
      </c>
      <c r="Q813" s="174">
        <f>IF(ISBLANK(Table1[[#This Row],[Date]]),"",Table1[[#This Row],[Date]]-WEEKDAY(Table1[[#This Row],[Date]],2)+1)</f>
        <v>43927</v>
      </c>
      <c r="R813" s="175">
        <f>IF(ISBLANK(Table1[[#This Row],[Date]]),"",DATE(Table1[[#This Row],[Date_Year]],Table1[[#This Row],[Date_Month]],1))</f>
        <v>43922</v>
      </c>
    </row>
    <row r="814" spans="2:18" ht="15.75" hidden="1" x14ac:dyDescent="0.25">
      <c r="B814" s="165">
        <v>43931</v>
      </c>
      <c r="C814" s="166" t="s">
        <v>133</v>
      </c>
      <c r="D814" s="166" t="s">
        <v>65</v>
      </c>
      <c r="E814" s="167"/>
      <c r="F814" s="114">
        <v>-15.45</v>
      </c>
      <c r="G814" s="168"/>
      <c r="H814" s="169"/>
      <c r="I814" s="170"/>
      <c r="J814" s="171" t="s">
        <v>1061</v>
      </c>
      <c r="K814" s="172" t="s">
        <v>177</v>
      </c>
      <c r="L814" s="172" t="s">
        <v>175</v>
      </c>
      <c r="M814" s="173" t="str" cm="1">
        <f t="array" ref="M814">IFERROR(INDEX(CategoriesTable[Category type],MATCH(Table1[[#This Row],[Category]],CategoriesTable[Category name],0),0),"")</f>
        <v>Expense</v>
      </c>
      <c r="N814" s="173">
        <v>10</v>
      </c>
      <c r="O814" s="173">
        <f>MONTH(Table1[[#This Row],[Date]])</f>
        <v>4</v>
      </c>
      <c r="P814" s="173">
        <v>2020</v>
      </c>
      <c r="Q814" s="174">
        <f>IF(ISBLANK(Table1[[#This Row],[Date]]),"",Table1[[#This Row],[Date]]-WEEKDAY(Table1[[#This Row],[Date]],2)+1)</f>
        <v>43927</v>
      </c>
      <c r="R814" s="175">
        <f>IF(ISBLANK(Table1[[#This Row],[Date]]),"",DATE(Table1[[#This Row],[Date_Year]],Table1[[#This Row],[Date_Month]],1))</f>
        <v>43922</v>
      </c>
    </row>
    <row r="815" spans="2:18" ht="15.75" hidden="1" x14ac:dyDescent="0.25">
      <c r="B815" s="165">
        <v>43931</v>
      </c>
      <c r="C815" s="166" t="s">
        <v>180</v>
      </c>
      <c r="D815" s="166" t="s">
        <v>52</v>
      </c>
      <c r="E815" s="167"/>
      <c r="F815" s="114">
        <v>-20</v>
      </c>
      <c r="G815" s="168"/>
      <c r="H815" s="169"/>
      <c r="I815" s="170"/>
      <c r="J815" s="171" t="s">
        <v>1062</v>
      </c>
      <c r="K815" s="172" t="s">
        <v>177</v>
      </c>
      <c r="L815" s="172" t="s">
        <v>175</v>
      </c>
      <c r="M815" s="173" t="str" cm="1">
        <f t="array" ref="M815">IFERROR(INDEX(CategoriesTable[Category type],MATCH(Table1[[#This Row],[Category]],CategoriesTable[Category name],0),0),"")</f>
        <v>Transfer</v>
      </c>
      <c r="N815" s="173">
        <v>10</v>
      </c>
      <c r="O815" s="173">
        <f>MONTH(Table1[[#This Row],[Date]])</f>
        <v>4</v>
      </c>
      <c r="P815" s="173">
        <v>2020</v>
      </c>
      <c r="Q815" s="174">
        <f>IF(ISBLANK(Table1[[#This Row],[Date]]),"",Table1[[#This Row],[Date]]-WEEKDAY(Table1[[#This Row],[Date]],2)+1)</f>
        <v>43927</v>
      </c>
      <c r="R815" s="175">
        <f>IF(ISBLANK(Table1[[#This Row],[Date]]),"",DATE(Table1[[#This Row],[Date_Year]],Table1[[#This Row],[Date_Month]],1))</f>
        <v>43922</v>
      </c>
    </row>
    <row r="816" spans="2:18" ht="15.75" hidden="1" x14ac:dyDescent="0.25">
      <c r="B816" s="165">
        <v>43931</v>
      </c>
      <c r="C816" s="166" t="s">
        <v>120</v>
      </c>
      <c r="D816" s="166" t="s">
        <v>66</v>
      </c>
      <c r="E816" s="167"/>
      <c r="F816" s="114">
        <v>-23.13</v>
      </c>
      <c r="G816" s="168"/>
      <c r="H816" s="169"/>
      <c r="I816" s="170"/>
      <c r="J816" s="171" t="s">
        <v>1063</v>
      </c>
      <c r="K816" s="172" t="s">
        <v>177</v>
      </c>
      <c r="L816" s="172" t="s">
        <v>175</v>
      </c>
      <c r="M816" s="173" t="str" cm="1">
        <f t="array" ref="M816">IFERROR(INDEX(CategoriesTable[Category type],MATCH(Table1[[#This Row],[Category]],CategoriesTable[Category name],0),0),"")</f>
        <v>Expense</v>
      </c>
      <c r="N816" s="173">
        <v>10</v>
      </c>
      <c r="O816" s="173">
        <f>MONTH(Table1[[#This Row],[Date]])</f>
        <v>4</v>
      </c>
      <c r="P816" s="173">
        <v>2020</v>
      </c>
      <c r="Q816" s="174">
        <f>IF(ISBLANK(Table1[[#This Row],[Date]]),"",Table1[[#This Row],[Date]]-WEEKDAY(Table1[[#This Row],[Date]],2)+1)</f>
        <v>43927</v>
      </c>
      <c r="R816" s="175">
        <f>IF(ISBLANK(Table1[[#This Row],[Date]]),"",DATE(Table1[[#This Row],[Date_Year]],Table1[[#This Row],[Date_Month]],1))</f>
        <v>43922</v>
      </c>
    </row>
    <row r="817" spans="2:18" ht="15.75" hidden="1" x14ac:dyDescent="0.25">
      <c r="B817" s="165">
        <v>43930</v>
      </c>
      <c r="C817" s="166" t="s">
        <v>576</v>
      </c>
      <c r="D817" s="166" t="s">
        <v>58</v>
      </c>
      <c r="E817" s="167"/>
      <c r="F817" s="114">
        <v>-11.97</v>
      </c>
      <c r="G817" s="168"/>
      <c r="H817" s="169"/>
      <c r="I817" s="170"/>
      <c r="J817" s="171" t="s">
        <v>1064</v>
      </c>
      <c r="K817" s="172" t="s">
        <v>177</v>
      </c>
      <c r="L817" s="172" t="s">
        <v>175</v>
      </c>
      <c r="M817" s="173" t="str" cm="1">
        <f t="array" ref="M817">IFERROR(INDEX(CategoriesTable[Category type],MATCH(Table1[[#This Row],[Category]],CategoriesTable[Category name],0),0),"")</f>
        <v>Expense</v>
      </c>
      <c r="N817" s="173">
        <v>9</v>
      </c>
      <c r="O817" s="173">
        <f>MONTH(Table1[[#This Row],[Date]])</f>
        <v>4</v>
      </c>
      <c r="P817" s="173">
        <v>2020</v>
      </c>
      <c r="Q817" s="174">
        <f>IF(ISBLANK(Table1[[#This Row],[Date]]),"",Table1[[#This Row],[Date]]-WEEKDAY(Table1[[#This Row],[Date]],2)+1)</f>
        <v>43927</v>
      </c>
      <c r="R817" s="175">
        <f>IF(ISBLANK(Table1[[#This Row],[Date]]),"",DATE(Table1[[#This Row],[Date_Year]],Table1[[#This Row],[Date_Month]],1))</f>
        <v>43922</v>
      </c>
    </row>
    <row r="818" spans="2:18" ht="15.75" hidden="1" x14ac:dyDescent="0.25">
      <c r="B818" s="165">
        <v>43930</v>
      </c>
      <c r="C818" s="166" t="s">
        <v>504</v>
      </c>
      <c r="D818" s="166" t="s">
        <v>66</v>
      </c>
      <c r="E818" s="167"/>
      <c r="F818" s="114">
        <v>-19.399999999999999</v>
      </c>
      <c r="G818" s="168"/>
      <c r="H818" s="169"/>
      <c r="I818" s="170"/>
      <c r="J818" s="171" t="s">
        <v>1065</v>
      </c>
      <c r="K818" s="172" t="s">
        <v>177</v>
      </c>
      <c r="L818" s="172" t="s">
        <v>175</v>
      </c>
      <c r="M818" s="173" t="str" cm="1">
        <f t="array" ref="M818">IFERROR(INDEX(CategoriesTable[Category type],MATCH(Table1[[#This Row],[Category]],CategoriesTable[Category name],0),0),"")</f>
        <v>Expense</v>
      </c>
      <c r="N818" s="173">
        <v>9</v>
      </c>
      <c r="O818" s="173">
        <f>MONTH(Table1[[#This Row],[Date]])</f>
        <v>4</v>
      </c>
      <c r="P818" s="173">
        <v>2020</v>
      </c>
      <c r="Q818" s="174">
        <f>IF(ISBLANK(Table1[[#This Row],[Date]]),"",Table1[[#This Row],[Date]]-WEEKDAY(Table1[[#This Row],[Date]],2)+1)</f>
        <v>43927</v>
      </c>
      <c r="R818" s="175">
        <f>IF(ISBLANK(Table1[[#This Row],[Date]]),"",DATE(Table1[[#This Row],[Date_Year]],Table1[[#This Row],[Date_Month]],1))</f>
        <v>43922</v>
      </c>
    </row>
    <row r="819" spans="2:18" ht="15.75" hidden="1" x14ac:dyDescent="0.25">
      <c r="B819" s="165">
        <v>43930</v>
      </c>
      <c r="C819" s="166" t="s">
        <v>121</v>
      </c>
      <c r="D819" s="166" t="s">
        <v>65</v>
      </c>
      <c r="E819" s="167"/>
      <c r="F819" s="114">
        <v>-5.28</v>
      </c>
      <c r="G819" s="168"/>
      <c r="H819" s="169"/>
      <c r="I819" s="170"/>
      <c r="J819" s="171" t="s">
        <v>1066</v>
      </c>
      <c r="K819" s="172" t="s">
        <v>177</v>
      </c>
      <c r="L819" s="172" t="s">
        <v>175</v>
      </c>
      <c r="M819" s="173" t="str" cm="1">
        <f t="array" ref="M819">IFERROR(INDEX(CategoriesTable[Category type],MATCH(Table1[[#This Row],[Category]],CategoriesTable[Category name],0),0),"")</f>
        <v>Expense</v>
      </c>
      <c r="N819" s="173">
        <v>9</v>
      </c>
      <c r="O819" s="173">
        <f>MONTH(Table1[[#This Row],[Date]])</f>
        <v>4</v>
      </c>
      <c r="P819" s="173">
        <v>2020</v>
      </c>
      <c r="Q819" s="174">
        <f>IF(ISBLANK(Table1[[#This Row],[Date]]),"",Table1[[#This Row],[Date]]-WEEKDAY(Table1[[#This Row],[Date]],2)+1)</f>
        <v>43927</v>
      </c>
      <c r="R819" s="175">
        <f>IF(ISBLANK(Table1[[#This Row],[Date]]),"",DATE(Table1[[#This Row],[Date_Year]],Table1[[#This Row],[Date_Month]],1))</f>
        <v>43922</v>
      </c>
    </row>
    <row r="820" spans="2:18" ht="15.75" hidden="1" x14ac:dyDescent="0.25">
      <c r="B820" s="165">
        <v>43929</v>
      </c>
      <c r="C820" s="166" t="s">
        <v>576</v>
      </c>
      <c r="D820" s="166" t="s">
        <v>58</v>
      </c>
      <c r="E820" s="167"/>
      <c r="F820" s="114">
        <v>-12.39</v>
      </c>
      <c r="G820" s="168"/>
      <c r="H820" s="169"/>
      <c r="I820" s="170"/>
      <c r="J820" s="171" t="s">
        <v>1067</v>
      </c>
      <c r="K820" s="172" t="s">
        <v>177</v>
      </c>
      <c r="L820" s="172" t="s">
        <v>175</v>
      </c>
      <c r="M820" s="173" t="str" cm="1">
        <f t="array" ref="M820">IFERROR(INDEX(CategoriesTable[Category type],MATCH(Table1[[#This Row],[Category]],CategoriesTable[Category name],0),0),"")</f>
        <v>Expense</v>
      </c>
      <c r="N820" s="173">
        <v>8</v>
      </c>
      <c r="O820" s="173">
        <f>MONTH(Table1[[#This Row],[Date]])</f>
        <v>4</v>
      </c>
      <c r="P820" s="173">
        <v>2020</v>
      </c>
      <c r="Q820" s="174">
        <f>IF(ISBLANK(Table1[[#This Row],[Date]]),"",Table1[[#This Row],[Date]]-WEEKDAY(Table1[[#This Row],[Date]],2)+1)</f>
        <v>43927</v>
      </c>
      <c r="R820" s="175">
        <f>IF(ISBLANK(Table1[[#This Row],[Date]]),"",DATE(Table1[[#This Row],[Date_Year]],Table1[[#This Row],[Date_Month]],1))</f>
        <v>43922</v>
      </c>
    </row>
    <row r="821" spans="2:18" ht="15.75" hidden="1" x14ac:dyDescent="0.25">
      <c r="B821" s="165">
        <v>43929</v>
      </c>
      <c r="C821" s="166" t="s">
        <v>148</v>
      </c>
      <c r="D821" s="166" t="s">
        <v>65</v>
      </c>
      <c r="E821" s="167"/>
      <c r="F821" s="114">
        <v>-10.050000000000001</v>
      </c>
      <c r="G821" s="168"/>
      <c r="H821" s="169"/>
      <c r="I821" s="170"/>
      <c r="J821" s="171" t="s">
        <v>1068</v>
      </c>
      <c r="K821" s="172" t="s">
        <v>177</v>
      </c>
      <c r="L821" s="172" t="s">
        <v>175</v>
      </c>
      <c r="M821" s="173" t="str" cm="1">
        <f t="array" ref="M821">IFERROR(INDEX(CategoriesTable[Category type],MATCH(Table1[[#This Row],[Category]],CategoriesTable[Category name],0),0),"")</f>
        <v>Expense</v>
      </c>
      <c r="N821" s="173">
        <v>8</v>
      </c>
      <c r="O821" s="173">
        <f>MONTH(Table1[[#This Row],[Date]])</f>
        <v>4</v>
      </c>
      <c r="P821" s="173">
        <v>2020</v>
      </c>
      <c r="Q821" s="174">
        <f>IF(ISBLANK(Table1[[#This Row],[Date]]),"",Table1[[#This Row],[Date]]-WEEKDAY(Table1[[#This Row],[Date]],2)+1)</f>
        <v>43927</v>
      </c>
      <c r="R821" s="175">
        <f>IF(ISBLANK(Table1[[#This Row],[Date]]),"",DATE(Table1[[#This Row],[Date_Year]],Table1[[#This Row],[Date_Month]],1))</f>
        <v>43922</v>
      </c>
    </row>
    <row r="822" spans="2:18" ht="15.75" hidden="1" x14ac:dyDescent="0.25">
      <c r="B822" s="165">
        <v>43929</v>
      </c>
      <c r="C822" s="166" t="s">
        <v>180</v>
      </c>
      <c r="D822" s="166" t="s">
        <v>52</v>
      </c>
      <c r="E822" s="167"/>
      <c r="F822" s="114">
        <v>-60</v>
      </c>
      <c r="G822" s="168"/>
      <c r="H822" s="169"/>
      <c r="I822" s="170"/>
      <c r="J822" s="171" t="s">
        <v>1069</v>
      </c>
      <c r="K822" s="172" t="s">
        <v>177</v>
      </c>
      <c r="L822" s="172" t="s">
        <v>175</v>
      </c>
      <c r="M822" s="173" t="str" cm="1">
        <f t="array" ref="M822">IFERROR(INDEX(CategoriesTable[Category type],MATCH(Table1[[#This Row],[Category]],CategoriesTable[Category name],0),0),"")</f>
        <v>Transfer</v>
      </c>
      <c r="N822" s="173">
        <v>8</v>
      </c>
      <c r="O822" s="173">
        <f>MONTH(Table1[[#This Row],[Date]])</f>
        <v>4</v>
      </c>
      <c r="P822" s="173">
        <v>2020</v>
      </c>
      <c r="Q822" s="174">
        <f>IF(ISBLANK(Table1[[#This Row],[Date]]),"",Table1[[#This Row],[Date]]-WEEKDAY(Table1[[#This Row],[Date]],2)+1)</f>
        <v>43927</v>
      </c>
      <c r="R822" s="175">
        <f>IF(ISBLANK(Table1[[#This Row],[Date]]),"",DATE(Table1[[#This Row],[Date_Year]],Table1[[#This Row],[Date_Month]],1))</f>
        <v>43922</v>
      </c>
    </row>
    <row r="823" spans="2:18" ht="15.75" hidden="1" x14ac:dyDescent="0.25">
      <c r="B823" s="165">
        <v>43929</v>
      </c>
      <c r="C823" s="166" t="s">
        <v>680</v>
      </c>
      <c r="D823" s="166" t="s">
        <v>62</v>
      </c>
      <c r="E823" s="167"/>
      <c r="F823" s="114">
        <v>-359.73</v>
      </c>
      <c r="G823" s="168"/>
      <c r="H823" s="169"/>
      <c r="I823" s="170"/>
      <c r="J823" s="171" t="s">
        <v>1070</v>
      </c>
      <c r="K823" s="172" t="s">
        <v>177</v>
      </c>
      <c r="L823" s="172" t="s">
        <v>175</v>
      </c>
      <c r="M823" s="173" t="str" cm="1">
        <f t="array" ref="M823">IFERROR(INDEX(CategoriesTable[Category type],MATCH(Table1[[#This Row],[Category]],CategoriesTable[Category name],0),0),"")</f>
        <v>Expense</v>
      </c>
      <c r="N823" s="173">
        <v>8</v>
      </c>
      <c r="O823" s="173">
        <f>MONTH(Table1[[#This Row],[Date]])</f>
        <v>4</v>
      </c>
      <c r="P823" s="173">
        <v>2020</v>
      </c>
      <c r="Q823" s="174">
        <f>IF(ISBLANK(Table1[[#This Row],[Date]]),"",Table1[[#This Row],[Date]]-WEEKDAY(Table1[[#This Row],[Date]],2)+1)</f>
        <v>43927</v>
      </c>
      <c r="R823" s="175">
        <f>IF(ISBLANK(Table1[[#This Row],[Date]]),"",DATE(Table1[[#This Row],[Date_Year]],Table1[[#This Row],[Date_Month]],1))</f>
        <v>43922</v>
      </c>
    </row>
    <row r="824" spans="2:18" ht="15.75" hidden="1" x14ac:dyDescent="0.25">
      <c r="B824" s="165">
        <v>43928</v>
      </c>
      <c r="C824" s="166" t="s">
        <v>738</v>
      </c>
      <c r="D824" s="166" t="s">
        <v>55</v>
      </c>
      <c r="E824" s="167"/>
      <c r="F824" s="114">
        <v>-173.83</v>
      </c>
      <c r="G824" s="168"/>
      <c r="H824" s="169"/>
      <c r="I824" s="170"/>
      <c r="J824" s="171" t="s">
        <v>1071</v>
      </c>
      <c r="K824" s="172" t="s">
        <v>177</v>
      </c>
      <c r="L824" s="172" t="s">
        <v>175</v>
      </c>
      <c r="M824" s="173" t="str" cm="1">
        <f t="array" ref="M824">IFERROR(INDEX(CategoriesTable[Category type],MATCH(Table1[[#This Row],[Category]],CategoriesTable[Category name],0),0),"")</f>
        <v>Expense</v>
      </c>
      <c r="N824" s="173">
        <v>7</v>
      </c>
      <c r="O824" s="173">
        <f>MONTH(Table1[[#This Row],[Date]])</f>
        <v>4</v>
      </c>
      <c r="P824" s="173">
        <v>2020</v>
      </c>
      <c r="Q824" s="174">
        <f>IF(ISBLANK(Table1[[#This Row],[Date]]),"",Table1[[#This Row],[Date]]-WEEKDAY(Table1[[#This Row],[Date]],2)+1)</f>
        <v>43927</v>
      </c>
      <c r="R824" s="175">
        <f>IF(ISBLANK(Table1[[#This Row],[Date]]),"",DATE(Table1[[#This Row],[Date_Year]],Table1[[#This Row],[Date_Month]],1))</f>
        <v>43922</v>
      </c>
    </row>
    <row r="825" spans="2:18" ht="15.75" hidden="1" x14ac:dyDescent="0.25">
      <c r="B825" s="165">
        <v>43928</v>
      </c>
      <c r="C825" s="166" t="s">
        <v>992</v>
      </c>
      <c r="D825" s="166" t="s">
        <v>65</v>
      </c>
      <c r="E825" s="167"/>
      <c r="F825" s="114">
        <v>-44.46</v>
      </c>
      <c r="G825" s="168"/>
      <c r="H825" s="169"/>
      <c r="I825" s="170"/>
      <c r="J825" s="171" t="s">
        <v>1072</v>
      </c>
      <c r="K825" s="172" t="s">
        <v>177</v>
      </c>
      <c r="L825" s="172" t="s">
        <v>175</v>
      </c>
      <c r="M825" s="173" t="str" cm="1">
        <f t="array" ref="M825">IFERROR(INDEX(CategoriesTable[Category type],MATCH(Table1[[#This Row],[Category]],CategoriesTable[Category name],0),0),"")</f>
        <v>Expense</v>
      </c>
      <c r="N825" s="173">
        <v>7</v>
      </c>
      <c r="O825" s="173">
        <f>MONTH(Table1[[#This Row],[Date]])</f>
        <v>4</v>
      </c>
      <c r="P825" s="173">
        <v>2020</v>
      </c>
      <c r="Q825" s="174">
        <f>IF(ISBLANK(Table1[[#This Row],[Date]]),"",Table1[[#This Row],[Date]]-WEEKDAY(Table1[[#This Row],[Date]],2)+1)</f>
        <v>43927</v>
      </c>
      <c r="R825" s="175">
        <f>IF(ISBLANK(Table1[[#This Row],[Date]]),"",DATE(Table1[[#This Row],[Date_Year]],Table1[[#This Row],[Date_Month]],1))</f>
        <v>43922</v>
      </c>
    </row>
    <row r="826" spans="2:18" ht="15.75" hidden="1" x14ac:dyDescent="0.25">
      <c r="B826" s="165">
        <v>43928</v>
      </c>
      <c r="C826" s="166" t="s">
        <v>313</v>
      </c>
      <c r="D826" s="166" t="s">
        <v>66</v>
      </c>
      <c r="E826" s="167"/>
      <c r="F826" s="114">
        <v>-150</v>
      </c>
      <c r="G826" s="168"/>
      <c r="H826" s="169"/>
      <c r="I826" s="170"/>
      <c r="J826" s="171" t="s">
        <v>1073</v>
      </c>
      <c r="K826" s="172" t="s">
        <v>177</v>
      </c>
      <c r="L826" s="172" t="s">
        <v>175</v>
      </c>
      <c r="M826" s="173" t="str" cm="1">
        <f t="array" ref="M826">IFERROR(INDEX(CategoriesTable[Category type],MATCH(Table1[[#This Row],[Category]],CategoriesTable[Category name],0),0),"")</f>
        <v>Expense</v>
      </c>
      <c r="N826" s="173">
        <v>7</v>
      </c>
      <c r="O826" s="173">
        <f>MONTH(Table1[[#This Row],[Date]])</f>
        <v>4</v>
      </c>
      <c r="P826" s="173">
        <v>2020</v>
      </c>
      <c r="Q826" s="174">
        <f>IF(ISBLANK(Table1[[#This Row],[Date]]),"",Table1[[#This Row],[Date]]-WEEKDAY(Table1[[#This Row],[Date]],2)+1)</f>
        <v>43927</v>
      </c>
      <c r="R826" s="175">
        <f>IF(ISBLANK(Table1[[#This Row],[Date]]),"",DATE(Table1[[#This Row],[Date_Year]],Table1[[#This Row],[Date_Month]],1))</f>
        <v>43922</v>
      </c>
    </row>
    <row r="827" spans="2:18" ht="15.75" hidden="1" x14ac:dyDescent="0.25">
      <c r="B827" s="165">
        <v>43927</v>
      </c>
      <c r="C827" s="166" t="s">
        <v>128</v>
      </c>
      <c r="D827" s="166" t="s">
        <v>53</v>
      </c>
      <c r="E827" s="167"/>
      <c r="F827" s="114">
        <v>-2.64</v>
      </c>
      <c r="G827" s="168"/>
      <c r="H827" s="169"/>
      <c r="I827" s="170"/>
      <c r="J827" s="171" t="s">
        <v>1074</v>
      </c>
      <c r="K827" s="172" t="s">
        <v>177</v>
      </c>
      <c r="L827" s="172" t="s">
        <v>175</v>
      </c>
      <c r="M827" s="173" t="str" cm="1">
        <f t="array" ref="M827">IFERROR(INDEX(CategoriesTable[Category type],MATCH(Table1[[#This Row],[Category]],CategoriesTable[Category name],0),0),"")</f>
        <v>Expense</v>
      </c>
      <c r="N827" s="173">
        <v>6</v>
      </c>
      <c r="O827" s="173">
        <f>MONTH(Table1[[#This Row],[Date]])</f>
        <v>4</v>
      </c>
      <c r="P827" s="173">
        <v>2020</v>
      </c>
      <c r="Q827" s="174">
        <f>IF(ISBLANK(Table1[[#This Row],[Date]]),"",Table1[[#This Row],[Date]]-WEEKDAY(Table1[[#This Row],[Date]],2)+1)</f>
        <v>43927</v>
      </c>
      <c r="R827" s="175">
        <f>IF(ISBLANK(Table1[[#This Row],[Date]]),"",DATE(Table1[[#This Row],[Date_Year]],Table1[[#This Row],[Date_Month]],1))</f>
        <v>43922</v>
      </c>
    </row>
    <row r="828" spans="2:18" ht="15.75" hidden="1" x14ac:dyDescent="0.25">
      <c r="B828" s="165">
        <v>43927</v>
      </c>
      <c r="C828" s="166" t="s">
        <v>180</v>
      </c>
      <c r="D828" s="166" t="s">
        <v>52</v>
      </c>
      <c r="E828" s="167"/>
      <c r="F828" s="114">
        <v>-100</v>
      </c>
      <c r="G828" s="168"/>
      <c r="H828" s="169"/>
      <c r="I828" s="170"/>
      <c r="J828" s="171" t="s">
        <v>1075</v>
      </c>
      <c r="K828" s="172" t="s">
        <v>177</v>
      </c>
      <c r="L828" s="172" t="s">
        <v>175</v>
      </c>
      <c r="M828" s="173" t="str" cm="1">
        <f t="array" ref="M828">IFERROR(INDEX(CategoriesTable[Category type],MATCH(Table1[[#This Row],[Category]],CategoriesTable[Category name],0),0),"")</f>
        <v>Transfer</v>
      </c>
      <c r="N828" s="173">
        <v>6</v>
      </c>
      <c r="O828" s="173">
        <f>MONTH(Table1[[#This Row],[Date]])</f>
        <v>4</v>
      </c>
      <c r="P828" s="173">
        <v>2020</v>
      </c>
      <c r="Q828" s="174">
        <f>IF(ISBLANK(Table1[[#This Row],[Date]]),"",Table1[[#This Row],[Date]]-WEEKDAY(Table1[[#This Row],[Date]],2)+1)</f>
        <v>43927</v>
      </c>
      <c r="R828" s="175">
        <f>IF(ISBLANK(Table1[[#This Row],[Date]]),"",DATE(Table1[[#This Row],[Date_Year]],Table1[[#This Row],[Date_Month]],1))</f>
        <v>43922</v>
      </c>
    </row>
    <row r="829" spans="2:18" ht="15.75" hidden="1" x14ac:dyDescent="0.25">
      <c r="B829" s="165">
        <v>43927</v>
      </c>
      <c r="C829" s="166" t="s">
        <v>572</v>
      </c>
      <c r="D829" s="166" t="s">
        <v>63</v>
      </c>
      <c r="E829" s="167"/>
      <c r="F829" s="114">
        <v>-3.5</v>
      </c>
      <c r="G829" s="168"/>
      <c r="H829" s="169"/>
      <c r="I829" s="170"/>
      <c r="J829" s="171" t="s">
        <v>1076</v>
      </c>
      <c r="K829" s="172" t="s">
        <v>177</v>
      </c>
      <c r="L829" s="172" t="s">
        <v>175</v>
      </c>
      <c r="M829" s="173" t="str" cm="1">
        <f t="array" ref="M829">IFERROR(INDEX(CategoriesTable[Category type],MATCH(Table1[[#This Row],[Category]],CategoriesTable[Category name],0),0),"")</f>
        <v>Expense</v>
      </c>
      <c r="N829" s="173">
        <v>6</v>
      </c>
      <c r="O829" s="173">
        <f>MONTH(Table1[[#This Row],[Date]])</f>
        <v>4</v>
      </c>
      <c r="P829" s="173">
        <v>2020</v>
      </c>
      <c r="Q829" s="174">
        <f>IF(ISBLANK(Table1[[#This Row],[Date]]),"",Table1[[#This Row],[Date]]-WEEKDAY(Table1[[#This Row],[Date]],2)+1)</f>
        <v>43927</v>
      </c>
      <c r="R829" s="175">
        <f>IF(ISBLANK(Table1[[#This Row],[Date]]),"",DATE(Table1[[#This Row],[Date_Year]],Table1[[#This Row],[Date_Month]],1))</f>
        <v>43922</v>
      </c>
    </row>
    <row r="830" spans="2:18" ht="15.75" hidden="1" x14ac:dyDescent="0.25">
      <c r="B830" s="165">
        <v>43927</v>
      </c>
      <c r="C830" s="166" t="s">
        <v>574</v>
      </c>
      <c r="D830" s="166" t="s">
        <v>55</v>
      </c>
      <c r="E830" s="167"/>
      <c r="F830" s="114">
        <v>-369.73</v>
      </c>
      <c r="G830" s="168"/>
      <c r="H830" s="169"/>
      <c r="I830" s="170"/>
      <c r="J830" s="171" t="s">
        <v>1077</v>
      </c>
      <c r="K830" s="172" t="s">
        <v>177</v>
      </c>
      <c r="L830" s="172" t="s">
        <v>175</v>
      </c>
      <c r="M830" s="173" t="str" cm="1">
        <f t="array" ref="M830">IFERROR(INDEX(CategoriesTable[Category type],MATCH(Table1[[#This Row],[Category]],CategoriesTable[Category name],0),0),"")</f>
        <v>Expense</v>
      </c>
      <c r="N830" s="173">
        <v>6</v>
      </c>
      <c r="O830" s="173">
        <f>MONTH(Table1[[#This Row],[Date]])</f>
        <v>4</v>
      </c>
      <c r="P830" s="173">
        <v>2020</v>
      </c>
      <c r="Q830" s="174">
        <f>IF(ISBLANK(Table1[[#This Row],[Date]]),"",Table1[[#This Row],[Date]]-WEEKDAY(Table1[[#This Row],[Date]],2)+1)</f>
        <v>43927</v>
      </c>
      <c r="R830" s="175">
        <f>IF(ISBLANK(Table1[[#This Row],[Date]]),"",DATE(Table1[[#This Row],[Date_Year]],Table1[[#This Row],[Date_Month]],1))</f>
        <v>43922</v>
      </c>
    </row>
    <row r="831" spans="2:18" ht="15.75" hidden="1" x14ac:dyDescent="0.25">
      <c r="B831" s="165">
        <v>43927</v>
      </c>
      <c r="C831" s="166" t="s">
        <v>193</v>
      </c>
      <c r="D831" s="166" t="s">
        <v>58</v>
      </c>
      <c r="E831" s="167"/>
      <c r="F831" s="114">
        <v>-48.04</v>
      </c>
      <c r="G831" s="168"/>
      <c r="H831" s="169"/>
      <c r="I831" s="170"/>
      <c r="J831" s="171" t="s">
        <v>1078</v>
      </c>
      <c r="K831" s="172" t="s">
        <v>177</v>
      </c>
      <c r="L831" s="172" t="s">
        <v>175</v>
      </c>
      <c r="M831" s="173" t="str" cm="1">
        <f t="array" ref="M831">IFERROR(INDEX(CategoriesTable[Category type],MATCH(Table1[[#This Row],[Category]],CategoriesTable[Category name],0),0),"")</f>
        <v>Expense</v>
      </c>
      <c r="N831" s="173">
        <v>6</v>
      </c>
      <c r="O831" s="173">
        <f>MONTH(Table1[[#This Row],[Date]])</f>
        <v>4</v>
      </c>
      <c r="P831" s="173">
        <v>2020</v>
      </c>
      <c r="Q831" s="174">
        <f>IF(ISBLANK(Table1[[#This Row],[Date]]),"",Table1[[#This Row],[Date]]-WEEKDAY(Table1[[#This Row],[Date]],2)+1)</f>
        <v>43927</v>
      </c>
      <c r="R831" s="175">
        <f>IF(ISBLANK(Table1[[#This Row],[Date]]),"",DATE(Table1[[#This Row],[Date_Year]],Table1[[#This Row],[Date_Month]],1))</f>
        <v>43922</v>
      </c>
    </row>
    <row r="832" spans="2:18" ht="15.75" hidden="1" x14ac:dyDescent="0.25">
      <c r="B832" s="165">
        <v>43926</v>
      </c>
      <c r="C832" s="166" t="s">
        <v>193</v>
      </c>
      <c r="D832" s="166" t="s">
        <v>66</v>
      </c>
      <c r="E832" s="167"/>
      <c r="F832" s="114">
        <v>-21.19</v>
      </c>
      <c r="G832" s="168"/>
      <c r="H832" s="169"/>
      <c r="I832" s="170"/>
      <c r="J832" s="171" t="s">
        <v>1079</v>
      </c>
      <c r="K832" s="172" t="s">
        <v>177</v>
      </c>
      <c r="L832" s="172" t="s">
        <v>175</v>
      </c>
      <c r="M832" s="173" t="str" cm="1">
        <f t="array" ref="M832">IFERROR(INDEX(CategoriesTable[Category type],MATCH(Table1[[#This Row],[Category]],CategoriesTable[Category name],0),0),"")</f>
        <v>Expense</v>
      </c>
      <c r="N832" s="173">
        <v>5</v>
      </c>
      <c r="O832" s="173">
        <f>MONTH(Table1[[#This Row],[Date]])</f>
        <v>4</v>
      </c>
      <c r="P832" s="173">
        <v>2020</v>
      </c>
      <c r="Q832" s="174">
        <f>IF(ISBLANK(Table1[[#This Row],[Date]]),"",Table1[[#This Row],[Date]]-WEEKDAY(Table1[[#This Row],[Date]],2)+1)</f>
        <v>43920</v>
      </c>
      <c r="R832" s="175">
        <f>IF(ISBLANK(Table1[[#This Row],[Date]]),"",DATE(Table1[[#This Row],[Date_Year]],Table1[[#This Row],[Date_Month]],1))</f>
        <v>43922</v>
      </c>
    </row>
    <row r="833" spans="2:18" ht="15.75" hidden="1" x14ac:dyDescent="0.25">
      <c r="B833" s="165">
        <v>43926</v>
      </c>
      <c r="C833" s="166" t="s">
        <v>121</v>
      </c>
      <c r="D833" s="166" t="s">
        <v>65</v>
      </c>
      <c r="E833" s="167"/>
      <c r="F833" s="114">
        <v>-7.41</v>
      </c>
      <c r="G833" s="168"/>
      <c r="H833" s="169"/>
      <c r="I833" s="170"/>
      <c r="J833" s="171" t="s">
        <v>1080</v>
      </c>
      <c r="K833" s="172" t="s">
        <v>177</v>
      </c>
      <c r="L833" s="172" t="s">
        <v>175</v>
      </c>
      <c r="M833" s="173" t="str" cm="1">
        <f t="array" ref="M833">IFERROR(INDEX(CategoriesTable[Category type],MATCH(Table1[[#This Row],[Category]],CategoriesTable[Category name],0),0),"")</f>
        <v>Expense</v>
      </c>
      <c r="N833" s="173">
        <v>5</v>
      </c>
      <c r="O833" s="173">
        <f>MONTH(Table1[[#This Row],[Date]])</f>
        <v>4</v>
      </c>
      <c r="P833" s="173">
        <v>2020</v>
      </c>
      <c r="Q833" s="174">
        <f>IF(ISBLANK(Table1[[#This Row],[Date]]),"",Table1[[#This Row],[Date]]-WEEKDAY(Table1[[#This Row],[Date]],2)+1)</f>
        <v>43920</v>
      </c>
      <c r="R833" s="175">
        <f>IF(ISBLANK(Table1[[#This Row],[Date]]),"",DATE(Table1[[#This Row],[Date_Year]],Table1[[#This Row],[Date_Month]],1))</f>
        <v>43922</v>
      </c>
    </row>
    <row r="834" spans="2:18" ht="15.75" hidden="1" x14ac:dyDescent="0.25">
      <c r="B834" s="165">
        <v>43926</v>
      </c>
      <c r="C834" s="166" t="s">
        <v>120</v>
      </c>
      <c r="D834" s="166" t="s">
        <v>66</v>
      </c>
      <c r="E834" s="167"/>
      <c r="F834" s="114">
        <v>-28.29</v>
      </c>
      <c r="G834" s="168"/>
      <c r="H834" s="169"/>
      <c r="I834" s="170"/>
      <c r="J834" s="171" t="s">
        <v>1081</v>
      </c>
      <c r="K834" s="172" t="s">
        <v>177</v>
      </c>
      <c r="L834" s="172" t="s">
        <v>175</v>
      </c>
      <c r="M834" s="173" t="str" cm="1">
        <f t="array" ref="M834">IFERROR(INDEX(CategoriesTable[Category type],MATCH(Table1[[#This Row],[Category]],CategoriesTable[Category name],0),0),"")</f>
        <v>Expense</v>
      </c>
      <c r="N834" s="173">
        <v>5</v>
      </c>
      <c r="O834" s="173">
        <f>MONTH(Table1[[#This Row],[Date]])</f>
        <v>4</v>
      </c>
      <c r="P834" s="173">
        <v>2020</v>
      </c>
      <c r="Q834" s="174">
        <f>IF(ISBLANK(Table1[[#This Row],[Date]]),"",Table1[[#This Row],[Date]]-WEEKDAY(Table1[[#This Row],[Date]],2)+1)</f>
        <v>43920</v>
      </c>
      <c r="R834" s="175">
        <f>IF(ISBLANK(Table1[[#This Row],[Date]]),"",DATE(Table1[[#This Row],[Date_Year]],Table1[[#This Row],[Date_Month]],1))</f>
        <v>43922</v>
      </c>
    </row>
    <row r="835" spans="2:18" ht="15.75" hidden="1" x14ac:dyDescent="0.25">
      <c r="B835" s="165">
        <v>43926</v>
      </c>
      <c r="C835" s="166" t="s">
        <v>123</v>
      </c>
      <c r="D835" s="166" t="s">
        <v>55</v>
      </c>
      <c r="E835" s="167"/>
      <c r="F835" s="114">
        <v>-15.99</v>
      </c>
      <c r="G835" s="168"/>
      <c r="H835" s="169"/>
      <c r="I835" s="170"/>
      <c r="J835" s="171" t="s">
        <v>1082</v>
      </c>
      <c r="K835" s="172" t="s">
        <v>177</v>
      </c>
      <c r="L835" s="172" t="s">
        <v>175</v>
      </c>
      <c r="M835" s="173" t="str" cm="1">
        <f t="array" ref="M835">IFERROR(INDEX(CategoriesTable[Category type],MATCH(Table1[[#This Row],[Category]],CategoriesTable[Category name],0),0),"")</f>
        <v>Expense</v>
      </c>
      <c r="N835" s="173">
        <v>5</v>
      </c>
      <c r="O835" s="173">
        <f>MONTH(Table1[[#This Row],[Date]])</f>
        <v>4</v>
      </c>
      <c r="P835" s="173">
        <v>2020</v>
      </c>
      <c r="Q835" s="174">
        <f>IF(ISBLANK(Table1[[#This Row],[Date]]),"",Table1[[#This Row],[Date]]-WEEKDAY(Table1[[#This Row],[Date]],2)+1)</f>
        <v>43920</v>
      </c>
      <c r="R835" s="175">
        <f>IF(ISBLANK(Table1[[#This Row],[Date]]),"",DATE(Table1[[#This Row],[Date_Year]],Table1[[#This Row],[Date_Month]],1))</f>
        <v>43922</v>
      </c>
    </row>
    <row r="836" spans="2:18" ht="15.75" hidden="1" x14ac:dyDescent="0.25">
      <c r="B836" s="165">
        <v>43926</v>
      </c>
      <c r="C836" s="166" t="s">
        <v>800</v>
      </c>
      <c r="D836" s="166" t="s">
        <v>65</v>
      </c>
      <c r="E836" s="167"/>
      <c r="F836" s="114">
        <v>-17.89</v>
      </c>
      <c r="G836" s="168"/>
      <c r="H836" s="169"/>
      <c r="I836" s="170"/>
      <c r="J836" s="171" t="s">
        <v>1083</v>
      </c>
      <c r="K836" s="172" t="s">
        <v>177</v>
      </c>
      <c r="L836" s="172" t="s">
        <v>175</v>
      </c>
      <c r="M836" s="173" t="str" cm="1">
        <f t="array" ref="M836">IFERROR(INDEX(CategoriesTable[Category type],MATCH(Table1[[#This Row],[Category]],CategoriesTable[Category name],0),0),"")</f>
        <v>Expense</v>
      </c>
      <c r="N836" s="173">
        <v>5</v>
      </c>
      <c r="O836" s="173">
        <f>MONTH(Table1[[#This Row],[Date]])</f>
        <v>4</v>
      </c>
      <c r="P836" s="173">
        <v>2020</v>
      </c>
      <c r="Q836" s="174">
        <f>IF(ISBLANK(Table1[[#This Row],[Date]]),"",Table1[[#This Row],[Date]]-WEEKDAY(Table1[[#This Row],[Date]],2)+1)</f>
        <v>43920</v>
      </c>
      <c r="R836" s="175">
        <f>IF(ISBLANK(Table1[[#This Row],[Date]]),"",DATE(Table1[[#This Row],[Date_Year]],Table1[[#This Row],[Date_Month]],1))</f>
        <v>43922</v>
      </c>
    </row>
    <row r="837" spans="2:18" ht="15.75" hidden="1" x14ac:dyDescent="0.25">
      <c r="B837" s="165">
        <v>43925</v>
      </c>
      <c r="C837" s="166" t="s">
        <v>121</v>
      </c>
      <c r="D837" s="166" t="s">
        <v>65</v>
      </c>
      <c r="E837" s="167"/>
      <c r="F837" s="114">
        <v>-9.4</v>
      </c>
      <c r="G837" s="168"/>
      <c r="H837" s="169"/>
      <c r="I837" s="170"/>
      <c r="J837" s="171" t="s">
        <v>1084</v>
      </c>
      <c r="K837" s="172" t="s">
        <v>177</v>
      </c>
      <c r="L837" s="172" t="s">
        <v>175</v>
      </c>
      <c r="M837" s="173" t="str" cm="1">
        <f t="array" ref="M837">IFERROR(INDEX(CategoriesTable[Category type],MATCH(Table1[[#This Row],[Category]],CategoriesTable[Category name],0),0),"")</f>
        <v>Expense</v>
      </c>
      <c r="N837" s="173">
        <v>4</v>
      </c>
      <c r="O837" s="173">
        <f>MONTH(Table1[[#This Row],[Date]])</f>
        <v>4</v>
      </c>
      <c r="P837" s="173">
        <v>2020</v>
      </c>
      <c r="Q837" s="174">
        <f>IF(ISBLANK(Table1[[#This Row],[Date]]),"",Table1[[#This Row],[Date]]-WEEKDAY(Table1[[#This Row],[Date]],2)+1)</f>
        <v>43920</v>
      </c>
      <c r="R837" s="175">
        <f>IF(ISBLANK(Table1[[#This Row],[Date]]),"",DATE(Table1[[#This Row],[Date_Year]],Table1[[#This Row],[Date_Month]],1))</f>
        <v>43922</v>
      </c>
    </row>
    <row r="838" spans="2:18" ht="15.75" hidden="1" x14ac:dyDescent="0.25">
      <c r="B838" s="165">
        <v>43925</v>
      </c>
      <c r="C838" s="166" t="s">
        <v>193</v>
      </c>
      <c r="D838" s="166" t="s">
        <v>58</v>
      </c>
      <c r="E838" s="167"/>
      <c r="F838" s="114">
        <v>-23.14</v>
      </c>
      <c r="G838" s="168"/>
      <c r="H838" s="169"/>
      <c r="I838" s="170"/>
      <c r="J838" s="171" t="s">
        <v>1085</v>
      </c>
      <c r="K838" s="172" t="s">
        <v>177</v>
      </c>
      <c r="L838" s="172" t="s">
        <v>175</v>
      </c>
      <c r="M838" s="173" t="str" cm="1">
        <f t="array" ref="M838">IFERROR(INDEX(CategoriesTable[Category type],MATCH(Table1[[#This Row],[Category]],CategoriesTable[Category name],0),0),"")</f>
        <v>Expense</v>
      </c>
      <c r="N838" s="173">
        <v>4</v>
      </c>
      <c r="O838" s="173">
        <f>MONTH(Table1[[#This Row],[Date]])</f>
        <v>4</v>
      </c>
      <c r="P838" s="173">
        <v>2020</v>
      </c>
      <c r="Q838" s="174">
        <f>IF(ISBLANK(Table1[[#This Row],[Date]]),"",Table1[[#This Row],[Date]]-WEEKDAY(Table1[[#This Row],[Date]],2)+1)</f>
        <v>43920</v>
      </c>
      <c r="R838" s="175">
        <f>IF(ISBLANK(Table1[[#This Row],[Date]]),"",DATE(Table1[[#This Row],[Date_Year]],Table1[[#This Row],[Date_Month]],1))</f>
        <v>43922</v>
      </c>
    </row>
    <row r="839" spans="2:18" ht="15.75" hidden="1" x14ac:dyDescent="0.25">
      <c r="B839" s="165">
        <v>43924</v>
      </c>
      <c r="C839" s="166" t="s">
        <v>193</v>
      </c>
      <c r="D839" s="166" t="s">
        <v>58</v>
      </c>
      <c r="E839" s="167"/>
      <c r="F839" s="114">
        <v>-16.920000000000002</v>
      </c>
      <c r="G839" s="168"/>
      <c r="H839" s="169"/>
      <c r="I839" s="170"/>
      <c r="J839" s="171" t="s">
        <v>1086</v>
      </c>
      <c r="K839" s="172" t="s">
        <v>177</v>
      </c>
      <c r="L839" s="172" t="s">
        <v>175</v>
      </c>
      <c r="M839" s="173" t="str" cm="1">
        <f t="array" ref="M839">IFERROR(INDEX(CategoriesTable[Category type],MATCH(Table1[[#This Row],[Category]],CategoriesTable[Category name],0),0),"")</f>
        <v>Expense</v>
      </c>
      <c r="N839" s="173">
        <v>3</v>
      </c>
      <c r="O839" s="173">
        <f>MONTH(Table1[[#This Row],[Date]])</f>
        <v>4</v>
      </c>
      <c r="P839" s="173">
        <v>2020</v>
      </c>
      <c r="Q839" s="174">
        <f>IF(ISBLANK(Table1[[#This Row],[Date]]),"",Table1[[#This Row],[Date]]-WEEKDAY(Table1[[#This Row],[Date]],2)+1)</f>
        <v>43920</v>
      </c>
      <c r="R839" s="175">
        <f>IF(ISBLANK(Table1[[#This Row],[Date]]),"",DATE(Table1[[#This Row],[Date_Year]],Table1[[#This Row],[Date_Month]],1))</f>
        <v>43922</v>
      </c>
    </row>
    <row r="840" spans="2:18" ht="15.75" hidden="1" x14ac:dyDescent="0.25">
      <c r="B840" s="165">
        <v>43924</v>
      </c>
      <c r="C840" s="166" t="s">
        <v>193</v>
      </c>
      <c r="D840" s="166" t="s">
        <v>58</v>
      </c>
      <c r="E840" s="167"/>
      <c r="F840" s="114">
        <v>-56.68</v>
      </c>
      <c r="G840" s="168"/>
      <c r="H840" s="169"/>
      <c r="I840" s="170"/>
      <c r="J840" s="171" t="s">
        <v>1087</v>
      </c>
      <c r="K840" s="172" t="s">
        <v>177</v>
      </c>
      <c r="L840" s="172" t="s">
        <v>175</v>
      </c>
      <c r="M840" s="173" t="str" cm="1">
        <f t="array" ref="M840">IFERROR(INDEX(CategoriesTable[Category type],MATCH(Table1[[#This Row],[Category]],CategoriesTable[Category name],0),0),"")</f>
        <v>Expense</v>
      </c>
      <c r="N840" s="173">
        <v>3</v>
      </c>
      <c r="O840" s="173">
        <f>MONTH(Table1[[#This Row],[Date]])</f>
        <v>4</v>
      </c>
      <c r="P840" s="173">
        <v>2020</v>
      </c>
      <c r="Q840" s="174">
        <f>IF(ISBLANK(Table1[[#This Row],[Date]]),"",Table1[[#This Row],[Date]]-WEEKDAY(Table1[[#This Row],[Date]],2)+1)</f>
        <v>43920</v>
      </c>
      <c r="R840" s="175">
        <f>IF(ISBLANK(Table1[[#This Row],[Date]]),"",DATE(Table1[[#This Row],[Date_Year]],Table1[[#This Row],[Date_Month]],1))</f>
        <v>43922</v>
      </c>
    </row>
    <row r="841" spans="2:18" ht="15.75" hidden="1" x14ac:dyDescent="0.25">
      <c r="B841" s="165">
        <v>43924</v>
      </c>
      <c r="C841" s="166" t="s">
        <v>180</v>
      </c>
      <c r="D841" s="166" t="s">
        <v>52</v>
      </c>
      <c r="E841" s="167"/>
      <c r="F841" s="114">
        <v>-40</v>
      </c>
      <c r="G841" s="168"/>
      <c r="H841" s="169"/>
      <c r="I841" s="170"/>
      <c r="J841" s="171" t="s">
        <v>1088</v>
      </c>
      <c r="K841" s="172" t="s">
        <v>177</v>
      </c>
      <c r="L841" s="172" t="s">
        <v>175</v>
      </c>
      <c r="M841" s="173" t="str" cm="1">
        <f t="array" ref="M841">IFERROR(INDEX(CategoriesTable[Category type],MATCH(Table1[[#This Row],[Category]],CategoriesTable[Category name],0),0),"")</f>
        <v>Transfer</v>
      </c>
      <c r="N841" s="173">
        <v>3</v>
      </c>
      <c r="O841" s="173">
        <f>MONTH(Table1[[#This Row],[Date]])</f>
        <v>4</v>
      </c>
      <c r="P841" s="173">
        <v>2020</v>
      </c>
      <c r="Q841" s="174">
        <f>IF(ISBLANK(Table1[[#This Row],[Date]]),"",Table1[[#This Row],[Date]]-WEEKDAY(Table1[[#This Row],[Date]],2)+1)</f>
        <v>43920</v>
      </c>
      <c r="R841" s="175">
        <f>IF(ISBLANK(Table1[[#This Row],[Date]]),"",DATE(Table1[[#This Row],[Date_Year]],Table1[[#This Row],[Date_Month]],1))</f>
        <v>43922</v>
      </c>
    </row>
    <row r="842" spans="2:18" ht="15.75" hidden="1" x14ac:dyDescent="0.25">
      <c r="B842" s="165">
        <v>43924</v>
      </c>
      <c r="C842" s="166" t="s">
        <v>1089</v>
      </c>
      <c r="D842" s="166" t="s">
        <v>65</v>
      </c>
      <c r="E842" s="167"/>
      <c r="F842" s="114">
        <v>-30.16</v>
      </c>
      <c r="G842" s="168"/>
      <c r="H842" s="169"/>
      <c r="I842" s="170"/>
      <c r="J842" s="171" t="s">
        <v>1090</v>
      </c>
      <c r="K842" s="172" t="s">
        <v>177</v>
      </c>
      <c r="L842" s="172" t="s">
        <v>175</v>
      </c>
      <c r="M842" s="173" t="str" cm="1">
        <f t="array" ref="M842">IFERROR(INDEX(CategoriesTable[Category type],MATCH(Table1[[#This Row],[Category]],CategoriesTable[Category name],0),0),"")</f>
        <v>Expense</v>
      </c>
      <c r="N842" s="173">
        <v>3</v>
      </c>
      <c r="O842" s="173">
        <f>MONTH(Table1[[#This Row],[Date]])</f>
        <v>4</v>
      </c>
      <c r="P842" s="173">
        <v>2020</v>
      </c>
      <c r="Q842" s="174">
        <f>IF(ISBLANK(Table1[[#This Row],[Date]]),"",Table1[[#This Row],[Date]]-WEEKDAY(Table1[[#This Row],[Date]],2)+1)</f>
        <v>43920</v>
      </c>
      <c r="R842" s="175">
        <f>IF(ISBLANK(Table1[[#This Row],[Date]]),"",DATE(Table1[[#This Row],[Date_Year]],Table1[[#This Row],[Date_Month]],1))</f>
        <v>43922</v>
      </c>
    </row>
    <row r="843" spans="2:18" ht="15.75" hidden="1" x14ac:dyDescent="0.25">
      <c r="B843" s="165">
        <v>43924</v>
      </c>
      <c r="C843" s="166" t="s">
        <v>465</v>
      </c>
      <c r="D843" s="166" t="s">
        <v>62</v>
      </c>
      <c r="E843" s="167"/>
      <c r="F843" s="114">
        <v>-207.62</v>
      </c>
      <c r="G843" s="168"/>
      <c r="H843" s="169"/>
      <c r="I843" s="170"/>
      <c r="J843" s="171" t="s">
        <v>1091</v>
      </c>
      <c r="K843" s="172" t="s">
        <v>177</v>
      </c>
      <c r="L843" s="172" t="s">
        <v>175</v>
      </c>
      <c r="M843" s="173" t="str" cm="1">
        <f t="array" ref="M843">IFERROR(INDEX(CategoriesTable[Category type],MATCH(Table1[[#This Row],[Category]],CategoriesTable[Category name],0),0),"")</f>
        <v>Expense</v>
      </c>
      <c r="N843" s="173">
        <v>3</v>
      </c>
      <c r="O843" s="173">
        <f>MONTH(Table1[[#This Row],[Date]])</f>
        <v>4</v>
      </c>
      <c r="P843" s="173">
        <v>2020</v>
      </c>
      <c r="Q843" s="174">
        <f>IF(ISBLANK(Table1[[#This Row],[Date]]),"",Table1[[#This Row],[Date]]-WEEKDAY(Table1[[#This Row],[Date]],2)+1)</f>
        <v>43920</v>
      </c>
      <c r="R843" s="175">
        <f>IF(ISBLANK(Table1[[#This Row],[Date]]),"",DATE(Table1[[#This Row],[Date_Year]],Table1[[#This Row],[Date_Month]],1))</f>
        <v>43922</v>
      </c>
    </row>
    <row r="844" spans="2:18" ht="15.75" hidden="1" x14ac:dyDescent="0.25">
      <c r="B844" s="165">
        <v>43923</v>
      </c>
      <c r="C844" s="166" t="s">
        <v>1571</v>
      </c>
      <c r="D844" s="166" t="s">
        <v>66</v>
      </c>
      <c r="E844" s="167"/>
      <c r="F844" s="114">
        <v>-5.3</v>
      </c>
      <c r="G844" s="168"/>
      <c r="H844" s="169"/>
      <c r="I844" s="170"/>
      <c r="J844" s="171" t="s">
        <v>1092</v>
      </c>
      <c r="K844" s="172" t="s">
        <v>177</v>
      </c>
      <c r="L844" s="172" t="s">
        <v>175</v>
      </c>
      <c r="M844" s="173" t="str" cm="1">
        <f t="array" ref="M844">IFERROR(INDEX(CategoriesTable[Category type],MATCH(Table1[[#This Row],[Category]],CategoriesTable[Category name],0),0),"")</f>
        <v>Expense</v>
      </c>
      <c r="N844" s="173">
        <v>2</v>
      </c>
      <c r="O844" s="173">
        <f>MONTH(Table1[[#This Row],[Date]])</f>
        <v>4</v>
      </c>
      <c r="P844" s="173">
        <v>2020</v>
      </c>
      <c r="Q844" s="174">
        <f>IF(ISBLANK(Table1[[#This Row],[Date]]),"",Table1[[#This Row],[Date]]-WEEKDAY(Table1[[#This Row],[Date]],2)+1)</f>
        <v>43920</v>
      </c>
      <c r="R844" s="175">
        <f>IF(ISBLANK(Table1[[#This Row],[Date]]),"",DATE(Table1[[#This Row],[Date_Year]],Table1[[#This Row],[Date_Month]],1))</f>
        <v>43922</v>
      </c>
    </row>
    <row r="845" spans="2:18" ht="15.75" hidden="1" x14ac:dyDescent="0.25">
      <c r="B845" s="165">
        <v>43923</v>
      </c>
      <c r="C845" s="166" t="s">
        <v>128</v>
      </c>
      <c r="D845" s="166" t="s">
        <v>53</v>
      </c>
      <c r="E845" s="167"/>
      <c r="F845" s="114">
        <v>-8.99</v>
      </c>
      <c r="G845" s="168"/>
      <c r="H845" s="169"/>
      <c r="I845" s="170"/>
      <c r="J845" s="171" t="s">
        <v>1093</v>
      </c>
      <c r="K845" s="172" t="s">
        <v>177</v>
      </c>
      <c r="L845" s="172" t="s">
        <v>175</v>
      </c>
      <c r="M845" s="173" t="str" cm="1">
        <f t="array" ref="M845">IFERROR(INDEX(CategoriesTable[Category type],MATCH(Table1[[#This Row],[Category]],CategoriesTable[Category name],0),0),"")</f>
        <v>Expense</v>
      </c>
      <c r="N845" s="173">
        <v>2</v>
      </c>
      <c r="O845" s="173">
        <f>MONTH(Table1[[#This Row],[Date]])</f>
        <v>4</v>
      </c>
      <c r="P845" s="173">
        <v>2020</v>
      </c>
      <c r="Q845" s="174">
        <f>IF(ISBLANK(Table1[[#This Row],[Date]]),"",Table1[[#This Row],[Date]]-WEEKDAY(Table1[[#This Row],[Date]],2)+1)</f>
        <v>43920</v>
      </c>
      <c r="R845" s="175">
        <f>IF(ISBLANK(Table1[[#This Row],[Date]]),"",DATE(Table1[[#This Row],[Date_Year]],Table1[[#This Row],[Date_Month]],1))</f>
        <v>43922</v>
      </c>
    </row>
    <row r="846" spans="2:18" ht="15.75" hidden="1" x14ac:dyDescent="0.25">
      <c r="B846" s="165">
        <v>43923</v>
      </c>
      <c r="C846" s="166" t="s">
        <v>121</v>
      </c>
      <c r="D846" s="166" t="s">
        <v>65</v>
      </c>
      <c r="E846" s="167"/>
      <c r="F846" s="114">
        <v>-16.2</v>
      </c>
      <c r="G846" s="168"/>
      <c r="H846" s="169"/>
      <c r="I846" s="170"/>
      <c r="J846" s="171" t="s">
        <v>1094</v>
      </c>
      <c r="K846" s="172" t="s">
        <v>177</v>
      </c>
      <c r="L846" s="172" t="s">
        <v>175</v>
      </c>
      <c r="M846" s="173" t="str" cm="1">
        <f t="array" ref="M846">IFERROR(INDEX(CategoriesTable[Category type],MATCH(Table1[[#This Row],[Category]],CategoriesTable[Category name],0),0),"")</f>
        <v>Expense</v>
      </c>
      <c r="N846" s="173">
        <v>2</v>
      </c>
      <c r="O846" s="173">
        <f>MONTH(Table1[[#This Row],[Date]])</f>
        <v>4</v>
      </c>
      <c r="P846" s="173">
        <v>2020</v>
      </c>
      <c r="Q846" s="174">
        <f>IF(ISBLANK(Table1[[#This Row],[Date]]),"",Table1[[#This Row],[Date]]-WEEKDAY(Table1[[#This Row],[Date]],2)+1)</f>
        <v>43920</v>
      </c>
      <c r="R846" s="175">
        <f>IF(ISBLANK(Table1[[#This Row],[Date]]),"",DATE(Table1[[#This Row],[Date_Year]],Table1[[#This Row],[Date_Month]],1))</f>
        <v>43922</v>
      </c>
    </row>
    <row r="847" spans="2:18" ht="15.75" hidden="1" x14ac:dyDescent="0.25">
      <c r="B847" s="165">
        <v>43923</v>
      </c>
      <c r="C847" s="166" t="s">
        <v>180</v>
      </c>
      <c r="D847" s="166" t="s">
        <v>52</v>
      </c>
      <c r="E847" s="167"/>
      <c r="F847" s="114">
        <v>-80</v>
      </c>
      <c r="G847" s="168"/>
      <c r="H847" s="169"/>
      <c r="I847" s="170"/>
      <c r="J847" s="171" t="s">
        <v>1095</v>
      </c>
      <c r="K847" s="172" t="s">
        <v>177</v>
      </c>
      <c r="L847" s="172" t="s">
        <v>175</v>
      </c>
      <c r="M847" s="173" t="str" cm="1">
        <f t="array" ref="M847">IFERROR(INDEX(CategoriesTable[Category type],MATCH(Table1[[#This Row],[Category]],CategoriesTable[Category name],0),0),"")</f>
        <v>Transfer</v>
      </c>
      <c r="N847" s="173">
        <v>2</v>
      </c>
      <c r="O847" s="173">
        <f>MONTH(Table1[[#This Row],[Date]])</f>
        <v>4</v>
      </c>
      <c r="P847" s="173">
        <v>2020</v>
      </c>
      <c r="Q847" s="174">
        <f>IF(ISBLANK(Table1[[#This Row],[Date]]),"",Table1[[#This Row],[Date]]-WEEKDAY(Table1[[#This Row],[Date]],2)+1)</f>
        <v>43920</v>
      </c>
      <c r="R847" s="175">
        <f>IF(ISBLANK(Table1[[#This Row],[Date]]),"",DATE(Table1[[#This Row],[Date_Year]],Table1[[#This Row],[Date_Month]],1))</f>
        <v>43922</v>
      </c>
    </row>
    <row r="848" spans="2:18" ht="15.75" hidden="1" x14ac:dyDescent="0.25">
      <c r="B848" s="165">
        <v>43923</v>
      </c>
      <c r="C848" s="166" t="s">
        <v>193</v>
      </c>
      <c r="D848" s="166" t="s">
        <v>65</v>
      </c>
      <c r="E848" s="167"/>
      <c r="F848" s="114">
        <v>-28.56</v>
      </c>
      <c r="G848" s="168"/>
      <c r="H848" s="169"/>
      <c r="I848" s="170"/>
      <c r="J848" s="171" t="s">
        <v>1096</v>
      </c>
      <c r="K848" s="172" t="s">
        <v>177</v>
      </c>
      <c r="L848" s="172" t="s">
        <v>175</v>
      </c>
      <c r="M848" s="173" t="str" cm="1">
        <f t="array" ref="M848">IFERROR(INDEX(CategoriesTable[Category type],MATCH(Table1[[#This Row],[Category]],CategoriesTable[Category name],0),0),"")</f>
        <v>Expense</v>
      </c>
      <c r="N848" s="173">
        <v>2</v>
      </c>
      <c r="O848" s="173">
        <f>MONTH(Table1[[#This Row],[Date]])</f>
        <v>4</v>
      </c>
      <c r="P848" s="173">
        <v>2020</v>
      </c>
      <c r="Q848" s="174">
        <f>IF(ISBLANK(Table1[[#This Row],[Date]]),"",Table1[[#This Row],[Date]]-WEEKDAY(Table1[[#This Row],[Date]],2)+1)</f>
        <v>43920</v>
      </c>
      <c r="R848" s="175">
        <f>IF(ISBLANK(Table1[[#This Row],[Date]]),"",DATE(Table1[[#This Row],[Date_Year]],Table1[[#This Row],[Date_Month]],1))</f>
        <v>43922</v>
      </c>
    </row>
    <row r="849" spans="2:18" ht="15.75" hidden="1" x14ac:dyDescent="0.25">
      <c r="B849" s="165">
        <v>43922</v>
      </c>
      <c r="C849" s="166" t="s">
        <v>149</v>
      </c>
      <c r="D849" s="166" t="s">
        <v>65</v>
      </c>
      <c r="E849" s="167"/>
      <c r="F849" s="114">
        <v>-6.13</v>
      </c>
      <c r="G849" s="168"/>
      <c r="H849" s="169"/>
      <c r="I849" s="170"/>
      <c r="J849" s="171" t="s">
        <v>1097</v>
      </c>
      <c r="K849" s="172" t="s">
        <v>177</v>
      </c>
      <c r="L849" s="172" t="s">
        <v>175</v>
      </c>
      <c r="M849" s="173" t="str" cm="1">
        <f t="array" ref="M849">IFERROR(INDEX(CategoriesTable[Category type],MATCH(Table1[[#This Row],[Category]],CategoriesTable[Category name],0),0),"")</f>
        <v>Expense</v>
      </c>
      <c r="N849" s="173">
        <v>1</v>
      </c>
      <c r="O849" s="173">
        <f>MONTH(Table1[[#This Row],[Date]])</f>
        <v>4</v>
      </c>
      <c r="P849" s="173">
        <v>2020</v>
      </c>
      <c r="Q849" s="174">
        <f>IF(ISBLANK(Table1[[#This Row],[Date]]),"",Table1[[#This Row],[Date]]-WEEKDAY(Table1[[#This Row],[Date]],2)+1)</f>
        <v>43920</v>
      </c>
      <c r="R849" s="175">
        <f>IF(ISBLANK(Table1[[#This Row],[Date]]),"",DATE(Table1[[#This Row],[Date_Year]],Table1[[#This Row],[Date_Month]],1))</f>
        <v>43922</v>
      </c>
    </row>
    <row r="850" spans="2:18" ht="15.75" hidden="1" x14ac:dyDescent="0.25">
      <c r="B850" s="165">
        <v>43922</v>
      </c>
      <c r="C850" s="166" t="s">
        <v>953</v>
      </c>
      <c r="D850" s="166" t="s">
        <v>58</v>
      </c>
      <c r="E850" s="167"/>
      <c r="F850" s="114">
        <v>-18.68</v>
      </c>
      <c r="G850" s="168"/>
      <c r="H850" s="169"/>
      <c r="I850" s="170"/>
      <c r="J850" s="171" t="s">
        <v>1098</v>
      </c>
      <c r="K850" s="172" t="s">
        <v>177</v>
      </c>
      <c r="L850" s="172" t="s">
        <v>175</v>
      </c>
      <c r="M850" s="173" t="str" cm="1">
        <f t="array" ref="M850">IFERROR(INDEX(CategoriesTable[Category type],MATCH(Table1[[#This Row],[Category]],CategoriesTable[Category name],0),0),"")</f>
        <v>Expense</v>
      </c>
      <c r="N850" s="173">
        <v>1</v>
      </c>
      <c r="O850" s="173">
        <f>MONTH(Table1[[#This Row],[Date]])</f>
        <v>4</v>
      </c>
      <c r="P850" s="173">
        <v>2020</v>
      </c>
      <c r="Q850" s="174">
        <f>IF(ISBLANK(Table1[[#This Row],[Date]]),"",Table1[[#This Row],[Date]]-WEEKDAY(Table1[[#This Row],[Date]],2)+1)</f>
        <v>43920</v>
      </c>
      <c r="R850" s="175">
        <f>IF(ISBLANK(Table1[[#This Row],[Date]]),"",DATE(Table1[[#This Row],[Date_Year]],Table1[[#This Row],[Date_Month]],1))</f>
        <v>43922</v>
      </c>
    </row>
    <row r="851" spans="2:18" ht="15.75" hidden="1" x14ac:dyDescent="0.25">
      <c r="B851" s="165">
        <v>43922</v>
      </c>
      <c r="C851" s="166" t="s">
        <v>120</v>
      </c>
      <c r="D851" s="166" t="s">
        <v>66</v>
      </c>
      <c r="E851" s="167"/>
      <c r="F851" s="114">
        <v>-7.67</v>
      </c>
      <c r="G851" s="168"/>
      <c r="H851" s="169"/>
      <c r="I851" s="170"/>
      <c r="J851" s="171" t="s">
        <v>1099</v>
      </c>
      <c r="K851" s="172" t="s">
        <v>177</v>
      </c>
      <c r="L851" s="172" t="s">
        <v>175</v>
      </c>
      <c r="M851" s="173" t="str" cm="1">
        <f t="array" ref="M851">IFERROR(INDEX(CategoriesTable[Category type],MATCH(Table1[[#This Row],[Category]],CategoriesTable[Category name],0),0),"")</f>
        <v>Expense</v>
      </c>
      <c r="N851" s="173">
        <v>1</v>
      </c>
      <c r="O851" s="173">
        <f>MONTH(Table1[[#This Row],[Date]])</f>
        <v>4</v>
      </c>
      <c r="P851" s="173">
        <v>2020</v>
      </c>
      <c r="Q851" s="174">
        <f>IF(ISBLANK(Table1[[#This Row],[Date]]),"",Table1[[#This Row],[Date]]-WEEKDAY(Table1[[#This Row],[Date]],2)+1)</f>
        <v>43920</v>
      </c>
      <c r="R851" s="175">
        <f>IF(ISBLANK(Table1[[#This Row],[Date]]),"",DATE(Table1[[#This Row],[Date_Year]],Table1[[#This Row],[Date_Month]],1))</f>
        <v>43922</v>
      </c>
    </row>
    <row r="852" spans="2:18" ht="15.75" hidden="1" x14ac:dyDescent="0.25">
      <c r="B852" s="165">
        <v>43922</v>
      </c>
      <c r="C852" s="166" t="s">
        <v>121</v>
      </c>
      <c r="D852" s="166" t="s">
        <v>65</v>
      </c>
      <c r="E852" s="167"/>
      <c r="F852" s="114">
        <v>-11.53</v>
      </c>
      <c r="G852" s="168"/>
      <c r="H852" s="169"/>
      <c r="I852" s="170"/>
      <c r="J852" s="171" t="s">
        <v>1100</v>
      </c>
      <c r="K852" s="172" t="s">
        <v>177</v>
      </c>
      <c r="L852" s="172" t="s">
        <v>175</v>
      </c>
      <c r="M852" s="173" t="str" cm="1">
        <f t="array" ref="M852">IFERROR(INDEX(CategoriesTable[Category type],MATCH(Table1[[#This Row],[Category]],CategoriesTable[Category name],0),0),"")</f>
        <v>Expense</v>
      </c>
      <c r="N852" s="173">
        <v>1</v>
      </c>
      <c r="O852" s="173">
        <f>MONTH(Table1[[#This Row],[Date]])</f>
        <v>4</v>
      </c>
      <c r="P852" s="173">
        <v>2020</v>
      </c>
      <c r="Q852" s="174">
        <f>IF(ISBLANK(Table1[[#This Row],[Date]]),"",Table1[[#This Row],[Date]]-WEEKDAY(Table1[[#This Row],[Date]],2)+1)</f>
        <v>43920</v>
      </c>
      <c r="R852" s="175">
        <f>IF(ISBLANK(Table1[[#This Row],[Date]]),"",DATE(Table1[[#This Row],[Date_Year]],Table1[[#This Row],[Date_Month]],1))</f>
        <v>43922</v>
      </c>
    </row>
    <row r="853" spans="2:18" ht="15.75" hidden="1" x14ac:dyDescent="0.25">
      <c r="B853" s="165">
        <v>43922</v>
      </c>
      <c r="C853" s="166" t="s">
        <v>196</v>
      </c>
      <c r="D853" s="166" t="s">
        <v>50</v>
      </c>
      <c r="E853" s="167"/>
      <c r="F853" s="114">
        <v>4373.0200000000004</v>
      </c>
      <c r="G853" s="168"/>
      <c r="H853" s="169"/>
      <c r="I853" s="170"/>
      <c r="J853" s="171" t="s">
        <v>1101</v>
      </c>
      <c r="K853" s="172" t="s">
        <v>177</v>
      </c>
      <c r="L853" s="172" t="s">
        <v>175</v>
      </c>
      <c r="M853" s="173" t="str" cm="1">
        <f t="array" ref="M853">IFERROR(INDEX(CategoriesTable[Category type],MATCH(Table1[[#This Row],[Category]],CategoriesTable[Category name],0),0),"")</f>
        <v>Income</v>
      </c>
      <c r="N853" s="173">
        <v>1</v>
      </c>
      <c r="O853" s="173">
        <f>MONTH(Table1[[#This Row],[Date]])</f>
        <v>4</v>
      </c>
      <c r="P853" s="173">
        <v>2020</v>
      </c>
      <c r="Q853" s="174">
        <f>IF(ISBLANK(Table1[[#This Row],[Date]]),"",Table1[[#This Row],[Date]]-WEEKDAY(Table1[[#This Row],[Date]],2)+1)</f>
        <v>43920</v>
      </c>
      <c r="R853" s="175">
        <f>IF(ISBLANK(Table1[[#This Row],[Date]]),"",DATE(Table1[[#This Row],[Date_Year]],Table1[[#This Row],[Date_Month]],1))</f>
        <v>43922</v>
      </c>
    </row>
    <row r="854" spans="2:18" ht="15.75" hidden="1" x14ac:dyDescent="0.25">
      <c r="B854" s="165">
        <v>43921</v>
      </c>
      <c r="C854" s="166" t="s">
        <v>1102</v>
      </c>
      <c r="D854" s="166" t="s">
        <v>58</v>
      </c>
      <c r="E854" s="167"/>
      <c r="F854" s="114">
        <v>-15.2</v>
      </c>
      <c r="G854" s="168"/>
      <c r="H854" s="169"/>
      <c r="I854" s="170"/>
      <c r="J854" s="171" t="s">
        <v>1103</v>
      </c>
      <c r="K854" s="172" t="s">
        <v>177</v>
      </c>
      <c r="L854" s="172" t="s">
        <v>175</v>
      </c>
      <c r="M854" s="173" t="str" cm="1">
        <f t="array" ref="M854">IFERROR(INDEX(CategoriesTable[Category type],MATCH(Table1[[#This Row],[Category]],CategoriesTable[Category name],0),0),"")</f>
        <v>Expense</v>
      </c>
      <c r="N854" s="173">
        <v>31</v>
      </c>
      <c r="O854" s="173">
        <f>MONTH(Table1[[#This Row],[Date]])</f>
        <v>3</v>
      </c>
      <c r="P854" s="173">
        <v>2020</v>
      </c>
      <c r="Q854" s="174">
        <f>IF(ISBLANK(Table1[[#This Row],[Date]]),"",Table1[[#This Row],[Date]]-WEEKDAY(Table1[[#This Row],[Date]],2)+1)</f>
        <v>43920</v>
      </c>
      <c r="R854" s="175">
        <f>IF(ISBLANK(Table1[[#This Row],[Date]]),"",DATE(Table1[[#This Row],[Date_Year]],Table1[[#This Row],[Date_Month]],1))</f>
        <v>43891</v>
      </c>
    </row>
    <row r="855" spans="2:18" ht="15.75" hidden="1" x14ac:dyDescent="0.25">
      <c r="B855" s="165">
        <v>43921</v>
      </c>
      <c r="C855" s="166" t="s">
        <v>771</v>
      </c>
      <c r="D855" s="166" t="s">
        <v>65</v>
      </c>
      <c r="E855" s="167"/>
      <c r="F855" s="114">
        <v>-31.46</v>
      </c>
      <c r="G855" s="168"/>
      <c r="H855" s="169"/>
      <c r="I855" s="170"/>
      <c r="J855" s="171" t="s">
        <v>1104</v>
      </c>
      <c r="K855" s="172" t="s">
        <v>177</v>
      </c>
      <c r="L855" s="172" t="s">
        <v>175</v>
      </c>
      <c r="M855" s="173" t="str" cm="1">
        <f t="array" ref="M855">IFERROR(INDEX(CategoriesTable[Category type],MATCH(Table1[[#This Row],[Category]],CategoriesTable[Category name],0),0),"")</f>
        <v>Expense</v>
      </c>
      <c r="N855" s="173">
        <v>31</v>
      </c>
      <c r="O855" s="173">
        <f>MONTH(Table1[[#This Row],[Date]])</f>
        <v>3</v>
      </c>
      <c r="P855" s="173">
        <v>2020</v>
      </c>
      <c r="Q855" s="174">
        <f>IF(ISBLANK(Table1[[#This Row],[Date]]),"",Table1[[#This Row],[Date]]-WEEKDAY(Table1[[#This Row],[Date]],2)+1)</f>
        <v>43920</v>
      </c>
      <c r="R855" s="175">
        <f>IF(ISBLANK(Table1[[#This Row],[Date]]),"",DATE(Table1[[#This Row],[Date_Year]],Table1[[#This Row],[Date_Month]],1))</f>
        <v>43891</v>
      </c>
    </row>
    <row r="856" spans="2:18" ht="15.75" hidden="1" x14ac:dyDescent="0.25">
      <c r="B856" s="165">
        <v>43921</v>
      </c>
      <c r="C856" s="166" t="s">
        <v>138</v>
      </c>
      <c r="D856" s="166" t="s">
        <v>66</v>
      </c>
      <c r="E856" s="167"/>
      <c r="F856" s="114">
        <v>-12.99</v>
      </c>
      <c r="G856" s="168"/>
      <c r="H856" s="169"/>
      <c r="I856" s="170"/>
      <c r="J856" s="171" t="s">
        <v>1105</v>
      </c>
      <c r="K856" s="172" t="s">
        <v>177</v>
      </c>
      <c r="L856" s="172" t="s">
        <v>175</v>
      </c>
      <c r="M856" s="173" t="str" cm="1">
        <f t="array" ref="M856">IFERROR(INDEX(CategoriesTable[Category type],MATCH(Table1[[#This Row],[Category]],CategoriesTable[Category name],0),0),"")</f>
        <v>Expense</v>
      </c>
      <c r="N856" s="173">
        <v>31</v>
      </c>
      <c r="O856" s="173">
        <f>MONTH(Table1[[#This Row],[Date]])</f>
        <v>3</v>
      </c>
      <c r="P856" s="173">
        <v>2020</v>
      </c>
      <c r="Q856" s="174">
        <f>IF(ISBLANK(Table1[[#This Row],[Date]]),"",Table1[[#This Row],[Date]]-WEEKDAY(Table1[[#This Row],[Date]],2)+1)</f>
        <v>43920</v>
      </c>
      <c r="R856" s="175">
        <f>IF(ISBLANK(Table1[[#This Row],[Date]]),"",DATE(Table1[[#This Row],[Date_Year]],Table1[[#This Row],[Date_Month]],1))</f>
        <v>43891</v>
      </c>
    </row>
    <row r="857" spans="2:18" ht="15.75" hidden="1" x14ac:dyDescent="0.25">
      <c r="B857" s="165">
        <v>43920</v>
      </c>
      <c r="C857" s="166" t="s">
        <v>121</v>
      </c>
      <c r="D857" s="166" t="s">
        <v>65</v>
      </c>
      <c r="E857" s="167"/>
      <c r="F857" s="114">
        <v>-9.51</v>
      </c>
      <c r="G857" s="168"/>
      <c r="H857" s="169"/>
      <c r="I857" s="170"/>
      <c r="J857" s="171" t="s">
        <v>1106</v>
      </c>
      <c r="K857" s="172" t="s">
        <v>177</v>
      </c>
      <c r="L857" s="172" t="s">
        <v>175</v>
      </c>
      <c r="M857" s="173" t="str" cm="1">
        <f t="array" ref="M857">IFERROR(INDEX(CategoriesTable[Category type],MATCH(Table1[[#This Row],[Category]],CategoriesTable[Category name],0),0),"")</f>
        <v>Expense</v>
      </c>
      <c r="N857" s="173">
        <v>30</v>
      </c>
      <c r="O857" s="173">
        <f>MONTH(Table1[[#This Row],[Date]])</f>
        <v>3</v>
      </c>
      <c r="P857" s="173">
        <v>2020</v>
      </c>
      <c r="Q857" s="174">
        <f>IF(ISBLANK(Table1[[#This Row],[Date]]),"",Table1[[#This Row],[Date]]-WEEKDAY(Table1[[#This Row],[Date]],2)+1)</f>
        <v>43920</v>
      </c>
      <c r="R857" s="175">
        <f>IF(ISBLANK(Table1[[#This Row],[Date]]),"",DATE(Table1[[#This Row],[Date_Year]],Table1[[#This Row],[Date_Month]],1))</f>
        <v>43891</v>
      </c>
    </row>
    <row r="858" spans="2:18" ht="15.75" hidden="1" x14ac:dyDescent="0.25">
      <c r="B858" s="165">
        <v>43920</v>
      </c>
      <c r="C858" s="166" t="s">
        <v>121</v>
      </c>
      <c r="D858" s="166" t="s">
        <v>65</v>
      </c>
      <c r="E858" s="167"/>
      <c r="F858" s="114">
        <v>-11.95</v>
      </c>
      <c r="G858" s="168"/>
      <c r="H858" s="169"/>
      <c r="I858" s="170"/>
      <c r="J858" s="171" t="s">
        <v>1107</v>
      </c>
      <c r="K858" s="172" t="s">
        <v>177</v>
      </c>
      <c r="L858" s="172" t="s">
        <v>175</v>
      </c>
      <c r="M858" s="173" t="str" cm="1">
        <f t="array" ref="M858">IFERROR(INDEX(CategoriesTable[Category type],MATCH(Table1[[#This Row],[Category]],CategoriesTable[Category name],0),0),"")</f>
        <v>Expense</v>
      </c>
      <c r="N858" s="173">
        <v>30</v>
      </c>
      <c r="O858" s="173">
        <f>MONTH(Table1[[#This Row],[Date]])</f>
        <v>3</v>
      </c>
      <c r="P858" s="173">
        <v>2020</v>
      </c>
      <c r="Q858" s="174">
        <f>IF(ISBLANK(Table1[[#This Row],[Date]]),"",Table1[[#This Row],[Date]]-WEEKDAY(Table1[[#This Row],[Date]],2)+1)</f>
        <v>43920</v>
      </c>
      <c r="R858" s="175">
        <f>IF(ISBLANK(Table1[[#This Row],[Date]]),"",DATE(Table1[[#This Row],[Date_Year]],Table1[[#This Row],[Date_Month]],1))</f>
        <v>43891</v>
      </c>
    </row>
    <row r="859" spans="2:18" ht="15.75" hidden="1" x14ac:dyDescent="0.25">
      <c r="B859" s="165">
        <v>43920</v>
      </c>
      <c r="C859" s="166" t="s">
        <v>664</v>
      </c>
      <c r="D859" s="166" t="s">
        <v>66</v>
      </c>
      <c r="E859" s="167"/>
      <c r="F859" s="114">
        <v>-157.69</v>
      </c>
      <c r="G859" s="168"/>
      <c r="H859" s="169"/>
      <c r="I859" s="170"/>
      <c r="J859" s="171" t="s">
        <v>1108</v>
      </c>
      <c r="K859" s="172" t="s">
        <v>177</v>
      </c>
      <c r="L859" s="172" t="s">
        <v>175</v>
      </c>
      <c r="M859" s="173" t="str" cm="1">
        <f t="array" ref="M859">IFERROR(INDEX(CategoriesTable[Category type],MATCH(Table1[[#This Row],[Category]],CategoriesTable[Category name],0),0),"")</f>
        <v>Expense</v>
      </c>
      <c r="N859" s="173">
        <v>30</v>
      </c>
      <c r="O859" s="173">
        <f>MONTH(Table1[[#This Row],[Date]])</f>
        <v>3</v>
      </c>
      <c r="P859" s="173">
        <v>2020</v>
      </c>
      <c r="Q859" s="174">
        <f>IF(ISBLANK(Table1[[#This Row],[Date]]),"",Table1[[#This Row],[Date]]-WEEKDAY(Table1[[#This Row],[Date]],2)+1)</f>
        <v>43920</v>
      </c>
      <c r="R859" s="175">
        <f>IF(ISBLANK(Table1[[#This Row],[Date]]),"",DATE(Table1[[#This Row],[Date_Year]],Table1[[#This Row],[Date_Month]],1))</f>
        <v>43891</v>
      </c>
    </row>
    <row r="860" spans="2:18" ht="15.75" hidden="1" x14ac:dyDescent="0.25">
      <c r="B860" s="165">
        <v>43919</v>
      </c>
      <c r="C860" s="166" t="s">
        <v>121</v>
      </c>
      <c r="D860" s="166" t="s">
        <v>65</v>
      </c>
      <c r="E860" s="167"/>
      <c r="F860" s="114">
        <v>-18.18</v>
      </c>
      <c r="G860" s="168"/>
      <c r="H860" s="169"/>
      <c r="I860" s="170"/>
      <c r="J860" s="171" t="s">
        <v>1109</v>
      </c>
      <c r="K860" s="172" t="s">
        <v>177</v>
      </c>
      <c r="L860" s="172" t="s">
        <v>175</v>
      </c>
      <c r="M860" s="173" t="str" cm="1">
        <f t="array" ref="M860">IFERROR(INDEX(CategoriesTable[Category type],MATCH(Table1[[#This Row],[Category]],CategoriesTable[Category name],0),0),"")</f>
        <v>Expense</v>
      </c>
      <c r="N860" s="173">
        <v>29</v>
      </c>
      <c r="O860" s="173">
        <f>MONTH(Table1[[#This Row],[Date]])</f>
        <v>3</v>
      </c>
      <c r="P860" s="173">
        <v>2020</v>
      </c>
      <c r="Q860" s="174">
        <f>IF(ISBLANK(Table1[[#This Row],[Date]]),"",Table1[[#This Row],[Date]]-WEEKDAY(Table1[[#This Row],[Date]],2)+1)</f>
        <v>43913</v>
      </c>
      <c r="R860" s="175">
        <f>IF(ISBLANK(Table1[[#This Row],[Date]]),"",DATE(Table1[[#This Row],[Date_Year]],Table1[[#This Row],[Date_Month]],1))</f>
        <v>43891</v>
      </c>
    </row>
    <row r="861" spans="2:18" ht="15.75" hidden="1" x14ac:dyDescent="0.25">
      <c r="B861" s="165">
        <v>43918</v>
      </c>
      <c r="C861" s="166" t="s">
        <v>180</v>
      </c>
      <c r="D861" s="166" t="s">
        <v>52</v>
      </c>
      <c r="E861" s="167"/>
      <c r="F861" s="114">
        <v>-20</v>
      </c>
      <c r="G861" s="168"/>
      <c r="H861" s="169"/>
      <c r="I861" s="170"/>
      <c r="J861" s="171" t="s">
        <v>1110</v>
      </c>
      <c r="K861" s="172" t="s">
        <v>177</v>
      </c>
      <c r="L861" s="172" t="s">
        <v>175</v>
      </c>
      <c r="M861" s="173" t="str" cm="1">
        <f t="array" ref="M861">IFERROR(INDEX(CategoriesTable[Category type],MATCH(Table1[[#This Row],[Category]],CategoriesTable[Category name],0),0),"")</f>
        <v>Transfer</v>
      </c>
      <c r="N861" s="173">
        <v>28</v>
      </c>
      <c r="O861" s="173">
        <f>MONTH(Table1[[#This Row],[Date]])</f>
        <v>3</v>
      </c>
      <c r="P861" s="173">
        <v>2020</v>
      </c>
      <c r="Q861" s="174">
        <f>IF(ISBLANK(Table1[[#This Row],[Date]]),"",Table1[[#This Row],[Date]]-WEEKDAY(Table1[[#This Row],[Date]],2)+1)</f>
        <v>43913</v>
      </c>
      <c r="R861" s="175">
        <f>IF(ISBLANK(Table1[[#This Row],[Date]]),"",DATE(Table1[[#This Row],[Date_Year]],Table1[[#This Row],[Date_Month]],1))</f>
        <v>43891</v>
      </c>
    </row>
    <row r="862" spans="2:18" ht="15.75" hidden="1" x14ac:dyDescent="0.25">
      <c r="B862" s="165">
        <v>43918</v>
      </c>
      <c r="C862" s="166" t="s">
        <v>121</v>
      </c>
      <c r="D862" s="166" t="s">
        <v>65</v>
      </c>
      <c r="E862" s="167"/>
      <c r="F862" s="114">
        <v>-12.7</v>
      </c>
      <c r="G862" s="168"/>
      <c r="H862" s="169"/>
      <c r="I862" s="170"/>
      <c r="J862" s="171" t="s">
        <v>1111</v>
      </c>
      <c r="K862" s="172" t="s">
        <v>177</v>
      </c>
      <c r="L862" s="172" t="s">
        <v>175</v>
      </c>
      <c r="M862" s="173" t="str" cm="1">
        <f t="array" ref="M862">IFERROR(INDEX(CategoriesTable[Category type],MATCH(Table1[[#This Row],[Category]],CategoriesTable[Category name],0),0),"")</f>
        <v>Expense</v>
      </c>
      <c r="N862" s="173">
        <v>28</v>
      </c>
      <c r="O862" s="173">
        <f>MONTH(Table1[[#This Row],[Date]])</f>
        <v>3</v>
      </c>
      <c r="P862" s="173">
        <v>2020</v>
      </c>
      <c r="Q862" s="174">
        <f>IF(ISBLANK(Table1[[#This Row],[Date]]),"",Table1[[#This Row],[Date]]-WEEKDAY(Table1[[#This Row],[Date]],2)+1)</f>
        <v>43913</v>
      </c>
      <c r="R862" s="175">
        <f>IF(ISBLANK(Table1[[#This Row],[Date]]),"",DATE(Table1[[#This Row],[Date_Year]],Table1[[#This Row],[Date_Month]],1))</f>
        <v>43891</v>
      </c>
    </row>
    <row r="863" spans="2:18" ht="15.75" hidden="1" x14ac:dyDescent="0.25">
      <c r="B863" s="165">
        <v>43917</v>
      </c>
      <c r="C863" s="166" t="s">
        <v>715</v>
      </c>
      <c r="D863" s="166" t="s">
        <v>55</v>
      </c>
      <c r="E863" s="167"/>
      <c r="F863" s="114">
        <v>-318</v>
      </c>
      <c r="G863" s="168"/>
      <c r="H863" s="169"/>
      <c r="I863" s="170"/>
      <c r="J863" s="171" t="s">
        <v>1112</v>
      </c>
      <c r="K863" s="172" t="s">
        <v>177</v>
      </c>
      <c r="L863" s="172" t="s">
        <v>175</v>
      </c>
      <c r="M863" s="173" t="str" cm="1">
        <f t="array" ref="M863">IFERROR(INDEX(CategoriesTable[Category type],MATCH(Table1[[#This Row],[Category]],CategoriesTable[Category name],0),0),"")</f>
        <v>Expense</v>
      </c>
      <c r="N863" s="173">
        <v>27</v>
      </c>
      <c r="O863" s="173">
        <f>MONTH(Table1[[#This Row],[Date]])</f>
        <v>3</v>
      </c>
      <c r="P863" s="173">
        <v>2020</v>
      </c>
      <c r="Q863" s="174">
        <f>IF(ISBLANK(Table1[[#This Row],[Date]]),"",Table1[[#This Row],[Date]]-WEEKDAY(Table1[[#This Row],[Date]],2)+1)</f>
        <v>43913</v>
      </c>
      <c r="R863" s="175">
        <f>IF(ISBLANK(Table1[[#This Row],[Date]]),"",DATE(Table1[[#This Row],[Date_Year]],Table1[[#This Row],[Date_Month]],1))</f>
        <v>43891</v>
      </c>
    </row>
    <row r="864" spans="2:18" ht="15.75" hidden="1" x14ac:dyDescent="0.25">
      <c r="B864" s="165">
        <v>43916</v>
      </c>
      <c r="C864" s="166" t="s">
        <v>120</v>
      </c>
      <c r="D864" s="166" t="s">
        <v>66</v>
      </c>
      <c r="E864" s="167"/>
      <c r="F864" s="114">
        <v>-10.71</v>
      </c>
      <c r="G864" s="168"/>
      <c r="H864" s="169"/>
      <c r="I864" s="170"/>
      <c r="J864" s="171" t="s">
        <v>1113</v>
      </c>
      <c r="K864" s="172" t="s">
        <v>177</v>
      </c>
      <c r="L864" s="172" t="s">
        <v>175</v>
      </c>
      <c r="M864" s="173" t="str" cm="1">
        <f t="array" ref="M864">IFERROR(INDEX(CategoriesTable[Category type],MATCH(Table1[[#This Row],[Category]],CategoriesTable[Category name],0),0),"")</f>
        <v>Expense</v>
      </c>
      <c r="N864" s="173">
        <v>26</v>
      </c>
      <c r="O864" s="173">
        <f>MONTH(Table1[[#This Row],[Date]])</f>
        <v>3</v>
      </c>
      <c r="P864" s="173">
        <v>2020</v>
      </c>
      <c r="Q864" s="174">
        <f>IF(ISBLANK(Table1[[#This Row],[Date]]),"",Table1[[#This Row],[Date]]-WEEKDAY(Table1[[#This Row],[Date]],2)+1)</f>
        <v>43913</v>
      </c>
      <c r="R864" s="175">
        <f>IF(ISBLANK(Table1[[#This Row],[Date]]),"",DATE(Table1[[#This Row],[Date_Year]],Table1[[#This Row],[Date_Month]],1))</f>
        <v>43891</v>
      </c>
    </row>
    <row r="865" spans="2:18" ht="15.75" hidden="1" x14ac:dyDescent="0.25">
      <c r="B865" s="165">
        <v>43916</v>
      </c>
      <c r="C865" s="166" t="s">
        <v>128</v>
      </c>
      <c r="D865" s="166" t="s">
        <v>53</v>
      </c>
      <c r="E865" s="167"/>
      <c r="F865" s="114">
        <v>-14.75</v>
      </c>
      <c r="G865" s="168"/>
      <c r="H865" s="169"/>
      <c r="I865" s="170"/>
      <c r="J865" s="171" t="s">
        <v>1114</v>
      </c>
      <c r="K865" s="172" t="s">
        <v>177</v>
      </c>
      <c r="L865" s="172" t="s">
        <v>175</v>
      </c>
      <c r="M865" s="173" t="str" cm="1">
        <f t="array" ref="M865">IFERROR(INDEX(CategoriesTable[Category type],MATCH(Table1[[#This Row],[Category]],CategoriesTable[Category name],0),0),"")</f>
        <v>Expense</v>
      </c>
      <c r="N865" s="173">
        <v>26</v>
      </c>
      <c r="O865" s="173">
        <f>MONTH(Table1[[#This Row],[Date]])</f>
        <v>3</v>
      </c>
      <c r="P865" s="173">
        <v>2020</v>
      </c>
      <c r="Q865" s="174">
        <f>IF(ISBLANK(Table1[[#This Row],[Date]]),"",Table1[[#This Row],[Date]]-WEEKDAY(Table1[[#This Row],[Date]],2)+1)</f>
        <v>43913</v>
      </c>
      <c r="R865" s="175">
        <f>IF(ISBLANK(Table1[[#This Row],[Date]]),"",DATE(Table1[[#This Row],[Date_Year]],Table1[[#This Row],[Date_Month]],1))</f>
        <v>43891</v>
      </c>
    </row>
    <row r="866" spans="2:18" ht="15.75" hidden="1" x14ac:dyDescent="0.25">
      <c r="B866" s="165">
        <v>43916</v>
      </c>
      <c r="C866" s="166" t="s">
        <v>180</v>
      </c>
      <c r="D866" s="166" t="s">
        <v>52</v>
      </c>
      <c r="E866" s="167"/>
      <c r="F866" s="114">
        <v>-40</v>
      </c>
      <c r="G866" s="168"/>
      <c r="H866" s="169"/>
      <c r="I866" s="170"/>
      <c r="J866" s="171" t="s">
        <v>1115</v>
      </c>
      <c r="K866" s="172" t="s">
        <v>177</v>
      </c>
      <c r="L866" s="172" t="s">
        <v>175</v>
      </c>
      <c r="M866" s="173" t="str" cm="1">
        <f t="array" ref="M866">IFERROR(INDEX(CategoriesTable[Category type],MATCH(Table1[[#This Row],[Category]],CategoriesTable[Category name],0),0),"")</f>
        <v>Transfer</v>
      </c>
      <c r="N866" s="173">
        <v>26</v>
      </c>
      <c r="O866" s="173">
        <f>MONTH(Table1[[#This Row],[Date]])</f>
        <v>3</v>
      </c>
      <c r="P866" s="173">
        <v>2020</v>
      </c>
      <c r="Q866" s="174">
        <f>IF(ISBLANK(Table1[[#This Row],[Date]]),"",Table1[[#This Row],[Date]]-WEEKDAY(Table1[[#This Row],[Date]],2)+1)</f>
        <v>43913</v>
      </c>
      <c r="R866" s="175">
        <f>IF(ISBLANK(Table1[[#This Row],[Date]]),"",DATE(Table1[[#This Row],[Date_Year]],Table1[[#This Row],[Date_Month]],1))</f>
        <v>43891</v>
      </c>
    </row>
    <row r="867" spans="2:18" ht="15.75" hidden="1" x14ac:dyDescent="0.25">
      <c r="B867" s="165">
        <v>43916</v>
      </c>
      <c r="C867" s="166" t="s">
        <v>124</v>
      </c>
      <c r="D867" s="166" t="s">
        <v>55</v>
      </c>
      <c r="E867" s="167"/>
      <c r="F867" s="114">
        <v>-9.99</v>
      </c>
      <c r="G867" s="168"/>
      <c r="H867" s="169"/>
      <c r="I867" s="170"/>
      <c r="J867" s="171" t="s">
        <v>1116</v>
      </c>
      <c r="K867" s="172" t="s">
        <v>177</v>
      </c>
      <c r="L867" s="172" t="s">
        <v>175</v>
      </c>
      <c r="M867" s="173" t="str" cm="1">
        <f t="array" ref="M867">IFERROR(INDEX(CategoriesTable[Category type],MATCH(Table1[[#This Row],[Category]],CategoriesTable[Category name],0),0),"")</f>
        <v>Expense</v>
      </c>
      <c r="N867" s="173">
        <v>26</v>
      </c>
      <c r="O867" s="173">
        <f>MONTH(Table1[[#This Row],[Date]])</f>
        <v>3</v>
      </c>
      <c r="P867" s="173">
        <v>2020</v>
      </c>
      <c r="Q867" s="174">
        <f>IF(ISBLANK(Table1[[#This Row],[Date]]),"",Table1[[#This Row],[Date]]-WEEKDAY(Table1[[#This Row],[Date]],2)+1)</f>
        <v>43913</v>
      </c>
      <c r="R867" s="175">
        <f>IF(ISBLANK(Table1[[#This Row],[Date]]),"",DATE(Table1[[#This Row],[Date_Year]],Table1[[#This Row],[Date_Month]],1))</f>
        <v>43891</v>
      </c>
    </row>
    <row r="868" spans="2:18" ht="15.75" hidden="1" x14ac:dyDescent="0.25">
      <c r="B868" s="165">
        <v>43915</v>
      </c>
      <c r="C868" s="166" t="s">
        <v>120</v>
      </c>
      <c r="D868" s="166" t="s">
        <v>66</v>
      </c>
      <c r="E868" s="167"/>
      <c r="F868" s="114">
        <v>-49.8</v>
      </c>
      <c r="G868" s="168"/>
      <c r="H868" s="169"/>
      <c r="I868" s="170"/>
      <c r="J868" s="171" t="s">
        <v>1117</v>
      </c>
      <c r="K868" s="172" t="s">
        <v>177</v>
      </c>
      <c r="L868" s="172" t="s">
        <v>175</v>
      </c>
      <c r="M868" s="173" t="str" cm="1">
        <f t="array" ref="M868">IFERROR(INDEX(CategoriesTable[Category type],MATCH(Table1[[#This Row],[Category]],CategoriesTable[Category name],0),0),"")</f>
        <v>Expense</v>
      </c>
      <c r="N868" s="173">
        <v>25</v>
      </c>
      <c r="O868" s="173">
        <f>MONTH(Table1[[#This Row],[Date]])</f>
        <v>3</v>
      </c>
      <c r="P868" s="173">
        <v>2020</v>
      </c>
      <c r="Q868" s="174">
        <f>IF(ISBLANK(Table1[[#This Row],[Date]]),"",Table1[[#This Row],[Date]]-WEEKDAY(Table1[[#This Row],[Date]],2)+1)</f>
        <v>43913</v>
      </c>
      <c r="R868" s="175">
        <f>IF(ISBLANK(Table1[[#This Row],[Date]]),"",DATE(Table1[[#This Row],[Date_Year]],Table1[[#This Row],[Date_Month]],1))</f>
        <v>43891</v>
      </c>
    </row>
    <row r="869" spans="2:18" ht="15.75" hidden="1" x14ac:dyDescent="0.25">
      <c r="B869" s="165">
        <v>43915</v>
      </c>
      <c r="C869" s="166" t="s">
        <v>121</v>
      </c>
      <c r="D869" s="166" t="s">
        <v>65</v>
      </c>
      <c r="E869" s="167"/>
      <c r="F869" s="114">
        <v>-5.38</v>
      </c>
      <c r="G869" s="168"/>
      <c r="H869" s="169"/>
      <c r="I869" s="170"/>
      <c r="J869" s="171" t="s">
        <v>1118</v>
      </c>
      <c r="K869" s="172" t="s">
        <v>177</v>
      </c>
      <c r="L869" s="172" t="s">
        <v>175</v>
      </c>
      <c r="M869" s="173" t="str" cm="1">
        <f t="array" ref="M869">IFERROR(INDEX(CategoriesTable[Category type],MATCH(Table1[[#This Row],[Category]],CategoriesTable[Category name],0),0),"")</f>
        <v>Expense</v>
      </c>
      <c r="N869" s="173">
        <v>25</v>
      </c>
      <c r="O869" s="173">
        <f>MONTH(Table1[[#This Row],[Date]])</f>
        <v>3</v>
      </c>
      <c r="P869" s="173">
        <v>2020</v>
      </c>
      <c r="Q869" s="174">
        <f>IF(ISBLANK(Table1[[#This Row],[Date]]),"",Table1[[#This Row],[Date]]-WEEKDAY(Table1[[#This Row],[Date]],2)+1)</f>
        <v>43913</v>
      </c>
      <c r="R869" s="175">
        <f>IF(ISBLANK(Table1[[#This Row],[Date]]),"",DATE(Table1[[#This Row],[Date_Year]],Table1[[#This Row],[Date_Month]],1))</f>
        <v>43891</v>
      </c>
    </row>
    <row r="870" spans="2:18" ht="15.75" hidden="1" x14ac:dyDescent="0.25">
      <c r="B870" s="165">
        <v>43914</v>
      </c>
      <c r="C870" s="166" t="s">
        <v>145</v>
      </c>
      <c r="D870" s="166" t="s">
        <v>58</v>
      </c>
      <c r="E870" s="167"/>
      <c r="F870" s="114">
        <v>-12.93</v>
      </c>
      <c r="G870" s="168"/>
      <c r="H870" s="169"/>
      <c r="I870" s="170"/>
      <c r="J870" s="171" t="s">
        <v>1119</v>
      </c>
      <c r="K870" s="172" t="s">
        <v>177</v>
      </c>
      <c r="L870" s="172" t="s">
        <v>175</v>
      </c>
      <c r="M870" s="173" t="str" cm="1">
        <f t="array" ref="M870">IFERROR(INDEX(CategoriesTable[Category type],MATCH(Table1[[#This Row],[Category]],CategoriesTable[Category name],0),0),"")</f>
        <v>Expense</v>
      </c>
      <c r="N870" s="173">
        <v>24</v>
      </c>
      <c r="O870" s="173">
        <f>MONTH(Table1[[#This Row],[Date]])</f>
        <v>3</v>
      </c>
      <c r="P870" s="173">
        <v>2020</v>
      </c>
      <c r="Q870" s="174">
        <f>IF(ISBLANK(Table1[[#This Row],[Date]]),"",Table1[[#This Row],[Date]]-WEEKDAY(Table1[[#This Row],[Date]],2)+1)</f>
        <v>43913</v>
      </c>
      <c r="R870" s="175">
        <f>IF(ISBLANK(Table1[[#This Row],[Date]]),"",DATE(Table1[[#This Row],[Date_Year]],Table1[[#This Row],[Date_Month]],1))</f>
        <v>43891</v>
      </c>
    </row>
    <row r="871" spans="2:18" ht="15.75" hidden="1" x14ac:dyDescent="0.25">
      <c r="B871" s="165">
        <v>43914</v>
      </c>
      <c r="C871" s="166" t="s">
        <v>247</v>
      </c>
      <c r="D871" s="166" t="s">
        <v>65</v>
      </c>
      <c r="E871" s="167"/>
      <c r="F871" s="114">
        <v>-22.34</v>
      </c>
      <c r="G871" s="168"/>
      <c r="H871" s="169"/>
      <c r="I871" s="170"/>
      <c r="J871" s="171" t="s">
        <v>1120</v>
      </c>
      <c r="K871" s="172" t="s">
        <v>177</v>
      </c>
      <c r="L871" s="172" t="s">
        <v>175</v>
      </c>
      <c r="M871" s="173" t="str" cm="1">
        <f t="array" ref="M871">IFERROR(INDEX(CategoriesTable[Category type],MATCH(Table1[[#This Row],[Category]],CategoriesTable[Category name],0),0),"")</f>
        <v>Expense</v>
      </c>
      <c r="N871" s="173">
        <v>24</v>
      </c>
      <c r="O871" s="173">
        <f>MONTH(Table1[[#This Row],[Date]])</f>
        <v>3</v>
      </c>
      <c r="P871" s="173">
        <v>2020</v>
      </c>
      <c r="Q871" s="174">
        <f>IF(ISBLANK(Table1[[#This Row],[Date]]),"",Table1[[#This Row],[Date]]-WEEKDAY(Table1[[#This Row],[Date]],2)+1)</f>
        <v>43913</v>
      </c>
      <c r="R871" s="175">
        <f>IF(ISBLANK(Table1[[#This Row],[Date]]),"",DATE(Table1[[#This Row],[Date_Year]],Table1[[#This Row],[Date_Month]],1))</f>
        <v>43891</v>
      </c>
    </row>
    <row r="872" spans="2:18" ht="15.75" hidden="1" x14ac:dyDescent="0.25">
      <c r="B872" s="165">
        <v>43914</v>
      </c>
      <c r="C872" s="166" t="s">
        <v>180</v>
      </c>
      <c r="D872" s="166" t="s">
        <v>52</v>
      </c>
      <c r="E872" s="167"/>
      <c r="F872" s="114">
        <v>-20</v>
      </c>
      <c r="G872" s="168"/>
      <c r="H872" s="169"/>
      <c r="I872" s="170"/>
      <c r="J872" s="171" t="s">
        <v>1121</v>
      </c>
      <c r="K872" s="172" t="s">
        <v>177</v>
      </c>
      <c r="L872" s="172" t="s">
        <v>175</v>
      </c>
      <c r="M872" s="173" t="str" cm="1">
        <f t="array" ref="M872">IFERROR(INDEX(CategoriesTable[Category type],MATCH(Table1[[#This Row],[Category]],CategoriesTable[Category name],0),0),"")</f>
        <v>Transfer</v>
      </c>
      <c r="N872" s="173">
        <v>24</v>
      </c>
      <c r="O872" s="173">
        <f>MONTH(Table1[[#This Row],[Date]])</f>
        <v>3</v>
      </c>
      <c r="P872" s="173">
        <v>2020</v>
      </c>
      <c r="Q872" s="174">
        <f>IF(ISBLANK(Table1[[#This Row],[Date]]),"",Table1[[#This Row],[Date]]-WEEKDAY(Table1[[#This Row],[Date]],2)+1)</f>
        <v>43913</v>
      </c>
      <c r="R872" s="175">
        <f>IF(ISBLANK(Table1[[#This Row],[Date]]),"",DATE(Table1[[#This Row],[Date_Year]],Table1[[#This Row],[Date_Month]],1))</f>
        <v>43891</v>
      </c>
    </row>
    <row r="873" spans="2:18" ht="15.75" hidden="1" x14ac:dyDescent="0.25">
      <c r="B873" s="165">
        <v>43914</v>
      </c>
      <c r="C873" s="166" t="s">
        <v>148</v>
      </c>
      <c r="D873" s="166" t="s">
        <v>65</v>
      </c>
      <c r="E873" s="167"/>
      <c r="F873" s="114">
        <v>-7.2</v>
      </c>
      <c r="G873" s="168"/>
      <c r="H873" s="169"/>
      <c r="I873" s="170"/>
      <c r="J873" s="171" t="s">
        <v>1122</v>
      </c>
      <c r="K873" s="172" t="s">
        <v>177</v>
      </c>
      <c r="L873" s="172" t="s">
        <v>175</v>
      </c>
      <c r="M873" s="173" t="str" cm="1">
        <f t="array" ref="M873">IFERROR(INDEX(CategoriesTable[Category type],MATCH(Table1[[#This Row],[Category]],CategoriesTable[Category name],0),0),"")</f>
        <v>Expense</v>
      </c>
      <c r="N873" s="173">
        <v>24</v>
      </c>
      <c r="O873" s="173">
        <f>MONTH(Table1[[#This Row],[Date]])</f>
        <v>3</v>
      </c>
      <c r="P873" s="173">
        <v>2020</v>
      </c>
      <c r="Q873" s="174">
        <f>IF(ISBLANK(Table1[[#This Row],[Date]]),"",Table1[[#This Row],[Date]]-WEEKDAY(Table1[[#This Row],[Date]],2)+1)</f>
        <v>43913</v>
      </c>
      <c r="R873" s="175">
        <f>IF(ISBLANK(Table1[[#This Row],[Date]]),"",DATE(Table1[[#This Row],[Date_Year]],Table1[[#This Row],[Date_Month]],1))</f>
        <v>43891</v>
      </c>
    </row>
    <row r="874" spans="2:18" ht="15.75" hidden="1" x14ac:dyDescent="0.25">
      <c r="B874" s="165">
        <v>43914</v>
      </c>
      <c r="C874" s="166" t="s">
        <v>208</v>
      </c>
      <c r="D874" s="166" t="s">
        <v>55</v>
      </c>
      <c r="E874" s="167"/>
      <c r="F874" s="114">
        <v>-40.28</v>
      </c>
      <c r="G874" s="168"/>
      <c r="H874" s="169"/>
      <c r="I874" s="170"/>
      <c r="J874" s="171" t="s">
        <v>1123</v>
      </c>
      <c r="K874" s="172" t="s">
        <v>177</v>
      </c>
      <c r="L874" s="172" t="s">
        <v>175</v>
      </c>
      <c r="M874" s="173" t="str" cm="1">
        <f t="array" ref="M874">IFERROR(INDEX(CategoriesTable[Category type],MATCH(Table1[[#This Row],[Category]],CategoriesTable[Category name],0),0),"")</f>
        <v>Expense</v>
      </c>
      <c r="N874" s="173">
        <v>24</v>
      </c>
      <c r="O874" s="173">
        <f>MONTH(Table1[[#This Row],[Date]])</f>
        <v>3</v>
      </c>
      <c r="P874" s="173">
        <v>2020</v>
      </c>
      <c r="Q874" s="174">
        <f>IF(ISBLANK(Table1[[#This Row],[Date]]),"",Table1[[#This Row],[Date]]-WEEKDAY(Table1[[#This Row],[Date]],2)+1)</f>
        <v>43913</v>
      </c>
      <c r="R874" s="175">
        <f>IF(ISBLANK(Table1[[#This Row],[Date]]),"",DATE(Table1[[#This Row],[Date_Year]],Table1[[#This Row],[Date_Month]],1))</f>
        <v>43891</v>
      </c>
    </row>
    <row r="875" spans="2:18" ht="15.75" hidden="1" x14ac:dyDescent="0.25">
      <c r="B875" s="165">
        <v>43913</v>
      </c>
      <c r="C875" s="166" t="s">
        <v>145</v>
      </c>
      <c r="D875" s="166" t="s">
        <v>58</v>
      </c>
      <c r="E875" s="167"/>
      <c r="F875" s="114">
        <v>-3.94</v>
      </c>
      <c r="G875" s="168"/>
      <c r="H875" s="169"/>
      <c r="I875" s="170"/>
      <c r="J875" s="171" t="s">
        <v>1124</v>
      </c>
      <c r="K875" s="172" t="s">
        <v>177</v>
      </c>
      <c r="L875" s="172" t="s">
        <v>175</v>
      </c>
      <c r="M875" s="173" t="str" cm="1">
        <f t="array" ref="M875">IFERROR(INDEX(CategoriesTable[Category type],MATCH(Table1[[#This Row],[Category]],CategoriesTable[Category name],0),0),"")</f>
        <v>Expense</v>
      </c>
      <c r="N875" s="173">
        <v>23</v>
      </c>
      <c r="O875" s="173">
        <f>MONTH(Table1[[#This Row],[Date]])</f>
        <v>3</v>
      </c>
      <c r="P875" s="173">
        <v>2020</v>
      </c>
      <c r="Q875" s="174">
        <f>IF(ISBLANK(Table1[[#This Row],[Date]]),"",Table1[[#This Row],[Date]]-WEEKDAY(Table1[[#This Row],[Date]],2)+1)</f>
        <v>43913</v>
      </c>
      <c r="R875" s="175">
        <f>IF(ISBLANK(Table1[[#This Row],[Date]]),"",DATE(Table1[[#This Row],[Date_Year]],Table1[[#This Row],[Date_Month]],1))</f>
        <v>43891</v>
      </c>
    </row>
    <row r="876" spans="2:18" ht="15.75" hidden="1" x14ac:dyDescent="0.25">
      <c r="B876" s="165">
        <v>43913</v>
      </c>
      <c r="C876" s="166" t="s">
        <v>121</v>
      </c>
      <c r="D876" s="166" t="s">
        <v>65</v>
      </c>
      <c r="E876" s="167"/>
      <c r="F876" s="114">
        <v>-4.0199999999999996</v>
      </c>
      <c r="G876" s="168"/>
      <c r="H876" s="169"/>
      <c r="I876" s="170"/>
      <c r="J876" s="171" t="s">
        <v>1125</v>
      </c>
      <c r="K876" s="172" t="s">
        <v>177</v>
      </c>
      <c r="L876" s="172" t="s">
        <v>175</v>
      </c>
      <c r="M876" s="173" t="str" cm="1">
        <f t="array" ref="M876">IFERROR(INDEX(CategoriesTable[Category type],MATCH(Table1[[#This Row],[Category]],CategoriesTable[Category name],0),0),"")</f>
        <v>Expense</v>
      </c>
      <c r="N876" s="173">
        <v>23</v>
      </c>
      <c r="O876" s="173">
        <f>MONTH(Table1[[#This Row],[Date]])</f>
        <v>3</v>
      </c>
      <c r="P876" s="173">
        <v>2020</v>
      </c>
      <c r="Q876" s="174">
        <f>IF(ISBLANK(Table1[[#This Row],[Date]]),"",Table1[[#This Row],[Date]]-WEEKDAY(Table1[[#This Row],[Date]],2)+1)</f>
        <v>43913</v>
      </c>
      <c r="R876" s="175">
        <f>IF(ISBLANK(Table1[[#This Row],[Date]]),"",DATE(Table1[[#This Row],[Date_Year]],Table1[[#This Row],[Date_Month]],1))</f>
        <v>43891</v>
      </c>
    </row>
    <row r="877" spans="2:18" ht="15.75" hidden="1" x14ac:dyDescent="0.25">
      <c r="B877" s="165">
        <v>43913</v>
      </c>
      <c r="C877" s="166" t="s">
        <v>121</v>
      </c>
      <c r="D877" s="166" t="s">
        <v>65</v>
      </c>
      <c r="E877" s="167"/>
      <c r="F877" s="114">
        <v>-12.27</v>
      </c>
      <c r="G877" s="168"/>
      <c r="H877" s="169"/>
      <c r="I877" s="170"/>
      <c r="J877" s="171" t="s">
        <v>1126</v>
      </c>
      <c r="K877" s="172" t="s">
        <v>177</v>
      </c>
      <c r="L877" s="172" t="s">
        <v>175</v>
      </c>
      <c r="M877" s="173" t="str" cm="1">
        <f t="array" ref="M877">IFERROR(INDEX(CategoriesTable[Category type],MATCH(Table1[[#This Row],[Category]],CategoriesTable[Category name],0),0),"")</f>
        <v>Expense</v>
      </c>
      <c r="N877" s="173">
        <v>23</v>
      </c>
      <c r="O877" s="173">
        <f>MONTH(Table1[[#This Row],[Date]])</f>
        <v>3</v>
      </c>
      <c r="P877" s="173">
        <v>2020</v>
      </c>
      <c r="Q877" s="174">
        <f>IF(ISBLANK(Table1[[#This Row],[Date]]),"",Table1[[#This Row],[Date]]-WEEKDAY(Table1[[#This Row],[Date]],2)+1)</f>
        <v>43913</v>
      </c>
      <c r="R877" s="175">
        <f>IF(ISBLANK(Table1[[#This Row],[Date]]),"",DATE(Table1[[#This Row],[Date_Year]],Table1[[#This Row],[Date_Month]],1))</f>
        <v>43891</v>
      </c>
    </row>
    <row r="878" spans="2:18" ht="15.75" hidden="1" x14ac:dyDescent="0.25">
      <c r="B878" s="165">
        <v>43913</v>
      </c>
      <c r="C878" s="166" t="s">
        <v>180</v>
      </c>
      <c r="D878" s="166" t="s">
        <v>52</v>
      </c>
      <c r="E878" s="167"/>
      <c r="F878" s="114">
        <v>-20</v>
      </c>
      <c r="G878" s="168"/>
      <c r="H878" s="169"/>
      <c r="I878" s="170"/>
      <c r="J878" s="171" t="s">
        <v>1127</v>
      </c>
      <c r="K878" s="172" t="s">
        <v>177</v>
      </c>
      <c r="L878" s="172" t="s">
        <v>175</v>
      </c>
      <c r="M878" s="173" t="str" cm="1">
        <f t="array" ref="M878">IFERROR(INDEX(CategoriesTable[Category type],MATCH(Table1[[#This Row],[Category]],CategoriesTable[Category name],0),0),"")</f>
        <v>Transfer</v>
      </c>
      <c r="N878" s="173">
        <v>23</v>
      </c>
      <c r="O878" s="173">
        <f>MONTH(Table1[[#This Row],[Date]])</f>
        <v>3</v>
      </c>
      <c r="P878" s="173">
        <v>2020</v>
      </c>
      <c r="Q878" s="174">
        <f>IF(ISBLANK(Table1[[#This Row],[Date]]),"",Table1[[#This Row],[Date]]-WEEKDAY(Table1[[#This Row],[Date]],2)+1)</f>
        <v>43913</v>
      </c>
      <c r="R878" s="175">
        <f>IF(ISBLANK(Table1[[#This Row],[Date]]),"",DATE(Table1[[#This Row],[Date_Year]],Table1[[#This Row],[Date_Month]],1))</f>
        <v>43891</v>
      </c>
    </row>
    <row r="879" spans="2:18" ht="15.75" hidden="1" x14ac:dyDescent="0.25">
      <c r="B879" s="165">
        <v>43913</v>
      </c>
      <c r="C879" s="166" t="s">
        <v>180</v>
      </c>
      <c r="D879" s="166" t="s">
        <v>52</v>
      </c>
      <c r="E879" s="167"/>
      <c r="F879" s="114">
        <v>-20</v>
      </c>
      <c r="G879" s="168"/>
      <c r="H879" s="169"/>
      <c r="I879" s="170"/>
      <c r="J879" s="171" t="s">
        <v>1128</v>
      </c>
      <c r="K879" s="172" t="s">
        <v>177</v>
      </c>
      <c r="L879" s="172" t="s">
        <v>175</v>
      </c>
      <c r="M879" s="173" t="str" cm="1">
        <f t="array" ref="M879">IFERROR(INDEX(CategoriesTable[Category type],MATCH(Table1[[#This Row],[Category]],CategoriesTable[Category name],0),0),"")</f>
        <v>Transfer</v>
      </c>
      <c r="N879" s="173">
        <v>23</v>
      </c>
      <c r="O879" s="173">
        <f>MONTH(Table1[[#This Row],[Date]])</f>
        <v>3</v>
      </c>
      <c r="P879" s="173">
        <v>2020</v>
      </c>
      <c r="Q879" s="174">
        <f>IF(ISBLANK(Table1[[#This Row],[Date]]),"",Table1[[#This Row],[Date]]-WEEKDAY(Table1[[#This Row],[Date]],2)+1)</f>
        <v>43913</v>
      </c>
      <c r="R879" s="175">
        <f>IF(ISBLANK(Table1[[#This Row],[Date]]),"",DATE(Table1[[#This Row],[Date_Year]],Table1[[#This Row],[Date_Month]],1))</f>
        <v>43891</v>
      </c>
    </row>
    <row r="880" spans="2:18" ht="15.75" hidden="1" x14ac:dyDescent="0.25">
      <c r="B880" s="165">
        <v>43911</v>
      </c>
      <c r="C880" s="166" t="s">
        <v>247</v>
      </c>
      <c r="D880" s="166" t="s">
        <v>65</v>
      </c>
      <c r="E880" s="167"/>
      <c r="F880" s="114">
        <v>-1.59</v>
      </c>
      <c r="G880" s="168"/>
      <c r="H880" s="169"/>
      <c r="I880" s="170"/>
      <c r="J880" s="171" t="s">
        <v>1129</v>
      </c>
      <c r="K880" s="172" t="s">
        <v>177</v>
      </c>
      <c r="L880" s="172" t="s">
        <v>175</v>
      </c>
      <c r="M880" s="173" t="str" cm="1">
        <f t="array" ref="M880">IFERROR(INDEX(CategoriesTable[Category type],MATCH(Table1[[#This Row],[Category]],CategoriesTable[Category name],0),0),"")</f>
        <v>Expense</v>
      </c>
      <c r="N880" s="173">
        <v>21</v>
      </c>
      <c r="O880" s="173">
        <f>MONTH(Table1[[#This Row],[Date]])</f>
        <v>3</v>
      </c>
      <c r="P880" s="173">
        <v>2020</v>
      </c>
      <c r="Q880" s="174">
        <f>IF(ISBLANK(Table1[[#This Row],[Date]]),"",Table1[[#This Row],[Date]]-WEEKDAY(Table1[[#This Row],[Date]],2)+1)</f>
        <v>43906</v>
      </c>
      <c r="R880" s="175">
        <f>IF(ISBLANK(Table1[[#This Row],[Date]]),"",DATE(Table1[[#This Row],[Date_Year]],Table1[[#This Row],[Date_Month]],1))</f>
        <v>43891</v>
      </c>
    </row>
    <row r="881" spans="2:18" ht="15.75" hidden="1" x14ac:dyDescent="0.25">
      <c r="B881" s="165">
        <v>43911</v>
      </c>
      <c r="C881" s="166" t="s">
        <v>120</v>
      </c>
      <c r="D881" s="166" t="s">
        <v>66</v>
      </c>
      <c r="E881" s="167"/>
      <c r="F881" s="114">
        <v>-24.76</v>
      </c>
      <c r="G881" s="168"/>
      <c r="H881" s="169"/>
      <c r="I881" s="170"/>
      <c r="J881" s="171" t="s">
        <v>1130</v>
      </c>
      <c r="K881" s="172" t="s">
        <v>177</v>
      </c>
      <c r="L881" s="172" t="s">
        <v>175</v>
      </c>
      <c r="M881" s="173" t="str" cm="1">
        <f t="array" ref="M881">IFERROR(INDEX(CategoriesTable[Category type],MATCH(Table1[[#This Row],[Category]],CategoriesTable[Category name],0),0),"")</f>
        <v>Expense</v>
      </c>
      <c r="N881" s="173">
        <v>21</v>
      </c>
      <c r="O881" s="173">
        <f>MONTH(Table1[[#This Row],[Date]])</f>
        <v>3</v>
      </c>
      <c r="P881" s="173">
        <v>2020</v>
      </c>
      <c r="Q881" s="174">
        <f>IF(ISBLANK(Table1[[#This Row],[Date]]),"",Table1[[#This Row],[Date]]-WEEKDAY(Table1[[#This Row],[Date]],2)+1)</f>
        <v>43906</v>
      </c>
      <c r="R881" s="175">
        <f>IF(ISBLANK(Table1[[#This Row],[Date]]),"",DATE(Table1[[#This Row],[Date_Year]],Table1[[#This Row],[Date_Month]],1))</f>
        <v>43891</v>
      </c>
    </row>
    <row r="882" spans="2:18" ht="15.75" hidden="1" x14ac:dyDescent="0.25">
      <c r="B882" s="165">
        <v>43911</v>
      </c>
      <c r="C882" s="166" t="s">
        <v>120</v>
      </c>
      <c r="D882" s="166" t="s">
        <v>66</v>
      </c>
      <c r="E882" s="167"/>
      <c r="F882" s="114">
        <v>-96.39</v>
      </c>
      <c r="G882" s="168"/>
      <c r="H882" s="169"/>
      <c r="I882" s="170"/>
      <c r="J882" s="171" t="s">
        <v>1131</v>
      </c>
      <c r="K882" s="172" t="s">
        <v>177</v>
      </c>
      <c r="L882" s="172" t="s">
        <v>175</v>
      </c>
      <c r="M882" s="173" t="str" cm="1">
        <f t="array" ref="M882">IFERROR(INDEX(CategoriesTable[Category type],MATCH(Table1[[#This Row],[Category]],CategoriesTable[Category name],0),0),"")</f>
        <v>Expense</v>
      </c>
      <c r="N882" s="173">
        <v>21</v>
      </c>
      <c r="O882" s="173">
        <f>MONTH(Table1[[#This Row],[Date]])</f>
        <v>3</v>
      </c>
      <c r="P882" s="173">
        <v>2020</v>
      </c>
      <c r="Q882" s="174">
        <f>IF(ISBLANK(Table1[[#This Row],[Date]]),"",Table1[[#This Row],[Date]]-WEEKDAY(Table1[[#This Row],[Date]],2)+1)</f>
        <v>43906</v>
      </c>
      <c r="R882" s="175">
        <f>IF(ISBLANK(Table1[[#This Row],[Date]]),"",DATE(Table1[[#This Row],[Date_Year]],Table1[[#This Row],[Date_Month]],1))</f>
        <v>43891</v>
      </c>
    </row>
    <row r="883" spans="2:18" ht="15.75" hidden="1" x14ac:dyDescent="0.25">
      <c r="B883" s="165">
        <v>43911</v>
      </c>
      <c r="C883" s="166" t="s">
        <v>128</v>
      </c>
      <c r="D883" s="166" t="s">
        <v>53</v>
      </c>
      <c r="E883" s="167"/>
      <c r="F883" s="114">
        <v>-7.8</v>
      </c>
      <c r="G883" s="168"/>
      <c r="H883" s="169"/>
      <c r="I883" s="170"/>
      <c r="J883" s="171" t="s">
        <v>1132</v>
      </c>
      <c r="K883" s="172" t="s">
        <v>177</v>
      </c>
      <c r="L883" s="172" t="s">
        <v>175</v>
      </c>
      <c r="M883" s="173" t="str" cm="1">
        <f t="array" ref="M883">IFERROR(INDEX(CategoriesTable[Category type],MATCH(Table1[[#This Row],[Category]],CategoriesTable[Category name],0),0),"")</f>
        <v>Expense</v>
      </c>
      <c r="N883" s="173">
        <v>21</v>
      </c>
      <c r="O883" s="173">
        <f>MONTH(Table1[[#This Row],[Date]])</f>
        <v>3</v>
      </c>
      <c r="P883" s="173">
        <v>2020</v>
      </c>
      <c r="Q883" s="174">
        <f>IF(ISBLANK(Table1[[#This Row],[Date]]),"",Table1[[#This Row],[Date]]-WEEKDAY(Table1[[#This Row],[Date]],2)+1)</f>
        <v>43906</v>
      </c>
      <c r="R883" s="175">
        <f>IF(ISBLANK(Table1[[#This Row],[Date]]),"",DATE(Table1[[#This Row],[Date_Year]],Table1[[#This Row],[Date_Month]],1))</f>
        <v>43891</v>
      </c>
    </row>
    <row r="884" spans="2:18" ht="15.75" hidden="1" x14ac:dyDescent="0.25">
      <c r="B884" s="165">
        <v>43911</v>
      </c>
      <c r="C884" s="166" t="s">
        <v>128</v>
      </c>
      <c r="D884" s="166" t="s">
        <v>53</v>
      </c>
      <c r="E884" s="167"/>
      <c r="F884" s="114">
        <v>-16.850000000000001</v>
      </c>
      <c r="G884" s="168"/>
      <c r="H884" s="169"/>
      <c r="I884" s="170"/>
      <c r="J884" s="171" t="s">
        <v>1133</v>
      </c>
      <c r="K884" s="172" t="s">
        <v>177</v>
      </c>
      <c r="L884" s="172" t="s">
        <v>175</v>
      </c>
      <c r="M884" s="173" t="str" cm="1">
        <f t="array" ref="M884">IFERROR(INDEX(CategoriesTable[Category type],MATCH(Table1[[#This Row],[Category]],CategoriesTable[Category name],0),0),"")</f>
        <v>Expense</v>
      </c>
      <c r="N884" s="173">
        <v>21</v>
      </c>
      <c r="O884" s="173">
        <f>MONTH(Table1[[#This Row],[Date]])</f>
        <v>3</v>
      </c>
      <c r="P884" s="173">
        <v>2020</v>
      </c>
      <c r="Q884" s="174">
        <f>IF(ISBLANK(Table1[[#This Row],[Date]]),"",Table1[[#This Row],[Date]]-WEEKDAY(Table1[[#This Row],[Date]],2)+1)</f>
        <v>43906</v>
      </c>
      <c r="R884" s="175">
        <f>IF(ISBLANK(Table1[[#This Row],[Date]]),"",DATE(Table1[[#This Row],[Date_Year]],Table1[[#This Row],[Date_Month]],1))</f>
        <v>43891</v>
      </c>
    </row>
    <row r="885" spans="2:18" ht="15.75" hidden="1" x14ac:dyDescent="0.25">
      <c r="B885" s="165">
        <v>43910</v>
      </c>
      <c r="C885" s="166" t="s">
        <v>120</v>
      </c>
      <c r="D885" s="166" t="s">
        <v>66</v>
      </c>
      <c r="E885" s="167"/>
      <c r="F885" s="114">
        <v>-31.97</v>
      </c>
      <c r="G885" s="168"/>
      <c r="H885" s="169"/>
      <c r="I885" s="170"/>
      <c r="J885" s="171" t="s">
        <v>1134</v>
      </c>
      <c r="K885" s="172" t="s">
        <v>177</v>
      </c>
      <c r="L885" s="172" t="s">
        <v>175</v>
      </c>
      <c r="M885" s="173" t="str" cm="1">
        <f t="array" ref="M885">IFERROR(INDEX(CategoriesTable[Category type],MATCH(Table1[[#This Row],[Category]],CategoriesTable[Category name],0),0),"")</f>
        <v>Expense</v>
      </c>
      <c r="N885" s="173">
        <v>20</v>
      </c>
      <c r="O885" s="173">
        <f>MONTH(Table1[[#This Row],[Date]])</f>
        <v>3</v>
      </c>
      <c r="P885" s="173">
        <v>2020</v>
      </c>
      <c r="Q885" s="174">
        <f>IF(ISBLANK(Table1[[#This Row],[Date]]),"",Table1[[#This Row],[Date]]-WEEKDAY(Table1[[#This Row],[Date]],2)+1)</f>
        <v>43906</v>
      </c>
      <c r="R885" s="175">
        <f>IF(ISBLANK(Table1[[#This Row],[Date]]),"",DATE(Table1[[#This Row],[Date_Year]],Table1[[#This Row],[Date_Month]],1))</f>
        <v>43891</v>
      </c>
    </row>
    <row r="886" spans="2:18" ht="15.75" hidden="1" x14ac:dyDescent="0.25">
      <c r="B886" s="165">
        <v>43910</v>
      </c>
      <c r="C886" s="166" t="s">
        <v>121</v>
      </c>
      <c r="D886" s="166" t="s">
        <v>65</v>
      </c>
      <c r="E886" s="167"/>
      <c r="F886" s="114">
        <v>-8.25</v>
      </c>
      <c r="G886" s="168"/>
      <c r="H886" s="169"/>
      <c r="I886" s="170"/>
      <c r="J886" s="171" t="s">
        <v>1135</v>
      </c>
      <c r="K886" s="172" t="s">
        <v>177</v>
      </c>
      <c r="L886" s="172" t="s">
        <v>175</v>
      </c>
      <c r="M886" s="173" t="str" cm="1">
        <f t="array" ref="M886">IFERROR(INDEX(CategoriesTable[Category type],MATCH(Table1[[#This Row],[Category]],CategoriesTable[Category name],0),0),"")</f>
        <v>Expense</v>
      </c>
      <c r="N886" s="173">
        <v>20</v>
      </c>
      <c r="O886" s="173">
        <f>MONTH(Table1[[#This Row],[Date]])</f>
        <v>3</v>
      </c>
      <c r="P886" s="173">
        <v>2020</v>
      </c>
      <c r="Q886" s="174">
        <f>IF(ISBLANK(Table1[[#This Row],[Date]]),"",Table1[[#This Row],[Date]]-WEEKDAY(Table1[[#This Row],[Date]],2)+1)</f>
        <v>43906</v>
      </c>
      <c r="R886" s="175">
        <f>IF(ISBLANK(Table1[[#This Row],[Date]]),"",DATE(Table1[[#This Row],[Date_Year]],Table1[[#This Row],[Date_Month]],1))</f>
        <v>43891</v>
      </c>
    </row>
    <row r="887" spans="2:18" ht="15.75" hidden="1" x14ac:dyDescent="0.25">
      <c r="B887" s="165">
        <v>43909</v>
      </c>
      <c r="C887" s="166" t="s">
        <v>121</v>
      </c>
      <c r="D887" s="166" t="s">
        <v>65</v>
      </c>
      <c r="E887" s="167"/>
      <c r="F887" s="114">
        <v>-11.21</v>
      </c>
      <c r="G887" s="168"/>
      <c r="H887" s="169"/>
      <c r="I887" s="170"/>
      <c r="J887" s="171" t="s">
        <v>1136</v>
      </c>
      <c r="K887" s="172" t="s">
        <v>177</v>
      </c>
      <c r="L887" s="172" t="s">
        <v>175</v>
      </c>
      <c r="M887" s="173" t="str" cm="1">
        <f t="array" ref="M887">IFERROR(INDEX(CategoriesTable[Category type],MATCH(Table1[[#This Row],[Category]],CategoriesTable[Category name],0),0),"")</f>
        <v>Expense</v>
      </c>
      <c r="N887" s="173">
        <v>19</v>
      </c>
      <c r="O887" s="173">
        <f>MONTH(Table1[[#This Row],[Date]])</f>
        <v>3</v>
      </c>
      <c r="P887" s="173">
        <v>2020</v>
      </c>
      <c r="Q887" s="174">
        <f>IF(ISBLANK(Table1[[#This Row],[Date]]),"",Table1[[#This Row],[Date]]-WEEKDAY(Table1[[#This Row],[Date]],2)+1)</f>
        <v>43906</v>
      </c>
      <c r="R887" s="175">
        <f>IF(ISBLANK(Table1[[#This Row],[Date]]),"",DATE(Table1[[#This Row],[Date_Year]],Table1[[#This Row],[Date_Month]],1))</f>
        <v>43891</v>
      </c>
    </row>
    <row r="888" spans="2:18" ht="15.75" hidden="1" x14ac:dyDescent="0.25">
      <c r="B888" s="165">
        <v>43909</v>
      </c>
      <c r="C888" s="166" t="s">
        <v>121</v>
      </c>
      <c r="D888" s="166" t="s">
        <v>65</v>
      </c>
      <c r="E888" s="167"/>
      <c r="F888" s="114">
        <v>-12.91</v>
      </c>
      <c r="G888" s="168"/>
      <c r="H888" s="169"/>
      <c r="I888" s="170"/>
      <c r="J888" s="171" t="s">
        <v>1137</v>
      </c>
      <c r="K888" s="172" t="s">
        <v>177</v>
      </c>
      <c r="L888" s="172" t="s">
        <v>175</v>
      </c>
      <c r="M888" s="173" t="str" cm="1">
        <f t="array" ref="M888">IFERROR(INDEX(CategoriesTable[Category type],MATCH(Table1[[#This Row],[Category]],CategoriesTable[Category name],0),0),"")</f>
        <v>Expense</v>
      </c>
      <c r="N888" s="173">
        <v>19</v>
      </c>
      <c r="O888" s="173">
        <f>MONTH(Table1[[#This Row],[Date]])</f>
        <v>3</v>
      </c>
      <c r="P888" s="173">
        <v>2020</v>
      </c>
      <c r="Q888" s="174">
        <f>IF(ISBLANK(Table1[[#This Row],[Date]]),"",Table1[[#This Row],[Date]]-WEEKDAY(Table1[[#This Row],[Date]],2)+1)</f>
        <v>43906</v>
      </c>
      <c r="R888" s="175">
        <f>IF(ISBLANK(Table1[[#This Row],[Date]]),"",DATE(Table1[[#This Row],[Date_Year]],Table1[[#This Row],[Date_Month]],1))</f>
        <v>43891</v>
      </c>
    </row>
    <row r="889" spans="2:18" ht="15.75" hidden="1" x14ac:dyDescent="0.25">
      <c r="B889" s="165">
        <v>43909</v>
      </c>
      <c r="C889" s="166" t="s">
        <v>180</v>
      </c>
      <c r="D889" s="166" t="s">
        <v>52</v>
      </c>
      <c r="E889" s="167"/>
      <c r="F889" s="114">
        <v>-20</v>
      </c>
      <c r="G889" s="168"/>
      <c r="H889" s="169"/>
      <c r="I889" s="170"/>
      <c r="J889" s="171" t="s">
        <v>1138</v>
      </c>
      <c r="K889" s="172" t="s">
        <v>177</v>
      </c>
      <c r="L889" s="172" t="s">
        <v>175</v>
      </c>
      <c r="M889" s="173" t="str" cm="1">
        <f t="array" ref="M889">IFERROR(INDEX(CategoriesTable[Category type],MATCH(Table1[[#This Row],[Category]],CategoriesTable[Category name],0),0),"")</f>
        <v>Transfer</v>
      </c>
      <c r="N889" s="173">
        <v>19</v>
      </c>
      <c r="O889" s="173">
        <f>MONTH(Table1[[#This Row],[Date]])</f>
        <v>3</v>
      </c>
      <c r="P889" s="173">
        <v>2020</v>
      </c>
      <c r="Q889" s="174">
        <f>IF(ISBLANK(Table1[[#This Row],[Date]]),"",Table1[[#This Row],[Date]]-WEEKDAY(Table1[[#This Row],[Date]],2)+1)</f>
        <v>43906</v>
      </c>
      <c r="R889" s="175">
        <f>IF(ISBLANK(Table1[[#This Row],[Date]]),"",DATE(Table1[[#This Row],[Date_Year]],Table1[[#This Row],[Date_Month]],1))</f>
        <v>43891</v>
      </c>
    </row>
    <row r="890" spans="2:18" ht="15.75" hidden="1" x14ac:dyDescent="0.25">
      <c r="B890" s="165">
        <v>43909</v>
      </c>
      <c r="C890" s="166" t="s">
        <v>211</v>
      </c>
      <c r="D890" s="166" t="s">
        <v>66</v>
      </c>
      <c r="E890" s="167"/>
      <c r="F890" s="114">
        <v>-160</v>
      </c>
      <c r="G890" s="168"/>
      <c r="H890" s="169"/>
      <c r="I890" s="170"/>
      <c r="J890" s="171" t="s">
        <v>1139</v>
      </c>
      <c r="K890" s="172" t="s">
        <v>177</v>
      </c>
      <c r="L890" s="172" t="s">
        <v>175</v>
      </c>
      <c r="M890" s="173" t="str" cm="1">
        <f t="array" ref="M890">IFERROR(INDEX(CategoriesTable[Category type],MATCH(Table1[[#This Row],[Category]],CategoriesTable[Category name],0),0),"")</f>
        <v>Expense</v>
      </c>
      <c r="N890" s="173">
        <v>19</v>
      </c>
      <c r="O890" s="173">
        <f>MONTH(Table1[[#This Row],[Date]])</f>
        <v>3</v>
      </c>
      <c r="P890" s="173">
        <v>2020</v>
      </c>
      <c r="Q890" s="174">
        <f>IF(ISBLANK(Table1[[#This Row],[Date]]),"",Table1[[#This Row],[Date]]-WEEKDAY(Table1[[#This Row],[Date]],2)+1)</f>
        <v>43906</v>
      </c>
      <c r="R890" s="175">
        <f>IF(ISBLANK(Table1[[#This Row],[Date]]),"",DATE(Table1[[#This Row],[Date_Year]],Table1[[#This Row],[Date_Month]],1))</f>
        <v>43891</v>
      </c>
    </row>
    <row r="891" spans="2:18" ht="15.75" hidden="1" x14ac:dyDescent="0.25">
      <c r="B891" s="165">
        <v>43908</v>
      </c>
      <c r="C891" s="166" t="s">
        <v>144</v>
      </c>
      <c r="D891" s="166" t="s">
        <v>53</v>
      </c>
      <c r="E891" s="167"/>
      <c r="F891" s="114">
        <v>-11.01</v>
      </c>
      <c r="G891" s="168"/>
      <c r="H891" s="169"/>
      <c r="I891" s="170"/>
      <c r="J891" s="171" t="s">
        <v>1140</v>
      </c>
      <c r="K891" s="172" t="s">
        <v>177</v>
      </c>
      <c r="L891" s="172" t="s">
        <v>175</v>
      </c>
      <c r="M891" s="173" t="str" cm="1">
        <f t="array" ref="M891">IFERROR(INDEX(CategoriesTable[Category type],MATCH(Table1[[#This Row],[Category]],CategoriesTable[Category name],0),0),"")</f>
        <v>Expense</v>
      </c>
      <c r="N891" s="173">
        <v>18</v>
      </c>
      <c r="O891" s="173">
        <f>MONTH(Table1[[#This Row],[Date]])</f>
        <v>3</v>
      </c>
      <c r="P891" s="173">
        <v>2020</v>
      </c>
      <c r="Q891" s="174">
        <f>IF(ISBLANK(Table1[[#This Row],[Date]]),"",Table1[[#This Row],[Date]]-WEEKDAY(Table1[[#This Row],[Date]],2)+1)</f>
        <v>43906</v>
      </c>
      <c r="R891" s="175">
        <f>IF(ISBLANK(Table1[[#This Row],[Date]]),"",DATE(Table1[[#This Row],[Date_Year]],Table1[[#This Row],[Date_Month]],1))</f>
        <v>43891</v>
      </c>
    </row>
    <row r="892" spans="2:18" ht="15.75" hidden="1" x14ac:dyDescent="0.25">
      <c r="B892" s="165">
        <v>43908</v>
      </c>
      <c r="C892" s="166" t="s">
        <v>145</v>
      </c>
      <c r="D892" s="166" t="s">
        <v>58</v>
      </c>
      <c r="E892" s="167"/>
      <c r="F892" s="114">
        <v>-9.26</v>
      </c>
      <c r="G892" s="168"/>
      <c r="H892" s="169"/>
      <c r="I892" s="170"/>
      <c r="J892" s="171" t="s">
        <v>1141</v>
      </c>
      <c r="K892" s="172" t="s">
        <v>177</v>
      </c>
      <c r="L892" s="172" t="s">
        <v>175</v>
      </c>
      <c r="M892" s="173" t="str" cm="1">
        <f t="array" ref="M892">IFERROR(INDEX(CategoriesTable[Category type],MATCH(Table1[[#This Row],[Category]],CategoriesTable[Category name],0),0),"")</f>
        <v>Expense</v>
      </c>
      <c r="N892" s="173">
        <v>18</v>
      </c>
      <c r="O892" s="173">
        <f>MONTH(Table1[[#This Row],[Date]])</f>
        <v>3</v>
      </c>
      <c r="P892" s="173">
        <v>2020</v>
      </c>
      <c r="Q892" s="174">
        <f>IF(ISBLANK(Table1[[#This Row],[Date]]),"",Table1[[#This Row],[Date]]-WEEKDAY(Table1[[#This Row],[Date]],2)+1)</f>
        <v>43906</v>
      </c>
      <c r="R892" s="175">
        <f>IF(ISBLANK(Table1[[#This Row],[Date]]),"",DATE(Table1[[#This Row],[Date_Year]],Table1[[#This Row],[Date_Month]],1))</f>
        <v>43891</v>
      </c>
    </row>
    <row r="893" spans="2:18" ht="15.75" hidden="1" x14ac:dyDescent="0.25">
      <c r="B893" s="165">
        <v>43908</v>
      </c>
      <c r="C893" s="166" t="s">
        <v>121</v>
      </c>
      <c r="D893" s="166" t="s">
        <v>65</v>
      </c>
      <c r="E893" s="167"/>
      <c r="F893" s="114">
        <v>-4.0199999999999996</v>
      </c>
      <c r="G893" s="168"/>
      <c r="H893" s="169"/>
      <c r="I893" s="170"/>
      <c r="J893" s="171" t="s">
        <v>1142</v>
      </c>
      <c r="K893" s="172" t="s">
        <v>177</v>
      </c>
      <c r="L893" s="172" t="s">
        <v>175</v>
      </c>
      <c r="M893" s="173" t="str" cm="1">
        <f t="array" ref="M893">IFERROR(INDEX(CategoriesTable[Category type],MATCH(Table1[[#This Row],[Category]],CategoriesTable[Category name],0),0),"")</f>
        <v>Expense</v>
      </c>
      <c r="N893" s="173">
        <v>18</v>
      </c>
      <c r="O893" s="173">
        <f>MONTH(Table1[[#This Row],[Date]])</f>
        <v>3</v>
      </c>
      <c r="P893" s="173">
        <v>2020</v>
      </c>
      <c r="Q893" s="174">
        <f>IF(ISBLANK(Table1[[#This Row],[Date]]),"",Table1[[#This Row],[Date]]-WEEKDAY(Table1[[#This Row],[Date]],2)+1)</f>
        <v>43906</v>
      </c>
      <c r="R893" s="175">
        <f>IF(ISBLANK(Table1[[#This Row],[Date]]),"",DATE(Table1[[#This Row],[Date_Year]],Table1[[#This Row],[Date_Month]],1))</f>
        <v>43891</v>
      </c>
    </row>
    <row r="894" spans="2:18" ht="15.75" hidden="1" x14ac:dyDescent="0.25">
      <c r="B894" s="165">
        <v>43908</v>
      </c>
      <c r="C894" s="166" t="s">
        <v>180</v>
      </c>
      <c r="D894" s="166" t="s">
        <v>52</v>
      </c>
      <c r="E894" s="167"/>
      <c r="F894" s="114">
        <v>-40</v>
      </c>
      <c r="G894" s="168"/>
      <c r="H894" s="169"/>
      <c r="I894" s="170"/>
      <c r="J894" s="171" t="s">
        <v>1143</v>
      </c>
      <c r="K894" s="172" t="s">
        <v>177</v>
      </c>
      <c r="L894" s="172" t="s">
        <v>175</v>
      </c>
      <c r="M894" s="173" t="str" cm="1">
        <f t="array" ref="M894">IFERROR(INDEX(CategoriesTable[Category type],MATCH(Table1[[#This Row],[Category]],CategoriesTable[Category name],0),0),"")</f>
        <v>Transfer</v>
      </c>
      <c r="N894" s="173">
        <v>18</v>
      </c>
      <c r="O894" s="173">
        <f>MONTH(Table1[[#This Row],[Date]])</f>
        <v>3</v>
      </c>
      <c r="P894" s="173">
        <v>2020</v>
      </c>
      <c r="Q894" s="174">
        <f>IF(ISBLANK(Table1[[#This Row],[Date]]),"",Table1[[#This Row],[Date]]-WEEKDAY(Table1[[#This Row],[Date]],2)+1)</f>
        <v>43906</v>
      </c>
      <c r="R894" s="175">
        <f>IF(ISBLANK(Table1[[#This Row],[Date]]),"",DATE(Table1[[#This Row],[Date_Year]],Table1[[#This Row],[Date_Month]],1))</f>
        <v>43891</v>
      </c>
    </row>
    <row r="895" spans="2:18" ht="15.75" hidden="1" x14ac:dyDescent="0.25">
      <c r="B895" s="165">
        <v>43908</v>
      </c>
      <c r="C895" s="166" t="s">
        <v>182</v>
      </c>
      <c r="D895" s="166" t="s">
        <v>55</v>
      </c>
      <c r="E895" s="167"/>
      <c r="F895" s="114">
        <v>-10.9</v>
      </c>
      <c r="G895" s="168"/>
      <c r="H895" s="169"/>
      <c r="I895" s="170"/>
      <c r="J895" s="171" t="s">
        <v>1144</v>
      </c>
      <c r="K895" s="172" t="s">
        <v>177</v>
      </c>
      <c r="L895" s="172" t="s">
        <v>175</v>
      </c>
      <c r="M895" s="173" t="str" cm="1">
        <f t="array" ref="M895">IFERROR(INDEX(CategoriesTable[Category type],MATCH(Table1[[#This Row],[Category]],CategoriesTable[Category name],0),0),"")</f>
        <v>Expense</v>
      </c>
      <c r="N895" s="173">
        <v>18</v>
      </c>
      <c r="O895" s="173">
        <f>MONTH(Table1[[#This Row],[Date]])</f>
        <v>3</v>
      </c>
      <c r="P895" s="173">
        <v>2020</v>
      </c>
      <c r="Q895" s="174">
        <f>IF(ISBLANK(Table1[[#This Row],[Date]]),"",Table1[[#This Row],[Date]]-WEEKDAY(Table1[[#This Row],[Date]],2)+1)</f>
        <v>43906</v>
      </c>
      <c r="R895" s="175">
        <f>IF(ISBLANK(Table1[[#This Row],[Date]]),"",DATE(Table1[[#This Row],[Date_Year]],Table1[[#This Row],[Date_Month]],1))</f>
        <v>43891</v>
      </c>
    </row>
    <row r="896" spans="2:18" ht="15.75" hidden="1" x14ac:dyDescent="0.25">
      <c r="B896" s="165">
        <v>43908</v>
      </c>
      <c r="C896" s="166" t="s">
        <v>129</v>
      </c>
      <c r="D896" s="166" t="s">
        <v>55</v>
      </c>
      <c r="E896" s="167"/>
      <c r="F896" s="114">
        <v>-75.98</v>
      </c>
      <c r="G896" s="168"/>
      <c r="H896" s="169"/>
      <c r="I896" s="170"/>
      <c r="J896" s="171" t="s">
        <v>1145</v>
      </c>
      <c r="K896" s="172" t="s">
        <v>177</v>
      </c>
      <c r="L896" s="172" t="s">
        <v>175</v>
      </c>
      <c r="M896" s="173" t="str" cm="1">
        <f t="array" ref="M896">IFERROR(INDEX(CategoriesTable[Category type],MATCH(Table1[[#This Row],[Category]],CategoriesTable[Category name],0),0),"")</f>
        <v>Expense</v>
      </c>
      <c r="N896" s="173">
        <v>18</v>
      </c>
      <c r="O896" s="173">
        <f>MONTH(Table1[[#This Row],[Date]])</f>
        <v>3</v>
      </c>
      <c r="P896" s="173">
        <v>2020</v>
      </c>
      <c r="Q896" s="174">
        <f>IF(ISBLANK(Table1[[#This Row],[Date]]),"",Table1[[#This Row],[Date]]-WEEKDAY(Table1[[#This Row],[Date]],2)+1)</f>
        <v>43906</v>
      </c>
      <c r="R896" s="175">
        <f>IF(ISBLANK(Table1[[#This Row],[Date]]),"",DATE(Table1[[#This Row],[Date_Year]],Table1[[#This Row],[Date_Month]],1))</f>
        <v>43891</v>
      </c>
    </row>
    <row r="897" spans="2:18" ht="15.75" hidden="1" x14ac:dyDescent="0.25">
      <c r="B897" s="165">
        <v>43907</v>
      </c>
      <c r="C897" s="166" t="s">
        <v>247</v>
      </c>
      <c r="D897" s="166" t="s">
        <v>65</v>
      </c>
      <c r="E897" s="167"/>
      <c r="F897" s="114">
        <v>-12.82</v>
      </c>
      <c r="G897" s="168"/>
      <c r="H897" s="169"/>
      <c r="I897" s="170"/>
      <c r="J897" s="171" t="s">
        <v>1146</v>
      </c>
      <c r="K897" s="172" t="s">
        <v>177</v>
      </c>
      <c r="L897" s="172" t="s">
        <v>175</v>
      </c>
      <c r="M897" s="173" t="str" cm="1">
        <f t="array" ref="M897">IFERROR(INDEX(CategoriesTable[Category type],MATCH(Table1[[#This Row],[Category]],CategoriesTable[Category name],0),0),"")</f>
        <v>Expense</v>
      </c>
      <c r="N897" s="173">
        <v>17</v>
      </c>
      <c r="O897" s="173">
        <f>MONTH(Table1[[#This Row],[Date]])</f>
        <v>3</v>
      </c>
      <c r="P897" s="173">
        <v>2020</v>
      </c>
      <c r="Q897" s="174">
        <f>IF(ISBLANK(Table1[[#This Row],[Date]]),"",Table1[[#This Row],[Date]]-WEEKDAY(Table1[[#This Row],[Date]],2)+1)</f>
        <v>43906</v>
      </c>
      <c r="R897" s="175">
        <f>IF(ISBLANK(Table1[[#This Row],[Date]]),"",DATE(Table1[[#This Row],[Date_Year]],Table1[[#This Row],[Date_Month]],1))</f>
        <v>43891</v>
      </c>
    </row>
    <row r="898" spans="2:18" ht="15.75" hidden="1" x14ac:dyDescent="0.25">
      <c r="B898" s="165">
        <v>43907</v>
      </c>
      <c r="C898" s="166" t="s">
        <v>784</v>
      </c>
      <c r="D898" s="166" t="s">
        <v>64</v>
      </c>
      <c r="E898" s="167"/>
      <c r="F898" s="114">
        <v>-500</v>
      </c>
      <c r="G898" s="168"/>
      <c r="H898" s="169"/>
      <c r="I898" s="170"/>
      <c r="J898" s="171" t="s">
        <v>1147</v>
      </c>
      <c r="K898" s="172" t="s">
        <v>177</v>
      </c>
      <c r="L898" s="172" t="s">
        <v>175</v>
      </c>
      <c r="M898" s="173" t="str" cm="1">
        <f t="array" ref="M898">IFERROR(INDEX(CategoriesTable[Category type],MATCH(Table1[[#This Row],[Category]],CategoriesTable[Category name],0),0),"")</f>
        <v>Expense</v>
      </c>
      <c r="N898" s="173">
        <v>17</v>
      </c>
      <c r="O898" s="173">
        <f>MONTH(Table1[[#This Row],[Date]])</f>
        <v>3</v>
      </c>
      <c r="P898" s="173">
        <v>2020</v>
      </c>
      <c r="Q898" s="174">
        <f>IF(ISBLANK(Table1[[#This Row],[Date]]),"",Table1[[#This Row],[Date]]-WEEKDAY(Table1[[#This Row],[Date]],2)+1)</f>
        <v>43906</v>
      </c>
      <c r="R898" s="175">
        <f>IF(ISBLANK(Table1[[#This Row],[Date]]),"",DATE(Table1[[#This Row],[Date_Year]],Table1[[#This Row],[Date_Month]],1))</f>
        <v>43891</v>
      </c>
    </row>
    <row r="899" spans="2:18" ht="15.75" hidden="1" x14ac:dyDescent="0.25">
      <c r="B899" s="165">
        <v>43907</v>
      </c>
      <c r="C899" s="166" t="s">
        <v>750</v>
      </c>
      <c r="D899" s="166" t="s">
        <v>52</v>
      </c>
      <c r="E899" s="167"/>
      <c r="F899" s="114">
        <v>-145</v>
      </c>
      <c r="G899" s="168"/>
      <c r="H899" s="169"/>
      <c r="I899" s="170"/>
      <c r="J899" s="171" t="s">
        <v>1148</v>
      </c>
      <c r="K899" s="172" t="s">
        <v>177</v>
      </c>
      <c r="L899" s="172" t="s">
        <v>175</v>
      </c>
      <c r="M899" s="173" t="str" cm="1">
        <f t="array" ref="M899">IFERROR(INDEX(CategoriesTable[Category type],MATCH(Table1[[#This Row],[Category]],CategoriesTable[Category name],0),0),"")</f>
        <v>Transfer</v>
      </c>
      <c r="N899" s="173">
        <v>17</v>
      </c>
      <c r="O899" s="173">
        <f>MONTH(Table1[[#This Row],[Date]])</f>
        <v>3</v>
      </c>
      <c r="P899" s="173">
        <v>2020</v>
      </c>
      <c r="Q899" s="174">
        <f>IF(ISBLANK(Table1[[#This Row],[Date]]),"",Table1[[#This Row],[Date]]-WEEKDAY(Table1[[#This Row],[Date]],2)+1)</f>
        <v>43906</v>
      </c>
      <c r="R899" s="175">
        <f>IF(ISBLANK(Table1[[#This Row],[Date]]),"",DATE(Table1[[#This Row],[Date_Year]],Table1[[#This Row],[Date_Month]],1))</f>
        <v>43891</v>
      </c>
    </row>
    <row r="900" spans="2:18" ht="15.75" hidden="1" x14ac:dyDescent="0.25">
      <c r="B900" s="165">
        <v>43906</v>
      </c>
      <c r="C900" s="166" t="s">
        <v>149</v>
      </c>
      <c r="D900" s="166" t="s">
        <v>65</v>
      </c>
      <c r="E900" s="167"/>
      <c r="F900" s="114">
        <v>-13.55</v>
      </c>
      <c r="G900" s="168"/>
      <c r="H900" s="169"/>
      <c r="I900" s="170"/>
      <c r="J900" s="171" t="s">
        <v>1149</v>
      </c>
      <c r="K900" s="172" t="s">
        <v>177</v>
      </c>
      <c r="L900" s="172" t="s">
        <v>175</v>
      </c>
      <c r="M900" s="173" t="str" cm="1">
        <f t="array" ref="M900">IFERROR(INDEX(CategoriesTable[Category type],MATCH(Table1[[#This Row],[Category]],CategoriesTable[Category name],0),0),"")</f>
        <v>Expense</v>
      </c>
      <c r="N900" s="173">
        <v>16</v>
      </c>
      <c r="O900" s="173">
        <f>MONTH(Table1[[#This Row],[Date]])</f>
        <v>3</v>
      </c>
      <c r="P900" s="173">
        <v>2020</v>
      </c>
      <c r="Q900" s="174">
        <f>IF(ISBLANK(Table1[[#This Row],[Date]]),"",Table1[[#This Row],[Date]]-WEEKDAY(Table1[[#This Row],[Date]],2)+1)</f>
        <v>43906</v>
      </c>
      <c r="R900" s="175">
        <f>IF(ISBLANK(Table1[[#This Row],[Date]]),"",DATE(Table1[[#This Row],[Date_Year]],Table1[[#This Row],[Date_Month]],1))</f>
        <v>43891</v>
      </c>
    </row>
    <row r="901" spans="2:18" ht="15.75" hidden="1" x14ac:dyDescent="0.25">
      <c r="B901" s="165">
        <v>43906</v>
      </c>
      <c r="C901" s="166" t="s">
        <v>128</v>
      </c>
      <c r="D901" s="166" t="s">
        <v>53</v>
      </c>
      <c r="E901" s="167"/>
      <c r="F901" s="114">
        <v>-14.79</v>
      </c>
      <c r="G901" s="168"/>
      <c r="H901" s="169"/>
      <c r="I901" s="170"/>
      <c r="J901" s="171" t="s">
        <v>1150</v>
      </c>
      <c r="K901" s="172" t="s">
        <v>177</v>
      </c>
      <c r="L901" s="172" t="s">
        <v>175</v>
      </c>
      <c r="M901" s="173" t="str" cm="1">
        <f t="array" ref="M901">IFERROR(INDEX(CategoriesTable[Category type],MATCH(Table1[[#This Row],[Category]],CategoriesTable[Category name],0),0),"")</f>
        <v>Expense</v>
      </c>
      <c r="N901" s="173">
        <v>16</v>
      </c>
      <c r="O901" s="173">
        <f>MONTH(Table1[[#This Row],[Date]])</f>
        <v>3</v>
      </c>
      <c r="P901" s="173">
        <v>2020</v>
      </c>
      <c r="Q901" s="174">
        <f>IF(ISBLANK(Table1[[#This Row],[Date]]),"",Table1[[#This Row],[Date]]-WEEKDAY(Table1[[#This Row],[Date]],2)+1)</f>
        <v>43906</v>
      </c>
      <c r="R901" s="175">
        <f>IF(ISBLANK(Table1[[#This Row],[Date]]),"",DATE(Table1[[#This Row],[Date_Year]],Table1[[#This Row],[Date_Month]],1))</f>
        <v>43891</v>
      </c>
    </row>
    <row r="902" spans="2:18" ht="15.75" hidden="1" x14ac:dyDescent="0.25">
      <c r="B902" s="165">
        <v>43906</v>
      </c>
      <c r="C902" s="166" t="s">
        <v>121</v>
      </c>
      <c r="D902" s="166" t="s">
        <v>65</v>
      </c>
      <c r="E902" s="167"/>
      <c r="F902" s="114">
        <v>-7.35</v>
      </c>
      <c r="G902" s="168"/>
      <c r="H902" s="169"/>
      <c r="I902" s="170"/>
      <c r="J902" s="171" t="s">
        <v>1151</v>
      </c>
      <c r="K902" s="172" t="s">
        <v>177</v>
      </c>
      <c r="L902" s="172" t="s">
        <v>175</v>
      </c>
      <c r="M902" s="173" t="str" cm="1">
        <f t="array" ref="M902">IFERROR(INDEX(CategoriesTable[Category type],MATCH(Table1[[#This Row],[Category]],CategoriesTable[Category name],0),0),"")</f>
        <v>Expense</v>
      </c>
      <c r="N902" s="173">
        <v>16</v>
      </c>
      <c r="O902" s="173">
        <f>MONTH(Table1[[#This Row],[Date]])</f>
        <v>3</v>
      </c>
      <c r="P902" s="173">
        <v>2020</v>
      </c>
      <c r="Q902" s="174">
        <f>IF(ISBLANK(Table1[[#This Row],[Date]]),"",Table1[[#This Row],[Date]]-WEEKDAY(Table1[[#This Row],[Date]],2)+1)</f>
        <v>43906</v>
      </c>
      <c r="R902" s="175">
        <f>IF(ISBLANK(Table1[[#This Row],[Date]]),"",DATE(Table1[[#This Row],[Date_Year]],Table1[[#This Row],[Date_Month]],1))</f>
        <v>43891</v>
      </c>
    </row>
    <row r="903" spans="2:18" ht="15.75" hidden="1" x14ac:dyDescent="0.25">
      <c r="B903" s="165">
        <v>43906</v>
      </c>
      <c r="C903" s="166" t="s">
        <v>249</v>
      </c>
      <c r="D903" s="166" t="s">
        <v>52</v>
      </c>
      <c r="E903" s="167"/>
      <c r="F903" s="114">
        <v>-70</v>
      </c>
      <c r="G903" s="168"/>
      <c r="H903" s="169"/>
      <c r="I903" s="170"/>
      <c r="J903" s="171" t="s">
        <v>1152</v>
      </c>
      <c r="K903" s="172" t="s">
        <v>177</v>
      </c>
      <c r="L903" s="172" t="s">
        <v>175</v>
      </c>
      <c r="M903" s="173" t="str" cm="1">
        <f t="array" ref="M903">IFERROR(INDEX(CategoriesTable[Category type],MATCH(Table1[[#This Row],[Category]],CategoriesTable[Category name],0),0),"")</f>
        <v>Transfer</v>
      </c>
      <c r="N903" s="173">
        <v>16</v>
      </c>
      <c r="O903" s="173">
        <f>MONTH(Table1[[#This Row],[Date]])</f>
        <v>3</v>
      </c>
      <c r="P903" s="173">
        <v>2020</v>
      </c>
      <c r="Q903" s="174">
        <f>IF(ISBLANK(Table1[[#This Row],[Date]]),"",Table1[[#This Row],[Date]]-WEEKDAY(Table1[[#This Row],[Date]],2)+1)</f>
        <v>43906</v>
      </c>
      <c r="R903" s="175">
        <f>IF(ISBLANK(Table1[[#This Row],[Date]]),"",DATE(Table1[[#This Row],[Date_Year]],Table1[[#This Row],[Date_Month]],1))</f>
        <v>43891</v>
      </c>
    </row>
    <row r="904" spans="2:18" ht="15.75" hidden="1" x14ac:dyDescent="0.25">
      <c r="B904" s="165">
        <v>43906</v>
      </c>
      <c r="C904" s="166" t="s">
        <v>606</v>
      </c>
      <c r="D904" s="166" t="s">
        <v>55</v>
      </c>
      <c r="E904" s="167"/>
      <c r="F904" s="114">
        <v>-79.849999999999994</v>
      </c>
      <c r="G904" s="168"/>
      <c r="H904" s="169"/>
      <c r="I904" s="170"/>
      <c r="J904" s="171" t="s">
        <v>1153</v>
      </c>
      <c r="K904" s="172" t="s">
        <v>177</v>
      </c>
      <c r="L904" s="172" t="s">
        <v>175</v>
      </c>
      <c r="M904" s="173" t="str" cm="1">
        <f t="array" ref="M904">IFERROR(INDEX(CategoriesTable[Category type],MATCH(Table1[[#This Row],[Category]],CategoriesTable[Category name],0),0),"")</f>
        <v>Expense</v>
      </c>
      <c r="N904" s="173">
        <v>16</v>
      </c>
      <c r="O904" s="173">
        <f>MONTH(Table1[[#This Row],[Date]])</f>
        <v>3</v>
      </c>
      <c r="P904" s="173">
        <v>2020</v>
      </c>
      <c r="Q904" s="174">
        <f>IF(ISBLANK(Table1[[#This Row],[Date]]),"",Table1[[#This Row],[Date]]-WEEKDAY(Table1[[#This Row],[Date]],2)+1)</f>
        <v>43906</v>
      </c>
      <c r="R904" s="175">
        <f>IF(ISBLANK(Table1[[#This Row],[Date]]),"",DATE(Table1[[#This Row],[Date_Year]],Table1[[#This Row],[Date_Month]],1))</f>
        <v>43891</v>
      </c>
    </row>
    <row r="905" spans="2:18" ht="15.75" hidden="1" x14ac:dyDescent="0.25">
      <c r="B905" s="165">
        <v>43906</v>
      </c>
      <c r="C905" s="166" t="s">
        <v>664</v>
      </c>
      <c r="D905" s="166" t="s">
        <v>66</v>
      </c>
      <c r="E905" s="167"/>
      <c r="F905" s="114">
        <v>-213.04</v>
      </c>
      <c r="G905" s="168"/>
      <c r="H905" s="169"/>
      <c r="I905" s="170"/>
      <c r="J905" s="171" t="s">
        <v>1154</v>
      </c>
      <c r="K905" s="172" t="s">
        <v>177</v>
      </c>
      <c r="L905" s="172" t="s">
        <v>175</v>
      </c>
      <c r="M905" s="173" t="str" cm="1">
        <f t="array" ref="M905">IFERROR(INDEX(CategoriesTable[Category type],MATCH(Table1[[#This Row],[Category]],CategoriesTable[Category name],0),0),"")</f>
        <v>Expense</v>
      </c>
      <c r="N905" s="173">
        <v>16</v>
      </c>
      <c r="O905" s="173">
        <f>MONTH(Table1[[#This Row],[Date]])</f>
        <v>3</v>
      </c>
      <c r="P905" s="173">
        <v>2020</v>
      </c>
      <c r="Q905" s="174">
        <f>IF(ISBLANK(Table1[[#This Row],[Date]]),"",Table1[[#This Row],[Date]]-WEEKDAY(Table1[[#This Row],[Date]],2)+1)</f>
        <v>43906</v>
      </c>
      <c r="R905" s="175">
        <f>IF(ISBLANK(Table1[[#This Row],[Date]]),"",DATE(Table1[[#This Row],[Date_Year]],Table1[[#This Row],[Date_Month]],1))</f>
        <v>43891</v>
      </c>
    </row>
    <row r="906" spans="2:18" ht="15.75" hidden="1" x14ac:dyDescent="0.25">
      <c r="B906" s="165">
        <v>43905</v>
      </c>
      <c r="C906" s="166" t="s">
        <v>121</v>
      </c>
      <c r="D906" s="166" t="s">
        <v>65</v>
      </c>
      <c r="E906" s="167"/>
      <c r="F906" s="114">
        <v>-11.21</v>
      </c>
      <c r="G906" s="168"/>
      <c r="H906" s="169"/>
      <c r="I906" s="170"/>
      <c r="J906" s="171" t="s">
        <v>1155</v>
      </c>
      <c r="K906" s="172" t="s">
        <v>177</v>
      </c>
      <c r="L906" s="172" t="s">
        <v>175</v>
      </c>
      <c r="M906" s="173" t="str" cm="1">
        <f t="array" ref="M906">IFERROR(INDEX(CategoriesTable[Category type],MATCH(Table1[[#This Row],[Category]],CategoriesTable[Category name],0),0),"")</f>
        <v>Expense</v>
      </c>
      <c r="N906" s="173">
        <v>15</v>
      </c>
      <c r="O906" s="173">
        <f>MONTH(Table1[[#This Row],[Date]])</f>
        <v>3</v>
      </c>
      <c r="P906" s="173">
        <v>2020</v>
      </c>
      <c r="Q906" s="174">
        <f>IF(ISBLANK(Table1[[#This Row],[Date]]),"",Table1[[#This Row],[Date]]-WEEKDAY(Table1[[#This Row],[Date]],2)+1)</f>
        <v>43899</v>
      </c>
      <c r="R906" s="175">
        <f>IF(ISBLANK(Table1[[#This Row],[Date]]),"",DATE(Table1[[#This Row],[Date_Year]],Table1[[#This Row],[Date_Month]],1))</f>
        <v>43891</v>
      </c>
    </row>
    <row r="907" spans="2:18" ht="15.75" hidden="1" x14ac:dyDescent="0.25">
      <c r="B907" s="165">
        <v>43905</v>
      </c>
      <c r="C907" s="166" t="s">
        <v>143</v>
      </c>
      <c r="D907" s="166" t="s">
        <v>65</v>
      </c>
      <c r="E907" s="167"/>
      <c r="F907" s="114">
        <v>-25.04</v>
      </c>
      <c r="G907" s="168"/>
      <c r="H907" s="169"/>
      <c r="I907" s="170"/>
      <c r="J907" s="171" t="s">
        <v>1156</v>
      </c>
      <c r="K907" s="172" t="s">
        <v>177</v>
      </c>
      <c r="L907" s="172" t="s">
        <v>175</v>
      </c>
      <c r="M907" s="173" t="str" cm="1">
        <f t="array" ref="M907">IFERROR(INDEX(CategoriesTable[Category type],MATCH(Table1[[#This Row],[Category]],CategoriesTable[Category name],0),0),"")</f>
        <v>Expense</v>
      </c>
      <c r="N907" s="173">
        <v>15</v>
      </c>
      <c r="O907" s="173">
        <f>MONTH(Table1[[#This Row],[Date]])</f>
        <v>3</v>
      </c>
      <c r="P907" s="173">
        <v>2020</v>
      </c>
      <c r="Q907" s="174">
        <f>IF(ISBLANK(Table1[[#This Row],[Date]]),"",Table1[[#This Row],[Date]]-WEEKDAY(Table1[[#This Row],[Date]],2)+1)</f>
        <v>43899</v>
      </c>
      <c r="R907" s="175">
        <f>IF(ISBLANK(Table1[[#This Row],[Date]]),"",DATE(Table1[[#This Row],[Date_Year]],Table1[[#This Row],[Date_Month]],1))</f>
        <v>43891</v>
      </c>
    </row>
    <row r="908" spans="2:18" ht="15.75" hidden="1" x14ac:dyDescent="0.25">
      <c r="B908" s="165">
        <v>43904</v>
      </c>
      <c r="C908" s="166" t="s">
        <v>145</v>
      </c>
      <c r="D908" s="166" t="s">
        <v>58</v>
      </c>
      <c r="E908" s="167"/>
      <c r="F908" s="114">
        <v>-13.29</v>
      </c>
      <c r="G908" s="168"/>
      <c r="H908" s="169"/>
      <c r="I908" s="170"/>
      <c r="J908" s="171" t="s">
        <v>1157</v>
      </c>
      <c r="K908" s="172" t="s">
        <v>177</v>
      </c>
      <c r="L908" s="172" t="s">
        <v>175</v>
      </c>
      <c r="M908" s="173" t="str" cm="1">
        <f t="array" ref="M908">IFERROR(INDEX(CategoriesTable[Category type],MATCH(Table1[[#This Row],[Category]],CategoriesTable[Category name],0),0),"")</f>
        <v>Expense</v>
      </c>
      <c r="N908" s="173">
        <v>14</v>
      </c>
      <c r="O908" s="173">
        <f>MONTH(Table1[[#This Row],[Date]])</f>
        <v>3</v>
      </c>
      <c r="P908" s="173">
        <v>2020</v>
      </c>
      <c r="Q908" s="174">
        <f>IF(ISBLANK(Table1[[#This Row],[Date]]),"",Table1[[#This Row],[Date]]-WEEKDAY(Table1[[#This Row],[Date]],2)+1)</f>
        <v>43899</v>
      </c>
      <c r="R908" s="175">
        <f>IF(ISBLANK(Table1[[#This Row],[Date]]),"",DATE(Table1[[#This Row],[Date_Year]],Table1[[#This Row],[Date_Month]],1))</f>
        <v>43891</v>
      </c>
    </row>
    <row r="909" spans="2:18" ht="15.75" hidden="1" x14ac:dyDescent="0.25">
      <c r="B909" s="165">
        <v>43904</v>
      </c>
      <c r="C909" s="166" t="s">
        <v>180</v>
      </c>
      <c r="D909" s="166" t="s">
        <v>52</v>
      </c>
      <c r="E909" s="167"/>
      <c r="F909" s="114">
        <v>-20</v>
      </c>
      <c r="G909" s="168"/>
      <c r="H909" s="169"/>
      <c r="I909" s="170"/>
      <c r="J909" s="171" t="s">
        <v>1158</v>
      </c>
      <c r="K909" s="172" t="s">
        <v>177</v>
      </c>
      <c r="L909" s="172" t="s">
        <v>175</v>
      </c>
      <c r="M909" s="173" t="str" cm="1">
        <f t="array" ref="M909">IFERROR(INDEX(CategoriesTable[Category type],MATCH(Table1[[#This Row],[Category]],CategoriesTable[Category name],0),0),"")</f>
        <v>Transfer</v>
      </c>
      <c r="N909" s="173">
        <v>14</v>
      </c>
      <c r="O909" s="173">
        <f>MONTH(Table1[[#This Row],[Date]])</f>
        <v>3</v>
      </c>
      <c r="P909" s="173">
        <v>2020</v>
      </c>
      <c r="Q909" s="174">
        <f>IF(ISBLANK(Table1[[#This Row],[Date]]),"",Table1[[#This Row],[Date]]-WEEKDAY(Table1[[#This Row],[Date]],2)+1)</f>
        <v>43899</v>
      </c>
      <c r="R909" s="175">
        <f>IF(ISBLANK(Table1[[#This Row],[Date]]),"",DATE(Table1[[#This Row],[Date_Year]],Table1[[#This Row],[Date_Month]],1))</f>
        <v>43891</v>
      </c>
    </row>
    <row r="910" spans="2:18" ht="15.75" hidden="1" x14ac:dyDescent="0.25">
      <c r="B910" s="165">
        <v>43904</v>
      </c>
      <c r="C910" s="166" t="s">
        <v>769</v>
      </c>
      <c r="D910" s="166" t="s">
        <v>65</v>
      </c>
      <c r="E910" s="167"/>
      <c r="F910" s="114">
        <v>-33.76</v>
      </c>
      <c r="G910" s="168"/>
      <c r="H910" s="169"/>
      <c r="I910" s="170"/>
      <c r="J910" s="171" t="s">
        <v>1159</v>
      </c>
      <c r="K910" s="172" t="s">
        <v>177</v>
      </c>
      <c r="L910" s="172" t="s">
        <v>175</v>
      </c>
      <c r="M910" s="173" t="str" cm="1">
        <f t="array" ref="M910">IFERROR(INDEX(CategoriesTable[Category type],MATCH(Table1[[#This Row],[Category]],CategoriesTable[Category name],0),0),"")</f>
        <v>Expense</v>
      </c>
      <c r="N910" s="173">
        <v>14</v>
      </c>
      <c r="O910" s="173">
        <f>MONTH(Table1[[#This Row],[Date]])</f>
        <v>3</v>
      </c>
      <c r="P910" s="173">
        <v>2020</v>
      </c>
      <c r="Q910" s="174">
        <f>IF(ISBLANK(Table1[[#This Row],[Date]]),"",Table1[[#This Row],[Date]]-WEEKDAY(Table1[[#This Row],[Date]],2)+1)</f>
        <v>43899</v>
      </c>
      <c r="R910" s="175">
        <f>IF(ISBLANK(Table1[[#This Row],[Date]]),"",DATE(Table1[[#This Row],[Date_Year]],Table1[[#This Row],[Date_Month]],1))</f>
        <v>43891</v>
      </c>
    </row>
    <row r="911" spans="2:18" ht="15.75" hidden="1" x14ac:dyDescent="0.25">
      <c r="B911" s="165">
        <v>43904</v>
      </c>
      <c r="C911" s="166" t="s">
        <v>134</v>
      </c>
      <c r="D911" s="166" t="s">
        <v>65</v>
      </c>
      <c r="E911" s="167"/>
      <c r="F911" s="114">
        <v>-17.55</v>
      </c>
      <c r="G911" s="168"/>
      <c r="H911" s="169"/>
      <c r="I911" s="170"/>
      <c r="J911" s="171" t="s">
        <v>1160</v>
      </c>
      <c r="K911" s="172" t="s">
        <v>177</v>
      </c>
      <c r="L911" s="172" t="s">
        <v>175</v>
      </c>
      <c r="M911" s="173" t="str" cm="1">
        <f t="array" ref="M911">IFERROR(INDEX(CategoriesTable[Category type],MATCH(Table1[[#This Row],[Category]],CategoriesTable[Category name],0),0),"")</f>
        <v>Expense</v>
      </c>
      <c r="N911" s="173">
        <v>14</v>
      </c>
      <c r="O911" s="173">
        <f>MONTH(Table1[[#This Row],[Date]])</f>
        <v>3</v>
      </c>
      <c r="P911" s="173">
        <v>2020</v>
      </c>
      <c r="Q911" s="174">
        <f>IF(ISBLANK(Table1[[#This Row],[Date]]),"",Table1[[#This Row],[Date]]-WEEKDAY(Table1[[#This Row],[Date]],2)+1)</f>
        <v>43899</v>
      </c>
      <c r="R911" s="175">
        <f>IF(ISBLANK(Table1[[#This Row],[Date]]),"",DATE(Table1[[#This Row],[Date_Year]],Table1[[#This Row],[Date_Month]],1))</f>
        <v>43891</v>
      </c>
    </row>
    <row r="912" spans="2:18" ht="15.75" hidden="1" x14ac:dyDescent="0.25">
      <c r="B912" s="165">
        <v>43904</v>
      </c>
      <c r="C912" s="166" t="s">
        <v>135</v>
      </c>
      <c r="D912" s="166" t="s">
        <v>53</v>
      </c>
      <c r="E912" s="167"/>
      <c r="F912" s="114">
        <v>-4.1100000000000003</v>
      </c>
      <c r="G912" s="168"/>
      <c r="H912" s="169"/>
      <c r="I912" s="170"/>
      <c r="J912" s="171" t="s">
        <v>1161</v>
      </c>
      <c r="K912" s="172" t="s">
        <v>177</v>
      </c>
      <c r="L912" s="172" t="s">
        <v>175</v>
      </c>
      <c r="M912" s="173" t="str" cm="1">
        <f t="array" ref="M912">IFERROR(INDEX(CategoriesTable[Category type],MATCH(Table1[[#This Row],[Category]],CategoriesTable[Category name],0),0),"")</f>
        <v>Expense</v>
      </c>
      <c r="N912" s="173">
        <v>14</v>
      </c>
      <c r="O912" s="173">
        <f>MONTH(Table1[[#This Row],[Date]])</f>
        <v>3</v>
      </c>
      <c r="P912" s="173">
        <v>2020</v>
      </c>
      <c r="Q912" s="174">
        <f>IF(ISBLANK(Table1[[#This Row],[Date]]),"",Table1[[#This Row],[Date]]-WEEKDAY(Table1[[#This Row],[Date]],2)+1)</f>
        <v>43899</v>
      </c>
      <c r="R912" s="175">
        <f>IF(ISBLANK(Table1[[#This Row],[Date]]),"",DATE(Table1[[#This Row],[Date_Year]],Table1[[#This Row],[Date_Month]],1))</f>
        <v>43891</v>
      </c>
    </row>
    <row r="913" spans="2:18" ht="15.75" hidden="1" x14ac:dyDescent="0.25">
      <c r="B913" s="165">
        <v>43904</v>
      </c>
      <c r="C913" s="166" t="s">
        <v>135</v>
      </c>
      <c r="D913" s="166" t="s">
        <v>53</v>
      </c>
      <c r="E913" s="167"/>
      <c r="F913" s="114">
        <v>-15.76</v>
      </c>
      <c r="G913" s="168"/>
      <c r="H913" s="169"/>
      <c r="I913" s="170"/>
      <c r="J913" s="171" t="s">
        <v>1162</v>
      </c>
      <c r="K913" s="172" t="s">
        <v>177</v>
      </c>
      <c r="L913" s="172" t="s">
        <v>175</v>
      </c>
      <c r="M913" s="173" t="str" cm="1">
        <f t="array" ref="M913">IFERROR(INDEX(CategoriesTable[Category type],MATCH(Table1[[#This Row],[Category]],CategoriesTable[Category name],0),0),"")</f>
        <v>Expense</v>
      </c>
      <c r="N913" s="173">
        <v>14</v>
      </c>
      <c r="O913" s="173">
        <f>MONTH(Table1[[#This Row],[Date]])</f>
        <v>3</v>
      </c>
      <c r="P913" s="173">
        <v>2020</v>
      </c>
      <c r="Q913" s="174">
        <f>IF(ISBLANK(Table1[[#This Row],[Date]]),"",Table1[[#This Row],[Date]]-WEEKDAY(Table1[[#This Row],[Date]],2)+1)</f>
        <v>43899</v>
      </c>
      <c r="R913" s="175">
        <f>IF(ISBLANK(Table1[[#This Row],[Date]]),"",DATE(Table1[[#This Row],[Date_Year]],Table1[[#This Row],[Date_Month]],1))</f>
        <v>43891</v>
      </c>
    </row>
    <row r="914" spans="2:18" ht="15.75" hidden="1" x14ac:dyDescent="0.25">
      <c r="B914" s="165">
        <v>43903</v>
      </c>
      <c r="C914" s="166" t="s">
        <v>180</v>
      </c>
      <c r="D914" s="166" t="s">
        <v>52</v>
      </c>
      <c r="E914" s="167"/>
      <c r="F914" s="114">
        <v>-40</v>
      </c>
      <c r="G914" s="168"/>
      <c r="H914" s="169"/>
      <c r="I914" s="170"/>
      <c r="J914" s="171" t="s">
        <v>1163</v>
      </c>
      <c r="K914" s="172" t="s">
        <v>177</v>
      </c>
      <c r="L914" s="172" t="s">
        <v>175</v>
      </c>
      <c r="M914" s="173" t="str" cm="1">
        <f t="array" ref="M914">IFERROR(INDEX(CategoriesTable[Category type],MATCH(Table1[[#This Row],[Category]],CategoriesTable[Category name],0),0),"")</f>
        <v>Transfer</v>
      </c>
      <c r="N914" s="173">
        <v>13</v>
      </c>
      <c r="O914" s="173">
        <f>MONTH(Table1[[#This Row],[Date]])</f>
        <v>3</v>
      </c>
      <c r="P914" s="173">
        <v>2020</v>
      </c>
      <c r="Q914" s="174">
        <f>IF(ISBLANK(Table1[[#This Row],[Date]]),"",Table1[[#This Row],[Date]]-WEEKDAY(Table1[[#This Row],[Date]],2)+1)</f>
        <v>43899</v>
      </c>
      <c r="R914" s="175">
        <f>IF(ISBLANK(Table1[[#This Row],[Date]]),"",DATE(Table1[[#This Row],[Date_Year]],Table1[[#This Row],[Date_Month]],1))</f>
        <v>43891</v>
      </c>
    </row>
    <row r="915" spans="2:18" ht="15.75" hidden="1" x14ac:dyDescent="0.25">
      <c r="B915" s="165">
        <v>43903</v>
      </c>
      <c r="C915" s="166" t="s">
        <v>588</v>
      </c>
      <c r="D915" s="166" t="s">
        <v>65</v>
      </c>
      <c r="E915" s="167"/>
      <c r="F915" s="114">
        <v>-16.87</v>
      </c>
      <c r="G915" s="168"/>
      <c r="H915" s="169"/>
      <c r="I915" s="170"/>
      <c r="J915" s="171" t="s">
        <v>1164</v>
      </c>
      <c r="K915" s="172" t="s">
        <v>177</v>
      </c>
      <c r="L915" s="172" t="s">
        <v>175</v>
      </c>
      <c r="M915" s="173" t="str" cm="1">
        <f t="array" ref="M915">IFERROR(INDEX(CategoriesTable[Category type],MATCH(Table1[[#This Row],[Category]],CategoriesTable[Category name],0),0),"")</f>
        <v>Expense</v>
      </c>
      <c r="N915" s="173">
        <v>13</v>
      </c>
      <c r="O915" s="173">
        <f>MONTH(Table1[[#This Row],[Date]])</f>
        <v>3</v>
      </c>
      <c r="P915" s="173">
        <v>2020</v>
      </c>
      <c r="Q915" s="174">
        <f>IF(ISBLANK(Table1[[#This Row],[Date]]),"",Table1[[#This Row],[Date]]-WEEKDAY(Table1[[#This Row],[Date]],2)+1)</f>
        <v>43899</v>
      </c>
      <c r="R915" s="175">
        <f>IF(ISBLANK(Table1[[#This Row],[Date]]),"",DATE(Table1[[#This Row],[Date_Year]],Table1[[#This Row],[Date_Month]],1))</f>
        <v>43891</v>
      </c>
    </row>
    <row r="916" spans="2:18" ht="15.75" hidden="1" x14ac:dyDescent="0.25">
      <c r="B916" s="165">
        <v>43902</v>
      </c>
      <c r="C916" s="166" t="s">
        <v>247</v>
      </c>
      <c r="D916" s="166" t="s">
        <v>65</v>
      </c>
      <c r="E916" s="167"/>
      <c r="F916" s="114">
        <v>-12.29</v>
      </c>
      <c r="G916" s="168"/>
      <c r="H916" s="169"/>
      <c r="I916" s="170"/>
      <c r="J916" s="171" t="s">
        <v>1165</v>
      </c>
      <c r="K916" s="172" t="s">
        <v>177</v>
      </c>
      <c r="L916" s="172" t="s">
        <v>175</v>
      </c>
      <c r="M916" s="173" t="str" cm="1">
        <f t="array" ref="M916">IFERROR(INDEX(CategoriesTable[Category type],MATCH(Table1[[#This Row],[Category]],CategoriesTable[Category name],0),0),"")</f>
        <v>Expense</v>
      </c>
      <c r="N916" s="173">
        <v>12</v>
      </c>
      <c r="O916" s="173">
        <f>MONTH(Table1[[#This Row],[Date]])</f>
        <v>3</v>
      </c>
      <c r="P916" s="173">
        <v>2020</v>
      </c>
      <c r="Q916" s="174">
        <f>IF(ISBLANK(Table1[[#This Row],[Date]]),"",Table1[[#This Row],[Date]]-WEEKDAY(Table1[[#This Row],[Date]],2)+1)</f>
        <v>43899</v>
      </c>
      <c r="R916" s="175">
        <f>IF(ISBLANK(Table1[[#This Row],[Date]]),"",DATE(Table1[[#This Row],[Date_Year]],Table1[[#This Row],[Date_Month]],1))</f>
        <v>43891</v>
      </c>
    </row>
    <row r="917" spans="2:18" ht="15.75" hidden="1" x14ac:dyDescent="0.25">
      <c r="B917" s="165">
        <v>43901</v>
      </c>
      <c r="C917" s="166" t="s">
        <v>121</v>
      </c>
      <c r="D917" s="166" t="s">
        <v>65</v>
      </c>
      <c r="E917" s="167"/>
      <c r="F917" s="114">
        <v>-10.47</v>
      </c>
      <c r="G917" s="168"/>
      <c r="H917" s="169"/>
      <c r="I917" s="170"/>
      <c r="J917" s="171" t="s">
        <v>1166</v>
      </c>
      <c r="K917" s="172" t="s">
        <v>177</v>
      </c>
      <c r="L917" s="172" t="s">
        <v>175</v>
      </c>
      <c r="M917" s="173" t="str" cm="1">
        <f t="array" ref="M917">IFERROR(INDEX(CategoriesTable[Category type],MATCH(Table1[[#This Row],[Category]],CategoriesTable[Category name],0),0),"")</f>
        <v>Expense</v>
      </c>
      <c r="N917" s="173">
        <v>11</v>
      </c>
      <c r="O917" s="173">
        <f>MONTH(Table1[[#This Row],[Date]])</f>
        <v>3</v>
      </c>
      <c r="P917" s="173">
        <v>2020</v>
      </c>
      <c r="Q917" s="174">
        <f>IF(ISBLANK(Table1[[#This Row],[Date]]),"",Table1[[#This Row],[Date]]-WEEKDAY(Table1[[#This Row],[Date]],2)+1)</f>
        <v>43899</v>
      </c>
      <c r="R917" s="175">
        <f>IF(ISBLANK(Table1[[#This Row],[Date]]),"",DATE(Table1[[#This Row],[Date_Year]],Table1[[#This Row],[Date_Month]],1))</f>
        <v>43891</v>
      </c>
    </row>
    <row r="918" spans="2:18" ht="15.75" hidden="1" x14ac:dyDescent="0.25">
      <c r="B918" s="165">
        <v>43901</v>
      </c>
      <c r="C918" s="166" t="s">
        <v>135</v>
      </c>
      <c r="D918" s="166" t="s">
        <v>53</v>
      </c>
      <c r="E918" s="167"/>
      <c r="F918" s="114">
        <v>-15.09</v>
      </c>
      <c r="G918" s="168"/>
      <c r="H918" s="169"/>
      <c r="I918" s="170"/>
      <c r="J918" s="171" t="s">
        <v>1167</v>
      </c>
      <c r="K918" s="172" t="s">
        <v>177</v>
      </c>
      <c r="L918" s="172" t="s">
        <v>175</v>
      </c>
      <c r="M918" s="173" t="str" cm="1">
        <f t="array" ref="M918">IFERROR(INDEX(CategoriesTable[Category type],MATCH(Table1[[#This Row],[Category]],CategoriesTable[Category name],0),0),"")</f>
        <v>Expense</v>
      </c>
      <c r="N918" s="173">
        <v>11</v>
      </c>
      <c r="O918" s="173">
        <f>MONTH(Table1[[#This Row],[Date]])</f>
        <v>3</v>
      </c>
      <c r="P918" s="173">
        <v>2020</v>
      </c>
      <c r="Q918" s="174">
        <f>IF(ISBLANK(Table1[[#This Row],[Date]]),"",Table1[[#This Row],[Date]]-WEEKDAY(Table1[[#This Row],[Date]],2)+1)</f>
        <v>43899</v>
      </c>
      <c r="R918" s="175">
        <f>IF(ISBLANK(Table1[[#This Row],[Date]]),"",DATE(Table1[[#This Row],[Date_Year]],Table1[[#This Row],[Date_Month]],1))</f>
        <v>43891</v>
      </c>
    </row>
    <row r="919" spans="2:18" ht="15.75" hidden="1" x14ac:dyDescent="0.25">
      <c r="B919" s="165">
        <v>43901</v>
      </c>
      <c r="C919" s="166" t="s">
        <v>120</v>
      </c>
      <c r="D919" s="166" t="s">
        <v>66</v>
      </c>
      <c r="E919" s="167"/>
      <c r="F919" s="114">
        <v>-23.21</v>
      </c>
      <c r="G919" s="168"/>
      <c r="H919" s="169"/>
      <c r="I919" s="170"/>
      <c r="J919" s="171" t="s">
        <v>1168</v>
      </c>
      <c r="K919" s="172" t="s">
        <v>177</v>
      </c>
      <c r="L919" s="172" t="s">
        <v>175</v>
      </c>
      <c r="M919" s="173" t="str" cm="1">
        <f t="array" ref="M919">IFERROR(INDEX(CategoriesTable[Category type],MATCH(Table1[[#This Row],[Category]],CategoriesTable[Category name],0),0),"")</f>
        <v>Expense</v>
      </c>
      <c r="N919" s="173">
        <v>11</v>
      </c>
      <c r="O919" s="173">
        <f>MONTH(Table1[[#This Row],[Date]])</f>
        <v>3</v>
      </c>
      <c r="P919" s="173">
        <v>2020</v>
      </c>
      <c r="Q919" s="174">
        <f>IF(ISBLANK(Table1[[#This Row],[Date]]),"",Table1[[#This Row],[Date]]-WEEKDAY(Table1[[#This Row],[Date]],2)+1)</f>
        <v>43899</v>
      </c>
      <c r="R919" s="175">
        <f>IF(ISBLANK(Table1[[#This Row],[Date]]),"",DATE(Table1[[#This Row],[Date_Year]],Table1[[#This Row],[Date_Month]],1))</f>
        <v>43891</v>
      </c>
    </row>
    <row r="920" spans="2:18" ht="15.75" hidden="1" x14ac:dyDescent="0.25">
      <c r="B920" s="165">
        <v>43900</v>
      </c>
      <c r="C920" s="166" t="s">
        <v>121</v>
      </c>
      <c r="D920" s="166" t="s">
        <v>65</v>
      </c>
      <c r="E920" s="167"/>
      <c r="F920" s="114">
        <v>-12.27</v>
      </c>
      <c r="G920" s="168"/>
      <c r="H920" s="169"/>
      <c r="I920" s="170"/>
      <c r="J920" s="171" t="s">
        <v>1169</v>
      </c>
      <c r="K920" s="172" t="s">
        <v>177</v>
      </c>
      <c r="L920" s="172" t="s">
        <v>175</v>
      </c>
      <c r="M920" s="173" t="str" cm="1">
        <f t="array" ref="M920">IFERROR(INDEX(CategoriesTable[Category type],MATCH(Table1[[#This Row],[Category]],CategoriesTable[Category name],0),0),"")</f>
        <v>Expense</v>
      </c>
      <c r="N920" s="173">
        <v>10</v>
      </c>
      <c r="O920" s="173">
        <f>MONTH(Table1[[#This Row],[Date]])</f>
        <v>3</v>
      </c>
      <c r="P920" s="173">
        <v>2020</v>
      </c>
      <c r="Q920" s="174">
        <f>IF(ISBLANK(Table1[[#This Row],[Date]]),"",Table1[[#This Row],[Date]]-WEEKDAY(Table1[[#This Row],[Date]],2)+1)</f>
        <v>43899</v>
      </c>
      <c r="R920" s="175">
        <f>IF(ISBLANK(Table1[[#This Row],[Date]]),"",DATE(Table1[[#This Row],[Date_Year]],Table1[[#This Row],[Date_Month]],1))</f>
        <v>43891</v>
      </c>
    </row>
    <row r="921" spans="2:18" ht="15.75" hidden="1" x14ac:dyDescent="0.25">
      <c r="B921" s="165">
        <v>43900</v>
      </c>
      <c r="C921" s="166" t="s">
        <v>121</v>
      </c>
      <c r="D921" s="166" t="s">
        <v>65</v>
      </c>
      <c r="E921" s="167"/>
      <c r="F921" s="114">
        <v>-20</v>
      </c>
      <c r="G921" s="168"/>
      <c r="H921" s="169"/>
      <c r="I921" s="170"/>
      <c r="J921" s="171" t="s">
        <v>1170</v>
      </c>
      <c r="K921" s="172" t="s">
        <v>177</v>
      </c>
      <c r="L921" s="172" t="s">
        <v>175</v>
      </c>
      <c r="M921" s="173" t="str" cm="1">
        <f t="array" ref="M921">IFERROR(INDEX(CategoriesTable[Category type],MATCH(Table1[[#This Row],[Category]],CategoriesTable[Category name],0),0),"")</f>
        <v>Expense</v>
      </c>
      <c r="N921" s="173">
        <v>10</v>
      </c>
      <c r="O921" s="173">
        <f>MONTH(Table1[[#This Row],[Date]])</f>
        <v>3</v>
      </c>
      <c r="P921" s="173">
        <v>2020</v>
      </c>
      <c r="Q921" s="174">
        <f>IF(ISBLANK(Table1[[#This Row],[Date]]),"",Table1[[#This Row],[Date]]-WEEKDAY(Table1[[#This Row],[Date]],2)+1)</f>
        <v>43899</v>
      </c>
      <c r="R921" s="175">
        <f>IF(ISBLANK(Table1[[#This Row],[Date]]),"",DATE(Table1[[#This Row],[Date_Year]],Table1[[#This Row],[Date_Month]],1))</f>
        <v>43891</v>
      </c>
    </row>
    <row r="922" spans="2:18" ht="15.75" hidden="1" x14ac:dyDescent="0.25">
      <c r="B922" s="165">
        <v>43899</v>
      </c>
      <c r="C922" s="166" t="s">
        <v>1171</v>
      </c>
      <c r="D922" s="166" t="s">
        <v>65</v>
      </c>
      <c r="E922" s="167"/>
      <c r="F922" s="114">
        <v>-11.86</v>
      </c>
      <c r="G922" s="168"/>
      <c r="H922" s="169"/>
      <c r="I922" s="170"/>
      <c r="J922" s="171" t="s">
        <v>1172</v>
      </c>
      <c r="K922" s="172" t="s">
        <v>177</v>
      </c>
      <c r="L922" s="172" t="s">
        <v>175</v>
      </c>
      <c r="M922" s="173" t="str" cm="1">
        <f t="array" ref="M922">IFERROR(INDEX(CategoriesTable[Category type],MATCH(Table1[[#This Row],[Category]],CategoriesTable[Category name],0),0),"")</f>
        <v>Expense</v>
      </c>
      <c r="N922" s="173">
        <v>9</v>
      </c>
      <c r="O922" s="173">
        <f>MONTH(Table1[[#This Row],[Date]])</f>
        <v>3</v>
      </c>
      <c r="P922" s="173">
        <v>2020</v>
      </c>
      <c r="Q922" s="174">
        <f>IF(ISBLANK(Table1[[#This Row],[Date]]),"",Table1[[#This Row],[Date]]-WEEKDAY(Table1[[#This Row],[Date]],2)+1)</f>
        <v>43899</v>
      </c>
      <c r="R922" s="175">
        <f>IF(ISBLANK(Table1[[#This Row],[Date]]),"",DATE(Table1[[#This Row],[Date_Year]],Table1[[#This Row],[Date_Month]],1))</f>
        <v>43891</v>
      </c>
    </row>
    <row r="923" spans="2:18" ht="15.75" hidden="1" x14ac:dyDescent="0.25">
      <c r="B923" s="165">
        <v>43899</v>
      </c>
      <c r="C923" s="166" t="s">
        <v>128</v>
      </c>
      <c r="D923" s="166" t="s">
        <v>53</v>
      </c>
      <c r="E923" s="167"/>
      <c r="F923" s="114">
        <v>-20</v>
      </c>
      <c r="G923" s="168"/>
      <c r="H923" s="169"/>
      <c r="I923" s="170"/>
      <c r="J923" s="171" t="s">
        <v>1173</v>
      </c>
      <c r="K923" s="172" t="s">
        <v>177</v>
      </c>
      <c r="L923" s="172" t="s">
        <v>175</v>
      </c>
      <c r="M923" s="173" t="str" cm="1">
        <f t="array" ref="M923">IFERROR(INDEX(CategoriesTable[Category type],MATCH(Table1[[#This Row],[Category]],CategoriesTable[Category name],0),0),"")</f>
        <v>Expense</v>
      </c>
      <c r="N923" s="173">
        <v>9</v>
      </c>
      <c r="O923" s="173">
        <f>MONTH(Table1[[#This Row],[Date]])</f>
        <v>3</v>
      </c>
      <c r="P923" s="173">
        <v>2020</v>
      </c>
      <c r="Q923" s="174">
        <f>IF(ISBLANK(Table1[[#This Row],[Date]]),"",Table1[[#This Row],[Date]]-WEEKDAY(Table1[[#This Row],[Date]],2)+1)</f>
        <v>43899</v>
      </c>
      <c r="R923" s="175">
        <f>IF(ISBLANK(Table1[[#This Row],[Date]]),"",DATE(Table1[[#This Row],[Date_Year]],Table1[[#This Row],[Date_Month]],1))</f>
        <v>43891</v>
      </c>
    </row>
    <row r="924" spans="2:18" ht="15.75" hidden="1" x14ac:dyDescent="0.25">
      <c r="B924" s="165">
        <v>43899</v>
      </c>
      <c r="C924" s="166" t="s">
        <v>121</v>
      </c>
      <c r="D924" s="166" t="s">
        <v>65</v>
      </c>
      <c r="E924" s="167"/>
      <c r="F924" s="114">
        <v>-4.0199999999999996</v>
      </c>
      <c r="G924" s="168"/>
      <c r="H924" s="169"/>
      <c r="I924" s="170"/>
      <c r="J924" s="176" t="s">
        <v>1174</v>
      </c>
      <c r="K924" s="172" t="s">
        <v>177</v>
      </c>
      <c r="L924" s="172" t="s">
        <v>175</v>
      </c>
      <c r="M924" s="173" t="str" cm="1">
        <f t="array" ref="M924">IFERROR(INDEX(CategoriesTable[Category type],MATCH(Table1[[#This Row],[Category]],CategoriesTable[Category name],0),0),"")</f>
        <v>Expense</v>
      </c>
      <c r="N924" s="173">
        <v>9</v>
      </c>
      <c r="O924" s="173">
        <f>MONTH(Table1[[#This Row],[Date]])</f>
        <v>3</v>
      </c>
      <c r="P924" s="173">
        <v>2020</v>
      </c>
      <c r="Q924" s="174">
        <f>IF(ISBLANK(Table1[[#This Row],[Date]]),"",Table1[[#This Row],[Date]]-WEEKDAY(Table1[[#This Row],[Date]],2)+1)</f>
        <v>43899</v>
      </c>
      <c r="R924" s="175">
        <f>IF(ISBLANK(Table1[[#This Row],[Date]]),"",DATE(Table1[[#This Row],[Date_Year]],Table1[[#This Row],[Date_Month]],1))</f>
        <v>43891</v>
      </c>
    </row>
    <row r="925" spans="2:18" ht="15.75" hidden="1" x14ac:dyDescent="0.25">
      <c r="B925" s="165">
        <v>43899</v>
      </c>
      <c r="C925" s="166" t="s">
        <v>121</v>
      </c>
      <c r="D925" s="166" t="s">
        <v>65</v>
      </c>
      <c r="E925" s="167"/>
      <c r="F925" s="114">
        <v>-18.100000000000001</v>
      </c>
      <c r="G925" s="168"/>
      <c r="H925" s="169"/>
      <c r="I925" s="170"/>
      <c r="J925" s="171" t="s">
        <v>1175</v>
      </c>
      <c r="K925" s="172" t="s">
        <v>177</v>
      </c>
      <c r="L925" s="172" t="s">
        <v>175</v>
      </c>
      <c r="M925" s="173" t="str" cm="1">
        <f t="array" ref="M925">IFERROR(INDEX(CategoriesTable[Category type],MATCH(Table1[[#This Row],[Category]],CategoriesTable[Category name],0),0),"")</f>
        <v>Expense</v>
      </c>
      <c r="N925" s="173">
        <v>9</v>
      </c>
      <c r="O925" s="173">
        <f>MONTH(Table1[[#This Row],[Date]])</f>
        <v>3</v>
      </c>
      <c r="P925" s="173">
        <v>2020</v>
      </c>
      <c r="Q925" s="174">
        <f>IF(ISBLANK(Table1[[#This Row],[Date]]),"",Table1[[#This Row],[Date]]-WEEKDAY(Table1[[#This Row],[Date]],2)+1)</f>
        <v>43899</v>
      </c>
      <c r="R925" s="175">
        <f>IF(ISBLANK(Table1[[#This Row],[Date]]),"",DATE(Table1[[#This Row],[Date_Year]],Table1[[#This Row],[Date_Month]],1))</f>
        <v>43891</v>
      </c>
    </row>
    <row r="926" spans="2:18" ht="15.75" hidden="1" x14ac:dyDescent="0.25">
      <c r="B926" s="165">
        <v>43899</v>
      </c>
      <c r="C926" s="166" t="s">
        <v>193</v>
      </c>
      <c r="D926" s="166" t="s">
        <v>58</v>
      </c>
      <c r="E926" s="167"/>
      <c r="F926" s="114">
        <v>-5</v>
      </c>
      <c r="G926" s="168"/>
      <c r="H926" s="169"/>
      <c r="I926" s="170"/>
      <c r="J926" s="171" t="s">
        <v>1176</v>
      </c>
      <c r="K926" s="172" t="s">
        <v>177</v>
      </c>
      <c r="L926" s="172" t="s">
        <v>175</v>
      </c>
      <c r="M926" s="173" t="str" cm="1">
        <f t="array" ref="M926">IFERROR(INDEX(CategoriesTable[Category type],MATCH(Table1[[#This Row],[Category]],CategoriesTable[Category name],0),0),"")</f>
        <v>Expense</v>
      </c>
      <c r="N926" s="173">
        <v>9</v>
      </c>
      <c r="O926" s="173">
        <f>MONTH(Table1[[#This Row],[Date]])</f>
        <v>3</v>
      </c>
      <c r="P926" s="173">
        <v>2020</v>
      </c>
      <c r="Q926" s="174">
        <f>IF(ISBLANK(Table1[[#This Row],[Date]]),"",Table1[[#This Row],[Date]]-WEEKDAY(Table1[[#This Row],[Date]],2)+1)</f>
        <v>43899</v>
      </c>
      <c r="R926" s="175">
        <f>IF(ISBLANK(Table1[[#This Row],[Date]]),"",DATE(Table1[[#This Row],[Date_Year]],Table1[[#This Row],[Date_Month]],1))</f>
        <v>43891</v>
      </c>
    </row>
    <row r="927" spans="2:18" ht="15.75" hidden="1" x14ac:dyDescent="0.25">
      <c r="B927" s="165">
        <v>43898</v>
      </c>
      <c r="C927" s="166" t="s">
        <v>247</v>
      </c>
      <c r="D927" s="166" t="s">
        <v>65</v>
      </c>
      <c r="E927" s="167"/>
      <c r="F927" s="114">
        <v>-11.22</v>
      </c>
      <c r="G927" s="168"/>
      <c r="H927" s="169"/>
      <c r="I927" s="170"/>
      <c r="J927" s="171" t="s">
        <v>1177</v>
      </c>
      <c r="K927" s="172" t="s">
        <v>177</v>
      </c>
      <c r="L927" s="172" t="s">
        <v>175</v>
      </c>
      <c r="M927" s="173" t="str" cm="1">
        <f t="array" ref="M927">IFERROR(INDEX(CategoriesTable[Category type],MATCH(Table1[[#This Row],[Category]],CategoriesTable[Category name],0),0),"")</f>
        <v>Expense</v>
      </c>
      <c r="N927" s="173">
        <v>8</v>
      </c>
      <c r="O927" s="173">
        <f>MONTH(Table1[[#This Row],[Date]])</f>
        <v>3</v>
      </c>
      <c r="P927" s="173">
        <v>2020</v>
      </c>
      <c r="Q927" s="174">
        <f>IF(ISBLANK(Table1[[#This Row],[Date]]),"",Table1[[#This Row],[Date]]-WEEKDAY(Table1[[#This Row],[Date]],2)+1)</f>
        <v>43892</v>
      </c>
      <c r="R927" s="175">
        <f>IF(ISBLANK(Table1[[#This Row],[Date]]),"",DATE(Table1[[#This Row],[Date_Year]],Table1[[#This Row],[Date_Month]],1))</f>
        <v>43891</v>
      </c>
    </row>
    <row r="928" spans="2:18" ht="15.75" hidden="1" x14ac:dyDescent="0.25">
      <c r="B928" s="165">
        <v>43898</v>
      </c>
      <c r="C928" s="166" t="s">
        <v>247</v>
      </c>
      <c r="D928" s="166" t="s">
        <v>65</v>
      </c>
      <c r="E928" s="167"/>
      <c r="F928" s="114">
        <v>-22.75</v>
      </c>
      <c r="G928" s="168"/>
      <c r="H928" s="169"/>
      <c r="I928" s="170"/>
      <c r="J928" s="171" t="s">
        <v>1178</v>
      </c>
      <c r="K928" s="172" t="s">
        <v>177</v>
      </c>
      <c r="L928" s="172" t="s">
        <v>175</v>
      </c>
      <c r="M928" s="173" t="str" cm="1">
        <f t="array" ref="M928">IFERROR(INDEX(CategoriesTable[Category type],MATCH(Table1[[#This Row],[Category]],CategoriesTable[Category name],0),0),"")</f>
        <v>Expense</v>
      </c>
      <c r="N928" s="173">
        <v>8</v>
      </c>
      <c r="O928" s="173">
        <f>MONTH(Table1[[#This Row],[Date]])</f>
        <v>3</v>
      </c>
      <c r="P928" s="173">
        <v>2020</v>
      </c>
      <c r="Q928" s="174">
        <f>IF(ISBLANK(Table1[[#This Row],[Date]]),"",Table1[[#This Row],[Date]]-WEEKDAY(Table1[[#This Row],[Date]],2)+1)</f>
        <v>43892</v>
      </c>
      <c r="R928" s="175">
        <f>IF(ISBLANK(Table1[[#This Row],[Date]]),"",DATE(Table1[[#This Row],[Date_Year]],Table1[[#This Row],[Date_Month]],1))</f>
        <v>43891</v>
      </c>
    </row>
    <row r="929" spans="2:18" ht="15.75" hidden="1" x14ac:dyDescent="0.25">
      <c r="B929" s="165">
        <v>43898</v>
      </c>
      <c r="C929" s="166" t="s">
        <v>148</v>
      </c>
      <c r="D929" s="166" t="s">
        <v>65</v>
      </c>
      <c r="E929" s="167"/>
      <c r="F929" s="114">
        <v>-9.84</v>
      </c>
      <c r="G929" s="168"/>
      <c r="H929" s="169"/>
      <c r="I929" s="170"/>
      <c r="J929" s="171" t="s">
        <v>1179</v>
      </c>
      <c r="K929" s="172" t="s">
        <v>177</v>
      </c>
      <c r="L929" s="172" t="s">
        <v>175</v>
      </c>
      <c r="M929" s="173" t="str" cm="1">
        <f t="array" ref="M929">IFERROR(INDEX(CategoriesTable[Category type],MATCH(Table1[[#This Row],[Category]],CategoriesTable[Category name],0),0),"")</f>
        <v>Expense</v>
      </c>
      <c r="N929" s="173">
        <v>8</v>
      </c>
      <c r="O929" s="173">
        <f>MONTH(Table1[[#This Row],[Date]])</f>
        <v>3</v>
      </c>
      <c r="P929" s="173">
        <v>2020</v>
      </c>
      <c r="Q929" s="174">
        <f>IF(ISBLANK(Table1[[#This Row],[Date]]),"",Table1[[#This Row],[Date]]-WEEKDAY(Table1[[#This Row],[Date]],2)+1)</f>
        <v>43892</v>
      </c>
      <c r="R929" s="175">
        <f>IF(ISBLANK(Table1[[#This Row],[Date]]),"",DATE(Table1[[#This Row],[Date_Year]],Table1[[#This Row],[Date_Month]],1))</f>
        <v>43891</v>
      </c>
    </row>
    <row r="930" spans="2:18" ht="15.75" hidden="1" x14ac:dyDescent="0.25">
      <c r="B930" s="165">
        <v>43897</v>
      </c>
      <c r="C930" s="166" t="s">
        <v>180</v>
      </c>
      <c r="D930" s="166" t="s">
        <v>52</v>
      </c>
      <c r="E930" s="167"/>
      <c r="F930" s="114">
        <v>-40</v>
      </c>
      <c r="G930" s="168"/>
      <c r="H930" s="169"/>
      <c r="I930" s="170"/>
      <c r="J930" s="171" t="s">
        <v>1180</v>
      </c>
      <c r="K930" s="172" t="s">
        <v>177</v>
      </c>
      <c r="L930" s="172" t="s">
        <v>175</v>
      </c>
      <c r="M930" s="173" t="str" cm="1">
        <f t="array" ref="M930">IFERROR(INDEX(CategoriesTable[Category type],MATCH(Table1[[#This Row],[Category]],CategoriesTable[Category name],0),0),"")</f>
        <v>Transfer</v>
      </c>
      <c r="N930" s="173">
        <v>7</v>
      </c>
      <c r="O930" s="173">
        <f>MONTH(Table1[[#This Row],[Date]])</f>
        <v>3</v>
      </c>
      <c r="P930" s="173">
        <v>2020</v>
      </c>
      <c r="Q930" s="174">
        <f>IF(ISBLANK(Table1[[#This Row],[Date]]),"",Table1[[#This Row],[Date]]-WEEKDAY(Table1[[#This Row],[Date]],2)+1)</f>
        <v>43892</v>
      </c>
      <c r="R930" s="175">
        <f>IF(ISBLANK(Table1[[#This Row],[Date]]),"",DATE(Table1[[#This Row],[Date_Year]],Table1[[#This Row],[Date_Month]],1))</f>
        <v>43891</v>
      </c>
    </row>
    <row r="931" spans="2:18" ht="15.75" hidden="1" x14ac:dyDescent="0.25">
      <c r="B931" s="165">
        <v>43897</v>
      </c>
      <c r="C931" s="166" t="s">
        <v>128</v>
      </c>
      <c r="D931" s="166" t="s">
        <v>53</v>
      </c>
      <c r="E931" s="167"/>
      <c r="F931" s="114">
        <v>-16.600000000000001</v>
      </c>
      <c r="G931" s="168"/>
      <c r="H931" s="169"/>
      <c r="I931" s="170"/>
      <c r="J931" s="176" t="s">
        <v>1181</v>
      </c>
      <c r="K931" s="172" t="s">
        <v>177</v>
      </c>
      <c r="L931" s="172" t="s">
        <v>175</v>
      </c>
      <c r="M931" s="173" t="str" cm="1">
        <f t="array" ref="M931">IFERROR(INDEX(CategoriesTable[Category type],MATCH(Table1[[#This Row],[Category]],CategoriesTable[Category name],0),0),"")</f>
        <v>Expense</v>
      </c>
      <c r="N931" s="173">
        <v>7</v>
      </c>
      <c r="O931" s="173">
        <f>MONTH(Table1[[#This Row],[Date]])</f>
        <v>3</v>
      </c>
      <c r="P931" s="173">
        <v>2020</v>
      </c>
      <c r="Q931" s="174">
        <f>IF(ISBLANK(Table1[[#This Row],[Date]]),"",Table1[[#This Row],[Date]]-WEEKDAY(Table1[[#This Row],[Date]],2)+1)</f>
        <v>43892</v>
      </c>
      <c r="R931" s="175">
        <f>IF(ISBLANK(Table1[[#This Row],[Date]]),"",DATE(Table1[[#This Row],[Date_Year]],Table1[[#This Row],[Date_Month]],1))</f>
        <v>43891</v>
      </c>
    </row>
    <row r="932" spans="2:18" ht="15.75" hidden="1" x14ac:dyDescent="0.25">
      <c r="B932" s="165">
        <v>43897</v>
      </c>
      <c r="C932" s="166" t="s">
        <v>121</v>
      </c>
      <c r="D932" s="166" t="s">
        <v>65</v>
      </c>
      <c r="E932" s="167"/>
      <c r="F932" s="114">
        <v>-8.25</v>
      </c>
      <c r="G932" s="168"/>
      <c r="H932" s="169"/>
      <c r="I932" s="170"/>
      <c r="J932" s="171" t="s">
        <v>1182</v>
      </c>
      <c r="K932" s="172" t="s">
        <v>177</v>
      </c>
      <c r="L932" s="172" t="s">
        <v>175</v>
      </c>
      <c r="M932" s="173" t="str" cm="1">
        <f t="array" ref="M932">IFERROR(INDEX(CategoriesTable[Category type],MATCH(Table1[[#This Row],[Category]],CategoriesTable[Category name],0),0),"")</f>
        <v>Expense</v>
      </c>
      <c r="N932" s="173">
        <v>7</v>
      </c>
      <c r="O932" s="173">
        <f>MONTH(Table1[[#This Row],[Date]])</f>
        <v>3</v>
      </c>
      <c r="P932" s="173">
        <v>2020</v>
      </c>
      <c r="Q932" s="174">
        <f>IF(ISBLANK(Table1[[#This Row],[Date]]),"",Table1[[#This Row],[Date]]-WEEKDAY(Table1[[#This Row],[Date]],2)+1)</f>
        <v>43892</v>
      </c>
      <c r="R932" s="175">
        <f>IF(ISBLANK(Table1[[#This Row],[Date]]),"",DATE(Table1[[#This Row],[Date_Year]],Table1[[#This Row],[Date_Month]],1))</f>
        <v>43891</v>
      </c>
    </row>
    <row r="933" spans="2:18" ht="15.75" hidden="1" x14ac:dyDescent="0.25">
      <c r="B933" s="165">
        <v>43896</v>
      </c>
      <c r="C933" s="166" t="s">
        <v>738</v>
      </c>
      <c r="D933" s="166" t="s">
        <v>55</v>
      </c>
      <c r="E933" s="167"/>
      <c r="F933" s="114">
        <v>-173.83</v>
      </c>
      <c r="G933" s="168"/>
      <c r="H933" s="169"/>
      <c r="I933" s="170"/>
      <c r="J933" s="171" t="s">
        <v>1183</v>
      </c>
      <c r="K933" s="172" t="s">
        <v>177</v>
      </c>
      <c r="L933" s="172" t="s">
        <v>175</v>
      </c>
      <c r="M933" s="173" t="str" cm="1">
        <f t="array" ref="M933">IFERROR(INDEX(CategoriesTable[Category type],MATCH(Table1[[#This Row],[Category]],CategoriesTable[Category name],0),0),"")</f>
        <v>Expense</v>
      </c>
      <c r="N933" s="173">
        <v>6</v>
      </c>
      <c r="O933" s="173">
        <f>MONTH(Table1[[#This Row],[Date]])</f>
        <v>3</v>
      </c>
      <c r="P933" s="173">
        <v>2020</v>
      </c>
      <c r="Q933" s="174">
        <f>IF(ISBLANK(Table1[[#This Row],[Date]]),"",Table1[[#This Row],[Date]]-WEEKDAY(Table1[[#This Row],[Date]],2)+1)</f>
        <v>43892</v>
      </c>
      <c r="R933" s="175">
        <f>IF(ISBLANK(Table1[[#This Row],[Date]]),"",DATE(Table1[[#This Row],[Date_Year]],Table1[[#This Row],[Date_Month]],1))</f>
        <v>43891</v>
      </c>
    </row>
    <row r="934" spans="2:18" ht="15.75" hidden="1" x14ac:dyDescent="0.25">
      <c r="B934" s="165">
        <v>43896</v>
      </c>
      <c r="C934" s="166" t="s">
        <v>121</v>
      </c>
      <c r="D934" s="166" t="s">
        <v>65</v>
      </c>
      <c r="E934" s="167"/>
      <c r="F934" s="114">
        <v>-6.86</v>
      </c>
      <c r="G934" s="168"/>
      <c r="H934" s="169"/>
      <c r="I934" s="170"/>
      <c r="J934" s="171" t="s">
        <v>1184</v>
      </c>
      <c r="K934" s="172" t="s">
        <v>177</v>
      </c>
      <c r="L934" s="172" t="s">
        <v>175</v>
      </c>
      <c r="M934" s="173" t="str" cm="1">
        <f t="array" ref="M934">IFERROR(INDEX(CategoriesTable[Category type],MATCH(Table1[[#This Row],[Category]],CategoriesTable[Category name],0),0),"")</f>
        <v>Expense</v>
      </c>
      <c r="N934" s="173">
        <v>6</v>
      </c>
      <c r="O934" s="173">
        <f>MONTH(Table1[[#This Row],[Date]])</f>
        <v>3</v>
      </c>
      <c r="P934" s="173">
        <v>2020</v>
      </c>
      <c r="Q934" s="174">
        <f>IF(ISBLANK(Table1[[#This Row],[Date]]),"",Table1[[#This Row],[Date]]-WEEKDAY(Table1[[#This Row],[Date]],2)+1)</f>
        <v>43892</v>
      </c>
      <c r="R934" s="175">
        <f>IF(ISBLANK(Table1[[#This Row],[Date]]),"",DATE(Table1[[#This Row],[Date_Year]],Table1[[#This Row],[Date_Month]],1))</f>
        <v>43891</v>
      </c>
    </row>
    <row r="935" spans="2:18" ht="15.75" hidden="1" x14ac:dyDescent="0.25">
      <c r="B935" s="165">
        <v>43896</v>
      </c>
      <c r="C935" s="166" t="s">
        <v>800</v>
      </c>
      <c r="D935" s="166" t="s">
        <v>65</v>
      </c>
      <c r="E935" s="167"/>
      <c r="F935" s="114">
        <v>-14.72</v>
      </c>
      <c r="G935" s="168"/>
      <c r="H935" s="169"/>
      <c r="I935" s="170"/>
      <c r="J935" s="171" t="s">
        <v>1185</v>
      </c>
      <c r="K935" s="172" t="s">
        <v>177</v>
      </c>
      <c r="L935" s="172" t="s">
        <v>175</v>
      </c>
      <c r="M935" s="173" t="str" cm="1">
        <f t="array" ref="M935">IFERROR(INDEX(CategoriesTable[Category type],MATCH(Table1[[#This Row],[Category]],CategoriesTable[Category name],0),0),"")</f>
        <v>Expense</v>
      </c>
      <c r="N935" s="173">
        <v>6</v>
      </c>
      <c r="O935" s="173">
        <f>MONTH(Table1[[#This Row],[Date]])</f>
        <v>3</v>
      </c>
      <c r="P935" s="173">
        <v>2020</v>
      </c>
      <c r="Q935" s="174">
        <f>IF(ISBLANK(Table1[[#This Row],[Date]]),"",Table1[[#This Row],[Date]]-WEEKDAY(Table1[[#This Row],[Date]],2)+1)</f>
        <v>43892</v>
      </c>
      <c r="R935" s="175">
        <f>IF(ISBLANK(Table1[[#This Row],[Date]]),"",DATE(Table1[[#This Row],[Date_Year]],Table1[[#This Row],[Date_Month]],1))</f>
        <v>43891</v>
      </c>
    </row>
    <row r="936" spans="2:18" ht="15.75" hidden="1" x14ac:dyDescent="0.25">
      <c r="B936" s="165">
        <v>43896</v>
      </c>
      <c r="C936" s="166" t="s">
        <v>572</v>
      </c>
      <c r="D936" s="166" t="s">
        <v>63</v>
      </c>
      <c r="E936" s="167"/>
      <c r="F936" s="114">
        <v>-3.5</v>
      </c>
      <c r="G936" s="168"/>
      <c r="H936" s="169"/>
      <c r="I936" s="170"/>
      <c r="J936" s="171" t="s">
        <v>1186</v>
      </c>
      <c r="K936" s="172" t="s">
        <v>177</v>
      </c>
      <c r="L936" s="172" t="s">
        <v>175</v>
      </c>
      <c r="M936" s="173" t="str" cm="1">
        <f t="array" ref="M936">IFERROR(INDEX(CategoriesTable[Category type],MATCH(Table1[[#This Row],[Category]],CategoriesTable[Category name],0),0),"")</f>
        <v>Expense</v>
      </c>
      <c r="N936" s="173">
        <v>6</v>
      </c>
      <c r="O936" s="173">
        <f>MONTH(Table1[[#This Row],[Date]])</f>
        <v>3</v>
      </c>
      <c r="P936" s="173">
        <v>2020</v>
      </c>
      <c r="Q936" s="174">
        <f>IF(ISBLANK(Table1[[#This Row],[Date]]),"",Table1[[#This Row],[Date]]-WEEKDAY(Table1[[#This Row],[Date]],2)+1)</f>
        <v>43892</v>
      </c>
      <c r="R936" s="175">
        <f>IF(ISBLANK(Table1[[#This Row],[Date]]),"",DATE(Table1[[#This Row],[Date_Year]],Table1[[#This Row],[Date_Month]],1))</f>
        <v>43891</v>
      </c>
    </row>
    <row r="937" spans="2:18" ht="15.75" hidden="1" x14ac:dyDescent="0.25">
      <c r="B937" s="165">
        <v>43896</v>
      </c>
      <c r="C937" s="166" t="s">
        <v>574</v>
      </c>
      <c r="D937" s="166" t="s">
        <v>55</v>
      </c>
      <c r="E937" s="167"/>
      <c r="F937" s="114">
        <v>-372</v>
      </c>
      <c r="G937" s="168"/>
      <c r="H937" s="169"/>
      <c r="I937" s="170"/>
      <c r="J937" s="171" t="s">
        <v>1187</v>
      </c>
      <c r="K937" s="172" t="s">
        <v>177</v>
      </c>
      <c r="L937" s="172" t="s">
        <v>175</v>
      </c>
      <c r="M937" s="173" t="str" cm="1">
        <f t="array" ref="M937">IFERROR(INDEX(CategoriesTable[Category type],MATCH(Table1[[#This Row],[Category]],CategoriesTable[Category name],0),0),"")</f>
        <v>Expense</v>
      </c>
      <c r="N937" s="173">
        <v>6</v>
      </c>
      <c r="O937" s="173">
        <f>MONTH(Table1[[#This Row],[Date]])</f>
        <v>3</v>
      </c>
      <c r="P937" s="173">
        <v>2020</v>
      </c>
      <c r="Q937" s="174">
        <f>IF(ISBLANK(Table1[[#This Row],[Date]]),"",Table1[[#This Row],[Date]]-WEEKDAY(Table1[[#This Row],[Date]],2)+1)</f>
        <v>43892</v>
      </c>
      <c r="R937" s="175">
        <f>IF(ISBLANK(Table1[[#This Row],[Date]]),"",DATE(Table1[[#This Row],[Date_Year]],Table1[[#This Row],[Date_Month]],1))</f>
        <v>43891</v>
      </c>
    </row>
    <row r="938" spans="2:18" ht="15.75" hidden="1" x14ac:dyDescent="0.25">
      <c r="B938" s="165">
        <v>43895</v>
      </c>
      <c r="C938" s="166" t="s">
        <v>134</v>
      </c>
      <c r="D938" s="166" t="s">
        <v>65</v>
      </c>
      <c r="E938" s="167"/>
      <c r="F938" s="114">
        <v>-18.66</v>
      </c>
      <c r="G938" s="168"/>
      <c r="H938" s="169"/>
      <c r="I938" s="170"/>
      <c r="J938" s="171" t="s">
        <v>1188</v>
      </c>
      <c r="K938" s="172" t="s">
        <v>177</v>
      </c>
      <c r="L938" s="172" t="s">
        <v>175</v>
      </c>
      <c r="M938" s="173" t="str" cm="1">
        <f t="array" ref="M938">IFERROR(INDEX(CategoriesTable[Category type],MATCH(Table1[[#This Row],[Category]],CategoriesTable[Category name],0),0),"")</f>
        <v>Expense</v>
      </c>
      <c r="N938" s="173">
        <v>5</v>
      </c>
      <c r="O938" s="173">
        <f>MONTH(Table1[[#This Row],[Date]])</f>
        <v>3</v>
      </c>
      <c r="P938" s="173">
        <v>2020</v>
      </c>
      <c r="Q938" s="174">
        <f>IF(ISBLANK(Table1[[#This Row],[Date]]),"",Table1[[#This Row],[Date]]-WEEKDAY(Table1[[#This Row],[Date]],2)+1)</f>
        <v>43892</v>
      </c>
      <c r="R938" s="175">
        <f>IF(ISBLANK(Table1[[#This Row],[Date]]),"",DATE(Table1[[#This Row],[Date_Year]],Table1[[#This Row],[Date_Month]],1))</f>
        <v>43891</v>
      </c>
    </row>
    <row r="939" spans="2:18" ht="15.75" hidden="1" x14ac:dyDescent="0.25">
      <c r="B939" s="165">
        <v>43895</v>
      </c>
      <c r="C939" s="166" t="s">
        <v>750</v>
      </c>
      <c r="D939" s="166" t="s">
        <v>52</v>
      </c>
      <c r="E939" s="167"/>
      <c r="F939" s="114">
        <v>-107</v>
      </c>
      <c r="G939" s="168"/>
      <c r="H939" s="169"/>
      <c r="I939" s="170"/>
      <c r="J939" s="171" t="s">
        <v>1189</v>
      </c>
      <c r="K939" s="172" t="s">
        <v>177</v>
      </c>
      <c r="L939" s="172" t="s">
        <v>175</v>
      </c>
      <c r="M939" s="173" t="str" cm="1">
        <f t="array" ref="M939">IFERROR(INDEX(CategoriesTable[Category type],MATCH(Table1[[#This Row],[Category]],CategoriesTable[Category name],0),0),"")</f>
        <v>Transfer</v>
      </c>
      <c r="N939" s="173">
        <v>5</v>
      </c>
      <c r="O939" s="173">
        <f>MONTH(Table1[[#This Row],[Date]])</f>
        <v>3</v>
      </c>
      <c r="P939" s="173">
        <v>2020</v>
      </c>
      <c r="Q939" s="174">
        <f>IF(ISBLANK(Table1[[#This Row],[Date]]),"",Table1[[#This Row],[Date]]-WEEKDAY(Table1[[#This Row],[Date]],2)+1)</f>
        <v>43892</v>
      </c>
      <c r="R939" s="175">
        <f>IF(ISBLANK(Table1[[#This Row],[Date]]),"",DATE(Table1[[#This Row],[Date_Year]],Table1[[#This Row],[Date_Month]],1))</f>
        <v>43891</v>
      </c>
    </row>
    <row r="940" spans="2:18" ht="15.75" hidden="1" x14ac:dyDescent="0.25">
      <c r="B940" s="165">
        <v>43894</v>
      </c>
      <c r="C940" s="166" t="s">
        <v>588</v>
      </c>
      <c r="D940" s="166" t="s">
        <v>65</v>
      </c>
      <c r="E940" s="167"/>
      <c r="F940" s="114">
        <v>-17.73</v>
      </c>
      <c r="G940" s="168"/>
      <c r="H940" s="169"/>
      <c r="I940" s="170"/>
      <c r="J940" s="171" t="s">
        <v>1190</v>
      </c>
      <c r="K940" s="172" t="s">
        <v>177</v>
      </c>
      <c r="L940" s="172" t="s">
        <v>175</v>
      </c>
      <c r="M940" s="173" t="str" cm="1">
        <f t="array" ref="M940">IFERROR(INDEX(CategoriesTable[Category type],MATCH(Table1[[#This Row],[Category]],CategoriesTable[Category name],0),0),"")</f>
        <v>Expense</v>
      </c>
      <c r="N940" s="173">
        <v>4</v>
      </c>
      <c r="O940" s="173">
        <f>MONTH(Table1[[#This Row],[Date]])</f>
        <v>3</v>
      </c>
      <c r="P940" s="173">
        <v>2020</v>
      </c>
      <c r="Q940" s="174">
        <f>IF(ISBLANK(Table1[[#This Row],[Date]]),"",Table1[[#This Row],[Date]]-WEEKDAY(Table1[[#This Row],[Date]],2)+1)</f>
        <v>43892</v>
      </c>
      <c r="R940" s="175">
        <f>IF(ISBLANK(Table1[[#This Row],[Date]]),"",DATE(Table1[[#This Row],[Date_Year]],Table1[[#This Row],[Date_Month]],1))</f>
        <v>43891</v>
      </c>
    </row>
    <row r="941" spans="2:18" ht="15.75" hidden="1" x14ac:dyDescent="0.25">
      <c r="B941" s="165">
        <v>43894</v>
      </c>
      <c r="C941" s="166" t="s">
        <v>180</v>
      </c>
      <c r="D941" s="166" t="s">
        <v>52</v>
      </c>
      <c r="E941" s="167"/>
      <c r="F941" s="114">
        <v>-40</v>
      </c>
      <c r="G941" s="168"/>
      <c r="H941" s="169"/>
      <c r="I941" s="170"/>
      <c r="J941" s="171" t="s">
        <v>1191</v>
      </c>
      <c r="K941" s="172" t="s">
        <v>177</v>
      </c>
      <c r="L941" s="172" t="s">
        <v>175</v>
      </c>
      <c r="M941" s="173" t="str" cm="1">
        <f t="array" ref="M941">IFERROR(INDEX(CategoriesTable[Category type],MATCH(Table1[[#This Row],[Category]],CategoriesTable[Category name],0),0),"")</f>
        <v>Transfer</v>
      </c>
      <c r="N941" s="173">
        <v>4</v>
      </c>
      <c r="O941" s="173">
        <f>MONTH(Table1[[#This Row],[Date]])</f>
        <v>3</v>
      </c>
      <c r="P941" s="173">
        <v>2020</v>
      </c>
      <c r="Q941" s="174">
        <f>IF(ISBLANK(Table1[[#This Row],[Date]]),"",Table1[[#This Row],[Date]]-WEEKDAY(Table1[[#This Row],[Date]],2)+1)</f>
        <v>43892</v>
      </c>
      <c r="R941" s="175">
        <f>IF(ISBLANK(Table1[[#This Row],[Date]]),"",DATE(Table1[[#This Row],[Date_Year]],Table1[[#This Row],[Date_Month]],1))</f>
        <v>43891</v>
      </c>
    </row>
    <row r="942" spans="2:18" ht="15.75" hidden="1" x14ac:dyDescent="0.25">
      <c r="B942" s="165">
        <v>43894</v>
      </c>
      <c r="C942" s="166" t="s">
        <v>128</v>
      </c>
      <c r="D942" s="166" t="s">
        <v>53</v>
      </c>
      <c r="E942" s="167"/>
      <c r="F942" s="114">
        <v>-18.239999999999998</v>
      </c>
      <c r="G942" s="168"/>
      <c r="H942" s="169"/>
      <c r="I942" s="170"/>
      <c r="J942" s="176" t="s">
        <v>1192</v>
      </c>
      <c r="K942" s="172" t="s">
        <v>177</v>
      </c>
      <c r="L942" s="172" t="s">
        <v>175</v>
      </c>
      <c r="M942" s="173" t="str" cm="1">
        <f t="array" ref="M942">IFERROR(INDEX(CategoriesTable[Category type],MATCH(Table1[[#This Row],[Category]],CategoriesTable[Category name],0),0),"")</f>
        <v>Expense</v>
      </c>
      <c r="N942" s="173">
        <v>4</v>
      </c>
      <c r="O942" s="173">
        <f>MONTH(Table1[[#This Row],[Date]])</f>
        <v>3</v>
      </c>
      <c r="P942" s="173">
        <v>2020</v>
      </c>
      <c r="Q942" s="174">
        <f>IF(ISBLANK(Table1[[#This Row],[Date]]),"",Table1[[#This Row],[Date]]-WEEKDAY(Table1[[#This Row],[Date]],2)+1)</f>
        <v>43892</v>
      </c>
      <c r="R942" s="175">
        <f>IF(ISBLANK(Table1[[#This Row],[Date]]),"",DATE(Table1[[#This Row],[Date_Year]],Table1[[#This Row],[Date_Month]],1))</f>
        <v>43891</v>
      </c>
    </row>
    <row r="943" spans="2:18" ht="15.75" hidden="1" x14ac:dyDescent="0.25">
      <c r="B943" s="165">
        <v>43893</v>
      </c>
      <c r="C943" s="166" t="s">
        <v>121</v>
      </c>
      <c r="D943" s="166" t="s">
        <v>65</v>
      </c>
      <c r="E943" s="167"/>
      <c r="F943" s="114">
        <v>-7.08</v>
      </c>
      <c r="G943" s="168"/>
      <c r="H943" s="169"/>
      <c r="I943" s="170"/>
      <c r="J943" s="171" t="s">
        <v>1193</v>
      </c>
      <c r="K943" s="172" t="s">
        <v>177</v>
      </c>
      <c r="L943" s="172" t="s">
        <v>175</v>
      </c>
      <c r="M943" s="173" t="str" cm="1">
        <f t="array" ref="M943">IFERROR(INDEX(CategoriesTable[Category type],MATCH(Table1[[#This Row],[Category]],CategoriesTable[Category name],0),0),"")</f>
        <v>Expense</v>
      </c>
      <c r="N943" s="173">
        <v>3</v>
      </c>
      <c r="O943" s="173">
        <f>MONTH(Table1[[#This Row],[Date]])</f>
        <v>3</v>
      </c>
      <c r="P943" s="173">
        <v>2020</v>
      </c>
      <c r="Q943" s="174">
        <f>IF(ISBLANK(Table1[[#This Row],[Date]]),"",Table1[[#This Row],[Date]]-WEEKDAY(Table1[[#This Row],[Date]],2)+1)</f>
        <v>43892</v>
      </c>
      <c r="R943" s="175">
        <f>IF(ISBLANK(Table1[[#This Row],[Date]]),"",DATE(Table1[[#This Row],[Date_Year]],Table1[[#This Row],[Date_Month]],1))</f>
        <v>43891</v>
      </c>
    </row>
    <row r="944" spans="2:18" ht="15.75" hidden="1" x14ac:dyDescent="0.25">
      <c r="B944" s="165">
        <v>43893</v>
      </c>
      <c r="C944" s="166" t="s">
        <v>121</v>
      </c>
      <c r="D944" s="166" t="s">
        <v>65</v>
      </c>
      <c r="E944" s="167"/>
      <c r="F944" s="114">
        <v>-9.42</v>
      </c>
      <c r="G944" s="168"/>
      <c r="H944" s="169"/>
      <c r="I944" s="170"/>
      <c r="J944" s="171" t="s">
        <v>1194</v>
      </c>
      <c r="K944" s="172" t="s">
        <v>177</v>
      </c>
      <c r="L944" s="172" t="s">
        <v>175</v>
      </c>
      <c r="M944" s="173" t="str" cm="1">
        <f t="array" ref="M944">IFERROR(INDEX(CategoriesTable[Category type],MATCH(Table1[[#This Row],[Category]],CategoriesTable[Category name],0),0),"")</f>
        <v>Expense</v>
      </c>
      <c r="N944" s="173">
        <v>3</v>
      </c>
      <c r="O944" s="173">
        <f>MONTH(Table1[[#This Row],[Date]])</f>
        <v>3</v>
      </c>
      <c r="P944" s="173">
        <v>2020</v>
      </c>
      <c r="Q944" s="174">
        <f>IF(ISBLANK(Table1[[#This Row],[Date]]),"",Table1[[#This Row],[Date]]-WEEKDAY(Table1[[#This Row],[Date]],2)+1)</f>
        <v>43892</v>
      </c>
      <c r="R944" s="175">
        <f>IF(ISBLANK(Table1[[#This Row],[Date]]),"",DATE(Table1[[#This Row],[Date_Year]],Table1[[#This Row],[Date_Month]],1))</f>
        <v>43891</v>
      </c>
    </row>
    <row r="945" spans="2:18" ht="15.75" hidden="1" x14ac:dyDescent="0.25">
      <c r="B945" s="165">
        <v>43893</v>
      </c>
      <c r="C945" s="166" t="s">
        <v>121</v>
      </c>
      <c r="D945" s="166" t="s">
        <v>65</v>
      </c>
      <c r="E945" s="167"/>
      <c r="F945" s="114">
        <v>-22.95</v>
      </c>
      <c r="G945" s="168"/>
      <c r="H945" s="169"/>
      <c r="I945" s="170"/>
      <c r="J945" s="171" t="s">
        <v>1195</v>
      </c>
      <c r="K945" s="172" t="s">
        <v>177</v>
      </c>
      <c r="L945" s="172" t="s">
        <v>175</v>
      </c>
      <c r="M945" s="173" t="str" cm="1">
        <f t="array" ref="M945">IFERROR(INDEX(CategoriesTable[Category type],MATCH(Table1[[#This Row],[Category]],CategoriesTable[Category name],0),0),"")</f>
        <v>Expense</v>
      </c>
      <c r="N945" s="173">
        <v>3</v>
      </c>
      <c r="O945" s="173">
        <f>MONTH(Table1[[#This Row],[Date]])</f>
        <v>3</v>
      </c>
      <c r="P945" s="173">
        <v>2020</v>
      </c>
      <c r="Q945" s="174">
        <f>IF(ISBLANK(Table1[[#This Row],[Date]]),"",Table1[[#This Row],[Date]]-WEEKDAY(Table1[[#This Row],[Date]],2)+1)</f>
        <v>43892</v>
      </c>
      <c r="R945" s="175">
        <f>IF(ISBLANK(Table1[[#This Row],[Date]]),"",DATE(Table1[[#This Row],[Date_Year]],Table1[[#This Row],[Date_Month]],1))</f>
        <v>43891</v>
      </c>
    </row>
    <row r="946" spans="2:18" ht="15.75" hidden="1" x14ac:dyDescent="0.25">
      <c r="B946" s="165">
        <v>43893</v>
      </c>
      <c r="C946" s="166" t="s">
        <v>141</v>
      </c>
      <c r="D946" s="166" t="s">
        <v>65</v>
      </c>
      <c r="E946" s="167"/>
      <c r="F946" s="114">
        <v>-6.1</v>
      </c>
      <c r="G946" s="168"/>
      <c r="H946" s="169"/>
      <c r="I946" s="170"/>
      <c r="J946" s="171" t="s">
        <v>1196</v>
      </c>
      <c r="K946" s="172" t="s">
        <v>177</v>
      </c>
      <c r="L946" s="172" t="s">
        <v>175</v>
      </c>
      <c r="M946" s="173" t="str" cm="1">
        <f t="array" ref="M946">IFERROR(INDEX(CategoriesTable[Category type],MATCH(Table1[[#This Row],[Category]],CategoriesTable[Category name],0),0),"")</f>
        <v>Expense</v>
      </c>
      <c r="N946" s="173">
        <v>3</v>
      </c>
      <c r="O946" s="173">
        <f>MONTH(Table1[[#This Row],[Date]])</f>
        <v>3</v>
      </c>
      <c r="P946" s="173">
        <v>2020</v>
      </c>
      <c r="Q946" s="174">
        <f>IF(ISBLANK(Table1[[#This Row],[Date]]),"",Table1[[#This Row],[Date]]-WEEKDAY(Table1[[#This Row],[Date]],2)+1)</f>
        <v>43892</v>
      </c>
      <c r="R946" s="175">
        <f>IF(ISBLANK(Table1[[#This Row],[Date]]),"",DATE(Table1[[#This Row],[Date_Year]],Table1[[#This Row],[Date_Month]],1))</f>
        <v>43891</v>
      </c>
    </row>
    <row r="947" spans="2:18" ht="15.75" hidden="1" x14ac:dyDescent="0.25">
      <c r="B947" s="165">
        <v>43893</v>
      </c>
      <c r="C947" s="166" t="s">
        <v>135</v>
      </c>
      <c r="D947" s="166" t="s">
        <v>53</v>
      </c>
      <c r="E947" s="167"/>
      <c r="F947" s="114">
        <v>-15</v>
      </c>
      <c r="G947" s="168"/>
      <c r="H947" s="169"/>
      <c r="I947" s="170"/>
      <c r="J947" s="176" t="s">
        <v>1197</v>
      </c>
      <c r="K947" s="172" t="s">
        <v>177</v>
      </c>
      <c r="L947" s="172" t="s">
        <v>175</v>
      </c>
      <c r="M947" s="173" t="str" cm="1">
        <f t="array" ref="M947">IFERROR(INDEX(CategoriesTable[Category type],MATCH(Table1[[#This Row],[Category]],CategoriesTable[Category name],0),0),"")</f>
        <v>Expense</v>
      </c>
      <c r="N947" s="173">
        <v>3</v>
      </c>
      <c r="O947" s="173">
        <f>MONTH(Table1[[#This Row],[Date]])</f>
        <v>3</v>
      </c>
      <c r="P947" s="173">
        <v>2020</v>
      </c>
      <c r="Q947" s="174">
        <f>IF(ISBLANK(Table1[[#This Row],[Date]]),"",Table1[[#This Row],[Date]]-WEEKDAY(Table1[[#This Row],[Date]],2)+1)</f>
        <v>43892</v>
      </c>
      <c r="R947" s="175">
        <f>IF(ISBLANK(Table1[[#This Row],[Date]]),"",DATE(Table1[[#This Row],[Date_Year]],Table1[[#This Row],[Date_Month]],1))</f>
        <v>43891</v>
      </c>
    </row>
    <row r="948" spans="2:18" ht="15.75" hidden="1" x14ac:dyDescent="0.25">
      <c r="B948" s="165">
        <v>43893</v>
      </c>
      <c r="C948" s="166" t="s">
        <v>145</v>
      </c>
      <c r="D948" s="166" t="s">
        <v>58</v>
      </c>
      <c r="E948" s="167"/>
      <c r="F948" s="114">
        <v>-16.350000000000001</v>
      </c>
      <c r="G948" s="168"/>
      <c r="H948" s="169"/>
      <c r="I948" s="170"/>
      <c r="J948" s="171" t="s">
        <v>1198</v>
      </c>
      <c r="K948" s="172" t="s">
        <v>177</v>
      </c>
      <c r="L948" s="172" t="s">
        <v>175</v>
      </c>
      <c r="M948" s="173" t="str" cm="1">
        <f t="array" ref="M948">IFERROR(INDEX(CategoriesTable[Category type],MATCH(Table1[[#This Row],[Category]],CategoriesTable[Category name],0),0),"")</f>
        <v>Expense</v>
      </c>
      <c r="N948" s="173">
        <v>3</v>
      </c>
      <c r="O948" s="173">
        <f>MONTH(Table1[[#This Row],[Date]])</f>
        <v>3</v>
      </c>
      <c r="P948" s="173">
        <v>2020</v>
      </c>
      <c r="Q948" s="174">
        <f>IF(ISBLANK(Table1[[#This Row],[Date]]),"",Table1[[#This Row],[Date]]-WEEKDAY(Table1[[#This Row],[Date]],2)+1)</f>
        <v>43892</v>
      </c>
      <c r="R948" s="175">
        <f>IF(ISBLANK(Table1[[#This Row],[Date]]),"",DATE(Table1[[#This Row],[Date_Year]],Table1[[#This Row],[Date_Month]],1))</f>
        <v>43891</v>
      </c>
    </row>
    <row r="949" spans="2:18" ht="15.75" hidden="1" x14ac:dyDescent="0.25">
      <c r="B949" s="165">
        <v>43893</v>
      </c>
      <c r="C949" s="166" t="s">
        <v>120</v>
      </c>
      <c r="D949" s="166" t="s">
        <v>66</v>
      </c>
      <c r="E949" s="167"/>
      <c r="F949" s="114">
        <v>-35.99</v>
      </c>
      <c r="G949" s="168"/>
      <c r="H949" s="169"/>
      <c r="I949" s="170"/>
      <c r="J949" s="171" t="s">
        <v>1199</v>
      </c>
      <c r="K949" s="172" t="s">
        <v>177</v>
      </c>
      <c r="L949" s="172" t="s">
        <v>175</v>
      </c>
      <c r="M949" s="173" t="str" cm="1">
        <f t="array" ref="M949">IFERROR(INDEX(CategoriesTable[Category type],MATCH(Table1[[#This Row],[Category]],CategoriesTable[Category name],0),0),"")</f>
        <v>Expense</v>
      </c>
      <c r="N949" s="173">
        <v>3</v>
      </c>
      <c r="O949" s="173">
        <f>MONTH(Table1[[#This Row],[Date]])</f>
        <v>3</v>
      </c>
      <c r="P949" s="173">
        <v>2020</v>
      </c>
      <c r="Q949" s="174">
        <f>IF(ISBLANK(Table1[[#This Row],[Date]]),"",Table1[[#This Row],[Date]]-WEEKDAY(Table1[[#This Row],[Date]],2)+1)</f>
        <v>43892</v>
      </c>
      <c r="R949" s="175">
        <f>IF(ISBLANK(Table1[[#This Row],[Date]]),"",DATE(Table1[[#This Row],[Date_Year]],Table1[[#This Row],[Date_Month]],1))</f>
        <v>43891</v>
      </c>
    </row>
    <row r="950" spans="2:18" ht="15.75" hidden="1" x14ac:dyDescent="0.25">
      <c r="B950" s="165">
        <v>43892</v>
      </c>
      <c r="C950" s="166" t="s">
        <v>121</v>
      </c>
      <c r="D950" s="166" t="s">
        <v>65</v>
      </c>
      <c r="E950" s="167"/>
      <c r="F950" s="114">
        <v>-11.95</v>
      </c>
      <c r="G950" s="168"/>
      <c r="H950" s="169"/>
      <c r="I950" s="170"/>
      <c r="J950" s="171" t="s">
        <v>1200</v>
      </c>
      <c r="K950" s="172" t="s">
        <v>177</v>
      </c>
      <c r="L950" s="172" t="s">
        <v>175</v>
      </c>
      <c r="M950" s="173" t="str" cm="1">
        <f t="array" ref="M950">IFERROR(INDEX(CategoriesTable[Category type],MATCH(Table1[[#This Row],[Category]],CategoriesTable[Category name],0),0),"")</f>
        <v>Expense</v>
      </c>
      <c r="N950" s="173">
        <v>2</v>
      </c>
      <c r="O950" s="173">
        <f>MONTH(Table1[[#This Row],[Date]])</f>
        <v>3</v>
      </c>
      <c r="P950" s="173">
        <v>2020</v>
      </c>
      <c r="Q950" s="174">
        <f>IF(ISBLANK(Table1[[#This Row],[Date]]),"",Table1[[#This Row],[Date]]-WEEKDAY(Table1[[#This Row],[Date]],2)+1)</f>
        <v>43892</v>
      </c>
      <c r="R950" s="175">
        <f>IF(ISBLANK(Table1[[#This Row],[Date]]),"",DATE(Table1[[#This Row],[Date_Year]],Table1[[#This Row],[Date_Month]],1))</f>
        <v>43891</v>
      </c>
    </row>
    <row r="951" spans="2:18" ht="15.75" hidden="1" x14ac:dyDescent="0.25">
      <c r="B951" s="165">
        <v>43892</v>
      </c>
      <c r="C951" s="166" t="s">
        <v>1571</v>
      </c>
      <c r="D951" s="166" t="s">
        <v>66</v>
      </c>
      <c r="E951" s="167"/>
      <c r="F951" s="114">
        <v>-5.3</v>
      </c>
      <c r="G951" s="168"/>
      <c r="H951" s="169"/>
      <c r="I951" s="170"/>
      <c r="J951" s="171" t="s">
        <v>1201</v>
      </c>
      <c r="K951" s="172" t="s">
        <v>177</v>
      </c>
      <c r="L951" s="172" t="s">
        <v>175</v>
      </c>
      <c r="M951" s="173" t="str" cm="1">
        <f t="array" ref="M951">IFERROR(INDEX(CategoriesTable[Category type],MATCH(Table1[[#This Row],[Category]],CategoriesTable[Category name],0),0),"")</f>
        <v>Expense</v>
      </c>
      <c r="N951" s="173">
        <v>2</v>
      </c>
      <c r="O951" s="173">
        <f>MONTH(Table1[[#This Row],[Date]])</f>
        <v>3</v>
      </c>
      <c r="P951" s="173">
        <v>2020</v>
      </c>
      <c r="Q951" s="174">
        <f>IF(ISBLANK(Table1[[#This Row],[Date]]),"",Table1[[#This Row],[Date]]-WEEKDAY(Table1[[#This Row],[Date]],2)+1)</f>
        <v>43892</v>
      </c>
      <c r="R951" s="175">
        <f>IF(ISBLANK(Table1[[#This Row],[Date]]),"",DATE(Table1[[#This Row],[Date_Year]],Table1[[#This Row],[Date_Month]],1))</f>
        <v>43891</v>
      </c>
    </row>
    <row r="952" spans="2:18" ht="15.75" hidden="1" x14ac:dyDescent="0.25">
      <c r="B952" s="165">
        <v>43892</v>
      </c>
      <c r="C952" s="166" t="s">
        <v>148</v>
      </c>
      <c r="D952" s="166" t="s">
        <v>65</v>
      </c>
      <c r="E952" s="167"/>
      <c r="F952" s="114">
        <v>-7.2</v>
      </c>
      <c r="G952" s="168"/>
      <c r="H952" s="169"/>
      <c r="I952" s="170"/>
      <c r="J952" s="171" t="s">
        <v>1202</v>
      </c>
      <c r="K952" s="172" t="s">
        <v>177</v>
      </c>
      <c r="L952" s="172" t="s">
        <v>175</v>
      </c>
      <c r="M952" s="173" t="str" cm="1">
        <f t="array" ref="M952">IFERROR(INDEX(CategoriesTable[Category type],MATCH(Table1[[#This Row],[Category]],CategoriesTable[Category name],0),0),"")</f>
        <v>Expense</v>
      </c>
      <c r="N952" s="173">
        <v>2</v>
      </c>
      <c r="O952" s="173">
        <f>MONTH(Table1[[#This Row],[Date]])</f>
        <v>3</v>
      </c>
      <c r="P952" s="173">
        <v>2020</v>
      </c>
      <c r="Q952" s="174">
        <f>IF(ISBLANK(Table1[[#This Row],[Date]]),"",Table1[[#This Row],[Date]]-WEEKDAY(Table1[[#This Row],[Date]],2)+1)</f>
        <v>43892</v>
      </c>
      <c r="R952" s="175">
        <f>IF(ISBLANK(Table1[[#This Row],[Date]]),"",DATE(Table1[[#This Row],[Date_Year]],Table1[[#This Row],[Date_Month]],1))</f>
        <v>43891</v>
      </c>
    </row>
    <row r="953" spans="2:18" ht="15.75" hidden="1" x14ac:dyDescent="0.25">
      <c r="B953" s="165">
        <v>43892</v>
      </c>
      <c r="C953" s="166" t="s">
        <v>180</v>
      </c>
      <c r="D953" s="166" t="s">
        <v>52</v>
      </c>
      <c r="E953" s="167"/>
      <c r="F953" s="114">
        <v>-40</v>
      </c>
      <c r="G953" s="168"/>
      <c r="H953" s="169"/>
      <c r="I953" s="170"/>
      <c r="J953" s="171" t="s">
        <v>1203</v>
      </c>
      <c r="K953" s="172" t="s">
        <v>177</v>
      </c>
      <c r="L953" s="172" t="s">
        <v>175</v>
      </c>
      <c r="M953" s="173" t="str" cm="1">
        <f t="array" ref="M953">IFERROR(INDEX(CategoriesTable[Category type],MATCH(Table1[[#This Row],[Category]],CategoriesTable[Category name],0),0),"")</f>
        <v>Transfer</v>
      </c>
      <c r="N953" s="173">
        <v>2</v>
      </c>
      <c r="O953" s="173">
        <f>MONTH(Table1[[#This Row],[Date]])</f>
        <v>3</v>
      </c>
      <c r="P953" s="173">
        <v>2020</v>
      </c>
      <c r="Q953" s="174">
        <f>IF(ISBLANK(Table1[[#This Row],[Date]]),"",Table1[[#This Row],[Date]]-WEEKDAY(Table1[[#This Row],[Date]],2)+1)</f>
        <v>43892</v>
      </c>
      <c r="R953" s="175">
        <f>IF(ISBLANK(Table1[[#This Row],[Date]]),"",DATE(Table1[[#This Row],[Date_Year]],Table1[[#This Row],[Date_Month]],1))</f>
        <v>43891</v>
      </c>
    </row>
    <row r="954" spans="2:18" ht="15.75" hidden="1" x14ac:dyDescent="0.25">
      <c r="B954" s="165">
        <v>43892</v>
      </c>
      <c r="C954" s="166" t="s">
        <v>249</v>
      </c>
      <c r="D954" s="166" t="s">
        <v>52</v>
      </c>
      <c r="E954" s="167"/>
      <c r="F954" s="114">
        <v>-70</v>
      </c>
      <c r="G954" s="168"/>
      <c r="H954" s="169"/>
      <c r="I954" s="170"/>
      <c r="J954" s="171" t="s">
        <v>1204</v>
      </c>
      <c r="K954" s="172" t="s">
        <v>177</v>
      </c>
      <c r="L954" s="172" t="s">
        <v>175</v>
      </c>
      <c r="M954" s="173" t="str" cm="1">
        <f t="array" ref="M954">IFERROR(INDEX(CategoriesTable[Category type],MATCH(Table1[[#This Row],[Category]],CategoriesTable[Category name],0),0),"")</f>
        <v>Transfer</v>
      </c>
      <c r="N954" s="173">
        <v>2</v>
      </c>
      <c r="O954" s="173">
        <f>MONTH(Table1[[#This Row],[Date]])</f>
        <v>3</v>
      </c>
      <c r="P954" s="173">
        <v>2020</v>
      </c>
      <c r="Q954" s="174">
        <f>IF(ISBLANK(Table1[[#This Row],[Date]]),"",Table1[[#This Row],[Date]]-WEEKDAY(Table1[[#This Row],[Date]],2)+1)</f>
        <v>43892</v>
      </c>
      <c r="R954" s="175">
        <f>IF(ISBLANK(Table1[[#This Row],[Date]]),"",DATE(Table1[[#This Row],[Date_Year]],Table1[[#This Row],[Date_Month]],1))</f>
        <v>43891</v>
      </c>
    </row>
    <row r="955" spans="2:18" ht="15.75" hidden="1" x14ac:dyDescent="0.25">
      <c r="B955" s="165">
        <v>43892</v>
      </c>
      <c r="C955" s="166" t="s">
        <v>196</v>
      </c>
      <c r="D955" s="166" t="s">
        <v>50</v>
      </c>
      <c r="E955" s="167"/>
      <c r="F955" s="114">
        <v>4373.0200000000004</v>
      </c>
      <c r="G955" s="168"/>
      <c r="H955" s="169"/>
      <c r="I955" s="170"/>
      <c r="J955" s="176" t="s">
        <v>1205</v>
      </c>
      <c r="K955" s="172" t="s">
        <v>177</v>
      </c>
      <c r="L955" s="172" t="s">
        <v>175</v>
      </c>
      <c r="M955" s="173" t="str" cm="1">
        <f t="array" ref="M955">IFERROR(INDEX(CategoriesTable[Category type],MATCH(Table1[[#This Row],[Category]],CategoriesTable[Category name],0),0),"")</f>
        <v>Income</v>
      </c>
      <c r="N955" s="173">
        <v>2</v>
      </c>
      <c r="O955" s="173">
        <f>MONTH(Table1[[#This Row],[Date]])</f>
        <v>3</v>
      </c>
      <c r="P955" s="173">
        <v>2020</v>
      </c>
      <c r="Q955" s="174">
        <f>IF(ISBLANK(Table1[[#This Row],[Date]]),"",Table1[[#This Row],[Date]]-WEEKDAY(Table1[[#This Row],[Date]],2)+1)</f>
        <v>43892</v>
      </c>
      <c r="R955" s="175">
        <f>IF(ISBLANK(Table1[[#This Row],[Date]]),"",DATE(Table1[[#This Row],[Date_Year]],Table1[[#This Row],[Date_Month]],1))</f>
        <v>43891</v>
      </c>
    </row>
    <row r="956" spans="2:18" ht="15.75" hidden="1" x14ac:dyDescent="0.25">
      <c r="B956" s="165">
        <v>43892</v>
      </c>
      <c r="C956" s="166" t="s">
        <v>664</v>
      </c>
      <c r="D956" s="166" t="s">
        <v>66</v>
      </c>
      <c r="E956" s="167"/>
      <c r="F956" s="114">
        <v>-152.47999999999999</v>
      </c>
      <c r="G956" s="168"/>
      <c r="H956" s="169"/>
      <c r="I956" s="170"/>
      <c r="J956" s="171" t="s">
        <v>1206</v>
      </c>
      <c r="K956" s="172" t="s">
        <v>177</v>
      </c>
      <c r="L956" s="172" t="s">
        <v>175</v>
      </c>
      <c r="M956" s="173" t="str" cm="1">
        <f t="array" ref="M956">IFERROR(INDEX(CategoriesTable[Category type],MATCH(Table1[[#This Row],[Category]],CategoriesTable[Category name],0),0),"")</f>
        <v>Expense</v>
      </c>
      <c r="N956" s="173">
        <v>2</v>
      </c>
      <c r="O956" s="173">
        <f>MONTH(Table1[[#This Row],[Date]])</f>
        <v>3</v>
      </c>
      <c r="P956" s="173">
        <v>2020</v>
      </c>
      <c r="Q956" s="174">
        <f>IF(ISBLANK(Table1[[#This Row],[Date]]),"",Table1[[#This Row],[Date]]-WEEKDAY(Table1[[#This Row],[Date]],2)+1)</f>
        <v>43892</v>
      </c>
      <c r="R956" s="175">
        <f>IF(ISBLANK(Table1[[#This Row],[Date]]),"",DATE(Table1[[#This Row],[Date_Year]],Table1[[#This Row],[Date_Month]],1))</f>
        <v>43891</v>
      </c>
    </row>
    <row r="957" spans="2:18" ht="15.75" hidden="1" x14ac:dyDescent="0.25">
      <c r="B957" s="165">
        <v>43891</v>
      </c>
      <c r="C957" s="166" t="s">
        <v>145</v>
      </c>
      <c r="D957" s="166" t="s">
        <v>58</v>
      </c>
      <c r="E957" s="167"/>
      <c r="F957" s="114">
        <v>-14.61</v>
      </c>
      <c r="G957" s="168"/>
      <c r="H957" s="169"/>
      <c r="I957" s="170"/>
      <c r="J957" s="171" t="s">
        <v>1207</v>
      </c>
      <c r="K957" s="172" t="s">
        <v>177</v>
      </c>
      <c r="L957" s="172" t="s">
        <v>175</v>
      </c>
      <c r="M957" s="173" t="str" cm="1">
        <f t="array" ref="M957">IFERROR(INDEX(CategoriesTable[Category type],MATCH(Table1[[#This Row],[Category]],CategoriesTable[Category name],0),0),"")</f>
        <v>Expense</v>
      </c>
      <c r="N957" s="173">
        <v>1</v>
      </c>
      <c r="O957" s="173">
        <f>MONTH(Table1[[#This Row],[Date]])</f>
        <v>3</v>
      </c>
      <c r="P957" s="173">
        <v>2020</v>
      </c>
      <c r="Q957" s="174">
        <f>IF(ISBLANK(Table1[[#This Row],[Date]]),"",Table1[[#This Row],[Date]]-WEEKDAY(Table1[[#This Row],[Date]],2)+1)</f>
        <v>43885</v>
      </c>
      <c r="R957" s="175">
        <f>IF(ISBLANK(Table1[[#This Row],[Date]]),"",DATE(Table1[[#This Row],[Date_Year]],Table1[[#This Row],[Date_Month]],1))</f>
        <v>43891</v>
      </c>
    </row>
    <row r="958" spans="2:18" ht="15.75" hidden="1" x14ac:dyDescent="0.25">
      <c r="B958" s="165">
        <v>43891</v>
      </c>
      <c r="C958" s="166" t="s">
        <v>1208</v>
      </c>
      <c r="D958" s="166" t="s">
        <v>65</v>
      </c>
      <c r="E958" s="167"/>
      <c r="F958" s="114">
        <v>-21</v>
      </c>
      <c r="G958" s="168"/>
      <c r="H958" s="169"/>
      <c r="I958" s="170"/>
      <c r="J958" s="171" t="s">
        <v>1209</v>
      </c>
      <c r="K958" s="172" t="s">
        <v>177</v>
      </c>
      <c r="L958" s="172" t="s">
        <v>175</v>
      </c>
      <c r="M958" s="173" t="str" cm="1">
        <f t="array" ref="M958">IFERROR(INDEX(CategoriesTable[Category type],MATCH(Table1[[#This Row],[Category]],CategoriesTable[Category name],0),0),"")</f>
        <v>Expense</v>
      </c>
      <c r="N958" s="173">
        <v>1</v>
      </c>
      <c r="O958" s="173">
        <f>MONTH(Table1[[#This Row],[Date]])</f>
        <v>3</v>
      </c>
      <c r="P958" s="173">
        <v>2020</v>
      </c>
      <c r="Q958" s="174">
        <f>IF(ISBLANK(Table1[[#This Row],[Date]]),"",Table1[[#This Row],[Date]]-WEEKDAY(Table1[[#This Row],[Date]],2)+1)</f>
        <v>43885</v>
      </c>
      <c r="R958" s="175">
        <f>IF(ISBLANK(Table1[[#This Row],[Date]]),"",DATE(Table1[[#This Row],[Date_Year]],Table1[[#This Row],[Date_Month]],1))</f>
        <v>43891</v>
      </c>
    </row>
    <row r="959" spans="2:18" ht="15.75" hidden="1" x14ac:dyDescent="0.25">
      <c r="B959" s="165">
        <v>43891</v>
      </c>
      <c r="C959" s="166" t="s">
        <v>135</v>
      </c>
      <c r="D959" s="166" t="s">
        <v>53</v>
      </c>
      <c r="E959" s="167"/>
      <c r="F959" s="114">
        <v>-14.17</v>
      </c>
      <c r="G959" s="168"/>
      <c r="H959" s="169"/>
      <c r="I959" s="170"/>
      <c r="J959" s="171" t="s">
        <v>1210</v>
      </c>
      <c r="K959" s="172" t="s">
        <v>177</v>
      </c>
      <c r="L959" s="172" t="s">
        <v>175</v>
      </c>
      <c r="M959" s="173" t="str" cm="1">
        <f t="array" ref="M959">IFERROR(INDEX(CategoriesTable[Category type],MATCH(Table1[[#This Row],[Category]],CategoriesTable[Category name],0),0),"")</f>
        <v>Expense</v>
      </c>
      <c r="N959" s="173">
        <v>1</v>
      </c>
      <c r="O959" s="173">
        <f>MONTH(Table1[[#This Row],[Date]])</f>
        <v>3</v>
      </c>
      <c r="P959" s="173">
        <v>2020</v>
      </c>
      <c r="Q959" s="174">
        <f>IF(ISBLANK(Table1[[#This Row],[Date]]),"",Table1[[#This Row],[Date]]-WEEKDAY(Table1[[#This Row],[Date]],2)+1)</f>
        <v>43885</v>
      </c>
      <c r="R959" s="175">
        <f>IF(ISBLANK(Table1[[#This Row],[Date]]),"",DATE(Table1[[#This Row],[Date_Year]],Table1[[#This Row],[Date_Month]],1))</f>
        <v>43891</v>
      </c>
    </row>
    <row r="960" spans="2:18" ht="15.75" hidden="1" x14ac:dyDescent="0.25">
      <c r="B960" s="165">
        <v>43890</v>
      </c>
      <c r="C960" s="166" t="s">
        <v>138</v>
      </c>
      <c r="D960" s="166" t="s">
        <v>66</v>
      </c>
      <c r="E960" s="167"/>
      <c r="F960" s="114">
        <v>-12.99</v>
      </c>
      <c r="G960" s="168"/>
      <c r="H960" s="169"/>
      <c r="I960" s="170"/>
      <c r="J960" s="171" t="s">
        <v>1211</v>
      </c>
      <c r="K960" s="172" t="s">
        <v>177</v>
      </c>
      <c r="L960" s="172" t="s">
        <v>175</v>
      </c>
      <c r="M960" s="173" t="str" cm="1">
        <f t="array" ref="M960">IFERROR(INDEX(CategoriesTable[Category type],MATCH(Table1[[#This Row],[Category]],CategoriesTable[Category name],0),0),"")</f>
        <v>Expense</v>
      </c>
      <c r="N960" s="173">
        <v>29</v>
      </c>
      <c r="O960" s="173">
        <f>MONTH(Table1[[#This Row],[Date]])</f>
        <v>2</v>
      </c>
      <c r="P960" s="173">
        <v>2020</v>
      </c>
      <c r="Q960" s="174">
        <f>IF(ISBLANK(Table1[[#This Row],[Date]]),"",Table1[[#This Row],[Date]]-WEEKDAY(Table1[[#This Row],[Date]],2)+1)</f>
        <v>43885</v>
      </c>
      <c r="R960" s="175">
        <f>IF(ISBLANK(Table1[[#This Row],[Date]]),"",DATE(Table1[[#This Row],[Date_Year]],Table1[[#This Row],[Date_Month]],1))</f>
        <v>43862</v>
      </c>
    </row>
    <row r="961" spans="2:18" ht="15.75" hidden="1" x14ac:dyDescent="0.25">
      <c r="B961" s="165">
        <v>43890</v>
      </c>
      <c r="C961" s="166" t="s">
        <v>1208</v>
      </c>
      <c r="D961" s="166" t="s">
        <v>65</v>
      </c>
      <c r="E961" s="167"/>
      <c r="F961" s="114">
        <v>-21</v>
      </c>
      <c r="G961" s="168"/>
      <c r="H961" s="169"/>
      <c r="I961" s="170"/>
      <c r="J961" s="171" t="s">
        <v>1212</v>
      </c>
      <c r="K961" s="172" t="s">
        <v>177</v>
      </c>
      <c r="L961" s="172" t="s">
        <v>175</v>
      </c>
      <c r="M961" s="173" t="str" cm="1">
        <f t="array" ref="M961">IFERROR(INDEX(CategoriesTable[Category type],MATCH(Table1[[#This Row],[Category]],CategoriesTable[Category name],0),0),"")</f>
        <v>Expense</v>
      </c>
      <c r="N961" s="173">
        <v>29</v>
      </c>
      <c r="O961" s="173">
        <f>MONTH(Table1[[#This Row],[Date]])</f>
        <v>2</v>
      </c>
      <c r="P961" s="173">
        <v>2020</v>
      </c>
      <c r="Q961" s="174">
        <f>IF(ISBLANK(Table1[[#This Row],[Date]]),"",Table1[[#This Row],[Date]]-WEEKDAY(Table1[[#This Row],[Date]],2)+1)</f>
        <v>43885</v>
      </c>
      <c r="R961" s="175">
        <f>IF(ISBLANK(Table1[[#This Row],[Date]]),"",DATE(Table1[[#This Row],[Date_Year]],Table1[[#This Row],[Date_Month]],1))</f>
        <v>43862</v>
      </c>
    </row>
    <row r="962" spans="2:18" ht="15.75" hidden="1" x14ac:dyDescent="0.25">
      <c r="B962" s="165">
        <v>43890</v>
      </c>
      <c r="C962" s="166" t="s">
        <v>247</v>
      </c>
      <c r="D962" s="166" t="s">
        <v>65</v>
      </c>
      <c r="E962" s="167"/>
      <c r="F962" s="114">
        <v>-13.77</v>
      </c>
      <c r="G962" s="168"/>
      <c r="H962" s="169"/>
      <c r="I962" s="170"/>
      <c r="J962" s="171" t="s">
        <v>1213</v>
      </c>
      <c r="K962" s="172" t="s">
        <v>177</v>
      </c>
      <c r="L962" s="172" t="s">
        <v>175</v>
      </c>
      <c r="M962" s="173" t="str" cm="1">
        <f t="array" ref="M962">IFERROR(INDEX(CategoriesTable[Category type],MATCH(Table1[[#This Row],[Category]],CategoriesTable[Category name],0),0),"")</f>
        <v>Expense</v>
      </c>
      <c r="N962" s="173">
        <v>29</v>
      </c>
      <c r="O962" s="173">
        <f>MONTH(Table1[[#This Row],[Date]])</f>
        <v>2</v>
      </c>
      <c r="P962" s="173">
        <v>2020</v>
      </c>
      <c r="Q962" s="174">
        <f>IF(ISBLANK(Table1[[#This Row],[Date]]),"",Table1[[#This Row],[Date]]-WEEKDAY(Table1[[#This Row],[Date]],2)+1)</f>
        <v>43885</v>
      </c>
      <c r="R962" s="175">
        <f>IF(ISBLANK(Table1[[#This Row],[Date]]),"",DATE(Table1[[#This Row],[Date_Year]],Table1[[#This Row],[Date_Month]],1))</f>
        <v>43862</v>
      </c>
    </row>
    <row r="963" spans="2:18" ht="15.75" hidden="1" x14ac:dyDescent="0.25">
      <c r="B963" s="165">
        <v>43890</v>
      </c>
      <c r="C963" s="166" t="s">
        <v>1214</v>
      </c>
      <c r="D963" s="166" t="s">
        <v>65</v>
      </c>
      <c r="E963" s="167"/>
      <c r="F963" s="114">
        <v>-3.5</v>
      </c>
      <c r="G963" s="168"/>
      <c r="H963" s="169"/>
      <c r="I963" s="170"/>
      <c r="J963" s="171" t="s">
        <v>1215</v>
      </c>
      <c r="K963" s="172" t="s">
        <v>177</v>
      </c>
      <c r="L963" s="172" t="s">
        <v>175</v>
      </c>
      <c r="M963" s="173" t="str" cm="1">
        <f t="array" ref="M963">IFERROR(INDEX(CategoriesTable[Category type],MATCH(Table1[[#This Row],[Category]],CategoriesTable[Category name],0),0),"")</f>
        <v>Expense</v>
      </c>
      <c r="N963" s="173">
        <v>29</v>
      </c>
      <c r="O963" s="173">
        <f>MONTH(Table1[[#This Row],[Date]])</f>
        <v>2</v>
      </c>
      <c r="P963" s="173">
        <v>2020</v>
      </c>
      <c r="Q963" s="174">
        <f>IF(ISBLANK(Table1[[#This Row],[Date]]),"",Table1[[#This Row],[Date]]-WEEKDAY(Table1[[#This Row],[Date]],2)+1)</f>
        <v>43885</v>
      </c>
      <c r="R963" s="175">
        <f>IF(ISBLANK(Table1[[#This Row],[Date]]),"",DATE(Table1[[#This Row],[Date_Year]],Table1[[#This Row],[Date_Month]],1))</f>
        <v>43862</v>
      </c>
    </row>
    <row r="964" spans="2:18" ht="15.75" hidden="1" x14ac:dyDescent="0.25">
      <c r="B964" s="165">
        <v>43890</v>
      </c>
      <c r="C964" s="166" t="s">
        <v>120</v>
      </c>
      <c r="D964" s="166" t="s">
        <v>66</v>
      </c>
      <c r="E964" s="167"/>
      <c r="F964" s="114">
        <v>-126.53</v>
      </c>
      <c r="G964" s="168"/>
      <c r="H964" s="169"/>
      <c r="I964" s="170"/>
      <c r="J964" s="171" t="s">
        <v>1216</v>
      </c>
      <c r="K964" s="172" t="s">
        <v>177</v>
      </c>
      <c r="L964" s="172" t="s">
        <v>175</v>
      </c>
      <c r="M964" s="173" t="str" cm="1">
        <f t="array" ref="M964">IFERROR(INDEX(CategoriesTable[Category type],MATCH(Table1[[#This Row],[Category]],CategoriesTable[Category name],0),0),"")</f>
        <v>Expense</v>
      </c>
      <c r="N964" s="173">
        <v>29</v>
      </c>
      <c r="O964" s="173">
        <f>MONTH(Table1[[#This Row],[Date]])</f>
        <v>2</v>
      </c>
      <c r="P964" s="173">
        <v>2020</v>
      </c>
      <c r="Q964" s="174">
        <f>IF(ISBLANK(Table1[[#This Row],[Date]]),"",Table1[[#This Row],[Date]]-WEEKDAY(Table1[[#This Row],[Date]],2)+1)</f>
        <v>43885</v>
      </c>
      <c r="R964" s="175">
        <f>IF(ISBLANK(Table1[[#This Row],[Date]]),"",DATE(Table1[[#This Row],[Date_Year]],Table1[[#This Row],[Date_Month]],1))</f>
        <v>43862</v>
      </c>
    </row>
    <row r="965" spans="2:18" ht="15.75" hidden="1" x14ac:dyDescent="0.25">
      <c r="B965" s="165">
        <v>43889</v>
      </c>
      <c r="C965" s="166" t="s">
        <v>120</v>
      </c>
      <c r="D965" s="166" t="s">
        <v>66</v>
      </c>
      <c r="E965" s="167"/>
      <c r="F965" s="114">
        <v>-97.01</v>
      </c>
      <c r="G965" s="168"/>
      <c r="H965" s="169"/>
      <c r="I965" s="170"/>
      <c r="J965" s="171" t="s">
        <v>1217</v>
      </c>
      <c r="K965" s="172" t="s">
        <v>177</v>
      </c>
      <c r="L965" s="172" t="s">
        <v>175</v>
      </c>
      <c r="M965" s="173" t="str" cm="1">
        <f t="array" ref="M965">IFERROR(INDEX(CategoriesTable[Category type],MATCH(Table1[[#This Row],[Category]],CategoriesTable[Category name],0),0),"")</f>
        <v>Expense</v>
      </c>
      <c r="N965" s="173">
        <v>28</v>
      </c>
      <c r="O965" s="173">
        <f>MONTH(Table1[[#This Row],[Date]])</f>
        <v>2</v>
      </c>
      <c r="P965" s="173">
        <v>2020</v>
      </c>
      <c r="Q965" s="174">
        <f>IF(ISBLANK(Table1[[#This Row],[Date]]),"",Table1[[#This Row],[Date]]-WEEKDAY(Table1[[#This Row],[Date]],2)+1)</f>
        <v>43885</v>
      </c>
      <c r="R965" s="175">
        <f>IF(ISBLANK(Table1[[#This Row],[Date]]),"",DATE(Table1[[#This Row],[Date_Year]],Table1[[#This Row],[Date_Month]],1))</f>
        <v>43862</v>
      </c>
    </row>
    <row r="966" spans="2:18" ht="15.75" hidden="1" x14ac:dyDescent="0.25">
      <c r="B966" s="165">
        <v>43889</v>
      </c>
      <c r="C966" s="166" t="s">
        <v>800</v>
      </c>
      <c r="D966" s="166" t="s">
        <v>65</v>
      </c>
      <c r="E966" s="167"/>
      <c r="F966" s="114">
        <v>-30.5</v>
      </c>
      <c r="G966" s="168"/>
      <c r="H966" s="169"/>
      <c r="I966" s="170"/>
      <c r="J966" s="171" t="s">
        <v>1218</v>
      </c>
      <c r="K966" s="172" t="s">
        <v>177</v>
      </c>
      <c r="L966" s="172" t="s">
        <v>175</v>
      </c>
      <c r="M966" s="173" t="str" cm="1">
        <f t="array" ref="M966">IFERROR(INDEX(CategoriesTable[Category type],MATCH(Table1[[#This Row],[Category]],CategoriesTable[Category name],0),0),"")</f>
        <v>Expense</v>
      </c>
      <c r="N966" s="173">
        <v>28</v>
      </c>
      <c r="O966" s="173">
        <f>MONTH(Table1[[#This Row],[Date]])</f>
        <v>2</v>
      </c>
      <c r="P966" s="173">
        <v>2020</v>
      </c>
      <c r="Q966" s="174">
        <f>IF(ISBLANK(Table1[[#This Row],[Date]]),"",Table1[[#This Row],[Date]]-WEEKDAY(Table1[[#This Row],[Date]],2)+1)</f>
        <v>43885</v>
      </c>
      <c r="R966" s="175">
        <f>IF(ISBLANK(Table1[[#This Row],[Date]]),"",DATE(Table1[[#This Row],[Date_Year]],Table1[[#This Row],[Date_Month]],1))</f>
        <v>43862</v>
      </c>
    </row>
    <row r="967" spans="2:18" ht="15.75" hidden="1" x14ac:dyDescent="0.25">
      <c r="B967" s="165">
        <v>43889</v>
      </c>
      <c r="C967" s="166" t="s">
        <v>803</v>
      </c>
      <c r="D967" s="166" t="s">
        <v>51</v>
      </c>
      <c r="E967" s="167"/>
      <c r="F967" s="114">
        <v>200</v>
      </c>
      <c r="G967" s="168"/>
      <c r="H967" s="169"/>
      <c r="I967" s="170"/>
      <c r="J967" s="171" t="s">
        <v>1219</v>
      </c>
      <c r="K967" s="172" t="s">
        <v>177</v>
      </c>
      <c r="L967" s="172" t="s">
        <v>175</v>
      </c>
      <c r="M967" s="173" t="str" cm="1">
        <f t="array" ref="M967">IFERROR(INDEX(CategoriesTable[Category type],MATCH(Table1[[#This Row],[Category]],CategoriesTable[Category name],0),0),"")</f>
        <v>Transfer</v>
      </c>
      <c r="N967" s="173">
        <v>28</v>
      </c>
      <c r="O967" s="173">
        <f>MONTH(Table1[[#This Row],[Date]])</f>
        <v>2</v>
      </c>
      <c r="P967" s="173">
        <v>2020</v>
      </c>
      <c r="Q967" s="174">
        <f>IF(ISBLANK(Table1[[#This Row],[Date]]),"",Table1[[#This Row],[Date]]-WEEKDAY(Table1[[#This Row],[Date]],2)+1)</f>
        <v>43885</v>
      </c>
      <c r="R967" s="175">
        <f>IF(ISBLANK(Table1[[#This Row],[Date]]),"",DATE(Table1[[#This Row],[Date_Year]],Table1[[#This Row],[Date_Month]],1))</f>
        <v>43862</v>
      </c>
    </row>
    <row r="968" spans="2:18" ht="15.75" hidden="1" x14ac:dyDescent="0.25">
      <c r="B968" s="165">
        <v>43889</v>
      </c>
      <c r="C968" s="166" t="s">
        <v>806</v>
      </c>
      <c r="D968" s="166" t="s">
        <v>63</v>
      </c>
      <c r="E968" s="167"/>
      <c r="F968" s="114">
        <v>-12.5</v>
      </c>
      <c r="G968" s="168"/>
      <c r="H968" s="169"/>
      <c r="I968" s="170"/>
      <c r="J968" s="171" t="s">
        <v>1220</v>
      </c>
      <c r="K968" s="172" t="s">
        <v>177</v>
      </c>
      <c r="L968" s="172" t="s">
        <v>175</v>
      </c>
      <c r="M968" s="173" t="str" cm="1">
        <f t="array" ref="M968">IFERROR(INDEX(CategoriesTable[Category type],MATCH(Table1[[#This Row],[Category]],CategoriesTable[Category name],0),0),"")</f>
        <v>Expense</v>
      </c>
      <c r="N968" s="173">
        <v>28</v>
      </c>
      <c r="O968" s="173">
        <f>MONTH(Table1[[#This Row],[Date]])</f>
        <v>2</v>
      </c>
      <c r="P968" s="173">
        <v>2020</v>
      </c>
      <c r="Q968" s="174">
        <f>IF(ISBLANK(Table1[[#This Row],[Date]]),"",Table1[[#This Row],[Date]]-WEEKDAY(Table1[[#This Row],[Date]],2)+1)</f>
        <v>43885</v>
      </c>
      <c r="R968" s="175">
        <f>IF(ISBLANK(Table1[[#This Row],[Date]]),"",DATE(Table1[[#This Row],[Date_Year]],Table1[[#This Row],[Date_Month]],1))</f>
        <v>43862</v>
      </c>
    </row>
    <row r="969" spans="2:18" ht="15.75" hidden="1" x14ac:dyDescent="0.25">
      <c r="B969" s="165">
        <v>43888</v>
      </c>
      <c r="C969" s="166" t="s">
        <v>769</v>
      </c>
      <c r="D969" s="166" t="s">
        <v>65</v>
      </c>
      <c r="E969" s="167"/>
      <c r="F969" s="114">
        <v>-32.75</v>
      </c>
      <c r="G969" s="168"/>
      <c r="H969" s="169"/>
      <c r="I969" s="170"/>
      <c r="J969" s="171" t="s">
        <v>1221</v>
      </c>
      <c r="K969" s="172" t="s">
        <v>177</v>
      </c>
      <c r="L969" s="172" t="s">
        <v>175</v>
      </c>
      <c r="M969" s="173" t="str" cm="1">
        <f t="array" ref="M969">IFERROR(INDEX(CategoriesTable[Category type],MATCH(Table1[[#This Row],[Category]],CategoriesTable[Category name],0),0),"")</f>
        <v>Expense</v>
      </c>
      <c r="N969" s="173">
        <v>27</v>
      </c>
      <c r="O969" s="173">
        <f>MONTH(Table1[[#This Row],[Date]])</f>
        <v>2</v>
      </c>
      <c r="P969" s="173">
        <v>2020</v>
      </c>
      <c r="Q969" s="174">
        <f>IF(ISBLANK(Table1[[#This Row],[Date]]),"",Table1[[#This Row],[Date]]-WEEKDAY(Table1[[#This Row],[Date]],2)+1)</f>
        <v>43885</v>
      </c>
      <c r="R969" s="175">
        <f>IF(ISBLANK(Table1[[#This Row],[Date]]),"",DATE(Table1[[#This Row],[Date_Year]],Table1[[#This Row],[Date_Month]],1))</f>
        <v>43862</v>
      </c>
    </row>
    <row r="970" spans="2:18" ht="15.75" hidden="1" x14ac:dyDescent="0.25">
      <c r="B970" s="165">
        <v>43888</v>
      </c>
      <c r="C970" s="166" t="s">
        <v>128</v>
      </c>
      <c r="D970" s="166" t="s">
        <v>53</v>
      </c>
      <c r="E970" s="167"/>
      <c r="F970" s="114">
        <v>-32.590000000000003</v>
      </c>
      <c r="G970" s="168"/>
      <c r="H970" s="169"/>
      <c r="I970" s="170"/>
      <c r="J970" s="171" t="s">
        <v>1222</v>
      </c>
      <c r="K970" s="172" t="s">
        <v>177</v>
      </c>
      <c r="L970" s="172" t="s">
        <v>175</v>
      </c>
      <c r="M970" s="173" t="str" cm="1">
        <f t="array" ref="M970">IFERROR(INDEX(CategoriesTable[Category type],MATCH(Table1[[#This Row],[Category]],CategoriesTable[Category name],0),0),"")</f>
        <v>Expense</v>
      </c>
      <c r="N970" s="173">
        <v>27</v>
      </c>
      <c r="O970" s="173">
        <f>MONTH(Table1[[#This Row],[Date]])</f>
        <v>2</v>
      </c>
      <c r="P970" s="173">
        <v>2020</v>
      </c>
      <c r="Q970" s="174">
        <f>IF(ISBLANK(Table1[[#This Row],[Date]]),"",Table1[[#This Row],[Date]]-WEEKDAY(Table1[[#This Row],[Date]],2)+1)</f>
        <v>43885</v>
      </c>
      <c r="R970" s="175">
        <f>IF(ISBLANK(Table1[[#This Row],[Date]]),"",DATE(Table1[[#This Row],[Date_Year]],Table1[[#This Row],[Date_Month]],1))</f>
        <v>43862</v>
      </c>
    </row>
    <row r="971" spans="2:18" ht="15.75" hidden="1" x14ac:dyDescent="0.25">
      <c r="B971" s="165">
        <v>43888</v>
      </c>
      <c r="C971" s="166" t="s">
        <v>121</v>
      </c>
      <c r="D971" s="166" t="s">
        <v>65</v>
      </c>
      <c r="E971" s="167"/>
      <c r="F971" s="114">
        <v>-10.88</v>
      </c>
      <c r="G971" s="168"/>
      <c r="H971" s="169"/>
      <c r="I971" s="170"/>
      <c r="J971" s="171" t="s">
        <v>1223</v>
      </c>
      <c r="K971" s="172" t="s">
        <v>177</v>
      </c>
      <c r="L971" s="172" t="s">
        <v>175</v>
      </c>
      <c r="M971" s="173" t="str" cm="1">
        <f t="array" ref="M971">IFERROR(INDEX(CategoriesTable[Category type],MATCH(Table1[[#This Row],[Category]],CategoriesTable[Category name],0),0),"")</f>
        <v>Expense</v>
      </c>
      <c r="N971" s="173">
        <v>27</v>
      </c>
      <c r="O971" s="173">
        <f>MONTH(Table1[[#This Row],[Date]])</f>
        <v>2</v>
      </c>
      <c r="P971" s="173">
        <v>2020</v>
      </c>
      <c r="Q971" s="174">
        <f>IF(ISBLANK(Table1[[#This Row],[Date]]),"",Table1[[#This Row],[Date]]-WEEKDAY(Table1[[#This Row],[Date]],2)+1)</f>
        <v>43885</v>
      </c>
      <c r="R971" s="175">
        <f>IF(ISBLANK(Table1[[#This Row],[Date]]),"",DATE(Table1[[#This Row],[Date_Year]],Table1[[#This Row],[Date_Month]],1))</f>
        <v>43862</v>
      </c>
    </row>
    <row r="972" spans="2:18" ht="15.75" hidden="1" x14ac:dyDescent="0.25">
      <c r="B972" s="165">
        <v>43888</v>
      </c>
      <c r="C972" s="166" t="s">
        <v>803</v>
      </c>
      <c r="D972" s="166" t="s">
        <v>51</v>
      </c>
      <c r="E972" s="167"/>
      <c r="F972" s="114">
        <v>300</v>
      </c>
      <c r="G972" s="168"/>
      <c r="H972" s="169"/>
      <c r="I972" s="170"/>
      <c r="J972" s="171" t="s">
        <v>1224</v>
      </c>
      <c r="K972" s="172" t="s">
        <v>177</v>
      </c>
      <c r="L972" s="172" t="s">
        <v>175</v>
      </c>
      <c r="M972" s="173" t="str" cm="1">
        <f t="array" ref="M972">IFERROR(INDEX(CategoriesTable[Category type],MATCH(Table1[[#This Row],[Category]],CategoriesTable[Category name],0),0),"")</f>
        <v>Transfer</v>
      </c>
      <c r="N972" s="173">
        <v>27</v>
      </c>
      <c r="O972" s="173">
        <f>MONTH(Table1[[#This Row],[Date]])</f>
        <v>2</v>
      </c>
      <c r="P972" s="173">
        <v>2020</v>
      </c>
      <c r="Q972" s="174">
        <f>IF(ISBLANK(Table1[[#This Row],[Date]]),"",Table1[[#This Row],[Date]]-WEEKDAY(Table1[[#This Row],[Date]],2)+1)</f>
        <v>43885</v>
      </c>
      <c r="R972" s="175">
        <f>IF(ISBLANK(Table1[[#This Row],[Date]]),"",DATE(Table1[[#This Row],[Date_Year]],Table1[[#This Row],[Date_Month]],1))</f>
        <v>43862</v>
      </c>
    </row>
    <row r="973" spans="2:18" ht="15.75" hidden="1" x14ac:dyDescent="0.25">
      <c r="B973" s="165">
        <v>43888</v>
      </c>
      <c r="C973" s="166" t="s">
        <v>715</v>
      </c>
      <c r="D973" s="166" t="s">
        <v>55</v>
      </c>
      <c r="E973" s="167"/>
      <c r="F973" s="114">
        <v>-318</v>
      </c>
      <c r="G973" s="168"/>
      <c r="H973" s="169"/>
      <c r="I973" s="170"/>
      <c r="J973" s="171" t="s">
        <v>1225</v>
      </c>
      <c r="K973" s="172" t="s">
        <v>177</v>
      </c>
      <c r="L973" s="172" t="s">
        <v>175</v>
      </c>
      <c r="M973" s="173" t="str" cm="1">
        <f t="array" ref="M973">IFERROR(INDEX(CategoriesTable[Category type],MATCH(Table1[[#This Row],[Category]],CategoriesTable[Category name],0),0),"")</f>
        <v>Expense</v>
      </c>
      <c r="N973" s="173">
        <v>27</v>
      </c>
      <c r="O973" s="173">
        <f>MONTH(Table1[[#This Row],[Date]])</f>
        <v>2</v>
      </c>
      <c r="P973" s="173">
        <v>2020</v>
      </c>
      <c r="Q973" s="174">
        <f>IF(ISBLANK(Table1[[#This Row],[Date]]),"",Table1[[#This Row],[Date]]-WEEKDAY(Table1[[#This Row],[Date]],2)+1)</f>
        <v>43885</v>
      </c>
      <c r="R973" s="175">
        <f>IF(ISBLANK(Table1[[#This Row],[Date]]),"",DATE(Table1[[#This Row],[Date_Year]],Table1[[#This Row],[Date_Month]],1))</f>
        <v>43862</v>
      </c>
    </row>
    <row r="974" spans="2:18" ht="15.75" hidden="1" x14ac:dyDescent="0.25">
      <c r="B974" s="165">
        <v>43888</v>
      </c>
      <c r="C974" s="166" t="s">
        <v>806</v>
      </c>
      <c r="D974" s="166" t="s">
        <v>63</v>
      </c>
      <c r="E974" s="167"/>
      <c r="F974" s="114">
        <v>-12.5</v>
      </c>
      <c r="G974" s="168"/>
      <c r="H974" s="169"/>
      <c r="I974" s="170"/>
      <c r="J974" s="171" t="s">
        <v>1226</v>
      </c>
      <c r="K974" s="172" t="s">
        <v>177</v>
      </c>
      <c r="L974" s="172" t="s">
        <v>175</v>
      </c>
      <c r="M974" s="173" t="str" cm="1">
        <f t="array" ref="M974">IFERROR(INDEX(CategoriesTable[Category type],MATCH(Table1[[#This Row],[Category]],CategoriesTable[Category name],0),0),"")</f>
        <v>Expense</v>
      </c>
      <c r="N974" s="173">
        <v>27</v>
      </c>
      <c r="O974" s="173">
        <f>MONTH(Table1[[#This Row],[Date]])</f>
        <v>2</v>
      </c>
      <c r="P974" s="173">
        <v>2020</v>
      </c>
      <c r="Q974" s="174">
        <f>IF(ISBLANK(Table1[[#This Row],[Date]]),"",Table1[[#This Row],[Date]]-WEEKDAY(Table1[[#This Row],[Date]],2)+1)</f>
        <v>43885</v>
      </c>
      <c r="R974" s="175">
        <f>IF(ISBLANK(Table1[[#This Row],[Date]]),"",DATE(Table1[[#This Row],[Date_Year]],Table1[[#This Row],[Date_Month]],1))</f>
        <v>43862</v>
      </c>
    </row>
    <row r="975" spans="2:18" ht="15.75" hidden="1" x14ac:dyDescent="0.25">
      <c r="B975" s="165">
        <v>43887</v>
      </c>
      <c r="C975" s="166" t="s">
        <v>249</v>
      </c>
      <c r="D975" s="166" t="s">
        <v>52</v>
      </c>
      <c r="E975" s="167"/>
      <c r="F975" s="114">
        <v>-30</v>
      </c>
      <c r="G975" s="168"/>
      <c r="H975" s="169"/>
      <c r="I975" s="170"/>
      <c r="J975" s="171" t="s">
        <v>1227</v>
      </c>
      <c r="K975" s="172" t="s">
        <v>177</v>
      </c>
      <c r="L975" s="172" t="s">
        <v>175</v>
      </c>
      <c r="M975" s="173" t="str" cm="1">
        <f t="array" ref="M975">IFERROR(INDEX(CategoriesTable[Category type],MATCH(Table1[[#This Row],[Category]],CategoriesTable[Category name],0),0),"")</f>
        <v>Transfer</v>
      </c>
      <c r="N975" s="173">
        <v>26</v>
      </c>
      <c r="O975" s="173">
        <f>MONTH(Table1[[#This Row],[Date]])</f>
        <v>2</v>
      </c>
      <c r="P975" s="173">
        <v>2020</v>
      </c>
      <c r="Q975" s="174">
        <f>IF(ISBLANK(Table1[[#This Row],[Date]]),"",Table1[[#This Row],[Date]]-WEEKDAY(Table1[[#This Row],[Date]],2)+1)</f>
        <v>43885</v>
      </c>
      <c r="R975" s="175">
        <f>IF(ISBLANK(Table1[[#This Row],[Date]]),"",DATE(Table1[[#This Row],[Date_Year]],Table1[[#This Row],[Date_Month]],1))</f>
        <v>43862</v>
      </c>
    </row>
    <row r="976" spans="2:18" ht="15.75" hidden="1" x14ac:dyDescent="0.25">
      <c r="B976" s="165">
        <v>43887</v>
      </c>
      <c r="C976" s="166" t="s">
        <v>249</v>
      </c>
      <c r="D976" s="166" t="s">
        <v>52</v>
      </c>
      <c r="E976" s="167"/>
      <c r="F976" s="114">
        <v>-120</v>
      </c>
      <c r="G976" s="168"/>
      <c r="H976" s="169"/>
      <c r="I976" s="170"/>
      <c r="J976" s="171" t="s">
        <v>1228</v>
      </c>
      <c r="K976" s="172" t="s">
        <v>177</v>
      </c>
      <c r="L976" s="172" t="s">
        <v>175</v>
      </c>
      <c r="M976" s="173" t="str" cm="1">
        <f t="array" ref="M976">IFERROR(INDEX(CategoriesTable[Category type],MATCH(Table1[[#This Row],[Category]],CategoriesTable[Category name],0),0),"")</f>
        <v>Transfer</v>
      </c>
      <c r="N976" s="173">
        <v>26</v>
      </c>
      <c r="O976" s="173">
        <f>MONTH(Table1[[#This Row],[Date]])</f>
        <v>2</v>
      </c>
      <c r="P976" s="173">
        <v>2020</v>
      </c>
      <c r="Q976" s="174">
        <f>IF(ISBLANK(Table1[[#This Row],[Date]]),"",Table1[[#This Row],[Date]]-WEEKDAY(Table1[[#This Row],[Date]],2)+1)</f>
        <v>43885</v>
      </c>
      <c r="R976" s="175">
        <f>IF(ISBLANK(Table1[[#This Row],[Date]]),"",DATE(Table1[[#This Row],[Date_Year]],Table1[[#This Row],[Date_Month]],1))</f>
        <v>43862</v>
      </c>
    </row>
    <row r="977" spans="2:18" ht="15.75" hidden="1" x14ac:dyDescent="0.25">
      <c r="B977" s="165">
        <v>43886</v>
      </c>
      <c r="C977" s="166" t="s">
        <v>121</v>
      </c>
      <c r="D977" s="166" t="s">
        <v>65</v>
      </c>
      <c r="E977" s="167"/>
      <c r="F977" s="114">
        <v>-3.06</v>
      </c>
      <c r="G977" s="168"/>
      <c r="H977" s="169"/>
      <c r="I977" s="170"/>
      <c r="J977" s="171" t="s">
        <v>1229</v>
      </c>
      <c r="K977" s="172" t="s">
        <v>177</v>
      </c>
      <c r="L977" s="172" t="s">
        <v>175</v>
      </c>
      <c r="M977" s="173" t="str" cm="1">
        <f t="array" ref="M977">IFERROR(INDEX(CategoriesTable[Category type],MATCH(Table1[[#This Row],[Category]],CategoriesTable[Category name],0),0),"")</f>
        <v>Expense</v>
      </c>
      <c r="N977" s="173">
        <v>25</v>
      </c>
      <c r="O977" s="173">
        <f>MONTH(Table1[[#This Row],[Date]])</f>
        <v>2</v>
      </c>
      <c r="P977" s="173">
        <v>2020</v>
      </c>
      <c r="Q977" s="174">
        <f>IF(ISBLANK(Table1[[#This Row],[Date]]),"",Table1[[#This Row],[Date]]-WEEKDAY(Table1[[#This Row],[Date]],2)+1)</f>
        <v>43885</v>
      </c>
      <c r="R977" s="175">
        <f>IF(ISBLANK(Table1[[#This Row],[Date]]),"",DATE(Table1[[#This Row],[Date_Year]],Table1[[#This Row],[Date_Month]],1))</f>
        <v>43862</v>
      </c>
    </row>
    <row r="978" spans="2:18" ht="15.75" hidden="1" x14ac:dyDescent="0.25">
      <c r="B978" s="165">
        <v>43886</v>
      </c>
      <c r="C978" s="166" t="s">
        <v>121</v>
      </c>
      <c r="D978" s="166" t="s">
        <v>65</v>
      </c>
      <c r="E978" s="167"/>
      <c r="F978" s="114">
        <v>-16.71</v>
      </c>
      <c r="G978" s="168"/>
      <c r="H978" s="169"/>
      <c r="I978" s="170"/>
      <c r="J978" s="171" t="s">
        <v>1230</v>
      </c>
      <c r="K978" s="172" t="s">
        <v>177</v>
      </c>
      <c r="L978" s="172" t="s">
        <v>175</v>
      </c>
      <c r="M978" s="173" t="str" cm="1">
        <f t="array" ref="M978">IFERROR(INDEX(CategoriesTable[Category type],MATCH(Table1[[#This Row],[Category]],CategoriesTable[Category name],0),0),"")</f>
        <v>Expense</v>
      </c>
      <c r="N978" s="173">
        <v>25</v>
      </c>
      <c r="O978" s="173">
        <f>MONTH(Table1[[#This Row],[Date]])</f>
        <v>2</v>
      </c>
      <c r="P978" s="173">
        <v>2020</v>
      </c>
      <c r="Q978" s="174">
        <f>IF(ISBLANK(Table1[[#This Row],[Date]]),"",Table1[[#This Row],[Date]]-WEEKDAY(Table1[[#This Row],[Date]],2)+1)</f>
        <v>43885</v>
      </c>
      <c r="R978" s="175">
        <f>IF(ISBLANK(Table1[[#This Row],[Date]]),"",DATE(Table1[[#This Row],[Date_Year]],Table1[[#This Row],[Date_Month]],1))</f>
        <v>43862</v>
      </c>
    </row>
    <row r="979" spans="2:18" ht="15.75" hidden="1" x14ac:dyDescent="0.25">
      <c r="B979" s="165">
        <v>43886</v>
      </c>
      <c r="C979" s="166" t="s">
        <v>121</v>
      </c>
      <c r="D979" s="166" t="s">
        <v>65</v>
      </c>
      <c r="E979" s="167"/>
      <c r="F979" s="114">
        <v>-21.39</v>
      </c>
      <c r="G979" s="168"/>
      <c r="H979" s="169"/>
      <c r="I979" s="170"/>
      <c r="J979" s="171" t="s">
        <v>1231</v>
      </c>
      <c r="K979" s="172" t="s">
        <v>177</v>
      </c>
      <c r="L979" s="172" t="s">
        <v>175</v>
      </c>
      <c r="M979" s="173" t="str" cm="1">
        <f t="array" ref="M979">IFERROR(INDEX(CategoriesTable[Category type],MATCH(Table1[[#This Row],[Category]],CategoriesTable[Category name],0),0),"")</f>
        <v>Expense</v>
      </c>
      <c r="N979" s="173">
        <v>25</v>
      </c>
      <c r="O979" s="173">
        <f>MONTH(Table1[[#This Row],[Date]])</f>
        <v>2</v>
      </c>
      <c r="P979" s="173">
        <v>2020</v>
      </c>
      <c r="Q979" s="174">
        <f>IF(ISBLANK(Table1[[#This Row],[Date]]),"",Table1[[#This Row],[Date]]-WEEKDAY(Table1[[#This Row],[Date]],2)+1)</f>
        <v>43885</v>
      </c>
      <c r="R979" s="175">
        <f>IF(ISBLANK(Table1[[#This Row],[Date]]),"",DATE(Table1[[#This Row],[Date_Year]],Table1[[#This Row],[Date_Month]],1))</f>
        <v>43862</v>
      </c>
    </row>
    <row r="980" spans="2:18" ht="15.75" hidden="1" x14ac:dyDescent="0.25">
      <c r="B980" s="165">
        <v>43886</v>
      </c>
      <c r="C980" s="166" t="s">
        <v>120</v>
      </c>
      <c r="D980" s="166" t="s">
        <v>66</v>
      </c>
      <c r="E980" s="167"/>
      <c r="F980" s="114">
        <v>-22.41</v>
      </c>
      <c r="G980" s="168"/>
      <c r="H980" s="169"/>
      <c r="I980" s="170"/>
      <c r="J980" s="171" t="s">
        <v>1232</v>
      </c>
      <c r="K980" s="172" t="s">
        <v>177</v>
      </c>
      <c r="L980" s="172" t="s">
        <v>175</v>
      </c>
      <c r="M980" s="173" t="str" cm="1">
        <f t="array" ref="M980">IFERROR(INDEX(CategoriesTable[Category type],MATCH(Table1[[#This Row],[Category]],CategoriesTable[Category name],0),0),"")</f>
        <v>Expense</v>
      </c>
      <c r="N980" s="173">
        <v>25</v>
      </c>
      <c r="O980" s="173">
        <f>MONTH(Table1[[#This Row],[Date]])</f>
        <v>2</v>
      </c>
      <c r="P980" s="173">
        <v>2020</v>
      </c>
      <c r="Q980" s="174">
        <f>IF(ISBLANK(Table1[[#This Row],[Date]]),"",Table1[[#This Row],[Date]]-WEEKDAY(Table1[[#This Row],[Date]],2)+1)</f>
        <v>43885</v>
      </c>
      <c r="R980" s="175">
        <f>IF(ISBLANK(Table1[[#This Row],[Date]]),"",DATE(Table1[[#This Row],[Date_Year]],Table1[[#This Row],[Date_Month]],1))</f>
        <v>43862</v>
      </c>
    </row>
    <row r="981" spans="2:18" ht="15.75" hidden="1" x14ac:dyDescent="0.25">
      <c r="B981" s="165">
        <v>43885</v>
      </c>
      <c r="C981" s="166" t="s">
        <v>588</v>
      </c>
      <c r="D981" s="166" t="s">
        <v>65</v>
      </c>
      <c r="E981" s="167"/>
      <c r="F981" s="114">
        <v>-17.3</v>
      </c>
      <c r="G981" s="168"/>
      <c r="H981" s="169"/>
      <c r="I981" s="170"/>
      <c r="J981" s="171" t="s">
        <v>1233</v>
      </c>
      <c r="K981" s="172" t="s">
        <v>177</v>
      </c>
      <c r="L981" s="172" t="s">
        <v>175</v>
      </c>
      <c r="M981" s="173" t="str" cm="1">
        <f t="array" ref="M981">IFERROR(INDEX(CategoriesTable[Category type],MATCH(Table1[[#This Row],[Category]],CategoriesTable[Category name],0),0),"")</f>
        <v>Expense</v>
      </c>
      <c r="N981" s="173">
        <v>24</v>
      </c>
      <c r="O981" s="173">
        <f>MONTH(Table1[[#This Row],[Date]])</f>
        <v>2</v>
      </c>
      <c r="P981" s="173">
        <v>2020</v>
      </c>
      <c r="Q981" s="174">
        <f>IF(ISBLANK(Table1[[#This Row],[Date]]),"",Table1[[#This Row],[Date]]-WEEKDAY(Table1[[#This Row],[Date]],2)+1)</f>
        <v>43885</v>
      </c>
      <c r="R981" s="175">
        <f>IF(ISBLANK(Table1[[#This Row],[Date]]),"",DATE(Table1[[#This Row],[Date_Year]],Table1[[#This Row],[Date_Month]],1))</f>
        <v>43862</v>
      </c>
    </row>
    <row r="982" spans="2:18" ht="15.75" hidden="1" x14ac:dyDescent="0.25">
      <c r="B982" s="165">
        <v>43885</v>
      </c>
      <c r="C982" s="166" t="s">
        <v>141</v>
      </c>
      <c r="D982" s="166" t="s">
        <v>65</v>
      </c>
      <c r="E982" s="167"/>
      <c r="F982" s="114">
        <v>-0.82</v>
      </c>
      <c r="G982" s="168"/>
      <c r="H982" s="169"/>
      <c r="I982" s="170"/>
      <c r="J982" s="171" t="s">
        <v>1234</v>
      </c>
      <c r="K982" s="172" t="s">
        <v>177</v>
      </c>
      <c r="L982" s="172" t="s">
        <v>175</v>
      </c>
      <c r="M982" s="173" t="str" cm="1">
        <f t="array" ref="M982">IFERROR(INDEX(CategoriesTable[Category type],MATCH(Table1[[#This Row],[Category]],CategoriesTable[Category name],0),0),"")</f>
        <v>Expense</v>
      </c>
      <c r="N982" s="173">
        <v>24</v>
      </c>
      <c r="O982" s="173">
        <f>MONTH(Table1[[#This Row],[Date]])</f>
        <v>2</v>
      </c>
      <c r="P982" s="173">
        <v>2020</v>
      </c>
      <c r="Q982" s="174">
        <f>IF(ISBLANK(Table1[[#This Row],[Date]]),"",Table1[[#This Row],[Date]]-WEEKDAY(Table1[[#This Row],[Date]],2)+1)</f>
        <v>43885</v>
      </c>
      <c r="R982" s="175">
        <f>IF(ISBLANK(Table1[[#This Row],[Date]]),"",DATE(Table1[[#This Row],[Date_Year]],Table1[[#This Row],[Date_Month]],1))</f>
        <v>43862</v>
      </c>
    </row>
    <row r="983" spans="2:18" ht="15.75" hidden="1" x14ac:dyDescent="0.25">
      <c r="B983" s="165">
        <v>43885</v>
      </c>
      <c r="C983" s="166" t="s">
        <v>249</v>
      </c>
      <c r="D983" s="166" t="s">
        <v>52</v>
      </c>
      <c r="E983" s="167"/>
      <c r="F983" s="114">
        <v>-191</v>
      </c>
      <c r="G983" s="168"/>
      <c r="H983" s="169"/>
      <c r="I983" s="170"/>
      <c r="J983" s="171" t="s">
        <v>1235</v>
      </c>
      <c r="K983" s="172" t="s">
        <v>177</v>
      </c>
      <c r="L983" s="172" t="s">
        <v>175</v>
      </c>
      <c r="M983" s="173" t="str" cm="1">
        <f t="array" ref="M983">IFERROR(INDEX(CategoriesTable[Category type],MATCH(Table1[[#This Row],[Category]],CategoriesTable[Category name],0),0),"")</f>
        <v>Transfer</v>
      </c>
      <c r="N983" s="173">
        <v>24</v>
      </c>
      <c r="O983" s="173">
        <f>MONTH(Table1[[#This Row],[Date]])</f>
        <v>2</v>
      </c>
      <c r="P983" s="173">
        <v>2020</v>
      </c>
      <c r="Q983" s="174">
        <f>IF(ISBLANK(Table1[[#This Row],[Date]]),"",Table1[[#This Row],[Date]]-WEEKDAY(Table1[[#This Row],[Date]],2)+1)</f>
        <v>43885</v>
      </c>
      <c r="R983" s="175">
        <f>IF(ISBLANK(Table1[[#This Row],[Date]]),"",DATE(Table1[[#This Row],[Date_Year]],Table1[[#This Row],[Date_Month]],1))</f>
        <v>43862</v>
      </c>
    </row>
    <row r="984" spans="2:18" ht="15.75" hidden="1" x14ac:dyDescent="0.25">
      <c r="B984" s="165">
        <v>43885</v>
      </c>
      <c r="C984" s="166" t="s">
        <v>208</v>
      </c>
      <c r="D984" s="166" t="s">
        <v>55</v>
      </c>
      <c r="E984" s="167"/>
      <c r="F984" s="114">
        <v>-40.28</v>
      </c>
      <c r="G984" s="168"/>
      <c r="H984" s="169"/>
      <c r="I984" s="170"/>
      <c r="J984" s="171" t="s">
        <v>1236</v>
      </c>
      <c r="K984" s="172" t="s">
        <v>177</v>
      </c>
      <c r="L984" s="172" t="s">
        <v>175</v>
      </c>
      <c r="M984" s="173" t="str" cm="1">
        <f t="array" ref="M984">IFERROR(INDEX(CategoriesTable[Category type],MATCH(Table1[[#This Row],[Category]],CategoriesTable[Category name],0),0),"")</f>
        <v>Expense</v>
      </c>
      <c r="N984" s="173">
        <v>24</v>
      </c>
      <c r="O984" s="173">
        <f>MONTH(Table1[[#This Row],[Date]])</f>
        <v>2</v>
      </c>
      <c r="P984" s="173">
        <v>2020</v>
      </c>
      <c r="Q984" s="174">
        <f>IF(ISBLANK(Table1[[#This Row],[Date]]),"",Table1[[#This Row],[Date]]-WEEKDAY(Table1[[#This Row],[Date]],2)+1)</f>
        <v>43885</v>
      </c>
      <c r="R984" s="175">
        <f>IF(ISBLANK(Table1[[#This Row],[Date]]),"",DATE(Table1[[#This Row],[Date_Year]],Table1[[#This Row],[Date_Month]],1))</f>
        <v>43862</v>
      </c>
    </row>
    <row r="985" spans="2:18" ht="15.75" hidden="1" x14ac:dyDescent="0.25">
      <c r="B985" s="165">
        <v>43881</v>
      </c>
      <c r="C985" s="166" t="s">
        <v>1237</v>
      </c>
      <c r="D985" s="166" t="s">
        <v>65</v>
      </c>
      <c r="E985" s="167"/>
      <c r="F985" s="114">
        <v>-61.37</v>
      </c>
      <c r="G985" s="168"/>
      <c r="H985" s="169"/>
      <c r="I985" s="170"/>
      <c r="J985" s="171" t="s">
        <v>1238</v>
      </c>
      <c r="K985" s="172" t="s">
        <v>177</v>
      </c>
      <c r="L985" s="172" t="s">
        <v>175</v>
      </c>
      <c r="M985" s="173" t="str" cm="1">
        <f t="array" ref="M985">IFERROR(INDEX(CategoriesTable[Category type],MATCH(Table1[[#This Row],[Category]],CategoriesTable[Category name],0),0),"")</f>
        <v>Expense</v>
      </c>
      <c r="N985" s="173">
        <v>20</v>
      </c>
      <c r="O985" s="173">
        <f>MONTH(Table1[[#This Row],[Date]])</f>
        <v>2</v>
      </c>
      <c r="P985" s="173">
        <v>2020</v>
      </c>
      <c r="Q985" s="174">
        <f>IF(ISBLANK(Table1[[#This Row],[Date]]),"",Table1[[#This Row],[Date]]-WEEKDAY(Table1[[#This Row],[Date]],2)+1)</f>
        <v>43878</v>
      </c>
      <c r="R985" s="175">
        <f>IF(ISBLANK(Table1[[#This Row],[Date]]),"",DATE(Table1[[#This Row],[Date_Year]],Table1[[#This Row],[Date_Month]],1))</f>
        <v>43862</v>
      </c>
    </row>
    <row r="986" spans="2:18" ht="15.75" hidden="1" x14ac:dyDescent="0.25">
      <c r="B986" s="165">
        <v>43879</v>
      </c>
      <c r="C986" s="166" t="s">
        <v>121</v>
      </c>
      <c r="D986" s="166" t="s">
        <v>65</v>
      </c>
      <c r="E986" s="167"/>
      <c r="F986" s="114">
        <v>-2.75</v>
      </c>
      <c r="G986" s="168"/>
      <c r="H986" s="169"/>
      <c r="I986" s="170"/>
      <c r="J986" s="171" t="s">
        <v>1239</v>
      </c>
      <c r="K986" s="172" t="s">
        <v>177</v>
      </c>
      <c r="L986" s="172" t="s">
        <v>175</v>
      </c>
      <c r="M986" s="173" t="str" cm="1">
        <f t="array" ref="M986">IFERROR(INDEX(CategoriesTable[Category type],MATCH(Table1[[#This Row],[Category]],CategoriesTable[Category name],0),0),"")</f>
        <v>Expense</v>
      </c>
      <c r="N986" s="173">
        <v>18</v>
      </c>
      <c r="O986" s="173">
        <f>MONTH(Table1[[#This Row],[Date]])</f>
        <v>2</v>
      </c>
      <c r="P986" s="173">
        <v>2020</v>
      </c>
      <c r="Q986" s="174">
        <f>IF(ISBLANK(Table1[[#This Row],[Date]]),"",Table1[[#This Row],[Date]]-WEEKDAY(Table1[[#This Row],[Date]],2)+1)</f>
        <v>43878</v>
      </c>
      <c r="R986" s="175">
        <f>IF(ISBLANK(Table1[[#This Row],[Date]]),"",DATE(Table1[[#This Row],[Date_Year]],Table1[[#This Row],[Date_Month]],1))</f>
        <v>43862</v>
      </c>
    </row>
    <row r="987" spans="2:18" ht="15.75" hidden="1" x14ac:dyDescent="0.25">
      <c r="B987" s="165">
        <v>43879</v>
      </c>
      <c r="C987" s="166" t="s">
        <v>121</v>
      </c>
      <c r="D987" s="166" t="s">
        <v>65</v>
      </c>
      <c r="E987" s="167"/>
      <c r="F987" s="114">
        <v>-17.79</v>
      </c>
      <c r="G987" s="168"/>
      <c r="H987" s="169"/>
      <c r="I987" s="170"/>
      <c r="J987" s="171" t="s">
        <v>1240</v>
      </c>
      <c r="K987" s="172" t="s">
        <v>177</v>
      </c>
      <c r="L987" s="172" t="s">
        <v>175</v>
      </c>
      <c r="M987" s="173" t="str" cm="1">
        <f t="array" ref="M987">IFERROR(INDEX(CategoriesTable[Category type],MATCH(Table1[[#This Row],[Category]],CategoriesTable[Category name],0),0),"")</f>
        <v>Expense</v>
      </c>
      <c r="N987" s="173">
        <v>18</v>
      </c>
      <c r="O987" s="173">
        <f>MONTH(Table1[[#This Row],[Date]])</f>
        <v>2</v>
      </c>
      <c r="P987" s="173">
        <v>2020</v>
      </c>
      <c r="Q987" s="174">
        <f>IF(ISBLANK(Table1[[#This Row],[Date]]),"",Table1[[#This Row],[Date]]-WEEKDAY(Table1[[#This Row],[Date]],2)+1)</f>
        <v>43878</v>
      </c>
      <c r="R987" s="175">
        <f>IF(ISBLANK(Table1[[#This Row],[Date]]),"",DATE(Table1[[#This Row],[Date_Year]],Table1[[#This Row],[Date_Month]],1))</f>
        <v>43862</v>
      </c>
    </row>
    <row r="988" spans="2:18" ht="15.75" hidden="1" x14ac:dyDescent="0.25">
      <c r="B988" s="165">
        <v>43879</v>
      </c>
      <c r="C988" s="166" t="s">
        <v>588</v>
      </c>
      <c r="D988" s="166" t="s">
        <v>65</v>
      </c>
      <c r="E988" s="167"/>
      <c r="F988" s="114">
        <v>-26.93</v>
      </c>
      <c r="G988" s="168"/>
      <c r="H988" s="169"/>
      <c r="I988" s="170"/>
      <c r="J988" s="171" t="s">
        <v>1241</v>
      </c>
      <c r="K988" s="172" t="s">
        <v>177</v>
      </c>
      <c r="L988" s="172" t="s">
        <v>175</v>
      </c>
      <c r="M988" s="173" t="str" cm="1">
        <f t="array" ref="M988">IFERROR(INDEX(CategoriesTable[Category type],MATCH(Table1[[#This Row],[Category]],CategoriesTable[Category name],0),0),"")</f>
        <v>Expense</v>
      </c>
      <c r="N988" s="173">
        <v>18</v>
      </c>
      <c r="O988" s="173">
        <f>MONTH(Table1[[#This Row],[Date]])</f>
        <v>2</v>
      </c>
      <c r="P988" s="173">
        <v>2020</v>
      </c>
      <c r="Q988" s="174">
        <f>IF(ISBLANK(Table1[[#This Row],[Date]]),"",Table1[[#This Row],[Date]]-WEEKDAY(Table1[[#This Row],[Date]],2)+1)</f>
        <v>43878</v>
      </c>
      <c r="R988" s="175">
        <f>IF(ISBLANK(Table1[[#This Row],[Date]]),"",DATE(Table1[[#This Row],[Date_Year]],Table1[[#This Row],[Date_Month]],1))</f>
        <v>43862</v>
      </c>
    </row>
    <row r="989" spans="2:18" ht="15.75" hidden="1" x14ac:dyDescent="0.25">
      <c r="B989" s="165">
        <v>43879</v>
      </c>
      <c r="C989" s="166" t="s">
        <v>249</v>
      </c>
      <c r="D989" s="166" t="s">
        <v>52</v>
      </c>
      <c r="E989" s="167"/>
      <c r="F989" s="114">
        <v>-115</v>
      </c>
      <c r="G989" s="168"/>
      <c r="H989" s="169"/>
      <c r="I989" s="170"/>
      <c r="J989" s="171" t="s">
        <v>1242</v>
      </c>
      <c r="K989" s="172" t="s">
        <v>177</v>
      </c>
      <c r="L989" s="172" t="s">
        <v>175</v>
      </c>
      <c r="M989" s="173" t="str" cm="1">
        <f t="array" ref="M989">IFERROR(INDEX(CategoriesTable[Category type],MATCH(Table1[[#This Row],[Category]],CategoriesTable[Category name],0),0),"")</f>
        <v>Transfer</v>
      </c>
      <c r="N989" s="173">
        <v>18</v>
      </c>
      <c r="O989" s="173">
        <f>MONTH(Table1[[#This Row],[Date]])</f>
        <v>2</v>
      </c>
      <c r="P989" s="173">
        <v>2020</v>
      </c>
      <c r="Q989" s="174">
        <f>IF(ISBLANK(Table1[[#This Row],[Date]]),"",Table1[[#This Row],[Date]]-WEEKDAY(Table1[[#This Row],[Date]],2)+1)</f>
        <v>43878</v>
      </c>
      <c r="R989" s="175">
        <f>IF(ISBLANK(Table1[[#This Row],[Date]]),"",DATE(Table1[[#This Row],[Date_Year]],Table1[[#This Row],[Date_Month]],1))</f>
        <v>43862</v>
      </c>
    </row>
    <row r="990" spans="2:18" ht="15.75" hidden="1" x14ac:dyDescent="0.25">
      <c r="B990" s="165">
        <v>43879</v>
      </c>
      <c r="C990" s="166" t="s">
        <v>606</v>
      </c>
      <c r="D990" s="166" t="s">
        <v>55</v>
      </c>
      <c r="E990" s="167"/>
      <c r="F990" s="114">
        <v>-79.849999999999994</v>
      </c>
      <c r="G990" s="168"/>
      <c r="H990" s="169"/>
      <c r="I990" s="170"/>
      <c r="J990" s="171" t="s">
        <v>1243</v>
      </c>
      <c r="K990" s="172" t="s">
        <v>177</v>
      </c>
      <c r="L990" s="172" t="s">
        <v>175</v>
      </c>
      <c r="M990" s="173" t="str" cm="1">
        <f t="array" ref="M990">IFERROR(INDEX(CategoriesTable[Category type],MATCH(Table1[[#This Row],[Category]],CategoriesTable[Category name],0),0),"")</f>
        <v>Expense</v>
      </c>
      <c r="N990" s="173">
        <v>18</v>
      </c>
      <c r="O990" s="173">
        <f>MONTH(Table1[[#This Row],[Date]])</f>
        <v>2</v>
      </c>
      <c r="P990" s="173">
        <v>2020</v>
      </c>
      <c r="Q990" s="174">
        <f>IF(ISBLANK(Table1[[#This Row],[Date]]),"",Table1[[#This Row],[Date]]-WEEKDAY(Table1[[#This Row],[Date]],2)+1)</f>
        <v>43878</v>
      </c>
      <c r="R990" s="175">
        <f>IF(ISBLANK(Table1[[#This Row],[Date]]),"",DATE(Table1[[#This Row],[Date_Year]],Table1[[#This Row],[Date_Month]],1))</f>
        <v>43862</v>
      </c>
    </row>
    <row r="991" spans="2:18" ht="15.75" hidden="1" x14ac:dyDescent="0.25">
      <c r="B991" s="165">
        <v>43879</v>
      </c>
      <c r="C991" s="166" t="s">
        <v>664</v>
      </c>
      <c r="D991" s="166" t="s">
        <v>66</v>
      </c>
      <c r="E991" s="167"/>
      <c r="F991" s="114">
        <v>-175.59</v>
      </c>
      <c r="G991" s="168"/>
      <c r="H991" s="169"/>
      <c r="I991" s="170"/>
      <c r="J991" s="171" t="s">
        <v>1244</v>
      </c>
      <c r="K991" s="172" t="s">
        <v>177</v>
      </c>
      <c r="L991" s="172" t="s">
        <v>175</v>
      </c>
      <c r="M991" s="173" t="str" cm="1">
        <f t="array" ref="M991">IFERROR(INDEX(CategoriesTable[Category type],MATCH(Table1[[#This Row],[Category]],CategoriesTable[Category name],0),0),"")</f>
        <v>Expense</v>
      </c>
      <c r="N991" s="173">
        <v>18</v>
      </c>
      <c r="O991" s="173">
        <f>MONTH(Table1[[#This Row],[Date]])</f>
        <v>2</v>
      </c>
      <c r="P991" s="173">
        <v>2020</v>
      </c>
      <c r="Q991" s="174">
        <f>IF(ISBLANK(Table1[[#This Row],[Date]]),"",Table1[[#This Row],[Date]]-WEEKDAY(Table1[[#This Row],[Date]],2)+1)</f>
        <v>43878</v>
      </c>
      <c r="R991" s="175">
        <f>IF(ISBLANK(Table1[[#This Row],[Date]]),"",DATE(Table1[[#This Row],[Date_Year]],Table1[[#This Row],[Date_Month]],1))</f>
        <v>43862</v>
      </c>
    </row>
    <row r="992" spans="2:18" ht="15.75" hidden="1" x14ac:dyDescent="0.25">
      <c r="B992" s="165">
        <v>43879</v>
      </c>
      <c r="C992" s="166" t="s">
        <v>182</v>
      </c>
      <c r="D992" s="166" t="s">
        <v>55</v>
      </c>
      <c r="E992" s="167"/>
      <c r="F992" s="114">
        <v>-10.9</v>
      </c>
      <c r="G992" s="168"/>
      <c r="H992" s="169"/>
      <c r="I992" s="170"/>
      <c r="J992" s="171" t="s">
        <v>1245</v>
      </c>
      <c r="K992" s="172" t="s">
        <v>177</v>
      </c>
      <c r="L992" s="172" t="s">
        <v>175</v>
      </c>
      <c r="M992" s="173" t="str" cm="1">
        <f t="array" ref="M992">IFERROR(INDEX(CategoriesTable[Category type],MATCH(Table1[[#This Row],[Category]],CategoriesTable[Category name],0),0),"")</f>
        <v>Expense</v>
      </c>
      <c r="N992" s="173">
        <v>18</v>
      </c>
      <c r="O992" s="173">
        <f>MONTH(Table1[[#This Row],[Date]])</f>
        <v>2</v>
      </c>
      <c r="P992" s="173">
        <v>2020</v>
      </c>
      <c r="Q992" s="174">
        <f>IF(ISBLANK(Table1[[#This Row],[Date]]),"",Table1[[#This Row],[Date]]-WEEKDAY(Table1[[#This Row],[Date]],2)+1)</f>
        <v>43878</v>
      </c>
      <c r="R992" s="175">
        <f>IF(ISBLANK(Table1[[#This Row],[Date]]),"",DATE(Table1[[#This Row],[Date_Year]],Table1[[#This Row],[Date_Month]],1))</f>
        <v>43862</v>
      </c>
    </row>
    <row r="993" spans="2:18" ht="15.75" hidden="1" x14ac:dyDescent="0.25">
      <c r="B993" s="165">
        <v>43879</v>
      </c>
      <c r="C993" s="166" t="s">
        <v>129</v>
      </c>
      <c r="D993" s="166" t="s">
        <v>55</v>
      </c>
      <c r="E993" s="167"/>
      <c r="F993" s="114">
        <v>-75.98</v>
      </c>
      <c r="G993" s="168"/>
      <c r="H993" s="169"/>
      <c r="I993" s="170"/>
      <c r="J993" s="171" t="s">
        <v>1246</v>
      </c>
      <c r="K993" s="172" t="s">
        <v>177</v>
      </c>
      <c r="L993" s="172" t="s">
        <v>175</v>
      </c>
      <c r="M993" s="173" t="str" cm="1">
        <f t="array" ref="M993">IFERROR(INDEX(CategoriesTable[Category type],MATCH(Table1[[#This Row],[Category]],CategoriesTable[Category name],0),0),"")</f>
        <v>Expense</v>
      </c>
      <c r="N993" s="173">
        <v>18</v>
      </c>
      <c r="O993" s="173">
        <f>MONTH(Table1[[#This Row],[Date]])</f>
        <v>2</v>
      </c>
      <c r="P993" s="173">
        <v>2020</v>
      </c>
      <c r="Q993" s="174">
        <f>IF(ISBLANK(Table1[[#This Row],[Date]]),"",Table1[[#This Row],[Date]]-WEEKDAY(Table1[[#This Row],[Date]],2)+1)</f>
        <v>43878</v>
      </c>
      <c r="R993" s="175">
        <f>IF(ISBLANK(Table1[[#This Row],[Date]]),"",DATE(Table1[[#This Row],[Date_Year]],Table1[[#This Row],[Date_Month]],1))</f>
        <v>43862</v>
      </c>
    </row>
    <row r="994" spans="2:18" ht="15.75" hidden="1" x14ac:dyDescent="0.25">
      <c r="B994" s="165">
        <v>43876</v>
      </c>
      <c r="C994" s="166" t="s">
        <v>180</v>
      </c>
      <c r="D994" s="166" t="s">
        <v>52</v>
      </c>
      <c r="E994" s="167"/>
      <c r="F994" s="114">
        <v>-100</v>
      </c>
      <c r="G994" s="168"/>
      <c r="H994" s="169"/>
      <c r="I994" s="170"/>
      <c r="J994" s="171" t="s">
        <v>1247</v>
      </c>
      <c r="K994" s="172" t="s">
        <v>177</v>
      </c>
      <c r="L994" s="172" t="s">
        <v>175</v>
      </c>
      <c r="M994" s="173" t="str" cm="1">
        <f t="array" ref="M994">IFERROR(INDEX(CategoriesTable[Category type],MATCH(Table1[[#This Row],[Category]],CategoriesTable[Category name],0),0),"")</f>
        <v>Transfer</v>
      </c>
      <c r="N994" s="173">
        <v>15</v>
      </c>
      <c r="O994" s="173">
        <f>MONTH(Table1[[#This Row],[Date]])</f>
        <v>2</v>
      </c>
      <c r="P994" s="173">
        <v>2020</v>
      </c>
      <c r="Q994" s="174">
        <f>IF(ISBLANK(Table1[[#This Row],[Date]]),"",Table1[[#This Row],[Date]]-WEEKDAY(Table1[[#This Row],[Date]],2)+1)</f>
        <v>43871</v>
      </c>
      <c r="R994" s="175">
        <f>IF(ISBLANK(Table1[[#This Row],[Date]]),"",DATE(Table1[[#This Row],[Date_Year]],Table1[[#This Row],[Date_Month]],1))</f>
        <v>43862</v>
      </c>
    </row>
    <row r="995" spans="2:18" ht="15.75" hidden="1" x14ac:dyDescent="0.25">
      <c r="B995" s="165">
        <v>43876</v>
      </c>
      <c r="C995" s="166" t="s">
        <v>134</v>
      </c>
      <c r="D995" s="166" t="s">
        <v>65</v>
      </c>
      <c r="E995" s="167"/>
      <c r="F995" s="114">
        <v>-17.55</v>
      </c>
      <c r="G995" s="168"/>
      <c r="H995" s="169"/>
      <c r="I995" s="170"/>
      <c r="J995" s="176" t="s">
        <v>1248</v>
      </c>
      <c r="K995" s="172" t="s">
        <v>177</v>
      </c>
      <c r="L995" s="172" t="s">
        <v>175</v>
      </c>
      <c r="M995" s="173" t="str" cm="1">
        <f t="array" ref="M995">IFERROR(INDEX(CategoriesTable[Category type],MATCH(Table1[[#This Row],[Category]],CategoriesTable[Category name],0),0),"")</f>
        <v>Expense</v>
      </c>
      <c r="N995" s="173">
        <v>15</v>
      </c>
      <c r="O995" s="173">
        <f>MONTH(Table1[[#This Row],[Date]])</f>
        <v>2</v>
      </c>
      <c r="P995" s="173">
        <v>2020</v>
      </c>
      <c r="Q995" s="174">
        <f>IF(ISBLANK(Table1[[#This Row],[Date]]),"",Table1[[#This Row],[Date]]-WEEKDAY(Table1[[#This Row],[Date]],2)+1)</f>
        <v>43871</v>
      </c>
      <c r="R995" s="175">
        <f>IF(ISBLANK(Table1[[#This Row],[Date]]),"",DATE(Table1[[#This Row],[Date_Year]],Table1[[#This Row],[Date_Month]],1))</f>
        <v>43862</v>
      </c>
    </row>
    <row r="996" spans="2:18" ht="15.75" hidden="1" x14ac:dyDescent="0.25">
      <c r="B996" s="165">
        <v>43876</v>
      </c>
      <c r="C996" s="166" t="s">
        <v>148</v>
      </c>
      <c r="D996" s="166" t="s">
        <v>65</v>
      </c>
      <c r="E996" s="167"/>
      <c r="F996" s="114">
        <v>-9.32</v>
      </c>
      <c r="G996" s="168"/>
      <c r="H996" s="169"/>
      <c r="I996" s="170"/>
      <c r="J996" s="171" t="s">
        <v>1249</v>
      </c>
      <c r="K996" s="172" t="s">
        <v>177</v>
      </c>
      <c r="L996" s="172" t="s">
        <v>175</v>
      </c>
      <c r="M996" s="173" t="str" cm="1">
        <f t="array" ref="M996">IFERROR(INDEX(CategoriesTable[Category type],MATCH(Table1[[#This Row],[Category]],CategoriesTable[Category name],0),0),"")</f>
        <v>Expense</v>
      </c>
      <c r="N996" s="173">
        <v>15</v>
      </c>
      <c r="O996" s="173">
        <f>MONTH(Table1[[#This Row],[Date]])</f>
        <v>2</v>
      </c>
      <c r="P996" s="173">
        <v>2020</v>
      </c>
      <c r="Q996" s="174">
        <f>IF(ISBLANK(Table1[[#This Row],[Date]]),"",Table1[[#This Row],[Date]]-WEEKDAY(Table1[[#This Row],[Date]],2)+1)</f>
        <v>43871</v>
      </c>
      <c r="R996" s="175">
        <f>IF(ISBLANK(Table1[[#This Row],[Date]]),"",DATE(Table1[[#This Row],[Date_Year]],Table1[[#This Row],[Date_Month]],1))</f>
        <v>43862</v>
      </c>
    </row>
    <row r="997" spans="2:18" ht="15.75" hidden="1" x14ac:dyDescent="0.25">
      <c r="B997" s="165">
        <v>43876</v>
      </c>
      <c r="C997" s="166" t="s">
        <v>121</v>
      </c>
      <c r="D997" s="166" t="s">
        <v>65</v>
      </c>
      <c r="E997" s="167"/>
      <c r="F997" s="114">
        <v>-15.74</v>
      </c>
      <c r="G997" s="168"/>
      <c r="H997" s="169"/>
      <c r="I997" s="170"/>
      <c r="J997" s="176" t="s">
        <v>1250</v>
      </c>
      <c r="K997" s="172" t="s">
        <v>177</v>
      </c>
      <c r="L997" s="172" t="s">
        <v>175</v>
      </c>
      <c r="M997" s="173" t="str" cm="1">
        <f t="array" ref="M997">IFERROR(INDEX(CategoriesTable[Category type],MATCH(Table1[[#This Row],[Category]],CategoriesTable[Category name],0),0),"")</f>
        <v>Expense</v>
      </c>
      <c r="N997" s="173">
        <v>15</v>
      </c>
      <c r="O997" s="173">
        <f>MONTH(Table1[[#This Row],[Date]])</f>
        <v>2</v>
      </c>
      <c r="P997" s="173">
        <v>2020</v>
      </c>
      <c r="Q997" s="174">
        <f>IF(ISBLANK(Table1[[#This Row],[Date]]),"",Table1[[#This Row],[Date]]-WEEKDAY(Table1[[#This Row],[Date]],2)+1)</f>
        <v>43871</v>
      </c>
      <c r="R997" s="175">
        <f>IF(ISBLANK(Table1[[#This Row],[Date]]),"",DATE(Table1[[#This Row],[Date_Year]],Table1[[#This Row],[Date_Month]],1))</f>
        <v>43862</v>
      </c>
    </row>
    <row r="998" spans="2:18" ht="15.75" hidden="1" x14ac:dyDescent="0.25">
      <c r="B998" s="165">
        <v>43876</v>
      </c>
      <c r="C998" s="166" t="s">
        <v>193</v>
      </c>
      <c r="D998" s="166" t="s">
        <v>65</v>
      </c>
      <c r="E998" s="167"/>
      <c r="F998" s="114">
        <v>-39.299999999999997</v>
      </c>
      <c r="G998" s="168"/>
      <c r="H998" s="169"/>
      <c r="I998" s="170"/>
      <c r="J998" s="171" t="s">
        <v>1251</v>
      </c>
      <c r="K998" s="172" t="s">
        <v>177</v>
      </c>
      <c r="L998" s="172" t="s">
        <v>175</v>
      </c>
      <c r="M998" s="173" t="str" cm="1">
        <f t="array" ref="M998">IFERROR(INDEX(CategoriesTable[Category type],MATCH(Table1[[#This Row],[Category]],CategoriesTable[Category name],0),0),"")</f>
        <v>Expense</v>
      </c>
      <c r="N998" s="173">
        <v>15</v>
      </c>
      <c r="O998" s="173">
        <f>MONTH(Table1[[#This Row],[Date]])</f>
        <v>2</v>
      </c>
      <c r="P998" s="173">
        <v>2020</v>
      </c>
      <c r="Q998" s="174">
        <f>IF(ISBLANK(Table1[[#This Row],[Date]]),"",Table1[[#This Row],[Date]]-WEEKDAY(Table1[[#This Row],[Date]],2)+1)</f>
        <v>43871</v>
      </c>
      <c r="R998" s="175">
        <f>IF(ISBLANK(Table1[[#This Row],[Date]]),"",DATE(Table1[[#This Row],[Date_Year]],Table1[[#This Row],[Date_Month]],1))</f>
        <v>43862</v>
      </c>
    </row>
    <row r="999" spans="2:18" ht="15.75" hidden="1" x14ac:dyDescent="0.25">
      <c r="B999" s="165">
        <v>43876</v>
      </c>
      <c r="C999" s="166" t="s">
        <v>193</v>
      </c>
      <c r="D999" s="166" t="s">
        <v>59</v>
      </c>
      <c r="E999" s="167"/>
      <c r="F999" s="114">
        <v>-25</v>
      </c>
      <c r="G999" s="168"/>
      <c r="H999" s="169"/>
      <c r="I999" s="170"/>
      <c r="J999" s="171" t="s">
        <v>1252</v>
      </c>
      <c r="K999" s="172" t="s">
        <v>177</v>
      </c>
      <c r="L999" s="172" t="s">
        <v>175</v>
      </c>
      <c r="M999" s="173" t="str" cm="1">
        <f t="array" ref="M999">IFERROR(INDEX(CategoriesTable[Category type],MATCH(Table1[[#This Row],[Category]],CategoriesTable[Category name],0),0),"")</f>
        <v>Expense</v>
      </c>
      <c r="N999" s="173">
        <v>15</v>
      </c>
      <c r="O999" s="173">
        <f>MONTH(Table1[[#This Row],[Date]])</f>
        <v>2</v>
      </c>
      <c r="P999" s="173">
        <v>2020</v>
      </c>
      <c r="Q999" s="174">
        <f>IF(ISBLANK(Table1[[#This Row],[Date]]),"",Table1[[#This Row],[Date]]-WEEKDAY(Table1[[#This Row],[Date]],2)+1)</f>
        <v>43871</v>
      </c>
      <c r="R999" s="175">
        <f>IF(ISBLANK(Table1[[#This Row],[Date]]),"",DATE(Table1[[#This Row],[Date_Year]],Table1[[#This Row],[Date_Month]],1))</f>
        <v>43862</v>
      </c>
    </row>
    <row r="1000" spans="2:18" ht="15.75" hidden="1" x14ac:dyDescent="0.25">
      <c r="B1000" s="165">
        <v>43875</v>
      </c>
      <c r="C1000" s="166" t="s">
        <v>145</v>
      </c>
      <c r="D1000" s="166" t="s">
        <v>58</v>
      </c>
      <c r="E1000" s="167"/>
      <c r="F1000" s="114">
        <v>-7.44</v>
      </c>
      <c r="G1000" s="168"/>
      <c r="H1000" s="169"/>
      <c r="I1000" s="170"/>
      <c r="J1000" s="171" t="s">
        <v>1253</v>
      </c>
      <c r="K1000" s="172" t="s">
        <v>177</v>
      </c>
      <c r="L1000" s="172" t="s">
        <v>175</v>
      </c>
      <c r="M1000" s="173" t="str" cm="1">
        <f t="array" ref="M1000">IFERROR(INDEX(CategoriesTable[Category type],MATCH(Table1[[#This Row],[Category]],CategoriesTable[Category name],0),0),"")</f>
        <v>Expense</v>
      </c>
      <c r="N1000" s="173">
        <v>14</v>
      </c>
      <c r="O1000" s="173">
        <f>MONTH(Table1[[#This Row],[Date]])</f>
        <v>2</v>
      </c>
      <c r="P1000" s="173">
        <v>2020</v>
      </c>
      <c r="Q1000" s="174">
        <f>IF(ISBLANK(Table1[[#This Row],[Date]]),"",Table1[[#This Row],[Date]]-WEEKDAY(Table1[[#This Row],[Date]],2)+1)</f>
        <v>43871</v>
      </c>
      <c r="R1000" s="175">
        <f>IF(ISBLANK(Table1[[#This Row],[Date]]),"",DATE(Table1[[#This Row],[Date_Year]],Table1[[#This Row],[Date_Month]],1))</f>
        <v>43862</v>
      </c>
    </row>
    <row r="1001" spans="2:18" ht="15.75" hidden="1" x14ac:dyDescent="0.25">
      <c r="B1001" s="165">
        <v>43875</v>
      </c>
      <c r="C1001" s="166" t="s">
        <v>247</v>
      </c>
      <c r="D1001" s="166" t="s">
        <v>65</v>
      </c>
      <c r="E1001" s="167"/>
      <c r="F1001" s="114">
        <v>-21.27</v>
      </c>
      <c r="G1001" s="168"/>
      <c r="H1001" s="169"/>
      <c r="I1001" s="170"/>
      <c r="J1001" s="171" t="s">
        <v>1254</v>
      </c>
      <c r="K1001" s="172" t="s">
        <v>177</v>
      </c>
      <c r="L1001" s="172" t="s">
        <v>175</v>
      </c>
      <c r="M1001" s="173" t="str" cm="1">
        <f t="array" ref="M1001">IFERROR(INDEX(CategoriesTable[Category type],MATCH(Table1[[#This Row],[Category]],CategoriesTable[Category name],0),0),"")</f>
        <v>Expense</v>
      </c>
      <c r="N1001" s="173">
        <v>14</v>
      </c>
      <c r="O1001" s="173">
        <f>MONTH(Table1[[#This Row],[Date]])</f>
        <v>2</v>
      </c>
      <c r="P1001" s="173">
        <v>2020</v>
      </c>
      <c r="Q1001" s="174">
        <f>IF(ISBLANK(Table1[[#This Row],[Date]]),"",Table1[[#This Row],[Date]]-WEEKDAY(Table1[[#This Row],[Date]],2)+1)</f>
        <v>43871</v>
      </c>
      <c r="R1001" s="175">
        <f>IF(ISBLANK(Table1[[#This Row],[Date]]),"",DATE(Table1[[#This Row],[Date_Year]],Table1[[#This Row],[Date_Month]],1))</f>
        <v>43862</v>
      </c>
    </row>
    <row r="1002" spans="2:18" ht="15.75" hidden="1" x14ac:dyDescent="0.25">
      <c r="B1002" s="165">
        <v>43875</v>
      </c>
      <c r="C1002" s="166" t="s">
        <v>148</v>
      </c>
      <c r="D1002" s="166" t="s">
        <v>65</v>
      </c>
      <c r="E1002" s="167"/>
      <c r="F1002" s="114">
        <v>-9.32</v>
      </c>
      <c r="G1002" s="168"/>
      <c r="H1002" s="169"/>
      <c r="I1002" s="170"/>
      <c r="J1002" s="176" t="s">
        <v>1255</v>
      </c>
      <c r="K1002" s="172" t="s">
        <v>177</v>
      </c>
      <c r="L1002" s="172" t="s">
        <v>175</v>
      </c>
      <c r="M1002" s="173" t="str" cm="1">
        <f t="array" ref="M1002">IFERROR(INDEX(CategoriesTable[Category type],MATCH(Table1[[#This Row],[Category]],CategoriesTable[Category name],0),0),"")</f>
        <v>Expense</v>
      </c>
      <c r="N1002" s="173">
        <v>14</v>
      </c>
      <c r="O1002" s="173">
        <f>MONTH(Table1[[#This Row],[Date]])</f>
        <v>2</v>
      </c>
      <c r="P1002" s="173">
        <v>2020</v>
      </c>
      <c r="Q1002" s="174">
        <f>IF(ISBLANK(Table1[[#This Row],[Date]]),"",Table1[[#This Row],[Date]]-WEEKDAY(Table1[[#This Row],[Date]],2)+1)</f>
        <v>43871</v>
      </c>
      <c r="R1002" s="175">
        <f>IF(ISBLANK(Table1[[#This Row],[Date]]),"",DATE(Table1[[#This Row],[Date_Year]],Table1[[#This Row],[Date_Month]],1))</f>
        <v>43862</v>
      </c>
    </row>
    <row r="1003" spans="2:18" ht="15.75" hidden="1" x14ac:dyDescent="0.25">
      <c r="B1003" s="165">
        <v>43875</v>
      </c>
      <c r="C1003" s="166" t="s">
        <v>128</v>
      </c>
      <c r="D1003" s="166" t="s">
        <v>53</v>
      </c>
      <c r="E1003" s="167"/>
      <c r="F1003" s="114">
        <v>-2.64</v>
      </c>
      <c r="G1003" s="168"/>
      <c r="H1003" s="169"/>
      <c r="I1003" s="170"/>
      <c r="J1003" s="171" t="s">
        <v>1256</v>
      </c>
      <c r="K1003" s="172" t="s">
        <v>177</v>
      </c>
      <c r="L1003" s="172" t="s">
        <v>175</v>
      </c>
      <c r="M1003" s="173" t="str" cm="1">
        <f t="array" ref="M1003">IFERROR(INDEX(CategoriesTable[Category type],MATCH(Table1[[#This Row],[Category]],CategoriesTable[Category name],0),0),"")</f>
        <v>Expense</v>
      </c>
      <c r="N1003" s="173">
        <v>14</v>
      </c>
      <c r="O1003" s="173">
        <f>MONTH(Table1[[#This Row],[Date]])</f>
        <v>2</v>
      </c>
      <c r="P1003" s="173">
        <v>2020</v>
      </c>
      <c r="Q1003" s="174">
        <f>IF(ISBLANK(Table1[[#This Row],[Date]]),"",Table1[[#This Row],[Date]]-WEEKDAY(Table1[[#This Row],[Date]],2)+1)</f>
        <v>43871</v>
      </c>
      <c r="R1003" s="175">
        <f>IF(ISBLANK(Table1[[#This Row],[Date]]),"",DATE(Table1[[#This Row],[Date_Year]],Table1[[#This Row],[Date_Month]],1))</f>
        <v>43862</v>
      </c>
    </row>
    <row r="1004" spans="2:18" ht="15.75" hidden="1" x14ac:dyDescent="0.25">
      <c r="B1004" s="165">
        <v>43875</v>
      </c>
      <c r="C1004" s="166" t="s">
        <v>135</v>
      </c>
      <c r="D1004" s="166" t="s">
        <v>53</v>
      </c>
      <c r="E1004" s="167"/>
      <c r="F1004" s="114">
        <v>-6.35</v>
      </c>
      <c r="G1004" s="168"/>
      <c r="H1004" s="169"/>
      <c r="I1004" s="170"/>
      <c r="J1004" s="171" t="s">
        <v>1257</v>
      </c>
      <c r="K1004" s="172" t="s">
        <v>177</v>
      </c>
      <c r="L1004" s="172" t="s">
        <v>175</v>
      </c>
      <c r="M1004" s="173" t="str" cm="1">
        <f t="array" ref="M1004">IFERROR(INDEX(CategoriesTable[Category type],MATCH(Table1[[#This Row],[Category]],CategoriesTable[Category name],0),0),"")</f>
        <v>Expense</v>
      </c>
      <c r="N1004" s="173">
        <v>14</v>
      </c>
      <c r="O1004" s="173">
        <f>MONTH(Table1[[#This Row],[Date]])</f>
        <v>2</v>
      </c>
      <c r="P1004" s="173">
        <v>2020</v>
      </c>
      <c r="Q1004" s="174">
        <f>IF(ISBLANK(Table1[[#This Row],[Date]]),"",Table1[[#This Row],[Date]]-WEEKDAY(Table1[[#This Row],[Date]],2)+1)</f>
        <v>43871</v>
      </c>
      <c r="R1004" s="175">
        <f>IF(ISBLANK(Table1[[#This Row],[Date]]),"",DATE(Table1[[#This Row],[Date_Year]],Table1[[#This Row],[Date_Month]],1))</f>
        <v>43862</v>
      </c>
    </row>
    <row r="1005" spans="2:18" ht="15.75" hidden="1" x14ac:dyDescent="0.25">
      <c r="B1005" s="165">
        <v>43875</v>
      </c>
      <c r="C1005" s="166" t="s">
        <v>145</v>
      </c>
      <c r="D1005" s="166" t="s">
        <v>58</v>
      </c>
      <c r="E1005" s="167"/>
      <c r="F1005" s="114">
        <v>-15.6</v>
      </c>
      <c r="G1005" s="168"/>
      <c r="H1005" s="169"/>
      <c r="I1005" s="170"/>
      <c r="J1005" s="171" t="s">
        <v>1258</v>
      </c>
      <c r="K1005" s="172" t="s">
        <v>177</v>
      </c>
      <c r="L1005" s="172" t="s">
        <v>175</v>
      </c>
      <c r="M1005" s="173" t="str" cm="1">
        <f t="array" ref="M1005">IFERROR(INDEX(CategoriesTable[Category type],MATCH(Table1[[#This Row],[Category]],CategoriesTable[Category name],0),0),"")</f>
        <v>Expense</v>
      </c>
      <c r="N1005" s="173">
        <v>14</v>
      </c>
      <c r="O1005" s="173">
        <f>MONTH(Table1[[#This Row],[Date]])</f>
        <v>2</v>
      </c>
      <c r="P1005" s="173">
        <v>2020</v>
      </c>
      <c r="Q1005" s="174">
        <f>IF(ISBLANK(Table1[[#This Row],[Date]]),"",Table1[[#This Row],[Date]]-WEEKDAY(Table1[[#This Row],[Date]],2)+1)</f>
        <v>43871</v>
      </c>
      <c r="R1005" s="175">
        <f>IF(ISBLANK(Table1[[#This Row],[Date]]),"",DATE(Table1[[#This Row],[Date_Year]],Table1[[#This Row],[Date_Month]],1))</f>
        <v>43862</v>
      </c>
    </row>
    <row r="1006" spans="2:18" ht="15.75" hidden="1" x14ac:dyDescent="0.25">
      <c r="B1006" s="165">
        <v>43873</v>
      </c>
      <c r="C1006" s="166" t="s">
        <v>313</v>
      </c>
      <c r="D1006" s="166" t="s">
        <v>66</v>
      </c>
      <c r="E1006" s="167"/>
      <c r="F1006" s="114">
        <v>-100</v>
      </c>
      <c r="G1006" s="168"/>
      <c r="H1006" s="169"/>
      <c r="I1006" s="170"/>
      <c r="J1006" s="171" t="s">
        <v>1259</v>
      </c>
      <c r="K1006" s="172" t="s">
        <v>177</v>
      </c>
      <c r="L1006" s="172" t="s">
        <v>175</v>
      </c>
      <c r="M1006" s="173" t="str" cm="1">
        <f t="array" ref="M1006">IFERROR(INDEX(CategoriesTable[Category type],MATCH(Table1[[#This Row],[Category]],CategoriesTable[Category name],0),0),"")</f>
        <v>Expense</v>
      </c>
      <c r="N1006" s="173">
        <v>12</v>
      </c>
      <c r="O1006" s="173">
        <f>MONTH(Table1[[#This Row],[Date]])</f>
        <v>2</v>
      </c>
      <c r="P1006" s="173">
        <v>2020</v>
      </c>
      <c r="Q1006" s="174">
        <f>IF(ISBLANK(Table1[[#This Row],[Date]]),"",Table1[[#This Row],[Date]]-WEEKDAY(Table1[[#This Row],[Date]],2)+1)</f>
        <v>43871</v>
      </c>
      <c r="R1006" s="175">
        <f>IF(ISBLANK(Table1[[#This Row],[Date]]),"",DATE(Table1[[#This Row],[Date_Year]],Table1[[#This Row],[Date_Month]],1))</f>
        <v>43862</v>
      </c>
    </row>
    <row r="1007" spans="2:18" ht="15.75" hidden="1" x14ac:dyDescent="0.25">
      <c r="B1007" s="165">
        <v>43873</v>
      </c>
      <c r="C1007" s="166" t="s">
        <v>465</v>
      </c>
      <c r="D1007" s="166" t="s">
        <v>62</v>
      </c>
      <c r="E1007" s="167"/>
      <c r="F1007" s="114">
        <v>-130.29</v>
      </c>
      <c r="G1007" s="168"/>
      <c r="H1007" s="169"/>
      <c r="I1007" s="170"/>
      <c r="J1007" s="171" t="s">
        <v>1260</v>
      </c>
      <c r="K1007" s="172" t="s">
        <v>177</v>
      </c>
      <c r="L1007" s="172" t="s">
        <v>175</v>
      </c>
      <c r="M1007" s="173" t="str" cm="1">
        <f t="array" ref="M1007">IFERROR(INDEX(CategoriesTable[Category type],MATCH(Table1[[#This Row],[Category]],CategoriesTable[Category name],0),0),"")</f>
        <v>Expense</v>
      </c>
      <c r="N1007" s="173">
        <v>12</v>
      </c>
      <c r="O1007" s="173">
        <f>MONTH(Table1[[#This Row],[Date]])</f>
        <v>2</v>
      </c>
      <c r="P1007" s="173">
        <v>2020</v>
      </c>
      <c r="Q1007" s="174">
        <f>IF(ISBLANK(Table1[[#This Row],[Date]]),"",Table1[[#This Row],[Date]]-WEEKDAY(Table1[[#This Row],[Date]],2)+1)</f>
        <v>43871</v>
      </c>
      <c r="R1007" s="175">
        <f>IF(ISBLANK(Table1[[#This Row],[Date]]),"",DATE(Table1[[#This Row],[Date_Year]],Table1[[#This Row],[Date_Month]],1))</f>
        <v>43862</v>
      </c>
    </row>
    <row r="1008" spans="2:18" ht="15.75" hidden="1" x14ac:dyDescent="0.25">
      <c r="B1008" s="165">
        <v>43872</v>
      </c>
      <c r="C1008" s="166" t="s">
        <v>120</v>
      </c>
      <c r="D1008" s="166" t="s">
        <v>66</v>
      </c>
      <c r="E1008" s="167"/>
      <c r="F1008" s="114">
        <v>-21.79</v>
      </c>
      <c r="G1008" s="168"/>
      <c r="H1008" s="169"/>
      <c r="I1008" s="170"/>
      <c r="J1008" s="171" t="s">
        <v>1261</v>
      </c>
      <c r="K1008" s="172" t="s">
        <v>177</v>
      </c>
      <c r="L1008" s="172" t="s">
        <v>175</v>
      </c>
      <c r="M1008" s="173" t="str" cm="1">
        <f t="array" ref="M1008">IFERROR(INDEX(CategoriesTable[Category type],MATCH(Table1[[#This Row],[Category]],CategoriesTable[Category name],0),0),"")</f>
        <v>Expense</v>
      </c>
      <c r="N1008" s="173">
        <v>11</v>
      </c>
      <c r="O1008" s="173">
        <f>MONTH(Table1[[#This Row],[Date]])</f>
        <v>2</v>
      </c>
      <c r="P1008" s="173">
        <v>2020</v>
      </c>
      <c r="Q1008" s="174">
        <f>IF(ISBLANK(Table1[[#This Row],[Date]]),"",Table1[[#This Row],[Date]]-WEEKDAY(Table1[[#This Row],[Date]],2)+1)</f>
        <v>43871</v>
      </c>
      <c r="R1008" s="175">
        <f>IF(ISBLANK(Table1[[#This Row],[Date]]),"",DATE(Table1[[#This Row],[Date_Year]],Table1[[#This Row],[Date_Month]],1))</f>
        <v>43862</v>
      </c>
    </row>
    <row r="1009" spans="2:18" ht="15.75" hidden="1" x14ac:dyDescent="0.25">
      <c r="B1009" s="165">
        <v>43872</v>
      </c>
      <c r="C1009" s="166" t="s">
        <v>121</v>
      </c>
      <c r="D1009" s="166" t="s">
        <v>65</v>
      </c>
      <c r="E1009" s="167"/>
      <c r="F1009" s="114">
        <v>-3.81</v>
      </c>
      <c r="G1009" s="168"/>
      <c r="H1009" s="169"/>
      <c r="I1009" s="170"/>
      <c r="J1009" s="171" t="s">
        <v>1262</v>
      </c>
      <c r="K1009" s="172" t="s">
        <v>177</v>
      </c>
      <c r="L1009" s="172" t="s">
        <v>175</v>
      </c>
      <c r="M1009" s="173" t="str" cm="1">
        <f t="array" ref="M1009">IFERROR(INDEX(CategoriesTable[Category type],MATCH(Table1[[#This Row],[Category]],CategoriesTable[Category name],0),0),"")</f>
        <v>Expense</v>
      </c>
      <c r="N1009" s="173">
        <v>11</v>
      </c>
      <c r="O1009" s="173">
        <f>MONTH(Table1[[#This Row],[Date]])</f>
        <v>2</v>
      </c>
      <c r="P1009" s="173">
        <v>2020</v>
      </c>
      <c r="Q1009" s="174">
        <f>IF(ISBLANK(Table1[[#This Row],[Date]]),"",Table1[[#This Row],[Date]]-WEEKDAY(Table1[[#This Row],[Date]],2)+1)</f>
        <v>43871</v>
      </c>
      <c r="R1009" s="175">
        <f>IF(ISBLANK(Table1[[#This Row],[Date]]),"",DATE(Table1[[#This Row],[Date_Year]],Table1[[#This Row],[Date_Month]],1))</f>
        <v>43862</v>
      </c>
    </row>
    <row r="1010" spans="2:18" ht="15.75" hidden="1" x14ac:dyDescent="0.25">
      <c r="B1010" s="165">
        <v>43872</v>
      </c>
      <c r="C1010" s="166" t="s">
        <v>121</v>
      </c>
      <c r="D1010" s="166" t="s">
        <v>65</v>
      </c>
      <c r="E1010" s="167"/>
      <c r="F1010" s="114">
        <v>-16.34</v>
      </c>
      <c r="G1010" s="168"/>
      <c r="H1010" s="169"/>
      <c r="I1010" s="170"/>
      <c r="J1010" s="171" t="s">
        <v>1263</v>
      </c>
      <c r="K1010" s="172" t="s">
        <v>177</v>
      </c>
      <c r="L1010" s="172" t="s">
        <v>175</v>
      </c>
      <c r="M1010" s="173" t="str" cm="1">
        <f t="array" ref="M1010">IFERROR(INDEX(CategoriesTable[Category type],MATCH(Table1[[#This Row],[Category]],CategoriesTable[Category name],0),0),"")</f>
        <v>Expense</v>
      </c>
      <c r="N1010" s="173">
        <v>11</v>
      </c>
      <c r="O1010" s="173">
        <f>MONTH(Table1[[#This Row],[Date]])</f>
        <v>2</v>
      </c>
      <c r="P1010" s="173">
        <v>2020</v>
      </c>
      <c r="Q1010" s="174">
        <f>IF(ISBLANK(Table1[[#This Row],[Date]]),"",Table1[[#This Row],[Date]]-WEEKDAY(Table1[[#This Row],[Date]],2)+1)</f>
        <v>43871</v>
      </c>
      <c r="R1010" s="175">
        <f>IF(ISBLANK(Table1[[#This Row],[Date]]),"",DATE(Table1[[#This Row],[Date_Year]],Table1[[#This Row],[Date_Month]],1))</f>
        <v>43862</v>
      </c>
    </row>
    <row r="1011" spans="2:18" ht="15.75" hidden="1" x14ac:dyDescent="0.25">
      <c r="B1011" s="165">
        <v>43872</v>
      </c>
      <c r="C1011" s="166" t="s">
        <v>249</v>
      </c>
      <c r="D1011" s="166" t="s">
        <v>52</v>
      </c>
      <c r="E1011" s="167"/>
      <c r="F1011" s="114">
        <v>-10</v>
      </c>
      <c r="G1011" s="168"/>
      <c r="H1011" s="169"/>
      <c r="I1011" s="170"/>
      <c r="J1011" s="176" t="s">
        <v>1264</v>
      </c>
      <c r="K1011" s="172" t="s">
        <v>177</v>
      </c>
      <c r="L1011" s="172" t="s">
        <v>175</v>
      </c>
      <c r="M1011" s="173" t="str" cm="1">
        <f t="array" ref="M1011">IFERROR(INDEX(CategoriesTable[Category type],MATCH(Table1[[#This Row],[Category]],CategoriesTable[Category name],0),0),"")</f>
        <v>Transfer</v>
      </c>
      <c r="N1011" s="173">
        <v>11</v>
      </c>
      <c r="O1011" s="173">
        <f>MONTH(Table1[[#This Row],[Date]])</f>
        <v>2</v>
      </c>
      <c r="P1011" s="173">
        <v>2020</v>
      </c>
      <c r="Q1011" s="174">
        <f>IF(ISBLANK(Table1[[#This Row],[Date]]),"",Table1[[#This Row],[Date]]-WEEKDAY(Table1[[#This Row],[Date]],2)+1)</f>
        <v>43871</v>
      </c>
      <c r="R1011" s="175">
        <f>IF(ISBLANK(Table1[[#This Row],[Date]]),"",DATE(Table1[[#This Row],[Date_Year]],Table1[[#This Row],[Date_Month]],1))</f>
        <v>43862</v>
      </c>
    </row>
    <row r="1012" spans="2:18" ht="15.75" hidden="1" x14ac:dyDescent="0.25">
      <c r="B1012" s="165">
        <v>43872</v>
      </c>
      <c r="C1012" s="166" t="s">
        <v>193</v>
      </c>
      <c r="D1012" s="166" t="s">
        <v>53</v>
      </c>
      <c r="E1012" s="167"/>
      <c r="F1012" s="114">
        <v>-13.93</v>
      </c>
      <c r="G1012" s="168"/>
      <c r="H1012" s="169"/>
      <c r="I1012" s="170"/>
      <c r="J1012" s="171" t="s">
        <v>1265</v>
      </c>
      <c r="K1012" s="172" t="s">
        <v>177</v>
      </c>
      <c r="L1012" s="172" t="s">
        <v>175</v>
      </c>
      <c r="M1012" s="173" t="str" cm="1">
        <f t="array" ref="M1012">IFERROR(INDEX(CategoriesTable[Category type],MATCH(Table1[[#This Row],[Category]],CategoriesTable[Category name],0),0),"")</f>
        <v>Expense</v>
      </c>
      <c r="N1012" s="173">
        <v>11</v>
      </c>
      <c r="O1012" s="173">
        <f>MONTH(Table1[[#This Row],[Date]])</f>
        <v>2</v>
      </c>
      <c r="P1012" s="173">
        <v>2020</v>
      </c>
      <c r="Q1012" s="174">
        <f>IF(ISBLANK(Table1[[#This Row],[Date]]),"",Table1[[#This Row],[Date]]-WEEKDAY(Table1[[#This Row],[Date]],2)+1)</f>
        <v>43871</v>
      </c>
      <c r="R1012" s="175">
        <f>IF(ISBLANK(Table1[[#This Row],[Date]]),"",DATE(Table1[[#This Row],[Date_Year]],Table1[[#This Row],[Date_Month]],1))</f>
        <v>43862</v>
      </c>
    </row>
    <row r="1013" spans="2:18" ht="15.75" hidden="1" x14ac:dyDescent="0.25">
      <c r="B1013" s="165">
        <v>43871</v>
      </c>
      <c r="C1013" s="166" t="s">
        <v>121</v>
      </c>
      <c r="D1013" s="166" t="s">
        <v>65</v>
      </c>
      <c r="E1013" s="167"/>
      <c r="F1013" s="114">
        <v>-8.4600000000000009</v>
      </c>
      <c r="G1013" s="168"/>
      <c r="H1013" s="169"/>
      <c r="I1013" s="170"/>
      <c r="J1013" s="171" t="s">
        <v>1266</v>
      </c>
      <c r="K1013" s="172" t="s">
        <v>177</v>
      </c>
      <c r="L1013" s="172" t="s">
        <v>175</v>
      </c>
      <c r="M1013" s="173" t="str" cm="1">
        <f t="array" ref="M1013">IFERROR(INDEX(CategoriesTable[Category type],MATCH(Table1[[#This Row],[Category]],CategoriesTable[Category name],0),0),"")</f>
        <v>Expense</v>
      </c>
      <c r="N1013" s="173">
        <v>10</v>
      </c>
      <c r="O1013" s="173">
        <f>MONTH(Table1[[#This Row],[Date]])</f>
        <v>2</v>
      </c>
      <c r="P1013" s="173">
        <v>2020</v>
      </c>
      <c r="Q1013" s="174">
        <f>IF(ISBLANK(Table1[[#This Row],[Date]]),"",Table1[[#This Row],[Date]]-WEEKDAY(Table1[[#This Row],[Date]],2)+1)</f>
        <v>43871</v>
      </c>
      <c r="R1013" s="175">
        <f>IF(ISBLANK(Table1[[#This Row],[Date]]),"",DATE(Table1[[#This Row],[Date_Year]],Table1[[#This Row],[Date_Month]],1))</f>
        <v>43862</v>
      </c>
    </row>
    <row r="1014" spans="2:18" ht="15.75" hidden="1" x14ac:dyDescent="0.25">
      <c r="B1014" s="165">
        <v>43871</v>
      </c>
      <c r="C1014" s="166" t="s">
        <v>180</v>
      </c>
      <c r="D1014" s="166" t="s">
        <v>52</v>
      </c>
      <c r="E1014" s="167"/>
      <c r="F1014" s="114">
        <v>-40</v>
      </c>
      <c r="G1014" s="168"/>
      <c r="H1014" s="169"/>
      <c r="I1014" s="170"/>
      <c r="J1014" s="171" t="s">
        <v>1267</v>
      </c>
      <c r="K1014" s="172" t="s">
        <v>177</v>
      </c>
      <c r="L1014" s="172" t="s">
        <v>175</v>
      </c>
      <c r="M1014" s="173" t="str" cm="1">
        <f t="array" ref="M1014">IFERROR(INDEX(CategoriesTable[Category type],MATCH(Table1[[#This Row],[Category]],CategoriesTable[Category name],0),0),"")</f>
        <v>Transfer</v>
      </c>
      <c r="N1014" s="173">
        <v>10</v>
      </c>
      <c r="O1014" s="173">
        <f>MONTH(Table1[[#This Row],[Date]])</f>
        <v>2</v>
      </c>
      <c r="P1014" s="173">
        <v>2020</v>
      </c>
      <c r="Q1014" s="174">
        <f>IF(ISBLANK(Table1[[#This Row],[Date]]),"",Table1[[#This Row],[Date]]-WEEKDAY(Table1[[#This Row],[Date]],2)+1)</f>
        <v>43871</v>
      </c>
      <c r="R1014" s="175">
        <f>IF(ISBLANK(Table1[[#This Row],[Date]]),"",DATE(Table1[[#This Row],[Date_Year]],Table1[[#This Row],[Date_Month]],1))</f>
        <v>43862</v>
      </c>
    </row>
    <row r="1015" spans="2:18" ht="15.75" hidden="1" x14ac:dyDescent="0.25">
      <c r="B1015" s="165">
        <v>43871</v>
      </c>
      <c r="C1015" s="166" t="s">
        <v>680</v>
      </c>
      <c r="D1015" s="166" t="s">
        <v>62</v>
      </c>
      <c r="E1015" s="167"/>
      <c r="F1015" s="114">
        <v>-503.62</v>
      </c>
      <c r="G1015" s="168"/>
      <c r="H1015" s="169"/>
      <c r="I1015" s="170"/>
      <c r="J1015" s="171" t="s">
        <v>1268</v>
      </c>
      <c r="K1015" s="172" t="s">
        <v>177</v>
      </c>
      <c r="L1015" s="172" t="s">
        <v>175</v>
      </c>
      <c r="M1015" s="173" t="str" cm="1">
        <f t="array" ref="M1015">IFERROR(INDEX(CategoriesTable[Category type],MATCH(Table1[[#This Row],[Category]],CategoriesTable[Category name],0),0),"")</f>
        <v>Expense</v>
      </c>
      <c r="N1015" s="173">
        <v>10</v>
      </c>
      <c r="O1015" s="173">
        <f>MONTH(Table1[[#This Row],[Date]])</f>
        <v>2</v>
      </c>
      <c r="P1015" s="173">
        <v>2020</v>
      </c>
      <c r="Q1015" s="174">
        <f>IF(ISBLANK(Table1[[#This Row],[Date]]),"",Table1[[#This Row],[Date]]-WEEKDAY(Table1[[#This Row],[Date]],2)+1)</f>
        <v>43871</v>
      </c>
      <c r="R1015" s="175">
        <f>IF(ISBLANK(Table1[[#This Row],[Date]]),"",DATE(Table1[[#This Row],[Date_Year]],Table1[[#This Row],[Date_Month]],1))</f>
        <v>43862</v>
      </c>
    </row>
    <row r="1016" spans="2:18" ht="15.75" hidden="1" x14ac:dyDescent="0.25">
      <c r="B1016" s="165">
        <v>43871</v>
      </c>
      <c r="C1016" s="166" t="s">
        <v>1269</v>
      </c>
      <c r="D1016" s="166" t="s">
        <v>52</v>
      </c>
      <c r="E1016" s="167"/>
      <c r="F1016" s="114">
        <v>-3</v>
      </c>
      <c r="G1016" s="168"/>
      <c r="H1016" s="169"/>
      <c r="I1016" s="170"/>
      <c r="J1016" s="171" t="s">
        <v>1270</v>
      </c>
      <c r="K1016" s="172" t="s">
        <v>177</v>
      </c>
      <c r="L1016" s="172" t="s">
        <v>175</v>
      </c>
      <c r="M1016" s="173" t="str" cm="1">
        <f t="array" ref="M1016">IFERROR(INDEX(CategoriesTable[Category type],MATCH(Table1[[#This Row],[Category]],CategoriesTable[Category name],0),0),"")</f>
        <v>Transfer</v>
      </c>
      <c r="N1016" s="173">
        <v>10</v>
      </c>
      <c r="O1016" s="173">
        <f>MONTH(Table1[[#This Row],[Date]])</f>
        <v>2</v>
      </c>
      <c r="P1016" s="173">
        <v>2020</v>
      </c>
      <c r="Q1016" s="174">
        <f>IF(ISBLANK(Table1[[#This Row],[Date]]),"",Table1[[#This Row],[Date]]-WEEKDAY(Table1[[#This Row],[Date]],2)+1)</f>
        <v>43871</v>
      </c>
      <c r="R1016" s="175">
        <f>IF(ISBLANK(Table1[[#This Row],[Date]]),"",DATE(Table1[[#This Row],[Date_Year]],Table1[[#This Row],[Date_Month]],1))</f>
        <v>43862</v>
      </c>
    </row>
    <row r="1017" spans="2:18" ht="15.75" hidden="1" x14ac:dyDescent="0.25">
      <c r="B1017" s="165">
        <v>43870</v>
      </c>
      <c r="C1017" s="166" t="s">
        <v>227</v>
      </c>
      <c r="D1017" s="166" t="s">
        <v>59</v>
      </c>
      <c r="E1017" s="167"/>
      <c r="F1017" s="114">
        <v>-10</v>
      </c>
      <c r="G1017" s="168"/>
      <c r="H1017" s="169"/>
      <c r="I1017" s="170"/>
      <c r="J1017" s="171" t="s">
        <v>1271</v>
      </c>
      <c r="K1017" s="172" t="s">
        <v>177</v>
      </c>
      <c r="L1017" s="172" t="s">
        <v>175</v>
      </c>
      <c r="M1017" s="173" t="str" cm="1">
        <f t="array" ref="M1017">IFERROR(INDEX(CategoriesTable[Category type],MATCH(Table1[[#This Row],[Category]],CategoriesTable[Category name],0),0),"")</f>
        <v>Expense</v>
      </c>
      <c r="N1017" s="173">
        <v>9</v>
      </c>
      <c r="O1017" s="173">
        <f>MONTH(Table1[[#This Row],[Date]])</f>
        <v>2</v>
      </c>
      <c r="P1017" s="173">
        <v>2020</v>
      </c>
      <c r="Q1017" s="174">
        <f>IF(ISBLANK(Table1[[#This Row],[Date]]),"",Table1[[#This Row],[Date]]-WEEKDAY(Table1[[#This Row],[Date]],2)+1)</f>
        <v>43864</v>
      </c>
      <c r="R1017" s="175">
        <f>IF(ISBLANK(Table1[[#This Row],[Date]]),"",DATE(Table1[[#This Row],[Date_Year]],Table1[[#This Row],[Date_Month]],1))</f>
        <v>43862</v>
      </c>
    </row>
    <row r="1018" spans="2:18" ht="15.75" hidden="1" x14ac:dyDescent="0.25">
      <c r="B1018" s="165">
        <v>43870</v>
      </c>
      <c r="C1018" s="166" t="s">
        <v>1272</v>
      </c>
      <c r="D1018" s="166" t="s">
        <v>65</v>
      </c>
      <c r="E1018" s="167"/>
      <c r="F1018" s="114">
        <v>-67</v>
      </c>
      <c r="G1018" s="168"/>
      <c r="H1018" s="169"/>
      <c r="I1018" s="170"/>
      <c r="J1018" s="171" t="s">
        <v>1273</v>
      </c>
      <c r="K1018" s="172" t="s">
        <v>177</v>
      </c>
      <c r="L1018" s="172" t="s">
        <v>175</v>
      </c>
      <c r="M1018" s="173" t="str" cm="1">
        <f t="array" ref="M1018">IFERROR(INDEX(CategoriesTable[Category type],MATCH(Table1[[#This Row],[Category]],CategoriesTable[Category name],0),0),"")</f>
        <v>Expense</v>
      </c>
      <c r="N1018" s="173">
        <v>9</v>
      </c>
      <c r="O1018" s="173">
        <f>MONTH(Table1[[#This Row],[Date]])</f>
        <v>2</v>
      </c>
      <c r="P1018" s="173">
        <v>2020</v>
      </c>
      <c r="Q1018" s="174">
        <f>IF(ISBLANK(Table1[[#This Row],[Date]]),"",Table1[[#This Row],[Date]]-WEEKDAY(Table1[[#This Row],[Date]],2)+1)</f>
        <v>43864</v>
      </c>
      <c r="R1018" s="175">
        <f>IF(ISBLANK(Table1[[#This Row],[Date]]),"",DATE(Table1[[#This Row],[Date_Year]],Table1[[#This Row],[Date_Month]],1))</f>
        <v>43862</v>
      </c>
    </row>
    <row r="1019" spans="2:18" ht="15.75" hidden="1" x14ac:dyDescent="0.25">
      <c r="B1019" s="165">
        <v>43869</v>
      </c>
      <c r="C1019" s="166" t="s">
        <v>180</v>
      </c>
      <c r="D1019" s="166" t="s">
        <v>52</v>
      </c>
      <c r="E1019" s="167"/>
      <c r="F1019" s="114">
        <v>-40</v>
      </c>
      <c r="G1019" s="168"/>
      <c r="H1019" s="169"/>
      <c r="I1019" s="170"/>
      <c r="J1019" s="171" t="s">
        <v>1274</v>
      </c>
      <c r="K1019" s="172" t="s">
        <v>177</v>
      </c>
      <c r="L1019" s="172" t="s">
        <v>175</v>
      </c>
      <c r="M1019" s="173" t="str" cm="1">
        <f t="array" ref="M1019">IFERROR(INDEX(CategoriesTable[Category type],MATCH(Table1[[#This Row],[Category]],CategoriesTable[Category name],0),0),"")</f>
        <v>Transfer</v>
      </c>
      <c r="N1019" s="173">
        <v>8</v>
      </c>
      <c r="O1019" s="173">
        <f>MONTH(Table1[[#This Row],[Date]])</f>
        <v>2</v>
      </c>
      <c r="P1019" s="173">
        <v>2020</v>
      </c>
      <c r="Q1019" s="174">
        <f>IF(ISBLANK(Table1[[#This Row],[Date]]),"",Table1[[#This Row],[Date]]-WEEKDAY(Table1[[#This Row],[Date]],2)+1)</f>
        <v>43864</v>
      </c>
      <c r="R1019" s="175">
        <f>IF(ISBLANK(Table1[[#This Row],[Date]]),"",DATE(Table1[[#This Row],[Date_Year]],Table1[[#This Row],[Date_Month]],1))</f>
        <v>43862</v>
      </c>
    </row>
    <row r="1020" spans="2:18" ht="15.75" hidden="1" x14ac:dyDescent="0.25">
      <c r="B1020" s="165">
        <v>43869</v>
      </c>
      <c r="C1020" s="166" t="s">
        <v>920</v>
      </c>
      <c r="D1020" s="166" t="s">
        <v>65</v>
      </c>
      <c r="E1020" s="167"/>
      <c r="F1020" s="114">
        <v>-17.5</v>
      </c>
      <c r="G1020" s="168"/>
      <c r="H1020" s="169"/>
      <c r="I1020" s="170"/>
      <c r="J1020" s="171" t="s">
        <v>1275</v>
      </c>
      <c r="K1020" s="172" t="s">
        <v>177</v>
      </c>
      <c r="L1020" s="172" t="s">
        <v>175</v>
      </c>
      <c r="M1020" s="173" t="str" cm="1">
        <f t="array" ref="M1020">IFERROR(INDEX(CategoriesTable[Category type],MATCH(Table1[[#This Row],[Category]],CategoriesTable[Category name],0),0),"")</f>
        <v>Expense</v>
      </c>
      <c r="N1020" s="173">
        <v>8</v>
      </c>
      <c r="O1020" s="173">
        <f>MONTH(Table1[[#This Row],[Date]])</f>
        <v>2</v>
      </c>
      <c r="P1020" s="173">
        <v>2020</v>
      </c>
      <c r="Q1020" s="174">
        <f>IF(ISBLANK(Table1[[#This Row],[Date]]),"",Table1[[#This Row],[Date]]-WEEKDAY(Table1[[#This Row],[Date]],2)+1)</f>
        <v>43864</v>
      </c>
      <c r="R1020" s="175">
        <f>IF(ISBLANK(Table1[[#This Row],[Date]]),"",DATE(Table1[[#This Row],[Date_Year]],Table1[[#This Row],[Date_Month]],1))</f>
        <v>43862</v>
      </c>
    </row>
    <row r="1021" spans="2:18" ht="15.75" hidden="1" x14ac:dyDescent="0.25">
      <c r="B1021" s="165">
        <v>43869</v>
      </c>
      <c r="C1021" s="166" t="s">
        <v>128</v>
      </c>
      <c r="D1021" s="166" t="s">
        <v>53</v>
      </c>
      <c r="E1021" s="167"/>
      <c r="F1021" s="114">
        <v>-18.36</v>
      </c>
      <c r="G1021" s="168"/>
      <c r="H1021" s="169"/>
      <c r="I1021" s="170"/>
      <c r="J1021" s="171" t="s">
        <v>1276</v>
      </c>
      <c r="K1021" s="172" t="s">
        <v>177</v>
      </c>
      <c r="L1021" s="172" t="s">
        <v>175</v>
      </c>
      <c r="M1021" s="173" t="str" cm="1">
        <f t="array" ref="M1021">IFERROR(INDEX(CategoriesTable[Category type],MATCH(Table1[[#This Row],[Category]],CategoriesTable[Category name],0),0),"")</f>
        <v>Expense</v>
      </c>
      <c r="N1021" s="173">
        <v>8</v>
      </c>
      <c r="O1021" s="173">
        <f>MONTH(Table1[[#This Row],[Date]])</f>
        <v>2</v>
      </c>
      <c r="P1021" s="173">
        <v>2020</v>
      </c>
      <c r="Q1021" s="174">
        <f>IF(ISBLANK(Table1[[#This Row],[Date]]),"",Table1[[#This Row],[Date]]-WEEKDAY(Table1[[#This Row],[Date]],2)+1)</f>
        <v>43864</v>
      </c>
      <c r="R1021" s="175">
        <f>IF(ISBLANK(Table1[[#This Row],[Date]]),"",DATE(Table1[[#This Row],[Date_Year]],Table1[[#This Row],[Date_Month]],1))</f>
        <v>43862</v>
      </c>
    </row>
    <row r="1022" spans="2:18" ht="15.75" hidden="1" x14ac:dyDescent="0.25">
      <c r="B1022" s="165">
        <v>43869</v>
      </c>
      <c r="C1022" s="166" t="s">
        <v>121</v>
      </c>
      <c r="D1022" s="166" t="s">
        <v>65</v>
      </c>
      <c r="E1022" s="167"/>
      <c r="F1022" s="114">
        <v>-17.010000000000002</v>
      </c>
      <c r="G1022" s="168"/>
      <c r="H1022" s="169"/>
      <c r="I1022" s="170"/>
      <c r="J1022" s="171" t="s">
        <v>1277</v>
      </c>
      <c r="K1022" s="172" t="s">
        <v>177</v>
      </c>
      <c r="L1022" s="172" t="s">
        <v>175</v>
      </c>
      <c r="M1022" s="173" t="str" cm="1">
        <f t="array" ref="M1022">IFERROR(INDEX(CategoriesTable[Category type],MATCH(Table1[[#This Row],[Category]],CategoriesTable[Category name],0),0),"")</f>
        <v>Expense</v>
      </c>
      <c r="N1022" s="173">
        <v>8</v>
      </c>
      <c r="O1022" s="173">
        <f>MONTH(Table1[[#This Row],[Date]])</f>
        <v>2</v>
      </c>
      <c r="P1022" s="173">
        <v>2020</v>
      </c>
      <c r="Q1022" s="174">
        <f>IF(ISBLANK(Table1[[#This Row],[Date]]),"",Table1[[#This Row],[Date]]-WEEKDAY(Table1[[#This Row],[Date]],2)+1)</f>
        <v>43864</v>
      </c>
      <c r="R1022" s="175">
        <f>IF(ISBLANK(Table1[[#This Row],[Date]]),"",DATE(Table1[[#This Row],[Date_Year]],Table1[[#This Row],[Date_Month]],1))</f>
        <v>43862</v>
      </c>
    </row>
    <row r="1023" spans="2:18" ht="15.75" hidden="1" x14ac:dyDescent="0.25">
      <c r="B1023" s="165">
        <v>43868</v>
      </c>
      <c r="C1023" s="166" t="s">
        <v>1278</v>
      </c>
      <c r="D1023" s="166" t="s">
        <v>52</v>
      </c>
      <c r="E1023" s="167"/>
      <c r="F1023" s="114">
        <v>-26.99</v>
      </c>
      <c r="G1023" s="168"/>
      <c r="H1023" s="169"/>
      <c r="I1023" s="170"/>
      <c r="J1023" s="171" t="s">
        <v>1279</v>
      </c>
      <c r="K1023" s="172" t="s">
        <v>177</v>
      </c>
      <c r="L1023" s="172" t="s">
        <v>175</v>
      </c>
      <c r="M1023" s="173" t="str" cm="1">
        <f t="array" ref="M1023">IFERROR(INDEX(CategoriesTable[Category type],MATCH(Table1[[#This Row],[Category]],CategoriesTable[Category name],0),0),"")</f>
        <v>Transfer</v>
      </c>
      <c r="N1023" s="173">
        <v>7</v>
      </c>
      <c r="O1023" s="173">
        <f>MONTH(Table1[[#This Row],[Date]])</f>
        <v>2</v>
      </c>
      <c r="P1023" s="173">
        <v>2020</v>
      </c>
      <c r="Q1023" s="174">
        <f>IF(ISBLANK(Table1[[#This Row],[Date]]),"",Table1[[#This Row],[Date]]-WEEKDAY(Table1[[#This Row],[Date]],2)+1)</f>
        <v>43864</v>
      </c>
      <c r="R1023" s="175">
        <f>IF(ISBLANK(Table1[[#This Row],[Date]]),"",DATE(Table1[[#This Row],[Date_Year]],Table1[[#This Row],[Date_Month]],1))</f>
        <v>43862</v>
      </c>
    </row>
    <row r="1024" spans="2:18" ht="15.75" hidden="1" x14ac:dyDescent="0.25">
      <c r="B1024" s="165">
        <v>43868</v>
      </c>
      <c r="C1024" s="166" t="s">
        <v>834</v>
      </c>
      <c r="D1024" s="166" t="s">
        <v>57</v>
      </c>
      <c r="E1024" s="167"/>
      <c r="F1024" s="114">
        <v>-1.95</v>
      </c>
      <c r="G1024" s="168"/>
      <c r="H1024" s="169"/>
      <c r="I1024" s="170"/>
      <c r="J1024" s="171" t="s">
        <v>1280</v>
      </c>
      <c r="K1024" s="172" t="s">
        <v>177</v>
      </c>
      <c r="L1024" s="172" t="s">
        <v>175</v>
      </c>
      <c r="M1024" s="173" t="str" cm="1">
        <f t="array" ref="M1024">IFERROR(INDEX(CategoriesTable[Category type],MATCH(Table1[[#This Row],[Category]],CategoriesTable[Category name],0),0),"")</f>
        <v>Expense</v>
      </c>
      <c r="N1024" s="173">
        <v>7</v>
      </c>
      <c r="O1024" s="173">
        <f>MONTH(Table1[[#This Row],[Date]])</f>
        <v>2</v>
      </c>
      <c r="P1024" s="173">
        <v>2020</v>
      </c>
      <c r="Q1024" s="174">
        <f>IF(ISBLANK(Table1[[#This Row],[Date]]),"",Table1[[#This Row],[Date]]-WEEKDAY(Table1[[#This Row],[Date]],2)+1)</f>
        <v>43864</v>
      </c>
      <c r="R1024" s="175">
        <f>IF(ISBLANK(Table1[[#This Row],[Date]]),"",DATE(Table1[[#This Row],[Date_Year]],Table1[[#This Row],[Date_Month]],1))</f>
        <v>43862</v>
      </c>
    </row>
    <row r="1025" spans="2:18" ht="15.75" hidden="1" x14ac:dyDescent="0.25">
      <c r="B1025" s="165">
        <v>43868</v>
      </c>
      <c r="C1025" s="166" t="s">
        <v>840</v>
      </c>
      <c r="D1025" s="166" t="s">
        <v>55</v>
      </c>
      <c r="E1025" s="167"/>
      <c r="F1025" s="114">
        <v>-355.22</v>
      </c>
      <c r="G1025" s="168"/>
      <c r="H1025" s="169"/>
      <c r="I1025" s="170"/>
      <c r="J1025" s="171" t="s">
        <v>1281</v>
      </c>
      <c r="K1025" s="172" t="s">
        <v>177</v>
      </c>
      <c r="L1025" s="172" t="s">
        <v>175</v>
      </c>
      <c r="M1025" s="173" t="str" cm="1">
        <f t="array" ref="M1025">IFERROR(INDEX(CategoriesTable[Category type],MATCH(Table1[[#This Row],[Category]],CategoriesTable[Category name],0),0),"")</f>
        <v>Expense</v>
      </c>
      <c r="N1025" s="173">
        <v>7</v>
      </c>
      <c r="O1025" s="173">
        <f>MONTH(Table1[[#This Row],[Date]])</f>
        <v>2</v>
      </c>
      <c r="P1025" s="173">
        <v>2020</v>
      </c>
      <c r="Q1025" s="174">
        <f>IF(ISBLANK(Table1[[#This Row],[Date]]),"",Table1[[#This Row],[Date]]-WEEKDAY(Table1[[#This Row],[Date]],2)+1)</f>
        <v>43864</v>
      </c>
      <c r="R1025" s="175">
        <f>IF(ISBLANK(Table1[[#This Row],[Date]]),"",DATE(Table1[[#This Row],[Date_Year]],Table1[[#This Row],[Date_Month]],1))</f>
        <v>43862</v>
      </c>
    </row>
    <row r="1026" spans="2:18" ht="15.75" hidden="1" x14ac:dyDescent="0.25">
      <c r="B1026" s="165">
        <v>43867</v>
      </c>
      <c r="C1026" s="166" t="s">
        <v>738</v>
      </c>
      <c r="D1026" s="166" t="s">
        <v>55</v>
      </c>
      <c r="E1026" s="167"/>
      <c r="F1026" s="114">
        <v>-173.83</v>
      </c>
      <c r="G1026" s="168"/>
      <c r="H1026" s="169"/>
      <c r="I1026" s="170"/>
      <c r="J1026" s="171" t="s">
        <v>1282</v>
      </c>
      <c r="K1026" s="172" t="s">
        <v>177</v>
      </c>
      <c r="L1026" s="172" t="s">
        <v>175</v>
      </c>
      <c r="M1026" s="173" t="str" cm="1">
        <f t="array" ref="M1026">IFERROR(INDEX(CategoriesTable[Category type],MATCH(Table1[[#This Row],[Category]],CategoriesTable[Category name],0),0),"")</f>
        <v>Expense</v>
      </c>
      <c r="N1026" s="173">
        <v>6</v>
      </c>
      <c r="O1026" s="173">
        <f>MONTH(Table1[[#This Row],[Date]])</f>
        <v>2</v>
      </c>
      <c r="P1026" s="173">
        <v>2020</v>
      </c>
      <c r="Q1026" s="174">
        <f>IF(ISBLANK(Table1[[#This Row],[Date]]),"",Table1[[#This Row],[Date]]-WEEKDAY(Table1[[#This Row],[Date]],2)+1)</f>
        <v>43864</v>
      </c>
      <c r="R1026" s="175">
        <f>IF(ISBLANK(Table1[[#This Row],[Date]]),"",DATE(Table1[[#This Row],[Date_Year]],Table1[[#This Row],[Date_Month]],1))</f>
        <v>43862</v>
      </c>
    </row>
    <row r="1027" spans="2:18" ht="15.75" hidden="1" x14ac:dyDescent="0.25">
      <c r="B1027" s="165">
        <v>43867</v>
      </c>
      <c r="C1027" s="166" t="s">
        <v>120</v>
      </c>
      <c r="D1027" s="166" t="s">
        <v>66</v>
      </c>
      <c r="E1027" s="167"/>
      <c r="F1027" s="114">
        <v>-94.99</v>
      </c>
      <c r="G1027" s="168"/>
      <c r="H1027" s="169"/>
      <c r="I1027" s="170"/>
      <c r="J1027" s="171" t="s">
        <v>1283</v>
      </c>
      <c r="K1027" s="172" t="s">
        <v>177</v>
      </c>
      <c r="L1027" s="172" t="s">
        <v>175</v>
      </c>
      <c r="M1027" s="173" t="str" cm="1">
        <f t="array" ref="M1027">IFERROR(INDEX(CategoriesTable[Category type],MATCH(Table1[[#This Row],[Category]],CategoriesTable[Category name],0),0),"")</f>
        <v>Expense</v>
      </c>
      <c r="N1027" s="173">
        <v>6</v>
      </c>
      <c r="O1027" s="173">
        <f>MONTH(Table1[[#This Row],[Date]])</f>
        <v>2</v>
      </c>
      <c r="P1027" s="173">
        <v>2020</v>
      </c>
      <c r="Q1027" s="174">
        <f>IF(ISBLANK(Table1[[#This Row],[Date]]),"",Table1[[#This Row],[Date]]-WEEKDAY(Table1[[#This Row],[Date]],2)+1)</f>
        <v>43864</v>
      </c>
      <c r="R1027" s="175">
        <f>IF(ISBLANK(Table1[[#This Row],[Date]]),"",DATE(Table1[[#This Row],[Date_Year]],Table1[[#This Row],[Date_Month]],1))</f>
        <v>43862</v>
      </c>
    </row>
    <row r="1028" spans="2:18" ht="15.75" hidden="1" x14ac:dyDescent="0.25">
      <c r="B1028" s="165">
        <v>43866</v>
      </c>
      <c r="C1028" s="166" t="s">
        <v>134</v>
      </c>
      <c r="D1028" s="166" t="s">
        <v>65</v>
      </c>
      <c r="E1028" s="167"/>
      <c r="F1028" s="114">
        <v>-26.29</v>
      </c>
      <c r="G1028" s="168"/>
      <c r="H1028" s="169"/>
      <c r="I1028" s="170"/>
      <c r="J1028" s="171" t="s">
        <v>1284</v>
      </c>
      <c r="K1028" s="172" t="s">
        <v>177</v>
      </c>
      <c r="L1028" s="172" t="s">
        <v>175</v>
      </c>
      <c r="M1028" s="173" t="str" cm="1">
        <f t="array" ref="M1028">IFERROR(INDEX(CategoriesTable[Category type],MATCH(Table1[[#This Row],[Category]],CategoriesTable[Category name],0),0),"")</f>
        <v>Expense</v>
      </c>
      <c r="N1028" s="173">
        <v>5</v>
      </c>
      <c r="O1028" s="173">
        <f>MONTH(Table1[[#This Row],[Date]])</f>
        <v>2</v>
      </c>
      <c r="P1028" s="173">
        <v>2020</v>
      </c>
      <c r="Q1028" s="174">
        <f>IF(ISBLANK(Table1[[#This Row],[Date]]),"",Table1[[#This Row],[Date]]-WEEKDAY(Table1[[#This Row],[Date]],2)+1)</f>
        <v>43864</v>
      </c>
      <c r="R1028" s="175">
        <f>IF(ISBLANK(Table1[[#This Row],[Date]]),"",DATE(Table1[[#This Row],[Date_Year]],Table1[[#This Row],[Date_Month]],1))</f>
        <v>43862</v>
      </c>
    </row>
    <row r="1029" spans="2:18" ht="15.75" hidden="1" x14ac:dyDescent="0.25">
      <c r="B1029" s="165">
        <v>43865</v>
      </c>
      <c r="C1029" s="166" t="s">
        <v>920</v>
      </c>
      <c r="D1029" s="166" t="s">
        <v>65</v>
      </c>
      <c r="E1029" s="167"/>
      <c r="F1029" s="114">
        <v>-16.95</v>
      </c>
      <c r="G1029" s="168"/>
      <c r="H1029" s="169"/>
      <c r="I1029" s="170"/>
      <c r="J1029" s="171" t="s">
        <v>1285</v>
      </c>
      <c r="K1029" s="172" t="s">
        <v>177</v>
      </c>
      <c r="L1029" s="172" t="s">
        <v>175</v>
      </c>
      <c r="M1029" s="173" t="str" cm="1">
        <f t="array" ref="M1029">IFERROR(INDEX(CategoriesTable[Category type],MATCH(Table1[[#This Row],[Category]],CategoriesTable[Category name],0),0),"")</f>
        <v>Expense</v>
      </c>
      <c r="N1029" s="173">
        <v>4</v>
      </c>
      <c r="O1029" s="173">
        <f>MONTH(Table1[[#This Row],[Date]])</f>
        <v>2</v>
      </c>
      <c r="P1029" s="173">
        <v>2020</v>
      </c>
      <c r="Q1029" s="174">
        <f>IF(ISBLANK(Table1[[#This Row],[Date]]),"",Table1[[#This Row],[Date]]-WEEKDAY(Table1[[#This Row],[Date]],2)+1)</f>
        <v>43864</v>
      </c>
      <c r="R1029" s="175">
        <f>IF(ISBLANK(Table1[[#This Row],[Date]]),"",DATE(Table1[[#This Row],[Date_Year]],Table1[[#This Row],[Date_Month]],1))</f>
        <v>43862</v>
      </c>
    </row>
    <row r="1030" spans="2:18" ht="15.75" hidden="1" x14ac:dyDescent="0.25">
      <c r="B1030" s="165">
        <v>43865</v>
      </c>
      <c r="C1030" s="166" t="s">
        <v>134</v>
      </c>
      <c r="D1030" s="166" t="s">
        <v>65</v>
      </c>
      <c r="E1030" s="167"/>
      <c r="F1030" s="114">
        <v>-7.95</v>
      </c>
      <c r="G1030" s="168"/>
      <c r="H1030" s="169"/>
      <c r="I1030" s="170"/>
      <c r="J1030" s="171" t="s">
        <v>1286</v>
      </c>
      <c r="K1030" s="172" t="s">
        <v>177</v>
      </c>
      <c r="L1030" s="172" t="s">
        <v>175</v>
      </c>
      <c r="M1030" s="173" t="str" cm="1">
        <f t="array" ref="M1030">IFERROR(INDEX(CategoriesTable[Category type],MATCH(Table1[[#This Row],[Category]],CategoriesTable[Category name],0),0),"")</f>
        <v>Expense</v>
      </c>
      <c r="N1030" s="173">
        <v>4</v>
      </c>
      <c r="O1030" s="173">
        <f>MONTH(Table1[[#This Row],[Date]])</f>
        <v>2</v>
      </c>
      <c r="P1030" s="173">
        <v>2020</v>
      </c>
      <c r="Q1030" s="174">
        <f>IF(ISBLANK(Table1[[#This Row],[Date]]),"",Table1[[#This Row],[Date]]-WEEKDAY(Table1[[#This Row],[Date]],2)+1)</f>
        <v>43864</v>
      </c>
      <c r="R1030" s="175">
        <f>IF(ISBLANK(Table1[[#This Row],[Date]]),"",DATE(Table1[[#This Row],[Date_Year]],Table1[[#This Row],[Date_Month]],1))</f>
        <v>43862</v>
      </c>
    </row>
    <row r="1031" spans="2:18" ht="15.75" hidden="1" x14ac:dyDescent="0.25">
      <c r="B1031" s="165">
        <v>43865</v>
      </c>
      <c r="C1031" s="166" t="s">
        <v>180</v>
      </c>
      <c r="D1031" s="166" t="s">
        <v>52</v>
      </c>
      <c r="E1031" s="167"/>
      <c r="F1031" s="114">
        <v>-60</v>
      </c>
      <c r="G1031" s="168"/>
      <c r="H1031" s="169"/>
      <c r="I1031" s="170"/>
      <c r="J1031" s="171" t="s">
        <v>1287</v>
      </c>
      <c r="K1031" s="172" t="s">
        <v>177</v>
      </c>
      <c r="L1031" s="172" t="s">
        <v>175</v>
      </c>
      <c r="M1031" s="173" t="str" cm="1">
        <f t="array" ref="M1031">IFERROR(INDEX(CategoriesTable[Category type],MATCH(Table1[[#This Row],[Category]],CategoriesTable[Category name],0),0),"")</f>
        <v>Transfer</v>
      </c>
      <c r="N1031" s="173">
        <v>4</v>
      </c>
      <c r="O1031" s="173">
        <f>MONTH(Table1[[#This Row],[Date]])</f>
        <v>2</v>
      </c>
      <c r="P1031" s="173">
        <v>2020</v>
      </c>
      <c r="Q1031" s="174">
        <f>IF(ISBLANK(Table1[[#This Row],[Date]]),"",Table1[[#This Row],[Date]]-WEEKDAY(Table1[[#This Row],[Date]],2)+1)</f>
        <v>43864</v>
      </c>
      <c r="R1031" s="175">
        <f>IF(ISBLANK(Table1[[#This Row],[Date]]),"",DATE(Table1[[#This Row],[Date_Year]],Table1[[#This Row],[Date_Month]],1))</f>
        <v>43862</v>
      </c>
    </row>
    <row r="1032" spans="2:18" ht="15.75" hidden="1" x14ac:dyDescent="0.25">
      <c r="B1032" s="165">
        <v>43865</v>
      </c>
      <c r="C1032" s="166" t="s">
        <v>249</v>
      </c>
      <c r="D1032" s="166" t="s">
        <v>52</v>
      </c>
      <c r="E1032" s="167"/>
      <c r="F1032" s="114">
        <v>-157</v>
      </c>
      <c r="G1032" s="168"/>
      <c r="H1032" s="169"/>
      <c r="I1032" s="170"/>
      <c r="J1032" s="171" t="s">
        <v>1288</v>
      </c>
      <c r="K1032" s="172" t="s">
        <v>177</v>
      </c>
      <c r="L1032" s="172" t="s">
        <v>175</v>
      </c>
      <c r="M1032" s="173" t="str" cm="1">
        <f t="array" ref="M1032">IFERROR(INDEX(CategoriesTable[Category type],MATCH(Table1[[#This Row],[Category]],CategoriesTable[Category name],0),0),"")</f>
        <v>Transfer</v>
      </c>
      <c r="N1032" s="173">
        <v>4</v>
      </c>
      <c r="O1032" s="173">
        <f>MONTH(Table1[[#This Row],[Date]])</f>
        <v>2</v>
      </c>
      <c r="P1032" s="173">
        <v>2020</v>
      </c>
      <c r="Q1032" s="174">
        <f>IF(ISBLANK(Table1[[#This Row],[Date]]),"",Table1[[#This Row],[Date]]-WEEKDAY(Table1[[#This Row],[Date]],2)+1)</f>
        <v>43864</v>
      </c>
      <c r="R1032" s="175">
        <f>IF(ISBLANK(Table1[[#This Row],[Date]]),"",DATE(Table1[[#This Row],[Date_Year]],Table1[[#This Row],[Date_Month]],1))</f>
        <v>43862</v>
      </c>
    </row>
    <row r="1033" spans="2:18" ht="15.75" hidden="1" x14ac:dyDescent="0.25">
      <c r="B1033" s="165">
        <v>43865</v>
      </c>
      <c r="C1033" s="166" t="s">
        <v>249</v>
      </c>
      <c r="D1033" s="166" t="s">
        <v>52</v>
      </c>
      <c r="E1033" s="167"/>
      <c r="F1033" s="114">
        <v>-40</v>
      </c>
      <c r="G1033" s="168"/>
      <c r="H1033" s="169"/>
      <c r="I1033" s="170"/>
      <c r="J1033" s="171" t="s">
        <v>1289</v>
      </c>
      <c r="K1033" s="172" t="s">
        <v>177</v>
      </c>
      <c r="L1033" s="172" t="s">
        <v>175</v>
      </c>
      <c r="M1033" s="173" t="str" cm="1">
        <f t="array" ref="M1033">IFERROR(INDEX(CategoriesTable[Category type],MATCH(Table1[[#This Row],[Category]],CategoriesTable[Category name],0),0),"")</f>
        <v>Transfer</v>
      </c>
      <c r="N1033" s="173">
        <v>4</v>
      </c>
      <c r="O1033" s="173">
        <f>MONTH(Table1[[#This Row],[Date]])</f>
        <v>2</v>
      </c>
      <c r="P1033" s="173">
        <v>2020</v>
      </c>
      <c r="Q1033" s="174">
        <f>IF(ISBLANK(Table1[[#This Row],[Date]]),"",Table1[[#This Row],[Date]]-WEEKDAY(Table1[[#This Row],[Date]],2)+1)</f>
        <v>43864</v>
      </c>
      <c r="R1033" s="175">
        <f>IF(ISBLANK(Table1[[#This Row],[Date]]),"",DATE(Table1[[#This Row],[Date_Year]],Table1[[#This Row],[Date_Month]],1))</f>
        <v>43862</v>
      </c>
    </row>
    <row r="1034" spans="2:18" ht="15.75" hidden="1" x14ac:dyDescent="0.25">
      <c r="B1034" s="165">
        <v>43864</v>
      </c>
      <c r="C1034" s="166" t="s">
        <v>784</v>
      </c>
      <c r="D1034" s="166" t="s">
        <v>64</v>
      </c>
      <c r="E1034" s="167"/>
      <c r="F1034" s="114">
        <v>-500</v>
      </c>
      <c r="G1034" s="168"/>
      <c r="H1034" s="169"/>
      <c r="I1034" s="170"/>
      <c r="J1034" s="171" t="s">
        <v>1290</v>
      </c>
      <c r="K1034" s="172" t="s">
        <v>177</v>
      </c>
      <c r="L1034" s="172" t="s">
        <v>175</v>
      </c>
      <c r="M1034" s="173" t="str" cm="1">
        <f t="array" ref="M1034">IFERROR(INDEX(CategoriesTable[Category type],MATCH(Table1[[#This Row],[Category]],CategoriesTable[Category name],0),0),"")</f>
        <v>Expense</v>
      </c>
      <c r="N1034" s="173">
        <v>3</v>
      </c>
      <c r="O1034" s="173">
        <f>MONTH(Table1[[#This Row],[Date]])</f>
        <v>2</v>
      </c>
      <c r="P1034" s="173">
        <v>2020</v>
      </c>
      <c r="Q1034" s="174">
        <f>IF(ISBLANK(Table1[[#This Row],[Date]]),"",Table1[[#This Row],[Date]]-WEEKDAY(Table1[[#This Row],[Date]],2)+1)</f>
        <v>43864</v>
      </c>
      <c r="R1034" s="175">
        <f>IF(ISBLANK(Table1[[#This Row],[Date]]),"",DATE(Table1[[#This Row],[Date_Year]],Table1[[#This Row],[Date_Month]],1))</f>
        <v>43862</v>
      </c>
    </row>
    <row r="1035" spans="2:18" ht="15.75" hidden="1" x14ac:dyDescent="0.25">
      <c r="B1035" s="165">
        <v>43864</v>
      </c>
      <c r="C1035" s="166" t="s">
        <v>196</v>
      </c>
      <c r="D1035" s="166" t="s">
        <v>50</v>
      </c>
      <c r="E1035" s="167"/>
      <c r="F1035" s="114">
        <v>4373.0200000000004</v>
      </c>
      <c r="G1035" s="168"/>
      <c r="H1035" s="169"/>
      <c r="I1035" s="170"/>
      <c r="J1035" s="171" t="s">
        <v>1291</v>
      </c>
      <c r="K1035" s="172" t="s">
        <v>177</v>
      </c>
      <c r="L1035" s="172" t="s">
        <v>175</v>
      </c>
      <c r="M1035" s="173" t="str" cm="1">
        <f t="array" ref="M1035">IFERROR(INDEX(CategoriesTable[Category type],MATCH(Table1[[#This Row],[Category]],CategoriesTable[Category name],0),0),"")</f>
        <v>Income</v>
      </c>
      <c r="N1035" s="173">
        <v>3</v>
      </c>
      <c r="O1035" s="173">
        <f>MONTH(Table1[[#This Row],[Date]])</f>
        <v>2</v>
      </c>
      <c r="P1035" s="173">
        <v>2020</v>
      </c>
      <c r="Q1035" s="174">
        <f>IF(ISBLANK(Table1[[#This Row],[Date]]),"",Table1[[#This Row],[Date]]-WEEKDAY(Table1[[#This Row],[Date]],2)+1)</f>
        <v>43864</v>
      </c>
      <c r="R1035" s="175">
        <f>IF(ISBLANK(Table1[[#This Row],[Date]]),"",DATE(Table1[[#This Row],[Date_Year]],Table1[[#This Row],[Date_Month]],1))</f>
        <v>43862</v>
      </c>
    </row>
    <row r="1036" spans="2:18" ht="15.75" hidden="1" x14ac:dyDescent="0.25">
      <c r="B1036" s="165">
        <v>43864</v>
      </c>
      <c r="C1036" s="166" t="s">
        <v>1292</v>
      </c>
      <c r="D1036" s="166" t="s">
        <v>52</v>
      </c>
      <c r="E1036" s="167"/>
      <c r="F1036" s="114">
        <v>-135</v>
      </c>
      <c r="G1036" s="168"/>
      <c r="H1036" s="169"/>
      <c r="I1036" s="170"/>
      <c r="J1036" s="171" t="s">
        <v>1293</v>
      </c>
      <c r="K1036" s="172" t="s">
        <v>177</v>
      </c>
      <c r="L1036" s="172" t="s">
        <v>175</v>
      </c>
      <c r="M1036" s="173" t="str" cm="1">
        <f t="array" ref="M1036">IFERROR(INDEX(CategoriesTable[Category type],MATCH(Table1[[#This Row],[Category]],CategoriesTable[Category name],0),0),"")</f>
        <v>Transfer</v>
      </c>
      <c r="N1036" s="173">
        <v>3</v>
      </c>
      <c r="O1036" s="173">
        <f>MONTH(Table1[[#This Row],[Date]])</f>
        <v>2</v>
      </c>
      <c r="P1036" s="173">
        <v>2020</v>
      </c>
      <c r="Q1036" s="174">
        <f>IF(ISBLANK(Table1[[#This Row],[Date]]),"",Table1[[#This Row],[Date]]-WEEKDAY(Table1[[#This Row],[Date]],2)+1)</f>
        <v>43864</v>
      </c>
      <c r="R1036" s="175">
        <f>IF(ISBLANK(Table1[[#This Row],[Date]]),"",DATE(Table1[[#This Row],[Date_Year]],Table1[[#This Row],[Date_Month]],1))</f>
        <v>43862</v>
      </c>
    </row>
    <row r="1037" spans="2:18" ht="15.75" hidden="1" x14ac:dyDescent="0.25">
      <c r="B1037" s="165">
        <v>43864</v>
      </c>
      <c r="C1037" s="166" t="s">
        <v>664</v>
      </c>
      <c r="D1037" s="166" t="s">
        <v>66</v>
      </c>
      <c r="E1037" s="167"/>
      <c r="F1037" s="114">
        <v>-132.63</v>
      </c>
      <c r="G1037" s="168"/>
      <c r="H1037" s="169"/>
      <c r="I1037" s="170"/>
      <c r="J1037" s="171" t="s">
        <v>1294</v>
      </c>
      <c r="K1037" s="172" t="s">
        <v>177</v>
      </c>
      <c r="L1037" s="172" t="s">
        <v>175</v>
      </c>
      <c r="M1037" s="173" t="str" cm="1">
        <f t="array" ref="M1037">IFERROR(INDEX(CategoriesTable[Category type],MATCH(Table1[[#This Row],[Category]],CategoriesTable[Category name],0),0),"")</f>
        <v>Expense</v>
      </c>
      <c r="N1037" s="173">
        <v>3</v>
      </c>
      <c r="O1037" s="173">
        <f>MONTH(Table1[[#This Row],[Date]])</f>
        <v>2</v>
      </c>
      <c r="P1037" s="173">
        <v>2020</v>
      </c>
      <c r="Q1037" s="174">
        <f>IF(ISBLANK(Table1[[#This Row],[Date]]),"",Table1[[#This Row],[Date]]-WEEKDAY(Table1[[#This Row],[Date]],2)+1)</f>
        <v>43864</v>
      </c>
      <c r="R1037" s="175">
        <f>IF(ISBLANK(Table1[[#This Row],[Date]]),"",DATE(Table1[[#This Row],[Date_Year]],Table1[[#This Row],[Date_Month]],1))</f>
        <v>43862</v>
      </c>
    </row>
    <row r="1038" spans="2:18" ht="15.75" hidden="1" x14ac:dyDescent="0.25">
      <c r="B1038" s="165">
        <v>43863</v>
      </c>
      <c r="C1038" s="166" t="s">
        <v>769</v>
      </c>
      <c r="D1038" s="166" t="s">
        <v>65</v>
      </c>
      <c r="E1038" s="167"/>
      <c r="F1038" s="114">
        <v>-21.15</v>
      </c>
      <c r="G1038" s="168"/>
      <c r="H1038" s="169"/>
      <c r="I1038" s="170"/>
      <c r="J1038" s="171" t="s">
        <v>1295</v>
      </c>
      <c r="K1038" s="172" t="s">
        <v>177</v>
      </c>
      <c r="L1038" s="172" t="s">
        <v>175</v>
      </c>
      <c r="M1038" s="173" t="str" cm="1">
        <f t="array" ref="M1038">IFERROR(INDEX(CategoriesTable[Category type],MATCH(Table1[[#This Row],[Category]],CategoriesTable[Category name],0),0),"")</f>
        <v>Expense</v>
      </c>
      <c r="N1038" s="173">
        <v>2</v>
      </c>
      <c r="O1038" s="173">
        <f>MONTH(Table1[[#This Row],[Date]])</f>
        <v>2</v>
      </c>
      <c r="P1038" s="173">
        <v>2020</v>
      </c>
      <c r="Q1038" s="174">
        <f>IF(ISBLANK(Table1[[#This Row],[Date]]),"",Table1[[#This Row],[Date]]-WEEKDAY(Table1[[#This Row],[Date]],2)+1)</f>
        <v>43857</v>
      </c>
      <c r="R1038" s="175">
        <f>IF(ISBLANK(Table1[[#This Row],[Date]]),"",DATE(Table1[[#This Row],[Date_Year]],Table1[[#This Row],[Date_Month]],1))</f>
        <v>43862</v>
      </c>
    </row>
    <row r="1039" spans="2:18" ht="15.75" hidden="1" x14ac:dyDescent="0.25">
      <c r="B1039" s="165">
        <v>43863</v>
      </c>
      <c r="C1039" s="166" t="s">
        <v>120</v>
      </c>
      <c r="D1039" s="166" t="s">
        <v>66</v>
      </c>
      <c r="E1039" s="167"/>
      <c r="F1039" s="114">
        <v>-17.47</v>
      </c>
      <c r="G1039" s="168"/>
      <c r="H1039" s="169"/>
      <c r="I1039" s="170"/>
      <c r="J1039" s="171" t="s">
        <v>1296</v>
      </c>
      <c r="K1039" s="172" t="s">
        <v>177</v>
      </c>
      <c r="L1039" s="172" t="s">
        <v>175</v>
      </c>
      <c r="M1039" s="173" t="str" cm="1">
        <f t="array" ref="M1039">IFERROR(INDEX(CategoriesTable[Category type],MATCH(Table1[[#This Row],[Category]],CategoriesTable[Category name],0),0),"")</f>
        <v>Expense</v>
      </c>
      <c r="N1039" s="173">
        <v>2</v>
      </c>
      <c r="O1039" s="173">
        <f>MONTH(Table1[[#This Row],[Date]])</f>
        <v>2</v>
      </c>
      <c r="P1039" s="173">
        <v>2020</v>
      </c>
      <c r="Q1039" s="174">
        <f>IF(ISBLANK(Table1[[#This Row],[Date]]),"",Table1[[#This Row],[Date]]-WEEKDAY(Table1[[#This Row],[Date]],2)+1)</f>
        <v>43857</v>
      </c>
      <c r="R1039" s="175">
        <f>IF(ISBLANK(Table1[[#This Row],[Date]]),"",DATE(Table1[[#This Row],[Date_Year]],Table1[[#This Row],[Date_Month]],1))</f>
        <v>43862</v>
      </c>
    </row>
    <row r="1040" spans="2:18" ht="15.75" hidden="1" x14ac:dyDescent="0.25">
      <c r="B1040" s="165">
        <v>43863</v>
      </c>
      <c r="C1040" s="166" t="s">
        <v>120</v>
      </c>
      <c r="D1040" s="166" t="s">
        <v>66</v>
      </c>
      <c r="E1040" s="167"/>
      <c r="F1040" s="114">
        <v>-86.13</v>
      </c>
      <c r="G1040" s="168"/>
      <c r="H1040" s="169"/>
      <c r="I1040" s="170"/>
      <c r="J1040" s="171" t="s">
        <v>1297</v>
      </c>
      <c r="K1040" s="172" t="s">
        <v>177</v>
      </c>
      <c r="L1040" s="172" t="s">
        <v>175</v>
      </c>
      <c r="M1040" s="173" t="str" cm="1">
        <f t="array" ref="M1040">IFERROR(INDEX(CategoriesTable[Category type],MATCH(Table1[[#This Row],[Category]],CategoriesTable[Category name],0),0),"")</f>
        <v>Expense</v>
      </c>
      <c r="N1040" s="173">
        <v>2</v>
      </c>
      <c r="O1040" s="173">
        <f>MONTH(Table1[[#This Row],[Date]])</f>
        <v>2</v>
      </c>
      <c r="P1040" s="173">
        <v>2020</v>
      </c>
      <c r="Q1040" s="174">
        <f>IF(ISBLANK(Table1[[#This Row],[Date]]),"",Table1[[#This Row],[Date]]-WEEKDAY(Table1[[#This Row],[Date]],2)+1)</f>
        <v>43857</v>
      </c>
      <c r="R1040" s="175">
        <f>IF(ISBLANK(Table1[[#This Row],[Date]]),"",DATE(Table1[[#This Row],[Date_Year]],Table1[[#This Row],[Date_Month]],1))</f>
        <v>43862</v>
      </c>
    </row>
    <row r="1041" spans="2:18" ht="15.75" hidden="1" x14ac:dyDescent="0.25">
      <c r="B1041" s="165">
        <v>43863</v>
      </c>
      <c r="C1041" s="166" t="s">
        <v>121</v>
      </c>
      <c r="D1041" s="166" t="s">
        <v>65</v>
      </c>
      <c r="E1041" s="167"/>
      <c r="F1041" s="114">
        <v>-6.53</v>
      </c>
      <c r="G1041" s="168"/>
      <c r="H1041" s="169"/>
      <c r="I1041" s="170"/>
      <c r="J1041" s="171" t="s">
        <v>1298</v>
      </c>
      <c r="K1041" s="172" t="s">
        <v>177</v>
      </c>
      <c r="L1041" s="172" t="s">
        <v>175</v>
      </c>
      <c r="M1041" s="173" t="str" cm="1">
        <f t="array" ref="M1041">IFERROR(INDEX(CategoriesTable[Category type],MATCH(Table1[[#This Row],[Category]],CategoriesTable[Category name],0),0),"")</f>
        <v>Expense</v>
      </c>
      <c r="N1041" s="173">
        <v>2</v>
      </c>
      <c r="O1041" s="173">
        <f>MONTH(Table1[[#This Row],[Date]])</f>
        <v>2</v>
      </c>
      <c r="P1041" s="173">
        <v>2020</v>
      </c>
      <c r="Q1041" s="174">
        <f>IF(ISBLANK(Table1[[#This Row],[Date]]),"",Table1[[#This Row],[Date]]-WEEKDAY(Table1[[#This Row],[Date]],2)+1)</f>
        <v>43857</v>
      </c>
      <c r="R1041" s="175">
        <f>IF(ISBLANK(Table1[[#This Row],[Date]]),"",DATE(Table1[[#This Row],[Date_Year]],Table1[[#This Row],[Date_Month]],1))</f>
        <v>43862</v>
      </c>
    </row>
    <row r="1042" spans="2:18" ht="15.75" hidden="1" x14ac:dyDescent="0.25">
      <c r="B1042" s="165">
        <v>43862</v>
      </c>
      <c r="C1042" s="166" t="s">
        <v>247</v>
      </c>
      <c r="D1042" s="166" t="s">
        <v>65</v>
      </c>
      <c r="E1042" s="167"/>
      <c r="F1042" s="114">
        <v>-21.49</v>
      </c>
      <c r="G1042" s="168"/>
      <c r="H1042" s="169"/>
      <c r="I1042" s="170"/>
      <c r="J1042" s="171" t="s">
        <v>1299</v>
      </c>
      <c r="K1042" s="172" t="s">
        <v>177</v>
      </c>
      <c r="L1042" s="172" t="s">
        <v>175</v>
      </c>
      <c r="M1042" s="173" t="str" cm="1">
        <f t="array" ref="M1042">IFERROR(INDEX(CategoriesTable[Category type],MATCH(Table1[[#This Row],[Category]],CategoriesTable[Category name],0),0),"")</f>
        <v>Expense</v>
      </c>
      <c r="N1042" s="173">
        <v>1</v>
      </c>
      <c r="O1042" s="173">
        <f>MONTH(Table1[[#This Row],[Date]])</f>
        <v>2</v>
      </c>
      <c r="P1042" s="173">
        <v>2020</v>
      </c>
      <c r="Q1042" s="174">
        <f>IF(ISBLANK(Table1[[#This Row],[Date]]),"",Table1[[#This Row],[Date]]-WEEKDAY(Table1[[#This Row],[Date]],2)+1)</f>
        <v>43857</v>
      </c>
      <c r="R1042" s="175">
        <f>IF(ISBLANK(Table1[[#This Row],[Date]]),"",DATE(Table1[[#This Row],[Date_Year]],Table1[[#This Row],[Date_Month]],1))</f>
        <v>43862</v>
      </c>
    </row>
    <row r="1043" spans="2:18" ht="15.75" hidden="1" x14ac:dyDescent="0.25">
      <c r="B1043" s="165">
        <v>43862</v>
      </c>
      <c r="C1043" s="166" t="s">
        <v>120</v>
      </c>
      <c r="D1043" s="166" t="s">
        <v>66</v>
      </c>
      <c r="E1043" s="167"/>
      <c r="F1043" s="114">
        <v>-42.6</v>
      </c>
      <c r="G1043" s="168"/>
      <c r="H1043" s="169"/>
      <c r="I1043" s="170"/>
      <c r="J1043" s="171" t="s">
        <v>1300</v>
      </c>
      <c r="K1043" s="172" t="s">
        <v>177</v>
      </c>
      <c r="L1043" s="172" t="s">
        <v>175</v>
      </c>
      <c r="M1043" s="173" t="str" cm="1">
        <f t="array" ref="M1043">IFERROR(INDEX(CategoriesTable[Category type],MATCH(Table1[[#This Row],[Category]],CategoriesTable[Category name],0),0),"")</f>
        <v>Expense</v>
      </c>
      <c r="N1043" s="173">
        <v>1</v>
      </c>
      <c r="O1043" s="173">
        <f>MONTH(Table1[[#This Row],[Date]])</f>
        <v>2</v>
      </c>
      <c r="P1043" s="173">
        <v>2020</v>
      </c>
      <c r="Q1043" s="174">
        <f>IF(ISBLANK(Table1[[#This Row],[Date]]),"",Table1[[#This Row],[Date]]-WEEKDAY(Table1[[#This Row],[Date]],2)+1)</f>
        <v>43857</v>
      </c>
      <c r="R1043" s="175">
        <f>IF(ISBLANK(Table1[[#This Row],[Date]]),"",DATE(Table1[[#This Row],[Date_Year]],Table1[[#This Row],[Date_Month]],1))</f>
        <v>43862</v>
      </c>
    </row>
    <row r="1044" spans="2:18" ht="15.75" hidden="1" x14ac:dyDescent="0.25">
      <c r="B1044" s="165">
        <v>43862</v>
      </c>
      <c r="C1044" s="166" t="s">
        <v>121</v>
      </c>
      <c r="D1044" s="166" t="s">
        <v>65</v>
      </c>
      <c r="E1044" s="167"/>
      <c r="F1044" s="114">
        <v>-5.28</v>
      </c>
      <c r="G1044" s="168"/>
      <c r="H1044" s="169"/>
      <c r="I1044" s="170"/>
      <c r="J1044" s="171" t="s">
        <v>1301</v>
      </c>
      <c r="K1044" s="172" t="s">
        <v>177</v>
      </c>
      <c r="L1044" s="172" t="s">
        <v>175</v>
      </c>
      <c r="M1044" s="173" t="str" cm="1">
        <f t="array" ref="M1044">IFERROR(INDEX(CategoriesTable[Category type],MATCH(Table1[[#This Row],[Category]],CategoriesTable[Category name],0),0),"")</f>
        <v>Expense</v>
      </c>
      <c r="N1044" s="173">
        <v>1</v>
      </c>
      <c r="O1044" s="173">
        <f>MONTH(Table1[[#This Row],[Date]])</f>
        <v>2</v>
      </c>
      <c r="P1044" s="173">
        <v>2020</v>
      </c>
      <c r="Q1044" s="174">
        <f>IF(ISBLANK(Table1[[#This Row],[Date]]),"",Table1[[#This Row],[Date]]-WEEKDAY(Table1[[#This Row],[Date]],2)+1)</f>
        <v>43857</v>
      </c>
      <c r="R1044" s="175">
        <f>IF(ISBLANK(Table1[[#This Row],[Date]]),"",DATE(Table1[[#This Row],[Date_Year]],Table1[[#This Row],[Date_Month]],1))</f>
        <v>43862</v>
      </c>
    </row>
    <row r="1045" spans="2:18" ht="15.75" hidden="1" x14ac:dyDescent="0.25">
      <c r="B1045" s="165">
        <v>43862</v>
      </c>
      <c r="C1045" s="166" t="s">
        <v>121</v>
      </c>
      <c r="D1045" s="166" t="s">
        <v>65</v>
      </c>
      <c r="E1045" s="167"/>
      <c r="F1045" s="114">
        <v>-6.86</v>
      </c>
      <c r="G1045" s="168"/>
      <c r="H1045" s="169"/>
      <c r="I1045" s="170"/>
      <c r="J1045" s="171" t="s">
        <v>1302</v>
      </c>
      <c r="K1045" s="172" t="s">
        <v>177</v>
      </c>
      <c r="L1045" s="172" t="s">
        <v>175</v>
      </c>
      <c r="M1045" s="173" t="str" cm="1">
        <f t="array" ref="M1045">IFERROR(INDEX(CategoriesTable[Category type],MATCH(Table1[[#This Row],[Category]],CategoriesTable[Category name],0),0),"")</f>
        <v>Expense</v>
      </c>
      <c r="N1045" s="173">
        <v>1</v>
      </c>
      <c r="O1045" s="173">
        <f>MONTH(Table1[[#This Row],[Date]])</f>
        <v>2</v>
      </c>
      <c r="P1045" s="173">
        <v>2020</v>
      </c>
      <c r="Q1045" s="174">
        <f>IF(ISBLANK(Table1[[#This Row],[Date]]),"",Table1[[#This Row],[Date]]-WEEKDAY(Table1[[#This Row],[Date]],2)+1)</f>
        <v>43857</v>
      </c>
      <c r="R1045" s="175">
        <f>IF(ISBLANK(Table1[[#This Row],[Date]]),"",DATE(Table1[[#This Row],[Date_Year]],Table1[[#This Row],[Date_Month]],1))</f>
        <v>43862</v>
      </c>
    </row>
    <row r="1046" spans="2:18" ht="15.75" hidden="1" x14ac:dyDescent="0.25">
      <c r="B1046" s="165">
        <v>43862</v>
      </c>
      <c r="C1046" s="166" t="s">
        <v>135</v>
      </c>
      <c r="D1046" s="166" t="s">
        <v>53</v>
      </c>
      <c r="E1046" s="167"/>
      <c r="F1046" s="114">
        <v>-6.96</v>
      </c>
      <c r="G1046" s="168"/>
      <c r="H1046" s="169"/>
      <c r="I1046" s="170"/>
      <c r="J1046" s="171" t="s">
        <v>1303</v>
      </c>
      <c r="K1046" s="172" t="s">
        <v>177</v>
      </c>
      <c r="L1046" s="172" t="s">
        <v>175</v>
      </c>
      <c r="M1046" s="173" t="str" cm="1">
        <f t="array" ref="M1046">IFERROR(INDEX(CategoriesTable[Category type],MATCH(Table1[[#This Row],[Category]],CategoriesTable[Category name],0),0),"")</f>
        <v>Expense</v>
      </c>
      <c r="N1046" s="173">
        <v>1</v>
      </c>
      <c r="O1046" s="173">
        <f>MONTH(Table1[[#This Row],[Date]])</f>
        <v>2</v>
      </c>
      <c r="P1046" s="173">
        <v>2020</v>
      </c>
      <c r="Q1046" s="174">
        <f>IF(ISBLANK(Table1[[#This Row],[Date]]),"",Table1[[#This Row],[Date]]-WEEKDAY(Table1[[#This Row],[Date]],2)+1)</f>
        <v>43857</v>
      </c>
      <c r="R1046" s="175">
        <f>IF(ISBLANK(Table1[[#This Row],[Date]]),"",DATE(Table1[[#This Row],[Date_Year]],Table1[[#This Row],[Date_Month]],1))</f>
        <v>43862</v>
      </c>
    </row>
    <row r="1047" spans="2:18" ht="15.75" hidden="1" x14ac:dyDescent="0.25">
      <c r="B1047" s="165">
        <v>43861</v>
      </c>
      <c r="C1047" s="166" t="s">
        <v>138</v>
      </c>
      <c r="D1047" s="166" t="s">
        <v>66</v>
      </c>
      <c r="E1047" s="167"/>
      <c r="F1047" s="114">
        <v>-12.99</v>
      </c>
      <c r="G1047" s="168"/>
      <c r="H1047" s="169"/>
      <c r="I1047" s="170"/>
      <c r="J1047" s="171" t="s">
        <v>1304</v>
      </c>
      <c r="K1047" s="172" t="s">
        <v>177</v>
      </c>
      <c r="L1047" s="172" t="s">
        <v>175</v>
      </c>
      <c r="M1047" s="173" t="str" cm="1">
        <f t="array" ref="M1047">IFERROR(INDEX(CategoriesTable[Category type],MATCH(Table1[[#This Row],[Category]],CategoriesTable[Category name],0),0),"")</f>
        <v>Expense</v>
      </c>
      <c r="N1047" s="173">
        <v>31</v>
      </c>
      <c r="O1047" s="173">
        <f>MONTH(Table1[[#This Row],[Date]])</f>
        <v>1</v>
      </c>
      <c r="P1047" s="173">
        <v>2020</v>
      </c>
      <c r="Q1047" s="174">
        <f>IF(ISBLANK(Table1[[#This Row],[Date]]),"",Table1[[#This Row],[Date]]-WEEKDAY(Table1[[#This Row],[Date]],2)+1)</f>
        <v>43857</v>
      </c>
      <c r="R1047" s="175">
        <f>IF(ISBLANK(Table1[[#This Row],[Date]]),"",DATE(Table1[[#This Row],[Date_Year]],Table1[[#This Row],[Date_Month]],1))</f>
        <v>43831</v>
      </c>
    </row>
    <row r="1048" spans="2:18" ht="15.75" hidden="1" x14ac:dyDescent="0.25">
      <c r="B1048" s="165">
        <v>43861</v>
      </c>
      <c r="C1048" s="166" t="s">
        <v>1305</v>
      </c>
      <c r="D1048" s="166" t="s">
        <v>61</v>
      </c>
      <c r="E1048" s="167"/>
      <c r="F1048" s="114">
        <v>-130</v>
      </c>
      <c r="G1048" s="168"/>
      <c r="H1048" s="169"/>
      <c r="I1048" s="170"/>
      <c r="J1048" s="171" t="s">
        <v>1306</v>
      </c>
      <c r="K1048" s="172" t="s">
        <v>177</v>
      </c>
      <c r="L1048" s="172" t="s">
        <v>175</v>
      </c>
      <c r="M1048" s="173" t="str" cm="1">
        <f t="array" ref="M1048">IFERROR(INDEX(CategoriesTable[Category type],MATCH(Table1[[#This Row],[Category]],CategoriesTable[Category name],0),0),"")</f>
        <v>Expense</v>
      </c>
      <c r="N1048" s="173">
        <v>31</v>
      </c>
      <c r="O1048" s="173">
        <f>MONTH(Table1[[#This Row],[Date]])</f>
        <v>1</v>
      </c>
      <c r="P1048" s="173">
        <v>2020</v>
      </c>
      <c r="Q1048" s="174">
        <f>IF(ISBLANK(Table1[[#This Row],[Date]]),"",Table1[[#This Row],[Date]]-WEEKDAY(Table1[[#This Row],[Date]],2)+1)</f>
        <v>43857</v>
      </c>
      <c r="R1048" s="175">
        <f>IF(ISBLANK(Table1[[#This Row],[Date]]),"",DATE(Table1[[#This Row],[Date_Year]],Table1[[#This Row],[Date_Month]],1))</f>
        <v>43831</v>
      </c>
    </row>
    <row r="1049" spans="2:18" ht="15.75" hidden="1" x14ac:dyDescent="0.25">
      <c r="B1049" s="165">
        <v>43861</v>
      </c>
      <c r="C1049" s="166" t="s">
        <v>247</v>
      </c>
      <c r="D1049" s="166" t="s">
        <v>65</v>
      </c>
      <c r="E1049" s="167"/>
      <c r="F1049" s="114">
        <v>-9.43</v>
      </c>
      <c r="G1049" s="168"/>
      <c r="H1049" s="169"/>
      <c r="I1049" s="170"/>
      <c r="J1049" s="171" t="s">
        <v>1307</v>
      </c>
      <c r="K1049" s="172" t="s">
        <v>177</v>
      </c>
      <c r="L1049" s="172" t="s">
        <v>175</v>
      </c>
      <c r="M1049" s="173" t="str" cm="1">
        <f t="array" ref="M1049">IFERROR(INDEX(CategoriesTable[Category type],MATCH(Table1[[#This Row],[Category]],CategoriesTable[Category name],0),0),"")</f>
        <v>Expense</v>
      </c>
      <c r="N1049" s="173">
        <v>31</v>
      </c>
      <c r="O1049" s="173">
        <f>MONTH(Table1[[#This Row],[Date]])</f>
        <v>1</v>
      </c>
      <c r="P1049" s="173">
        <v>2020</v>
      </c>
      <c r="Q1049" s="174">
        <f>IF(ISBLANK(Table1[[#This Row],[Date]]),"",Table1[[#This Row],[Date]]-WEEKDAY(Table1[[#This Row],[Date]],2)+1)</f>
        <v>43857</v>
      </c>
      <c r="R1049" s="175">
        <f>IF(ISBLANK(Table1[[#This Row],[Date]]),"",DATE(Table1[[#This Row],[Date_Year]],Table1[[#This Row],[Date_Month]],1))</f>
        <v>43831</v>
      </c>
    </row>
    <row r="1050" spans="2:18" ht="15.75" hidden="1" x14ac:dyDescent="0.25">
      <c r="B1050" s="165">
        <v>43861</v>
      </c>
      <c r="C1050" s="166" t="s">
        <v>121</v>
      </c>
      <c r="D1050" s="166" t="s">
        <v>65</v>
      </c>
      <c r="E1050" s="167"/>
      <c r="F1050" s="114">
        <v>-6.53</v>
      </c>
      <c r="G1050" s="168"/>
      <c r="H1050" s="169"/>
      <c r="I1050" s="170"/>
      <c r="J1050" s="176" t="s">
        <v>1308</v>
      </c>
      <c r="K1050" s="172" t="s">
        <v>177</v>
      </c>
      <c r="L1050" s="172" t="s">
        <v>175</v>
      </c>
      <c r="M1050" s="173" t="str" cm="1">
        <f t="array" ref="M1050">IFERROR(INDEX(CategoriesTable[Category type],MATCH(Table1[[#This Row],[Category]],CategoriesTable[Category name],0),0),"")</f>
        <v>Expense</v>
      </c>
      <c r="N1050" s="173">
        <v>31</v>
      </c>
      <c r="O1050" s="173">
        <f>MONTH(Table1[[#This Row],[Date]])</f>
        <v>1</v>
      </c>
      <c r="P1050" s="173">
        <v>2020</v>
      </c>
      <c r="Q1050" s="174">
        <f>IF(ISBLANK(Table1[[#This Row],[Date]]),"",Table1[[#This Row],[Date]]-WEEKDAY(Table1[[#This Row],[Date]],2)+1)</f>
        <v>43857</v>
      </c>
      <c r="R1050" s="175">
        <f>IF(ISBLANK(Table1[[#This Row],[Date]]),"",DATE(Table1[[#This Row],[Date_Year]],Table1[[#This Row],[Date_Month]],1))</f>
        <v>43831</v>
      </c>
    </row>
    <row r="1051" spans="2:18" ht="15.75" hidden="1" x14ac:dyDescent="0.25">
      <c r="B1051" s="165">
        <v>43861</v>
      </c>
      <c r="C1051" s="166" t="s">
        <v>315</v>
      </c>
      <c r="D1051" s="166" t="s">
        <v>65</v>
      </c>
      <c r="E1051" s="167"/>
      <c r="F1051" s="114">
        <v>-15.89</v>
      </c>
      <c r="G1051" s="168"/>
      <c r="H1051" s="169"/>
      <c r="I1051" s="170"/>
      <c r="J1051" s="171" t="s">
        <v>1309</v>
      </c>
      <c r="K1051" s="172" t="s">
        <v>177</v>
      </c>
      <c r="L1051" s="172" t="s">
        <v>175</v>
      </c>
      <c r="M1051" s="173" t="str" cm="1">
        <f t="array" ref="M1051">IFERROR(INDEX(CategoriesTable[Category type],MATCH(Table1[[#This Row],[Category]],CategoriesTable[Category name],0),0),"")</f>
        <v>Expense</v>
      </c>
      <c r="N1051" s="173">
        <v>31</v>
      </c>
      <c r="O1051" s="173">
        <f>MONTH(Table1[[#This Row],[Date]])</f>
        <v>1</v>
      </c>
      <c r="P1051" s="173">
        <v>2020</v>
      </c>
      <c r="Q1051" s="174">
        <f>IF(ISBLANK(Table1[[#This Row],[Date]]),"",Table1[[#This Row],[Date]]-WEEKDAY(Table1[[#This Row],[Date]],2)+1)</f>
        <v>43857</v>
      </c>
      <c r="R1051" s="175">
        <f>IF(ISBLANK(Table1[[#This Row],[Date]]),"",DATE(Table1[[#This Row],[Date_Year]],Table1[[#This Row],[Date_Month]],1))</f>
        <v>43831</v>
      </c>
    </row>
    <row r="1052" spans="2:18" ht="15.75" hidden="1" x14ac:dyDescent="0.25">
      <c r="B1052" s="165">
        <v>43861</v>
      </c>
      <c r="C1052" s="166" t="s">
        <v>1310</v>
      </c>
      <c r="D1052" s="166" t="s">
        <v>50</v>
      </c>
      <c r="E1052" s="167"/>
      <c r="F1052" s="114">
        <v>540</v>
      </c>
      <c r="G1052" s="168"/>
      <c r="H1052" s="169"/>
      <c r="I1052" s="170"/>
      <c r="J1052" s="171" t="s">
        <v>1311</v>
      </c>
      <c r="K1052" s="172" t="s">
        <v>177</v>
      </c>
      <c r="L1052" s="172" t="s">
        <v>175</v>
      </c>
      <c r="M1052" s="173" t="str" cm="1">
        <f t="array" ref="M1052">IFERROR(INDEX(CategoriesTable[Category type],MATCH(Table1[[#This Row],[Category]],CategoriesTable[Category name],0),0),"")</f>
        <v>Income</v>
      </c>
      <c r="N1052" s="173">
        <v>31</v>
      </c>
      <c r="O1052" s="173">
        <f>MONTH(Table1[[#This Row],[Date]])</f>
        <v>1</v>
      </c>
      <c r="P1052" s="173">
        <v>2020</v>
      </c>
      <c r="Q1052" s="174">
        <f>IF(ISBLANK(Table1[[#This Row],[Date]]),"",Table1[[#This Row],[Date]]-WEEKDAY(Table1[[#This Row],[Date]],2)+1)</f>
        <v>43857</v>
      </c>
      <c r="R1052" s="175">
        <f>IF(ISBLANK(Table1[[#This Row],[Date]]),"",DATE(Table1[[#This Row],[Date_Year]],Table1[[#This Row],[Date_Month]],1))</f>
        <v>43831</v>
      </c>
    </row>
    <row r="1053" spans="2:18" ht="15.75" hidden="1" x14ac:dyDescent="0.25">
      <c r="B1053" s="165">
        <v>43861</v>
      </c>
      <c r="C1053" s="166" t="s">
        <v>1312</v>
      </c>
      <c r="D1053" s="166" t="s">
        <v>57</v>
      </c>
      <c r="E1053" s="167"/>
      <c r="F1053" s="114">
        <v>36</v>
      </c>
      <c r="G1053" s="168"/>
      <c r="H1053" s="169"/>
      <c r="I1053" s="170"/>
      <c r="J1053" s="171" t="s">
        <v>1313</v>
      </c>
      <c r="K1053" s="172" t="s">
        <v>177</v>
      </c>
      <c r="L1053" s="172" t="s">
        <v>175</v>
      </c>
      <c r="M1053" s="173" t="str" cm="1">
        <f t="array" ref="M1053">IFERROR(INDEX(CategoriesTable[Category type],MATCH(Table1[[#This Row],[Category]],CategoriesTable[Category name],0),0),"")</f>
        <v>Expense</v>
      </c>
      <c r="N1053" s="173">
        <v>31</v>
      </c>
      <c r="O1053" s="173">
        <f>MONTH(Table1[[#This Row],[Date]])</f>
        <v>1</v>
      </c>
      <c r="P1053" s="173">
        <v>2020</v>
      </c>
      <c r="Q1053" s="174">
        <f>IF(ISBLANK(Table1[[#This Row],[Date]]),"",Table1[[#This Row],[Date]]-WEEKDAY(Table1[[#This Row],[Date]],2)+1)</f>
        <v>43857</v>
      </c>
      <c r="R1053" s="175">
        <f>IF(ISBLANK(Table1[[#This Row],[Date]]),"",DATE(Table1[[#This Row],[Date_Year]],Table1[[#This Row],[Date_Month]],1))</f>
        <v>43831</v>
      </c>
    </row>
    <row r="1054" spans="2:18" ht="15.75" hidden="1" x14ac:dyDescent="0.25">
      <c r="B1054" s="165">
        <v>43861</v>
      </c>
      <c r="C1054" s="166" t="s">
        <v>193</v>
      </c>
      <c r="D1054" s="166" t="s">
        <v>58</v>
      </c>
      <c r="E1054" s="167"/>
      <c r="F1054" s="114">
        <v>-46.84</v>
      </c>
      <c r="G1054" s="168"/>
      <c r="H1054" s="169"/>
      <c r="I1054" s="170"/>
      <c r="J1054" s="171" t="s">
        <v>1314</v>
      </c>
      <c r="K1054" s="172" t="s">
        <v>177</v>
      </c>
      <c r="L1054" s="172" t="s">
        <v>175</v>
      </c>
      <c r="M1054" s="173" t="str" cm="1">
        <f t="array" ref="M1054">IFERROR(INDEX(CategoriesTable[Category type],MATCH(Table1[[#This Row],[Category]],CategoriesTable[Category name],0),0),"")</f>
        <v>Expense</v>
      </c>
      <c r="N1054" s="173">
        <v>31</v>
      </c>
      <c r="O1054" s="173">
        <f>MONTH(Table1[[#This Row],[Date]])</f>
        <v>1</v>
      </c>
      <c r="P1054" s="173">
        <v>2020</v>
      </c>
      <c r="Q1054" s="174">
        <f>IF(ISBLANK(Table1[[#This Row],[Date]]),"",Table1[[#This Row],[Date]]-WEEKDAY(Table1[[#This Row],[Date]],2)+1)</f>
        <v>43857</v>
      </c>
      <c r="R1054" s="175">
        <f>IF(ISBLANK(Table1[[#This Row],[Date]]),"",DATE(Table1[[#This Row],[Date_Year]],Table1[[#This Row],[Date_Month]],1))</f>
        <v>43831</v>
      </c>
    </row>
    <row r="1055" spans="2:18" ht="15.75" hidden="1" x14ac:dyDescent="0.25">
      <c r="B1055" s="165">
        <v>43860</v>
      </c>
      <c r="C1055" s="166" t="s">
        <v>1315</v>
      </c>
      <c r="D1055" s="166" t="s">
        <v>63</v>
      </c>
      <c r="E1055" s="167"/>
      <c r="F1055" s="114">
        <v>-250</v>
      </c>
      <c r="G1055" s="168"/>
      <c r="H1055" s="169"/>
      <c r="I1055" s="170"/>
      <c r="J1055" s="171" t="s">
        <v>1316</v>
      </c>
      <c r="K1055" s="172" t="s">
        <v>177</v>
      </c>
      <c r="L1055" s="172" t="s">
        <v>175</v>
      </c>
      <c r="M1055" s="173" t="str" cm="1">
        <f t="array" ref="M1055">IFERROR(INDEX(CategoriesTable[Category type],MATCH(Table1[[#This Row],[Category]],CategoriesTable[Category name],0),0),"")</f>
        <v>Expense</v>
      </c>
      <c r="N1055" s="173">
        <v>30</v>
      </c>
      <c r="O1055" s="173">
        <f>MONTH(Table1[[#This Row],[Date]])</f>
        <v>1</v>
      </c>
      <c r="P1055" s="173">
        <v>2020</v>
      </c>
      <c r="Q1055" s="174">
        <f>IF(ISBLANK(Table1[[#This Row],[Date]]),"",Table1[[#This Row],[Date]]-WEEKDAY(Table1[[#This Row],[Date]],2)+1)</f>
        <v>43857</v>
      </c>
      <c r="R1055" s="175">
        <f>IF(ISBLANK(Table1[[#This Row],[Date]]),"",DATE(Table1[[#This Row],[Date_Year]],Table1[[#This Row],[Date_Month]],1))</f>
        <v>43831</v>
      </c>
    </row>
    <row r="1056" spans="2:18" ht="15.75" hidden="1" x14ac:dyDescent="0.25">
      <c r="B1056" s="165">
        <v>43860</v>
      </c>
      <c r="C1056" s="166" t="s">
        <v>134</v>
      </c>
      <c r="D1056" s="166" t="s">
        <v>57</v>
      </c>
      <c r="E1056" s="167"/>
      <c r="F1056" s="114">
        <v>-36</v>
      </c>
      <c r="G1056" s="168"/>
      <c r="H1056" s="169"/>
      <c r="I1056" s="170"/>
      <c r="J1056" s="171" t="s">
        <v>1317</v>
      </c>
      <c r="K1056" s="172" t="s">
        <v>177</v>
      </c>
      <c r="L1056" s="172" t="s">
        <v>175</v>
      </c>
      <c r="M1056" s="173" t="str" cm="1">
        <f t="array" ref="M1056">IFERROR(INDEX(CategoriesTable[Category type],MATCH(Table1[[#This Row],[Category]],CategoriesTable[Category name],0),0),"")</f>
        <v>Expense</v>
      </c>
      <c r="N1056" s="173">
        <v>30</v>
      </c>
      <c r="O1056" s="173">
        <f>MONTH(Table1[[#This Row],[Date]])</f>
        <v>1</v>
      </c>
      <c r="P1056" s="173">
        <v>2020</v>
      </c>
      <c r="Q1056" s="174">
        <f>IF(ISBLANK(Table1[[#This Row],[Date]]),"",Table1[[#This Row],[Date]]-WEEKDAY(Table1[[#This Row],[Date]],2)+1)</f>
        <v>43857</v>
      </c>
      <c r="R1056" s="175">
        <f>IF(ISBLANK(Table1[[#This Row],[Date]]),"",DATE(Table1[[#This Row],[Date_Year]],Table1[[#This Row],[Date_Month]],1))</f>
        <v>43831</v>
      </c>
    </row>
    <row r="1057" spans="2:18" ht="15.75" hidden="1" x14ac:dyDescent="0.25">
      <c r="B1057" s="165">
        <v>43860</v>
      </c>
      <c r="C1057" s="166" t="s">
        <v>121</v>
      </c>
      <c r="D1057" s="166" t="s">
        <v>65</v>
      </c>
      <c r="E1057" s="167"/>
      <c r="F1057" s="114">
        <v>0</v>
      </c>
      <c r="G1057" s="168"/>
      <c r="H1057" s="169"/>
      <c r="I1057" s="170"/>
      <c r="J1057" s="171" t="s">
        <v>1318</v>
      </c>
      <c r="K1057" s="172" t="s">
        <v>177</v>
      </c>
      <c r="L1057" s="172" t="s">
        <v>175</v>
      </c>
      <c r="M1057" s="173" t="str" cm="1">
        <f t="array" ref="M1057">IFERROR(INDEX(CategoriesTable[Category type],MATCH(Table1[[#This Row],[Category]],CategoriesTable[Category name],0),0),"")</f>
        <v>Expense</v>
      </c>
      <c r="N1057" s="173">
        <v>30</v>
      </c>
      <c r="O1057" s="173">
        <f>MONTH(Table1[[#This Row],[Date]])</f>
        <v>1</v>
      </c>
      <c r="P1057" s="173">
        <v>2020</v>
      </c>
      <c r="Q1057" s="174">
        <f>IF(ISBLANK(Table1[[#This Row],[Date]]),"",Table1[[#This Row],[Date]]-WEEKDAY(Table1[[#This Row],[Date]],2)+1)</f>
        <v>43857</v>
      </c>
      <c r="R1057" s="175">
        <f>IF(ISBLANK(Table1[[#This Row],[Date]]),"",DATE(Table1[[#This Row],[Date_Year]],Table1[[#This Row],[Date_Month]],1))</f>
        <v>43831</v>
      </c>
    </row>
    <row r="1058" spans="2:18" ht="15.75" hidden="1" x14ac:dyDescent="0.25">
      <c r="B1058" s="165">
        <v>43860</v>
      </c>
      <c r="C1058" s="166" t="s">
        <v>358</v>
      </c>
      <c r="D1058" s="166" t="s">
        <v>57</v>
      </c>
      <c r="E1058" s="167"/>
      <c r="F1058" s="114">
        <v>-36</v>
      </c>
      <c r="G1058" s="168"/>
      <c r="H1058" s="169"/>
      <c r="I1058" s="170"/>
      <c r="J1058" s="171" t="s">
        <v>1319</v>
      </c>
      <c r="K1058" s="172" t="s">
        <v>177</v>
      </c>
      <c r="L1058" s="172" t="s">
        <v>175</v>
      </c>
      <c r="M1058" s="173" t="str" cm="1">
        <f t="array" ref="M1058">IFERROR(INDEX(CategoriesTable[Category type],MATCH(Table1[[#This Row],[Category]],CategoriesTable[Category name],0),0),"")</f>
        <v>Expense</v>
      </c>
      <c r="N1058" s="173">
        <v>30</v>
      </c>
      <c r="O1058" s="173">
        <f>MONTH(Table1[[#This Row],[Date]])</f>
        <v>1</v>
      </c>
      <c r="P1058" s="173">
        <v>2020</v>
      </c>
      <c r="Q1058" s="174">
        <f>IF(ISBLANK(Table1[[#This Row],[Date]]),"",Table1[[#This Row],[Date]]-WEEKDAY(Table1[[#This Row],[Date]],2)+1)</f>
        <v>43857</v>
      </c>
      <c r="R1058" s="175">
        <f>IF(ISBLANK(Table1[[#This Row],[Date]]),"",DATE(Table1[[#This Row],[Date_Year]],Table1[[#This Row],[Date_Month]],1))</f>
        <v>43831</v>
      </c>
    </row>
    <row r="1059" spans="2:18" ht="15.75" hidden="1" x14ac:dyDescent="0.25">
      <c r="B1059" s="165">
        <v>43860</v>
      </c>
      <c r="C1059" s="166" t="s">
        <v>135</v>
      </c>
      <c r="D1059" s="166" t="s">
        <v>57</v>
      </c>
      <c r="E1059" s="167"/>
      <c r="F1059" s="114">
        <v>-36</v>
      </c>
      <c r="G1059" s="168"/>
      <c r="H1059" s="169"/>
      <c r="I1059" s="170"/>
      <c r="J1059" s="171" t="s">
        <v>1320</v>
      </c>
      <c r="K1059" s="172" t="s">
        <v>177</v>
      </c>
      <c r="L1059" s="172" t="s">
        <v>175</v>
      </c>
      <c r="M1059" s="173" t="str" cm="1">
        <f t="array" ref="M1059">IFERROR(INDEX(CategoriesTable[Category type],MATCH(Table1[[#This Row],[Category]],CategoriesTable[Category name],0),0),"")</f>
        <v>Expense</v>
      </c>
      <c r="N1059" s="173">
        <v>30</v>
      </c>
      <c r="O1059" s="173">
        <f>MONTH(Table1[[#This Row],[Date]])</f>
        <v>1</v>
      </c>
      <c r="P1059" s="173">
        <v>2020</v>
      </c>
      <c r="Q1059" s="174">
        <f>IF(ISBLANK(Table1[[#This Row],[Date]]),"",Table1[[#This Row],[Date]]-WEEKDAY(Table1[[#This Row],[Date]],2)+1)</f>
        <v>43857</v>
      </c>
      <c r="R1059" s="175">
        <f>IF(ISBLANK(Table1[[#This Row],[Date]]),"",DATE(Table1[[#This Row],[Date_Year]],Table1[[#This Row],[Date_Month]],1))</f>
        <v>43831</v>
      </c>
    </row>
    <row r="1060" spans="2:18" ht="15.75" hidden="1" x14ac:dyDescent="0.25">
      <c r="B1060" s="165">
        <v>43859</v>
      </c>
      <c r="C1060" s="166" t="s">
        <v>1321</v>
      </c>
      <c r="D1060" s="166" t="s">
        <v>61</v>
      </c>
      <c r="E1060" s="167"/>
      <c r="F1060" s="114">
        <v>-60</v>
      </c>
      <c r="G1060" s="168"/>
      <c r="H1060" s="169"/>
      <c r="I1060" s="170"/>
      <c r="J1060" s="171" t="s">
        <v>1322</v>
      </c>
      <c r="K1060" s="172" t="s">
        <v>177</v>
      </c>
      <c r="L1060" s="172" t="s">
        <v>175</v>
      </c>
      <c r="M1060" s="173" t="str" cm="1">
        <f t="array" ref="M1060">IFERROR(INDEX(CategoriesTable[Category type],MATCH(Table1[[#This Row],[Category]],CategoriesTable[Category name],0),0),"")</f>
        <v>Expense</v>
      </c>
      <c r="N1060" s="173">
        <v>29</v>
      </c>
      <c r="O1060" s="173">
        <f>MONTH(Table1[[#This Row],[Date]])</f>
        <v>1</v>
      </c>
      <c r="P1060" s="173">
        <v>2020</v>
      </c>
      <c r="Q1060" s="174">
        <f>IF(ISBLANK(Table1[[#This Row],[Date]]),"",Table1[[#This Row],[Date]]-WEEKDAY(Table1[[#This Row],[Date]],2)+1)</f>
        <v>43857</v>
      </c>
      <c r="R1060" s="175">
        <f>IF(ISBLANK(Table1[[#This Row],[Date]]),"",DATE(Table1[[#This Row],[Date_Year]],Table1[[#This Row],[Date_Month]],1))</f>
        <v>43831</v>
      </c>
    </row>
    <row r="1061" spans="2:18" ht="15.75" hidden="1" x14ac:dyDescent="0.25">
      <c r="B1061" s="165">
        <v>43859</v>
      </c>
      <c r="C1061" s="166" t="s">
        <v>134</v>
      </c>
      <c r="D1061" s="166" t="s">
        <v>65</v>
      </c>
      <c r="E1061" s="167"/>
      <c r="F1061" s="114">
        <v>-26.29</v>
      </c>
      <c r="G1061" s="168"/>
      <c r="H1061" s="169"/>
      <c r="I1061" s="170"/>
      <c r="J1061" s="171" t="s">
        <v>1323</v>
      </c>
      <c r="K1061" s="172" t="s">
        <v>177</v>
      </c>
      <c r="L1061" s="172" t="s">
        <v>175</v>
      </c>
      <c r="M1061" s="173" t="str" cm="1">
        <f t="array" ref="M1061">IFERROR(INDEX(CategoriesTable[Category type],MATCH(Table1[[#This Row],[Category]],CategoriesTable[Category name],0),0),"")</f>
        <v>Expense</v>
      </c>
      <c r="N1061" s="173">
        <v>29</v>
      </c>
      <c r="O1061" s="173">
        <f>MONTH(Table1[[#This Row],[Date]])</f>
        <v>1</v>
      </c>
      <c r="P1061" s="173">
        <v>2020</v>
      </c>
      <c r="Q1061" s="174">
        <f>IF(ISBLANK(Table1[[#This Row],[Date]]),"",Table1[[#This Row],[Date]]-WEEKDAY(Table1[[#This Row],[Date]],2)+1)</f>
        <v>43857</v>
      </c>
      <c r="R1061" s="175">
        <f>IF(ISBLANK(Table1[[#This Row],[Date]]),"",DATE(Table1[[#This Row],[Date_Year]],Table1[[#This Row],[Date_Month]],1))</f>
        <v>43831</v>
      </c>
    </row>
    <row r="1062" spans="2:18" ht="15.75" hidden="1" x14ac:dyDescent="0.25">
      <c r="B1062" s="165">
        <v>43859</v>
      </c>
      <c r="C1062" s="166" t="s">
        <v>121</v>
      </c>
      <c r="D1062" s="166" t="s">
        <v>65</v>
      </c>
      <c r="E1062" s="167"/>
      <c r="F1062" s="114">
        <v>-4.74</v>
      </c>
      <c r="G1062" s="168"/>
      <c r="H1062" s="169"/>
      <c r="I1062" s="170"/>
      <c r="J1062" s="171" t="s">
        <v>1324</v>
      </c>
      <c r="K1062" s="172" t="s">
        <v>177</v>
      </c>
      <c r="L1062" s="172" t="s">
        <v>175</v>
      </c>
      <c r="M1062" s="173" t="str" cm="1">
        <f t="array" ref="M1062">IFERROR(INDEX(CategoriesTable[Category type],MATCH(Table1[[#This Row],[Category]],CategoriesTable[Category name],0),0),"")</f>
        <v>Expense</v>
      </c>
      <c r="N1062" s="173">
        <v>29</v>
      </c>
      <c r="O1062" s="173">
        <f>MONTH(Table1[[#This Row],[Date]])</f>
        <v>1</v>
      </c>
      <c r="P1062" s="173">
        <v>2020</v>
      </c>
      <c r="Q1062" s="174">
        <f>IF(ISBLANK(Table1[[#This Row],[Date]]),"",Table1[[#This Row],[Date]]-WEEKDAY(Table1[[#This Row],[Date]],2)+1)</f>
        <v>43857</v>
      </c>
      <c r="R1062" s="175">
        <f>IF(ISBLANK(Table1[[#This Row],[Date]]),"",DATE(Table1[[#This Row],[Date_Year]],Table1[[#This Row],[Date_Month]],1))</f>
        <v>43831</v>
      </c>
    </row>
    <row r="1063" spans="2:18" ht="15.75" hidden="1" x14ac:dyDescent="0.25">
      <c r="B1063" s="165">
        <v>43859</v>
      </c>
      <c r="C1063" s="166" t="s">
        <v>135</v>
      </c>
      <c r="D1063" s="166" t="s">
        <v>53</v>
      </c>
      <c r="E1063" s="167"/>
      <c r="F1063" s="114">
        <v>-15</v>
      </c>
      <c r="G1063" s="168"/>
      <c r="H1063" s="169"/>
      <c r="I1063" s="170"/>
      <c r="J1063" s="171" t="s">
        <v>1325</v>
      </c>
      <c r="K1063" s="172" t="s">
        <v>177</v>
      </c>
      <c r="L1063" s="172" t="s">
        <v>175</v>
      </c>
      <c r="M1063" s="173" t="str" cm="1">
        <f t="array" ref="M1063">IFERROR(INDEX(CategoriesTable[Category type],MATCH(Table1[[#This Row],[Category]],CategoriesTable[Category name],0),0),"")</f>
        <v>Expense</v>
      </c>
      <c r="N1063" s="173">
        <v>29</v>
      </c>
      <c r="O1063" s="173">
        <f>MONTH(Table1[[#This Row],[Date]])</f>
        <v>1</v>
      </c>
      <c r="P1063" s="173">
        <v>2020</v>
      </c>
      <c r="Q1063" s="174">
        <f>IF(ISBLANK(Table1[[#This Row],[Date]]),"",Table1[[#This Row],[Date]]-WEEKDAY(Table1[[#This Row],[Date]],2)+1)</f>
        <v>43857</v>
      </c>
      <c r="R1063" s="175">
        <f>IF(ISBLANK(Table1[[#This Row],[Date]]),"",DATE(Table1[[#This Row],[Date_Year]],Table1[[#This Row],[Date_Month]],1))</f>
        <v>43831</v>
      </c>
    </row>
    <row r="1064" spans="2:18" ht="15.75" hidden="1" x14ac:dyDescent="0.25">
      <c r="B1064" s="165">
        <v>43859</v>
      </c>
      <c r="C1064" s="166" t="s">
        <v>803</v>
      </c>
      <c r="D1064" s="166" t="s">
        <v>51</v>
      </c>
      <c r="E1064" s="167"/>
      <c r="F1064" s="114">
        <v>69</v>
      </c>
      <c r="G1064" s="168"/>
      <c r="H1064" s="169"/>
      <c r="I1064" s="170"/>
      <c r="J1064" s="171" t="s">
        <v>1326</v>
      </c>
      <c r="K1064" s="172" t="s">
        <v>177</v>
      </c>
      <c r="L1064" s="172" t="s">
        <v>175</v>
      </c>
      <c r="M1064" s="173" t="str" cm="1">
        <f t="array" ref="M1064">IFERROR(INDEX(CategoriesTable[Category type],MATCH(Table1[[#This Row],[Category]],CategoriesTable[Category name],0),0),"")</f>
        <v>Transfer</v>
      </c>
      <c r="N1064" s="173">
        <v>29</v>
      </c>
      <c r="O1064" s="173">
        <f>MONTH(Table1[[#This Row],[Date]])</f>
        <v>1</v>
      </c>
      <c r="P1064" s="173">
        <v>2020</v>
      </c>
      <c r="Q1064" s="174">
        <f>IF(ISBLANK(Table1[[#This Row],[Date]]),"",Table1[[#This Row],[Date]]-WEEKDAY(Table1[[#This Row],[Date]],2)+1)</f>
        <v>43857</v>
      </c>
      <c r="R1064" s="175">
        <f>IF(ISBLANK(Table1[[#This Row],[Date]]),"",DATE(Table1[[#This Row],[Date_Year]],Table1[[#This Row],[Date_Month]],1))</f>
        <v>43831</v>
      </c>
    </row>
    <row r="1065" spans="2:18" ht="15.75" hidden="1" x14ac:dyDescent="0.25">
      <c r="B1065" s="165">
        <v>43859</v>
      </c>
      <c r="C1065" s="166" t="s">
        <v>284</v>
      </c>
      <c r="D1065" s="166" t="s">
        <v>52</v>
      </c>
      <c r="E1065" s="167"/>
      <c r="F1065" s="114">
        <v>-315</v>
      </c>
      <c r="G1065" s="168"/>
      <c r="H1065" s="169"/>
      <c r="I1065" s="170"/>
      <c r="J1065" s="171" t="s">
        <v>1327</v>
      </c>
      <c r="K1065" s="172" t="s">
        <v>177</v>
      </c>
      <c r="L1065" s="172" t="s">
        <v>175</v>
      </c>
      <c r="M1065" s="173" t="str" cm="1">
        <f t="array" ref="M1065">IFERROR(INDEX(CategoriesTable[Category type],MATCH(Table1[[#This Row],[Category]],CategoriesTable[Category name],0),0),"")</f>
        <v>Transfer</v>
      </c>
      <c r="N1065" s="173">
        <v>29</v>
      </c>
      <c r="O1065" s="173">
        <f>MONTH(Table1[[#This Row],[Date]])</f>
        <v>1</v>
      </c>
      <c r="P1065" s="173">
        <v>2020</v>
      </c>
      <c r="Q1065" s="174">
        <f>IF(ISBLANK(Table1[[#This Row],[Date]]),"",Table1[[#This Row],[Date]]-WEEKDAY(Table1[[#This Row],[Date]],2)+1)</f>
        <v>43857</v>
      </c>
      <c r="R1065" s="175">
        <f>IF(ISBLANK(Table1[[#This Row],[Date]]),"",DATE(Table1[[#This Row],[Date_Year]],Table1[[#This Row],[Date_Month]],1))</f>
        <v>43831</v>
      </c>
    </row>
    <row r="1066" spans="2:18" ht="15.75" hidden="1" x14ac:dyDescent="0.25">
      <c r="B1066" s="165">
        <v>43859</v>
      </c>
      <c r="C1066" s="166" t="s">
        <v>715</v>
      </c>
      <c r="D1066" s="166" t="s">
        <v>55</v>
      </c>
      <c r="E1066" s="167"/>
      <c r="F1066" s="114">
        <v>-318</v>
      </c>
      <c r="G1066" s="168"/>
      <c r="H1066" s="169"/>
      <c r="I1066" s="170"/>
      <c r="J1066" s="171" t="s">
        <v>1328</v>
      </c>
      <c r="K1066" s="172" t="s">
        <v>177</v>
      </c>
      <c r="L1066" s="172" t="s">
        <v>175</v>
      </c>
      <c r="M1066" s="173" t="str" cm="1">
        <f t="array" ref="M1066">IFERROR(INDEX(CategoriesTable[Category type],MATCH(Table1[[#This Row],[Category]],CategoriesTable[Category name],0),0),"")</f>
        <v>Expense</v>
      </c>
      <c r="N1066" s="173">
        <v>29</v>
      </c>
      <c r="O1066" s="173">
        <f>MONTH(Table1[[#This Row],[Date]])</f>
        <v>1</v>
      </c>
      <c r="P1066" s="173">
        <v>2020</v>
      </c>
      <c r="Q1066" s="174">
        <f>IF(ISBLANK(Table1[[#This Row],[Date]]),"",Table1[[#This Row],[Date]]-WEEKDAY(Table1[[#This Row],[Date]],2)+1)</f>
        <v>43857</v>
      </c>
      <c r="R1066" s="175">
        <f>IF(ISBLANK(Table1[[#This Row],[Date]]),"",DATE(Table1[[#This Row],[Date_Year]],Table1[[#This Row],[Date_Month]],1))</f>
        <v>43831</v>
      </c>
    </row>
    <row r="1067" spans="2:18" ht="15.75" hidden="1" x14ac:dyDescent="0.25">
      <c r="B1067" s="165">
        <v>43859</v>
      </c>
      <c r="C1067" s="166" t="s">
        <v>806</v>
      </c>
      <c r="D1067" s="166" t="s">
        <v>63</v>
      </c>
      <c r="E1067" s="167"/>
      <c r="F1067" s="114">
        <v>-12.5</v>
      </c>
      <c r="G1067" s="168"/>
      <c r="H1067" s="169"/>
      <c r="I1067" s="170"/>
      <c r="J1067" s="171" t="s">
        <v>1329</v>
      </c>
      <c r="K1067" s="172" t="s">
        <v>177</v>
      </c>
      <c r="L1067" s="172" t="s">
        <v>175</v>
      </c>
      <c r="M1067" s="173" t="str" cm="1">
        <f t="array" ref="M1067">IFERROR(INDEX(CategoriesTable[Category type],MATCH(Table1[[#This Row],[Category]],CategoriesTable[Category name],0),0),"")</f>
        <v>Expense</v>
      </c>
      <c r="N1067" s="173">
        <v>29</v>
      </c>
      <c r="O1067" s="173">
        <f>MONTH(Table1[[#This Row],[Date]])</f>
        <v>1</v>
      </c>
      <c r="P1067" s="173">
        <v>2020</v>
      </c>
      <c r="Q1067" s="174">
        <f>IF(ISBLANK(Table1[[#This Row],[Date]]),"",Table1[[#This Row],[Date]]-WEEKDAY(Table1[[#This Row],[Date]],2)+1)</f>
        <v>43857</v>
      </c>
      <c r="R1067" s="175">
        <f>IF(ISBLANK(Table1[[#This Row],[Date]]),"",DATE(Table1[[#This Row],[Date_Year]],Table1[[#This Row],[Date_Month]],1))</f>
        <v>43831</v>
      </c>
    </row>
    <row r="1068" spans="2:18" ht="15.75" hidden="1" x14ac:dyDescent="0.25">
      <c r="B1068" s="165">
        <v>43858</v>
      </c>
      <c r="C1068" s="166" t="s">
        <v>1102</v>
      </c>
      <c r="D1068" s="166" t="s">
        <v>58</v>
      </c>
      <c r="E1068" s="167"/>
      <c r="F1068" s="114">
        <v>-5.85</v>
      </c>
      <c r="G1068" s="168"/>
      <c r="H1068" s="169"/>
      <c r="I1068" s="170"/>
      <c r="J1068" s="171" t="s">
        <v>1330</v>
      </c>
      <c r="K1068" s="172" t="s">
        <v>177</v>
      </c>
      <c r="L1068" s="172" t="s">
        <v>175</v>
      </c>
      <c r="M1068" s="173" t="str" cm="1">
        <f t="array" ref="M1068">IFERROR(INDEX(CategoriesTable[Category type],MATCH(Table1[[#This Row],[Category]],CategoriesTable[Category name],0),0),"")</f>
        <v>Expense</v>
      </c>
      <c r="N1068" s="173">
        <v>28</v>
      </c>
      <c r="O1068" s="173">
        <f>MONTH(Table1[[#This Row],[Date]])</f>
        <v>1</v>
      </c>
      <c r="P1068" s="173">
        <v>2020</v>
      </c>
      <c r="Q1068" s="174">
        <f>IF(ISBLANK(Table1[[#This Row],[Date]]),"",Table1[[#This Row],[Date]]-WEEKDAY(Table1[[#This Row],[Date]],2)+1)</f>
        <v>43857</v>
      </c>
      <c r="R1068" s="175">
        <f>IF(ISBLANK(Table1[[#This Row],[Date]]),"",DATE(Table1[[#This Row],[Date_Year]],Table1[[#This Row],[Date_Month]],1))</f>
        <v>43831</v>
      </c>
    </row>
    <row r="1069" spans="2:18" ht="15.75" hidden="1" x14ac:dyDescent="0.25">
      <c r="B1069" s="165">
        <v>43858</v>
      </c>
      <c r="C1069" s="166" t="s">
        <v>953</v>
      </c>
      <c r="D1069" s="166" t="s">
        <v>58</v>
      </c>
      <c r="E1069" s="167"/>
      <c r="F1069" s="114">
        <v>-21.99</v>
      </c>
      <c r="G1069" s="168"/>
      <c r="H1069" s="169"/>
      <c r="I1069" s="170"/>
      <c r="J1069" s="171" t="s">
        <v>1331</v>
      </c>
      <c r="K1069" s="172" t="s">
        <v>177</v>
      </c>
      <c r="L1069" s="172" t="s">
        <v>175</v>
      </c>
      <c r="M1069" s="173" t="str" cm="1">
        <f t="array" ref="M1069">IFERROR(INDEX(CategoriesTable[Category type],MATCH(Table1[[#This Row],[Category]],CategoriesTable[Category name],0),0),"")</f>
        <v>Expense</v>
      </c>
      <c r="N1069" s="173">
        <v>28</v>
      </c>
      <c r="O1069" s="173">
        <f>MONTH(Table1[[#This Row],[Date]])</f>
        <v>1</v>
      </c>
      <c r="P1069" s="173">
        <v>2020</v>
      </c>
      <c r="Q1069" s="174">
        <f>IF(ISBLANK(Table1[[#This Row],[Date]]),"",Table1[[#This Row],[Date]]-WEEKDAY(Table1[[#This Row],[Date]],2)+1)</f>
        <v>43857</v>
      </c>
      <c r="R1069" s="175">
        <f>IF(ISBLANK(Table1[[#This Row],[Date]]),"",DATE(Table1[[#This Row],[Date_Year]],Table1[[#This Row],[Date_Month]],1))</f>
        <v>43831</v>
      </c>
    </row>
    <row r="1070" spans="2:18" ht="15.75" hidden="1" x14ac:dyDescent="0.25">
      <c r="B1070" s="165">
        <v>43858</v>
      </c>
      <c r="C1070" s="166" t="s">
        <v>134</v>
      </c>
      <c r="D1070" s="166" t="s">
        <v>65</v>
      </c>
      <c r="E1070" s="167"/>
      <c r="F1070" s="114">
        <v>-7.95</v>
      </c>
      <c r="G1070" s="168"/>
      <c r="H1070" s="169"/>
      <c r="I1070" s="170"/>
      <c r="J1070" s="171" t="s">
        <v>1332</v>
      </c>
      <c r="K1070" s="172" t="s">
        <v>177</v>
      </c>
      <c r="L1070" s="172" t="s">
        <v>175</v>
      </c>
      <c r="M1070" s="173" t="str" cm="1">
        <f t="array" ref="M1070">IFERROR(INDEX(CategoriesTable[Category type],MATCH(Table1[[#This Row],[Category]],CategoriesTable[Category name],0),0),"")</f>
        <v>Expense</v>
      </c>
      <c r="N1070" s="173">
        <v>28</v>
      </c>
      <c r="O1070" s="173">
        <f>MONTH(Table1[[#This Row],[Date]])</f>
        <v>1</v>
      </c>
      <c r="P1070" s="173">
        <v>2020</v>
      </c>
      <c r="Q1070" s="174">
        <f>IF(ISBLANK(Table1[[#This Row],[Date]]),"",Table1[[#This Row],[Date]]-WEEKDAY(Table1[[#This Row],[Date]],2)+1)</f>
        <v>43857</v>
      </c>
      <c r="R1070" s="175">
        <f>IF(ISBLANK(Table1[[#This Row],[Date]]),"",DATE(Table1[[#This Row],[Date_Year]],Table1[[#This Row],[Date_Month]],1))</f>
        <v>43831</v>
      </c>
    </row>
    <row r="1071" spans="2:18" ht="15.75" hidden="1" x14ac:dyDescent="0.25">
      <c r="B1071" s="165">
        <v>43858</v>
      </c>
      <c r="C1071" s="166" t="s">
        <v>121</v>
      </c>
      <c r="D1071" s="166" t="s">
        <v>65</v>
      </c>
      <c r="E1071" s="167"/>
      <c r="F1071" s="114">
        <v>-10.14</v>
      </c>
      <c r="G1071" s="168"/>
      <c r="H1071" s="169"/>
      <c r="I1071" s="170"/>
      <c r="J1071" s="171" t="s">
        <v>1333</v>
      </c>
      <c r="K1071" s="172" t="s">
        <v>177</v>
      </c>
      <c r="L1071" s="172" t="s">
        <v>175</v>
      </c>
      <c r="M1071" s="173" t="str" cm="1">
        <f t="array" ref="M1071">IFERROR(INDEX(CategoriesTable[Category type],MATCH(Table1[[#This Row],[Category]],CategoriesTable[Category name],0),0),"")</f>
        <v>Expense</v>
      </c>
      <c r="N1071" s="173">
        <v>28</v>
      </c>
      <c r="O1071" s="173">
        <f>MONTH(Table1[[#This Row],[Date]])</f>
        <v>1</v>
      </c>
      <c r="P1071" s="173">
        <v>2020</v>
      </c>
      <c r="Q1071" s="174">
        <f>IF(ISBLANK(Table1[[#This Row],[Date]]),"",Table1[[#This Row],[Date]]-WEEKDAY(Table1[[#This Row],[Date]],2)+1)</f>
        <v>43857</v>
      </c>
      <c r="R1071" s="175">
        <f>IF(ISBLANK(Table1[[#This Row],[Date]]),"",DATE(Table1[[#This Row],[Date_Year]],Table1[[#This Row],[Date_Month]],1))</f>
        <v>43831</v>
      </c>
    </row>
    <row r="1072" spans="2:18" ht="15.75" hidden="1" x14ac:dyDescent="0.25">
      <c r="B1072" s="165">
        <v>43857</v>
      </c>
      <c r="C1072" s="166" t="s">
        <v>121</v>
      </c>
      <c r="D1072" s="166" t="s">
        <v>65</v>
      </c>
      <c r="E1072" s="167"/>
      <c r="F1072" s="114">
        <v>-10.9</v>
      </c>
      <c r="G1072" s="168"/>
      <c r="H1072" s="169"/>
      <c r="I1072" s="170"/>
      <c r="J1072" s="171" t="s">
        <v>1334</v>
      </c>
      <c r="K1072" s="172" t="s">
        <v>177</v>
      </c>
      <c r="L1072" s="172" t="s">
        <v>175</v>
      </c>
      <c r="M1072" s="173" t="str" cm="1">
        <f t="array" ref="M1072">IFERROR(INDEX(CategoriesTable[Category type],MATCH(Table1[[#This Row],[Category]],CategoriesTable[Category name],0),0),"")</f>
        <v>Expense</v>
      </c>
      <c r="N1072" s="173">
        <v>27</v>
      </c>
      <c r="O1072" s="173">
        <f>MONTH(Table1[[#This Row],[Date]])</f>
        <v>1</v>
      </c>
      <c r="P1072" s="173">
        <v>2020</v>
      </c>
      <c r="Q1072" s="174">
        <f>IF(ISBLANK(Table1[[#This Row],[Date]]),"",Table1[[#This Row],[Date]]-WEEKDAY(Table1[[#This Row],[Date]],2)+1)</f>
        <v>43857</v>
      </c>
      <c r="R1072" s="175">
        <f>IF(ISBLANK(Table1[[#This Row],[Date]]),"",DATE(Table1[[#This Row],[Date_Year]],Table1[[#This Row],[Date_Month]],1))</f>
        <v>43831</v>
      </c>
    </row>
    <row r="1073" spans="2:18" ht="15.75" hidden="1" x14ac:dyDescent="0.25">
      <c r="B1073" s="165">
        <v>43857</v>
      </c>
      <c r="C1073" s="166" t="s">
        <v>1335</v>
      </c>
      <c r="D1073" s="166" t="s">
        <v>65</v>
      </c>
      <c r="E1073" s="167"/>
      <c r="F1073" s="114">
        <v>-1.75</v>
      </c>
      <c r="G1073" s="168"/>
      <c r="H1073" s="169"/>
      <c r="I1073" s="170"/>
      <c r="J1073" s="171" t="s">
        <v>1336</v>
      </c>
      <c r="K1073" s="172" t="s">
        <v>177</v>
      </c>
      <c r="L1073" s="172" t="s">
        <v>175</v>
      </c>
      <c r="M1073" s="173" t="str" cm="1">
        <f t="array" ref="M1073">IFERROR(INDEX(CategoriesTable[Category type],MATCH(Table1[[#This Row],[Category]],CategoriesTable[Category name],0),0),"")</f>
        <v>Expense</v>
      </c>
      <c r="N1073" s="173">
        <v>27</v>
      </c>
      <c r="O1073" s="173">
        <f>MONTH(Table1[[#This Row],[Date]])</f>
        <v>1</v>
      </c>
      <c r="P1073" s="173">
        <v>2020</v>
      </c>
      <c r="Q1073" s="174">
        <f>IF(ISBLANK(Table1[[#This Row],[Date]]),"",Table1[[#This Row],[Date]]-WEEKDAY(Table1[[#This Row],[Date]],2)+1)</f>
        <v>43857</v>
      </c>
      <c r="R1073" s="175">
        <f>IF(ISBLANK(Table1[[#This Row],[Date]]),"",DATE(Table1[[#This Row],[Date_Year]],Table1[[#This Row],[Date_Month]],1))</f>
        <v>43831</v>
      </c>
    </row>
    <row r="1074" spans="2:18" ht="15.75" hidden="1" x14ac:dyDescent="0.25">
      <c r="B1074" s="165">
        <v>43857</v>
      </c>
      <c r="C1074" s="166" t="s">
        <v>1208</v>
      </c>
      <c r="D1074" s="166" t="s">
        <v>65</v>
      </c>
      <c r="E1074" s="167"/>
      <c r="F1074" s="114">
        <v>-21</v>
      </c>
      <c r="G1074" s="168"/>
      <c r="H1074" s="169"/>
      <c r="I1074" s="170"/>
      <c r="J1074" s="171" t="s">
        <v>1337</v>
      </c>
      <c r="K1074" s="172" t="s">
        <v>177</v>
      </c>
      <c r="L1074" s="172" t="s">
        <v>175</v>
      </c>
      <c r="M1074" s="173" t="str" cm="1">
        <f t="array" ref="M1074">IFERROR(INDEX(CategoriesTable[Category type],MATCH(Table1[[#This Row],[Category]],CategoriesTable[Category name],0),0),"")</f>
        <v>Expense</v>
      </c>
      <c r="N1074" s="173">
        <v>27</v>
      </c>
      <c r="O1074" s="173">
        <f>MONTH(Table1[[#This Row],[Date]])</f>
        <v>1</v>
      </c>
      <c r="P1074" s="173">
        <v>2020</v>
      </c>
      <c r="Q1074" s="174">
        <f>IF(ISBLANK(Table1[[#This Row],[Date]]),"",Table1[[#This Row],[Date]]-WEEKDAY(Table1[[#This Row],[Date]],2)+1)</f>
        <v>43857</v>
      </c>
      <c r="R1074" s="175">
        <f>IF(ISBLANK(Table1[[#This Row],[Date]]),"",DATE(Table1[[#This Row],[Date_Year]],Table1[[#This Row],[Date_Month]],1))</f>
        <v>43831</v>
      </c>
    </row>
    <row r="1075" spans="2:18" ht="15.75" hidden="1" x14ac:dyDescent="0.25">
      <c r="B1075" s="165">
        <v>43857</v>
      </c>
      <c r="C1075" s="166" t="s">
        <v>953</v>
      </c>
      <c r="D1075" s="166" t="s">
        <v>58</v>
      </c>
      <c r="E1075" s="167"/>
      <c r="F1075" s="114">
        <v>-25</v>
      </c>
      <c r="G1075" s="168"/>
      <c r="H1075" s="169"/>
      <c r="I1075" s="170"/>
      <c r="J1075" s="171" t="s">
        <v>1338</v>
      </c>
      <c r="K1075" s="172" t="s">
        <v>177</v>
      </c>
      <c r="L1075" s="172" t="s">
        <v>175</v>
      </c>
      <c r="M1075" s="173" t="str" cm="1">
        <f t="array" ref="M1075">IFERROR(INDEX(CategoriesTable[Category type],MATCH(Table1[[#This Row],[Category]],CategoriesTable[Category name],0),0),"")</f>
        <v>Expense</v>
      </c>
      <c r="N1075" s="173">
        <v>27</v>
      </c>
      <c r="O1075" s="173">
        <f>MONTH(Table1[[#This Row],[Date]])</f>
        <v>1</v>
      </c>
      <c r="P1075" s="173">
        <v>2020</v>
      </c>
      <c r="Q1075" s="174">
        <f>IF(ISBLANK(Table1[[#This Row],[Date]]),"",Table1[[#This Row],[Date]]-WEEKDAY(Table1[[#This Row],[Date]],2)+1)</f>
        <v>43857</v>
      </c>
      <c r="R1075" s="175">
        <f>IF(ISBLANK(Table1[[#This Row],[Date]]),"",DATE(Table1[[#This Row],[Date_Year]],Table1[[#This Row],[Date_Month]],1))</f>
        <v>43831</v>
      </c>
    </row>
    <row r="1076" spans="2:18" ht="15.75" hidden="1" x14ac:dyDescent="0.25">
      <c r="B1076" s="165">
        <v>43857</v>
      </c>
      <c r="C1076" s="166" t="s">
        <v>1214</v>
      </c>
      <c r="D1076" s="166" t="s">
        <v>65</v>
      </c>
      <c r="E1076" s="167"/>
      <c r="F1076" s="114">
        <v>-2.25</v>
      </c>
      <c r="G1076" s="168"/>
      <c r="H1076" s="169"/>
      <c r="I1076" s="170"/>
      <c r="J1076" s="171" t="s">
        <v>1339</v>
      </c>
      <c r="K1076" s="172" t="s">
        <v>177</v>
      </c>
      <c r="L1076" s="172" t="s">
        <v>175</v>
      </c>
      <c r="M1076" s="173" t="str" cm="1">
        <f t="array" ref="M1076">IFERROR(INDEX(CategoriesTable[Category type],MATCH(Table1[[#This Row],[Category]],CategoriesTable[Category name],0),0),"")</f>
        <v>Expense</v>
      </c>
      <c r="N1076" s="173">
        <v>27</v>
      </c>
      <c r="O1076" s="173">
        <f>MONTH(Table1[[#This Row],[Date]])</f>
        <v>1</v>
      </c>
      <c r="P1076" s="173">
        <v>2020</v>
      </c>
      <c r="Q1076" s="174">
        <f>IF(ISBLANK(Table1[[#This Row],[Date]]),"",Table1[[#This Row],[Date]]-WEEKDAY(Table1[[#This Row],[Date]],2)+1)</f>
        <v>43857</v>
      </c>
      <c r="R1076" s="175">
        <f>IF(ISBLANK(Table1[[#This Row],[Date]]),"",DATE(Table1[[#This Row],[Date_Year]],Table1[[#This Row],[Date_Month]],1))</f>
        <v>43831</v>
      </c>
    </row>
    <row r="1077" spans="2:18" ht="15.75" hidden="1" x14ac:dyDescent="0.25">
      <c r="B1077" s="165">
        <v>43857</v>
      </c>
      <c r="C1077" s="166" t="s">
        <v>1214</v>
      </c>
      <c r="D1077" s="166" t="s">
        <v>65</v>
      </c>
      <c r="E1077" s="167"/>
      <c r="F1077" s="114">
        <v>-2.25</v>
      </c>
      <c r="G1077" s="168"/>
      <c r="H1077" s="169"/>
      <c r="I1077" s="170"/>
      <c r="J1077" s="171" t="s">
        <v>1340</v>
      </c>
      <c r="K1077" s="172" t="s">
        <v>177</v>
      </c>
      <c r="L1077" s="172" t="s">
        <v>175</v>
      </c>
      <c r="M1077" s="173" t="str" cm="1">
        <f t="array" ref="M1077">IFERROR(INDEX(CategoriesTable[Category type],MATCH(Table1[[#This Row],[Category]],CategoriesTable[Category name],0),0),"")</f>
        <v>Expense</v>
      </c>
      <c r="N1077" s="173">
        <v>27</v>
      </c>
      <c r="O1077" s="173">
        <f>MONTH(Table1[[#This Row],[Date]])</f>
        <v>1</v>
      </c>
      <c r="P1077" s="173">
        <v>2020</v>
      </c>
      <c r="Q1077" s="174">
        <f>IF(ISBLANK(Table1[[#This Row],[Date]]),"",Table1[[#This Row],[Date]]-WEEKDAY(Table1[[#This Row],[Date]],2)+1)</f>
        <v>43857</v>
      </c>
      <c r="R1077" s="175">
        <f>IF(ISBLANK(Table1[[#This Row],[Date]]),"",DATE(Table1[[#This Row],[Date_Year]],Table1[[#This Row],[Date_Month]],1))</f>
        <v>43831</v>
      </c>
    </row>
    <row r="1078" spans="2:18" ht="15.75" hidden="1" x14ac:dyDescent="0.25">
      <c r="B1078" s="165">
        <v>43857</v>
      </c>
      <c r="C1078" s="166" t="s">
        <v>134</v>
      </c>
      <c r="D1078" s="166" t="s">
        <v>65</v>
      </c>
      <c r="E1078" s="167"/>
      <c r="F1078" s="114">
        <v>-7.95</v>
      </c>
      <c r="G1078" s="168"/>
      <c r="H1078" s="169"/>
      <c r="I1078" s="170"/>
      <c r="J1078" s="171" t="s">
        <v>1341</v>
      </c>
      <c r="K1078" s="172" t="s">
        <v>177</v>
      </c>
      <c r="L1078" s="172" t="s">
        <v>175</v>
      </c>
      <c r="M1078" s="173" t="str" cm="1">
        <f t="array" ref="M1078">IFERROR(INDEX(CategoriesTable[Category type],MATCH(Table1[[#This Row],[Category]],CategoriesTable[Category name],0),0),"")</f>
        <v>Expense</v>
      </c>
      <c r="N1078" s="173">
        <v>27</v>
      </c>
      <c r="O1078" s="173">
        <f>MONTH(Table1[[#This Row],[Date]])</f>
        <v>1</v>
      </c>
      <c r="P1078" s="173">
        <v>2020</v>
      </c>
      <c r="Q1078" s="174">
        <f>IF(ISBLANK(Table1[[#This Row],[Date]]),"",Table1[[#This Row],[Date]]-WEEKDAY(Table1[[#This Row],[Date]],2)+1)</f>
        <v>43857</v>
      </c>
      <c r="R1078" s="175">
        <f>IF(ISBLANK(Table1[[#This Row],[Date]]),"",DATE(Table1[[#This Row],[Date_Year]],Table1[[#This Row],[Date_Month]],1))</f>
        <v>43831</v>
      </c>
    </row>
    <row r="1079" spans="2:18" ht="15.75" hidden="1" x14ac:dyDescent="0.25">
      <c r="B1079" s="165">
        <v>43857</v>
      </c>
      <c r="C1079" s="166" t="s">
        <v>1342</v>
      </c>
      <c r="D1079" s="166" t="s">
        <v>63</v>
      </c>
      <c r="E1079" s="167"/>
      <c r="F1079" s="114">
        <v>-247</v>
      </c>
      <c r="G1079" s="168"/>
      <c r="H1079" s="169"/>
      <c r="I1079" s="170"/>
      <c r="J1079" s="171" t="s">
        <v>1343</v>
      </c>
      <c r="K1079" s="172" t="s">
        <v>177</v>
      </c>
      <c r="L1079" s="172" t="s">
        <v>175</v>
      </c>
      <c r="M1079" s="173" t="str" cm="1">
        <f t="array" ref="M1079">IFERROR(INDEX(CategoriesTable[Category type],MATCH(Table1[[#This Row],[Category]],CategoriesTable[Category name],0),0),"")</f>
        <v>Expense</v>
      </c>
      <c r="N1079" s="173">
        <v>27</v>
      </c>
      <c r="O1079" s="173">
        <f>MONTH(Table1[[#This Row],[Date]])</f>
        <v>1</v>
      </c>
      <c r="P1079" s="173">
        <v>2020</v>
      </c>
      <c r="Q1079" s="174">
        <f>IF(ISBLANK(Table1[[#This Row],[Date]]),"",Table1[[#This Row],[Date]]-WEEKDAY(Table1[[#This Row],[Date]],2)+1)</f>
        <v>43857</v>
      </c>
      <c r="R1079" s="175">
        <f>IF(ISBLANK(Table1[[#This Row],[Date]]),"",DATE(Table1[[#This Row],[Date_Year]],Table1[[#This Row],[Date_Month]],1))</f>
        <v>43831</v>
      </c>
    </row>
    <row r="1080" spans="2:18" ht="15.75" hidden="1" x14ac:dyDescent="0.25">
      <c r="B1080" s="165">
        <v>43857</v>
      </c>
      <c r="C1080" s="166" t="s">
        <v>1342</v>
      </c>
      <c r="D1080" s="166" t="s">
        <v>63</v>
      </c>
      <c r="E1080" s="167"/>
      <c r="F1080" s="114">
        <v>-372</v>
      </c>
      <c r="G1080" s="168"/>
      <c r="H1080" s="169"/>
      <c r="I1080" s="170"/>
      <c r="J1080" s="171" t="s">
        <v>1344</v>
      </c>
      <c r="K1080" s="172" t="s">
        <v>177</v>
      </c>
      <c r="L1080" s="172" t="s">
        <v>175</v>
      </c>
      <c r="M1080" s="173" t="str" cm="1">
        <f t="array" ref="M1080">IFERROR(INDEX(CategoriesTable[Category type],MATCH(Table1[[#This Row],[Category]],CategoriesTable[Category name],0),0),"")</f>
        <v>Expense</v>
      </c>
      <c r="N1080" s="173">
        <v>27</v>
      </c>
      <c r="O1080" s="173">
        <f>MONTH(Table1[[#This Row],[Date]])</f>
        <v>1</v>
      </c>
      <c r="P1080" s="173">
        <v>2020</v>
      </c>
      <c r="Q1080" s="174">
        <f>IF(ISBLANK(Table1[[#This Row],[Date]]),"",Table1[[#This Row],[Date]]-WEEKDAY(Table1[[#This Row],[Date]],2)+1)</f>
        <v>43857</v>
      </c>
      <c r="R1080" s="175">
        <f>IF(ISBLANK(Table1[[#This Row],[Date]]),"",DATE(Table1[[#This Row],[Date_Year]],Table1[[#This Row],[Date_Month]],1))</f>
        <v>43831</v>
      </c>
    </row>
    <row r="1081" spans="2:18" ht="15.75" hidden="1" x14ac:dyDescent="0.25">
      <c r="B1081" s="165">
        <v>43856</v>
      </c>
      <c r="C1081" s="166" t="s">
        <v>1345</v>
      </c>
      <c r="D1081" s="166" t="s">
        <v>66</v>
      </c>
      <c r="E1081" s="167"/>
      <c r="F1081" s="114">
        <v>-11.68</v>
      </c>
      <c r="G1081" s="168"/>
      <c r="H1081" s="169"/>
      <c r="I1081" s="170"/>
      <c r="J1081" s="171" t="s">
        <v>1346</v>
      </c>
      <c r="K1081" s="172" t="s">
        <v>177</v>
      </c>
      <c r="L1081" s="172" t="s">
        <v>175</v>
      </c>
      <c r="M1081" s="173" t="str" cm="1">
        <f t="array" ref="M1081">IFERROR(INDEX(CategoriesTable[Category type],MATCH(Table1[[#This Row],[Category]],CategoriesTable[Category name],0),0),"")</f>
        <v>Expense</v>
      </c>
      <c r="N1081" s="173">
        <v>26</v>
      </c>
      <c r="O1081" s="173">
        <f>MONTH(Table1[[#This Row],[Date]])</f>
        <v>1</v>
      </c>
      <c r="P1081" s="173">
        <v>2020</v>
      </c>
      <c r="Q1081" s="174">
        <f>IF(ISBLANK(Table1[[#This Row],[Date]]),"",Table1[[#This Row],[Date]]-WEEKDAY(Table1[[#This Row],[Date]],2)+1)</f>
        <v>43850</v>
      </c>
      <c r="R1081" s="175">
        <f>IF(ISBLANK(Table1[[#This Row],[Date]]),"",DATE(Table1[[#This Row],[Date_Year]],Table1[[#This Row],[Date_Month]],1))</f>
        <v>43831</v>
      </c>
    </row>
    <row r="1082" spans="2:18" ht="15.75" hidden="1" x14ac:dyDescent="0.25">
      <c r="B1082" s="165">
        <v>43856</v>
      </c>
      <c r="C1082" s="166" t="s">
        <v>1347</v>
      </c>
      <c r="D1082" s="166" t="s">
        <v>65</v>
      </c>
      <c r="E1082" s="167"/>
      <c r="F1082" s="114">
        <v>-68.430000000000007</v>
      </c>
      <c r="G1082" s="168"/>
      <c r="H1082" s="169"/>
      <c r="I1082" s="170"/>
      <c r="J1082" s="171" t="s">
        <v>1348</v>
      </c>
      <c r="K1082" s="172" t="s">
        <v>177</v>
      </c>
      <c r="L1082" s="172" t="s">
        <v>175</v>
      </c>
      <c r="M1082" s="173" t="str" cm="1">
        <f t="array" ref="M1082">IFERROR(INDEX(CategoriesTable[Category type],MATCH(Table1[[#This Row],[Category]],CategoriesTable[Category name],0),0),"")</f>
        <v>Expense</v>
      </c>
      <c r="N1082" s="173">
        <v>26</v>
      </c>
      <c r="O1082" s="173">
        <f>MONTH(Table1[[#This Row],[Date]])</f>
        <v>1</v>
      </c>
      <c r="P1082" s="173">
        <v>2020</v>
      </c>
      <c r="Q1082" s="174">
        <f>IF(ISBLANK(Table1[[#This Row],[Date]]),"",Table1[[#This Row],[Date]]-WEEKDAY(Table1[[#This Row],[Date]],2)+1)</f>
        <v>43850</v>
      </c>
      <c r="R1082" s="175">
        <f>IF(ISBLANK(Table1[[#This Row],[Date]]),"",DATE(Table1[[#This Row],[Date_Year]],Table1[[#This Row],[Date_Month]],1))</f>
        <v>43831</v>
      </c>
    </row>
    <row r="1083" spans="2:18" ht="15.75" hidden="1" x14ac:dyDescent="0.25">
      <c r="B1083" s="165">
        <v>43856</v>
      </c>
      <c r="C1083" s="166" t="s">
        <v>135</v>
      </c>
      <c r="D1083" s="166" t="s">
        <v>53</v>
      </c>
      <c r="E1083" s="167"/>
      <c r="F1083" s="114">
        <v>-20.100000000000001</v>
      </c>
      <c r="G1083" s="168"/>
      <c r="H1083" s="169"/>
      <c r="I1083" s="170"/>
      <c r="J1083" s="171" t="s">
        <v>1349</v>
      </c>
      <c r="K1083" s="172" t="s">
        <v>177</v>
      </c>
      <c r="L1083" s="172" t="s">
        <v>175</v>
      </c>
      <c r="M1083" s="173" t="str" cm="1">
        <f t="array" ref="M1083">IFERROR(INDEX(CategoriesTable[Category type],MATCH(Table1[[#This Row],[Category]],CategoriesTable[Category name],0),0),"")</f>
        <v>Expense</v>
      </c>
      <c r="N1083" s="173">
        <v>26</v>
      </c>
      <c r="O1083" s="173">
        <f>MONTH(Table1[[#This Row],[Date]])</f>
        <v>1</v>
      </c>
      <c r="P1083" s="173">
        <v>2020</v>
      </c>
      <c r="Q1083" s="174">
        <f>IF(ISBLANK(Table1[[#This Row],[Date]]),"",Table1[[#This Row],[Date]]-WEEKDAY(Table1[[#This Row],[Date]],2)+1)</f>
        <v>43850</v>
      </c>
      <c r="R1083" s="175">
        <f>IF(ISBLANK(Table1[[#This Row],[Date]]),"",DATE(Table1[[#This Row],[Date_Year]],Table1[[#This Row],[Date_Month]],1))</f>
        <v>43831</v>
      </c>
    </row>
    <row r="1084" spans="2:18" ht="15.75" hidden="1" x14ac:dyDescent="0.25">
      <c r="B1084" s="165">
        <v>43855</v>
      </c>
      <c r="C1084" s="166" t="s">
        <v>504</v>
      </c>
      <c r="D1084" s="166" t="s">
        <v>66</v>
      </c>
      <c r="E1084" s="167"/>
      <c r="F1084" s="114">
        <v>-14.06</v>
      </c>
      <c r="G1084" s="168"/>
      <c r="H1084" s="169"/>
      <c r="I1084" s="170"/>
      <c r="J1084" s="171" t="s">
        <v>1350</v>
      </c>
      <c r="K1084" s="172" t="s">
        <v>177</v>
      </c>
      <c r="L1084" s="172" t="s">
        <v>175</v>
      </c>
      <c r="M1084" s="173" t="str" cm="1">
        <f t="array" ref="M1084">IFERROR(INDEX(CategoriesTable[Category type],MATCH(Table1[[#This Row],[Category]],CategoriesTable[Category name],0),0),"")</f>
        <v>Expense</v>
      </c>
      <c r="N1084" s="173">
        <v>25</v>
      </c>
      <c r="O1084" s="173">
        <f>MONTH(Table1[[#This Row],[Date]])</f>
        <v>1</v>
      </c>
      <c r="P1084" s="173">
        <v>2020</v>
      </c>
      <c r="Q1084" s="174">
        <f>IF(ISBLANK(Table1[[#This Row],[Date]]),"",Table1[[#This Row],[Date]]-WEEKDAY(Table1[[#This Row],[Date]],2)+1)</f>
        <v>43850</v>
      </c>
      <c r="R1084" s="175">
        <f>IF(ISBLANK(Table1[[#This Row],[Date]]),"",DATE(Table1[[#This Row],[Date_Year]],Table1[[#This Row],[Date_Month]],1))</f>
        <v>43831</v>
      </c>
    </row>
    <row r="1085" spans="2:18" ht="15.75" hidden="1" x14ac:dyDescent="0.25">
      <c r="B1085" s="165">
        <v>43855</v>
      </c>
      <c r="C1085" s="166" t="s">
        <v>144</v>
      </c>
      <c r="D1085" s="166" t="s">
        <v>53</v>
      </c>
      <c r="E1085" s="167"/>
      <c r="F1085" s="114">
        <v>-10.39</v>
      </c>
      <c r="G1085" s="168"/>
      <c r="H1085" s="169"/>
      <c r="I1085" s="170"/>
      <c r="J1085" s="171" t="s">
        <v>1351</v>
      </c>
      <c r="K1085" s="172" t="s">
        <v>177</v>
      </c>
      <c r="L1085" s="172" t="s">
        <v>175</v>
      </c>
      <c r="M1085" s="173" t="str" cm="1">
        <f t="array" ref="M1085">IFERROR(INDEX(CategoriesTable[Category type],MATCH(Table1[[#This Row],[Category]],CategoriesTable[Category name],0),0),"")</f>
        <v>Expense</v>
      </c>
      <c r="N1085" s="173">
        <v>25</v>
      </c>
      <c r="O1085" s="173">
        <f>MONTH(Table1[[#This Row],[Date]])</f>
        <v>1</v>
      </c>
      <c r="P1085" s="173">
        <v>2020</v>
      </c>
      <c r="Q1085" s="174">
        <f>IF(ISBLANK(Table1[[#This Row],[Date]]),"",Table1[[#This Row],[Date]]-WEEKDAY(Table1[[#This Row],[Date]],2)+1)</f>
        <v>43850</v>
      </c>
      <c r="R1085" s="175">
        <f>IF(ISBLANK(Table1[[#This Row],[Date]]),"",DATE(Table1[[#This Row],[Date_Year]],Table1[[#This Row],[Date_Month]],1))</f>
        <v>43831</v>
      </c>
    </row>
    <row r="1086" spans="2:18" ht="15.75" hidden="1" x14ac:dyDescent="0.25">
      <c r="B1086" s="165">
        <v>43855</v>
      </c>
      <c r="C1086" s="166" t="s">
        <v>121</v>
      </c>
      <c r="D1086" s="166" t="s">
        <v>65</v>
      </c>
      <c r="E1086" s="167"/>
      <c r="F1086" s="114">
        <v>-4.6500000000000004</v>
      </c>
      <c r="G1086" s="168"/>
      <c r="H1086" s="169"/>
      <c r="I1086" s="170"/>
      <c r="J1086" s="171" t="s">
        <v>1352</v>
      </c>
      <c r="K1086" s="172" t="s">
        <v>177</v>
      </c>
      <c r="L1086" s="172" t="s">
        <v>175</v>
      </c>
      <c r="M1086" s="173" t="str" cm="1">
        <f t="array" ref="M1086">IFERROR(INDEX(CategoriesTable[Category type],MATCH(Table1[[#This Row],[Category]],CategoriesTable[Category name],0),0),"")</f>
        <v>Expense</v>
      </c>
      <c r="N1086" s="173">
        <v>25</v>
      </c>
      <c r="O1086" s="173">
        <f>MONTH(Table1[[#This Row],[Date]])</f>
        <v>1</v>
      </c>
      <c r="P1086" s="173">
        <v>2020</v>
      </c>
      <c r="Q1086" s="174">
        <f>IF(ISBLANK(Table1[[#This Row],[Date]]),"",Table1[[#This Row],[Date]]-WEEKDAY(Table1[[#This Row],[Date]],2)+1)</f>
        <v>43850</v>
      </c>
      <c r="R1086" s="175">
        <f>IF(ISBLANK(Table1[[#This Row],[Date]]),"",DATE(Table1[[#This Row],[Date_Year]],Table1[[#This Row],[Date_Month]],1))</f>
        <v>43831</v>
      </c>
    </row>
    <row r="1087" spans="2:18" ht="15.75" hidden="1" x14ac:dyDescent="0.25">
      <c r="B1087" s="165">
        <v>43853</v>
      </c>
      <c r="C1087" s="166" t="s">
        <v>208</v>
      </c>
      <c r="D1087" s="166" t="s">
        <v>55</v>
      </c>
      <c r="E1087" s="167"/>
      <c r="F1087" s="114">
        <v>-40.28</v>
      </c>
      <c r="G1087" s="168"/>
      <c r="H1087" s="169"/>
      <c r="I1087" s="170"/>
      <c r="J1087" s="171" t="s">
        <v>1353</v>
      </c>
      <c r="K1087" s="172" t="s">
        <v>177</v>
      </c>
      <c r="L1087" s="172" t="s">
        <v>175</v>
      </c>
      <c r="M1087" s="173" t="str" cm="1">
        <f t="array" ref="M1087">IFERROR(INDEX(CategoriesTable[Category type],MATCH(Table1[[#This Row],[Category]],CategoriesTable[Category name],0),0),"")</f>
        <v>Expense</v>
      </c>
      <c r="N1087" s="173">
        <v>23</v>
      </c>
      <c r="O1087" s="173">
        <f>MONTH(Table1[[#This Row],[Date]])</f>
        <v>1</v>
      </c>
      <c r="P1087" s="173">
        <v>2020</v>
      </c>
      <c r="Q1087" s="174">
        <f>IF(ISBLANK(Table1[[#This Row],[Date]]),"",Table1[[#This Row],[Date]]-WEEKDAY(Table1[[#This Row],[Date]],2)+1)</f>
        <v>43850</v>
      </c>
      <c r="R1087" s="175">
        <f>IF(ISBLANK(Table1[[#This Row],[Date]]),"",DATE(Table1[[#This Row],[Date_Year]],Table1[[#This Row],[Date_Month]],1))</f>
        <v>43831</v>
      </c>
    </row>
    <row r="1088" spans="2:18" ht="15.75" hidden="1" x14ac:dyDescent="0.25">
      <c r="B1088" s="165">
        <v>43851</v>
      </c>
      <c r="C1088" s="166" t="s">
        <v>135</v>
      </c>
      <c r="D1088" s="166" t="s">
        <v>53</v>
      </c>
      <c r="E1088" s="167"/>
      <c r="F1088" s="114">
        <v>-15</v>
      </c>
      <c r="G1088" s="168"/>
      <c r="H1088" s="169"/>
      <c r="I1088" s="170"/>
      <c r="J1088" s="171" t="s">
        <v>1354</v>
      </c>
      <c r="K1088" s="172" t="s">
        <v>177</v>
      </c>
      <c r="L1088" s="172" t="s">
        <v>175</v>
      </c>
      <c r="M1088" s="173" t="str" cm="1">
        <f t="array" ref="M1088">IFERROR(INDEX(CategoriesTable[Category type],MATCH(Table1[[#This Row],[Category]],CategoriesTable[Category name],0),0),"")</f>
        <v>Expense</v>
      </c>
      <c r="N1088" s="173">
        <v>21</v>
      </c>
      <c r="O1088" s="173">
        <f>MONTH(Table1[[#This Row],[Date]])</f>
        <v>1</v>
      </c>
      <c r="P1088" s="173">
        <v>2020</v>
      </c>
      <c r="Q1088" s="174">
        <f>IF(ISBLANK(Table1[[#This Row],[Date]]),"",Table1[[#This Row],[Date]]-WEEKDAY(Table1[[#This Row],[Date]],2)+1)</f>
        <v>43850</v>
      </c>
      <c r="R1088" s="175">
        <f>IF(ISBLANK(Table1[[#This Row],[Date]]),"",DATE(Table1[[#This Row],[Date_Year]],Table1[[#This Row],[Date_Month]],1))</f>
        <v>43831</v>
      </c>
    </row>
    <row r="1089" spans="2:18" ht="15.75" hidden="1" x14ac:dyDescent="0.25">
      <c r="B1089" s="165">
        <v>43851</v>
      </c>
      <c r="C1089" s="166" t="s">
        <v>249</v>
      </c>
      <c r="D1089" s="166" t="s">
        <v>52</v>
      </c>
      <c r="E1089" s="167"/>
      <c r="F1089" s="114">
        <v>-70</v>
      </c>
      <c r="G1089" s="168"/>
      <c r="H1089" s="169"/>
      <c r="I1089" s="170"/>
      <c r="J1089" s="171" t="s">
        <v>1355</v>
      </c>
      <c r="K1089" s="172" t="s">
        <v>177</v>
      </c>
      <c r="L1089" s="172" t="s">
        <v>175</v>
      </c>
      <c r="M1089" s="173" t="str" cm="1">
        <f t="array" ref="M1089">IFERROR(INDEX(CategoriesTable[Category type],MATCH(Table1[[#This Row],[Category]],CategoriesTable[Category name],0),0),"")</f>
        <v>Transfer</v>
      </c>
      <c r="N1089" s="173">
        <v>21</v>
      </c>
      <c r="O1089" s="173">
        <f>MONTH(Table1[[#This Row],[Date]])</f>
        <v>1</v>
      </c>
      <c r="P1089" s="173">
        <v>2020</v>
      </c>
      <c r="Q1089" s="174">
        <f>IF(ISBLANK(Table1[[#This Row],[Date]]),"",Table1[[#This Row],[Date]]-WEEKDAY(Table1[[#This Row],[Date]],2)+1)</f>
        <v>43850</v>
      </c>
      <c r="R1089" s="175">
        <f>IF(ISBLANK(Table1[[#This Row],[Date]]),"",DATE(Table1[[#This Row],[Date_Year]],Table1[[#This Row],[Date_Month]],1))</f>
        <v>43831</v>
      </c>
    </row>
    <row r="1090" spans="2:18" ht="15.75" hidden="1" x14ac:dyDescent="0.25">
      <c r="B1090" s="165">
        <v>43851</v>
      </c>
      <c r="C1090" s="166" t="s">
        <v>664</v>
      </c>
      <c r="D1090" s="166" t="s">
        <v>66</v>
      </c>
      <c r="E1090" s="167"/>
      <c r="F1090" s="114">
        <v>-200.77</v>
      </c>
      <c r="G1090" s="168"/>
      <c r="H1090" s="169"/>
      <c r="I1090" s="170"/>
      <c r="J1090" s="171" t="s">
        <v>1356</v>
      </c>
      <c r="K1090" s="172" t="s">
        <v>177</v>
      </c>
      <c r="L1090" s="172" t="s">
        <v>175</v>
      </c>
      <c r="M1090" s="173" t="str" cm="1">
        <f t="array" ref="M1090">IFERROR(INDEX(CategoriesTable[Category type],MATCH(Table1[[#This Row],[Category]],CategoriesTable[Category name],0),0),"")</f>
        <v>Expense</v>
      </c>
      <c r="N1090" s="173">
        <v>21</v>
      </c>
      <c r="O1090" s="173">
        <f>MONTH(Table1[[#This Row],[Date]])</f>
        <v>1</v>
      </c>
      <c r="P1090" s="173">
        <v>2020</v>
      </c>
      <c r="Q1090" s="174">
        <f>IF(ISBLANK(Table1[[#This Row],[Date]]),"",Table1[[#This Row],[Date]]-WEEKDAY(Table1[[#This Row],[Date]],2)+1)</f>
        <v>43850</v>
      </c>
      <c r="R1090" s="175">
        <f>IF(ISBLANK(Table1[[#This Row],[Date]]),"",DATE(Table1[[#This Row],[Date_Year]],Table1[[#This Row],[Date_Month]],1))</f>
        <v>43831</v>
      </c>
    </row>
    <row r="1091" spans="2:18" ht="15.75" hidden="1" x14ac:dyDescent="0.25">
      <c r="B1091" s="165">
        <v>43851</v>
      </c>
      <c r="C1091" s="166" t="s">
        <v>129</v>
      </c>
      <c r="D1091" s="166" t="s">
        <v>55</v>
      </c>
      <c r="E1091" s="167"/>
      <c r="F1091" s="114">
        <v>-76.010000000000005</v>
      </c>
      <c r="G1091" s="168"/>
      <c r="H1091" s="169"/>
      <c r="I1091" s="170"/>
      <c r="J1091" s="171" t="s">
        <v>1357</v>
      </c>
      <c r="K1091" s="172" t="s">
        <v>177</v>
      </c>
      <c r="L1091" s="172" t="s">
        <v>175</v>
      </c>
      <c r="M1091" s="173" t="str" cm="1">
        <f t="array" ref="M1091">IFERROR(INDEX(CategoriesTable[Category type],MATCH(Table1[[#This Row],[Category]],CategoriesTable[Category name],0),0),"")</f>
        <v>Expense</v>
      </c>
      <c r="N1091" s="173">
        <v>21</v>
      </c>
      <c r="O1091" s="173">
        <f>MONTH(Table1[[#This Row],[Date]])</f>
        <v>1</v>
      </c>
      <c r="P1091" s="173">
        <v>2020</v>
      </c>
      <c r="Q1091" s="174">
        <f>IF(ISBLANK(Table1[[#This Row],[Date]]),"",Table1[[#This Row],[Date]]-WEEKDAY(Table1[[#This Row],[Date]],2)+1)</f>
        <v>43850</v>
      </c>
      <c r="R1091" s="175">
        <f>IF(ISBLANK(Table1[[#This Row],[Date]]),"",DATE(Table1[[#This Row],[Date_Year]],Table1[[#This Row],[Date_Month]],1))</f>
        <v>43831</v>
      </c>
    </row>
    <row r="1092" spans="2:18" ht="15.75" hidden="1" x14ac:dyDescent="0.25">
      <c r="B1092" s="165">
        <v>43846</v>
      </c>
      <c r="C1092" s="166" t="s">
        <v>606</v>
      </c>
      <c r="D1092" s="166" t="s">
        <v>55</v>
      </c>
      <c r="E1092" s="167"/>
      <c r="F1092" s="114">
        <v>-79.849999999999994</v>
      </c>
      <c r="G1092" s="168"/>
      <c r="H1092" s="169"/>
      <c r="I1092" s="170"/>
      <c r="J1092" s="171" t="s">
        <v>1358</v>
      </c>
      <c r="K1092" s="172" t="s">
        <v>177</v>
      </c>
      <c r="L1092" s="172" t="s">
        <v>175</v>
      </c>
      <c r="M1092" s="173" t="str" cm="1">
        <f t="array" ref="M1092">IFERROR(INDEX(CategoriesTable[Category type],MATCH(Table1[[#This Row],[Category]],CategoriesTable[Category name],0),0),"")</f>
        <v>Expense</v>
      </c>
      <c r="N1092" s="173">
        <v>16</v>
      </c>
      <c r="O1092" s="173">
        <f>MONTH(Table1[[#This Row],[Date]])</f>
        <v>1</v>
      </c>
      <c r="P1092" s="173">
        <v>2020</v>
      </c>
      <c r="Q1092" s="174">
        <f>IF(ISBLANK(Table1[[#This Row],[Date]]),"",Table1[[#This Row],[Date]]-WEEKDAY(Table1[[#This Row],[Date]],2)+1)</f>
        <v>43843</v>
      </c>
      <c r="R1092" s="175">
        <f>IF(ISBLANK(Table1[[#This Row],[Date]]),"",DATE(Table1[[#This Row],[Date_Year]],Table1[[#This Row],[Date_Month]],1))</f>
        <v>43831</v>
      </c>
    </row>
    <row r="1093" spans="2:18" ht="15.75" hidden="1" x14ac:dyDescent="0.25">
      <c r="B1093" s="165">
        <v>43846</v>
      </c>
      <c r="C1093" s="166" t="s">
        <v>182</v>
      </c>
      <c r="D1093" s="166" t="s">
        <v>55</v>
      </c>
      <c r="E1093" s="167"/>
      <c r="F1093" s="114">
        <v>-10.9</v>
      </c>
      <c r="G1093" s="168"/>
      <c r="H1093" s="169"/>
      <c r="I1093" s="170"/>
      <c r="J1093" s="171" t="s">
        <v>1359</v>
      </c>
      <c r="K1093" s="172" t="s">
        <v>177</v>
      </c>
      <c r="L1093" s="172" t="s">
        <v>175</v>
      </c>
      <c r="M1093" s="173" t="str" cm="1">
        <f t="array" ref="M1093">IFERROR(INDEX(CategoriesTable[Category type],MATCH(Table1[[#This Row],[Category]],CategoriesTable[Category name],0),0),"")</f>
        <v>Expense</v>
      </c>
      <c r="N1093" s="173">
        <v>16</v>
      </c>
      <c r="O1093" s="173">
        <f>MONTH(Table1[[#This Row],[Date]])</f>
        <v>1</v>
      </c>
      <c r="P1093" s="173">
        <v>2020</v>
      </c>
      <c r="Q1093" s="174">
        <f>IF(ISBLANK(Table1[[#This Row],[Date]]),"",Table1[[#This Row],[Date]]-WEEKDAY(Table1[[#This Row],[Date]],2)+1)</f>
        <v>43843</v>
      </c>
      <c r="R1093" s="175">
        <f>IF(ISBLANK(Table1[[#This Row],[Date]]),"",DATE(Table1[[#This Row],[Date_Year]],Table1[[#This Row],[Date_Month]],1))</f>
        <v>43831</v>
      </c>
    </row>
    <row r="1094" spans="2:18" ht="15.75" hidden="1" x14ac:dyDescent="0.25">
      <c r="B1094" s="165">
        <v>43845</v>
      </c>
      <c r="C1094" s="166" t="s">
        <v>895</v>
      </c>
      <c r="D1094" s="166" t="s">
        <v>55</v>
      </c>
      <c r="E1094" s="167"/>
      <c r="F1094" s="114">
        <v>-284.2</v>
      </c>
      <c r="G1094" s="168"/>
      <c r="H1094" s="169"/>
      <c r="I1094" s="170"/>
      <c r="J1094" s="171" t="s">
        <v>1360</v>
      </c>
      <c r="K1094" s="172" t="s">
        <v>177</v>
      </c>
      <c r="L1094" s="172" t="s">
        <v>175</v>
      </c>
      <c r="M1094" s="173" t="str" cm="1">
        <f t="array" ref="M1094">IFERROR(INDEX(CategoriesTable[Category type],MATCH(Table1[[#This Row],[Category]],CategoriesTable[Category name],0),0),"")</f>
        <v>Expense</v>
      </c>
      <c r="N1094" s="173">
        <v>15</v>
      </c>
      <c r="O1094" s="173">
        <f>MONTH(Table1[[#This Row],[Date]])</f>
        <v>1</v>
      </c>
      <c r="P1094" s="173">
        <v>2020</v>
      </c>
      <c r="Q1094" s="174">
        <f>IF(ISBLANK(Table1[[#This Row],[Date]]),"",Table1[[#This Row],[Date]]-WEEKDAY(Table1[[#This Row],[Date]],2)+1)</f>
        <v>43843</v>
      </c>
      <c r="R1094" s="175">
        <f>IF(ISBLANK(Table1[[#This Row],[Date]]),"",DATE(Table1[[#This Row],[Date_Year]],Table1[[#This Row],[Date_Month]],1))</f>
        <v>43831</v>
      </c>
    </row>
    <row r="1095" spans="2:18" ht="15.75" hidden="1" x14ac:dyDescent="0.25">
      <c r="B1095" s="165">
        <v>43844</v>
      </c>
      <c r="C1095" s="166" t="s">
        <v>121</v>
      </c>
      <c r="D1095" s="166" t="s">
        <v>65</v>
      </c>
      <c r="E1095" s="167"/>
      <c r="F1095" s="114">
        <v>-17.329999999999998</v>
      </c>
      <c r="G1095" s="168"/>
      <c r="H1095" s="169"/>
      <c r="I1095" s="170"/>
      <c r="J1095" s="171" t="s">
        <v>1361</v>
      </c>
      <c r="K1095" s="172" t="s">
        <v>177</v>
      </c>
      <c r="L1095" s="172" t="s">
        <v>175</v>
      </c>
      <c r="M1095" s="173" t="str" cm="1">
        <f t="array" ref="M1095">IFERROR(INDEX(CategoriesTable[Category type],MATCH(Table1[[#This Row],[Category]],CategoriesTable[Category name],0),0),"")</f>
        <v>Expense</v>
      </c>
      <c r="N1095" s="173">
        <v>14</v>
      </c>
      <c r="O1095" s="173">
        <f>MONTH(Table1[[#This Row],[Date]])</f>
        <v>1</v>
      </c>
      <c r="P1095" s="173">
        <v>2020</v>
      </c>
      <c r="Q1095" s="174">
        <f>IF(ISBLANK(Table1[[#This Row],[Date]]),"",Table1[[#This Row],[Date]]-WEEKDAY(Table1[[#This Row],[Date]],2)+1)</f>
        <v>43843</v>
      </c>
      <c r="R1095" s="175">
        <f>IF(ISBLANK(Table1[[#This Row],[Date]]),"",DATE(Table1[[#This Row],[Date_Year]],Table1[[#This Row],[Date_Month]],1))</f>
        <v>43831</v>
      </c>
    </row>
    <row r="1096" spans="2:18" ht="15.75" hidden="1" x14ac:dyDescent="0.25">
      <c r="B1096" s="165">
        <v>43844</v>
      </c>
      <c r="C1096" s="166" t="s">
        <v>135</v>
      </c>
      <c r="D1096" s="166" t="s">
        <v>53</v>
      </c>
      <c r="E1096" s="167"/>
      <c r="F1096" s="114">
        <v>-10.65</v>
      </c>
      <c r="G1096" s="168"/>
      <c r="H1096" s="169"/>
      <c r="I1096" s="170"/>
      <c r="J1096" s="171" t="s">
        <v>1362</v>
      </c>
      <c r="K1096" s="172" t="s">
        <v>177</v>
      </c>
      <c r="L1096" s="172" t="s">
        <v>175</v>
      </c>
      <c r="M1096" s="173" t="str" cm="1">
        <f t="array" ref="M1096">IFERROR(INDEX(CategoriesTable[Category type],MATCH(Table1[[#This Row],[Category]],CategoriesTable[Category name],0),0),"")</f>
        <v>Expense</v>
      </c>
      <c r="N1096" s="173">
        <v>14</v>
      </c>
      <c r="O1096" s="173">
        <f>MONTH(Table1[[#This Row],[Date]])</f>
        <v>1</v>
      </c>
      <c r="P1096" s="173">
        <v>2020</v>
      </c>
      <c r="Q1096" s="174">
        <f>IF(ISBLANK(Table1[[#This Row],[Date]]),"",Table1[[#This Row],[Date]]-WEEKDAY(Table1[[#This Row],[Date]],2)+1)</f>
        <v>43843</v>
      </c>
      <c r="R1096" s="175">
        <f>IF(ISBLANK(Table1[[#This Row],[Date]]),"",DATE(Table1[[#This Row],[Date_Year]],Table1[[#This Row],[Date_Month]],1))</f>
        <v>43831</v>
      </c>
    </row>
    <row r="1097" spans="2:18" ht="15.75" hidden="1" x14ac:dyDescent="0.25">
      <c r="B1097" s="165">
        <v>43844</v>
      </c>
      <c r="C1097" s="166" t="s">
        <v>249</v>
      </c>
      <c r="D1097" s="166" t="s">
        <v>52</v>
      </c>
      <c r="E1097" s="167"/>
      <c r="F1097" s="114">
        <v>-10</v>
      </c>
      <c r="G1097" s="168"/>
      <c r="H1097" s="169"/>
      <c r="I1097" s="170"/>
      <c r="J1097" s="171" t="s">
        <v>1363</v>
      </c>
      <c r="K1097" s="172" t="s">
        <v>177</v>
      </c>
      <c r="L1097" s="172" t="s">
        <v>175</v>
      </c>
      <c r="M1097" s="173" t="str" cm="1">
        <f t="array" ref="M1097">IFERROR(INDEX(CategoriesTable[Category type],MATCH(Table1[[#This Row],[Category]],CategoriesTable[Category name],0),0),"")</f>
        <v>Transfer</v>
      </c>
      <c r="N1097" s="173">
        <v>14</v>
      </c>
      <c r="O1097" s="173">
        <f>MONTH(Table1[[#This Row],[Date]])</f>
        <v>1</v>
      </c>
      <c r="P1097" s="173">
        <v>2020</v>
      </c>
      <c r="Q1097" s="174">
        <f>IF(ISBLANK(Table1[[#This Row],[Date]]),"",Table1[[#This Row],[Date]]-WEEKDAY(Table1[[#This Row],[Date]],2)+1)</f>
        <v>43843</v>
      </c>
      <c r="R1097" s="175">
        <f>IF(ISBLANK(Table1[[#This Row],[Date]]),"",DATE(Table1[[#This Row],[Date_Year]],Table1[[#This Row],[Date_Month]],1))</f>
        <v>43831</v>
      </c>
    </row>
    <row r="1098" spans="2:18" ht="15.75" hidden="1" x14ac:dyDescent="0.25">
      <c r="B1098" s="165">
        <v>43843</v>
      </c>
      <c r="C1098" s="166" t="s">
        <v>120</v>
      </c>
      <c r="D1098" s="166" t="s">
        <v>66</v>
      </c>
      <c r="E1098" s="167"/>
      <c r="F1098" s="114">
        <v>-63.74</v>
      </c>
      <c r="G1098" s="168"/>
      <c r="H1098" s="169"/>
      <c r="I1098" s="170"/>
      <c r="J1098" s="171" t="s">
        <v>1364</v>
      </c>
      <c r="K1098" s="172" t="s">
        <v>177</v>
      </c>
      <c r="L1098" s="172" t="s">
        <v>175</v>
      </c>
      <c r="M1098" s="173" t="str" cm="1">
        <f t="array" ref="M1098">IFERROR(INDEX(CategoriesTable[Category type],MATCH(Table1[[#This Row],[Category]],CategoriesTable[Category name],0),0),"")</f>
        <v>Expense</v>
      </c>
      <c r="N1098" s="173">
        <v>13</v>
      </c>
      <c r="O1098" s="173">
        <f>MONTH(Table1[[#This Row],[Date]])</f>
        <v>1</v>
      </c>
      <c r="P1098" s="173">
        <v>2020</v>
      </c>
      <c r="Q1098" s="174">
        <f>IF(ISBLANK(Table1[[#This Row],[Date]]),"",Table1[[#This Row],[Date]]-WEEKDAY(Table1[[#This Row],[Date]],2)+1)</f>
        <v>43843</v>
      </c>
      <c r="R1098" s="175">
        <f>IF(ISBLANK(Table1[[#This Row],[Date]]),"",DATE(Table1[[#This Row],[Date_Year]],Table1[[#This Row],[Date_Month]],1))</f>
        <v>43831</v>
      </c>
    </row>
    <row r="1099" spans="2:18" ht="15.75" hidden="1" x14ac:dyDescent="0.25">
      <c r="B1099" s="165">
        <v>43843</v>
      </c>
      <c r="C1099" s="166" t="s">
        <v>572</v>
      </c>
      <c r="D1099" s="166" t="s">
        <v>63</v>
      </c>
      <c r="E1099" s="167"/>
      <c r="F1099" s="114">
        <v>-3.5</v>
      </c>
      <c r="G1099" s="168"/>
      <c r="H1099" s="169"/>
      <c r="I1099" s="170"/>
      <c r="J1099" s="171" t="s">
        <v>1365</v>
      </c>
      <c r="K1099" s="172" t="s">
        <v>177</v>
      </c>
      <c r="L1099" s="172" t="s">
        <v>175</v>
      </c>
      <c r="M1099" s="173" t="str" cm="1">
        <f t="array" ref="M1099">IFERROR(INDEX(CategoriesTable[Category type],MATCH(Table1[[#This Row],[Category]],CategoriesTable[Category name],0),0),"")</f>
        <v>Expense</v>
      </c>
      <c r="N1099" s="173">
        <v>13</v>
      </c>
      <c r="O1099" s="173">
        <f>MONTH(Table1[[#This Row],[Date]])</f>
        <v>1</v>
      </c>
      <c r="P1099" s="173">
        <v>2020</v>
      </c>
      <c r="Q1099" s="174">
        <f>IF(ISBLANK(Table1[[#This Row],[Date]]),"",Table1[[#This Row],[Date]]-WEEKDAY(Table1[[#This Row],[Date]],2)+1)</f>
        <v>43843</v>
      </c>
      <c r="R1099" s="175">
        <f>IF(ISBLANK(Table1[[#This Row],[Date]]),"",DATE(Table1[[#This Row],[Date_Year]],Table1[[#This Row],[Date_Month]],1))</f>
        <v>43831</v>
      </c>
    </row>
    <row r="1100" spans="2:18" ht="15.75" hidden="1" x14ac:dyDescent="0.25">
      <c r="B1100" s="165">
        <v>43843</v>
      </c>
      <c r="C1100" s="166" t="s">
        <v>574</v>
      </c>
      <c r="D1100" s="166" t="s">
        <v>55</v>
      </c>
      <c r="E1100" s="167"/>
      <c r="F1100" s="114">
        <v>-317.58</v>
      </c>
      <c r="G1100" s="168"/>
      <c r="H1100" s="169"/>
      <c r="I1100" s="170"/>
      <c r="J1100" s="171" t="s">
        <v>1366</v>
      </c>
      <c r="K1100" s="172" t="s">
        <v>177</v>
      </c>
      <c r="L1100" s="172" t="s">
        <v>175</v>
      </c>
      <c r="M1100" s="173" t="str" cm="1">
        <f t="array" ref="M1100">IFERROR(INDEX(CategoriesTable[Category type],MATCH(Table1[[#This Row],[Category]],CategoriesTable[Category name],0),0),"")</f>
        <v>Expense</v>
      </c>
      <c r="N1100" s="173">
        <v>13</v>
      </c>
      <c r="O1100" s="173">
        <f>MONTH(Table1[[#This Row],[Date]])</f>
        <v>1</v>
      </c>
      <c r="P1100" s="173">
        <v>2020</v>
      </c>
      <c r="Q1100" s="174">
        <f>IF(ISBLANK(Table1[[#This Row],[Date]]),"",Table1[[#This Row],[Date]]-WEEKDAY(Table1[[#This Row],[Date]],2)+1)</f>
        <v>43843</v>
      </c>
      <c r="R1100" s="175">
        <f>IF(ISBLANK(Table1[[#This Row],[Date]]),"",DATE(Table1[[#This Row],[Date_Year]],Table1[[#This Row],[Date_Month]],1))</f>
        <v>43831</v>
      </c>
    </row>
    <row r="1101" spans="2:18" ht="15.75" hidden="1" x14ac:dyDescent="0.25">
      <c r="B1101" s="165">
        <v>43843</v>
      </c>
      <c r="C1101" s="166" t="s">
        <v>211</v>
      </c>
      <c r="D1101" s="166" t="s">
        <v>66</v>
      </c>
      <c r="E1101" s="167"/>
      <c r="F1101" s="114">
        <v>-115</v>
      </c>
      <c r="G1101" s="168"/>
      <c r="H1101" s="169"/>
      <c r="I1101" s="170"/>
      <c r="J1101" s="171" t="s">
        <v>1367</v>
      </c>
      <c r="K1101" s="172" t="s">
        <v>177</v>
      </c>
      <c r="L1101" s="172" t="s">
        <v>175</v>
      </c>
      <c r="M1101" s="173" t="str" cm="1">
        <f t="array" ref="M1101">IFERROR(INDEX(CategoriesTable[Category type],MATCH(Table1[[#This Row],[Category]],CategoriesTable[Category name],0),0),"")</f>
        <v>Expense</v>
      </c>
      <c r="N1101" s="173">
        <v>13</v>
      </c>
      <c r="O1101" s="173">
        <f>MONTH(Table1[[#This Row],[Date]])</f>
        <v>1</v>
      </c>
      <c r="P1101" s="173">
        <v>2020</v>
      </c>
      <c r="Q1101" s="174">
        <f>IF(ISBLANK(Table1[[#This Row],[Date]]),"",Table1[[#This Row],[Date]]-WEEKDAY(Table1[[#This Row],[Date]],2)+1)</f>
        <v>43843</v>
      </c>
      <c r="R1101" s="175">
        <f>IF(ISBLANK(Table1[[#This Row],[Date]]),"",DATE(Table1[[#This Row],[Date_Year]],Table1[[#This Row],[Date_Month]],1))</f>
        <v>43831</v>
      </c>
    </row>
    <row r="1102" spans="2:18" ht="15.75" hidden="1" x14ac:dyDescent="0.25">
      <c r="B1102" s="165">
        <v>43841</v>
      </c>
      <c r="C1102" s="166" t="s">
        <v>145</v>
      </c>
      <c r="D1102" s="166" t="s">
        <v>58</v>
      </c>
      <c r="E1102" s="167"/>
      <c r="F1102" s="114">
        <v>-3.56</v>
      </c>
      <c r="G1102" s="168"/>
      <c r="H1102" s="169"/>
      <c r="I1102" s="170"/>
      <c r="J1102" s="171" t="s">
        <v>1368</v>
      </c>
      <c r="K1102" s="172" t="s">
        <v>177</v>
      </c>
      <c r="L1102" s="172" t="s">
        <v>175</v>
      </c>
      <c r="M1102" s="173" t="str" cm="1">
        <f t="array" ref="M1102">IFERROR(INDEX(CategoriesTable[Category type],MATCH(Table1[[#This Row],[Category]],CategoriesTable[Category name],0),0),"")</f>
        <v>Expense</v>
      </c>
      <c r="N1102" s="173">
        <v>11</v>
      </c>
      <c r="O1102" s="173">
        <f>MONTH(Table1[[#This Row],[Date]])</f>
        <v>1</v>
      </c>
      <c r="P1102" s="173">
        <v>2020</v>
      </c>
      <c r="Q1102" s="174">
        <f>IF(ISBLANK(Table1[[#This Row],[Date]]),"",Table1[[#This Row],[Date]]-WEEKDAY(Table1[[#This Row],[Date]],2)+1)</f>
        <v>43836</v>
      </c>
      <c r="R1102" s="175">
        <f>IF(ISBLANK(Table1[[#This Row],[Date]]),"",DATE(Table1[[#This Row],[Date_Year]],Table1[[#This Row],[Date_Month]],1))</f>
        <v>43831</v>
      </c>
    </row>
    <row r="1103" spans="2:18" ht="15.75" hidden="1" x14ac:dyDescent="0.25">
      <c r="B1103" s="165">
        <v>43841</v>
      </c>
      <c r="C1103" s="166" t="s">
        <v>504</v>
      </c>
      <c r="D1103" s="166" t="s">
        <v>66</v>
      </c>
      <c r="E1103" s="167"/>
      <c r="F1103" s="114">
        <v>-10.4</v>
      </c>
      <c r="G1103" s="168"/>
      <c r="H1103" s="169"/>
      <c r="I1103" s="170"/>
      <c r="J1103" s="171" t="s">
        <v>1369</v>
      </c>
      <c r="K1103" s="172" t="s">
        <v>177</v>
      </c>
      <c r="L1103" s="172" t="s">
        <v>175</v>
      </c>
      <c r="M1103" s="173" t="str" cm="1">
        <f t="array" ref="M1103">IFERROR(INDEX(CategoriesTable[Category type],MATCH(Table1[[#This Row],[Category]],CategoriesTable[Category name],0),0),"")</f>
        <v>Expense</v>
      </c>
      <c r="N1103" s="173">
        <v>11</v>
      </c>
      <c r="O1103" s="173">
        <f>MONTH(Table1[[#This Row],[Date]])</f>
        <v>1</v>
      </c>
      <c r="P1103" s="173">
        <v>2020</v>
      </c>
      <c r="Q1103" s="174">
        <f>IF(ISBLANK(Table1[[#This Row],[Date]]),"",Table1[[#This Row],[Date]]-WEEKDAY(Table1[[#This Row],[Date]],2)+1)</f>
        <v>43836</v>
      </c>
      <c r="R1103" s="175">
        <f>IF(ISBLANK(Table1[[#This Row],[Date]]),"",DATE(Table1[[#This Row],[Date_Year]],Table1[[#This Row],[Date_Month]],1))</f>
        <v>43831</v>
      </c>
    </row>
    <row r="1104" spans="2:18" ht="15.75" hidden="1" x14ac:dyDescent="0.25">
      <c r="B1104" s="165">
        <v>43838</v>
      </c>
      <c r="C1104" s="166" t="s">
        <v>784</v>
      </c>
      <c r="D1104" s="166" t="s">
        <v>64</v>
      </c>
      <c r="E1104" s="167"/>
      <c r="F1104" s="114">
        <v>-500</v>
      </c>
      <c r="G1104" s="168"/>
      <c r="H1104" s="169"/>
      <c r="I1104" s="170"/>
      <c r="J1104" s="171" t="s">
        <v>1370</v>
      </c>
      <c r="K1104" s="172" t="s">
        <v>177</v>
      </c>
      <c r="L1104" s="172" t="s">
        <v>175</v>
      </c>
      <c r="M1104" s="173" t="str" cm="1">
        <f t="array" ref="M1104">IFERROR(INDEX(CategoriesTable[Category type],MATCH(Table1[[#This Row],[Category]],CategoriesTable[Category name],0),0),"")</f>
        <v>Expense</v>
      </c>
      <c r="N1104" s="173">
        <v>8</v>
      </c>
      <c r="O1104" s="173">
        <f>MONTH(Table1[[#This Row],[Date]])</f>
        <v>1</v>
      </c>
      <c r="P1104" s="173">
        <v>2020</v>
      </c>
      <c r="Q1104" s="174">
        <f>IF(ISBLANK(Table1[[#This Row],[Date]]),"",Table1[[#This Row],[Date]]-WEEKDAY(Table1[[#This Row],[Date]],2)+1)</f>
        <v>43836</v>
      </c>
      <c r="R1104" s="175">
        <f>IF(ISBLANK(Table1[[#This Row],[Date]]),"",DATE(Table1[[#This Row],[Date_Year]],Table1[[#This Row],[Date_Month]],1))</f>
        <v>43831</v>
      </c>
    </row>
    <row r="1105" spans="2:18" ht="15.75" hidden="1" x14ac:dyDescent="0.25">
      <c r="B1105" s="165">
        <v>43837</v>
      </c>
      <c r="C1105" s="166" t="s">
        <v>121</v>
      </c>
      <c r="D1105" s="166" t="s">
        <v>65</v>
      </c>
      <c r="E1105" s="167"/>
      <c r="F1105" s="114">
        <v>-12.96</v>
      </c>
      <c r="G1105" s="168"/>
      <c r="H1105" s="169"/>
      <c r="I1105" s="170"/>
      <c r="J1105" s="171" t="s">
        <v>1371</v>
      </c>
      <c r="K1105" s="172" t="s">
        <v>177</v>
      </c>
      <c r="L1105" s="172" t="s">
        <v>175</v>
      </c>
      <c r="M1105" s="173" t="str" cm="1">
        <f t="array" ref="M1105">IFERROR(INDEX(CategoriesTable[Category type],MATCH(Table1[[#This Row],[Category]],CategoriesTable[Category name],0),0),"")</f>
        <v>Expense</v>
      </c>
      <c r="N1105" s="173">
        <v>7</v>
      </c>
      <c r="O1105" s="173">
        <f>MONTH(Table1[[#This Row],[Date]])</f>
        <v>1</v>
      </c>
      <c r="P1105" s="173">
        <v>2020</v>
      </c>
      <c r="Q1105" s="174">
        <f>IF(ISBLANK(Table1[[#This Row],[Date]]),"",Table1[[#This Row],[Date]]-WEEKDAY(Table1[[#This Row],[Date]],2)+1)</f>
        <v>43836</v>
      </c>
      <c r="R1105" s="175">
        <f>IF(ISBLANK(Table1[[#This Row],[Date]]),"",DATE(Table1[[#This Row],[Date_Year]],Table1[[#This Row],[Date_Month]],1))</f>
        <v>43831</v>
      </c>
    </row>
    <row r="1106" spans="2:18" ht="15.75" hidden="1" x14ac:dyDescent="0.25">
      <c r="B1106" s="165">
        <v>43837</v>
      </c>
      <c r="C1106" s="166" t="s">
        <v>738</v>
      </c>
      <c r="D1106" s="166" t="s">
        <v>55</v>
      </c>
      <c r="E1106" s="167"/>
      <c r="F1106" s="114">
        <v>-173.83</v>
      </c>
      <c r="G1106" s="168"/>
      <c r="H1106" s="169"/>
      <c r="I1106" s="170"/>
      <c r="J1106" s="171" t="s">
        <v>1372</v>
      </c>
      <c r="K1106" s="172" t="s">
        <v>177</v>
      </c>
      <c r="L1106" s="172" t="s">
        <v>175</v>
      </c>
      <c r="M1106" s="173" t="str" cm="1">
        <f t="array" ref="M1106">IFERROR(INDEX(CategoriesTable[Category type],MATCH(Table1[[#This Row],[Category]],CategoriesTable[Category name],0),0),"")</f>
        <v>Expense</v>
      </c>
      <c r="N1106" s="173">
        <v>7</v>
      </c>
      <c r="O1106" s="173">
        <f>MONTH(Table1[[#This Row],[Date]])</f>
        <v>1</v>
      </c>
      <c r="P1106" s="173">
        <v>2020</v>
      </c>
      <c r="Q1106" s="174">
        <f>IF(ISBLANK(Table1[[#This Row],[Date]]),"",Table1[[#This Row],[Date]]-WEEKDAY(Table1[[#This Row],[Date]],2)+1)</f>
        <v>43836</v>
      </c>
      <c r="R1106" s="175">
        <f>IF(ISBLANK(Table1[[#This Row],[Date]]),"",DATE(Table1[[#This Row],[Date_Year]],Table1[[#This Row],[Date_Month]],1))</f>
        <v>43831</v>
      </c>
    </row>
    <row r="1107" spans="2:18" ht="15.75" hidden="1" x14ac:dyDescent="0.25">
      <c r="B1107" s="165">
        <v>43837</v>
      </c>
      <c r="C1107" s="166" t="s">
        <v>121</v>
      </c>
      <c r="D1107" s="166" t="s">
        <v>65</v>
      </c>
      <c r="E1107" s="167"/>
      <c r="F1107" s="114">
        <v>-16.489999999999998</v>
      </c>
      <c r="G1107" s="168"/>
      <c r="H1107" s="169"/>
      <c r="I1107" s="170"/>
      <c r="J1107" s="171" t="s">
        <v>1373</v>
      </c>
      <c r="K1107" s="172" t="s">
        <v>177</v>
      </c>
      <c r="L1107" s="172" t="s">
        <v>175</v>
      </c>
      <c r="M1107" s="173" t="str" cm="1">
        <f t="array" ref="M1107">IFERROR(INDEX(CategoriesTable[Category type],MATCH(Table1[[#This Row],[Category]],CategoriesTable[Category name],0),0),"")</f>
        <v>Expense</v>
      </c>
      <c r="N1107" s="173">
        <v>7</v>
      </c>
      <c r="O1107" s="173">
        <f>MONTH(Table1[[#This Row],[Date]])</f>
        <v>1</v>
      </c>
      <c r="P1107" s="173">
        <v>2020</v>
      </c>
      <c r="Q1107" s="174">
        <f>IF(ISBLANK(Table1[[#This Row],[Date]]),"",Table1[[#This Row],[Date]]-WEEKDAY(Table1[[#This Row],[Date]],2)+1)</f>
        <v>43836</v>
      </c>
      <c r="R1107" s="175">
        <f>IF(ISBLANK(Table1[[#This Row],[Date]]),"",DATE(Table1[[#This Row],[Date_Year]],Table1[[#This Row],[Date_Month]],1))</f>
        <v>43831</v>
      </c>
    </row>
    <row r="1108" spans="2:18" ht="15.75" hidden="1" x14ac:dyDescent="0.25">
      <c r="B1108" s="165">
        <v>43837</v>
      </c>
      <c r="C1108" s="166" t="s">
        <v>135</v>
      </c>
      <c r="D1108" s="166" t="s">
        <v>53</v>
      </c>
      <c r="E1108" s="167"/>
      <c r="F1108" s="114">
        <v>-9.85</v>
      </c>
      <c r="G1108" s="168"/>
      <c r="H1108" s="169"/>
      <c r="I1108" s="170"/>
      <c r="J1108" s="171" t="s">
        <v>1374</v>
      </c>
      <c r="K1108" s="172" t="s">
        <v>177</v>
      </c>
      <c r="L1108" s="172" t="s">
        <v>175</v>
      </c>
      <c r="M1108" s="173" t="str" cm="1">
        <f t="array" ref="M1108">IFERROR(INDEX(CategoriesTable[Category type],MATCH(Table1[[#This Row],[Category]],CategoriesTable[Category name],0),0),"")</f>
        <v>Expense</v>
      </c>
      <c r="N1108" s="173">
        <v>7</v>
      </c>
      <c r="O1108" s="173">
        <f>MONTH(Table1[[#This Row],[Date]])</f>
        <v>1</v>
      </c>
      <c r="P1108" s="173">
        <v>2020</v>
      </c>
      <c r="Q1108" s="174">
        <f>IF(ISBLANK(Table1[[#This Row],[Date]]),"",Table1[[#This Row],[Date]]-WEEKDAY(Table1[[#This Row],[Date]],2)+1)</f>
        <v>43836</v>
      </c>
      <c r="R1108" s="175">
        <f>IF(ISBLANK(Table1[[#This Row],[Date]]),"",DATE(Table1[[#This Row],[Date_Year]],Table1[[#This Row],[Date_Month]],1))</f>
        <v>43831</v>
      </c>
    </row>
    <row r="1109" spans="2:18" ht="15.75" hidden="1" x14ac:dyDescent="0.25">
      <c r="B1109" s="165">
        <v>43837</v>
      </c>
      <c r="C1109" s="166" t="s">
        <v>120</v>
      </c>
      <c r="D1109" s="166" t="s">
        <v>66</v>
      </c>
      <c r="E1109" s="167"/>
      <c r="F1109" s="114">
        <v>-126.16</v>
      </c>
      <c r="G1109" s="168"/>
      <c r="H1109" s="169"/>
      <c r="I1109" s="170"/>
      <c r="J1109" s="171" t="s">
        <v>1375</v>
      </c>
      <c r="K1109" s="172" t="s">
        <v>177</v>
      </c>
      <c r="L1109" s="172" t="s">
        <v>175</v>
      </c>
      <c r="M1109" s="173" t="str" cm="1">
        <f t="array" ref="M1109">IFERROR(INDEX(CategoriesTable[Category type],MATCH(Table1[[#This Row],[Category]],CategoriesTable[Category name],0),0),"")</f>
        <v>Expense</v>
      </c>
      <c r="N1109" s="173">
        <v>7</v>
      </c>
      <c r="O1109" s="173">
        <f>MONTH(Table1[[#This Row],[Date]])</f>
        <v>1</v>
      </c>
      <c r="P1109" s="173">
        <v>2020</v>
      </c>
      <c r="Q1109" s="174">
        <f>IF(ISBLANK(Table1[[#This Row],[Date]]),"",Table1[[#This Row],[Date]]-WEEKDAY(Table1[[#This Row],[Date]],2)+1)</f>
        <v>43836</v>
      </c>
      <c r="R1109" s="175">
        <f>IF(ISBLANK(Table1[[#This Row],[Date]]),"",DATE(Table1[[#This Row],[Date_Year]],Table1[[#This Row],[Date_Month]],1))</f>
        <v>43831</v>
      </c>
    </row>
    <row r="1110" spans="2:18" ht="15.75" hidden="1" x14ac:dyDescent="0.25">
      <c r="B1110" s="165">
        <v>43836</v>
      </c>
      <c r="C1110" s="166" t="s">
        <v>249</v>
      </c>
      <c r="D1110" s="166" t="s">
        <v>52</v>
      </c>
      <c r="E1110" s="167"/>
      <c r="F1110" s="114">
        <v>-70</v>
      </c>
      <c r="G1110" s="168"/>
      <c r="H1110" s="169"/>
      <c r="I1110" s="170"/>
      <c r="J1110" s="171" t="s">
        <v>1376</v>
      </c>
      <c r="K1110" s="172" t="s">
        <v>177</v>
      </c>
      <c r="L1110" s="172" t="s">
        <v>175</v>
      </c>
      <c r="M1110" s="173" t="str" cm="1">
        <f t="array" ref="M1110">IFERROR(INDEX(CategoriesTable[Category type],MATCH(Table1[[#This Row],[Category]],CategoriesTable[Category name],0),0),"")</f>
        <v>Transfer</v>
      </c>
      <c r="N1110" s="173">
        <v>6</v>
      </c>
      <c r="O1110" s="173">
        <f>MONTH(Table1[[#This Row],[Date]])</f>
        <v>1</v>
      </c>
      <c r="P1110" s="173">
        <v>2020</v>
      </c>
      <c r="Q1110" s="174">
        <f>IF(ISBLANK(Table1[[#This Row],[Date]]),"",Table1[[#This Row],[Date]]-WEEKDAY(Table1[[#This Row],[Date]],2)+1)</f>
        <v>43836</v>
      </c>
      <c r="R1110" s="175">
        <f>IF(ISBLANK(Table1[[#This Row],[Date]]),"",DATE(Table1[[#This Row],[Date_Year]],Table1[[#This Row],[Date_Month]],1))</f>
        <v>43831</v>
      </c>
    </row>
    <row r="1111" spans="2:18" ht="15.75" hidden="1" x14ac:dyDescent="0.25">
      <c r="B1111" s="165">
        <v>43836</v>
      </c>
      <c r="C1111" s="166" t="s">
        <v>664</v>
      </c>
      <c r="D1111" s="166" t="s">
        <v>66</v>
      </c>
      <c r="E1111" s="167"/>
      <c r="F1111" s="114">
        <v>-129.38</v>
      </c>
      <c r="G1111" s="168"/>
      <c r="H1111" s="169"/>
      <c r="I1111" s="170"/>
      <c r="J1111" s="171" t="s">
        <v>1377</v>
      </c>
      <c r="K1111" s="172" t="s">
        <v>177</v>
      </c>
      <c r="L1111" s="172" t="s">
        <v>175</v>
      </c>
      <c r="M1111" s="173" t="str" cm="1">
        <f t="array" ref="M1111">IFERROR(INDEX(CategoriesTable[Category type],MATCH(Table1[[#This Row],[Category]],CategoriesTable[Category name],0),0),"")</f>
        <v>Expense</v>
      </c>
      <c r="N1111" s="173">
        <v>6</v>
      </c>
      <c r="O1111" s="173">
        <f>MONTH(Table1[[#This Row],[Date]])</f>
        <v>1</v>
      </c>
      <c r="P1111" s="173">
        <v>2020</v>
      </c>
      <c r="Q1111" s="174">
        <f>IF(ISBLANK(Table1[[#This Row],[Date]]),"",Table1[[#This Row],[Date]]-WEEKDAY(Table1[[#This Row],[Date]],2)+1)</f>
        <v>43836</v>
      </c>
      <c r="R1111" s="175">
        <f>IF(ISBLANK(Table1[[#This Row],[Date]]),"",DATE(Table1[[#This Row],[Date_Year]],Table1[[#This Row],[Date_Month]],1))</f>
        <v>43831</v>
      </c>
    </row>
    <row r="1112" spans="2:18" ht="15.75" hidden="1" x14ac:dyDescent="0.25">
      <c r="B1112" s="165">
        <v>43836</v>
      </c>
      <c r="C1112" s="166" t="s">
        <v>184</v>
      </c>
      <c r="D1112" s="166" t="s">
        <v>56</v>
      </c>
      <c r="E1112" s="167"/>
      <c r="F1112" s="114">
        <v>-59.99</v>
      </c>
      <c r="G1112" s="168"/>
      <c r="H1112" s="169"/>
      <c r="I1112" s="170"/>
      <c r="J1112" s="171" t="s">
        <v>1378</v>
      </c>
      <c r="K1112" s="172" t="s">
        <v>177</v>
      </c>
      <c r="L1112" s="172" t="s">
        <v>175</v>
      </c>
      <c r="M1112" s="173" t="str" cm="1">
        <f t="array" ref="M1112">IFERROR(INDEX(CategoriesTable[Category type],MATCH(Table1[[#This Row],[Category]],CategoriesTable[Category name],0),0),"")</f>
        <v>Expense</v>
      </c>
      <c r="N1112" s="173">
        <v>6</v>
      </c>
      <c r="O1112" s="173">
        <f>MONTH(Table1[[#This Row],[Date]])</f>
        <v>1</v>
      </c>
      <c r="P1112" s="173">
        <v>2020</v>
      </c>
      <c r="Q1112" s="174">
        <f>IF(ISBLANK(Table1[[#This Row],[Date]]),"",Table1[[#This Row],[Date]]-WEEKDAY(Table1[[#This Row],[Date]],2)+1)</f>
        <v>43836</v>
      </c>
      <c r="R1112" s="175">
        <f>IF(ISBLANK(Table1[[#This Row],[Date]]),"",DATE(Table1[[#This Row],[Date_Year]],Table1[[#This Row],[Date_Month]],1))</f>
        <v>43831</v>
      </c>
    </row>
    <row r="1113" spans="2:18" ht="15.75" hidden="1" x14ac:dyDescent="0.25">
      <c r="B1113" s="165">
        <v>43834</v>
      </c>
      <c r="C1113" s="166" t="s">
        <v>247</v>
      </c>
      <c r="D1113" s="166" t="s">
        <v>65</v>
      </c>
      <c r="E1113" s="167"/>
      <c r="F1113" s="114">
        <v>-19.38</v>
      </c>
      <c r="G1113" s="168"/>
      <c r="H1113" s="169"/>
      <c r="I1113" s="170"/>
      <c r="J1113" s="171" t="s">
        <v>1379</v>
      </c>
      <c r="K1113" s="172" t="s">
        <v>177</v>
      </c>
      <c r="L1113" s="172" t="s">
        <v>175</v>
      </c>
      <c r="M1113" s="173" t="str" cm="1">
        <f t="array" ref="M1113">IFERROR(INDEX(CategoriesTable[Category type],MATCH(Table1[[#This Row],[Category]],CategoriesTable[Category name],0),0),"")</f>
        <v>Expense</v>
      </c>
      <c r="N1113" s="173">
        <v>4</v>
      </c>
      <c r="O1113" s="173">
        <f>MONTH(Table1[[#This Row],[Date]])</f>
        <v>1</v>
      </c>
      <c r="P1113" s="173">
        <v>2020</v>
      </c>
      <c r="Q1113" s="174">
        <f>IF(ISBLANK(Table1[[#This Row],[Date]]),"",Table1[[#This Row],[Date]]-WEEKDAY(Table1[[#This Row],[Date]],2)+1)</f>
        <v>43829</v>
      </c>
      <c r="R1113" s="175">
        <f>IF(ISBLANK(Table1[[#This Row],[Date]]),"",DATE(Table1[[#This Row],[Date_Year]],Table1[[#This Row],[Date_Month]],1))</f>
        <v>43831</v>
      </c>
    </row>
    <row r="1114" spans="2:18" ht="15.75" hidden="1" x14ac:dyDescent="0.25">
      <c r="B1114" s="165">
        <v>43833</v>
      </c>
      <c r="C1114" s="166" t="s">
        <v>121</v>
      </c>
      <c r="D1114" s="166" t="s">
        <v>65</v>
      </c>
      <c r="E1114" s="167"/>
      <c r="F1114" s="114">
        <v>-25.9</v>
      </c>
      <c r="G1114" s="168"/>
      <c r="H1114" s="169"/>
      <c r="I1114" s="170"/>
      <c r="J1114" s="171" t="s">
        <v>1380</v>
      </c>
      <c r="K1114" s="172" t="s">
        <v>177</v>
      </c>
      <c r="L1114" s="172" t="s">
        <v>175</v>
      </c>
      <c r="M1114" s="173" t="str" cm="1">
        <f t="array" ref="M1114">IFERROR(INDEX(CategoriesTable[Category type],MATCH(Table1[[#This Row],[Category]],CategoriesTable[Category name],0),0),"")</f>
        <v>Expense</v>
      </c>
      <c r="N1114" s="173">
        <v>3</v>
      </c>
      <c r="O1114" s="173">
        <f>MONTH(Table1[[#This Row],[Date]])</f>
        <v>1</v>
      </c>
      <c r="P1114" s="173">
        <v>2020</v>
      </c>
      <c r="Q1114" s="174">
        <f>IF(ISBLANK(Table1[[#This Row],[Date]]),"",Table1[[#This Row],[Date]]-WEEKDAY(Table1[[#This Row],[Date]],2)+1)</f>
        <v>43829</v>
      </c>
      <c r="R1114" s="175">
        <f>IF(ISBLANK(Table1[[#This Row],[Date]]),"",DATE(Table1[[#This Row],[Date_Year]],Table1[[#This Row],[Date_Month]],1))</f>
        <v>43831</v>
      </c>
    </row>
    <row r="1115" spans="2:18" ht="15.75" hidden="1" x14ac:dyDescent="0.25">
      <c r="B1115" s="165">
        <v>43833</v>
      </c>
      <c r="C1115" s="166" t="s">
        <v>142</v>
      </c>
      <c r="D1115" s="166" t="s">
        <v>53</v>
      </c>
      <c r="E1115" s="167"/>
      <c r="F1115" s="114">
        <v>-10.5</v>
      </c>
      <c r="G1115" s="168"/>
      <c r="H1115" s="169"/>
      <c r="I1115" s="170"/>
      <c r="J1115" s="171" t="s">
        <v>1381</v>
      </c>
      <c r="K1115" s="172" t="s">
        <v>177</v>
      </c>
      <c r="L1115" s="172" t="s">
        <v>175</v>
      </c>
      <c r="M1115" s="173" t="str" cm="1">
        <f t="array" ref="M1115">IFERROR(INDEX(CategoriesTable[Category type],MATCH(Table1[[#This Row],[Category]],CategoriesTable[Category name],0),0),"")</f>
        <v>Expense</v>
      </c>
      <c r="N1115" s="173">
        <v>3</v>
      </c>
      <c r="O1115" s="173">
        <f>MONTH(Table1[[#This Row],[Date]])</f>
        <v>1</v>
      </c>
      <c r="P1115" s="173">
        <v>2020</v>
      </c>
      <c r="Q1115" s="174">
        <f>IF(ISBLANK(Table1[[#This Row],[Date]]),"",Table1[[#This Row],[Date]]-WEEKDAY(Table1[[#This Row],[Date]],2)+1)</f>
        <v>43829</v>
      </c>
      <c r="R1115" s="175">
        <f>IF(ISBLANK(Table1[[#This Row],[Date]]),"",DATE(Table1[[#This Row],[Date_Year]],Table1[[#This Row],[Date_Month]],1))</f>
        <v>43831</v>
      </c>
    </row>
    <row r="1116" spans="2:18" ht="15.75" hidden="1" x14ac:dyDescent="0.25">
      <c r="B1116" s="165">
        <v>43832</v>
      </c>
      <c r="C1116" s="166" t="s">
        <v>120</v>
      </c>
      <c r="D1116" s="166" t="s">
        <v>66</v>
      </c>
      <c r="E1116" s="167"/>
      <c r="F1116" s="114">
        <v>-162.53</v>
      </c>
      <c r="G1116" s="168"/>
      <c r="H1116" s="169"/>
      <c r="I1116" s="170"/>
      <c r="J1116" s="171" t="s">
        <v>1382</v>
      </c>
      <c r="K1116" s="172" t="s">
        <v>177</v>
      </c>
      <c r="L1116" s="172" t="s">
        <v>175</v>
      </c>
      <c r="M1116" s="173" t="str" cm="1">
        <f t="array" ref="M1116">IFERROR(INDEX(CategoriesTable[Category type],MATCH(Table1[[#This Row],[Category]],CategoriesTable[Category name],0),0),"")</f>
        <v>Expense</v>
      </c>
      <c r="N1116" s="173">
        <v>2</v>
      </c>
      <c r="O1116" s="173">
        <f>MONTH(Table1[[#This Row],[Date]])</f>
        <v>1</v>
      </c>
      <c r="P1116" s="173">
        <v>2020</v>
      </c>
      <c r="Q1116" s="174">
        <f>IF(ISBLANK(Table1[[#This Row],[Date]]),"",Table1[[#This Row],[Date]]-WEEKDAY(Table1[[#This Row],[Date]],2)+1)</f>
        <v>43829</v>
      </c>
      <c r="R1116" s="175">
        <f>IF(ISBLANK(Table1[[#This Row],[Date]]),"",DATE(Table1[[#This Row],[Date_Year]],Table1[[#This Row],[Date_Month]],1))</f>
        <v>43831</v>
      </c>
    </row>
    <row r="1117" spans="2:18" ht="15.75" hidden="1" x14ac:dyDescent="0.25">
      <c r="B1117" s="165">
        <v>43832</v>
      </c>
      <c r="C1117" s="166" t="s">
        <v>145</v>
      </c>
      <c r="D1117" s="166" t="s">
        <v>58</v>
      </c>
      <c r="E1117" s="167"/>
      <c r="F1117" s="114">
        <v>-8.1999999999999993</v>
      </c>
      <c r="G1117" s="168"/>
      <c r="H1117" s="169"/>
      <c r="I1117" s="170"/>
      <c r="J1117" s="171" t="s">
        <v>1383</v>
      </c>
      <c r="K1117" s="172" t="s">
        <v>177</v>
      </c>
      <c r="L1117" s="172" t="s">
        <v>175</v>
      </c>
      <c r="M1117" s="173" t="str" cm="1">
        <f t="array" ref="M1117">IFERROR(INDEX(CategoriesTable[Category type],MATCH(Table1[[#This Row],[Category]],CategoriesTable[Category name],0),0),"")</f>
        <v>Expense</v>
      </c>
      <c r="N1117" s="173">
        <v>2</v>
      </c>
      <c r="O1117" s="173">
        <f>MONTH(Table1[[#This Row],[Date]])</f>
        <v>1</v>
      </c>
      <c r="P1117" s="173">
        <v>2020</v>
      </c>
      <c r="Q1117" s="174">
        <f>IF(ISBLANK(Table1[[#This Row],[Date]]),"",Table1[[#This Row],[Date]]-WEEKDAY(Table1[[#This Row],[Date]],2)+1)</f>
        <v>43829</v>
      </c>
      <c r="R1117" s="175">
        <f>IF(ISBLANK(Table1[[#This Row],[Date]]),"",DATE(Table1[[#This Row],[Date_Year]],Table1[[#This Row],[Date_Month]],1))</f>
        <v>43831</v>
      </c>
    </row>
    <row r="1118" spans="2:18" ht="15.75" hidden="1" x14ac:dyDescent="0.25">
      <c r="B1118" s="165">
        <v>43832</v>
      </c>
      <c r="C1118" s="166" t="s">
        <v>196</v>
      </c>
      <c r="D1118" s="166" t="s">
        <v>50</v>
      </c>
      <c r="E1118" s="167"/>
      <c r="F1118" s="114">
        <v>4375.58</v>
      </c>
      <c r="G1118" s="168"/>
      <c r="H1118" s="169"/>
      <c r="I1118" s="170"/>
      <c r="J1118" s="171" t="s">
        <v>1384</v>
      </c>
      <c r="K1118" s="172" t="s">
        <v>177</v>
      </c>
      <c r="L1118" s="172" t="s">
        <v>175</v>
      </c>
      <c r="M1118" s="173" t="str" cm="1">
        <f t="array" ref="M1118">IFERROR(INDEX(CategoriesTable[Category type],MATCH(Table1[[#This Row],[Category]],CategoriesTable[Category name],0),0),"")</f>
        <v>Income</v>
      </c>
      <c r="N1118" s="173">
        <v>2</v>
      </c>
      <c r="O1118" s="173">
        <f>MONTH(Table1[[#This Row],[Date]])</f>
        <v>1</v>
      </c>
      <c r="P1118" s="173">
        <v>2020</v>
      </c>
      <c r="Q1118" s="174">
        <f>IF(ISBLANK(Table1[[#This Row],[Date]]),"",Table1[[#This Row],[Date]]-WEEKDAY(Table1[[#This Row],[Date]],2)+1)</f>
        <v>43829</v>
      </c>
      <c r="R1118" s="175">
        <f>IF(ISBLANK(Table1[[#This Row],[Date]]),"",DATE(Table1[[#This Row],[Date_Year]],Table1[[#This Row],[Date_Month]],1))</f>
        <v>43831</v>
      </c>
    </row>
    <row r="1119" spans="2:18" ht="15.75" hidden="1" x14ac:dyDescent="0.25">
      <c r="B1119" s="165">
        <v>43832</v>
      </c>
      <c r="C1119" s="166" t="s">
        <v>1385</v>
      </c>
      <c r="D1119" s="166" t="s">
        <v>66</v>
      </c>
      <c r="E1119" s="167"/>
      <c r="F1119" s="114">
        <v>-10.58</v>
      </c>
      <c r="G1119" s="168"/>
      <c r="H1119" s="169"/>
      <c r="I1119" s="170"/>
      <c r="J1119" s="171" t="s">
        <v>1386</v>
      </c>
      <c r="K1119" s="172" t="s">
        <v>177</v>
      </c>
      <c r="L1119" s="172" t="s">
        <v>175</v>
      </c>
      <c r="M1119" s="173" t="str" cm="1">
        <f t="array" ref="M1119">IFERROR(INDEX(CategoriesTable[Category type],MATCH(Table1[[#This Row],[Category]],CategoriesTable[Category name],0),0),"")</f>
        <v>Expense</v>
      </c>
      <c r="N1119" s="173">
        <v>2</v>
      </c>
      <c r="O1119" s="173">
        <f>MONTH(Table1[[#This Row],[Date]])</f>
        <v>1</v>
      </c>
      <c r="P1119" s="173">
        <v>2020</v>
      </c>
      <c r="Q1119" s="174">
        <f>IF(ISBLANK(Table1[[#This Row],[Date]]),"",Table1[[#This Row],[Date]]-WEEKDAY(Table1[[#This Row],[Date]],2)+1)</f>
        <v>43829</v>
      </c>
      <c r="R1119" s="175">
        <f>IF(ISBLANK(Table1[[#This Row],[Date]]),"",DATE(Table1[[#This Row],[Date_Year]],Table1[[#This Row],[Date_Month]],1))</f>
        <v>43831</v>
      </c>
    </row>
    <row r="1120" spans="2:18" ht="15.75" hidden="1" x14ac:dyDescent="0.25">
      <c r="B1120" s="165">
        <v>43830</v>
      </c>
      <c r="C1120" s="166" t="s">
        <v>138</v>
      </c>
      <c r="D1120" s="166" t="s">
        <v>66</v>
      </c>
      <c r="E1120" s="167"/>
      <c r="F1120" s="114">
        <v>-12.99</v>
      </c>
      <c r="G1120" s="168"/>
      <c r="H1120" s="169"/>
      <c r="I1120" s="170"/>
      <c r="J1120" s="171" t="s">
        <v>1387</v>
      </c>
      <c r="K1120" s="172" t="s">
        <v>177</v>
      </c>
      <c r="L1120" s="172" t="s">
        <v>175</v>
      </c>
      <c r="M1120" s="173" t="str" cm="1">
        <f t="array" ref="M1120">IFERROR(INDEX(CategoriesTable[Category type],MATCH(Table1[[#This Row],[Category]],CategoriesTable[Category name],0),0),"")</f>
        <v>Expense</v>
      </c>
      <c r="N1120" s="173">
        <v>31</v>
      </c>
      <c r="O1120" s="173">
        <f>MONTH(Table1[[#This Row],[Date]])</f>
        <v>12</v>
      </c>
      <c r="P1120" s="173">
        <v>2019</v>
      </c>
      <c r="Q1120" s="174">
        <f>IF(ISBLANK(Table1[[#This Row],[Date]]),"",Table1[[#This Row],[Date]]-WEEKDAY(Table1[[#This Row],[Date]],2)+1)</f>
        <v>43829</v>
      </c>
      <c r="R1120" s="175">
        <f>IF(ISBLANK(Table1[[#This Row],[Date]]),"",DATE(Table1[[#This Row],[Date_Year]],Table1[[#This Row],[Date_Month]],1))</f>
        <v>43800</v>
      </c>
    </row>
    <row r="1121" spans="2:18" ht="15.75" hidden="1" x14ac:dyDescent="0.25">
      <c r="B1121" s="165">
        <v>43829</v>
      </c>
      <c r="C1121" s="166" t="s">
        <v>715</v>
      </c>
      <c r="D1121" s="166" t="s">
        <v>55</v>
      </c>
      <c r="E1121" s="167"/>
      <c r="F1121" s="114">
        <v>-318</v>
      </c>
      <c r="G1121" s="168"/>
      <c r="H1121" s="169"/>
      <c r="I1121" s="170"/>
      <c r="J1121" s="171" t="s">
        <v>1388</v>
      </c>
      <c r="K1121" s="172" t="s">
        <v>177</v>
      </c>
      <c r="L1121" s="172" t="s">
        <v>175</v>
      </c>
      <c r="M1121" s="173" t="str" cm="1">
        <f t="array" ref="M1121">IFERROR(INDEX(CategoriesTable[Category type],MATCH(Table1[[#This Row],[Category]],CategoriesTable[Category name],0),0),"")</f>
        <v>Expense</v>
      </c>
      <c r="N1121" s="173">
        <v>30</v>
      </c>
      <c r="O1121" s="173">
        <f>MONTH(Table1[[#This Row],[Date]])</f>
        <v>12</v>
      </c>
      <c r="P1121" s="173">
        <v>2019</v>
      </c>
      <c r="Q1121" s="174">
        <f>IF(ISBLANK(Table1[[#This Row],[Date]]),"",Table1[[#This Row],[Date]]-WEEKDAY(Table1[[#This Row],[Date]],2)+1)</f>
        <v>43829</v>
      </c>
      <c r="R1121" s="175">
        <f>IF(ISBLANK(Table1[[#This Row],[Date]]),"",DATE(Table1[[#This Row],[Date_Year]],Table1[[#This Row],[Date_Month]],1))</f>
        <v>43800</v>
      </c>
    </row>
    <row r="1122" spans="2:18" ht="15.75" hidden="1" x14ac:dyDescent="0.25">
      <c r="B1122" s="165">
        <v>43829</v>
      </c>
      <c r="C1122" s="166" t="s">
        <v>358</v>
      </c>
      <c r="D1122" s="166" t="s">
        <v>57</v>
      </c>
      <c r="E1122" s="167"/>
      <c r="F1122" s="114">
        <v>-36</v>
      </c>
      <c r="G1122" s="168"/>
      <c r="H1122" s="169"/>
      <c r="I1122" s="170"/>
      <c r="J1122" s="171" t="s">
        <v>1389</v>
      </c>
      <c r="K1122" s="172" t="s">
        <v>177</v>
      </c>
      <c r="L1122" s="172" t="s">
        <v>175</v>
      </c>
      <c r="M1122" s="173" t="str" cm="1">
        <f t="array" ref="M1122">IFERROR(INDEX(CategoriesTable[Category type],MATCH(Table1[[#This Row],[Category]],CategoriesTable[Category name],0),0),"")</f>
        <v>Expense</v>
      </c>
      <c r="N1122" s="173">
        <v>30</v>
      </c>
      <c r="O1122" s="173">
        <f>MONTH(Table1[[#This Row],[Date]])</f>
        <v>12</v>
      </c>
      <c r="P1122" s="173">
        <v>2019</v>
      </c>
      <c r="Q1122" s="174">
        <f>IF(ISBLANK(Table1[[#This Row],[Date]]),"",Table1[[#This Row],[Date]]-WEEKDAY(Table1[[#This Row],[Date]],2)+1)</f>
        <v>43829</v>
      </c>
      <c r="R1122" s="175">
        <f>IF(ISBLANK(Table1[[#This Row],[Date]]),"",DATE(Table1[[#This Row],[Date_Year]],Table1[[#This Row],[Date_Month]],1))</f>
        <v>43800</v>
      </c>
    </row>
    <row r="1123" spans="2:18" ht="15.75" hidden="1" x14ac:dyDescent="0.25">
      <c r="B1123" s="165">
        <v>43827</v>
      </c>
      <c r="C1123" s="166" t="s">
        <v>504</v>
      </c>
      <c r="D1123" s="166" t="s">
        <v>66</v>
      </c>
      <c r="E1123" s="167"/>
      <c r="F1123" s="114">
        <v>-10.39</v>
      </c>
      <c r="G1123" s="168"/>
      <c r="H1123" s="169"/>
      <c r="I1123" s="170"/>
      <c r="J1123" s="171" t="s">
        <v>1390</v>
      </c>
      <c r="K1123" s="172" t="s">
        <v>177</v>
      </c>
      <c r="L1123" s="172" t="s">
        <v>175</v>
      </c>
      <c r="M1123" s="173" t="str" cm="1">
        <f t="array" ref="M1123">IFERROR(INDEX(CategoriesTable[Category type],MATCH(Table1[[#This Row],[Category]],CategoriesTable[Category name],0),0),"")</f>
        <v>Expense</v>
      </c>
      <c r="N1123" s="173">
        <v>28</v>
      </c>
      <c r="O1123" s="173">
        <f>MONTH(Table1[[#This Row],[Date]])</f>
        <v>12</v>
      </c>
      <c r="P1123" s="173">
        <v>2019</v>
      </c>
      <c r="Q1123" s="174">
        <f>IF(ISBLANK(Table1[[#This Row],[Date]]),"",Table1[[#This Row],[Date]]-WEEKDAY(Table1[[#This Row],[Date]],2)+1)</f>
        <v>43822</v>
      </c>
      <c r="R1123" s="175">
        <f>IF(ISBLANK(Table1[[#This Row],[Date]]),"",DATE(Table1[[#This Row],[Date_Year]],Table1[[#This Row],[Date_Month]],1))</f>
        <v>43800</v>
      </c>
    </row>
    <row r="1124" spans="2:18" ht="15.75" hidden="1" x14ac:dyDescent="0.25">
      <c r="B1124" s="165">
        <v>43827</v>
      </c>
      <c r="C1124" s="166" t="s">
        <v>121</v>
      </c>
      <c r="D1124" s="166" t="s">
        <v>65</v>
      </c>
      <c r="E1124" s="167"/>
      <c r="F1124" s="114">
        <v>-7.59</v>
      </c>
      <c r="G1124" s="168"/>
      <c r="H1124" s="169"/>
      <c r="I1124" s="170"/>
      <c r="J1124" s="171" t="s">
        <v>1391</v>
      </c>
      <c r="K1124" s="172" t="s">
        <v>177</v>
      </c>
      <c r="L1124" s="172" t="s">
        <v>175</v>
      </c>
      <c r="M1124" s="173" t="str" cm="1">
        <f t="array" ref="M1124">IFERROR(INDEX(CategoriesTable[Category type],MATCH(Table1[[#This Row],[Category]],CategoriesTable[Category name],0),0),"")</f>
        <v>Expense</v>
      </c>
      <c r="N1124" s="173">
        <v>28</v>
      </c>
      <c r="O1124" s="173">
        <f>MONTH(Table1[[#This Row],[Date]])</f>
        <v>12</v>
      </c>
      <c r="P1124" s="173">
        <v>2019</v>
      </c>
      <c r="Q1124" s="174">
        <f>IF(ISBLANK(Table1[[#This Row],[Date]]),"",Table1[[#This Row],[Date]]-WEEKDAY(Table1[[#This Row],[Date]],2)+1)</f>
        <v>43822</v>
      </c>
      <c r="R1124" s="175">
        <f>IF(ISBLANK(Table1[[#This Row],[Date]]),"",DATE(Table1[[#This Row],[Date_Year]],Table1[[#This Row],[Date_Month]],1))</f>
        <v>43800</v>
      </c>
    </row>
    <row r="1125" spans="2:18" ht="15.75" hidden="1" x14ac:dyDescent="0.25">
      <c r="B1125" s="165">
        <v>43825</v>
      </c>
      <c r="C1125" s="166" t="s">
        <v>193</v>
      </c>
      <c r="D1125" s="166" t="s">
        <v>66</v>
      </c>
      <c r="E1125" s="167"/>
      <c r="F1125" s="114">
        <v>-9.99</v>
      </c>
      <c r="G1125" s="168"/>
      <c r="H1125" s="169"/>
      <c r="I1125" s="170"/>
      <c r="J1125" s="171" t="s">
        <v>1392</v>
      </c>
      <c r="K1125" s="172" t="s">
        <v>177</v>
      </c>
      <c r="L1125" s="172" t="s">
        <v>175</v>
      </c>
      <c r="M1125" s="173" t="str" cm="1">
        <f t="array" ref="M1125">IFERROR(INDEX(CategoriesTable[Category type],MATCH(Table1[[#This Row],[Category]],CategoriesTable[Category name],0),0),"")</f>
        <v>Expense</v>
      </c>
      <c r="N1125" s="173">
        <v>26</v>
      </c>
      <c r="O1125" s="173">
        <f>MONTH(Table1[[#This Row],[Date]])</f>
        <v>12</v>
      </c>
      <c r="P1125" s="173">
        <v>2019</v>
      </c>
      <c r="Q1125" s="174">
        <f>IF(ISBLANK(Table1[[#This Row],[Date]]),"",Table1[[#This Row],[Date]]-WEEKDAY(Table1[[#This Row],[Date]],2)+1)</f>
        <v>43822</v>
      </c>
      <c r="R1125" s="175">
        <f>IF(ISBLANK(Table1[[#This Row],[Date]]),"",DATE(Table1[[#This Row],[Date_Year]],Table1[[#This Row],[Date_Month]],1))</f>
        <v>43800</v>
      </c>
    </row>
    <row r="1126" spans="2:18" ht="15.75" hidden="1" x14ac:dyDescent="0.25">
      <c r="B1126" s="165">
        <v>43824</v>
      </c>
      <c r="C1126" s="166" t="s">
        <v>180</v>
      </c>
      <c r="D1126" s="166" t="s">
        <v>52</v>
      </c>
      <c r="E1126" s="167"/>
      <c r="F1126" s="114">
        <v>-20</v>
      </c>
      <c r="G1126" s="168"/>
      <c r="H1126" s="169"/>
      <c r="I1126" s="170"/>
      <c r="J1126" s="171" t="s">
        <v>1393</v>
      </c>
      <c r="K1126" s="172" t="s">
        <v>177</v>
      </c>
      <c r="L1126" s="172" t="s">
        <v>175</v>
      </c>
      <c r="M1126" s="173" t="str" cm="1">
        <f t="array" ref="M1126">IFERROR(INDEX(CategoriesTable[Category type],MATCH(Table1[[#This Row],[Category]],CategoriesTable[Category name],0),0),"")</f>
        <v>Transfer</v>
      </c>
      <c r="N1126" s="173">
        <v>25</v>
      </c>
      <c r="O1126" s="173">
        <f>MONTH(Table1[[#This Row],[Date]])</f>
        <v>12</v>
      </c>
      <c r="P1126" s="173">
        <v>2019</v>
      </c>
      <c r="Q1126" s="174">
        <f>IF(ISBLANK(Table1[[#This Row],[Date]]),"",Table1[[#This Row],[Date]]-WEEKDAY(Table1[[#This Row],[Date]],2)+1)</f>
        <v>43822</v>
      </c>
      <c r="R1126" s="175">
        <f>IF(ISBLANK(Table1[[#This Row],[Date]]),"",DATE(Table1[[#This Row],[Date_Year]],Table1[[#This Row],[Date_Month]],1))</f>
        <v>43800</v>
      </c>
    </row>
    <row r="1127" spans="2:18" ht="15.75" hidden="1" x14ac:dyDescent="0.25">
      <c r="B1127" s="165">
        <v>43824</v>
      </c>
      <c r="C1127" s="166" t="s">
        <v>120</v>
      </c>
      <c r="D1127" s="166" t="s">
        <v>66</v>
      </c>
      <c r="E1127" s="167"/>
      <c r="F1127" s="114">
        <v>-30.63</v>
      </c>
      <c r="G1127" s="168"/>
      <c r="H1127" s="169"/>
      <c r="I1127" s="170"/>
      <c r="J1127" s="171" t="s">
        <v>1394</v>
      </c>
      <c r="K1127" s="172" t="s">
        <v>177</v>
      </c>
      <c r="L1127" s="172" t="s">
        <v>175</v>
      </c>
      <c r="M1127" s="173" t="str" cm="1">
        <f t="array" ref="M1127">IFERROR(INDEX(CategoriesTable[Category type],MATCH(Table1[[#This Row],[Category]],CategoriesTable[Category name],0),0),"")</f>
        <v>Expense</v>
      </c>
      <c r="N1127" s="173">
        <v>25</v>
      </c>
      <c r="O1127" s="173">
        <f>MONTH(Table1[[#This Row],[Date]])</f>
        <v>12</v>
      </c>
      <c r="P1127" s="173">
        <v>2019</v>
      </c>
      <c r="Q1127" s="174">
        <f>IF(ISBLANK(Table1[[#This Row],[Date]]),"",Table1[[#This Row],[Date]]-WEEKDAY(Table1[[#This Row],[Date]],2)+1)</f>
        <v>43822</v>
      </c>
      <c r="R1127" s="175">
        <f>IF(ISBLANK(Table1[[#This Row],[Date]]),"",DATE(Table1[[#This Row],[Date_Year]],Table1[[#This Row],[Date_Month]],1))</f>
        <v>43800</v>
      </c>
    </row>
    <row r="1128" spans="2:18" ht="15.75" hidden="1" x14ac:dyDescent="0.25">
      <c r="B1128" s="165">
        <v>43823</v>
      </c>
      <c r="C1128" s="166" t="s">
        <v>958</v>
      </c>
      <c r="D1128" s="166" t="s">
        <v>65</v>
      </c>
      <c r="E1128" s="167"/>
      <c r="F1128" s="114">
        <v>-26.48</v>
      </c>
      <c r="G1128" s="168"/>
      <c r="H1128" s="169"/>
      <c r="I1128" s="170"/>
      <c r="J1128" s="171" t="s">
        <v>1395</v>
      </c>
      <c r="K1128" s="172" t="s">
        <v>177</v>
      </c>
      <c r="L1128" s="172" t="s">
        <v>175</v>
      </c>
      <c r="M1128" s="173" t="str" cm="1">
        <f t="array" ref="M1128">IFERROR(INDEX(CategoriesTable[Category type],MATCH(Table1[[#This Row],[Category]],CategoriesTable[Category name],0),0),"")</f>
        <v>Expense</v>
      </c>
      <c r="N1128" s="173">
        <v>24</v>
      </c>
      <c r="O1128" s="173">
        <f>MONTH(Table1[[#This Row],[Date]])</f>
        <v>12</v>
      </c>
      <c r="P1128" s="173">
        <v>2019</v>
      </c>
      <c r="Q1128" s="174">
        <f>IF(ISBLANK(Table1[[#This Row],[Date]]),"",Table1[[#This Row],[Date]]-WEEKDAY(Table1[[#This Row],[Date]],2)+1)</f>
        <v>43822</v>
      </c>
      <c r="R1128" s="175">
        <f>IF(ISBLANK(Table1[[#This Row],[Date]]),"",DATE(Table1[[#This Row],[Date_Year]],Table1[[#This Row],[Date_Month]],1))</f>
        <v>43800</v>
      </c>
    </row>
    <row r="1129" spans="2:18" ht="15.75" hidden="1" x14ac:dyDescent="0.25">
      <c r="B1129" s="165">
        <v>43823</v>
      </c>
      <c r="C1129" s="166" t="s">
        <v>135</v>
      </c>
      <c r="D1129" s="166" t="s">
        <v>53</v>
      </c>
      <c r="E1129" s="167"/>
      <c r="F1129" s="114">
        <v>-32.78</v>
      </c>
      <c r="G1129" s="168"/>
      <c r="H1129" s="169"/>
      <c r="I1129" s="170"/>
      <c r="J1129" s="171" t="s">
        <v>1396</v>
      </c>
      <c r="K1129" s="172" t="s">
        <v>177</v>
      </c>
      <c r="L1129" s="172" t="s">
        <v>175</v>
      </c>
      <c r="M1129" s="173" t="str" cm="1">
        <f t="array" ref="M1129">IFERROR(INDEX(CategoriesTable[Category type],MATCH(Table1[[#This Row],[Category]],CategoriesTable[Category name],0),0),"")</f>
        <v>Expense</v>
      </c>
      <c r="N1129" s="173">
        <v>24</v>
      </c>
      <c r="O1129" s="173">
        <f>MONTH(Table1[[#This Row],[Date]])</f>
        <v>12</v>
      </c>
      <c r="P1129" s="173">
        <v>2019</v>
      </c>
      <c r="Q1129" s="174">
        <f>IF(ISBLANK(Table1[[#This Row],[Date]]),"",Table1[[#This Row],[Date]]-WEEKDAY(Table1[[#This Row],[Date]],2)+1)</f>
        <v>43822</v>
      </c>
      <c r="R1129" s="175">
        <f>IF(ISBLANK(Table1[[#This Row],[Date]]),"",DATE(Table1[[#This Row],[Date_Year]],Table1[[#This Row],[Date_Month]],1))</f>
        <v>43800</v>
      </c>
    </row>
    <row r="1130" spans="2:18" ht="15.75" hidden="1" x14ac:dyDescent="0.25">
      <c r="B1130" s="165">
        <v>43823</v>
      </c>
      <c r="C1130" s="166" t="s">
        <v>249</v>
      </c>
      <c r="D1130" s="166" t="s">
        <v>52</v>
      </c>
      <c r="E1130" s="167"/>
      <c r="F1130" s="114">
        <v>-20</v>
      </c>
      <c r="G1130" s="168"/>
      <c r="H1130" s="169"/>
      <c r="I1130" s="170"/>
      <c r="J1130" s="171" t="s">
        <v>1397</v>
      </c>
      <c r="K1130" s="172" t="s">
        <v>177</v>
      </c>
      <c r="L1130" s="172" t="s">
        <v>175</v>
      </c>
      <c r="M1130" s="173" t="str" cm="1">
        <f t="array" ref="M1130">IFERROR(INDEX(CategoriesTable[Category type],MATCH(Table1[[#This Row],[Category]],CategoriesTable[Category name],0),0),"")</f>
        <v>Transfer</v>
      </c>
      <c r="N1130" s="173">
        <v>24</v>
      </c>
      <c r="O1130" s="173">
        <f>MONTH(Table1[[#This Row],[Date]])</f>
        <v>12</v>
      </c>
      <c r="P1130" s="173">
        <v>2019</v>
      </c>
      <c r="Q1130" s="174">
        <f>IF(ISBLANK(Table1[[#This Row],[Date]]),"",Table1[[#This Row],[Date]]-WEEKDAY(Table1[[#This Row],[Date]],2)+1)</f>
        <v>43822</v>
      </c>
      <c r="R1130" s="175">
        <f>IF(ISBLANK(Table1[[#This Row],[Date]]),"",DATE(Table1[[#This Row],[Date_Year]],Table1[[#This Row],[Date_Month]],1))</f>
        <v>43800</v>
      </c>
    </row>
    <row r="1131" spans="2:18" ht="15.75" hidden="1" x14ac:dyDescent="0.25">
      <c r="B1131" s="165">
        <v>43823</v>
      </c>
      <c r="C1131" s="166" t="s">
        <v>208</v>
      </c>
      <c r="D1131" s="166" t="s">
        <v>55</v>
      </c>
      <c r="E1131" s="167"/>
      <c r="F1131" s="114">
        <v>-40.28</v>
      </c>
      <c r="G1131" s="168"/>
      <c r="H1131" s="169"/>
      <c r="I1131" s="170"/>
      <c r="J1131" s="171" t="s">
        <v>1398</v>
      </c>
      <c r="K1131" s="172" t="s">
        <v>177</v>
      </c>
      <c r="L1131" s="172" t="s">
        <v>175</v>
      </c>
      <c r="M1131" s="173" t="str" cm="1">
        <f t="array" ref="M1131">IFERROR(INDEX(CategoriesTable[Category type],MATCH(Table1[[#This Row],[Category]],CategoriesTable[Category name],0),0),"")</f>
        <v>Expense</v>
      </c>
      <c r="N1131" s="173">
        <v>24</v>
      </c>
      <c r="O1131" s="173">
        <f>MONTH(Table1[[#This Row],[Date]])</f>
        <v>12</v>
      </c>
      <c r="P1131" s="173">
        <v>2019</v>
      </c>
      <c r="Q1131" s="174">
        <f>IF(ISBLANK(Table1[[#This Row],[Date]]),"",Table1[[#This Row],[Date]]-WEEKDAY(Table1[[#This Row],[Date]],2)+1)</f>
        <v>43822</v>
      </c>
      <c r="R1131" s="175">
        <f>IF(ISBLANK(Table1[[#This Row],[Date]]),"",DATE(Table1[[#This Row],[Date_Year]],Table1[[#This Row],[Date_Month]],1))</f>
        <v>43800</v>
      </c>
    </row>
    <row r="1132" spans="2:18" ht="15.75" hidden="1" x14ac:dyDescent="0.25">
      <c r="B1132" s="165">
        <v>43822</v>
      </c>
      <c r="C1132" s="166" t="s">
        <v>249</v>
      </c>
      <c r="D1132" s="166" t="s">
        <v>52</v>
      </c>
      <c r="E1132" s="167"/>
      <c r="F1132" s="114">
        <v>-85</v>
      </c>
      <c r="G1132" s="168"/>
      <c r="H1132" s="169"/>
      <c r="I1132" s="170"/>
      <c r="J1132" s="171" t="s">
        <v>1399</v>
      </c>
      <c r="K1132" s="172" t="s">
        <v>177</v>
      </c>
      <c r="L1132" s="172" t="s">
        <v>175</v>
      </c>
      <c r="M1132" s="173" t="str" cm="1">
        <f t="array" ref="M1132">IFERROR(INDEX(CategoriesTable[Category type],MATCH(Table1[[#This Row],[Category]],CategoriesTable[Category name],0),0),"")</f>
        <v>Transfer</v>
      </c>
      <c r="N1132" s="173">
        <v>23</v>
      </c>
      <c r="O1132" s="173">
        <f>MONTH(Table1[[#This Row],[Date]])</f>
        <v>12</v>
      </c>
      <c r="P1132" s="173">
        <v>2019</v>
      </c>
      <c r="Q1132" s="174">
        <f>IF(ISBLANK(Table1[[#This Row],[Date]]),"",Table1[[#This Row],[Date]]-WEEKDAY(Table1[[#This Row],[Date]],2)+1)</f>
        <v>43822</v>
      </c>
      <c r="R1132" s="175">
        <f>IF(ISBLANK(Table1[[#This Row],[Date]]),"",DATE(Table1[[#This Row],[Date_Year]],Table1[[#This Row],[Date_Month]],1))</f>
        <v>43800</v>
      </c>
    </row>
    <row r="1133" spans="2:18" ht="15.75" hidden="1" x14ac:dyDescent="0.25">
      <c r="B1133" s="165">
        <v>43822</v>
      </c>
      <c r="C1133" s="166" t="s">
        <v>664</v>
      </c>
      <c r="D1133" s="166" t="s">
        <v>66</v>
      </c>
      <c r="E1133" s="167"/>
      <c r="F1133" s="114">
        <v>-191.64</v>
      </c>
      <c r="G1133" s="168"/>
      <c r="H1133" s="169"/>
      <c r="I1133" s="170"/>
      <c r="J1133" s="171" t="s">
        <v>1400</v>
      </c>
      <c r="K1133" s="172" t="s">
        <v>177</v>
      </c>
      <c r="L1133" s="172" t="s">
        <v>175</v>
      </c>
      <c r="M1133" s="173" t="str" cm="1">
        <f t="array" ref="M1133">IFERROR(INDEX(CategoriesTable[Category type],MATCH(Table1[[#This Row],[Category]],CategoriesTable[Category name],0),0),"")</f>
        <v>Expense</v>
      </c>
      <c r="N1133" s="173">
        <v>23</v>
      </c>
      <c r="O1133" s="173">
        <f>MONTH(Table1[[#This Row],[Date]])</f>
        <v>12</v>
      </c>
      <c r="P1133" s="173">
        <v>2019</v>
      </c>
      <c r="Q1133" s="174">
        <f>IF(ISBLANK(Table1[[#This Row],[Date]]),"",Table1[[#This Row],[Date]]-WEEKDAY(Table1[[#This Row],[Date]],2)+1)</f>
        <v>43822</v>
      </c>
      <c r="R1133" s="175">
        <f>IF(ISBLANK(Table1[[#This Row],[Date]]),"",DATE(Table1[[#This Row],[Date_Year]],Table1[[#This Row],[Date_Month]],1))</f>
        <v>43800</v>
      </c>
    </row>
    <row r="1134" spans="2:18" ht="15.75" hidden="1" x14ac:dyDescent="0.25">
      <c r="B1134" s="165">
        <v>43820</v>
      </c>
      <c r="C1134" s="166" t="s">
        <v>135</v>
      </c>
      <c r="D1134" s="166" t="s">
        <v>53</v>
      </c>
      <c r="E1134" s="167"/>
      <c r="F1134" s="114">
        <v>-15</v>
      </c>
      <c r="G1134" s="168"/>
      <c r="H1134" s="169"/>
      <c r="I1134" s="170"/>
      <c r="J1134" s="171" t="s">
        <v>1401</v>
      </c>
      <c r="K1134" s="172" t="s">
        <v>177</v>
      </c>
      <c r="L1134" s="172" t="s">
        <v>175</v>
      </c>
      <c r="M1134" s="173" t="str" cm="1">
        <f t="array" ref="M1134">IFERROR(INDEX(CategoriesTable[Category type],MATCH(Table1[[#This Row],[Category]],CategoriesTable[Category name],0),0),"")</f>
        <v>Expense</v>
      </c>
      <c r="N1134" s="173">
        <v>21</v>
      </c>
      <c r="O1134" s="173">
        <f>MONTH(Table1[[#This Row],[Date]])</f>
        <v>12</v>
      </c>
      <c r="P1134" s="173">
        <v>2019</v>
      </c>
      <c r="Q1134" s="174">
        <f>IF(ISBLANK(Table1[[#This Row],[Date]]),"",Table1[[#This Row],[Date]]-WEEKDAY(Table1[[#This Row],[Date]],2)+1)</f>
        <v>43815</v>
      </c>
      <c r="R1134" s="175">
        <f>IF(ISBLANK(Table1[[#This Row],[Date]]),"",DATE(Table1[[#This Row],[Date_Year]],Table1[[#This Row],[Date_Month]],1))</f>
        <v>43800</v>
      </c>
    </row>
    <row r="1135" spans="2:18" ht="15.75" hidden="1" x14ac:dyDescent="0.25">
      <c r="B1135" s="165">
        <v>43819</v>
      </c>
      <c r="C1135" s="166" t="s">
        <v>834</v>
      </c>
      <c r="D1135" s="166" t="s">
        <v>57</v>
      </c>
      <c r="E1135" s="167"/>
      <c r="F1135" s="114">
        <v>-1.95</v>
      </c>
      <c r="G1135" s="168"/>
      <c r="H1135" s="169"/>
      <c r="I1135" s="170"/>
      <c r="J1135" s="176" t="s">
        <v>1402</v>
      </c>
      <c r="K1135" s="172" t="s">
        <v>177</v>
      </c>
      <c r="L1135" s="172" t="s">
        <v>175</v>
      </c>
      <c r="M1135" s="173" t="str" cm="1">
        <f t="array" ref="M1135">IFERROR(INDEX(CategoriesTable[Category type],MATCH(Table1[[#This Row],[Category]],CategoriesTable[Category name],0),0),"")</f>
        <v>Expense</v>
      </c>
      <c r="N1135" s="173">
        <v>20</v>
      </c>
      <c r="O1135" s="173">
        <f>MONTH(Table1[[#This Row],[Date]])</f>
        <v>12</v>
      </c>
      <c r="P1135" s="173">
        <v>2019</v>
      </c>
      <c r="Q1135" s="174">
        <f>IF(ISBLANK(Table1[[#This Row],[Date]]),"",Table1[[#This Row],[Date]]-WEEKDAY(Table1[[#This Row],[Date]],2)+1)</f>
        <v>43815</v>
      </c>
      <c r="R1135" s="175">
        <f>IF(ISBLANK(Table1[[#This Row],[Date]]),"",DATE(Table1[[#This Row],[Date_Year]],Table1[[#This Row],[Date_Month]],1))</f>
        <v>43800</v>
      </c>
    </row>
    <row r="1136" spans="2:18" ht="15.75" hidden="1" x14ac:dyDescent="0.25">
      <c r="B1136" s="165">
        <v>43819</v>
      </c>
      <c r="C1136" s="166" t="s">
        <v>504</v>
      </c>
      <c r="D1136" s="166" t="s">
        <v>66</v>
      </c>
      <c r="E1136" s="167"/>
      <c r="F1136" s="114">
        <v>-10.39</v>
      </c>
      <c r="G1136" s="168"/>
      <c r="H1136" s="169"/>
      <c r="I1136" s="170"/>
      <c r="J1136" s="171" t="s">
        <v>1403</v>
      </c>
      <c r="K1136" s="172" t="s">
        <v>177</v>
      </c>
      <c r="L1136" s="172" t="s">
        <v>175</v>
      </c>
      <c r="M1136" s="173" t="str" cm="1">
        <f t="array" ref="M1136">IFERROR(INDEX(CategoriesTable[Category type],MATCH(Table1[[#This Row],[Category]],CategoriesTable[Category name],0),0),"")</f>
        <v>Expense</v>
      </c>
      <c r="N1136" s="173">
        <v>20</v>
      </c>
      <c r="O1136" s="173">
        <f>MONTH(Table1[[#This Row],[Date]])</f>
        <v>12</v>
      </c>
      <c r="P1136" s="173">
        <v>2019</v>
      </c>
      <c r="Q1136" s="174">
        <f>IF(ISBLANK(Table1[[#This Row],[Date]]),"",Table1[[#This Row],[Date]]-WEEKDAY(Table1[[#This Row],[Date]],2)+1)</f>
        <v>43815</v>
      </c>
      <c r="R1136" s="175">
        <f>IF(ISBLANK(Table1[[#This Row],[Date]]),"",DATE(Table1[[#This Row],[Date_Year]],Table1[[#This Row],[Date_Month]],1))</f>
        <v>43800</v>
      </c>
    </row>
    <row r="1137" spans="2:18" ht="15.75" hidden="1" x14ac:dyDescent="0.25">
      <c r="B1137" s="165">
        <v>43819</v>
      </c>
      <c r="C1137" s="166" t="s">
        <v>1385</v>
      </c>
      <c r="D1137" s="166" t="s">
        <v>66</v>
      </c>
      <c r="E1137" s="167"/>
      <c r="F1137" s="114">
        <v>-100</v>
      </c>
      <c r="G1137" s="168"/>
      <c r="H1137" s="169"/>
      <c r="I1137" s="170"/>
      <c r="J1137" s="171" t="s">
        <v>1404</v>
      </c>
      <c r="K1137" s="172" t="s">
        <v>177</v>
      </c>
      <c r="L1137" s="172" t="s">
        <v>175</v>
      </c>
      <c r="M1137" s="173" t="str" cm="1">
        <f t="array" ref="M1137">IFERROR(INDEX(CategoriesTable[Category type],MATCH(Table1[[#This Row],[Category]],CategoriesTable[Category name],0),0),"")</f>
        <v>Expense</v>
      </c>
      <c r="N1137" s="173">
        <v>20</v>
      </c>
      <c r="O1137" s="173">
        <f>MONTH(Table1[[#This Row],[Date]])</f>
        <v>12</v>
      </c>
      <c r="P1137" s="173">
        <v>2019</v>
      </c>
      <c r="Q1137" s="174">
        <f>IF(ISBLANK(Table1[[#This Row],[Date]]),"",Table1[[#This Row],[Date]]-WEEKDAY(Table1[[#This Row],[Date]],2)+1)</f>
        <v>43815</v>
      </c>
      <c r="R1137" s="175">
        <f>IF(ISBLANK(Table1[[#This Row],[Date]]),"",DATE(Table1[[#This Row],[Date_Year]],Table1[[#This Row],[Date_Month]],1))</f>
        <v>43800</v>
      </c>
    </row>
    <row r="1138" spans="2:18" ht="15.75" hidden="1" x14ac:dyDescent="0.25">
      <c r="B1138" s="165">
        <v>43819</v>
      </c>
      <c r="C1138" s="166" t="s">
        <v>121</v>
      </c>
      <c r="D1138" s="166" t="s">
        <v>65</v>
      </c>
      <c r="E1138" s="167"/>
      <c r="F1138" s="114">
        <v>-5.7</v>
      </c>
      <c r="G1138" s="168"/>
      <c r="H1138" s="169"/>
      <c r="I1138" s="170"/>
      <c r="J1138" s="171" t="s">
        <v>1405</v>
      </c>
      <c r="K1138" s="172" t="s">
        <v>177</v>
      </c>
      <c r="L1138" s="172" t="s">
        <v>175</v>
      </c>
      <c r="M1138" s="173" t="str" cm="1">
        <f t="array" ref="M1138">IFERROR(INDEX(CategoriesTable[Category type],MATCH(Table1[[#This Row],[Category]],CategoriesTable[Category name],0),0),"")</f>
        <v>Expense</v>
      </c>
      <c r="N1138" s="173">
        <v>20</v>
      </c>
      <c r="O1138" s="173">
        <f>MONTH(Table1[[#This Row],[Date]])</f>
        <v>12</v>
      </c>
      <c r="P1138" s="173">
        <v>2019</v>
      </c>
      <c r="Q1138" s="174">
        <f>IF(ISBLANK(Table1[[#This Row],[Date]]),"",Table1[[#This Row],[Date]]-WEEKDAY(Table1[[#This Row],[Date]],2)+1)</f>
        <v>43815</v>
      </c>
      <c r="R1138" s="175">
        <f>IF(ISBLANK(Table1[[#This Row],[Date]]),"",DATE(Table1[[#This Row],[Date_Year]],Table1[[#This Row],[Date_Month]],1))</f>
        <v>43800</v>
      </c>
    </row>
    <row r="1139" spans="2:18" ht="15.75" hidden="1" x14ac:dyDescent="0.25">
      <c r="B1139" s="165">
        <v>43819</v>
      </c>
      <c r="C1139" s="166" t="s">
        <v>184</v>
      </c>
      <c r="D1139" s="166" t="s">
        <v>56</v>
      </c>
      <c r="E1139" s="167"/>
      <c r="F1139" s="114">
        <v>-9.99</v>
      </c>
      <c r="G1139" s="168"/>
      <c r="H1139" s="169"/>
      <c r="I1139" s="170"/>
      <c r="J1139" s="171" t="s">
        <v>1406</v>
      </c>
      <c r="K1139" s="172" t="s">
        <v>177</v>
      </c>
      <c r="L1139" s="172" t="s">
        <v>175</v>
      </c>
      <c r="M1139" s="173" t="str" cm="1">
        <f t="array" ref="M1139">IFERROR(INDEX(CategoriesTable[Category type],MATCH(Table1[[#This Row],[Category]],CategoriesTable[Category name],0),0),"")</f>
        <v>Expense</v>
      </c>
      <c r="N1139" s="173">
        <v>20</v>
      </c>
      <c r="O1139" s="173">
        <f>MONTH(Table1[[#This Row],[Date]])</f>
        <v>12</v>
      </c>
      <c r="P1139" s="173">
        <v>2019</v>
      </c>
      <c r="Q1139" s="174">
        <f>IF(ISBLANK(Table1[[#This Row],[Date]]),"",Table1[[#This Row],[Date]]-WEEKDAY(Table1[[#This Row],[Date]],2)+1)</f>
        <v>43815</v>
      </c>
      <c r="R1139" s="175">
        <f>IF(ISBLANK(Table1[[#This Row],[Date]]),"",DATE(Table1[[#This Row],[Date_Year]],Table1[[#This Row],[Date_Month]],1))</f>
        <v>43800</v>
      </c>
    </row>
    <row r="1140" spans="2:18" ht="15.75" hidden="1" x14ac:dyDescent="0.25">
      <c r="B1140" s="165">
        <v>43819</v>
      </c>
      <c r="C1140" s="166" t="s">
        <v>465</v>
      </c>
      <c r="D1140" s="166" t="s">
        <v>62</v>
      </c>
      <c r="E1140" s="167"/>
      <c r="F1140" s="114">
        <v>-73.22</v>
      </c>
      <c r="G1140" s="168"/>
      <c r="H1140" s="169"/>
      <c r="I1140" s="170"/>
      <c r="J1140" s="171" t="s">
        <v>1407</v>
      </c>
      <c r="K1140" s="172" t="s">
        <v>177</v>
      </c>
      <c r="L1140" s="172" t="s">
        <v>175</v>
      </c>
      <c r="M1140" s="173" t="str" cm="1">
        <f t="array" ref="M1140">IFERROR(INDEX(CategoriesTable[Category type],MATCH(Table1[[#This Row],[Category]],CategoriesTable[Category name],0),0),"")</f>
        <v>Expense</v>
      </c>
      <c r="N1140" s="173">
        <v>20</v>
      </c>
      <c r="O1140" s="173">
        <f>MONTH(Table1[[#This Row],[Date]])</f>
        <v>12</v>
      </c>
      <c r="P1140" s="173">
        <v>2019</v>
      </c>
      <c r="Q1140" s="174">
        <f>IF(ISBLANK(Table1[[#This Row],[Date]]),"",Table1[[#This Row],[Date]]-WEEKDAY(Table1[[#This Row],[Date]],2)+1)</f>
        <v>43815</v>
      </c>
      <c r="R1140" s="175">
        <f>IF(ISBLANK(Table1[[#This Row],[Date]]),"",DATE(Table1[[#This Row],[Date_Year]],Table1[[#This Row],[Date_Month]],1))</f>
        <v>43800</v>
      </c>
    </row>
    <row r="1141" spans="2:18" ht="15.75" hidden="1" x14ac:dyDescent="0.25">
      <c r="B1141" s="165">
        <v>43819</v>
      </c>
      <c r="C1141" s="166" t="s">
        <v>840</v>
      </c>
      <c r="D1141" s="166" t="s">
        <v>55</v>
      </c>
      <c r="E1141" s="167"/>
      <c r="F1141" s="114">
        <v>-367.41</v>
      </c>
      <c r="G1141" s="168"/>
      <c r="H1141" s="169"/>
      <c r="I1141" s="170"/>
      <c r="J1141" s="171" t="s">
        <v>1408</v>
      </c>
      <c r="K1141" s="172" t="s">
        <v>177</v>
      </c>
      <c r="L1141" s="172" t="s">
        <v>175</v>
      </c>
      <c r="M1141" s="173" t="str" cm="1">
        <f t="array" ref="M1141">IFERROR(INDEX(CategoriesTable[Category type],MATCH(Table1[[#This Row],[Category]],CategoriesTable[Category name],0),0),"")</f>
        <v>Expense</v>
      </c>
      <c r="N1141" s="173">
        <v>20</v>
      </c>
      <c r="O1141" s="173">
        <f>MONTH(Table1[[#This Row],[Date]])</f>
        <v>12</v>
      </c>
      <c r="P1141" s="173">
        <v>2019</v>
      </c>
      <c r="Q1141" s="174">
        <f>IF(ISBLANK(Table1[[#This Row],[Date]]),"",Table1[[#This Row],[Date]]-WEEKDAY(Table1[[#This Row],[Date]],2)+1)</f>
        <v>43815</v>
      </c>
      <c r="R1141" s="175">
        <f>IF(ISBLANK(Table1[[#This Row],[Date]]),"",DATE(Table1[[#This Row],[Date_Year]],Table1[[#This Row],[Date_Month]],1))</f>
        <v>43800</v>
      </c>
    </row>
    <row r="1142" spans="2:18" ht="15.75" hidden="1" x14ac:dyDescent="0.25">
      <c r="B1142" s="165">
        <v>43817</v>
      </c>
      <c r="C1142" s="166" t="s">
        <v>182</v>
      </c>
      <c r="D1142" s="166" t="s">
        <v>55</v>
      </c>
      <c r="E1142" s="167"/>
      <c r="F1142" s="114">
        <v>-10.9</v>
      </c>
      <c r="G1142" s="168"/>
      <c r="H1142" s="169"/>
      <c r="I1142" s="170"/>
      <c r="J1142" s="171" t="s">
        <v>1409</v>
      </c>
      <c r="K1142" s="172" t="s">
        <v>177</v>
      </c>
      <c r="L1142" s="172" t="s">
        <v>175</v>
      </c>
      <c r="M1142" s="173" t="str" cm="1">
        <f t="array" ref="M1142">IFERROR(INDEX(CategoriesTable[Category type],MATCH(Table1[[#This Row],[Category]],CategoriesTable[Category name],0),0),"")</f>
        <v>Expense</v>
      </c>
      <c r="N1142" s="173">
        <v>18</v>
      </c>
      <c r="O1142" s="173">
        <f>MONTH(Table1[[#This Row],[Date]])</f>
        <v>12</v>
      </c>
      <c r="P1142" s="173">
        <v>2019</v>
      </c>
      <c r="Q1142" s="174">
        <f>IF(ISBLANK(Table1[[#This Row],[Date]]),"",Table1[[#This Row],[Date]]-WEEKDAY(Table1[[#This Row],[Date]],2)+1)</f>
        <v>43815</v>
      </c>
      <c r="R1142" s="175">
        <f>IF(ISBLANK(Table1[[#This Row],[Date]]),"",DATE(Table1[[#This Row],[Date_Year]],Table1[[#This Row],[Date_Month]],1))</f>
        <v>43800</v>
      </c>
    </row>
    <row r="1143" spans="2:18" ht="15.75" hidden="1" x14ac:dyDescent="0.25">
      <c r="B1143" s="165">
        <v>43817</v>
      </c>
      <c r="C1143" s="166" t="s">
        <v>895</v>
      </c>
      <c r="D1143" s="166" t="s">
        <v>55</v>
      </c>
      <c r="E1143" s="167"/>
      <c r="F1143" s="114">
        <v>-144.19999999999999</v>
      </c>
      <c r="G1143" s="168"/>
      <c r="H1143" s="169"/>
      <c r="I1143" s="170"/>
      <c r="J1143" s="171" t="s">
        <v>1410</v>
      </c>
      <c r="K1143" s="172" t="s">
        <v>177</v>
      </c>
      <c r="L1143" s="172" t="s">
        <v>175</v>
      </c>
      <c r="M1143" s="173" t="str" cm="1">
        <f t="array" ref="M1143">IFERROR(INDEX(CategoriesTable[Category type],MATCH(Table1[[#This Row],[Category]],CategoriesTable[Category name],0),0),"")</f>
        <v>Expense</v>
      </c>
      <c r="N1143" s="173">
        <v>18</v>
      </c>
      <c r="O1143" s="173">
        <f>MONTH(Table1[[#This Row],[Date]])</f>
        <v>12</v>
      </c>
      <c r="P1143" s="173">
        <v>2019</v>
      </c>
      <c r="Q1143" s="174">
        <f>IF(ISBLANK(Table1[[#This Row],[Date]]),"",Table1[[#This Row],[Date]]-WEEKDAY(Table1[[#This Row],[Date]],2)+1)</f>
        <v>43815</v>
      </c>
      <c r="R1143" s="175">
        <f>IF(ISBLANK(Table1[[#This Row],[Date]]),"",DATE(Table1[[#This Row],[Date_Year]],Table1[[#This Row],[Date_Month]],1))</f>
        <v>43800</v>
      </c>
    </row>
    <row r="1144" spans="2:18" ht="15.75" hidden="1" x14ac:dyDescent="0.25">
      <c r="B1144" s="165">
        <v>43817</v>
      </c>
      <c r="C1144" s="166" t="s">
        <v>129</v>
      </c>
      <c r="D1144" s="166" t="s">
        <v>55</v>
      </c>
      <c r="E1144" s="167"/>
      <c r="F1144" s="114">
        <v>-76</v>
      </c>
      <c r="G1144" s="168"/>
      <c r="H1144" s="169"/>
      <c r="I1144" s="170"/>
      <c r="J1144" s="171" t="s">
        <v>1411</v>
      </c>
      <c r="K1144" s="172" t="s">
        <v>177</v>
      </c>
      <c r="L1144" s="172" t="s">
        <v>175</v>
      </c>
      <c r="M1144" s="173" t="str" cm="1">
        <f t="array" ref="M1144">IFERROR(INDEX(CategoriesTable[Category type],MATCH(Table1[[#This Row],[Category]],CategoriesTable[Category name],0),0),"")</f>
        <v>Expense</v>
      </c>
      <c r="N1144" s="173">
        <v>18</v>
      </c>
      <c r="O1144" s="173">
        <f>MONTH(Table1[[#This Row],[Date]])</f>
        <v>12</v>
      </c>
      <c r="P1144" s="173">
        <v>2019</v>
      </c>
      <c r="Q1144" s="174">
        <f>IF(ISBLANK(Table1[[#This Row],[Date]]),"",Table1[[#This Row],[Date]]-WEEKDAY(Table1[[#This Row],[Date]],2)+1)</f>
        <v>43815</v>
      </c>
      <c r="R1144" s="175">
        <f>IF(ISBLANK(Table1[[#This Row],[Date]]),"",DATE(Table1[[#This Row],[Date_Year]],Table1[[#This Row],[Date_Month]],1))</f>
        <v>43800</v>
      </c>
    </row>
    <row r="1145" spans="2:18" ht="15.75" hidden="1" x14ac:dyDescent="0.25">
      <c r="B1145" s="165">
        <v>43816</v>
      </c>
      <c r="C1145" s="166" t="s">
        <v>121</v>
      </c>
      <c r="D1145" s="166" t="s">
        <v>65</v>
      </c>
      <c r="E1145" s="167"/>
      <c r="F1145" s="114">
        <v>-19.350000000000001</v>
      </c>
      <c r="G1145" s="168"/>
      <c r="H1145" s="169"/>
      <c r="I1145" s="170"/>
      <c r="J1145" s="171" t="s">
        <v>1412</v>
      </c>
      <c r="K1145" s="172" t="s">
        <v>177</v>
      </c>
      <c r="L1145" s="172" t="s">
        <v>175</v>
      </c>
      <c r="M1145" s="173" t="str" cm="1">
        <f t="array" ref="M1145">IFERROR(INDEX(CategoriesTable[Category type],MATCH(Table1[[#This Row],[Category]],CategoriesTable[Category name],0),0),"")</f>
        <v>Expense</v>
      </c>
      <c r="N1145" s="173">
        <v>17</v>
      </c>
      <c r="O1145" s="173">
        <f>MONTH(Table1[[#This Row],[Date]])</f>
        <v>12</v>
      </c>
      <c r="P1145" s="173">
        <v>2019</v>
      </c>
      <c r="Q1145" s="174">
        <f>IF(ISBLANK(Table1[[#This Row],[Date]]),"",Table1[[#This Row],[Date]]-WEEKDAY(Table1[[#This Row],[Date]],2)+1)</f>
        <v>43815</v>
      </c>
      <c r="R1145" s="175">
        <f>IF(ISBLANK(Table1[[#This Row],[Date]]),"",DATE(Table1[[#This Row],[Date_Year]],Table1[[#This Row],[Date_Month]],1))</f>
        <v>43800</v>
      </c>
    </row>
    <row r="1146" spans="2:18" ht="15.75" hidden="1" x14ac:dyDescent="0.25">
      <c r="B1146" s="165">
        <v>43816</v>
      </c>
      <c r="C1146" s="166" t="s">
        <v>135</v>
      </c>
      <c r="D1146" s="166" t="s">
        <v>53</v>
      </c>
      <c r="E1146" s="167"/>
      <c r="F1146" s="114">
        <v>-10</v>
      </c>
      <c r="G1146" s="168"/>
      <c r="H1146" s="169"/>
      <c r="I1146" s="170"/>
      <c r="J1146" s="171" t="s">
        <v>1413</v>
      </c>
      <c r="K1146" s="172" t="s">
        <v>177</v>
      </c>
      <c r="L1146" s="172" t="s">
        <v>175</v>
      </c>
      <c r="M1146" s="173" t="str" cm="1">
        <f t="array" ref="M1146">IFERROR(INDEX(CategoriesTable[Category type],MATCH(Table1[[#This Row],[Category]],CategoriesTable[Category name],0),0),"")</f>
        <v>Expense</v>
      </c>
      <c r="N1146" s="173">
        <v>17</v>
      </c>
      <c r="O1146" s="173">
        <f>MONTH(Table1[[#This Row],[Date]])</f>
        <v>12</v>
      </c>
      <c r="P1146" s="173">
        <v>2019</v>
      </c>
      <c r="Q1146" s="174">
        <f>IF(ISBLANK(Table1[[#This Row],[Date]]),"",Table1[[#This Row],[Date]]-WEEKDAY(Table1[[#This Row],[Date]],2)+1)</f>
        <v>43815</v>
      </c>
      <c r="R1146" s="175">
        <f>IF(ISBLANK(Table1[[#This Row],[Date]]),"",DATE(Table1[[#This Row],[Date_Year]],Table1[[#This Row],[Date_Month]],1))</f>
        <v>43800</v>
      </c>
    </row>
    <row r="1147" spans="2:18" ht="15.75" hidden="1" x14ac:dyDescent="0.25">
      <c r="B1147" s="165">
        <v>43816</v>
      </c>
      <c r="C1147" s="166" t="s">
        <v>249</v>
      </c>
      <c r="D1147" s="166" t="s">
        <v>52</v>
      </c>
      <c r="E1147" s="167"/>
      <c r="F1147" s="114">
        <v>-180</v>
      </c>
      <c r="G1147" s="168"/>
      <c r="H1147" s="169"/>
      <c r="I1147" s="170"/>
      <c r="J1147" s="171" t="s">
        <v>1414</v>
      </c>
      <c r="K1147" s="172" t="s">
        <v>177</v>
      </c>
      <c r="L1147" s="172" t="s">
        <v>175</v>
      </c>
      <c r="M1147" s="173" t="str" cm="1">
        <f t="array" ref="M1147">IFERROR(INDEX(CategoriesTable[Category type],MATCH(Table1[[#This Row],[Category]],CategoriesTable[Category name],0),0),"")</f>
        <v>Transfer</v>
      </c>
      <c r="N1147" s="173">
        <v>17</v>
      </c>
      <c r="O1147" s="173">
        <f>MONTH(Table1[[#This Row],[Date]])</f>
        <v>12</v>
      </c>
      <c r="P1147" s="173">
        <v>2019</v>
      </c>
      <c r="Q1147" s="174">
        <f>IF(ISBLANK(Table1[[#This Row],[Date]]),"",Table1[[#This Row],[Date]]-WEEKDAY(Table1[[#This Row],[Date]],2)+1)</f>
        <v>43815</v>
      </c>
      <c r="R1147" s="175">
        <f>IF(ISBLANK(Table1[[#This Row],[Date]]),"",DATE(Table1[[#This Row],[Date_Year]],Table1[[#This Row],[Date_Month]],1))</f>
        <v>43800</v>
      </c>
    </row>
    <row r="1148" spans="2:18" ht="15.75" hidden="1" x14ac:dyDescent="0.25">
      <c r="B1148" s="165">
        <v>43816</v>
      </c>
      <c r="C1148" s="166" t="s">
        <v>249</v>
      </c>
      <c r="D1148" s="166" t="s">
        <v>52</v>
      </c>
      <c r="E1148" s="167"/>
      <c r="F1148" s="114">
        <v>-32</v>
      </c>
      <c r="G1148" s="168"/>
      <c r="H1148" s="169"/>
      <c r="I1148" s="170"/>
      <c r="J1148" s="171" t="s">
        <v>1415</v>
      </c>
      <c r="K1148" s="172" t="s">
        <v>177</v>
      </c>
      <c r="L1148" s="172" t="s">
        <v>175</v>
      </c>
      <c r="M1148" s="173" t="str" cm="1">
        <f t="array" ref="M1148">IFERROR(INDEX(CategoriesTable[Category type],MATCH(Table1[[#This Row],[Category]],CategoriesTable[Category name],0),0),"")</f>
        <v>Transfer</v>
      </c>
      <c r="N1148" s="173">
        <v>17</v>
      </c>
      <c r="O1148" s="173">
        <f>MONTH(Table1[[#This Row],[Date]])</f>
        <v>12</v>
      </c>
      <c r="P1148" s="173">
        <v>2019</v>
      </c>
      <c r="Q1148" s="174">
        <f>IF(ISBLANK(Table1[[#This Row],[Date]]),"",Table1[[#This Row],[Date]]-WEEKDAY(Table1[[#This Row],[Date]],2)+1)</f>
        <v>43815</v>
      </c>
      <c r="R1148" s="175">
        <f>IF(ISBLANK(Table1[[#This Row],[Date]]),"",DATE(Table1[[#This Row],[Date_Year]],Table1[[#This Row],[Date_Month]],1))</f>
        <v>43800</v>
      </c>
    </row>
    <row r="1149" spans="2:18" ht="15.75" hidden="1" x14ac:dyDescent="0.25">
      <c r="B1149" s="165">
        <v>43815</v>
      </c>
      <c r="C1149" s="166" t="s">
        <v>149</v>
      </c>
      <c r="D1149" s="166" t="s">
        <v>65</v>
      </c>
      <c r="E1149" s="167"/>
      <c r="F1149" s="114">
        <v>-19.68</v>
      </c>
      <c r="G1149" s="168"/>
      <c r="H1149" s="169"/>
      <c r="I1149" s="170"/>
      <c r="J1149" s="171" t="s">
        <v>1416</v>
      </c>
      <c r="K1149" s="172" t="s">
        <v>177</v>
      </c>
      <c r="L1149" s="172" t="s">
        <v>175</v>
      </c>
      <c r="M1149" s="173" t="str" cm="1">
        <f t="array" ref="M1149">IFERROR(INDEX(CategoriesTable[Category type],MATCH(Table1[[#This Row],[Category]],CategoriesTable[Category name],0),0),"")</f>
        <v>Expense</v>
      </c>
      <c r="N1149" s="173">
        <v>16</v>
      </c>
      <c r="O1149" s="173">
        <f>MONTH(Table1[[#This Row],[Date]])</f>
        <v>12</v>
      </c>
      <c r="P1149" s="173">
        <v>2019</v>
      </c>
      <c r="Q1149" s="174">
        <f>IF(ISBLANK(Table1[[#This Row],[Date]]),"",Table1[[#This Row],[Date]]-WEEKDAY(Table1[[#This Row],[Date]],2)+1)</f>
        <v>43815</v>
      </c>
      <c r="R1149" s="175">
        <f>IF(ISBLANK(Table1[[#This Row],[Date]]),"",DATE(Table1[[#This Row],[Date_Year]],Table1[[#This Row],[Date_Month]],1))</f>
        <v>43800</v>
      </c>
    </row>
    <row r="1150" spans="2:18" ht="15.75" hidden="1" x14ac:dyDescent="0.25">
      <c r="B1150" s="165">
        <v>43815</v>
      </c>
      <c r="C1150" s="166" t="s">
        <v>606</v>
      </c>
      <c r="D1150" s="166" t="s">
        <v>55</v>
      </c>
      <c r="E1150" s="167"/>
      <c r="F1150" s="114">
        <v>-79.849999999999994</v>
      </c>
      <c r="G1150" s="168"/>
      <c r="H1150" s="169"/>
      <c r="I1150" s="170"/>
      <c r="J1150" s="171" t="s">
        <v>1417</v>
      </c>
      <c r="K1150" s="172" t="s">
        <v>177</v>
      </c>
      <c r="L1150" s="172" t="s">
        <v>175</v>
      </c>
      <c r="M1150" s="173" t="str" cm="1">
        <f t="array" ref="M1150">IFERROR(INDEX(CategoriesTable[Category type],MATCH(Table1[[#This Row],[Category]],CategoriesTable[Category name],0),0),"")</f>
        <v>Expense</v>
      </c>
      <c r="N1150" s="173">
        <v>16</v>
      </c>
      <c r="O1150" s="173">
        <f>MONTH(Table1[[#This Row],[Date]])</f>
        <v>12</v>
      </c>
      <c r="P1150" s="173">
        <v>2019</v>
      </c>
      <c r="Q1150" s="174">
        <f>IF(ISBLANK(Table1[[#This Row],[Date]]),"",Table1[[#This Row],[Date]]-WEEKDAY(Table1[[#This Row],[Date]],2)+1)</f>
        <v>43815</v>
      </c>
      <c r="R1150" s="175">
        <f>IF(ISBLANK(Table1[[#This Row],[Date]]),"",DATE(Table1[[#This Row],[Date_Year]],Table1[[#This Row],[Date_Month]],1))</f>
        <v>43800</v>
      </c>
    </row>
    <row r="1151" spans="2:18" ht="15.75" hidden="1" x14ac:dyDescent="0.25">
      <c r="B1151" s="165">
        <v>43815</v>
      </c>
      <c r="C1151" s="166" t="s">
        <v>680</v>
      </c>
      <c r="D1151" s="166" t="s">
        <v>62</v>
      </c>
      <c r="E1151" s="167"/>
      <c r="F1151" s="114">
        <v>-239.82</v>
      </c>
      <c r="G1151" s="168"/>
      <c r="H1151" s="169"/>
      <c r="I1151" s="170"/>
      <c r="J1151" s="171" t="s">
        <v>1418</v>
      </c>
      <c r="K1151" s="172" t="s">
        <v>177</v>
      </c>
      <c r="L1151" s="172" t="s">
        <v>175</v>
      </c>
      <c r="M1151" s="173" t="str" cm="1">
        <f t="array" ref="M1151">IFERROR(INDEX(CategoriesTable[Category type],MATCH(Table1[[#This Row],[Category]],CategoriesTable[Category name],0),0),"")</f>
        <v>Expense</v>
      </c>
      <c r="N1151" s="173">
        <v>16</v>
      </c>
      <c r="O1151" s="173">
        <f>MONTH(Table1[[#This Row],[Date]])</f>
        <v>12</v>
      </c>
      <c r="P1151" s="173">
        <v>2019</v>
      </c>
      <c r="Q1151" s="174">
        <f>IF(ISBLANK(Table1[[#This Row],[Date]]),"",Table1[[#This Row],[Date]]-WEEKDAY(Table1[[#This Row],[Date]],2)+1)</f>
        <v>43815</v>
      </c>
      <c r="R1151" s="175">
        <f>IF(ISBLANK(Table1[[#This Row],[Date]]),"",DATE(Table1[[#This Row],[Date_Year]],Table1[[#This Row],[Date_Month]],1))</f>
        <v>43800</v>
      </c>
    </row>
    <row r="1152" spans="2:18" ht="15.75" hidden="1" x14ac:dyDescent="0.25">
      <c r="B1152" s="165">
        <v>43813</v>
      </c>
      <c r="C1152" s="166" t="s">
        <v>121</v>
      </c>
      <c r="D1152" s="166" t="s">
        <v>65</v>
      </c>
      <c r="E1152" s="167"/>
      <c r="F1152" s="114">
        <v>-1.47</v>
      </c>
      <c r="G1152" s="168"/>
      <c r="H1152" s="169"/>
      <c r="I1152" s="170"/>
      <c r="J1152" s="171" t="s">
        <v>1419</v>
      </c>
      <c r="K1152" s="172" t="s">
        <v>177</v>
      </c>
      <c r="L1152" s="172" t="s">
        <v>175</v>
      </c>
      <c r="M1152" s="173" t="str" cm="1">
        <f t="array" ref="M1152">IFERROR(INDEX(CategoriesTable[Category type],MATCH(Table1[[#This Row],[Category]],CategoriesTable[Category name],0),0),"")</f>
        <v>Expense</v>
      </c>
      <c r="N1152" s="173">
        <v>14</v>
      </c>
      <c r="O1152" s="173">
        <f>MONTH(Table1[[#This Row],[Date]])</f>
        <v>12</v>
      </c>
      <c r="P1152" s="173">
        <v>2019</v>
      </c>
      <c r="Q1152" s="174">
        <f>IF(ISBLANK(Table1[[#This Row],[Date]]),"",Table1[[#This Row],[Date]]-WEEKDAY(Table1[[#This Row],[Date]],2)+1)</f>
        <v>43808</v>
      </c>
      <c r="R1152" s="175">
        <f>IF(ISBLANK(Table1[[#This Row],[Date]]),"",DATE(Table1[[#This Row],[Date_Year]],Table1[[#This Row],[Date_Month]],1))</f>
        <v>43800</v>
      </c>
    </row>
    <row r="1153" spans="2:18" ht="15.75" hidden="1" x14ac:dyDescent="0.25">
      <c r="B1153" s="165">
        <v>43812</v>
      </c>
      <c r="C1153" s="166" t="s">
        <v>120</v>
      </c>
      <c r="D1153" s="166" t="s">
        <v>66</v>
      </c>
      <c r="E1153" s="167"/>
      <c r="F1153" s="114">
        <v>-38.090000000000003</v>
      </c>
      <c r="G1153" s="168"/>
      <c r="H1153" s="169"/>
      <c r="I1153" s="170"/>
      <c r="J1153" s="171" t="s">
        <v>1420</v>
      </c>
      <c r="K1153" s="172" t="s">
        <v>177</v>
      </c>
      <c r="L1153" s="172" t="s">
        <v>175</v>
      </c>
      <c r="M1153" s="173" t="str" cm="1">
        <f t="array" ref="M1153">IFERROR(INDEX(CategoriesTable[Category type],MATCH(Table1[[#This Row],[Category]],CategoriesTable[Category name],0),0),"")</f>
        <v>Expense</v>
      </c>
      <c r="N1153" s="173">
        <v>13</v>
      </c>
      <c r="O1153" s="173">
        <f>MONTH(Table1[[#This Row],[Date]])</f>
        <v>12</v>
      </c>
      <c r="P1153" s="173">
        <v>2019</v>
      </c>
      <c r="Q1153" s="174">
        <f>IF(ISBLANK(Table1[[#This Row],[Date]]),"",Table1[[#This Row],[Date]]-WEEKDAY(Table1[[#This Row],[Date]],2)+1)</f>
        <v>43808</v>
      </c>
      <c r="R1153" s="175">
        <f>IF(ISBLANK(Table1[[#This Row],[Date]]),"",DATE(Table1[[#This Row],[Date_Year]],Table1[[#This Row],[Date_Month]],1))</f>
        <v>43800</v>
      </c>
    </row>
    <row r="1154" spans="2:18" ht="15.75" hidden="1" x14ac:dyDescent="0.25">
      <c r="B1154" s="165">
        <v>43812</v>
      </c>
      <c r="C1154" s="166" t="s">
        <v>121</v>
      </c>
      <c r="D1154" s="166" t="s">
        <v>65</v>
      </c>
      <c r="E1154" s="167"/>
      <c r="F1154" s="114">
        <v>-3.91</v>
      </c>
      <c r="G1154" s="168"/>
      <c r="H1154" s="169"/>
      <c r="I1154" s="170"/>
      <c r="J1154" s="171" t="s">
        <v>1421</v>
      </c>
      <c r="K1154" s="172" t="s">
        <v>177</v>
      </c>
      <c r="L1154" s="172" t="s">
        <v>175</v>
      </c>
      <c r="M1154" s="173" t="str" cm="1">
        <f t="array" ref="M1154">IFERROR(INDEX(CategoriesTable[Category type],MATCH(Table1[[#This Row],[Category]],CategoriesTable[Category name],0),0),"")</f>
        <v>Expense</v>
      </c>
      <c r="N1154" s="173">
        <v>13</v>
      </c>
      <c r="O1154" s="173">
        <f>MONTH(Table1[[#This Row],[Date]])</f>
        <v>12</v>
      </c>
      <c r="P1154" s="173">
        <v>2019</v>
      </c>
      <c r="Q1154" s="174">
        <f>IF(ISBLANK(Table1[[#This Row],[Date]]),"",Table1[[#This Row],[Date]]-WEEKDAY(Table1[[#This Row],[Date]],2)+1)</f>
        <v>43808</v>
      </c>
      <c r="R1154" s="175">
        <f>IF(ISBLANK(Table1[[#This Row],[Date]]),"",DATE(Table1[[#This Row],[Date_Year]],Table1[[#This Row],[Date_Month]],1))</f>
        <v>43800</v>
      </c>
    </row>
    <row r="1155" spans="2:18" ht="15.75" hidden="1" x14ac:dyDescent="0.25">
      <c r="B1155" s="165">
        <v>43810</v>
      </c>
      <c r="C1155" s="166" t="s">
        <v>120</v>
      </c>
      <c r="D1155" s="166" t="s">
        <v>66</v>
      </c>
      <c r="E1155" s="167"/>
      <c r="F1155" s="114">
        <v>-28.64</v>
      </c>
      <c r="G1155" s="168"/>
      <c r="H1155" s="169"/>
      <c r="I1155" s="170"/>
      <c r="J1155" s="171" t="s">
        <v>1422</v>
      </c>
      <c r="K1155" s="172" t="s">
        <v>177</v>
      </c>
      <c r="L1155" s="172" t="s">
        <v>175</v>
      </c>
      <c r="M1155" s="173" t="str" cm="1">
        <f t="array" ref="M1155">IFERROR(INDEX(CategoriesTable[Category type],MATCH(Table1[[#This Row],[Category]],CategoriesTable[Category name],0),0),"")</f>
        <v>Expense</v>
      </c>
      <c r="N1155" s="173">
        <v>11</v>
      </c>
      <c r="O1155" s="173">
        <f>MONTH(Table1[[#This Row],[Date]])</f>
        <v>12</v>
      </c>
      <c r="P1155" s="173">
        <v>2019</v>
      </c>
      <c r="Q1155" s="174">
        <f>IF(ISBLANK(Table1[[#This Row],[Date]]),"",Table1[[#This Row],[Date]]-WEEKDAY(Table1[[#This Row],[Date]],2)+1)</f>
        <v>43808</v>
      </c>
      <c r="R1155" s="175">
        <f>IF(ISBLANK(Table1[[#This Row],[Date]]),"",DATE(Table1[[#This Row],[Date_Year]],Table1[[#This Row],[Date_Month]],1))</f>
        <v>43800</v>
      </c>
    </row>
    <row r="1156" spans="2:18" ht="15.75" hidden="1" x14ac:dyDescent="0.25">
      <c r="B1156" s="165">
        <v>43810</v>
      </c>
      <c r="C1156" s="166" t="s">
        <v>572</v>
      </c>
      <c r="D1156" s="166" t="s">
        <v>63</v>
      </c>
      <c r="E1156" s="167"/>
      <c r="F1156" s="114">
        <v>-3.5</v>
      </c>
      <c r="G1156" s="168"/>
      <c r="H1156" s="169"/>
      <c r="I1156" s="170"/>
      <c r="J1156" s="171" t="s">
        <v>1423</v>
      </c>
      <c r="K1156" s="172" t="s">
        <v>177</v>
      </c>
      <c r="L1156" s="172" t="s">
        <v>175</v>
      </c>
      <c r="M1156" s="173" t="str" cm="1">
        <f t="array" ref="M1156">IFERROR(INDEX(CategoriesTable[Category type],MATCH(Table1[[#This Row],[Category]],CategoriesTable[Category name],0),0),"")</f>
        <v>Expense</v>
      </c>
      <c r="N1156" s="173">
        <v>11</v>
      </c>
      <c r="O1156" s="173">
        <f>MONTH(Table1[[#This Row],[Date]])</f>
        <v>12</v>
      </c>
      <c r="P1156" s="173">
        <v>2019</v>
      </c>
      <c r="Q1156" s="174">
        <f>IF(ISBLANK(Table1[[#This Row],[Date]]),"",Table1[[#This Row],[Date]]-WEEKDAY(Table1[[#This Row],[Date]],2)+1)</f>
        <v>43808</v>
      </c>
      <c r="R1156" s="175">
        <f>IF(ISBLANK(Table1[[#This Row],[Date]]),"",DATE(Table1[[#This Row],[Date_Year]],Table1[[#This Row],[Date_Month]],1))</f>
        <v>43800</v>
      </c>
    </row>
    <row r="1157" spans="2:18" ht="15.75" hidden="1" x14ac:dyDescent="0.25">
      <c r="B1157" s="165">
        <v>43810</v>
      </c>
      <c r="C1157" s="166" t="s">
        <v>574</v>
      </c>
      <c r="D1157" s="166" t="s">
        <v>55</v>
      </c>
      <c r="E1157" s="167"/>
      <c r="F1157" s="114">
        <v>-312.2</v>
      </c>
      <c r="G1157" s="168"/>
      <c r="H1157" s="169"/>
      <c r="I1157" s="170"/>
      <c r="J1157" s="171" t="s">
        <v>1424</v>
      </c>
      <c r="K1157" s="172" t="s">
        <v>177</v>
      </c>
      <c r="L1157" s="172" t="s">
        <v>175</v>
      </c>
      <c r="M1157" s="173" t="str" cm="1">
        <f t="array" ref="M1157">IFERROR(INDEX(CategoriesTable[Category type],MATCH(Table1[[#This Row],[Category]],CategoriesTable[Category name],0),0),"")</f>
        <v>Expense</v>
      </c>
      <c r="N1157" s="173">
        <v>11</v>
      </c>
      <c r="O1157" s="173">
        <f>MONTH(Table1[[#This Row],[Date]])</f>
        <v>12</v>
      </c>
      <c r="P1157" s="173">
        <v>2019</v>
      </c>
      <c r="Q1157" s="174">
        <f>IF(ISBLANK(Table1[[#This Row],[Date]]),"",Table1[[#This Row],[Date]]-WEEKDAY(Table1[[#This Row],[Date]],2)+1)</f>
        <v>43808</v>
      </c>
      <c r="R1157" s="175">
        <f>IF(ISBLANK(Table1[[#This Row],[Date]]),"",DATE(Table1[[#This Row],[Date_Year]],Table1[[#This Row],[Date_Month]],1))</f>
        <v>43800</v>
      </c>
    </row>
    <row r="1158" spans="2:18" ht="15.75" hidden="1" x14ac:dyDescent="0.25">
      <c r="B1158" s="165">
        <v>43809</v>
      </c>
      <c r="C1158" s="166" t="s">
        <v>121</v>
      </c>
      <c r="D1158" s="166" t="s">
        <v>65</v>
      </c>
      <c r="E1158" s="167"/>
      <c r="F1158" s="114">
        <v>-19.559999999999999</v>
      </c>
      <c r="G1158" s="168"/>
      <c r="H1158" s="169"/>
      <c r="I1158" s="170"/>
      <c r="J1158" s="171" t="s">
        <v>1425</v>
      </c>
      <c r="K1158" s="172" t="s">
        <v>177</v>
      </c>
      <c r="L1158" s="172" t="s">
        <v>175</v>
      </c>
      <c r="M1158" s="173" t="str" cm="1">
        <f t="array" ref="M1158">IFERROR(INDEX(CategoriesTable[Category type],MATCH(Table1[[#This Row],[Category]],CategoriesTable[Category name],0),0),"")</f>
        <v>Expense</v>
      </c>
      <c r="N1158" s="173">
        <v>10</v>
      </c>
      <c r="O1158" s="173">
        <f>MONTH(Table1[[#This Row],[Date]])</f>
        <v>12</v>
      </c>
      <c r="P1158" s="173">
        <v>2019</v>
      </c>
      <c r="Q1158" s="174">
        <f>IF(ISBLANK(Table1[[#This Row],[Date]]),"",Table1[[#This Row],[Date]]-WEEKDAY(Table1[[#This Row],[Date]],2)+1)</f>
        <v>43808</v>
      </c>
      <c r="R1158" s="175">
        <f>IF(ISBLANK(Table1[[#This Row],[Date]]),"",DATE(Table1[[#This Row],[Date_Year]],Table1[[#This Row],[Date_Month]],1))</f>
        <v>43800</v>
      </c>
    </row>
    <row r="1159" spans="2:18" ht="15.75" hidden="1" x14ac:dyDescent="0.25">
      <c r="B1159" s="165">
        <v>43809</v>
      </c>
      <c r="C1159" s="166" t="s">
        <v>249</v>
      </c>
      <c r="D1159" s="166" t="s">
        <v>52</v>
      </c>
      <c r="E1159" s="167"/>
      <c r="F1159" s="114">
        <v>-10</v>
      </c>
      <c r="G1159" s="168"/>
      <c r="H1159" s="169"/>
      <c r="I1159" s="170"/>
      <c r="J1159" s="171" t="s">
        <v>1426</v>
      </c>
      <c r="K1159" s="172" t="s">
        <v>177</v>
      </c>
      <c r="L1159" s="172" t="s">
        <v>175</v>
      </c>
      <c r="M1159" s="173" t="str" cm="1">
        <f t="array" ref="M1159">IFERROR(INDEX(CategoriesTable[Category type],MATCH(Table1[[#This Row],[Category]],CategoriesTable[Category name],0),0),"")</f>
        <v>Transfer</v>
      </c>
      <c r="N1159" s="173">
        <v>10</v>
      </c>
      <c r="O1159" s="173">
        <f>MONTH(Table1[[#This Row],[Date]])</f>
        <v>12</v>
      </c>
      <c r="P1159" s="173">
        <v>2019</v>
      </c>
      <c r="Q1159" s="174">
        <f>IF(ISBLANK(Table1[[#This Row],[Date]]),"",Table1[[#This Row],[Date]]-WEEKDAY(Table1[[#This Row],[Date]],2)+1)</f>
        <v>43808</v>
      </c>
      <c r="R1159" s="175">
        <f>IF(ISBLANK(Table1[[#This Row],[Date]]),"",DATE(Table1[[#This Row],[Date_Year]],Table1[[#This Row],[Date_Month]],1))</f>
        <v>43800</v>
      </c>
    </row>
    <row r="1160" spans="2:18" ht="15.75" hidden="1" x14ac:dyDescent="0.25">
      <c r="B1160" s="165">
        <v>43808</v>
      </c>
      <c r="C1160" s="166" t="s">
        <v>249</v>
      </c>
      <c r="D1160" s="166" t="s">
        <v>52</v>
      </c>
      <c r="E1160" s="167"/>
      <c r="F1160" s="114">
        <v>-115</v>
      </c>
      <c r="G1160" s="168"/>
      <c r="H1160" s="169"/>
      <c r="I1160" s="170"/>
      <c r="J1160" s="171" t="s">
        <v>1427</v>
      </c>
      <c r="K1160" s="172" t="s">
        <v>177</v>
      </c>
      <c r="L1160" s="172" t="s">
        <v>175</v>
      </c>
      <c r="M1160" s="173" t="str" cm="1">
        <f t="array" ref="M1160">IFERROR(INDEX(CategoriesTable[Category type],MATCH(Table1[[#This Row],[Category]],CategoriesTable[Category name],0),0),"")</f>
        <v>Transfer</v>
      </c>
      <c r="N1160" s="173">
        <v>9</v>
      </c>
      <c r="O1160" s="173">
        <f>MONTH(Table1[[#This Row],[Date]])</f>
        <v>12</v>
      </c>
      <c r="P1160" s="173">
        <v>2019</v>
      </c>
      <c r="Q1160" s="174">
        <f>IF(ISBLANK(Table1[[#This Row],[Date]]),"",Table1[[#This Row],[Date]]-WEEKDAY(Table1[[#This Row],[Date]],2)+1)</f>
        <v>43808</v>
      </c>
      <c r="R1160" s="175">
        <f>IF(ISBLANK(Table1[[#This Row],[Date]]),"",DATE(Table1[[#This Row],[Date_Year]],Table1[[#This Row],[Date_Month]],1))</f>
        <v>43800</v>
      </c>
    </row>
    <row r="1161" spans="2:18" ht="15.75" hidden="1" x14ac:dyDescent="0.25">
      <c r="B1161" s="165">
        <v>43808</v>
      </c>
      <c r="C1161" s="166" t="s">
        <v>664</v>
      </c>
      <c r="D1161" s="166" t="s">
        <v>66</v>
      </c>
      <c r="E1161" s="167"/>
      <c r="F1161" s="114">
        <v>-179.16</v>
      </c>
      <c r="G1161" s="168"/>
      <c r="H1161" s="169"/>
      <c r="I1161" s="170"/>
      <c r="J1161" s="171" t="s">
        <v>1428</v>
      </c>
      <c r="K1161" s="172" t="s">
        <v>177</v>
      </c>
      <c r="L1161" s="172" t="s">
        <v>175</v>
      </c>
      <c r="M1161" s="173" t="str" cm="1">
        <f t="array" ref="M1161">IFERROR(INDEX(CategoriesTable[Category type],MATCH(Table1[[#This Row],[Category]],CategoriesTable[Category name],0),0),"")</f>
        <v>Expense</v>
      </c>
      <c r="N1161" s="173">
        <v>9</v>
      </c>
      <c r="O1161" s="173">
        <f>MONTH(Table1[[#This Row],[Date]])</f>
        <v>12</v>
      </c>
      <c r="P1161" s="173">
        <v>2019</v>
      </c>
      <c r="Q1161" s="174">
        <f>IF(ISBLANK(Table1[[#This Row],[Date]]),"",Table1[[#This Row],[Date]]-WEEKDAY(Table1[[#This Row],[Date]],2)+1)</f>
        <v>43808</v>
      </c>
      <c r="R1161" s="175">
        <f>IF(ISBLANK(Table1[[#This Row],[Date]]),"",DATE(Table1[[#This Row],[Date_Year]],Table1[[#This Row],[Date_Month]],1))</f>
        <v>43800</v>
      </c>
    </row>
    <row r="1162" spans="2:18" ht="15.75" hidden="1" x14ac:dyDescent="0.25">
      <c r="B1162" s="165">
        <v>43806</v>
      </c>
      <c r="C1162" s="166" t="s">
        <v>504</v>
      </c>
      <c r="D1162" s="166" t="s">
        <v>66</v>
      </c>
      <c r="E1162" s="167"/>
      <c r="F1162" s="114">
        <v>-10.39</v>
      </c>
      <c r="G1162" s="168"/>
      <c r="H1162" s="169"/>
      <c r="I1162" s="170"/>
      <c r="J1162" s="171" t="s">
        <v>1429</v>
      </c>
      <c r="K1162" s="172" t="s">
        <v>177</v>
      </c>
      <c r="L1162" s="172" t="s">
        <v>175</v>
      </c>
      <c r="M1162" s="173" t="str" cm="1">
        <f t="array" ref="M1162">IFERROR(INDEX(CategoriesTable[Category type],MATCH(Table1[[#This Row],[Category]],CategoriesTable[Category name],0),0),"")</f>
        <v>Expense</v>
      </c>
      <c r="N1162" s="173">
        <v>7</v>
      </c>
      <c r="O1162" s="173">
        <f>MONTH(Table1[[#This Row],[Date]])</f>
        <v>12</v>
      </c>
      <c r="P1162" s="173">
        <v>2019</v>
      </c>
      <c r="Q1162" s="174">
        <f>IF(ISBLANK(Table1[[#This Row],[Date]]),"",Table1[[#This Row],[Date]]-WEEKDAY(Table1[[#This Row],[Date]],2)+1)</f>
        <v>43801</v>
      </c>
      <c r="R1162" s="175">
        <f>IF(ISBLANK(Table1[[#This Row],[Date]]),"",DATE(Table1[[#This Row],[Date_Year]],Table1[[#This Row],[Date_Month]],1))</f>
        <v>43800</v>
      </c>
    </row>
    <row r="1163" spans="2:18" ht="15.75" hidden="1" x14ac:dyDescent="0.25">
      <c r="B1163" s="165">
        <v>43806</v>
      </c>
      <c r="C1163" s="166" t="s">
        <v>120</v>
      </c>
      <c r="D1163" s="166" t="s">
        <v>66</v>
      </c>
      <c r="E1163" s="167"/>
      <c r="F1163" s="114">
        <v>-100.02</v>
      </c>
      <c r="G1163" s="168"/>
      <c r="H1163" s="169"/>
      <c r="I1163" s="170"/>
      <c r="J1163" s="171" t="s">
        <v>1430</v>
      </c>
      <c r="K1163" s="172" t="s">
        <v>177</v>
      </c>
      <c r="L1163" s="172" t="s">
        <v>175</v>
      </c>
      <c r="M1163" s="173" t="str" cm="1">
        <f t="array" ref="M1163">IFERROR(INDEX(CategoriesTable[Category type],MATCH(Table1[[#This Row],[Category]],CategoriesTable[Category name],0),0),"")</f>
        <v>Expense</v>
      </c>
      <c r="N1163" s="173">
        <v>7</v>
      </c>
      <c r="O1163" s="173">
        <f>MONTH(Table1[[#This Row],[Date]])</f>
        <v>12</v>
      </c>
      <c r="P1163" s="173">
        <v>2019</v>
      </c>
      <c r="Q1163" s="174">
        <f>IF(ISBLANK(Table1[[#This Row],[Date]]),"",Table1[[#This Row],[Date]]-WEEKDAY(Table1[[#This Row],[Date]],2)+1)</f>
        <v>43801</v>
      </c>
      <c r="R1163" s="175">
        <f>IF(ISBLANK(Table1[[#This Row],[Date]]),"",DATE(Table1[[#This Row],[Date_Year]],Table1[[#This Row],[Date_Month]],1))</f>
        <v>43800</v>
      </c>
    </row>
    <row r="1164" spans="2:18" ht="15.75" hidden="1" x14ac:dyDescent="0.25">
      <c r="B1164" s="165">
        <v>43806</v>
      </c>
      <c r="C1164" s="166" t="s">
        <v>193</v>
      </c>
      <c r="D1164" s="166" t="s">
        <v>59</v>
      </c>
      <c r="E1164" s="167"/>
      <c r="F1164" s="114">
        <v>-80</v>
      </c>
      <c r="G1164" s="168"/>
      <c r="H1164" s="169"/>
      <c r="I1164" s="170"/>
      <c r="J1164" s="171" t="s">
        <v>1431</v>
      </c>
      <c r="K1164" s="172" t="s">
        <v>177</v>
      </c>
      <c r="L1164" s="172" t="s">
        <v>175</v>
      </c>
      <c r="M1164" s="173" t="str" cm="1">
        <f t="array" ref="M1164">IFERROR(INDEX(CategoriesTable[Category type],MATCH(Table1[[#This Row],[Category]],CategoriesTable[Category name],0),0),"")</f>
        <v>Expense</v>
      </c>
      <c r="N1164" s="173">
        <v>7</v>
      </c>
      <c r="O1164" s="173">
        <f>MONTH(Table1[[#This Row],[Date]])</f>
        <v>12</v>
      </c>
      <c r="P1164" s="173">
        <v>2019</v>
      </c>
      <c r="Q1164" s="174">
        <f>IF(ISBLANK(Table1[[#This Row],[Date]]),"",Table1[[#This Row],[Date]]-WEEKDAY(Table1[[#This Row],[Date]],2)+1)</f>
        <v>43801</v>
      </c>
      <c r="R1164" s="175">
        <f>IF(ISBLANK(Table1[[#This Row],[Date]]),"",DATE(Table1[[#This Row],[Date_Year]],Table1[[#This Row],[Date_Month]],1))</f>
        <v>43800</v>
      </c>
    </row>
    <row r="1165" spans="2:18" ht="15.75" hidden="1" x14ac:dyDescent="0.25">
      <c r="B1165" s="165">
        <v>43805</v>
      </c>
      <c r="C1165" s="166" t="s">
        <v>738</v>
      </c>
      <c r="D1165" s="166" t="s">
        <v>55</v>
      </c>
      <c r="E1165" s="167"/>
      <c r="F1165" s="114">
        <v>-173.83</v>
      </c>
      <c r="G1165" s="168"/>
      <c r="H1165" s="169"/>
      <c r="I1165" s="170"/>
      <c r="J1165" s="171" t="s">
        <v>1432</v>
      </c>
      <c r="K1165" s="172" t="s">
        <v>177</v>
      </c>
      <c r="L1165" s="172" t="s">
        <v>175</v>
      </c>
      <c r="M1165" s="173" t="str" cm="1">
        <f t="array" ref="M1165">IFERROR(INDEX(CategoriesTable[Category type],MATCH(Table1[[#This Row],[Category]],CategoriesTable[Category name],0),0),"")</f>
        <v>Expense</v>
      </c>
      <c r="N1165" s="173">
        <v>6</v>
      </c>
      <c r="O1165" s="173">
        <f>MONTH(Table1[[#This Row],[Date]])</f>
        <v>12</v>
      </c>
      <c r="P1165" s="173">
        <v>2019</v>
      </c>
      <c r="Q1165" s="174">
        <f>IF(ISBLANK(Table1[[#This Row],[Date]]),"",Table1[[#This Row],[Date]]-WEEKDAY(Table1[[#This Row],[Date]],2)+1)</f>
        <v>43801</v>
      </c>
      <c r="R1165" s="175">
        <f>IF(ISBLANK(Table1[[#This Row],[Date]]),"",DATE(Table1[[#This Row],[Date_Year]],Table1[[#This Row],[Date_Month]],1))</f>
        <v>43800</v>
      </c>
    </row>
    <row r="1166" spans="2:18" ht="15.75" hidden="1" x14ac:dyDescent="0.25">
      <c r="B1166" s="165">
        <v>43804</v>
      </c>
      <c r="C1166" s="166" t="s">
        <v>134</v>
      </c>
      <c r="D1166" s="166" t="s">
        <v>65</v>
      </c>
      <c r="E1166" s="167"/>
      <c r="F1166" s="114">
        <v>-2.44</v>
      </c>
      <c r="G1166" s="168"/>
      <c r="H1166" s="169"/>
      <c r="I1166" s="170"/>
      <c r="J1166" s="171" t="s">
        <v>1433</v>
      </c>
      <c r="K1166" s="172" t="s">
        <v>177</v>
      </c>
      <c r="L1166" s="172" t="s">
        <v>175</v>
      </c>
      <c r="M1166" s="173" t="str" cm="1">
        <f t="array" ref="M1166">IFERROR(INDEX(CategoriesTable[Category type],MATCH(Table1[[#This Row],[Category]],CategoriesTable[Category name],0),0),"")</f>
        <v>Expense</v>
      </c>
      <c r="N1166" s="173">
        <v>5</v>
      </c>
      <c r="O1166" s="173">
        <f>MONTH(Table1[[#This Row],[Date]])</f>
        <v>12</v>
      </c>
      <c r="P1166" s="173">
        <v>2019</v>
      </c>
      <c r="Q1166" s="174">
        <f>IF(ISBLANK(Table1[[#This Row],[Date]]),"",Table1[[#This Row],[Date]]-WEEKDAY(Table1[[#This Row],[Date]],2)+1)</f>
        <v>43801</v>
      </c>
      <c r="R1166" s="175">
        <f>IF(ISBLANK(Table1[[#This Row],[Date]]),"",DATE(Table1[[#This Row],[Date_Year]],Table1[[#This Row],[Date_Month]],1))</f>
        <v>43800</v>
      </c>
    </row>
    <row r="1167" spans="2:18" ht="15.75" hidden="1" x14ac:dyDescent="0.25">
      <c r="B1167" s="165">
        <v>43804</v>
      </c>
      <c r="C1167" s="166" t="s">
        <v>134</v>
      </c>
      <c r="D1167" s="166" t="s">
        <v>65</v>
      </c>
      <c r="E1167" s="167"/>
      <c r="F1167" s="114">
        <v>-15.9</v>
      </c>
      <c r="G1167" s="168"/>
      <c r="H1167" s="169"/>
      <c r="I1167" s="170"/>
      <c r="J1167" s="171" t="s">
        <v>1434</v>
      </c>
      <c r="K1167" s="172" t="s">
        <v>177</v>
      </c>
      <c r="L1167" s="172" t="s">
        <v>175</v>
      </c>
      <c r="M1167" s="173" t="str" cm="1">
        <f t="array" ref="M1167">IFERROR(INDEX(CategoriesTable[Category type],MATCH(Table1[[#This Row],[Category]],CategoriesTable[Category name],0),0),"")</f>
        <v>Expense</v>
      </c>
      <c r="N1167" s="173">
        <v>5</v>
      </c>
      <c r="O1167" s="173">
        <f>MONTH(Table1[[#This Row],[Date]])</f>
        <v>12</v>
      </c>
      <c r="P1167" s="173">
        <v>2019</v>
      </c>
      <c r="Q1167" s="174">
        <f>IF(ISBLANK(Table1[[#This Row],[Date]]),"",Table1[[#This Row],[Date]]-WEEKDAY(Table1[[#This Row],[Date]],2)+1)</f>
        <v>43801</v>
      </c>
      <c r="R1167" s="175">
        <f>IF(ISBLANK(Table1[[#This Row],[Date]]),"",DATE(Table1[[#This Row],[Date_Year]],Table1[[#This Row],[Date_Month]],1))</f>
        <v>43800</v>
      </c>
    </row>
    <row r="1168" spans="2:18" ht="15.75" hidden="1" x14ac:dyDescent="0.25">
      <c r="B1168" s="165">
        <v>43802</v>
      </c>
      <c r="C1168" s="166" t="s">
        <v>953</v>
      </c>
      <c r="D1168" s="166" t="s">
        <v>58</v>
      </c>
      <c r="E1168" s="167"/>
      <c r="F1168" s="114">
        <v>-20</v>
      </c>
      <c r="G1168" s="168"/>
      <c r="H1168" s="169"/>
      <c r="I1168" s="170"/>
      <c r="J1168" s="171" t="s">
        <v>1435</v>
      </c>
      <c r="K1168" s="172" t="s">
        <v>177</v>
      </c>
      <c r="L1168" s="172" t="s">
        <v>175</v>
      </c>
      <c r="M1168" s="173" t="str" cm="1">
        <f t="array" ref="M1168">IFERROR(INDEX(CategoriesTable[Category type],MATCH(Table1[[#This Row],[Category]],CategoriesTable[Category name],0),0),"")</f>
        <v>Expense</v>
      </c>
      <c r="N1168" s="173">
        <v>3</v>
      </c>
      <c r="O1168" s="173">
        <f>MONTH(Table1[[#This Row],[Date]])</f>
        <v>12</v>
      </c>
      <c r="P1168" s="173">
        <v>2019</v>
      </c>
      <c r="Q1168" s="174">
        <f>IF(ISBLANK(Table1[[#This Row],[Date]]),"",Table1[[#This Row],[Date]]-WEEKDAY(Table1[[#This Row],[Date]],2)+1)</f>
        <v>43801</v>
      </c>
      <c r="R1168" s="175">
        <f>IF(ISBLANK(Table1[[#This Row],[Date]]),"",DATE(Table1[[#This Row],[Date_Year]],Table1[[#This Row],[Date_Month]],1))</f>
        <v>43800</v>
      </c>
    </row>
    <row r="1169" spans="2:18" ht="15.75" hidden="1" x14ac:dyDescent="0.25">
      <c r="B1169" s="165">
        <v>43802</v>
      </c>
      <c r="C1169" s="166" t="s">
        <v>121</v>
      </c>
      <c r="D1169" s="166" t="s">
        <v>65</v>
      </c>
      <c r="E1169" s="167"/>
      <c r="F1169" s="114">
        <v>-10.32</v>
      </c>
      <c r="G1169" s="168"/>
      <c r="H1169" s="169"/>
      <c r="I1169" s="170"/>
      <c r="J1169" s="171" t="s">
        <v>1436</v>
      </c>
      <c r="K1169" s="172" t="s">
        <v>177</v>
      </c>
      <c r="L1169" s="172" t="s">
        <v>175</v>
      </c>
      <c r="M1169" s="173" t="str" cm="1">
        <f t="array" ref="M1169">IFERROR(INDEX(CategoriesTable[Category type],MATCH(Table1[[#This Row],[Category]],CategoriesTable[Category name],0),0),"")</f>
        <v>Expense</v>
      </c>
      <c r="N1169" s="173">
        <v>3</v>
      </c>
      <c r="O1169" s="173">
        <f>MONTH(Table1[[#This Row],[Date]])</f>
        <v>12</v>
      </c>
      <c r="P1169" s="173">
        <v>2019</v>
      </c>
      <c r="Q1169" s="174">
        <f>IF(ISBLANK(Table1[[#This Row],[Date]]),"",Table1[[#This Row],[Date]]-WEEKDAY(Table1[[#This Row],[Date]],2)+1)</f>
        <v>43801</v>
      </c>
      <c r="R1169" s="175">
        <f>IF(ISBLANK(Table1[[#This Row],[Date]]),"",DATE(Table1[[#This Row],[Date_Year]],Table1[[#This Row],[Date_Month]],1))</f>
        <v>43800</v>
      </c>
    </row>
    <row r="1170" spans="2:18" ht="15.75" hidden="1" x14ac:dyDescent="0.25">
      <c r="B1170" s="165">
        <v>43802</v>
      </c>
      <c r="C1170" s="166" t="s">
        <v>135</v>
      </c>
      <c r="D1170" s="166" t="s">
        <v>53</v>
      </c>
      <c r="E1170" s="167"/>
      <c r="F1170" s="114">
        <v>-11.05</v>
      </c>
      <c r="G1170" s="168"/>
      <c r="H1170" s="169"/>
      <c r="I1170" s="170"/>
      <c r="J1170" s="171" t="s">
        <v>1437</v>
      </c>
      <c r="K1170" s="172" t="s">
        <v>177</v>
      </c>
      <c r="L1170" s="172" t="s">
        <v>175</v>
      </c>
      <c r="M1170" s="173" t="str" cm="1">
        <f t="array" ref="M1170">IFERROR(INDEX(CategoriesTable[Category type],MATCH(Table1[[#This Row],[Category]],CategoriesTable[Category name],0),0),"")</f>
        <v>Expense</v>
      </c>
      <c r="N1170" s="173">
        <v>3</v>
      </c>
      <c r="O1170" s="173">
        <f>MONTH(Table1[[#This Row],[Date]])</f>
        <v>12</v>
      </c>
      <c r="P1170" s="173">
        <v>2019</v>
      </c>
      <c r="Q1170" s="174">
        <f>IF(ISBLANK(Table1[[#This Row],[Date]]),"",Table1[[#This Row],[Date]]-WEEKDAY(Table1[[#This Row],[Date]],2)+1)</f>
        <v>43801</v>
      </c>
      <c r="R1170" s="175">
        <f>IF(ISBLANK(Table1[[#This Row],[Date]]),"",DATE(Table1[[#This Row],[Date_Year]],Table1[[#This Row],[Date_Month]],1))</f>
        <v>43800</v>
      </c>
    </row>
    <row r="1171" spans="2:18" ht="15.75" hidden="1" x14ac:dyDescent="0.25">
      <c r="B1171" s="165">
        <v>43801</v>
      </c>
      <c r="C1171" s="166" t="s">
        <v>196</v>
      </c>
      <c r="D1171" s="166" t="s">
        <v>50</v>
      </c>
      <c r="E1171" s="167"/>
      <c r="F1171" s="114">
        <v>4304.3599999999997</v>
      </c>
      <c r="G1171" s="168"/>
      <c r="H1171" s="169"/>
      <c r="I1171" s="170"/>
      <c r="J1171" s="171" t="s">
        <v>1438</v>
      </c>
      <c r="K1171" s="172" t="s">
        <v>177</v>
      </c>
      <c r="L1171" s="172" t="s">
        <v>175</v>
      </c>
      <c r="M1171" s="173" t="str" cm="1">
        <f t="array" ref="M1171">IFERROR(INDEX(CategoriesTable[Category type],MATCH(Table1[[#This Row],[Category]],CategoriesTable[Category name],0),0),"")</f>
        <v>Income</v>
      </c>
      <c r="N1171" s="173">
        <v>2</v>
      </c>
      <c r="O1171" s="173">
        <f>MONTH(Table1[[#This Row],[Date]])</f>
        <v>12</v>
      </c>
      <c r="P1171" s="173">
        <v>2019</v>
      </c>
      <c r="Q1171" s="174">
        <f>IF(ISBLANK(Table1[[#This Row],[Date]]),"",Table1[[#This Row],[Date]]-WEEKDAY(Table1[[#This Row],[Date]],2)+1)</f>
        <v>43801</v>
      </c>
      <c r="R1171" s="175">
        <f>IF(ISBLANK(Table1[[#This Row],[Date]]),"",DATE(Table1[[#This Row],[Date_Year]],Table1[[#This Row],[Date_Month]],1))</f>
        <v>43800</v>
      </c>
    </row>
    <row r="1172" spans="2:18" ht="15.75" hidden="1" x14ac:dyDescent="0.25">
      <c r="B1172" s="165">
        <v>43801</v>
      </c>
      <c r="C1172" s="166" t="s">
        <v>680</v>
      </c>
      <c r="D1172" s="166" t="s">
        <v>62</v>
      </c>
      <c r="E1172" s="167"/>
      <c r="F1172" s="114">
        <v>-263.8</v>
      </c>
      <c r="G1172" s="168"/>
      <c r="H1172" s="169"/>
      <c r="I1172" s="170"/>
      <c r="J1172" s="171" t="s">
        <v>1439</v>
      </c>
      <c r="K1172" s="172" t="s">
        <v>177</v>
      </c>
      <c r="L1172" s="172" t="s">
        <v>175</v>
      </c>
      <c r="M1172" s="173" t="str" cm="1">
        <f t="array" ref="M1172">IFERROR(INDEX(CategoriesTable[Category type],MATCH(Table1[[#This Row],[Category]],CategoriesTable[Category name],0),0),"")</f>
        <v>Expense</v>
      </c>
      <c r="N1172" s="173">
        <v>2</v>
      </c>
      <c r="O1172" s="173">
        <f>MONTH(Table1[[#This Row],[Date]])</f>
        <v>12</v>
      </c>
      <c r="P1172" s="173">
        <v>2019</v>
      </c>
      <c r="Q1172" s="174">
        <f>IF(ISBLANK(Table1[[#This Row],[Date]]),"",Table1[[#This Row],[Date]]-WEEKDAY(Table1[[#This Row],[Date]],2)+1)</f>
        <v>43801</v>
      </c>
      <c r="R1172" s="175">
        <f>IF(ISBLANK(Table1[[#This Row],[Date]]),"",DATE(Table1[[#This Row],[Date_Year]],Table1[[#This Row],[Date_Month]],1))</f>
        <v>43800</v>
      </c>
    </row>
    <row r="1173" spans="2:18" ht="15.75" hidden="1" x14ac:dyDescent="0.25">
      <c r="B1173" s="165">
        <v>43800</v>
      </c>
      <c r="C1173" s="166" t="s">
        <v>1208</v>
      </c>
      <c r="D1173" s="166" t="s">
        <v>65</v>
      </c>
      <c r="E1173" s="167"/>
      <c r="F1173" s="114">
        <v>-21</v>
      </c>
      <c r="G1173" s="168"/>
      <c r="H1173" s="169"/>
      <c r="I1173" s="170"/>
      <c r="J1173" s="171" t="s">
        <v>1440</v>
      </c>
      <c r="K1173" s="172" t="s">
        <v>177</v>
      </c>
      <c r="L1173" s="172" t="s">
        <v>175</v>
      </c>
      <c r="M1173" s="173" t="str" cm="1">
        <f t="array" ref="M1173">IFERROR(INDEX(CategoriesTable[Category type],MATCH(Table1[[#This Row],[Category]],CategoriesTable[Category name],0),0),"")</f>
        <v>Expense</v>
      </c>
      <c r="N1173" s="173">
        <v>1</v>
      </c>
      <c r="O1173" s="173">
        <f>MONTH(Table1[[#This Row],[Date]])</f>
        <v>12</v>
      </c>
      <c r="P1173" s="173">
        <v>2019</v>
      </c>
      <c r="Q1173" s="174">
        <f>IF(ISBLANK(Table1[[#This Row],[Date]]),"",Table1[[#This Row],[Date]]-WEEKDAY(Table1[[#This Row],[Date]],2)+1)</f>
        <v>43794</v>
      </c>
      <c r="R1173" s="175">
        <f>IF(ISBLANK(Table1[[#This Row],[Date]]),"",DATE(Table1[[#This Row],[Date_Year]],Table1[[#This Row],[Date_Month]],1))</f>
        <v>43800</v>
      </c>
    </row>
    <row r="1174" spans="2:18" ht="15.75" hidden="1" x14ac:dyDescent="0.25">
      <c r="B1174" s="165">
        <v>43800</v>
      </c>
      <c r="C1174" s="166" t="s">
        <v>120</v>
      </c>
      <c r="D1174" s="166" t="s">
        <v>66</v>
      </c>
      <c r="E1174" s="167"/>
      <c r="F1174" s="114">
        <v>-5.28</v>
      </c>
      <c r="G1174" s="168"/>
      <c r="H1174" s="169"/>
      <c r="I1174" s="170"/>
      <c r="J1174" s="171" t="s">
        <v>1441</v>
      </c>
      <c r="K1174" s="172" t="s">
        <v>177</v>
      </c>
      <c r="L1174" s="172" t="s">
        <v>175</v>
      </c>
      <c r="M1174" s="173" t="str" cm="1">
        <f t="array" ref="M1174">IFERROR(INDEX(CategoriesTable[Category type],MATCH(Table1[[#This Row],[Category]],CategoriesTable[Category name],0),0),"")</f>
        <v>Expense</v>
      </c>
      <c r="N1174" s="173">
        <v>1</v>
      </c>
      <c r="O1174" s="173">
        <f>MONTH(Table1[[#This Row],[Date]])</f>
        <v>12</v>
      </c>
      <c r="P1174" s="173">
        <v>2019</v>
      </c>
      <c r="Q1174" s="174">
        <f>IF(ISBLANK(Table1[[#This Row],[Date]]),"",Table1[[#This Row],[Date]]-WEEKDAY(Table1[[#This Row],[Date]],2)+1)</f>
        <v>43794</v>
      </c>
      <c r="R1174" s="175">
        <f>IF(ISBLANK(Table1[[#This Row],[Date]]),"",DATE(Table1[[#This Row],[Date_Year]],Table1[[#This Row],[Date_Month]],1))</f>
        <v>43800</v>
      </c>
    </row>
    <row r="1175" spans="2:18" ht="15.75" hidden="1" x14ac:dyDescent="0.25">
      <c r="B1175" s="165">
        <v>43799</v>
      </c>
      <c r="C1175" s="166" t="s">
        <v>138</v>
      </c>
      <c r="D1175" s="166" t="s">
        <v>66</v>
      </c>
      <c r="E1175" s="167"/>
      <c r="F1175" s="114">
        <v>-12.99</v>
      </c>
      <c r="G1175" s="168"/>
      <c r="H1175" s="169"/>
      <c r="I1175" s="170"/>
      <c r="J1175" s="171" t="s">
        <v>1442</v>
      </c>
      <c r="K1175" s="172" t="s">
        <v>177</v>
      </c>
      <c r="L1175" s="172" t="s">
        <v>175</v>
      </c>
      <c r="M1175" s="173" t="str" cm="1">
        <f t="array" ref="M1175">IFERROR(INDEX(CategoriesTable[Category type],MATCH(Table1[[#This Row],[Category]],CategoriesTable[Category name],0),0),"")</f>
        <v>Expense</v>
      </c>
      <c r="N1175" s="173">
        <v>30</v>
      </c>
      <c r="O1175" s="173">
        <f>MONTH(Table1[[#This Row],[Date]])</f>
        <v>11</v>
      </c>
      <c r="P1175" s="173">
        <v>2019</v>
      </c>
      <c r="Q1175" s="174">
        <f>IF(ISBLANK(Table1[[#This Row],[Date]]),"",Table1[[#This Row],[Date]]-WEEKDAY(Table1[[#This Row],[Date]],2)+1)</f>
        <v>43794</v>
      </c>
      <c r="R1175" s="175">
        <f>IF(ISBLANK(Table1[[#This Row],[Date]]),"",DATE(Table1[[#This Row],[Date_Year]],Table1[[#This Row],[Date_Month]],1))</f>
        <v>43770</v>
      </c>
    </row>
    <row r="1176" spans="2:18" ht="15.75" hidden="1" x14ac:dyDescent="0.25">
      <c r="B1176" s="165">
        <v>43798</v>
      </c>
      <c r="C1176" s="166" t="s">
        <v>121</v>
      </c>
      <c r="D1176" s="166" t="s">
        <v>65</v>
      </c>
      <c r="E1176" s="167"/>
      <c r="F1176" s="114">
        <v>-17.649999999999999</v>
      </c>
      <c r="G1176" s="168"/>
      <c r="H1176" s="169"/>
      <c r="I1176" s="170"/>
      <c r="J1176" s="171" t="s">
        <v>1443</v>
      </c>
      <c r="K1176" s="172" t="s">
        <v>177</v>
      </c>
      <c r="L1176" s="172" t="s">
        <v>175</v>
      </c>
      <c r="M1176" s="173" t="str" cm="1">
        <f t="array" ref="M1176">IFERROR(INDEX(CategoriesTable[Category type],MATCH(Table1[[#This Row],[Category]],CategoriesTable[Category name],0),0),"")</f>
        <v>Expense</v>
      </c>
      <c r="N1176" s="173">
        <v>29</v>
      </c>
      <c r="O1176" s="173">
        <f>MONTH(Table1[[#This Row],[Date]])</f>
        <v>11</v>
      </c>
      <c r="P1176" s="173">
        <v>2019</v>
      </c>
      <c r="Q1176" s="174">
        <f>IF(ISBLANK(Table1[[#This Row],[Date]]),"",Table1[[#This Row],[Date]]-WEEKDAY(Table1[[#This Row],[Date]],2)+1)</f>
        <v>43794</v>
      </c>
      <c r="R1176" s="175">
        <f>IF(ISBLANK(Table1[[#This Row],[Date]]),"",DATE(Table1[[#This Row],[Date_Year]],Table1[[#This Row],[Date_Month]],1))</f>
        <v>43770</v>
      </c>
    </row>
    <row r="1177" spans="2:18" ht="15.75" hidden="1" x14ac:dyDescent="0.25">
      <c r="B1177" s="165">
        <v>43798</v>
      </c>
      <c r="C1177" s="166" t="s">
        <v>135</v>
      </c>
      <c r="D1177" s="166" t="s">
        <v>53</v>
      </c>
      <c r="E1177" s="167"/>
      <c r="F1177" s="114">
        <v>-12.59</v>
      </c>
      <c r="G1177" s="168"/>
      <c r="H1177" s="169"/>
      <c r="I1177" s="170"/>
      <c r="J1177" s="171" t="s">
        <v>1444</v>
      </c>
      <c r="K1177" s="172" t="s">
        <v>177</v>
      </c>
      <c r="L1177" s="172" t="s">
        <v>175</v>
      </c>
      <c r="M1177" s="173" t="str" cm="1">
        <f t="array" ref="M1177">IFERROR(INDEX(CategoriesTable[Category type],MATCH(Table1[[#This Row],[Category]],CategoriesTable[Category name],0),0),"")</f>
        <v>Expense</v>
      </c>
      <c r="N1177" s="173">
        <v>29</v>
      </c>
      <c r="O1177" s="173">
        <f>MONTH(Table1[[#This Row],[Date]])</f>
        <v>11</v>
      </c>
      <c r="P1177" s="173">
        <v>2019</v>
      </c>
      <c r="Q1177" s="174">
        <f>IF(ISBLANK(Table1[[#This Row],[Date]]),"",Table1[[#This Row],[Date]]-WEEKDAY(Table1[[#This Row],[Date]],2)+1)</f>
        <v>43794</v>
      </c>
      <c r="R1177" s="175">
        <f>IF(ISBLANK(Table1[[#This Row],[Date]]),"",DATE(Table1[[#This Row],[Date_Year]],Table1[[#This Row],[Date_Month]],1))</f>
        <v>43770</v>
      </c>
    </row>
    <row r="1178" spans="2:18" ht="15.75" hidden="1" x14ac:dyDescent="0.25">
      <c r="B1178" s="165">
        <v>43798</v>
      </c>
      <c r="C1178" s="166" t="s">
        <v>135</v>
      </c>
      <c r="D1178" s="166" t="s">
        <v>53</v>
      </c>
      <c r="E1178" s="167"/>
      <c r="F1178" s="114">
        <v>-33.99</v>
      </c>
      <c r="G1178" s="168"/>
      <c r="H1178" s="169"/>
      <c r="I1178" s="170"/>
      <c r="J1178" s="171" t="s">
        <v>1445</v>
      </c>
      <c r="K1178" s="172" t="s">
        <v>177</v>
      </c>
      <c r="L1178" s="172" t="s">
        <v>175</v>
      </c>
      <c r="M1178" s="173" t="str" cm="1">
        <f t="array" ref="M1178">IFERROR(INDEX(CategoriesTable[Category type],MATCH(Table1[[#This Row],[Category]],CategoriesTable[Category name],0),0),"")</f>
        <v>Expense</v>
      </c>
      <c r="N1178" s="173">
        <v>29</v>
      </c>
      <c r="O1178" s="173">
        <f>MONTH(Table1[[#This Row],[Date]])</f>
        <v>11</v>
      </c>
      <c r="P1178" s="173">
        <v>2019</v>
      </c>
      <c r="Q1178" s="174">
        <f>IF(ISBLANK(Table1[[#This Row],[Date]]),"",Table1[[#This Row],[Date]]-WEEKDAY(Table1[[#This Row],[Date]],2)+1)</f>
        <v>43794</v>
      </c>
      <c r="R1178" s="175">
        <f>IF(ISBLANK(Table1[[#This Row],[Date]]),"",DATE(Table1[[#This Row],[Date_Year]],Table1[[#This Row],[Date_Month]],1))</f>
        <v>43770</v>
      </c>
    </row>
    <row r="1179" spans="2:18" ht="15.75" hidden="1" x14ac:dyDescent="0.25">
      <c r="B1179" s="165">
        <v>43798</v>
      </c>
      <c r="C1179" s="166" t="s">
        <v>1446</v>
      </c>
      <c r="D1179" s="166" t="s">
        <v>57</v>
      </c>
      <c r="E1179" s="167"/>
      <c r="F1179" s="114">
        <v>0</v>
      </c>
      <c r="G1179" s="168"/>
      <c r="H1179" s="169"/>
      <c r="I1179" s="170"/>
      <c r="J1179" s="171" t="s">
        <v>1447</v>
      </c>
      <c r="K1179" s="172" t="s">
        <v>177</v>
      </c>
      <c r="L1179" s="172" t="s">
        <v>175</v>
      </c>
      <c r="M1179" s="173" t="str" cm="1">
        <f t="array" ref="M1179">IFERROR(INDEX(CategoriesTable[Category type],MATCH(Table1[[#This Row],[Category]],CategoriesTable[Category name],0),0),"")</f>
        <v>Expense</v>
      </c>
      <c r="N1179" s="173">
        <v>29</v>
      </c>
      <c r="O1179" s="173">
        <f>MONTH(Table1[[#This Row],[Date]])</f>
        <v>11</v>
      </c>
      <c r="P1179" s="173">
        <v>2019</v>
      </c>
      <c r="Q1179" s="174">
        <f>IF(ISBLANK(Table1[[#This Row],[Date]]),"",Table1[[#This Row],[Date]]-WEEKDAY(Table1[[#This Row],[Date]],2)+1)</f>
        <v>43794</v>
      </c>
      <c r="R1179" s="175">
        <f>IF(ISBLANK(Table1[[#This Row],[Date]]),"",DATE(Table1[[#This Row],[Date_Year]],Table1[[#This Row],[Date_Month]],1))</f>
        <v>43770</v>
      </c>
    </row>
    <row r="1180" spans="2:18" ht="15.75" hidden="1" x14ac:dyDescent="0.25">
      <c r="B1180" s="165">
        <v>43796</v>
      </c>
      <c r="C1180" s="166" t="s">
        <v>1214</v>
      </c>
      <c r="D1180" s="166" t="s">
        <v>65</v>
      </c>
      <c r="E1180" s="167"/>
      <c r="F1180" s="114">
        <v>-2.25</v>
      </c>
      <c r="G1180" s="168"/>
      <c r="H1180" s="169"/>
      <c r="I1180" s="170"/>
      <c r="J1180" s="171" t="s">
        <v>1448</v>
      </c>
      <c r="K1180" s="172" t="s">
        <v>177</v>
      </c>
      <c r="L1180" s="172" t="s">
        <v>175</v>
      </c>
      <c r="M1180" s="173" t="str" cm="1">
        <f t="array" ref="M1180">IFERROR(INDEX(CategoriesTable[Category type],MATCH(Table1[[#This Row],[Category]],CategoriesTable[Category name],0),0),"")</f>
        <v>Expense</v>
      </c>
      <c r="N1180" s="173">
        <v>27</v>
      </c>
      <c r="O1180" s="173">
        <f>MONTH(Table1[[#This Row],[Date]])</f>
        <v>11</v>
      </c>
      <c r="P1180" s="173">
        <v>2019</v>
      </c>
      <c r="Q1180" s="174">
        <f>IF(ISBLANK(Table1[[#This Row],[Date]]),"",Table1[[#This Row],[Date]]-WEEKDAY(Table1[[#This Row],[Date]],2)+1)</f>
        <v>43794</v>
      </c>
      <c r="R1180" s="175">
        <f>IF(ISBLANK(Table1[[#This Row],[Date]]),"",DATE(Table1[[#This Row],[Date_Year]],Table1[[#This Row],[Date_Month]],1))</f>
        <v>43770</v>
      </c>
    </row>
    <row r="1181" spans="2:18" ht="15.75" hidden="1" x14ac:dyDescent="0.25">
      <c r="B1181" s="165">
        <v>43796</v>
      </c>
      <c r="C1181" s="166" t="s">
        <v>715</v>
      </c>
      <c r="D1181" s="166" t="s">
        <v>55</v>
      </c>
      <c r="E1181" s="167"/>
      <c r="F1181" s="114">
        <v>-318</v>
      </c>
      <c r="G1181" s="168"/>
      <c r="H1181" s="169"/>
      <c r="I1181" s="170"/>
      <c r="J1181" s="171" t="s">
        <v>1449</v>
      </c>
      <c r="K1181" s="172" t="s">
        <v>177</v>
      </c>
      <c r="L1181" s="172" t="s">
        <v>175</v>
      </c>
      <c r="M1181" s="173" t="str" cm="1">
        <f t="array" ref="M1181">IFERROR(INDEX(CategoriesTable[Category type],MATCH(Table1[[#This Row],[Category]],CategoriesTable[Category name],0),0),"")</f>
        <v>Expense</v>
      </c>
      <c r="N1181" s="173">
        <v>27</v>
      </c>
      <c r="O1181" s="173">
        <f>MONTH(Table1[[#This Row],[Date]])</f>
        <v>11</v>
      </c>
      <c r="P1181" s="173">
        <v>2019</v>
      </c>
      <c r="Q1181" s="174">
        <f>IF(ISBLANK(Table1[[#This Row],[Date]]),"",Table1[[#This Row],[Date]]-WEEKDAY(Table1[[#This Row],[Date]],2)+1)</f>
        <v>43794</v>
      </c>
      <c r="R1181" s="175">
        <f>IF(ISBLANK(Table1[[#This Row],[Date]]),"",DATE(Table1[[#This Row],[Date_Year]],Table1[[#This Row],[Date_Month]],1))</f>
        <v>43770</v>
      </c>
    </row>
    <row r="1182" spans="2:18" ht="15.75" hidden="1" x14ac:dyDescent="0.25">
      <c r="B1182" s="165">
        <v>43796</v>
      </c>
      <c r="C1182" s="166" t="s">
        <v>121</v>
      </c>
      <c r="D1182" s="166" t="s">
        <v>57</v>
      </c>
      <c r="E1182" s="167"/>
      <c r="F1182" s="114">
        <v>-36</v>
      </c>
      <c r="G1182" s="168"/>
      <c r="H1182" s="169"/>
      <c r="I1182" s="170"/>
      <c r="J1182" s="171" t="s">
        <v>1450</v>
      </c>
      <c r="K1182" s="172" t="s">
        <v>177</v>
      </c>
      <c r="L1182" s="172" t="s">
        <v>175</v>
      </c>
      <c r="M1182" s="173" t="str" cm="1">
        <f t="array" ref="M1182">IFERROR(INDEX(CategoriesTable[Category type],MATCH(Table1[[#This Row],[Category]],CategoriesTable[Category name],0),0),"")</f>
        <v>Expense</v>
      </c>
      <c r="N1182" s="173">
        <v>27</v>
      </c>
      <c r="O1182" s="173">
        <f>MONTH(Table1[[#This Row],[Date]])</f>
        <v>11</v>
      </c>
      <c r="P1182" s="173">
        <v>2019</v>
      </c>
      <c r="Q1182" s="174">
        <f>IF(ISBLANK(Table1[[#This Row],[Date]]),"",Table1[[#This Row],[Date]]-WEEKDAY(Table1[[#This Row],[Date]],2)+1)</f>
        <v>43794</v>
      </c>
      <c r="R1182" s="175">
        <f>IF(ISBLANK(Table1[[#This Row],[Date]]),"",DATE(Table1[[#This Row],[Date_Year]],Table1[[#This Row],[Date_Month]],1))</f>
        <v>43770</v>
      </c>
    </row>
    <row r="1183" spans="2:18" ht="15.75" hidden="1" x14ac:dyDescent="0.25">
      <c r="B1183" s="165">
        <v>43796</v>
      </c>
      <c r="C1183" s="166" t="s">
        <v>358</v>
      </c>
      <c r="D1183" s="166" t="s">
        <v>57</v>
      </c>
      <c r="E1183" s="167"/>
      <c r="F1183" s="114">
        <v>-36</v>
      </c>
      <c r="G1183" s="168"/>
      <c r="H1183" s="169"/>
      <c r="I1183" s="170"/>
      <c r="J1183" s="171" t="s">
        <v>1451</v>
      </c>
      <c r="K1183" s="172" t="s">
        <v>177</v>
      </c>
      <c r="L1183" s="172" t="s">
        <v>175</v>
      </c>
      <c r="M1183" s="173" t="str" cm="1">
        <f t="array" ref="M1183">IFERROR(INDEX(CategoriesTable[Category type],MATCH(Table1[[#This Row],[Category]],CategoriesTable[Category name],0),0),"")</f>
        <v>Expense</v>
      </c>
      <c r="N1183" s="173">
        <v>27</v>
      </c>
      <c r="O1183" s="173">
        <f>MONTH(Table1[[#This Row],[Date]])</f>
        <v>11</v>
      </c>
      <c r="P1183" s="173">
        <v>2019</v>
      </c>
      <c r="Q1183" s="174">
        <f>IF(ISBLANK(Table1[[#This Row],[Date]]),"",Table1[[#This Row],[Date]]-WEEKDAY(Table1[[#This Row],[Date]],2)+1)</f>
        <v>43794</v>
      </c>
      <c r="R1183" s="175">
        <f>IF(ISBLANK(Table1[[#This Row],[Date]]),"",DATE(Table1[[#This Row],[Date_Year]],Table1[[#This Row],[Date_Month]],1))</f>
        <v>43770</v>
      </c>
    </row>
    <row r="1184" spans="2:18" ht="15.75" hidden="1" x14ac:dyDescent="0.25">
      <c r="B1184" s="165">
        <v>43795</v>
      </c>
      <c r="C1184" s="166" t="s">
        <v>1208</v>
      </c>
      <c r="D1184" s="166" t="s">
        <v>65</v>
      </c>
      <c r="E1184" s="167"/>
      <c r="F1184" s="114">
        <v>-41</v>
      </c>
      <c r="G1184" s="168"/>
      <c r="H1184" s="169"/>
      <c r="I1184" s="170"/>
      <c r="J1184" s="171" t="s">
        <v>1452</v>
      </c>
      <c r="K1184" s="172" t="s">
        <v>177</v>
      </c>
      <c r="L1184" s="172" t="s">
        <v>175</v>
      </c>
      <c r="M1184" s="173" t="str" cm="1">
        <f t="array" ref="M1184">IFERROR(INDEX(CategoriesTable[Category type],MATCH(Table1[[#This Row],[Category]],CategoriesTable[Category name],0),0),"")</f>
        <v>Expense</v>
      </c>
      <c r="N1184" s="173">
        <v>26</v>
      </c>
      <c r="O1184" s="173">
        <f>MONTH(Table1[[#This Row],[Date]])</f>
        <v>11</v>
      </c>
      <c r="P1184" s="173">
        <v>2019</v>
      </c>
      <c r="Q1184" s="174">
        <f>IF(ISBLANK(Table1[[#This Row],[Date]]),"",Table1[[#This Row],[Date]]-WEEKDAY(Table1[[#This Row],[Date]],2)+1)</f>
        <v>43794</v>
      </c>
      <c r="R1184" s="175">
        <f>IF(ISBLANK(Table1[[#This Row],[Date]]),"",DATE(Table1[[#This Row],[Date_Year]],Table1[[#This Row],[Date_Month]],1))</f>
        <v>43770</v>
      </c>
    </row>
    <row r="1185" spans="2:18" ht="15.75" hidden="1" x14ac:dyDescent="0.25">
      <c r="B1185" s="165">
        <v>43795</v>
      </c>
      <c r="C1185" s="166" t="s">
        <v>120</v>
      </c>
      <c r="D1185" s="166" t="s">
        <v>66</v>
      </c>
      <c r="E1185" s="167"/>
      <c r="F1185" s="114">
        <v>-17.79</v>
      </c>
      <c r="G1185" s="168"/>
      <c r="H1185" s="169"/>
      <c r="I1185" s="170"/>
      <c r="J1185" s="171" t="s">
        <v>1453</v>
      </c>
      <c r="K1185" s="172" t="s">
        <v>177</v>
      </c>
      <c r="L1185" s="172" t="s">
        <v>175</v>
      </c>
      <c r="M1185" s="173" t="str" cm="1">
        <f t="array" ref="M1185">IFERROR(INDEX(CategoriesTable[Category type],MATCH(Table1[[#This Row],[Category]],CategoriesTable[Category name],0),0),"")</f>
        <v>Expense</v>
      </c>
      <c r="N1185" s="173">
        <v>26</v>
      </c>
      <c r="O1185" s="173">
        <f>MONTH(Table1[[#This Row],[Date]])</f>
        <v>11</v>
      </c>
      <c r="P1185" s="173">
        <v>2019</v>
      </c>
      <c r="Q1185" s="174">
        <f>IF(ISBLANK(Table1[[#This Row],[Date]]),"",Table1[[#This Row],[Date]]-WEEKDAY(Table1[[#This Row],[Date]],2)+1)</f>
        <v>43794</v>
      </c>
      <c r="R1185" s="175">
        <f>IF(ISBLANK(Table1[[#This Row],[Date]]),"",DATE(Table1[[#This Row],[Date_Year]],Table1[[#This Row],[Date_Month]],1))</f>
        <v>43770</v>
      </c>
    </row>
    <row r="1186" spans="2:18" ht="15.75" hidden="1" x14ac:dyDescent="0.25">
      <c r="B1186" s="165">
        <v>43795</v>
      </c>
      <c r="C1186" s="166" t="s">
        <v>121</v>
      </c>
      <c r="D1186" s="166" t="s">
        <v>65</v>
      </c>
      <c r="E1186" s="167"/>
      <c r="F1186" s="114">
        <v>-17.97</v>
      </c>
      <c r="G1186" s="168"/>
      <c r="H1186" s="169"/>
      <c r="I1186" s="170"/>
      <c r="J1186" s="171" t="s">
        <v>1454</v>
      </c>
      <c r="K1186" s="172" t="s">
        <v>177</v>
      </c>
      <c r="L1186" s="172" t="s">
        <v>175</v>
      </c>
      <c r="M1186" s="173" t="str" cm="1">
        <f t="array" ref="M1186">IFERROR(INDEX(CategoriesTable[Category type],MATCH(Table1[[#This Row],[Category]],CategoriesTable[Category name],0),0),"")</f>
        <v>Expense</v>
      </c>
      <c r="N1186" s="173">
        <v>26</v>
      </c>
      <c r="O1186" s="173">
        <f>MONTH(Table1[[#This Row],[Date]])</f>
        <v>11</v>
      </c>
      <c r="P1186" s="173">
        <v>2019</v>
      </c>
      <c r="Q1186" s="174">
        <f>IF(ISBLANK(Table1[[#This Row],[Date]]),"",Table1[[#This Row],[Date]]-WEEKDAY(Table1[[#This Row],[Date]],2)+1)</f>
        <v>43794</v>
      </c>
      <c r="R1186" s="175">
        <f>IF(ISBLANK(Table1[[#This Row],[Date]]),"",DATE(Table1[[#This Row],[Date_Year]],Table1[[#This Row],[Date_Month]],1))</f>
        <v>43770</v>
      </c>
    </row>
    <row r="1187" spans="2:18" ht="15.75" hidden="1" x14ac:dyDescent="0.25">
      <c r="B1187" s="165">
        <v>43795</v>
      </c>
      <c r="C1187" s="166" t="s">
        <v>803</v>
      </c>
      <c r="D1187" s="166" t="s">
        <v>51</v>
      </c>
      <c r="E1187" s="167"/>
      <c r="F1187" s="114">
        <v>67</v>
      </c>
      <c r="G1187" s="168"/>
      <c r="H1187" s="169"/>
      <c r="I1187" s="170"/>
      <c r="J1187" s="171" t="s">
        <v>1455</v>
      </c>
      <c r="K1187" s="172" t="s">
        <v>177</v>
      </c>
      <c r="L1187" s="172" t="s">
        <v>175</v>
      </c>
      <c r="M1187" s="173" t="str" cm="1">
        <f t="array" ref="M1187">IFERROR(INDEX(CategoriesTable[Category type],MATCH(Table1[[#This Row],[Category]],CategoriesTable[Category name],0),0),"")</f>
        <v>Transfer</v>
      </c>
      <c r="N1187" s="173">
        <v>26</v>
      </c>
      <c r="O1187" s="173">
        <f>MONTH(Table1[[#This Row],[Date]])</f>
        <v>11</v>
      </c>
      <c r="P1187" s="173">
        <v>2019</v>
      </c>
      <c r="Q1187" s="174">
        <f>IF(ISBLANK(Table1[[#This Row],[Date]]),"",Table1[[#This Row],[Date]]-WEEKDAY(Table1[[#This Row],[Date]],2)+1)</f>
        <v>43794</v>
      </c>
      <c r="R1187" s="175">
        <f>IF(ISBLANK(Table1[[#This Row],[Date]]),"",DATE(Table1[[#This Row],[Date_Year]],Table1[[#This Row],[Date_Month]],1))</f>
        <v>43770</v>
      </c>
    </row>
    <row r="1188" spans="2:18" ht="15.75" hidden="1" x14ac:dyDescent="0.25">
      <c r="B1188" s="165">
        <v>43795</v>
      </c>
      <c r="C1188" s="166" t="s">
        <v>806</v>
      </c>
      <c r="D1188" s="166" t="s">
        <v>63</v>
      </c>
      <c r="E1188" s="167"/>
      <c r="F1188" s="114">
        <v>-12.5</v>
      </c>
      <c r="G1188" s="168"/>
      <c r="H1188" s="169"/>
      <c r="I1188" s="170"/>
      <c r="J1188" s="171" t="s">
        <v>1456</v>
      </c>
      <c r="K1188" s="172" t="s">
        <v>177</v>
      </c>
      <c r="L1188" s="172" t="s">
        <v>175</v>
      </c>
      <c r="M1188" s="173" t="str" cm="1">
        <f t="array" ref="M1188">IFERROR(INDEX(CategoriesTable[Category type],MATCH(Table1[[#This Row],[Category]],CategoriesTable[Category name],0),0),"")</f>
        <v>Expense</v>
      </c>
      <c r="N1188" s="173">
        <v>26</v>
      </c>
      <c r="O1188" s="173">
        <f>MONTH(Table1[[#This Row],[Date]])</f>
        <v>11</v>
      </c>
      <c r="P1188" s="173">
        <v>2019</v>
      </c>
      <c r="Q1188" s="174">
        <f>IF(ISBLANK(Table1[[#This Row],[Date]]),"",Table1[[#This Row],[Date]]-WEEKDAY(Table1[[#This Row],[Date]],2)+1)</f>
        <v>43794</v>
      </c>
      <c r="R1188" s="175">
        <f>IF(ISBLANK(Table1[[#This Row],[Date]]),"",DATE(Table1[[#This Row],[Date_Year]],Table1[[#This Row],[Date_Month]],1))</f>
        <v>43770</v>
      </c>
    </row>
    <row r="1189" spans="2:18" ht="15.75" hidden="1" x14ac:dyDescent="0.25">
      <c r="B1189" s="165">
        <v>43795</v>
      </c>
      <c r="C1189" s="166" t="s">
        <v>193</v>
      </c>
      <c r="D1189" s="166" t="s">
        <v>53</v>
      </c>
      <c r="E1189" s="167"/>
      <c r="F1189" s="114">
        <v>-28.61</v>
      </c>
      <c r="G1189" s="168"/>
      <c r="H1189" s="169"/>
      <c r="I1189" s="170"/>
      <c r="J1189" s="171" t="s">
        <v>1457</v>
      </c>
      <c r="K1189" s="172" t="s">
        <v>177</v>
      </c>
      <c r="L1189" s="172" t="s">
        <v>175</v>
      </c>
      <c r="M1189" s="173" t="str" cm="1">
        <f t="array" ref="M1189">IFERROR(INDEX(CategoriesTable[Category type],MATCH(Table1[[#This Row],[Category]],CategoriesTable[Category name],0),0),"")</f>
        <v>Expense</v>
      </c>
      <c r="N1189" s="173">
        <v>26</v>
      </c>
      <c r="O1189" s="173">
        <f>MONTH(Table1[[#This Row],[Date]])</f>
        <v>11</v>
      </c>
      <c r="P1189" s="173">
        <v>2019</v>
      </c>
      <c r="Q1189" s="174">
        <f>IF(ISBLANK(Table1[[#This Row],[Date]]),"",Table1[[#This Row],[Date]]-WEEKDAY(Table1[[#This Row],[Date]],2)+1)</f>
        <v>43794</v>
      </c>
      <c r="R1189" s="175">
        <f>IF(ISBLANK(Table1[[#This Row],[Date]]),"",DATE(Table1[[#This Row],[Date_Year]],Table1[[#This Row],[Date_Month]],1))</f>
        <v>43770</v>
      </c>
    </row>
    <row r="1190" spans="2:18" ht="15.75" hidden="1" x14ac:dyDescent="0.25">
      <c r="B1190" s="165">
        <v>43794</v>
      </c>
      <c r="C1190" s="166" t="s">
        <v>664</v>
      </c>
      <c r="D1190" s="166" t="s">
        <v>66</v>
      </c>
      <c r="E1190" s="167"/>
      <c r="F1190" s="114">
        <v>-149.47999999999999</v>
      </c>
      <c r="G1190" s="168"/>
      <c r="H1190" s="169"/>
      <c r="I1190" s="170"/>
      <c r="J1190" s="171" t="s">
        <v>1458</v>
      </c>
      <c r="K1190" s="172" t="s">
        <v>177</v>
      </c>
      <c r="L1190" s="172" t="s">
        <v>175</v>
      </c>
      <c r="M1190" s="173" t="str" cm="1">
        <f t="array" ref="M1190">IFERROR(INDEX(CategoriesTable[Category type],MATCH(Table1[[#This Row],[Category]],CategoriesTable[Category name],0),0),"")</f>
        <v>Expense</v>
      </c>
      <c r="N1190" s="173">
        <v>25</v>
      </c>
      <c r="O1190" s="173">
        <f>MONTH(Table1[[#This Row],[Date]])</f>
        <v>11</v>
      </c>
      <c r="P1190" s="173">
        <v>2019</v>
      </c>
      <c r="Q1190" s="174">
        <f>IF(ISBLANK(Table1[[#This Row],[Date]]),"",Table1[[#This Row],[Date]]-WEEKDAY(Table1[[#This Row],[Date]],2)+1)</f>
        <v>43794</v>
      </c>
      <c r="R1190" s="175">
        <f>IF(ISBLANK(Table1[[#This Row],[Date]]),"",DATE(Table1[[#This Row],[Date_Year]],Table1[[#This Row],[Date_Month]],1))</f>
        <v>43770</v>
      </c>
    </row>
    <row r="1191" spans="2:18" ht="15.75" hidden="1" x14ac:dyDescent="0.25">
      <c r="B1191" s="165">
        <v>43793</v>
      </c>
      <c r="C1191" s="166" t="s">
        <v>193</v>
      </c>
      <c r="D1191" s="166" t="s">
        <v>66</v>
      </c>
      <c r="E1191" s="167"/>
      <c r="F1191" s="114">
        <v>-15.89</v>
      </c>
      <c r="G1191" s="168"/>
      <c r="H1191" s="169"/>
      <c r="I1191" s="170"/>
      <c r="J1191" s="171" t="s">
        <v>1459</v>
      </c>
      <c r="K1191" s="172" t="s">
        <v>177</v>
      </c>
      <c r="L1191" s="172" t="s">
        <v>175</v>
      </c>
      <c r="M1191" s="173" t="str" cm="1">
        <f t="array" ref="M1191">IFERROR(INDEX(CategoriesTable[Category type],MATCH(Table1[[#This Row],[Category]],CategoriesTable[Category name],0),0),"")</f>
        <v>Expense</v>
      </c>
      <c r="N1191" s="173">
        <v>24</v>
      </c>
      <c r="O1191" s="173">
        <f>MONTH(Table1[[#This Row],[Date]])</f>
        <v>11</v>
      </c>
      <c r="P1191" s="173">
        <v>2019</v>
      </c>
      <c r="Q1191" s="174">
        <f>IF(ISBLANK(Table1[[#This Row],[Date]]),"",Table1[[#This Row],[Date]]-WEEKDAY(Table1[[#This Row],[Date]],2)+1)</f>
        <v>43787</v>
      </c>
      <c r="R1191" s="175">
        <f>IF(ISBLANK(Table1[[#This Row],[Date]]),"",DATE(Table1[[#This Row],[Date_Year]],Table1[[#This Row],[Date_Month]],1))</f>
        <v>43770</v>
      </c>
    </row>
    <row r="1192" spans="2:18" ht="15.75" hidden="1" x14ac:dyDescent="0.25">
      <c r="B1192" s="165">
        <v>43793</v>
      </c>
      <c r="C1192" s="166" t="s">
        <v>193</v>
      </c>
      <c r="D1192" s="166" t="s">
        <v>66</v>
      </c>
      <c r="E1192" s="167"/>
      <c r="F1192" s="114">
        <v>-6.31</v>
      </c>
      <c r="G1192" s="168"/>
      <c r="H1192" s="169"/>
      <c r="I1192" s="170"/>
      <c r="J1192" s="171" t="s">
        <v>1460</v>
      </c>
      <c r="K1192" s="172" t="s">
        <v>177</v>
      </c>
      <c r="L1192" s="172" t="s">
        <v>175</v>
      </c>
      <c r="M1192" s="173" t="str" cm="1">
        <f t="array" ref="M1192">IFERROR(INDEX(CategoriesTable[Category type],MATCH(Table1[[#This Row],[Category]],CategoriesTable[Category name],0),0),"")</f>
        <v>Expense</v>
      </c>
      <c r="N1192" s="173">
        <v>24</v>
      </c>
      <c r="O1192" s="173">
        <f>MONTH(Table1[[#This Row],[Date]])</f>
        <v>11</v>
      </c>
      <c r="P1192" s="173">
        <v>2019</v>
      </c>
      <c r="Q1192" s="174">
        <f>IF(ISBLANK(Table1[[#This Row],[Date]]),"",Table1[[#This Row],[Date]]-WEEKDAY(Table1[[#This Row],[Date]],2)+1)</f>
        <v>43787</v>
      </c>
      <c r="R1192" s="175">
        <f>IF(ISBLANK(Table1[[#This Row],[Date]]),"",DATE(Table1[[#This Row],[Date_Year]],Table1[[#This Row],[Date_Month]],1))</f>
        <v>43770</v>
      </c>
    </row>
    <row r="1193" spans="2:18" ht="15.75" hidden="1" x14ac:dyDescent="0.25">
      <c r="B1193" s="165">
        <v>43791</v>
      </c>
      <c r="C1193" s="166" t="s">
        <v>208</v>
      </c>
      <c r="D1193" s="166" t="s">
        <v>55</v>
      </c>
      <c r="E1193" s="167"/>
      <c r="F1193" s="114">
        <v>-40.28</v>
      </c>
      <c r="G1193" s="168"/>
      <c r="H1193" s="169"/>
      <c r="I1193" s="170"/>
      <c r="J1193" s="171" t="s">
        <v>1461</v>
      </c>
      <c r="K1193" s="172" t="s">
        <v>177</v>
      </c>
      <c r="L1193" s="172" t="s">
        <v>175</v>
      </c>
      <c r="M1193" s="173" t="str" cm="1">
        <f t="array" ref="M1193">IFERROR(INDEX(CategoriesTable[Category type],MATCH(Table1[[#This Row],[Category]],CategoriesTable[Category name],0),0),"")</f>
        <v>Expense</v>
      </c>
      <c r="N1193" s="173">
        <v>22</v>
      </c>
      <c r="O1193" s="173">
        <f>MONTH(Table1[[#This Row],[Date]])</f>
        <v>11</v>
      </c>
      <c r="P1193" s="173">
        <v>2019</v>
      </c>
      <c r="Q1193" s="174">
        <f>IF(ISBLANK(Table1[[#This Row],[Date]]),"",Table1[[#This Row],[Date]]-WEEKDAY(Table1[[#This Row],[Date]],2)+1)</f>
        <v>43787</v>
      </c>
      <c r="R1193" s="175">
        <f>IF(ISBLANK(Table1[[#This Row],[Date]]),"",DATE(Table1[[#This Row],[Date_Year]],Table1[[#This Row],[Date_Month]],1))</f>
        <v>43770</v>
      </c>
    </row>
    <row r="1194" spans="2:18" ht="15.75" hidden="1" x14ac:dyDescent="0.25">
      <c r="B1194" s="165">
        <v>43790</v>
      </c>
      <c r="C1194" s="166" t="s">
        <v>128</v>
      </c>
      <c r="D1194" s="166" t="s">
        <v>53</v>
      </c>
      <c r="E1194" s="167"/>
      <c r="F1194" s="114">
        <v>-25</v>
      </c>
      <c r="G1194" s="168"/>
      <c r="H1194" s="169"/>
      <c r="I1194" s="170"/>
      <c r="J1194" s="171" t="s">
        <v>1462</v>
      </c>
      <c r="K1194" s="172" t="s">
        <v>177</v>
      </c>
      <c r="L1194" s="172" t="s">
        <v>175</v>
      </c>
      <c r="M1194" s="173" t="str" cm="1">
        <f t="array" ref="M1194">IFERROR(INDEX(CategoriesTable[Category type],MATCH(Table1[[#This Row],[Category]],CategoriesTable[Category name],0),0),"")</f>
        <v>Expense</v>
      </c>
      <c r="N1194" s="173">
        <v>21</v>
      </c>
      <c r="O1194" s="173">
        <f>MONTH(Table1[[#This Row],[Date]])</f>
        <v>11</v>
      </c>
      <c r="P1194" s="173">
        <v>2019</v>
      </c>
      <c r="Q1194" s="174">
        <f>IF(ISBLANK(Table1[[#This Row],[Date]]),"",Table1[[#This Row],[Date]]-WEEKDAY(Table1[[#This Row],[Date]],2)+1)</f>
        <v>43787</v>
      </c>
      <c r="R1194" s="175">
        <f>IF(ISBLANK(Table1[[#This Row],[Date]]),"",DATE(Table1[[#This Row],[Date_Year]],Table1[[#This Row],[Date_Month]],1))</f>
        <v>43770</v>
      </c>
    </row>
    <row r="1195" spans="2:18" ht="15.75" hidden="1" x14ac:dyDescent="0.25">
      <c r="B1195" s="165">
        <v>43790</v>
      </c>
      <c r="C1195" s="166" t="s">
        <v>145</v>
      </c>
      <c r="D1195" s="166" t="s">
        <v>58</v>
      </c>
      <c r="E1195" s="167"/>
      <c r="F1195" s="114">
        <v>-4.8</v>
      </c>
      <c r="G1195" s="168"/>
      <c r="H1195" s="169"/>
      <c r="I1195" s="170"/>
      <c r="J1195" s="171" t="s">
        <v>1463</v>
      </c>
      <c r="K1195" s="172" t="s">
        <v>177</v>
      </c>
      <c r="L1195" s="172" t="s">
        <v>175</v>
      </c>
      <c r="M1195" s="173" t="str" cm="1">
        <f t="array" ref="M1195">IFERROR(INDEX(CategoriesTable[Category type],MATCH(Table1[[#This Row],[Category]],CategoriesTable[Category name],0),0),"")</f>
        <v>Expense</v>
      </c>
      <c r="N1195" s="173">
        <v>21</v>
      </c>
      <c r="O1195" s="173">
        <f>MONTH(Table1[[#This Row],[Date]])</f>
        <v>11</v>
      </c>
      <c r="P1195" s="173">
        <v>2019</v>
      </c>
      <c r="Q1195" s="174">
        <f>IF(ISBLANK(Table1[[#This Row],[Date]]),"",Table1[[#This Row],[Date]]-WEEKDAY(Table1[[#This Row],[Date]],2)+1)</f>
        <v>43787</v>
      </c>
      <c r="R1195" s="175">
        <f>IF(ISBLANK(Table1[[#This Row],[Date]]),"",DATE(Table1[[#This Row],[Date_Year]],Table1[[#This Row],[Date_Month]],1))</f>
        <v>43770</v>
      </c>
    </row>
    <row r="1196" spans="2:18" ht="15.75" hidden="1" x14ac:dyDescent="0.25">
      <c r="B1196" s="165">
        <v>43789</v>
      </c>
      <c r="C1196" s="166" t="s">
        <v>728</v>
      </c>
      <c r="D1196" s="166" t="s">
        <v>65</v>
      </c>
      <c r="E1196" s="167"/>
      <c r="F1196" s="114">
        <v>-39.729999999999997</v>
      </c>
      <c r="G1196" s="168"/>
      <c r="H1196" s="169"/>
      <c r="I1196" s="170"/>
      <c r="J1196" s="171" t="s">
        <v>1464</v>
      </c>
      <c r="K1196" s="172" t="s">
        <v>177</v>
      </c>
      <c r="L1196" s="172" t="s">
        <v>175</v>
      </c>
      <c r="M1196" s="173" t="str" cm="1">
        <f t="array" ref="M1196">IFERROR(INDEX(CategoriesTable[Category type],MATCH(Table1[[#This Row],[Category]],CategoriesTable[Category name],0),0),"")</f>
        <v>Expense</v>
      </c>
      <c r="N1196" s="173">
        <v>20</v>
      </c>
      <c r="O1196" s="173">
        <f>MONTH(Table1[[#This Row],[Date]])</f>
        <v>11</v>
      </c>
      <c r="P1196" s="173">
        <v>2019</v>
      </c>
      <c r="Q1196" s="174">
        <f>IF(ISBLANK(Table1[[#This Row],[Date]]),"",Table1[[#This Row],[Date]]-WEEKDAY(Table1[[#This Row],[Date]],2)+1)</f>
        <v>43787</v>
      </c>
      <c r="R1196" s="175">
        <f>IF(ISBLANK(Table1[[#This Row],[Date]]),"",DATE(Table1[[#This Row],[Date_Year]],Table1[[#This Row],[Date_Month]],1))</f>
        <v>43770</v>
      </c>
    </row>
    <row r="1197" spans="2:18" ht="15.75" hidden="1" x14ac:dyDescent="0.25">
      <c r="B1197" s="165">
        <v>43788</v>
      </c>
      <c r="C1197" s="166" t="s">
        <v>121</v>
      </c>
      <c r="D1197" s="166" t="s">
        <v>65</v>
      </c>
      <c r="E1197" s="167"/>
      <c r="F1197" s="114">
        <v>-5.7</v>
      </c>
      <c r="G1197" s="168"/>
      <c r="H1197" s="169"/>
      <c r="I1197" s="170"/>
      <c r="J1197" s="171" t="s">
        <v>1465</v>
      </c>
      <c r="K1197" s="172" t="s">
        <v>177</v>
      </c>
      <c r="L1197" s="172" t="s">
        <v>175</v>
      </c>
      <c r="M1197" s="173" t="str" cm="1">
        <f t="array" ref="M1197">IFERROR(INDEX(CategoriesTable[Category type],MATCH(Table1[[#This Row],[Category]],CategoriesTable[Category name],0),0),"")</f>
        <v>Expense</v>
      </c>
      <c r="N1197" s="173">
        <v>19</v>
      </c>
      <c r="O1197" s="173">
        <f>MONTH(Table1[[#This Row],[Date]])</f>
        <v>11</v>
      </c>
      <c r="P1197" s="173">
        <v>2019</v>
      </c>
      <c r="Q1197" s="174">
        <f>IF(ISBLANK(Table1[[#This Row],[Date]]),"",Table1[[#This Row],[Date]]-WEEKDAY(Table1[[#This Row],[Date]],2)+1)</f>
        <v>43787</v>
      </c>
      <c r="R1197" s="175">
        <f>IF(ISBLANK(Table1[[#This Row],[Date]]),"",DATE(Table1[[#This Row],[Date_Year]],Table1[[#This Row],[Date_Month]],1))</f>
        <v>43770</v>
      </c>
    </row>
    <row r="1198" spans="2:18" ht="15.75" hidden="1" x14ac:dyDescent="0.25">
      <c r="B1198" s="165">
        <v>43788</v>
      </c>
      <c r="C1198" s="166" t="s">
        <v>121</v>
      </c>
      <c r="D1198" s="166" t="s">
        <v>65</v>
      </c>
      <c r="E1198" s="167"/>
      <c r="F1198" s="114">
        <v>-10.7</v>
      </c>
      <c r="G1198" s="168"/>
      <c r="H1198" s="169"/>
      <c r="I1198" s="170"/>
      <c r="J1198" s="171" t="s">
        <v>1466</v>
      </c>
      <c r="K1198" s="172" t="s">
        <v>177</v>
      </c>
      <c r="L1198" s="172" t="s">
        <v>175</v>
      </c>
      <c r="M1198" s="173" t="str" cm="1">
        <f t="array" ref="M1198">IFERROR(INDEX(CategoriesTable[Category type],MATCH(Table1[[#This Row],[Category]],CategoriesTable[Category name],0),0),"")</f>
        <v>Expense</v>
      </c>
      <c r="N1198" s="173">
        <v>19</v>
      </c>
      <c r="O1198" s="173">
        <f>MONTH(Table1[[#This Row],[Date]])</f>
        <v>11</v>
      </c>
      <c r="P1198" s="173">
        <v>2019</v>
      </c>
      <c r="Q1198" s="174">
        <f>IF(ISBLANK(Table1[[#This Row],[Date]]),"",Table1[[#This Row],[Date]]-WEEKDAY(Table1[[#This Row],[Date]],2)+1)</f>
        <v>43787</v>
      </c>
      <c r="R1198" s="175">
        <f>IF(ISBLANK(Table1[[#This Row],[Date]]),"",DATE(Table1[[#This Row],[Date_Year]],Table1[[#This Row],[Date_Month]],1))</f>
        <v>43770</v>
      </c>
    </row>
    <row r="1199" spans="2:18" ht="15.75" hidden="1" x14ac:dyDescent="0.25">
      <c r="B1199" s="165">
        <v>43788</v>
      </c>
      <c r="C1199" s="166" t="s">
        <v>1467</v>
      </c>
      <c r="D1199" s="166" t="s">
        <v>55</v>
      </c>
      <c r="E1199" s="167"/>
      <c r="F1199" s="114">
        <v>-201.75</v>
      </c>
      <c r="G1199" s="168"/>
      <c r="H1199" s="169"/>
      <c r="I1199" s="170"/>
      <c r="J1199" s="171" t="s">
        <v>1468</v>
      </c>
      <c r="K1199" s="172" t="s">
        <v>177</v>
      </c>
      <c r="L1199" s="172" t="s">
        <v>175</v>
      </c>
      <c r="M1199" s="173" t="str" cm="1">
        <f t="array" ref="M1199">IFERROR(INDEX(CategoriesTable[Category type],MATCH(Table1[[#This Row],[Category]],CategoriesTable[Category name],0),0),"")</f>
        <v>Expense</v>
      </c>
      <c r="N1199" s="173">
        <v>19</v>
      </c>
      <c r="O1199" s="173">
        <f>MONTH(Table1[[#This Row],[Date]])</f>
        <v>11</v>
      </c>
      <c r="P1199" s="173">
        <v>2019</v>
      </c>
      <c r="Q1199" s="174">
        <f>IF(ISBLANK(Table1[[#This Row],[Date]]),"",Table1[[#This Row],[Date]]-WEEKDAY(Table1[[#This Row],[Date]],2)+1)</f>
        <v>43787</v>
      </c>
      <c r="R1199" s="175">
        <f>IF(ISBLANK(Table1[[#This Row],[Date]]),"",DATE(Table1[[#This Row],[Date_Year]],Table1[[#This Row],[Date_Month]],1))</f>
        <v>43770</v>
      </c>
    </row>
    <row r="1200" spans="2:18" ht="15.75" hidden="1" x14ac:dyDescent="0.25">
      <c r="B1200" s="165">
        <v>43787</v>
      </c>
      <c r="C1200" s="166" t="s">
        <v>249</v>
      </c>
      <c r="D1200" s="166" t="s">
        <v>52</v>
      </c>
      <c r="E1200" s="167"/>
      <c r="F1200" s="114">
        <v>-75</v>
      </c>
      <c r="G1200" s="168"/>
      <c r="H1200" s="169"/>
      <c r="I1200" s="170"/>
      <c r="J1200" s="171" t="s">
        <v>1469</v>
      </c>
      <c r="K1200" s="172" t="s">
        <v>177</v>
      </c>
      <c r="L1200" s="172" t="s">
        <v>175</v>
      </c>
      <c r="M1200" s="173" t="str" cm="1">
        <f t="array" ref="M1200">IFERROR(INDEX(CategoriesTable[Category type],MATCH(Table1[[#This Row],[Category]],CategoriesTable[Category name],0),0),"")</f>
        <v>Transfer</v>
      </c>
      <c r="N1200" s="173">
        <v>18</v>
      </c>
      <c r="O1200" s="173">
        <f>MONTH(Table1[[#This Row],[Date]])</f>
        <v>11</v>
      </c>
      <c r="P1200" s="173">
        <v>2019</v>
      </c>
      <c r="Q1200" s="174">
        <f>IF(ISBLANK(Table1[[#This Row],[Date]]),"",Table1[[#This Row],[Date]]-WEEKDAY(Table1[[#This Row],[Date]],2)+1)</f>
        <v>43787</v>
      </c>
      <c r="R1200" s="175">
        <f>IF(ISBLANK(Table1[[#This Row],[Date]]),"",DATE(Table1[[#This Row],[Date_Year]],Table1[[#This Row],[Date_Month]],1))</f>
        <v>43770</v>
      </c>
    </row>
    <row r="1201" spans="2:18" ht="15.75" hidden="1" x14ac:dyDescent="0.25">
      <c r="B1201" s="165">
        <v>43787</v>
      </c>
      <c r="C1201" s="166" t="s">
        <v>606</v>
      </c>
      <c r="D1201" s="166" t="s">
        <v>55</v>
      </c>
      <c r="E1201" s="167"/>
      <c r="F1201" s="114">
        <v>-79.849999999999994</v>
      </c>
      <c r="G1201" s="168"/>
      <c r="H1201" s="169"/>
      <c r="I1201" s="170"/>
      <c r="J1201" s="171" t="s">
        <v>1470</v>
      </c>
      <c r="K1201" s="172" t="s">
        <v>177</v>
      </c>
      <c r="L1201" s="172" t="s">
        <v>175</v>
      </c>
      <c r="M1201" s="173" t="str" cm="1">
        <f t="array" ref="M1201">IFERROR(INDEX(CategoriesTable[Category type],MATCH(Table1[[#This Row],[Category]],CategoriesTable[Category name],0),0),"")</f>
        <v>Expense</v>
      </c>
      <c r="N1201" s="173">
        <v>18</v>
      </c>
      <c r="O1201" s="173">
        <f>MONTH(Table1[[#This Row],[Date]])</f>
        <v>11</v>
      </c>
      <c r="P1201" s="173">
        <v>2019</v>
      </c>
      <c r="Q1201" s="174">
        <f>IF(ISBLANK(Table1[[#This Row],[Date]]),"",Table1[[#This Row],[Date]]-WEEKDAY(Table1[[#This Row],[Date]],2)+1)</f>
        <v>43787</v>
      </c>
      <c r="R1201" s="175">
        <f>IF(ISBLANK(Table1[[#This Row],[Date]]),"",DATE(Table1[[#This Row],[Date_Year]],Table1[[#This Row],[Date_Month]],1))</f>
        <v>43770</v>
      </c>
    </row>
    <row r="1202" spans="2:18" ht="15.75" hidden="1" x14ac:dyDescent="0.25">
      <c r="B1202" s="165">
        <v>43787</v>
      </c>
      <c r="C1202" s="166" t="s">
        <v>834</v>
      </c>
      <c r="D1202" s="166" t="s">
        <v>57</v>
      </c>
      <c r="E1202" s="167"/>
      <c r="F1202" s="114">
        <v>-1.95</v>
      </c>
      <c r="G1202" s="168"/>
      <c r="H1202" s="169"/>
      <c r="I1202" s="170"/>
      <c r="J1202" s="171" t="s">
        <v>1471</v>
      </c>
      <c r="K1202" s="172" t="s">
        <v>177</v>
      </c>
      <c r="L1202" s="172" t="s">
        <v>175</v>
      </c>
      <c r="M1202" s="173" t="str" cm="1">
        <f t="array" ref="M1202">IFERROR(INDEX(CategoriesTable[Category type],MATCH(Table1[[#This Row],[Category]],CategoriesTable[Category name],0),0),"")</f>
        <v>Expense</v>
      </c>
      <c r="N1202" s="173">
        <v>18</v>
      </c>
      <c r="O1202" s="173">
        <f>MONTH(Table1[[#This Row],[Date]])</f>
        <v>11</v>
      </c>
      <c r="P1202" s="173">
        <v>2019</v>
      </c>
      <c r="Q1202" s="174">
        <f>IF(ISBLANK(Table1[[#This Row],[Date]]),"",Table1[[#This Row],[Date]]-WEEKDAY(Table1[[#This Row],[Date]],2)+1)</f>
        <v>43787</v>
      </c>
      <c r="R1202" s="175">
        <f>IF(ISBLANK(Table1[[#This Row],[Date]]),"",DATE(Table1[[#This Row],[Date_Year]],Table1[[#This Row],[Date_Month]],1))</f>
        <v>43770</v>
      </c>
    </row>
    <row r="1203" spans="2:18" ht="15.75" hidden="1" x14ac:dyDescent="0.25">
      <c r="B1203" s="165">
        <v>43787</v>
      </c>
      <c r="C1203" s="166" t="s">
        <v>840</v>
      </c>
      <c r="D1203" s="166" t="s">
        <v>55</v>
      </c>
      <c r="E1203" s="167"/>
      <c r="F1203" s="114">
        <v>-426.44</v>
      </c>
      <c r="G1203" s="168"/>
      <c r="H1203" s="169"/>
      <c r="I1203" s="170"/>
      <c r="J1203" s="171" t="s">
        <v>1472</v>
      </c>
      <c r="K1203" s="172" t="s">
        <v>177</v>
      </c>
      <c r="L1203" s="172" t="s">
        <v>175</v>
      </c>
      <c r="M1203" s="173" t="str" cm="1">
        <f t="array" ref="M1203">IFERROR(INDEX(CategoriesTable[Category type],MATCH(Table1[[#This Row],[Category]],CategoriesTable[Category name],0),0),"")</f>
        <v>Expense</v>
      </c>
      <c r="N1203" s="173">
        <v>18</v>
      </c>
      <c r="O1203" s="173">
        <f>MONTH(Table1[[#This Row],[Date]])</f>
        <v>11</v>
      </c>
      <c r="P1203" s="173">
        <v>2019</v>
      </c>
      <c r="Q1203" s="174">
        <f>IF(ISBLANK(Table1[[#This Row],[Date]]),"",Table1[[#This Row],[Date]]-WEEKDAY(Table1[[#This Row],[Date]],2)+1)</f>
        <v>43787</v>
      </c>
      <c r="R1203" s="175">
        <f>IF(ISBLANK(Table1[[#This Row],[Date]]),"",DATE(Table1[[#This Row],[Date_Year]],Table1[[#This Row],[Date_Month]],1))</f>
        <v>43770</v>
      </c>
    </row>
    <row r="1204" spans="2:18" ht="15.75" hidden="1" x14ac:dyDescent="0.25">
      <c r="B1204" s="165">
        <v>43787</v>
      </c>
      <c r="C1204" s="166" t="s">
        <v>1342</v>
      </c>
      <c r="D1204" s="166" t="s">
        <v>63</v>
      </c>
      <c r="E1204" s="167"/>
      <c r="F1204" s="114">
        <v>-246</v>
      </c>
      <c r="G1204" s="168"/>
      <c r="H1204" s="169"/>
      <c r="I1204" s="170"/>
      <c r="J1204" s="171" t="s">
        <v>1473</v>
      </c>
      <c r="K1204" s="172" t="s">
        <v>177</v>
      </c>
      <c r="L1204" s="172" t="s">
        <v>175</v>
      </c>
      <c r="M1204" s="173" t="str" cm="1">
        <f t="array" ref="M1204">IFERROR(INDEX(CategoriesTable[Category type],MATCH(Table1[[#This Row],[Category]],CategoriesTable[Category name],0),0),"")</f>
        <v>Expense</v>
      </c>
      <c r="N1204" s="173">
        <v>18</v>
      </c>
      <c r="O1204" s="173">
        <f>MONTH(Table1[[#This Row],[Date]])</f>
        <v>11</v>
      </c>
      <c r="P1204" s="173">
        <v>2019</v>
      </c>
      <c r="Q1204" s="174">
        <f>IF(ISBLANK(Table1[[#This Row],[Date]]),"",Table1[[#This Row],[Date]]-WEEKDAY(Table1[[#This Row],[Date]],2)+1)</f>
        <v>43787</v>
      </c>
      <c r="R1204" s="175">
        <f>IF(ISBLANK(Table1[[#This Row],[Date]]),"",DATE(Table1[[#This Row],[Date_Year]],Table1[[#This Row],[Date_Month]],1))</f>
        <v>43770</v>
      </c>
    </row>
    <row r="1205" spans="2:18" ht="15.75" hidden="1" x14ac:dyDescent="0.25">
      <c r="B1205" s="165">
        <v>43787</v>
      </c>
      <c r="C1205" s="166" t="s">
        <v>182</v>
      </c>
      <c r="D1205" s="166" t="s">
        <v>55</v>
      </c>
      <c r="E1205" s="167"/>
      <c r="F1205" s="114">
        <v>-10.9</v>
      </c>
      <c r="G1205" s="168"/>
      <c r="H1205" s="169"/>
      <c r="I1205" s="170"/>
      <c r="J1205" s="171" t="s">
        <v>1474</v>
      </c>
      <c r="K1205" s="172" t="s">
        <v>177</v>
      </c>
      <c r="L1205" s="172" t="s">
        <v>175</v>
      </c>
      <c r="M1205" s="173" t="str" cm="1">
        <f t="array" ref="M1205">IFERROR(INDEX(CategoriesTable[Category type],MATCH(Table1[[#This Row],[Category]],CategoriesTable[Category name],0),0),"")</f>
        <v>Expense</v>
      </c>
      <c r="N1205" s="173">
        <v>18</v>
      </c>
      <c r="O1205" s="173">
        <f>MONTH(Table1[[#This Row],[Date]])</f>
        <v>11</v>
      </c>
      <c r="P1205" s="173">
        <v>2019</v>
      </c>
      <c r="Q1205" s="174">
        <f>IF(ISBLANK(Table1[[#This Row],[Date]]),"",Table1[[#This Row],[Date]]-WEEKDAY(Table1[[#This Row],[Date]],2)+1)</f>
        <v>43787</v>
      </c>
      <c r="R1205" s="175">
        <f>IF(ISBLANK(Table1[[#This Row],[Date]]),"",DATE(Table1[[#This Row],[Date_Year]],Table1[[#This Row],[Date_Month]],1))</f>
        <v>43770</v>
      </c>
    </row>
    <row r="1206" spans="2:18" ht="15.75" hidden="1" x14ac:dyDescent="0.25">
      <c r="B1206" s="165">
        <v>43787</v>
      </c>
      <c r="C1206" s="166" t="s">
        <v>211</v>
      </c>
      <c r="D1206" s="166" t="s">
        <v>66</v>
      </c>
      <c r="E1206" s="167"/>
      <c r="F1206" s="114">
        <v>-150</v>
      </c>
      <c r="G1206" s="168"/>
      <c r="H1206" s="169"/>
      <c r="I1206" s="170"/>
      <c r="J1206" s="171" t="s">
        <v>1475</v>
      </c>
      <c r="K1206" s="172" t="s">
        <v>177</v>
      </c>
      <c r="L1206" s="172" t="s">
        <v>175</v>
      </c>
      <c r="M1206" s="173" t="str" cm="1">
        <f t="array" ref="M1206">IFERROR(INDEX(CategoriesTable[Category type],MATCH(Table1[[#This Row],[Category]],CategoriesTable[Category name],0),0),"")</f>
        <v>Expense</v>
      </c>
      <c r="N1206" s="173">
        <v>18</v>
      </c>
      <c r="O1206" s="173">
        <f>MONTH(Table1[[#This Row],[Date]])</f>
        <v>11</v>
      </c>
      <c r="P1206" s="173">
        <v>2019</v>
      </c>
      <c r="Q1206" s="174">
        <f>IF(ISBLANK(Table1[[#This Row],[Date]]),"",Table1[[#This Row],[Date]]-WEEKDAY(Table1[[#This Row],[Date]],2)+1)</f>
        <v>43787</v>
      </c>
      <c r="R1206" s="175">
        <f>IF(ISBLANK(Table1[[#This Row],[Date]]),"",DATE(Table1[[#This Row],[Date_Year]],Table1[[#This Row],[Date_Month]],1))</f>
        <v>43770</v>
      </c>
    </row>
    <row r="1207" spans="2:18" ht="15.75" hidden="1" x14ac:dyDescent="0.25">
      <c r="B1207" s="165">
        <v>43787</v>
      </c>
      <c r="C1207" s="166" t="s">
        <v>129</v>
      </c>
      <c r="D1207" s="166" t="s">
        <v>55</v>
      </c>
      <c r="E1207" s="167"/>
      <c r="F1207" s="114">
        <v>-76</v>
      </c>
      <c r="G1207" s="168"/>
      <c r="H1207" s="169"/>
      <c r="I1207" s="170"/>
      <c r="J1207" s="171" t="s">
        <v>1476</v>
      </c>
      <c r="K1207" s="172" t="s">
        <v>177</v>
      </c>
      <c r="L1207" s="172" t="s">
        <v>175</v>
      </c>
      <c r="M1207" s="173" t="str" cm="1">
        <f t="array" ref="M1207">IFERROR(INDEX(CategoriesTable[Category type],MATCH(Table1[[#This Row],[Category]],CategoriesTable[Category name],0),0),"")</f>
        <v>Expense</v>
      </c>
      <c r="N1207" s="173">
        <v>18</v>
      </c>
      <c r="O1207" s="173">
        <f>MONTH(Table1[[#This Row],[Date]])</f>
        <v>11</v>
      </c>
      <c r="P1207" s="173">
        <v>2019</v>
      </c>
      <c r="Q1207" s="174">
        <f>IF(ISBLANK(Table1[[#This Row],[Date]]),"",Table1[[#This Row],[Date]]-WEEKDAY(Table1[[#This Row],[Date]],2)+1)</f>
        <v>43787</v>
      </c>
      <c r="R1207" s="175">
        <f>IF(ISBLANK(Table1[[#This Row],[Date]]),"",DATE(Table1[[#This Row],[Date_Year]],Table1[[#This Row],[Date_Month]],1))</f>
        <v>43770</v>
      </c>
    </row>
    <row r="1208" spans="2:18" ht="15.75" hidden="1" x14ac:dyDescent="0.25">
      <c r="B1208" s="165">
        <v>43786</v>
      </c>
      <c r="C1208" s="166" t="s">
        <v>576</v>
      </c>
      <c r="D1208" s="166" t="s">
        <v>58</v>
      </c>
      <c r="E1208" s="167"/>
      <c r="F1208" s="114">
        <v>-13.75</v>
      </c>
      <c r="G1208" s="168"/>
      <c r="H1208" s="169"/>
      <c r="I1208" s="170"/>
      <c r="J1208" s="171" t="s">
        <v>1477</v>
      </c>
      <c r="K1208" s="172" t="s">
        <v>177</v>
      </c>
      <c r="L1208" s="172" t="s">
        <v>175</v>
      </c>
      <c r="M1208" s="173" t="str" cm="1">
        <f t="array" ref="M1208">IFERROR(INDEX(CategoriesTable[Category type],MATCH(Table1[[#This Row],[Category]],CategoriesTable[Category name],0),0),"")</f>
        <v>Expense</v>
      </c>
      <c r="N1208" s="173">
        <v>17</v>
      </c>
      <c r="O1208" s="173">
        <f>MONTH(Table1[[#This Row],[Date]])</f>
        <v>11</v>
      </c>
      <c r="P1208" s="173">
        <v>2019</v>
      </c>
      <c r="Q1208" s="174">
        <f>IF(ISBLANK(Table1[[#This Row],[Date]]),"",Table1[[#This Row],[Date]]-WEEKDAY(Table1[[#This Row],[Date]],2)+1)</f>
        <v>43780</v>
      </c>
      <c r="R1208" s="175">
        <f>IF(ISBLANK(Table1[[#This Row],[Date]]),"",DATE(Table1[[#This Row],[Date_Year]],Table1[[#This Row],[Date_Month]],1))</f>
        <v>43770</v>
      </c>
    </row>
    <row r="1209" spans="2:18" ht="15.75" hidden="1" x14ac:dyDescent="0.25">
      <c r="B1209" s="165">
        <v>43785</v>
      </c>
      <c r="C1209" s="166" t="s">
        <v>145</v>
      </c>
      <c r="D1209" s="166" t="s">
        <v>58</v>
      </c>
      <c r="E1209" s="167"/>
      <c r="F1209" s="114">
        <v>-7.09</v>
      </c>
      <c r="G1209" s="168"/>
      <c r="H1209" s="169"/>
      <c r="I1209" s="170"/>
      <c r="J1209" s="171" t="s">
        <v>1478</v>
      </c>
      <c r="K1209" s="172" t="s">
        <v>177</v>
      </c>
      <c r="L1209" s="172" t="s">
        <v>175</v>
      </c>
      <c r="M1209" s="173" t="str" cm="1">
        <f t="array" ref="M1209">IFERROR(INDEX(CategoriesTable[Category type],MATCH(Table1[[#This Row],[Category]],CategoriesTable[Category name],0),0),"")</f>
        <v>Expense</v>
      </c>
      <c r="N1209" s="173">
        <v>16</v>
      </c>
      <c r="O1209" s="173">
        <f>MONTH(Table1[[#This Row],[Date]])</f>
        <v>11</v>
      </c>
      <c r="P1209" s="173">
        <v>2019</v>
      </c>
      <c r="Q1209" s="174">
        <f>IF(ISBLANK(Table1[[#This Row],[Date]]),"",Table1[[#This Row],[Date]]-WEEKDAY(Table1[[#This Row],[Date]],2)+1)</f>
        <v>43780</v>
      </c>
      <c r="R1209" s="175">
        <f>IF(ISBLANK(Table1[[#This Row],[Date]]),"",DATE(Table1[[#This Row],[Date_Year]],Table1[[#This Row],[Date_Month]],1))</f>
        <v>43770</v>
      </c>
    </row>
    <row r="1210" spans="2:18" ht="15.75" hidden="1" x14ac:dyDescent="0.25">
      <c r="B1210" s="165">
        <v>43785</v>
      </c>
      <c r="C1210" s="166" t="s">
        <v>504</v>
      </c>
      <c r="D1210" s="166" t="s">
        <v>66</v>
      </c>
      <c r="E1210" s="167"/>
      <c r="F1210" s="114">
        <v>-10.39</v>
      </c>
      <c r="G1210" s="168"/>
      <c r="H1210" s="169"/>
      <c r="I1210" s="170"/>
      <c r="J1210" s="171" t="s">
        <v>1479</v>
      </c>
      <c r="K1210" s="172" t="s">
        <v>177</v>
      </c>
      <c r="L1210" s="172" t="s">
        <v>175</v>
      </c>
      <c r="M1210" s="173" t="str" cm="1">
        <f t="array" ref="M1210">IFERROR(INDEX(CategoriesTable[Category type],MATCH(Table1[[#This Row],[Category]],CategoriesTable[Category name],0),0),"")</f>
        <v>Expense</v>
      </c>
      <c r="N1210" s="173">
        <v>16</v>
      </c>
      <c r="O1210" s="173">
        <f>MONTH(Table1[[#This Row],[Date]])</f>
        <v>11</v>
      </c>
      <c r="P1210" s="173">
        <v>2019</v>
      </c>
      <c r="Q1210" s="174">
        <f>IF(ISBLANK(Table1[[#This Row],[Date]]),"",Table1[[#This Row],[Date]]-WEEKDAY(Table1[[#This Row],[Date]],2)+1)</f>
        <v>43780</v>
      </c>
      <c r="R1210" s="175">
        <f>IF(ISBLANK(Table1[[#This Row],[Date]]),"",DATE(Table1[[#This Row],[Date_Year]],Table1[[#This Row],[Date_Month]],1))</f>
        <v>43770</v>
      </c>
    </row>
    <row r="1211" spans="2:18" ht="15.75" hidden="1" x14ac:dyDescent="0.25">
      <c r="B1211" s="165">
        <v>43785</v>
      </c>
      <c r="C1211" s="166" t="s">
        <v>120</v>
      </c>
      <c r="D1211" s="166" t="s">
        <v>66</v>
      </c>
      <c r="E1211" s="167"/>
      <c r="F1211" s="114">
        <v>-126.38</v>
      </c>
      <c r="G1211" s="168"/>
      <c r="H1211" s="169"/>
      <c r="I1211" s="170"/>
      <c r="J1211" s="171" t="s">
        <v>1480</v>
      </c>
      <c r="K1211" s="172" t="s">
        <v>177</v>
      </c>
      <c r="L1211" s="172" t="s">
        <v>175</v>
      </c>
      <c r="M1211" s="173" t="str" cm="1">
        <f t="array" ref="M1211">IFERROR(INDEX(CategoriesTable[Category type],MATCH(Table1[[#This Row],[Category]],CategoriesTable[Category name],0),0),"")</f>
        <v>Expense</v>
      </c>
      <c r="N1211" s="173">
        <v>16</v>
      </c>
      <c r="O1211" s="173">
        <f>MONTH(Table1[[#This Row],[Date]])</f>
        <v>11</v>
      </c>
      <c r="P1211" s="173">
        <v>2019</v>
      </c>
      <c r="Q1211" s="174">
        <f>IF(ISBLANK(Table1[[#This Row],[Date]]),"",Table1[[#This Row],[Date]]-WEEKDAY(Table1[[#This Row],[Date]],2)+1)</f>
        <v>43780</v>
      </c>
      <c r="R1211" s="175">
        <f>IF(ISBLANK(Table1[[#This Row],[Date]]),"",DATE(Table1[[#This Row],[Date_Year]],Table1[[#This Row],[Date_Month]],1))</f>
        <v>43770</v>
      </c>
    </row>
    <row r="1212" spans="2:18" ht="15.75" hidden="1" x14ac:dyDescent="0.25">
      <c r="B1212" s="165">
        <v>43785</v>
      </c>
      <c r="C1212" s="166" t="s">
        <v>121</v>
      </c>
      <c r="D1212" s="166" t="s">
        <v>65</v>
      </c>
      <c r="E1212" s="167"/>
      <c r="F1212" s="114">
        <v>-10.37</v>
      </c>
      <c r="G1212" s="168"/>
      <c r="H1212" s="169"/>
      <c r="I1212" s="170"/>
      <c r="J1212" s="171" t="s">
        <v>1481</v>
      </c>
      <c r="K1212" s="172" t="s">
        <v>177</v>
      </c>
      <c r="L1212" s="172" t="s">
        <v>175</v>
      </c>
      <c r="M1212" s="173" t="str" cm="1">
        <f t="array" ref="M1212">IFERROR(INDEX(CategoriesTable[Category type],MATCH(Table1[[#This Row],[Category]],CategoriesTable[Category name],0),0),"")</f>
        <v>Expense</v>
      </c>
      <c r="N1212" s="173">
        <v>16</v>
      </c>
      <c r="O1212" s="173">
        <f>MONTH(Table1[[#This Row],[Date]])</f>
        <v>11</v>
      </c>
      <c r="P1212" s="173">
        <v>2019</v>
      </c>
      <c r="Q1212" s="174">
        <f>IF(ISBLANK(Table1[[#This Row],[Date]]),"",Table1[[#This Row],[Date]]-WEEKDAY(Table1[[#This Row],[Date]],2)+1)</f>
        <v>43780</v>
      </c>
      <c r="R1212" s="175">
        <f>IF(ISBLANK(Table1[[#This Row],[Date]]),"",DATE(Table1[[#This Row],[Date_Year]],Table1[[#This Row],[Date_Month]],1))</f>
        <v>43770</v>
      </c>
    </row>
    <row r="1213" spans="2:18" ht="15.75" hidden="1" x14ac:dyDescent="0.25">
      <c r="B1213" s="165">
        <v>43783</v>
      </c>
      <c r="C1213" s="166" t="s">
        <v>128</v>
      </c>
      <c r="D1213" s="166" t="s">
        <v>53</v>
      </c>
      <c r="E1213" s="167"/>
      <c r="F1213" s="114">
        <v>-7.69</v>
      </c>
      <c r="G1213" s="168"/>
      <c r="H1213" s="169"/>
      <c r="I1213" s="170"/>
      <c r="J1213" s="171" t="s">
        <v>1482</v>
      </c>
      <c r="K1213" s="172" t="s">
        <v>177</v>
      </c>
      <c r="L1213" s="172" t="s">
        <v>175</v>
      </c>
      <c r="M1213" s="173" t="str" cm="1">
        <f t="array" ref="M1213">IFERROR(INDEX(CategoriesTable[Category type],MATCH(Table1[[#This Row],[Category]],CategoriesTable[Category name],0),0),"")</f>
        <v>Expense</v>
      </c>
      <c r="N1213" s="173">
        <v>14</v>
      </c>
      <c r="O1213" s="173">
        <f>MONTH(Table1[[#This Row],[Date]])</f>
        <v>11</v>
      </c>
      <c r="P1213" s="173">
        <v>2019</v>
      </c>
      <c r="Q1213" s="174">
        <f>IF(ISBLANK(Table1[[#This Row],[Date]]),"",Table1[[#This Row],[Date]]-WEEKDAY(Table1[[#This Row],[Date]],2)+1)</f>
        <v>43780</v>
      </c>
      <c r="R1213" s="175">
        <f>IF(ISBLANK(Table1[[#This Row],[Date]]),"",DATE(Table1[[#This Row],[Date_Year]],Table1[[#This Row],[Date_Month]],1))</f>
        <v>43770</v>
      </c>
    </row>
    <row r="1214" spans="2:18" ht="15.75" hidden="1" x14ac:dyDescent="0.25">
      <c r="B1214" s="165">
        <v>43783</v>
      </c>
      <c r="C1214" s="166" t="s">
        <v>121</v>
      </c>
      <c r="D1214" s="166" t="s">
        <v>65</v>
      </c>
      <c r="E1214" s="167"/>
      <c r="F1214" s="114">
        <v>-12.16</v>
      </c>
      <c r="G1214" s="168"/>
      <c r="H1214" s="169"/>
      <c r="I1214" s="170"/>
      <c r="J1214" s="171" t="s">
        <v>1483</v>
      </c>
      <c r="K1214" s="172" t="s">
        <v>177</v>
      </c>
      <c r="L1214" s="172" t="s">
        <v>175</v>
      </c>
      <c r="M1214" s="173" t="str" cm="1">
        <f t="array" ref="M1214">IFERROR(INDEX(CategoriesTable[Category type],MATCH(Table1[[#This Row],[Category]],CategoriesTable[Category name],0),0),"")</f>
        <v>Expense</v>
      </c>
      <c r="N1214" s="173">
        <v>14</v>
      </c>
      <c r="O1214" s="173">
        <f>MONTH(Table1[[#This Row],[Date]])</f>
        <v>11</v>
      </c>
      <c r="P1214" s="173">
        <v>2019</v>
      </c>
      <c r="Q1214" s="174">
        <f>IF(ISBLANK(Table1[[#This Row],[Date]]),"",Table1[[#This Row],[Date]]-WEEKDAY(Table1[[#This Row],[Date]],2)+1)</f>
        <v>43780</v>
      </c>
      <c r="R1214" s="175">
        <f>IF(ISBLANK(Table1[[#This Row],[Date]]),"",DATE(Table1[[#This Row],[Date_Year]],Table1[[#This Row],[Date_Month]],1))</f>
        <v>43770</v>
      </c>
    </row>
    <row r="1215" spans="2:18" ht="15.75" hidden="1" x14ac:dyDescent="0.25">
      <c r="B1215" s="165">
        <v>43782</v>
      </c>
      <c r="C1215" s="166" t="s">
        <v>608</v>
      </c>
      <c r="D1215" s="166" t="s">
        <v>66</v>
      </c>
      <c r="E1215" s="167"/>
      <c r="F1215" s="114">
        <v>-36.020000000000003</v>
      </c>
      <c r="G1215" s="168"/>
      <c r="H1215" s="169"/>
      <c r="I1215" s="170"/>
      <c r="J1215" s="171" t="s">
        <v>1484</v>
      </c>
      <c r="K1215" s="172" t="s">
        <v>177</v>
      </c>
      <c r="L1215" s="172" t="s">
        <v>175</v>
      </c>
      <c r="M1215" s="173" t="str" cm="1">
        <f t="array" ref="M1215">IFERROR(INDEX(CategoriesTable[Category type],MATCH(Table1[[#This Row],[Category]],CategoriesTable[Category name],0),0),"")</f>
        <v>Expense</v>
      </c>
      <c r="N1215" s="173">
        <v>13</v>
      </c>
      <c r="O1215" s="173">
        <f>MONTH(Table1[[#This Row],[Date]])</f>
        <v>11</v>
      </c>
      <c r="P1215" s="173">
        <v>2019</v>
      </c>
      <c r="Q1215" s="174">
        <f>IF(ISBLANK(Table1[[#This Row],[Date]]),"",Table1[[#This Row],[Date]]-WEEKDAY(Table1[[#This Row],[Date]],2)+1)</f>
        <v>43780</v>
      </c>
      <c r="R1215" s="175">
        <f>IF(ISBLANK(Table1[[#This Row],[Date]]),"",DATE(Table1[[#This Row],[Date_Year]],Table1[[#This Row],[Date_Month]],1))</f>
        <v>43770</v>
      </c>
    </row>
    <row r="1216" spans="2:18" ht="15.75" hidden="1" x14ac:dyDescent="0.25">
      <c r="B1216" s="165">
        <v>43782</v>
      </c>
      <c r="C1216" s="166" t="s">
        <v>135</v>
      </c>
      <c r="D1216" s="166" t="s">
        <v>53</v>
      </c>
      <c r="E1216" s="167"/>
      <c r="F1216" s="114">
        <v>-20.55</v>
      </c>
      <c r="G1216" s="168"/>
      <c r="H1216" s="169"/>
      <c r="I1216" s="170"/>
      <c r="J1216" s="171" t="s">
        <v>1485</v>
      </c>
      <c r="K1216" s="172" t="s">
        <v>177</v>
      </c>
      <c r="L1216" s="172" t="s">
        <v>175</v>
      </c>
      <c r="M1216" s="173" t="str" cm="1">
        <f t="array" ref="M1216">IFERROR(INDEX(CategoriesTable[Category type],MATCH(Table1[[#This Row],[Category]],CategoriesTable[Category name],0),0),"")</f>
        <v>Expense</v>
      </c>
      <c r="N1216" s="173">
        <v>13</v>
      </c>
      <c r="O1216" s="173">
        <f>MONTH(Table1[[#This Row],[Date]])</f>
        <v>11</v>
      </c>
      <c r="P1216" s="173">
        <v>2019</v>
      </c>
      <c r="Q1216" s="174">
        <f>IF(ISBLANK(Table1[[#This Row],[Date]]),"",Table1[[#This Row],[Date]]-WEEKDAY(Table1[[#This Row],[Date]],2)+1)</f>
        <v>43780</v>
      </c>
      <c r="R1216" s="175">
        <f>IF(ISBLANK(Table1[[#This Row],[Date]]),"",DATE(Table1[[#This Row],[Date_Year]],Table1[[#This Row],[Date_Month]],1))</f>
        <v>43770</v>
      </c>
    </row>
    <row r="1217" spans="2:18" ht="15.75" hidden="1" x14ac:dyDescent="0.25">
      <c r="B1217" s="165">
        <v>43781</v>
      </c>
      <c r="C1217" s="166" t="s">
        <v>1486</v>
      </c>
      <c r="D1217" s="166" t="s">
        <v>66</v>
      </c>
      <c r="E1217" s="167"/>
      <c r="F1217" s="114">
        <v>-43.45</v>
      </c>
      <c r="G1217" s="168"/>
      <c r="H1217" s="169"/>
      <c r="I1217" s="170"/>
      <c r="J1217" s="171" t="s">
        <v>1487</v>
      </c>
      <c r="K1217" s="172" t="s">
        <v>177</v>
      </c>
      <c r="L1217" s="172" t="s">
        <v>175</v>
      </c>
      <c r="M1217" s="173" t="str" cm="1">
        <f t="array" ref="M1217">IFERROR(INDEX(CategoriesTable[Category type],MATCH(Table1[[#This Row],[Category]],CategoriesTable[Category name],0),0),"")</f>
        <v>Expense</v>
      </c>
      <c r="N1217" s="173">
        <v>12</v>
      </c>
      <c r="O1217" s="173">
        <f>MONTH(Table1[[#This Row],[Date]])</f>
        <v>11</v>
      </c>
      <c r="P1217" s="173">
        <v>2019</v>
      </c>
      <c r="Q1217" s="174">
        <f>IF(ISBLANK(Table1[[#This Row],[Date]]),"",Table1[[#This Row],[Date]]-WEEKDAY(Table1[[#This Row],[Date]],2)+1)</f>
        <v>43780</v>
      </c>
      <c r="R1217" s="175">
        <f>IF(ISBLANK(Table1[[#This Row],[Date]]),"",DATE(Table1[[#This Row],[Date_Year]],Table1[[#This Row],[Date_Month]],1))</f>
        <v>43770</v>
      </c>
    </row>
    <row r="1218" spans="2:18" ht="15.75" hidden="1" x14ac:dyDescent="0.25">
      <c r="B1218" s="165">
        <v>43781</v>
      </c>
      <c r="C1218" s="166" t="s">
        <v>121</v>
      </c>
      <c r="D1218" s="166" t="s">
        <v>65</v>
      </c>
      <c r="E1218" s="167"/>
      <c r="F1218" s="114">
        <v>-29.79</v>
      </c>
      <c r="G1218" s="168"/>
      <c r="H1218" s="169"/>
      <c r="I1218" s="170"/>
      <c r="J1218" s="171" t="s">
        <v>1488</v>
      </c>
      <c r="K1218" s="172" t="s">
        <v>177</v>
      </c>
      <c r="L1218" s="172" t="s">
        <v>175</v>
      </c>
      <c r="M1218" s="173" t="str" cm="1">
        <f t="array" ref="M1218">IFERROR(INDEX(CategoriesTable[Category type],MATCH(Table1[[#This Row],[Category]],CategoriesTable[Category name],0),0),"")</f>
        <v>Expense</v>
      </c>
      <c r="N1218" s="173">
        <v>12</v>
      </c>
      <c r="O1218" s="173">
        <f>MONTH(Table1[[#This Row],[Date]])</f>
        <v>11</v>
      </c>
      <c r="P1218" s="173">
        <v>2019</v>
      </c>
      <c r="Q1218" s="174">
        <f>IF(ISBLANK(Table1[[#This Row],[Date]]),"",Table1[[#This Row],[Date]]-WEEKDAY(Table1[[#This Row],[Date]],2)+1)</f>
        <v>43780</v>
      </c>
      <c r="R1218" s="175">
        <f>IF(ISBLANK(Table1[[#This Row],[Date]]),"",DATE(Table1[[#This Row],[Date_Year]],Table1[[#This Row],[Date_Month]],1))</f>
        <v>43770</v>
      </c>
    </row>
    <row r="1219" spans="2:18" ht="15.75" hidden="1" x14ac:dyDescent="0.25">
      <c r="B1219" s="165">
        <v>43781</v>
      </c>
      <c r="C1219" s="166" t="s">
        <v>135</v>
      </c>
      <c r="D1219" s="166" t="s">
        <v>53</v>
      </c>
      <c r="E1219" s="167"/>
      <c r="F1219" s="114">
        <v>-23.16</v>
      </c>
      <c r="G1219" s="168"/>
      <c r="H1219" s="169"/>
      <c r="I1219" s="170"/>
      <c r="J1219" s="171" t="s">
        <v>1489</v>
      </c>
      <c r="K1219" s="172" t="s">
        <v>177</v>
      </c>
      <c r="L1219" s="172" t="s">
        <v>175</v>
      </c>
      <c r="M1219" s="173" t="str" cm="1">
        <f t="array" ref="M1219">IFERROR(INDEX(CategoriesTable[Category type],MATCH(Table1[[#This Row],[Category]],CategoriesTable[Category name],0),0),"")</f>
        <v>Expense</v>
      </c>
      <c r="N1219" s="173">
        <v>12</v>
      </c>
      <c r="O1219" s="173">
        <f>MONTH(Table1[[#This Row],[Date]])</f>
        <v>11</v>
      </c>
      <c r="P1219" s="173">
        <v>2019</v>
      </c>
      <c r="Q1219" s="174">
        <f>IF(ISBLANK(Table1[[#This Row],[Date]]),"",Table1[[#This Row],[Date]]-WEEKDAY(Table1[[#This Row],[Date]],2)+1)</f>
        <v>43780</v>
      </c>
      <c r="R1219" s="175">
        <f>IF(ISBLANK(Table1[[#This Row],[Date]]),"",DATE(Table1[[#This Row],[Date_Year]],Table1[[#This Row],[Date_Month]],1))</f>
        <v>43770</v>
      </c>
    </row>
    <row r="1220" spans="2:18" ht="15.75" hidden="1" x14ac:dyDescent="0.25">
      <c r="B1220" s="165">
        <v>43781</v>
      </c>
      <c r="C1220" s="166" t="s">
        <v>249</v>
      </c>
      <c r="D1220" s="166" t="s">
        <v>52</v>
      </c>
      <c r="E1220" s="167"/>
      <c r="F1220" s="114">
        <v>-125</v>
      </c>
      <c r="G1220" s="168"/>
      <c r="H1220" s="169"/>
      <c r="I1220" s="170"/>
      <c r="J1220" s="171" t="s">
        <v>1490</v>
      </c>
      <c r="K1220" s="172" t="s">
        <v>177</v>
      </c>
      <c r="L1220" s="172" t="s">
        <v>175</v>
      </c>
      <c r="M1220" s="173" t="str" cm="1">
        <f t="array" ref="M1220">IFERROR(INDEX(CategoriesTable[Category type],MATCH(Table1[[#This Row],[Category]],CategoriesTable[Category name],0),0),"")</f>
        <v>Transfer</v>
      </c>
      <c r="N1220" s="173">
        <v>12</v>
      </c>
      <c r="O1220" s="173">
        <f>MONTH(Table1[[#This Row],[Date]])</f>
        <v>11</v>
      </c>
      <c r="P1220" s="173">
        <v>2019</v>
      </c>
      <c r="Q1220" s="174">
        <f>IF(ISBLANK(Table1[[#This Row],[Date]]),"",Table1[[#This Row],[Date]]-WEEKDAY(Table1[[#This Row],[Date]],2)+1)</f>
        <v>43780</v>
      </c>
      <c r="R1220" s="175">
        <f>IF(ISBLANK(Table1[[#This Row],[Date]]),"",DATE(Table1[[#This Row],[Date_Year]],Table1[[#This Row],[Date_Month]],1))</f>
        <v>43770</v>
      </c>
    </row>
    <row r="1221" spans="2:18" ht="15.75" hidden="1" x14ac:dyDescent="0.25">
      <c r="B1221" s="165">
        <v>43781</v>
      </c>
      <c r="C1221" s="166" t="s">
        <v>572</v>
      </c>
      <c r="D1221" s="166" t="s">
        <v>63</v>
      </c>
      <c r="E1221" s="167"/>
      <c r="F1221" s="114">
        <v>-3.5</v>
      </c>
      <c r="G1221" s="168"/>
      <c r="H1221" s="169"/>
      <c r="I1221" s="170"/>
      <c r="J1221" s="171" t="s">
        <v>1491</v>
      </c>
      <c r="K1221" s="172" t="s">
        <v>177</v>
      </c>
      <c r="L1221" s="172" t="s">
        <v>175</v>
      </c>
      <c r="M1221" s="173" t="str" cm="1">
        <f t="array" ref="M1221">IFERROR(INDEX(CategoriesTable[Category type],MATCH(Table1[[#This Row],[Category]],CategoriesTable[Category name],0),0),"")</f>
        <v>Expense</v>
      </c>
      <c r="N1221" s="173">
        <v>12</v>
      </c>
      <c r="O1221" s="173">
        <f>MONTH(Table1[[#This Row],[Date]])</f>
        <v>11</v>
      </c>
      <c r="P1221" s="173">
        <v>2019</v>
      </c>
      <c r="Q1221" s="174">
        <f>IF(ISBLANK(Table1[[#This Row],[Date]]),"",Table1[[#This Row],[Date]]-WEEKDAY(Table1[[#This Row],[Date]],2)+1)</f>
        <v>43780</v>
      </c>
      <c r="R1221" s="175">
        <f>IF(ISBLANK(Table1[[#This Row],[Date]]),"",DATE(Table1[[#This Row],[Date_Year]],Table1[[#This Row],[Date_Month]],1))</f>
        <v>43770</v>
      </c>
    </row>
    <row r="1222" spans="2:18" ht="15.75" hidden="1" x14ac:dyDescent="0.25">
      <c r="B1222" s="165">
        <v>43781</v>
      </c>
      <c r="C1222" s="166" t="s">
        <v>574</v>
      </c>
      <c r="D1222" s="166" t="s">
        <v>55</v>
      </c>
      <c r="E1222" s="167"/>
      <c r="F1222" s="114">
        <v>-358.8</v>
      </c>
      <c r="G1222" s="168"/>
      <c r="H1222" s="169"/>
      <c r="I1222" s="170"/>
      <c r="J1222" s="171" t="s">
        <v>1492</v>
      </c>
      <c r="K1222" s="172" t="s">
        <v>177</v>
      </c>
      <c r="L1222" s="172" t="s">
        <v>175</v>
      </c>
      <c r="M1222" s="173" t="str" cm="1">
        <f t="array" ref="M1222">IFERROR(INDEX(CategoriesTable[Category type],MATCH(Table1[[#This Row],[Category]],CategoriesTable[Category name],0),0),"")</f>
        <v>Expense</v>
      </c>
      <c r="N1222" s="173">
        <v>12</v>
      </c>
      <c r="O1222" s="173">
        <f>MONTH(Table1[[#This Row],[Date]])</f>
        <v>11</v>
      </c>
      <c r="P1222" s="173">
        <v>2019</v>
      </c>
      <c r="Q1222" s="174">
        <f>IF(ISBLANK(Table1[[#This Row],[Date]]),"",Table1[[#This Row],[Date]]-WEEKDAY(Table1[[#This Row],[Date]],2)+1)</f>
        <v>43780</v>
      </c>
      <c r="R1222" s="175">
        <f>IF(ISBLANK(Table1[[#This Row],[Date]]),"",DATE(Table1[[#This Row],[Date_Year]],Table1[[#This Row],[Date_Month]],1))</f>
        <v>43770</v>
      </c>
    </row>
    <row r="1223" spans="2:18" ht="15.75" hidden="1" x14ac:dyDescent="0.25">
      <c r="B1223" s="165">
        <v>43781</v>
      </c>
      <c r="C1223" s="166" t="s">
        <v>664</v>
      </c>
      <c r="D1223" s="166" t="s">
        <v>66</v>
      </c>
      <c r="E1223" s="167"/>
      <c r="F1223" s="114">
        <v>-171.43</v>
      </c>
      <c r="G1223" s="168"/>
      <c r="H1223" s="169"/>
      <c r="I1223" s="170"/>
      <c r="J1223" s="171" t="s">
        <v>1493</v>
      </c>
      <c r="K1223" s="172" t="s">
        <v>177</v>
      </c>
      <c r="L1223" s="172" t="s">
        <v>175</v>
      </c>
      <c r="M1223" s="173" t="str" cm="1">
        <f t="array" ref="M1223">IFERROR(INDEX(CategoriesTable[Category type],MATCH(Table1[[#This Row],[Category]],CategoriesTable[Category name],0),0),"")</f>
        <v>Expense</v>
      </c>
      <c r="N1223" s="173">
        <v>12</v>
      </c>
      <c r="O1223" s="173">
        <f>MONTH(Table1[[#This Row],[Date]])</f>
        <v>11</v>
      </c>
      <c r="P1223" s="173">
        <v>2019</v>
      </c>
      <c r="Q1223" s="174">
        <f>IF(ISBLANK(Table1[[#This Row],[Date]]),"",Table1[[#This Row],[Date]]-WEEKDAY(Table1[[#This Row],[Date]],2)+1)</f>
        <v>43780</v>
      </c>
      <c r="R1223" s="175">
        <f>IF(ISBLANK(Table1[[#This Row],[Date]]),"",DATE(Table1[[#This Row],[Date_Year]],Table1[[#This Row],[Date_Month]],1))</f>
        <v>43770</v>
      </c>
    </row>
    <row r="1224" spans="2:18" ht="15.75" hidden="1" x14ac:dyDescent="0.25">
      <c r="B1224" s="165">
        <v>43777</v>
      </c>
      <c r="C1224" s="166" t="s">
        <v>313</v>
      </c>
      <c r="D1224" s="166" t="s">
        <v>66</v>
      </c>
      <c r="E1224" s="167"/>
      <c r="F1224" s="114">
        <v>-100</v>
      </c>
      <c r="G1224" s="168"/>
      <c r="H1224" s="169"/>
      <c r="I1224" s="170"/>
      <c r="J1224" s="171" t="s">
        <v>1494</v>
      </c>
      <c r="K1224" s="172" t="s">
        <v>177</v>
      </c>
      <c r="L1224" s="172" t="s">
        <v>175</v>
      </c>
      <c r="M1224" s="173" t="str" cm="1">
        <f t="array" ref="M1224">IFERROR(INDEX(CategoriesTable[Category type],MATCH(Table1[[#This Row],[Category]],CategoriesTable[Category name],0),0),"")</f>
        <v>Expense</v>
      </c>
      <c r="N1224" s="173">
        <v>8</v>
      </c>
      <c r="O1224" s="173">
        <f>MONTH(Table1[[#This Row],[Date]])</f>
        <v>11</v>
      </c>
      <c r="P1224" s="173">
        <v>2019</v>
      </c>
      <c r="Q1224" s="174">
        <f>IF(ISBLANK(Table1[[#This Row],[Date]]),"",Table1[[#This Row],[Date]]-WEEKDAY(Table1[[#This Row],[Date]],2)+1)</f>
        <v>43773</v>
      </c>
      <c r="R1224" s="175">
        <f>IF(ISBLANK(Table1[[#This Row],[Date]]),"",DATE(Table1[[#This Row],[Date_Year]],Table1[[#This Row],[Date_Month]],1))</f>
        <v>43770</v>
      </c>
    </row>
    <row r="1225" spans="2:18" ht="15.75" hidden="1" x14ac:dyDescent="0.25">
      <c r="B1225" s="165">
        <v>43776</v>
      </c>
      <c r="C1225" s="166" t="s">
        <v>895</v>
      </c>
      <c r="D1225" s="166" t="s">
        <v>55</v>
      </c>
      <c r="E1225" s="167"/>
      <c r="F1225" s="114">
        <v>-284.2</v>
      </c>
      <c r="G1225" s="168"/>
      <c r="H1225" s="169"/>
      <c r="I1225" s="170"/>
      <c r="J1225" s="171" t="s">
        <v>1495</v>
      </c>
      <c r="K1225" s="172" t="s">
        <v>177</v>
      </c>
      <c r="L1225" s="172" t="s">
        <v>175</v>
      </c>
      <c r="M1225" s="173" t="str" cm="1">
        <f t="array" ref="M1225">IFERROR(INDEX(CategoriesTable[Category type],MATCH(Table1[[#This Row],[Category]],CategoriesTable[Category name],0),0),"")</f>
        <v>Expense</v>
      </c>
      <c r="N1225" s="173">
        <v>7</v>
      </c>
      <c r="O1225" s="173">
        <f>MONTH(Table1[[#This Row],[Date]])</f>
        <v>11</v>
      </c>
      <c r="P1225" s="173">
        <v>2019</v>
      </c>
      <c r="Q1225" s="174">
        <f>IF(ISBLANK(Table1[[#This Row],[Date]]),"",Table1[[#This Row],[Date]]-WEEKDAY(Table1[[#This Row],[Date]],2)+1)</f>
        <v>43773</v>
      </c>
      <c r="R1225" s="175">
        <f>IF(ISBLANK(Table1[[#This Row],[Date]]),"",DATE(Table1[[#This Row],[Date_Year]],Table1[[#This Row],[Date_Month]],1))</f>
        <v>43770</v>
      </c>
    </row>
    <row r="1226" spans="2:18" ht="15.75" hidden="1" x14ac:dyDescent="0.25">
      <c r="B1226" s="165">
        <v>43775</v>
      </c>
      <c r="C1226" s="166" t="s">
        <v>1496</v>
      </c>
      <c r="D1226" s="166" t="s">
        <v>65</v>
      </c>
      <c r="E1226" s="167"/>
      <c r="F1226" s="114">
        <v>-42.36</v>
      </c>
      <c r="G1226" s="168"/>
      <c r="H1226" s="169"/>
      <c r="I1226" s="170"/>
      <c r="J1226" s="171" t="s">
        <v>1497</v>
      </c>
      <c r="K1226" s="172" t="s">
        <v>177</v>
      </c>
      <c r="L1226" s="172" t="s">
        <v>175</v>
      </c>
      <c r="M1226" s="173" t="str" cm="1">
        <f t="array" ref="M1226">IFERROR(INDEX(CategoriesTable[Category type],MATCH(Table1[[#This Row],[Category]],CategoriesTable[Category name],0),0),"")</f>
        <v>Expense</v>
      </c>
      <c r="N1226" s="173">
        <v>6</v>
      </c>
      <c r="O1226" s="173">
        <f>MONTH(Table1[[#This Row],[Date]])</f>
        <v>11</v>
      </c>
      <c r="P1226" s="173">
        <v>2019</v>
      </c>
      <c r="Q1226" s="174">
        <f>IF(ISBLANK(Table1[[#This Row],[Date]]),"",Table1[[#This Row],[Date]]-WEEKDAY(Table1[[#This Row],[Date]],2)+1)</f>
        <v>43773</v>
      </c>
      <c r="R1226" s="175">
        <f>IF(ISBLANK(Table1[[#This Row],[Date]]),"",DATE(Table1[[#This Row],[Date_Year]],Table1[[#This Row],[Date_Month]],1))</f>
        <v>43770</v>
      </c>
    </row>
    <row r="1227" spans="2:18" ht="15.75" hidden="1" x14ac:dyDescent="0.25">
      <c r="B1227" s="165">
        <v>43775</v>
      </c>
      <c r="C1227" s="166" t="s">
        <v>738</v>
      </c>
      <c r="D1227" s="166" t="s">
        <v>55</v>
      </c>
      <c r="E1227" s="167"/>
      <c r="F1227" s="114">
        <v>-173.83</v>
      </c>
      <c r="G1227" s="168"/>
      <c r="H1227" s="169"/>
      <c r="I1227" s="170"/>
      <c r="J1227" s="171" t="s">
        <v>1498</v>
      </c>
      <c r="K1227" s="172" t="s">
        <v>177</v>
      </c>
      <c r="L1227" s="172" t="s">
        <v>175</v>
      </c>
      <c r="M1227" s="173" t="str" cm="1">
        <f t="array" ref="M1227">IFERROR(INDEX(CategoriesTable[Category type],MATCH(Table1[[#This Row],[Category]],CategoriesTable[Category name],0),0),"")</f>
        <v>Expense</v>
      </c>
      <c r="N1227" s="173">
        <v>6</v>
      </c>
      <c r="O1227" s="173">
        <f>MONTH(Table1[[#This Row],[Date]])</f>
        <v>11</v>
      </c>
      <c r="P1227" s="173">
        <v>2019</v>
      </c>
      <c r="Q1227" s="174">
        <f>IF(ISBLANK(Table1[[#This Row],[Date]]),"",Table1[[#This Row],[Date]]-WEEKDAY(Table1[[#This Row],[Date]],2)+1)</f>
        <v>43773</v>
      </c>
      <c r="R1227" s="175">
        <f>IF(ISBLANK(Table1[[#This Row],[Date]]),"",DATE(Table1[[#This Row],[Date_Year]],Table1[[#This Row],[Date_Month]],1))</f>
        <v>43770</v>
      </c>
    </row>
    <row r="1228" spans="2:18" ht="15.75" hidden="1" x14ac:dyDescent="0.25">
      <c r="B1228" s="165">
        <v>43775</v>
      </c>
      <c r="C1228" s="166" t="s">
        <v>120</v>
      </c>
      <c r="D1228" s="166" t="s">
        <v>66</v>
      </c>
      <c r="E1228" s="167"/>
      <c r="F1228" s="114">
        <v>-79.989999999999995</v>
      </c>
      <c r="G1228" s="168"/>
      <c r="H1228" s="169"/>
      <c r="I1228" s="170"/>
      <c r="J1228" s="171" t="s">
        <v>1499</v>
      </c>
      <c r="K1228" s="172" t="s">
        <v>177</v>
      </c>
      <c r="L1228" s="172" t="s">
        <v>175</v>
      </c>
      <c r="M1228" s="173" t="str" cm="1">
        <f t="array" ref="M1228">IFERROR(INDEX(CategoriesTable[Category type],MATCH(Table1[[#This Row],[Category]],CategoriesTable[Category name],0),0),"")</f>
        <v>Expense</v>
      </c>
      <c r="N1228" s="173">
        <v>6</v>
      </c>
      <c r="O1228" s="173">
        <f>MONTH(Table1[[#This Row],[Date]])</f>
        <v>11</v>
      </c>
      <c r="P1228" s="173">
        <v>2019</v>
      </c>
      <c r="Q1228" s="174">
        <f>IF(ISBLANK(Table1[[#This Row],[Date]]),"",Table1[[#This Row],[Date]]-WEEKDAY(Table1[[#This Row],[Date]],2)+1)</f>
        <v>43773</v>
      </c>
      <c r="R1228" s="175">
        <f>IF(ISBLANK(Table1[[#This Row],[Date]]),"",DATE(Table1[[#This Row],[Date_Year]],Table1[[#This Row],[Date_Month]],1))</f>
        <v>43770</v>
      </c>
    </row>
    <row r="1229" spans="2:18" ht="15.75" hidden="1" x14ac:dyDescent="0.25">
      <c r="B1229" s="165">
        <v>43775</v>
      </c>
      <c r="C1229" s="166" t="s">
        <v>135</v>
      </c>
      <c r="D1229" s="166" t="s">
        <v>53</v>
      </c>
      <c r="E1229" s="167"/>
      <c r="F1229" s="114">
        <v>-20</v>
      </c>
      <c r="G1229" s="168"/>
      <c r="H1229" s="169"/>
      <c r="I1229" s="170"/>
      <c r="J1229" s="171" t="s">
        <v>1500</v>
      </c>
      <c r="K1229" s="172" t="s">
        <v>177</v>
      </c>
      <c r="L1229" s="172" t="s">
        <v>175</v>
      </c>
      <c r="M1229" s="173" t="str" cm="1">
        <f t="array" ref="M1229">IFERROR(INDEX(CategoriesTable[Category type],MATCH(Table1[[#This Row],[Category]],CategoriesTable[Category name],0),0),"")</f>
        <v>Expense</v>
      </c>
      <c r="N1229" s="173">
        <v>6</v>
      </c>
      <c r="O1229" s="173">
        <f>MONTH(Table1[[#This Row],[Date]])</f>
        <v>11</v>
      </c>
      <c r="P1229" s="173">
        <v>2019</v>
      </c>
      <c r="Q1229" s="174">
        <f>IF(ISBLANK(Table1[[#This Row],[Date]]),"",Table1[[#This Row],[Date]]-WEEKDAY(Table1[[#This Row],[Date]],2)+1)</f>
        <v>43773</v>
      </c>
      <c r="R1229" s="175">
        <f>IF(ISBLANK(Table1[[#This Row],[Date]]),"",DATE(Table1[[#This Row],[Date_Year]],Table1[[#This Row],[Date_Month]],1))</f>
        <v>43770</v>
      </c>
    </row>
    <row r="1230" spans="2:18" ht="15.75" hidden="1" x14ac:dyDescent="0.25">
      <c r="B1230" s="165">
        <v>43774</v>
      </c>
      <c r="C1230" s="166" t="s">
        <v>121</v>
      </c>
      <c r="D1230" s="166" t="s">
        <v>65</v>
      </c>
      <c r="E1230" s="167"/>
      <c r="F1230" s="114">
        <v>-19</v>
      </c>
      <c r="G1230" s="168"/>
      <c r="H1230" s="169"/>
      <c r="I1230" s="170"/>
      <c r="J1230" s="171" t="s">
        <v>1501</v>
      </c>
      <c r="K1230" s="172" t="s">
        <v>177</v>
      </c>
      <c r="L1230" s="172" t="s">
        <v>175</v>
      </c>
      <c r="M1230" s="173" t="str" cm="1">
        <f t="array" ref="M1230">IFERROR(INDEX(CategoriesTable[Category type],MATCH(Table1[[#This Row],[Category]],CategoriesTable[Category name],0),0),"")</f>
        <v>Expense</v>
      </c>
      <c r="N1230" s="173">
        <v>5</v>
      </c>
      <c r="O1230" s="173">
        <f>MONTH(Table1[[#This Row],[Date]])</f>
        <v>11</v>
      </c>
      <c r="P1230" s="173">
        <v>2019</v>
      </c>
      <c r="Q1230" s="174">
        <f>IF(ISBLANK(Table1[[#This Row],[Date]]),"",Table1[[#This Row],[Date]]-WEEKDAY(Table1[[#This Row],[Date]],2)+1)</f>
        <v>43773</v>
      </c>
      <c r="R1230" s="175">
        <f>IF(ISBLANK(Table1[[#This Row],[Date]]),"",DATE(Table1[[#This Row],[Date_Year]],Table1[[#This Row],[Date_Month]],1))</f>
        <v>43770</v>
      </c>
    </row>
    <row r="1231" spans="2:18" ht="15.75" hidden="1" x14ac:dyDescent="0.25">
      <c r="B1231" s="165">
        <v>43773</v>
      </c>
      <c r="C1231" s="166" t="s">
        <v>121</v>
      </c>
      <c r="D1231" s="166" t="s">
        <v>65</v>
      </c>
      <c r="E1231" s="167"/>
      <c r="F1231" s="114">
        <v>-7.82</v>
      </c>
      <c r="G1231" s="168"/>
      <c r="H1231" s="169"/>
      <c r="I1231" s="170"/>
      <c r="J1231" s="171" t="s">
        <v>1502</v>
      </c>
      <c r="K1231" s="172" t="s">
        <v>177</v>
      </c>
      <c r="L1231" s="172" t="s">
        <v>175</v>
      </c>
      <c r="M1231" s="173" t="str" cm="1">
        <f t="array" ref="M1231">IFERROR(INDEX(CategoriesTable[Category type],MATCH(Table1[[#This Row],[Category]],CategoriesTable[Category name],0),0),"")</f>
        <v>Expense</v>
      </c>
      <c r="N1231" s="173">
        <v>4</v>
      </c>
      <c r="O1231" s="173">
        <f>MONTH(Table1[[#This Row],[Date]])</f>
        <v>11</v>
      </c>
      <c r="P1231" s="173">
        <v>2019</v>
      </c>
      <c r="Q1231" s="174">
        <f>IF(ISBLANK(Table1[[#This Row],[Date]]),"",Table1[[#This Row],[Date]]-WEEKDAY(Table1[[#This Row],[Date]],2)+1)</f>
        <v>43773</v>
      </c>
      <c r="R1231" s="175">
        <f>IF(ISBLANK(Table1[[#This Row],[Date]]),"",DATE(Table1[[#This Row],[Date_Year]],Table1[[#This Row],[Date_Month]],1))</f>
        <v>43770</v>
      </c>
    </row>
    <row r="1232" spans="2:18" ht="15.75" hidden="1" x14ac:dyDescent="0.25">
      <c r="B1232" s="165">
        <v>43773</v>
      </c>
      <c r="C1232" s="166" t="s">
        <v>1342</v>
      </c>
      <c r="D1232" s="166" t="s">
        <v>63</v>
      </c>
      <c r="E1232" s="167"/>
      <c r="F1232" s="114">
        <v>-373</v>
      </c>
      <c r="G1232" s="168"/>
      <c r="H1232" s="169"/>
      <c r="I1232" s="170"/>
      <c r="J1232" s="171" t="s">
        <v>1503</v>
      </c>
      <c r="K1232" s="172" t="s">
        <v>177</v>
      </c>
      <c r="L1232" s="172" t="s">
        <v>175</v>
      </c>
      <c r="M1232" s="173" t="str" cm="1">
        <f t="array" ref="M1232">IFERROR(INDEX(CategoriesTable[Category type],MATCH(Table1[[#This Row],[Category]],CategoriesTable[Category name],0),0),"")</f>
        <v>Expense</v>
      </c>
      <c r="N1232" s="173">
        <v>4</v>
      </c>
      <c r="O1232" s="173">
        <f>MONTH(Table1[[#This Row],[Date]])</f>
        <v>11</v>
      </c>
      <c r="P1232" s="173">
        <v>2019</v>
      </c>
      <c r="Q1232" s="174">
        <f>IF(ISBLANK(Table1[[#This Row],[Date]]),"",Table1[[#This Row],[Date]]-WEEKDAY(Table1[[#This Row],[Date]],2)+1)</f>
        <v>43773</v>
      </c>
      <c r="R1232" s="175">
        <f>IF(ISBLANK(Table1[[#This Row],[Date]]),"",DATE(Table1[[#This Row],[Date_Year]],Table1[[#This Row],[Date_Month]],1))</f>
        <v>43770</v>
      </c>
    </row>
    <row r="1233" spans="2:18" ht="15.75" hidden="1" x14ac:dyDescent="0.25">
      <c r="B1233" s="165">
        <v>43773</v>
      </c>
      <c r="C1233" s="166" t="s">
        <v>680</v>
      </c>
      <c r="D1233" s="166" t="s">
        <v>62</v>
      </c>
      <c r="E1233" s="167"/>
      <c r="F1233" s="114">
        <v>-263.8</v>
      </c>
      <c r="G1233" s="168"/>
      <c r="H1233" s="169"/>
      <c r="I1233" s="170"/>
      <c r="J1233" s="171" t="s">
        <v>1504</v>
      </c>
      <c r="K1233" s="172" t="s">
        <v>177</v>
      </c>
      <c r="L1233" s="172" t="s">
        <v>175</v>
      </c>
      <c r="M1233" s="173" t="str" cm="1">
        <f t="array" ref="M1233">IFERROR(INDEX(CategoriesTable[Category type],MATCH(Table1[[#This Row],[Category]],CategoriesTable[Category name],0),0),"")</f>
        <v>Expense</v>
      </c>
      <c r="N1233" s="173">
        <v>4</v>
      </c>
      <c r="O1233" s="173">
        <f>MONTH(Table1[[#This Row],[Date]])</f>
        <v>11</v>
      </c>
      <c r="P1233" s="173">
        <v>2019</v>
      </c>
      <c r="Q1233" s="174">
        <f>IF(ISBLANK(Table1[[#This Row],[Date]]),"",Table1[[#This Row],[Date]]-WEEKDAY(Table1[[#This Row],[Date]],2)+1)</f>
        <v>43773</v>
      </c>
      <c r="R1233" s="175">
        <f>IF(ISBLANK(Table1[[#This Row],[Date]]),"",DATE(Table1[[#This Row],[Date_Year]],Table1[[#This Row],[Date_Month]],1))</f>
        <v>43770</v>
      </c>
    </row>
    <row r="1234" spans="2:18" ht="15.75" hidden="1" x14ac:dyDescent="0.25">
      <c r="B1234" s="165">
        <v>43770</v>
      </c>
      <c r="C1234" s="166" t="s">
        <v>1505</v>
      </c>
      <c r="D1234" s="166" t="s">
        <v>65</v>
      </c>
      <c r="E1234" s="167"/>
      <c r="F1234" s="114">
        <v>-28.77</v>
      </c>
      <c r="G1234" s="168"/>
      <c r="H1234" s="169"/>
      <c r="I1234" s="170"/>
      <c r="J1234" s="171" t="s">
        <v>1506</v>
      </c>
      <c r="K1234" s="172" t="s">
        <v>177</v>
      </c>
      <c r="L1234" s="172" t="s">
        <v>175</v>
      </c>
      <c r="M1234" s="173" t="str" cm="1">
        <f t="array" ref="M1234">IFERROR(INDEX(CategoriesTable[Category type],MATCH(Table1[[#This Row],[Category]],CategoriesTable[Category name],0),0),"")</f>
        <v>Expense</v>
      </c>
      <c r="N1234" s="173">
        <v>1</v>
      </c>
      <c r="O1234" s="173">
        <f>MONTH(Table1[[#This Row],[Date]])</f>
        <v>11</v>
      </c>
      <c r="P1234" s="173">
        <v>2019</v>
      </c>
      <c r="Q1234" s="174">
        <f>IF(ISBLANK(Table1[[#This Row],[Date]]),"",Table1[[#This Row],[Date]]-WEEKDAY(Table1[[#This Row],[Date]],2)+1)</f>
        <v>43766</v>
      </c>
      <c r="R1234" s="175">
        <f>IF(ISBLANK(Table1[[#This Row],[Date]]),"",DATE(Table1[[#This Row],[Date_Year]],Table1[[#This Row],[Date_Month]],1))</f>
        <v>43770</v>
      </c>
    </row>
    <row r="1235" spans="2:18" ht="15.75" hidden="1" x14ac:dyDescent="0.25">
      <c r="B1235" s="165">
        <v>43770</v>
      </c>
      <c r="C1235" s="166" t="s">
        <v>196</v>
      </c>
      <c r="D1235" s="166" t="s">
        <v>50</v>
      </c>
      <c r="E1235" s="167"/>
      <c r="F1235" s="114">
        <v>4351.9399999999996</v>
      </c>
      <c r="G1235" s="168"/>
      <c r="H1235" s="169"/>
      <c r="I1235" s="170"/>
      <c r="J1235" s="171" t="s">
        <v>1507</v>
      </c>
      <c r="K1235" s="172" t="s">
        <v>177</v>
      </c>
      <c r="L1235" s="172" t="s">
        <v>175</v>
      </c>
      <c r="M1235" s="173" t="str" cm="1">
        <f t="array" ref="M1235">IFERROR(INDEX(CategoriesTable[Category type],MATCH(Table1[[#This Row],[Category]],CategoriesTable[Category name],0),0),"")</f>
        <v>Income</v>
      </c>
      <c r="N1235" s="173">
        <v>1</v>
      </c>
      <c r="O1235" s="173">
        <f>MONTH(Table1[[#This Row],[Date]])</f>
        <v>11</v>
      </c>
      <c r="P1235" s="173">
        <v>2019</v>
      </c>
      <c r="Q1235" s="174">
        <f>IF(ISBLANK(Table1[[#This Row],[Date]]),"",Table1[[#This Row],[Date]]-WEEKDAY(Table1[[#This Row],[Date]],2)+1)</f>
        <v>43766</v>
      </c>
      <c r="R1235" s="175">
        <f>IF(ISBLANK(Table1[[#This Row],[Date]]),"",DATE(Table1[[#This Row],[Date_Year]],Table1[[#This Row],[Date_Month]],1))</f>
        <v>43770</v>
      </c>
    </row>
    <row r="1236" spans="2:18" ht="15.75" hidden="1" x14ac:dyDescent="0.25">
      <c r="B1236" s="165">
        <v>43769</v>
      </c>
      <c r="C1236" s="166" t="s">
        <v>138</v>
      </c>
      <c r="D1236" s="166" t="s">
        <v>66</v>
      </c>
      <c r="E1236" s="167"/>
      <c r="F1236" s="114">
        <v>-12.99</v>
      </c>
      <c r="G1236" s="168"/>
      <c r="H1236" s="169"/>
      <c r="I1236" s="170"/>
      <c r="J1236" s="171" t="s">
        <v>1508</v>
      </c>
      <c r="K1236" s="172" t="s">
        <v>177</v>
      </c>
      <c r="L1236" s="172" t="s">
        <v>175</v>
      </c>
      <c r="M1236" s="173" t="str" cm="1">
        <f t="array" ref="M1236">IFERROR(INDEX(CategoriesTable[Category type],MATCH(Table1[[#This Row],[Category]],CategoriesTable[Category name],0),0),"")</f>
        <v>Expense</v>
      </c>
      <c r="N1236" s="173">
        <v>31</v>
      </c>
      <c r="O1236" s="173">
        <f>MONTH(Table1[[#This Row],[Date]])</f>
        <v>10</v>
      </c>
      <c r="P1236" s="173">
        <v>2019</v>
      </c>
      <c r="Q1236" s="174">
        <f>IF(ISBLANK(Table1[[#This Row],[Date]]),"",Table1[[#This Row],[Date]]-WEEKDAY(Table1[[#This Row],[Date]],2)+1)</f>
        <v>43766</v>
      </c>
      <c r="R1236" s="175">
        <f>IF(ISBLANK(Table1[[#This Row],[Date]]),"",DATE(Table1[[#This Row],[Date_Year]],Table1[[#This Row],[Date_Month]],1))</f>
        <v>43739</v>
      </c>
    </row>
    <row r="1237" spans="2:18" ht="15.75" hidden="1" x14ac:dyDescent="0.25">
      <c r="B1237" s="165">
        <v>43769</v>
      </c>
      <c r="C1237" s="166" t="s">
        <v>784</v>
      </c>
      <c r="D1237" s="166" t="s">
        <v>64</v>
      </c>
      <c r="E1237" s="167"/>
      <c r="F1237" s="114">
        <v>-500</v>
      </c>
      <c r="G1237" s="168"/>
      <c r="H1237" s="169"/>
      <c r="I1237" s="170"/>
      <c r="J1237" s="171" t="s">
        <v>1509</v>
      </c>
      <c r="K1237" s="172" t="s">
        <v>177</v>
      </c>
      <c r="L1237" s="172" t="s">
        <v>175</v>
      </c>
      <c r="M1237" s="173" t="str" cm="1">
        <f t="array" ref="M1237">IFERROR(INDEX(CategoriesTable[Category type],MATCH(Table1[[#This Row],[Category]],CategoriesTable[Category name],0),0),"")</f>
        <v>Expense</v>
      </c>
      <c r="N1237" s="173">
        <v>31</v>
      </c>
      <c r="O1237" s="173">
        <f>MONTH(Table1[[#This Row],[Date]])</f>
        <v>10</v>
      </c>
      <c r="P1237" s="173">
        <v>2019</v>
      </c>
      <c r="Q1237" s="174">
        <f>IF(ISBLANK(Table1[[#This Row],[Date]]),"",Table1[[#This Row],[Date]]-WEEKDAY(Table1[[#This Row],[Date]],2)+1)</f>
        <v>43766</v>
      </c>
      <c r="R1237" s="175">
        <f>IF(ISBLANK(Table1[[#This Row],[Date]]),"",DATE(Table1[[#This Row],[Date_Year]],Table1[[#This Row],[Date_Month]],1))</f>
        <v>43739</v>
      </c>
    </row>
    <row r="1238" spans="2:18" ht="15.75" hidden="1" x14ac:dyDescent="0.25">
      <c r="B1238" s="165">
        <v>43769</v>
      </c>
      <c r="C1238" s="166" t="s">
        <v>120</v>
      </c>
      <c r="D1238" s="166" t="s">
        <v>57</v>
      </c>
      <c r="E1238" s="167"/>
      <c r="F1238" s="114">
        <v>-36</v>
      </c>
      <c r="G1238" s="168"/>
      <c r="H1238" s="169"/>
      <c r="I1238" s="170"/>
      <c r="J1238" s="171" t="s">
        <v>1510</v>
      </c>
      <c r="K1238" s="172" t="s">
        <v>177</v>
      </c>
      <c r="L1238" s="172" t="s">
        <v>175</v>
      </c>
      <c r="M1238" s="173" t="str" cm="1">
        <f t="array" ref="M1238">IFERROR(INDEX(CategoriesTable[Category type],MATCH(Table1[[#This Row],[Category]],CategoriesTable[Category name],0),0),"")</f>
        <v>Expense</v>
      </c>
      <c r="N1238" s="173">
        <v>31</v>
      </c>
      <c r="O1238" s="173">
        <f>MONTH(Table1[[#This Row],[Date]])</f>
        <v>10</v>
      </c>
      <c r="P1238" s="173">
        <v>2019</v>
      </c>
      <c r="Q1238" s="174">
        <f>IF(ISBLANK(Table1[[#This Row],[Date]]),"",Table1[[#This Row],[Date]]-WEEKDAY(Table1[[#This Row],[Date]],2)+1)</f>
        <v>43766</v>
      </c>
      <c r="R1238" s="175">
        <f>IF(ISBLANK(Table1[[#This Row],[Date]]),"",DATE(Table1[[#This Row],[Date_Year]],Table1[[#This Row],[Date_Month]],1))</f>
        <v>43739</v>
      </c>
    </row>
    <row r="1239" spans="2:18" ht="15.75" hidden="1" x14ac:dyDescent="0.25">
      <c r="B1239" s="165">
        <v>43769</v>
      </c>
      <c r="C1239" s="166" t="s">
        <v>358</v>
      </c>
      <c r="D1239" s="166" t="s">
        <v>57</v>
      </c>
      <c r="E1239" s="167"/>
      <c r="F1239" s="114">
        <v>-36</v>
      </c>
      <c r="G1239" s="168"/>
      <c r="H1239" s="169"/>
      <c r="I1239" s="170"/>
      <c r="J1239" s="171" t="s">
        <v>1511</v>
      </c>
      <c r="K1239" s="172" t="s">
        <v>177</v>
      </c>
      <c r="L1239" s="172" t="s">
        <v>175</v>
      </c>
      <c r="M1239" s="173" t="str" cm="1">
        <f t="array" ref="M1239">IFERROR(INDEX(CategoriesTable[Category type],MATCH(Table1[[#This Row],[Category]],CategoriesTable[Category name],0),0),"")</f>
        <v>Expense</v>
      </c>
      <c r="N1239" s="173">
        <v>31</v>
      </c>
      <c r="O1239" s="173">
        <f>MONTH(Table1[[#This Row],[Date]])</f>
        <v>10</v>
      </c>
      <c r="P1239" s="173">
        <v>2019</v>
      </c>
      <c r="Q1239" s="174">
        <f>IF(ISBLANK(Table1[[#This Row],[Date]]),"",Table1[[#This Row],[Date]]-WEEKDAY(Table1[[#This Row],[Date]],2)+1)</f>
        <v>43766</v>
      </c>
      <c r="R1239" s="175">
        <f>IF(ISBLANK(Table1[[#This Row],[Date]]),"",DATE(Table1[[#This Row],[Date_Year]],Table1[[#This Row],[Date_Month]],1))</f>
        <v>43739</v>
      </c>
    </row>
    <row r="1240" spans="2:18" ht="15.75" hidden="1" x14ac:dyDescent="0.25">
      <c r="B1240" s="165">
        <v>43769</v>
      </c>
      <c r="C1240" s="166" t="s">
        <v>358</v>
      </c>
      <c r="D1240" s="166" t="s">
        <v>57</v>
      </c>
      <c r="E1240" s="167"/>
      <c r="F1240" s="114">
        <v>-36</v>
      </c>
      <c r="G1240" s="168"/>
      <c r="H1240" s="169"/>
      <c r="I1240" s="170"/>
      <c r="J1240" s="171" t="s">
        <v>1512</v>
      </c>
      <c r="K1240" s="172" t="s">
        <v>177</v>
      </c>
      <c r="L1240" s="172" t="s">
        <v>175</v>
      </c>
      <c r="M1240" s="173" t="str" cm="1">
        <f t="array" ref="M1240">IFERROR(INDEX(CategoriesTable[Category type],MATCH(Table1[[#This Row],[Category]],CategoriesTable[Category name],0),0),"")</f>
        <v>Expense</v>
      </c>
      <c r="N1240" s="173">
        <v>31</v>
      </c>
      <c r="O1240" s="173">
        <f>MONTH(Table1[[#This Row],[Date]])</f>
        <v>10</v>
      </c>
      <c r="P1240" s="173">
        <v>2019</v>
      </c>
      <c r="Q1240" s="174">
        <f>IF(ISBLANK(Table1[[#This Row],[Date]]),"",Table1[[#This Row],[Date]]-WEEKDAY(Table1[[#This Row],[Date]],2)+1)</f>
        <v>43766</v>
      </c>
      <c r="R1240" s="175">
        <f>IF(ISBLANK(Table1[[#This Row],[Date]]),"",DATE(Table1[[#This Row],[Date_Year]],Table1[[#This Row],[Date_Month]],1))</f>
        <v>43739</v>
      </c>
    </row>
    <row r="1241" spans="2:18" ht="15.75" hidden="1" x14ac:dyDescent="0.25">
      <c r="B1241" s="165">
        <v>43769</v>
      </c>
      <c r="C1241" s="166" t="s">
        <v>193</v>
      </c>
      <c r="D1241" s="166" t="s">
        <v>66</v>
      </c>
      <c r="E1241" s="167"/>
      <c r="F1241" s="114">
        <v>-9.5299999999999994</v>
      </c>
      <c r="G1241" s="168"/>
      <c r="H1241" s="169"/>
      <c r="I1241" s="170"/>
      <c r="J1241" s="171" t="s">
        <v>1513</v>
      </c>
      <c r="K1241" s="172" t="s">
        <v>177</v>
      </c>
      <c r="L1241" s="172" t="s">
        <v>175</v>
      </c>
      <c r="M1241" s="173" t="str" cm="1">
        <f t="array" ref="M1241">IFERROR(INDEX(CategoriesTable[Category type],MATCH(Table1[[#This Row],[Category]],CategoriesTable[Category name],0),0),"")</f>
        <v>Expense</v>
      </c>
      <c r="N1241" s="173">
        <v>31</v>
      </c>
      <c r="O1241" s="173">
        <f>MONTH(Table1[[#This Row],[Date]])</f>
        <v>10</v>
      </c>
      <c r="P1241" s="173">
        <v>2019</v>
      </c>
      <c r="Q1241" s="174">
        <f>IF(ISBLANK(Table1[[#This Row],[Date]]),"",Table1[[#This Row],[Date]]-WEEKDAY(Table1[[#This Row],[Date]],2)+1)</f>
        <v>43766</v>
      </c>
      <c r="R1241" s="175">
        <f>IF(ISBLANK(Table1[[#This Row],[Date]]),"",DATE(Table1[[#This Row],[Date_Year]],Table1[[#This Row],[Date_Month]],1))</f>
        <v>43739</v>
      </c>
    </row>
    <row r="1242" spans="2:18" ht="15.75" hidden="1" x14ac:dyDescent="0.25">
      <c r="B1242" s="165">
        <v>43768</v>
      </c>
      <c r="C1242" s="166" t="s">
        <v>120</v>
      </c>
      <c r="D1242" s="166" t="s">
        <v>66</v>
      </c>
      <c r="E1242" s="167"/>
      <c r="F1242" s="114">
        <v>-11.28</v>
      </c>
      <c r="G1242" s="168"/>
      <c r="H1242" s="169"/>
      <c r="I1242" s="170"/>
      <c r="J1242" s="171" t="s">
        <v>1514</v>
      </c>
      <c r="K1242" s="172" t="s">
        <v>177</v>
      </c>
      <c r="L1242" s="172" t="s">
        <v>175</v>
      </c>
      <c r="M1242" s="173" t="str" cm="1">
        <f t="array" ref="M1242">IFERROR(INDEX(CategoriesTable[Category type],MATCH(Table1[[#This Row],[Category]],CategoriesTable[Category name],0),0),"")</f>
        <v>Expense</v>
      </c>
      <c r="N1242" s="173">
        <v>30</v>
      </c>
      <c r="O1242" s="173">
        <f>MONTH(Table1[[#This Row],[Date]])</f>
        <v>10</v>
      </c>
      <c r="P1242" s="173">
        <v>2019</v>
      </c>
      <c r="Q1242" s="174">
        <f>IF(ISBLANK(Table1[[#This Row],[Date]]),"",Table1[[#This Row],[Date]]-WEEKDAY(Table1[[#This Row],[Date]],2)+1)</f>
        <v>43766</v>
      </c>
      <c r="R1242" s="175">
        <f>IF(ISBLANK(Table1[[#This Row],[Date]]),"",DATE(Table1[[#This Row],[Date_Year]],Table1[[#This Row],[Date_Month]],1))</f>
        <v>43739</v>
      </c>
    </row>
    <row r="1243" spans="2:18" ht="15.75" hidden="1" x14ac:dyDescent="0.25">
      <c r="B1243" s="165">
        <v>43767</v>
      </c>
      <c r="C1243" s="166" t="s">
        <v>1102</v>
      </c>
      <c r="D1243" s="166" t="s">
        <v>58</v>
      </c>
      <c r="E1243" s="167"/>
      <c r="F1243" s="114">
        <v>-5.85</v>
      </c>
      <c r="G1243" s="168"/>
      <c r="H1243" s="169"/>
      <c r="I1243" s="170"/>
      <c r="J1243" s="171" t="s">
        <v>1515</v>
      </c>
      <c r="K1243" s="172" t="s">
        <v>177</v>
      </c>
      <c r="L1243" s="172" t="s">
        <v>175</v>
      </c>
      <c r="M1243" s="173" t="str" cm="1">
        <f t="array" ref="M1243">IFERROR(INDEX(CategoriesTable[Category type],MATCH(Table1[[#This Row],[Category]],CategoriesTable[Category name],0),0),"")</f>
        <v>Expense</v>
      </c>
      <c r="N1243" s="173">
        <v>29</v>
      </c>
      <c r="O1243" s="173">
        <f>MONTH(Table1[[#This Row],[Date]])</f>
        <v>10</v>
      </c>
      <c r="P1243" s="173">
        <v>2019</v>
      </c>
      <c r="Q1243" s="174">
        <f>IF(ISBLANK(Table1[[#This Row],[Date]]),"",Table1[[#This Row],[Date]]-WEEKDAY(Table1[[#This Row],[Date]],2)+1)</f>
        <v>43766</v>
      </c>
      <c r="R1243" s="175">
        <f>IF(ISBLANK(Table1[[#This Row],[Date]]),"",DATE(Table1[[#This Row],[Date_Year]],Table1[[#This Row],[Date_Month]],1))</f>
        <v>43739</v>
      </c>
    </row>
    <row r="1244" spans="2:18" ht="15.75" hidden="1" x14ac:dyDescent="0.25">
      <c r="B1244" s="165">
        <v>43767</v>
      </c>
      <c r="C1244" s="166" t="s">
        <v>121</v>
      </c>
      <c r="D1244" s="166" t="s">
        <v>65</v>
      </c>
      <c r="E1244" s="167"/>
      <c r="F1244" s="114">
        <v>-13.94</v>
      </c>
      <c r="G1244" s="168"/>
      <c r="H1244" s="169"/>
      <c r="I1244" s="170"/>
      <c r="J1244" s="171" t="s">
        <v>1516</v>
      </c>
      <c r="K1244" s="172" t="s">
        <v>177</v>
      </c>
      <c r="L1244" s="172" t="s">
        <v>175</v>
      </c>
      <c r="M1244" s="173" t="str" cm="1">
        <f t="array" ref="M1244">IFERROR(INDEX(CategoriesTable[Category type],MATCH(Table1[[#This Row],[Category]],CategoriesTable[Category name],0),0),"")</f>
        <v>Expense</v>
      </c>
      <c r="N1244" s="173">
        <v>29</v>
      </c>
      <c r="O1244" s="173">
        <f>MONTH(Table1[[#This Row],[Date]])</f>
        <v>10</v>
      </c>
      <c r="P1244" s="173">
        <v>2019</v>
      </c>
      <c r="Q1244" s="174">
        <f>IF(ISBLANK(Table1[[#This Row],[Date]]),"",Table1[[#This Row],[Date]]-WEEKDAY(Table1[[#This Row],[Date]],2)+1)</f>
        <v>43766</v>
      </c>
      <c r="R1244" s="175">
        <f>IF(ISBLANK(Table1[[#This Row],[Date]]),"",DATE(Table1[[#This Row],[Date_Year]],Table1[[#This Row],[Date_Month]],1))</f>
        <v>43739</v>
      </c>
    </row>
    <row r="1245" spans="2:18" ht="15.75" hidden="1" x14ac:dyDescent="0.25">
      <c r="B1245" s="165">
        <v>43767</v>
      </c>
      <c r="C1245" s="166" t="s">
        <v>608</v>
      </c>
      <c r="D1245" s="166" t="s">
        <v>66</v>
      </c>
      <c r="E1245" s="167"/>
      <c r="F1245" s="114">
        <v>-19.98</v>
      </c>
      <c r="G1245" s="168"/>
      <c r="H1245" s="169"/>
      <c r="I1245" s="170"/>
      <c r="J1245" s="171" t="s">
        <v>1517</v>
      </c>
      <c r="K1245" s="172" t="s">
        <v>177</v>
      </c>
      <c r="L1245" s="172" t="s">
        <v>175</v>
      </c>
      <c r="M1245" s="173" t="str" cm="1">
        <f t="array" ref="M1245">IFERROR(INDEX(CategoriesTable[Category type],MATCH(Table1[[#This Row],[Category]],CategoriesTable[Category name],0),0),"")</f>
        <v>Expense</v>
      </c>
      <c r="N1245" s="173">
        <v>29</v>
      </c>
      <c r="O1245" s="173">
        <f>MONTH(Table1[[#This Row],[Date]])</f>
        <v>10</v>
      </c>
      <c r="P1245" s="173">
        <v>2019</v>
      </c>
      <c r="Q1245" s="174">
        <f>IF(ISBLANK(Table1[[#This Row],[Date]]),"",Table1[[#This Row],[Date]]-WEEKDAY(Table1[[#This Row],[Date]],2)+1)</f>
        <v>43766</v>
      </c>
      <c r="R1245" s="175">
        <f>IF(ISBLANK(Table1[[#This Row],[Date]]),"",DATE(Table1[[#This Row],[Date_Year]],Table1[[#This Row],[Date_Month]],1))</f>
        <v>43739</v>
      </c>
    </row>
    <row r="1246" spans="2:18" ht="15.75" hidden="1" x14ac:dyDescent="0.25">
      <c r="B1246" s="165">
        <v>43767</v>
      </c>
      <c r="C1246" s="166" t="s">
        <v>715</v>
      </c>
      <c r="D1246" s="166" t="s">
        <v>55</v>
      </c>
      <c r="E1246" s="167"/>
      <c r="F1246" s="114">
        <v>-318</v>
      </c>
      <c r="G1246" s="168"/>
      <c r="H1246" s="169"/>
      <c r="I1246" s="170"/>
      <c r="J1246" s="171" t="s">
        <v>1518</v>
      </c>
      <c r="K1246" s="172" t="s">
        <v>177</v>
      </c>
      <c r="L1246" s="172" t="s">
        <v>175</v>
      </c>
      <c r="M1246" s="173" t="str" cm="1">
        <f t="array" ref="M1246">IFERROR(INDEX(CategoriesTable[Category type],MATCH(Table1[[#This Row],[Category]],CategoriesTable[Category name],0),0),"")</f>
        <v>Expense</v>
      </c>
      <c r="N1246" s="173">
        <v>29</v>
      </c>
      <c r="O1246" s="173">
        <f>MONTH(Table1[[#This Row],[Date]])</f>
        <v>10</v>
      </c>
      <c r="P1246" s="173">
        <v>2019</v>
      </c>
      <c r="Q1246" s="174">
        <f>IF(ISBLANK(Table1[[#This Row],[Date]]),"",Table1[[#This Row],[Date]]-WEEKDAY(Table1[[#This Row],[Date]],2)+1)</f>
        <v>43766</v>
      </c>
      <c r="R1246" s="175">
        <f>IF(ISBLANK(Table1[[#This Row],[Date]]),"",DATE(Table1[[#This Row],[Date_Year]],Table1[[#This Row],[Date_Month]],1))</f>
        <v>43739</v>
      </c>
    </row>
    <row r="1247" spans="2:18" ht="15.75" hidden="1" x14ac:dyDescent="0.25">
      <c r="B1247" s="165">
        <v>43766</v>
      </c>
      <c r="C1247" s="166" t="s">
        <v>184</v>
      </c>
      <c r="D1247" s="166" t="s">
        <v>56</v>
      </c>
      <c r="E1247" s="167"/>
      <c r="F1247" s="114">
        <v>-59.99</v>
      </c>
      <c r="G1247" s="168"/>
      <c r="H1247" s="169"/>
      <c r="I1247" s="170"/>
      <c r="J1247" s="171" t="s">
        <v>1519</v>
      </c>
      <c r="K1247" s="172" t="s">
        <v>177</v>
      </c>
      <c r="L1247" s="172" t="s">
        <v>175</v>
      </c>
      <c r="M1247" s="173" t="str" cm="1">
        <f t="array" ref="M1247">IFERROR(INDEX(CategoriesTable[Category type],MATCH(Table1[[#This Row],[Category]],CategoriesTable[Category name],0),0),"")</f>
        <v>Expense</v>
      </c>
      <c r="N1247" s="173">
        <v>28</v>
      </c>
      <c r="O1247" s="173">
        <f>MONTH(Table1[[#This Row],[Date]])</f>
        <v>10</v>
      </c>
      <c r="P1247" s="173">
        <v>2019</v>
      </c>
      <c r="Q1247" s="174">
        <f>IF(ISBLANK(Table1[[#This Row],[Date]]),"",Table1[[#This Row],[Date]]-WEEKDAY(Table1[[#This Row],[Date]],2)+1)</f>
        <v>43766</v>
      </c>
      <c r="R1247" s="175">
        <f>IF(ISBLANK(Table1[[#This Row],[Date]]),"",DATE(Table1[[#This Row],[Date_Year]],Table1[[#This Row],[Date_Month]],1))</f>
        <v>43739</v>
      </c>
    </row>
    <row r="1248" spans="2:18" ht="15.75" hidden="1" x14ac:dyDescent="0.25">
      <c r="B1248" s="165">
        <v>43766</v>
      </c>
      <c r="C1248" s="166" t="s">
        <v>249</v>
      </c>
      <c r="D1248" s="166" t="s">
        <v>52</v>
      </c>
      <c r="E1248" s="167"/>
      <c r="F1248" s="114">
        <v>-110</v>
      </c>
      <c r="G1248" s="168"/>
      <c r="H1248" s="169"/>
      <c r="I1248" s="170"/>
      <c r="J1248" s="171" t="s">
        <v>1520</v>
      </c>
      <c r="K1248" s="172" t="s">
        <v>177</v>
      </c>
      <c r="L1248" s="172" t="s">
        <v>175</v>
      </c>
      <c r="M1248" s="173" t="str" cm="1">
        <f t="array" ref="M1248">IFERROR(INDEX(CategoriesTable[Category type],MATCH(Table1[[#This Row],[Category]],CategoriesTable[Category name],0),0),"")</f>
        <v>Transfer</v>
      </c>
      <c r="N1248" s="173">
        <v>28</v>
      </c>
      <c r="O1248" s="173">
        <f>MONTH(Table1[[#This Row],[Date]])</f>
        <v>10</v>
      </c>
      <c r="P1248" s="173">
        <v>2019</v>
      </c>
      <c r="Q1248" s="174">
        <f>IF(ISBLANK(Table1[[#This Row],[Date]]),"",Table1[[#This Row],[Date]]-WEEKDAY(Table1[[#This Row],[Date]],2)+1)</f>
        <v>43766</v>
      </c>
      <c r="R1248" s="175">
        <f>IF(ISBLANK(Table1[[#This Row],[Date]]),"",DATE(Table1[[#This Row],[Date_Year]],Table1[[#This Row],[Date_Month]],1))</f>
        <v>43739</v>
      </c>
    </row>
    <row r="1249" spans="2:18" ht="15.75" hidden="1" x14ac:dyDescent="0.25">
      <c r="B1249" s="165">
        <v>43766</v>
      </c>
      <c r="C1249" s="166" t="s">
        <v>664</v>
      </c>
      <c r="D1249" s="166" t="s">
        <v>66</v>
      </c>
      <c r="E1249" s="167"/>
      <c r="F1249" s="114">
        <v>-132.82</v>
      </c>
      <c r="G1249" s="168"/>
      <c r="H1249" s="169"/>
      <c r="I1249" s="170"/>
      <c r="J1249" s="171" t="s">
        <v>1521</v>
      </c>
      <c r="K1249" s="172" t="s">
        <v>177</v>
      </c>
      <c r="L1249" s="172" t="s">
        <v>175</v>
      </c>
      <c r="M1249" s="173" t="str" cm="1">
        <f t="array" ref="M1249">IFERROR(INDEX(CategoriesTable[Category type],MATCH(Table1[[#This Row],[Category]],CategoriesTable[Category name],0),0),"")</f>
        <v>Expense</v>
      </c>
      <c r="N1249" s="173">
        <v>28</v>
      </c>
      <c r="O1249" s="173">
        <f>MONTH(Table1[[#This Row],[Date]])</f>
        <v>10</v>
      </c>
      <c r="P1249" s="173">
        <v>2019</v>
      </c>
      <c r="Q1249" s="174">
        <f>IF(ISBLANK(Table1[[#This Row],[Date]]),"",Table1[[#This Row],[Date]]-WEEKDAY(Table1[[#This Row],[Date]],2)+1)</f>
        <v>43766</v>
      </c>
      <c r="R1249" s="175">
        <f>IF(ISBLANK(Table1[[#This Row],[Date]]),"",DATE(Table1[[#This Row],[Date_Year]],Table1[[#This Row],[Date_Month]],1))</f>
        <v>43739</v>
      </c>
    </row>
    <row r="1250" spans="2:18" ht="15.75" hidden="1" x14ac:dyDescent="0.25">
      <c r="B1250" s="165">
        <v>43763</v>
      </c>
      <c r="C1250" s="166" t="s">
        <v>247</v>
      </c>
      <c r="D1250" s="166" t="s">
        <v>65</v>
      </c>
      <c r="E1250" s="167"/>
      <c r="F1250" s="114">
        <v>-16.39</v>
      </c>
      <c r="G1250" s="168"/>
      <c r="H1250" s="169"/>
      <c r="I1250" s="170"/>
      <c r="J1250" s="171" t="s">
        <v>1522</v>
      </c>
      <c r="K1250" s="172" t="s">
        <v>177</v>
      </c>
      <c r="L1250" s="172" t="s">
        <v>175</v>
      </c>
      <c r="M1250" s="173" t="str" cm="1">
        <f t="array" ref="M1250">IFERROR(INDEX(CategoriesTable[Category type],MATCH(Table1[[#This Row],[Category]],CategoriesTable[Category name],0),0),"")</f>
        <v>Expense</v>
      </c>
      <c r="N1250" s="173">
        <v>25</v>
      </c>
      <c r="O1250" s="173">
        <f>MONTH(Table1[[#This Row],[Date]])</f>
        <v>10</v>
      </c>
      <c r="P1250" s="173">
        <v>2019</v>
      </c>
      <c r="Q1250" s="174">
        <f>IF(ISBLANK(Table1[[#This Row],[Date]]),"",Table1[[#This Row],[Date]]-WEEKDAY(Table1[[#This Row],[Date]],2)+1)</f>
        <v>43759</v>
      </c>
      <c r="R1250" s="175">
        <f>IF(ISBLANK(Table1[[#This Row],[Date]]),"",DATE(Table1[[#This Row],[Date_Year]],Table1[[#This Row],[Date_Month]],1))</f>
        <v>43739</v>
      </c>
    </row>
    <row r="1251" spans="2:18" ht="15.75" hidden="1" x14ac:dyDescent="0.25">
      <c r="B1251" s="118"/>
      <c r="C1251" s="119"/>
      <c r="D1251" s="119"/>
      <c r="E1251" s="119"/>
      <c r="F1251" s="120"/>
      <c r="H1251" s="98"/>
      <c r="I1251" s="98"/>
      <c r="J1251" s="98"/>
      <c r="K1251" s="121"/>
      <c r="L1251" s="121"/>
      <c r="M1251" s="122" t="str" cm="1">
        <f t="array" ref="M1251">IFERROR(INDEX(CategoriesTable[Category type],MATCH(Table1[[#This Row],[Category]],CategoriesTable[Category name],0),0),"")</f>
        <v/>
      </c>
      <c r="N1251" s="122">
        <f>DAY(Table1[[#This Row],[Date]])</f>
        <v>0</v>
      </c>
      <c r="O1251" s="122">
        <f>MONTH(Table1[[#This Row],[Date]])</f>
        <v>1</v>
      </c>
      <c r="P1251" s="122">
        <f>YEAR(Table1[[#This Row],[Date]])</f>
        <v>1900</v>
      </c>
      <c r="Q1251" s="123" t="str">
        <f>IF(ISBLANK(Table1[[#This Row],[Date]]),"",Table1[[#This Row],[Date]]-WEEKDAY(Table1[[#This Row],[Date]],2)+1)</f>
        <v/>
      </c>
      <c r="R1251" s="124" t="str">
        <f>IF(ISBLANK(Table1[[#This Row],[Date]]),"",DATE(Table1[[#This Row],[Date_Year]],Table1[[#This Row],[Date_Month]],1))</f>
        <v/>
      </c>
    </row>
    <row r="1252" spans="2:18" ht="15.75" x14ac:dyDescent="0.25">
      <c r="B1252" s="118"/>
      <c r="C1252" s="119"/>
      <c r="D1252" s="119"/>
      <c r="E1252" s="120"/>
      <c r="G1252" s="98"/>
      <c r="H1252" s="98"/>
      <c r="I1252" s="98"/>
      <c r="J1252" s="121"/>
      <c r="K1252" s="121"/>
      <c r="L1252" s="122" t="str" cm="1">
        <f t="array" ref="L1252">IFERROR(INDEX(CategoriesTableLegacy[Category Type],MATCH(Table1[[#This Row],[Category]],CategoriesTableLegacy[Category Name],0),0),"")</f>
        <v/>
      </c>
      <c r="M1252" s="122"/>
      <c r="N1252" s="122"/>
      <c r="O1252" s="122"/>
      <c r="P1252" s="123"/>
      <c r="Q1252" s="124"/>
    </row>
  </sheetData>
  <sheetProtection formatCells="0" formatColumns="0" formatRows="0" insertColumns="0" insertRows="0" deleteColumns="0" sort="0" autoFilter="0"/>
  <mergeCells count="2">
    <mergeCell ref="B2:H2"/>
    <mergeCell ref="B3:H3"/>
  </mergeCells>
  <conditionalFormatting sqref="F7:F1251">
    <cfRule type="expression" dxfId="60" priority="8">
      <formula>$F7&gt;0</formula>
    </cfRule>
  </conditionalFormatting>
  <conditionalFormatting sqref="E7:E1251">
    <cfRule type="expression" dxfId="59" priority="9">
      <formula>AND(NOT(ISNUMBER(MATCH(E7,SubcategoryNames,0))), NOT(ISBLANK(E7)))</formula>
    </cfRule>
  </conditionalFormatting>
  <conditionalFormatting sqref="D7:D1251">
    <cfRule type="expression" dxfId="58" priority="10">
      <formula>NOT(ISNUMBER(MATCH(D7,HiddenCategoriesCategoryNames,0)))</formula>
    </cfRule>
  </conditionalFormatting>
  <dataValidations count="5">
    <dataValidation allowBlank="1" showInputMessage="1" showErrorMessage="1" promptTitle="&quot;Category Filter&quot; Slicer" prompt="Choose categories in slicer to filter the Transactions table below" sqref="F1" xr:uid="{3EFD49C3-B456-4339-B033-286684B3D63C}"/>
    <dataValidation allowBlank="1" showInputMessage="1" showErrorMessage="1" promptTitle="&quot;Month Filter&quot; Slicer" prompt="Choose months in slicer to filter the Transactions table below_x000a_" sqref="H1" xr:uid="{8AA570C5-8547-4A71-8812-4BC4C7C5D75F}"/>
    <dataValidation allowBlank="1" showInputMessage="1" showErrorMessage="1" promptTitle="Transactions" prompt="Transactions from your added accounts are automatically imported here. Click Update in the task pane to import more transactions. Edit the Merchant and Category columns to better reflect where and how you spend your money." sqref="A1" xr:uid="{082D66B4-CDDE-48CF-BEF6-8B5BD1FB5626}"/>
    <dataValidation type="list" allowBlank="1" showInputMessage="1" showErrorMessage="1" sqref="D7:D1251" xr:uid="{B5EF1D71-7A32-4811-8870-EED801877F12}">
      <formula1>HiddenCategoriesCategoryNames</formula1>
    </dataValidation>
    <dataValidation type="list" allowBlank="1" showInputMessage="1" showErrorMessage="1" sqref="E7:E1251" xr:uid="{C4D59D7D-3AA9-412F-98BA-28393704511C}">
      <formula1>OFFSET(HiddenCategoriesCategoryNames,MATCH(D7,HiddenCategoriesCategoryNames,0)-1,1,1,COUNTA(OFFSET(HiddenCategoriesCategoryNames,MATCH(D7,HiddenCategoriesCategoryNames,0)-1,1,1,30)))</formula1>
    </dataValidation>
  </dataValidations>
  <pageMargins left="0.7" right="0.7" top="0.75" bottom="0.75" header="0.3" footer="0.3"/>
  <pageSetup orientation="portrait" r:id="rId1"/>
  <tableParts count="1">
    <tablePart r:id="rId2"/>
  </tableParts>
  <extLst>
    <ext xmlns:x15="http://schemas.microsoft.com/office/spreadsheetml/2010/11/main" uri="{F7C9EE02-42E1-4005-9D12-6889AFFD525C}">
      <x15:webExtensions xmlns:xm="http://schemas.microsoft.com/office/excel/2006/main">
        <x15:webExtension appRef="{841EE5C1-E92D-4666-989F-3361C6FB9091}">
          <xm:f>Transactions!$D$6:$D$1251</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940C1-B566-4F45-AE77-B3B11FD5D1C1}">
  <sheetPr>
    <tabColor theme="5"/>
  </sheetPr>
  <dimension ref="A1:E14"/>
  <sheetViews>
    <sheetView workbookViewId="0">
      <selection activeCell="B19" sqref="B19"/>
    </sheetView>
  </sheetViews>
  <sheetFormatPr defaultRowHeight="15" x14ac:dyDescent="0.25"/>
  <sheetData>
    <row r="1" spans="1:5" x14ac:dyDescent="0.25">
      <c r="A1" t="s">
        <v>124</v>
      </c>
    </row>
    <row r="2" spans="1:5" ht="15.75" x14ac:dyDescent="0.25">
      <c r="A2" s="165">
        <v>44281</v>
      </c>
      <c r="B2" s="218" t="s">
        <v>124</v>
      </c>
      <c r="C2" s="218" t="s">
        <v>55</v>
      </c>
      <c r="D2" s="219"/>
      <c r="E2" s="114">
        <v>-10.59</v>
      </c>
    </row>
    <row r="3" spans="1:5" ht="15.75" x14ac:dyDescent="0.25">
      <c r="A3" s="220">
        <v>44253</v>
      </c>
      <c r="B3" s="221" t="s">
        <v>124</v>
      </c>
      <c r="C3" s="221" t="s">
        <v>55</v>
      </c>
      <c r="D3" s="222"/>
      <c r="E3" s="223">
        <v>-9.99</v>
      </c>
    </row>
    <row r="4" spans="1:5" ht="15.75" x14ac:dyDescent="0.25">
      <c r="A4" s="165">
        <v>44222</v>
      </c>
      <c r="B4" s="218" t="s">
        <v>124</v>
      </c>
      <c r="C4" s="218" t="s">
        <v>55</v>
      </c>
      <c r="D4" s="219"/>
      <c r="E4" s="114">
        <v>-9.99</v>
      </c>
    </row>
    <row r="5" spans="1:5" ht="15.75" x14ac:dyDescent="0.25">
      <c r="A5" s="220">
        <v>44191</v>
      </c>
      <c r="B5" s="221" t="s">
        <v>124</v>
      </c>
      <c r="C5" s="221" t="s">
        <v>55</v>
      </c>
      <c r="D5" s="222"/>
      <c r="E5" s="223">
        <v>-9.99</v>
      </c>
    </row>
    <row r="6" spans="1:5" ht="15.75" x14ac:dyDescent="0.25">
      <c r="A6" s="165">
        <v>44161</v>
      </c>
      <c r="B6" s="218" t="s">
        <v>124</v>
      </c>
      <c r="C6" s="218" t="s">
        <v>55</v>
      </c>
      <c r="D6" s="219"/>
      <c r="E6" s="114">
        <v>-9.99</v>
      </c>
    </row>
    <row r="7" spans="1:5" ht="15.75" x14ac:dyDescent="0.25">
      <c r="A7" s="220">
        <v>44130</v>
      </c>
      <c r="B7" s="221" t="s">
        <v>124</v>
      </c>
      <c r="C7" s="221" t="s">
        <v>55</v>
      </c>
      <c r="D7" s="222"/>
      <c r="E7" s="223">
        <v>-9.99</v>
      </c>
    </row>
    <row r="8" spans="1:5" ht="15.75" x14ac:dyDescent="0.25">
      <c r="A8" s="165">
        <v>44100</v>
      </c>
      <c r="B8" s="218" t="s">
        <v>124</v>
      </c>
      <c r="C8" s="218" t="s">
        <v>55</v>
      </c>
      <c r="D8" s="219"/>
      <c r="E8" s="114">
        <v>-9.99</v>
      </c>
    </row>
    <row r="9" spans="1:5" ht="15.75" x14ac:dyDescent="0.25">
      <c r="A9" s="220">
        <v>44069</v>
      </c>
      <c r="B9" s="221" t="s">
        <v>124</v>
      </c>
      <c r="C9" s="221" t="s">
        <v>55</v>
      </c>
      <c r="D9" s="222"/>
      <c r="E9" s="223">
        <v>-9.99</v>
      </c>
    </row>
    <row r="10" spans="1:5" ht="15.75" x14ac:dyDescent="0.25">
      <c r="A10" s="165">
        <v>44039</v>
      </c>
      <c r="B10" s="218" t="s">
        <v>124</v>
      </c>
      <c r="C10" s="218" t="s">
        <v>57</v>
      </c>
      <c r="D10" s="219"/>
      <c r="E10" s="114">
        <v>-36</v>
      </c>
    </row>
    <row r="11" spans="1:5" ht="15.75" x14ac:dyDescent="0.25">
      <c r="A11" s="220">
        <v>44008</v>
      </c>
      <c r="B11" s="221" t="s">
        <v>124</v>
      </c>
      <c r="C11" s="221" t="s">
        <v>55</v>
      </c>
      <c r="D11" s="222"/>
      <c r="E11" s="223">
        <v>-9.99</v>
      </c>
    </row>
    <row r="12" spans="1:5" ht="15.75" x14ac:dyDescent="0.25">
      <c r="A12" s="165">
        <v>43977</v>
      </c>
      <c r="B12" s="218" t="s">
        <v>124</v>
      </c>
      <c r="C12" s="218" t="s">
        <v>55</v>
      </c>
      <c r="D12" s="219"/>
      <c r="E12" s="114">
        <v>-9.99</v>
      </c>
    </row>
    <row r="13" spans="1:5" ht="15.75" x14ac:dyDescent="0.25">
      <c r="A13" s="220">
        <v>43947</v>
      </c>
      <c r="B13" s="221" t="s">
        <v>124</v>
      </c>
      <c r="C13" s="221" t="s">
        <v>55</v>
      </c>
      <c r="D13" s="222"/>
      <c r="E13" s="223">
        <v>-9.99</v>
      </c>
    </row>
    <row r="14" spans="1:5" ht="16.5" thickBot="1" x14ac:dyDescent="0.3">
      <c r="A14" s="224">
        <v>43916</v>
      </c>
      <c r="B14" s="225" t="s">
        <v>124</v>
      </c>
      <c r="C14" s="225" t="s">
        <v>55</v>
      </c>
      <c r="D14" s="226"/>
      <c r="E14" s="227">
        <v>-9.99</v>
      </c>
    </row>
  </sheetData>
  <conditionalFormatting sqref="E2:E14">
    <cfRule type="expression" dxfId="4" priority="1">
      <formula>$F2&gt;0</formula>
    </cfRule>
  </conditionalFormatting>
  <conditionalFormatting sqref="D2:D14">
    <cfRule type="expression" dxfId="3" priority="2">
      <formula>AND(NOT(ISNUMBER(MATCH(D2,SubcategoryNames,0))), NOT(ISBLANK(D2)))</formula>
    </cfRule>
  </conditionalFormatting>
  <conditionalFormatting sqref="C2:C14">
    <cfRule type="expression" dxfId="2" priority="3">
      <formula>NOT(ISNUMBER(MATCH(C2,HiddenCategoriesCategoryNames,0)))</formula>
    </cfRule>
  </conditionalFormatting>
  <dataValidations count="2">
    <dataValidation type="list" allowBlank="1" showInputMessage="1" showErrorMessage="1" sqref="D2:D14" xr:uid="{DE2ADE68-A986-4A8B-BCB6-5707D7431CAE}">
      <formula1>OFFSET(HiddenCategoriesCategoryNames,MATCH(C2,HiddenCategoriesCategoryNames,0)-1,1,1,COUNTA(OFFSET(HiddenCategoriesCategoryNames,MATCH(C2,HiddenCategoriesCategoryNames,0)-1,1,1,30)))</formula1>
    </dataValidation>
    <dataValidation type="list" allowBlank="1" showInputMessage="1" showErrorMessage="1" sqref="C2:C14" xr:uid="{748A4AE3-B2EA-4FE2-979D-62529364951E}">
      <formula1>HiddenCategoriesCategoryNames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8ADE0-8EF9-40A0-AA0F-27998A8ACE59}">
  <sheetPr>
    <tabColor theme="5"/>
  </sheetPr>
  <dimension ref="A2:E6"/>
  <sheetViews>
    <sheetView workbookViewId="0">
      <selection activeCell="B10" sqref="B10"/>
    </sheetView>
  </sheetViews>
  <sheetFormatPr defaultRowHeight="15" x14ac:dyDescent="0.25"/>
  <cols>
    <col min="1" max="1" width="11.85546875" bestFit="1" customWidth="1"/>
    <col min="2" max="2" width="7.85546875" bestFit="1" customWidth="1"/>
    <col min="3" max="3" width="12.7109375" bestFit="1" customWidth="1"/>
    <col min="5" max="5" width="11.7109375" bestFit="1" customWidth="1"/>
  </cols>
  <sheetData>
    <row r="2" spans="1:5" ht="15.75" x14ac:dyDescent="0.25">
      <c r="A2" s="165">
        <v>44262</v>
      </c>
      <c r="B2" s="218" t="s">
        <v>1561</v>
      </c>
      <c r="C2" s="218" t="s">
        <v>55</v>
      </c>
      <c r="D2" s="219"/>
      <c r="E2" s="114">
        <v>-123.2</v>
      </c>
    </row>
    <row r="3" spans="1:5" ht="15.75" x14ac:dyDescent="0.25">
      <c r="A3" s="220">
        <v>44233</v>
      </c>
      <c r="B3" s="221" t="s">
        <v>1561</v>
      </c>
      <c r="C3" s="221" t="s">
        <v>55</v>
      </c>
      <c r="D3" s="222"/>
      <c r="E3" s="223">
        <v>-123.2</v>
      </c>
    </row>
    <row r="4" spans="1:5" ht="15.75" x14ac:dyDescent="0.25">
      <c r="A4" s="165">
        <v>44198</v>
      </c>
      <c r="B4" s="218" t="s">
        <v>1561</v>
      </c>
      <c r="C4" s="218" t="s">
        <v>55</v>
      </c>
      <c r="D4" s="219"/>
      <c r="E4" s="114">
        <v>-123.02</v>
      </c>
    </row>
    <row r="5" spans="1:5" ht="15.75" x14ac:dyDescent="0.25">
      <c r="A5" s="220">
        <v>44171</v>
      </c>
      <c r="B5" s="221" t="s">
        <v>1561</v>
      </c>
      <c r="C5" s="221" t="s">
        <v>55</v>
      </c>
      <c r="D5" s="222"/>
      <c r="E5" s="223">
        <v>-123.02</v>
      </c>
    </row>
    <row r="6" spans="1:5" ht="16.5" thickBot="1" x14ac:dyDescent="0.3">
      <c r="A6" s="224">
        <v>44143</v>
      </c>
      <c r="B6" s="225" t="s">
        <v>1561</v>
      </c>
      <c r="C6" s="225" t="s">
        <v>55</v>
      </c>
      <c r="D6" s="226"/>
      <c r="E6" s="227">
        <v>-123.02</v>
      </c>
    </row>
  </sheetData>
  <conditionalFormatting sqref="E2:E6">
    <cfRule type="expression" dxfId="54" priority="1">
      <formula>$F2&gt;0</formula>
    </cfRule>
  </conditionalFormatting>
  <conditionalFormatting sqref="D2:D6">
    <cfRule type="expression" dxfId="53" priority="2">
      <formula>AND(NOT(ISNUMBER(MATCH(D2,SubcategoryNames,0))), NOT(ISBLANK(D2)))</formula>
    </cfRule>
  </conditionalFormatting>
  <conditionalFormatting sqref="C2:C6">
    <cfRule type="expression" dxfId="52" priority="3">
      <formula>NOT(ISNUMBER(MATCH(C2,HiddenCategoriesCategoryNames,0)))</formula>
    </cfRule>
  </conditionalFormatting>
  <dataValidations count="2">
    <dataValidation type="list" allowBlank="1" showInputMessage="1" showErrorMessage="1" sqref="D2:D6" xr:uid="{C362B8FF-DD43-4798-A399-3C485689AD75}">
      <formula1>OFFSET(HiddenCategoriesCategoryNames,MATCH(C2,HiddenCategoriesCategoryNames,0)-1,1,1,COUNTA(OFFSET(HiddenCategoriesCategoryNames,MATCH(C2,HiddenCategoriesCategoryNames,0)-1,1,1,30)))</formula1>
    </dataValidation>
    <dataValidation type="list" allowBlank="1" showInputMessage="1" showErrorMessage="1" sqref="C2:C6" xr:uid="{9B6F2AC7-1A11-4170-882A-61AECD99DC96}">
      <formula1>HiddenCategoriesCategoryNames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6C59C-5EB2-41B3-A91C-7202FFD1E34F}">
  <sheetPr>
    <tabColor theme="5"/>
  </sheetPr>
  <dimension ref="A1:G18"/>
  <sheetViews>
    <sheetView workbookViewId="0">
      <selection activeCell="G10" sqref="G10"/>
    </sheetView>
  </sheetViews>
  <sheetFormatPr defaultRowHeight="15" x14ac:dyDescent="0.25"/>
  <cols>
    <col min="1" max="1" width="11.85546875" bestFit="1" customWidth="1"/>
    <col min="2" max="2" width="14" bestFit="1" customWidth="1"/>
    <col min="3" max="3" width="9.28515625" bestFit="1" customWidth="1"/>
    <col min="5" max="5" width="10.5703125" bestFit="1" customWidth="1"/>
  </cols>
  <sheetData>
    <row r="1" spans="1:7" x14ac:dyDescent="0.25">
      <c r="A1" t="s">
        <v>138</v>
      </c>
    </row>
    <row r="2" spans="1:7" ht="15.75" x14ac:dyDescent="0.25">
      <c r="A2" s="165">
        <v>44255</v>
      </c>
      <c r="B2" s="218" t="s">
        <v>138</v>
      </c>
      <c r="C2" s="218" t="s">
        <v>66</v>
      </c>
      <c r="D2" s="219"/>
      <c r="E2" s="114">
        <v>-12.99</v>
      </c>
      <c r="G2" t="s">
        <v>1558</v>
      </c>
    </row>
    <row r="3" spans="1:7" ht="15.75" x14ac:dyDescent="0.25">
      <c r="A3" s="220">
        <v>44227</v>
      </c>
      <c r="B3" s="221" t="s">
        <v>138</v>
      </c>
      <c r="C3" s="221" t="s">
        <v>66</v>
      </c>
      <c r="D3" s="222"/>
      <c r="E3" s="223">
        <v>-12.99</v>
      </c>
      <c r="G3" t="s">
        <v>1559</v>
      </c>
    </row>
    <row r="4" spans="1:7" ht="15.75" x14ac:dyDescent="0.25">
      <c r="A4" s="165">
        <v>44196</v>
      </c>
      <c r="B4" s="218" t="s">
        <v>138</v>
      </c>
      <c r="C4" s="218" t="s">
        <v>66</v>
      </c>
      <c r="D4" s="219"/>
      <c r="E4" s="114">
        <v>-12.99</v>
      </c>
    </row>
    <row r="5" spans="1:7" ht="15.75" x14ac:dyDescent="0.25">
      <c r="A5" s="220">
        <v>44165</v>
      </c>
      <c r="B5" s="221" t="s">
        <v>138</v>
      </c>
      <c r="C5" s="221" t="s">
        <v>66</v>
      </c>
      <c r="D5" s="222"/>
      <c r="E5" s="223">
        <v>-12.99</v>
      </c>
    </row>
    <row r="6" spans="1:7" ht="15.75" x14ac:dyDescent="0.25">
      <c r="A6" s="165">
        <v>44135</v>
      </c>
      <c r="B6" s="218" t="s">
        <v>138</v>
      </c>
      <c r="C6" s="218" t="s">
        <v>66</v>
      </c>
      <c r="D6" s="219"/>
      <c r="E6" s="114">
        <v>-12.99</v>
      </c>
    </row>
    <row r="7" spans="1:7" ht="15.75" x14ac:dyDescent="0.25">
      <c r="A7" s="220">
        <v>44104</v>
      </c>
      <c r="B7" s="221" t="s">
        <v>138</v>
      </c>
      <c r="C7" s="221" t="s">
        <v>66</v>
      </c>
      <c r="D7" s="222"/>
      <c r="E7" s="223">
        <v>-12.99</v>
      </c>
    </row>
    <row r="8" spans="1:7" ht="15.75" x14ac:dyDescent="0.25">
      <c r="A8" s="165">
        <v>44074</v>
      </c>
      <c r="B8" s="218" t="s">
        <v>138</v>
      </c>
      <c r="C8" s="218" t="s">
        <v>66</v>
      </c>
      <c r="D8" s="219"/>
      <c r="E8" s="114">
        <v>-12.99</v>
      </c>
    </row>
    <row r="9" spans="1:7" ht="15.75" x14ac:dyDescent="0.25">
      <c r="A9" s="220">
        <v>44046</v>
      </c>
      <c r="B9" s="221" t="s">
        <v>138</v>
      </c>
      <c r="C9" s="221" t="s">
        <v>66</v>
      </c>
      <c r="D9" s="222"/>
      <c r="E9" s="223">
        <v>-12.99</v>
      </c>
    </row>
    <row r="10" spans="1:7" ht="15.75" x14ac:dyDescent="0.25">
      <c r="A10" s="165">
        <v>44012</v>
      </c>
      <c r="B10" s="218" t="s">
        <v>138</v>
      </c>
      <c r="C10" s="218" t="s">
        <v>66</v>
      </c>
      <c r="D10" s="219"/>
      <c r="E10" s="114">
        <v>-12.99</v>
      </c>
    </row>
    <row r="11" spans="1:7" ht="15.75" x14ac:dyDescent="0.25">
      <c r="A11" s="220">
        <v>43982</v>
      </c>
      <c r="B11" s="221" t="s">
        <v>138</v>
      </c>
      <c r="C11" s="221" t="s">
        <v>66</v>
      </c>
      <c r="D11" s="222"/>
      <c r="E11" s="223">
        <v>-12.99</v>
      </c>
    </row>
    <row r="12" spans="1:7" ht="15.75" x14ac:dyDescent="0.25">
      <c r="A12" s="165">
        <v>43951</v>
      </c>
      <c r="B12" s="218" t="s">
        <v>138</v>
      </c>
      <c r="C12" s="218" t="s">
        <v>66</v>
      </c>
      <c r="D12" s="219"/>
      <c r="E12" s="114">
        <v>-12.99</v>
      </c>
    </row>
    <row r="13" spans="1:7" ht="15.75" x14ac:dyDescent="0.25">
      <c r="A13" s="220">
        <v>43921</v>
      </c>
      <c r="B13" s="221" t="s">
        <v>138</v>
      </c>
      <c r="C13" s="221" t="s">
        <v>66</v>
      </c>
      <c r="D13" s="222"/>
      <c r="E13" s="223">
        <v>-12.99</v>
      </c>
    </row>
    <row r="14" spans="1:7" ht="15.75" x14ac:dyDescent="0.25">
      <c r="A14" s="165">
        <v>43890</v>
      </c>
      <c r="B14" s="218" t="s">
        <v>138</v>
      </c>
      <c r="C14" s="218" t="s">
        <v>66</v>
      </c>
      <c r="D14" s="219"/>
      <c r="E14" s="114">
        <v>-12.99</v>
      </c>
    </row>
    <row r="15" spans="1:7" ht="15.75" x14ac:dyDescent="0.25">
      <c r="A15" s="220">
        <v>43861</v>
      </c>
      <c r="B15" s="221" t="s">
        <v>138</v>
      </c>
      <c r="C15" s="221" t="s">
        <v>66</v>
      </c>
      <c r="D15" s="222"/>
      <c r="E15" s="223">
        <v>-12.99</v>
      </c>
    </row>
    <row r="16" spans="1:7" ht="15.75" x14ac:dyDescent="0.25">
      <c r="A16" s="165">
        <v>43830</v>
      </c>
      <c r="B16" s="218" t="s">
        <v>138</v>
      </c>
      <c r="C16" s="218" t="s">
        <v>66</v>
      </c>
      <c r="D16" s="219"/>
      <c r="E16" s="114">
        <v>-12.99</v>
      </c>
    </row>
    <row r="17" spans="1:5" ht="15.75" x14ac:dyDescent="0.25">
      <c r="A17" s="220">
        <v>43799</v>
      </c>
      <c r="B17" s="221" t="s">
        <v>138</v>
      </c>
      <c r="C17" s="221" t="s">
        <v>66</v>
      </c>
      <c r="D17" s="222"/>
      <c r="E17" s="223">
        <v>-12.99</v>
      </c>
    </row>
    <row r="18" spans="1:5" ht="16.5" thickBot="1" x14ac:dyDescent="0.3">
      <c r="A18" s="224">
        <v>43769</v>
      </c>
      <c r="B18" s="225" t="s">
        <v>138</v>
      </c>
      <c r="C18" s="225" t="s">
        <v>66</v>
      </c>
      <c r="D18" s="226"/>
      <c r="E18" s="227">
        <v>-12.99</v>
      </c>
    </row>
  </sheetData>
  <conditionalFormatting sqref="E2:E18">
    <cfRule type="expression" dxfId="51" priority="1">
      <formula>$F2&gt;0</formula>
    </cfRule>
  </conditionalFormatting>
  <conditionalFormatting sqref="D2:D18">
    <cfRule type="expression" dxfId="50" priority="2">
      <formula>AND(NOT(ISNUMBER(MATCH(D2,SubcategoryNames,0))), NOT(ISBLANK(D2)))</formula>
    </cfRule>
  </conditionalFormatting>
  <conditionalFormatting sqref="C2:C18">
    <cfRule type="expression" dxfId="49" priority="3">
      <formula>NOT(ISNUMBER(MATCH(C2,HiddenCategoriesCategoryNames,0)))</formula>
    </cfRule>
  </conditionalFormatting>
  <dataValidations count="2">
    <dataValidation type="list" allowBlank="1" showInputMessage="1" showErrorMessage="1" sqref="D2:D18" xr:uid="{7B5F9ED0-0787-4114-9FCC-1F13D48B9478}">
      <formula1>OFFSET(HiddenCategoriesCategoryNames,MATCH(C2,HiddenCategoriesCategoryNames,0)-1,1,1,COUNTA(OFFSET(HiddenCategoriesCategoryNames,MATCH(C2,HiddenCategoriesCategoryNames,0)-1,1,1,30)))</formula1>
    </dataValidation>
    <dataValidation type="list" allowBlank="1" showInputMessage="1" showErrorMessage="1" sqref="C2:C18" xr:uid="{38964B12-FD52-47CE-B429-822C4F965E1A}">
      <formula1>HiddenCategoriesCategoryNames</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D7BB1-D4C2-477F-A6A6-4A93F46AA113}">
  <sheetPr>
    <tabColor theme="5"/>
  </sheetPr>
  <dimension ref="M1:Q18"/>
  <sheetViews>
    <sheetView workbookViewId="0">
      <selection activeCell="E26" sqref="E26"/>
    </sheetView>
  </sheetViews>
  <sheetFormatPr defaultRowHeight="15" x14ac:dyDescent="0.25"/>
  <cols>
    <col min="13" max="13" width="11.85546875" bestFit="1" customWidth="1"/>
    <col min="14" max="14" width="24" bestFit="1" customWidth="1"/>
    <col min="15" max="15" width="12.7109375" bestFit="1" customWidth="1"/>
    <col min="17" max="17" width="10.5703125" bestFit="1" customWidth="1"/>
  </cols>
  <sheetData>
    <row r="1" spans="13:17" x14ac:dyDescent="0.25">
      <c r="M1" t="s">
        <v>1557</v>
      </c>
    </row>
    <row r="2" spans="13:17" ht="15.75" x14ac:dyDescent="0.25">
      <c r="M2" s="165">
        <v>44279</v>
      </c>
      <c r="N2" s="218" t="s">
        <v>208</v>
      </c>
      <c r="O2" s="218" t="s">
        <v>55</v>
      </c>
      <c r="P2" s="219"/>
      <c r="Q2" s="114">
        <v>-40.28</v>
      </c>
    </row>
    <row r="3" spans="13:17" ht="15.75" x14ac:dyDescent="0.25">
      <c r="M3" s="220">
        <v>44251</v>
      </c>
      <c r="N3" s="221" t="s">
        <v>208</v>
      </c>
      <c r="O3" s="221" t="s">
        <v>55</v>
      </c>
      <c r="P3" s="222"/>
      <c r="Q3" s="223">
        <v>-40.28</v>
      </c>
    </row>
    <row r="4" spans="13:17" ht="15.75" x14ac:dyDescent="0.25">
      <c r="M4" s="165">
        <v>44218</v>
      </c>
      <c r="N4" s="218" t="s">
        <v>208</v>
      </c>
      <c r="O4" s="218" t="s">
        <v>55</v>
      </c>
      <c r="P4" s="219"/>
      <c r="Q4" s="114">
        <v>-40.28</v>
      </c>
    </row>
    <row r="5" spans="13:17" ht="15.75" x14ac:dyDescent="0.25">
      <c r="M5" s="220">
        <v>44188</v>
      </c>
      <c r="N5" s="221" t="s">
        <v>208</v>
      </c>
      <c r="O5" s="221" t="s">
        <v>55</v>
      </c>
      <c r="P5" s="222"/>
      <c r="Q5" s="223">
        <v>-40.28</v>
      </c>
    </row>
    <row r="6" spans="13:17" ht="15.75" x14ac:dyDescent="0.25">
      <c r="M6" s="165">
        <v>44159</v>
      </c>
      <c r="N6" s="218" t="s">
        <v>208</v>
      </c>
      <c r="O6" s="218" t="s">
        <v>55</v>
      </c>
      <c r="P6" s="219"/>
      <c r="Q6" s="114">
        <v>-40.28</v>
      </c>
    </row>
    <row r="7" spans="13:17" ht="15.75" x14ac:dyDescent="0.25">
      <c r="M7" s="220">
        <v>44126</v>
      </c>
      <c r="N7" s="221" t="s">
        <v>208</v>
      </c>
      <c r="O7" s="221" t="s">
        <v>55</v>
      </c>
      <c r="P7" s="222"/>
      <c r="Q7" s="223">
        <v>-40.28</v>
      </c>
    </row>
    <row r="8" spans="13:17" ht="15.75" x14ac:dyDescent="0.25">
      <c r="M8" s="165">
        <v>44097</v>
      </c>
      <c r="N8" s="218" t="s">
        <v>208</v>
      </c>
      <c r="O8" s="218" t="s">
        <v>55</v>
      </c>
      <c r="P8" s="219"/>
      <c r="Q8" s="114">
        <v>-40.28</v>
      </c>
    </row>
    <row r="9" spans="13:17" ht="15.75" x14ac:dyDescent="0.25">
      <c r="M9" s="220">
        <v>44067</v>
      </c>
      <c r="N9" s="221" t="s">
        <v>208</v>
      </c>
      <c r="O9" s="221" t="s">
        <v>55</v>
      </c>
      <c r="P9" s="222"/>
      <c r="Q9" s="223">
        <v>-40.28</v>
      </c>
    </row>
    <row r="10" spans="13:17" ht="15.75" x14ac:dyDescent="0.25">
      <c r="M10" s="165">
        <v>44034</v>
      </c>
      <c r="N10" s="218" t="s">
        <v>208</v>
      </c>
      <c r="O10" s="218" t="s">
        <v>55</v>
      </c>
      <c r="P10" s="219"/>
      <c r="Q10" s="114">
        <v>-40.28</v>
      </c>
    </row>
    <row r="11" spans="13:17" ht="15.75" x14ac:dyDescent="0.25">
      <c r="M11" s="220">
        <v>44006</v>
      </c>
      <c r="N11" s="221" t="s">
        <v>208</v>
      </c>
      <c r="O11" s="221" t="s">
        <v>55</v>
      </c>
      <c r="P11" s="222"/>
      <c r="Q11" s="223">
        <v>-40.28</v>
      </c>
    </row>
    <row r="12" spans="13:17" ht="15.75" x14ac:dyDescent="0.25">
      <c r="M12" s="165">
        <v>43973</v>
      </c>
      <c r="N12" s="218" t="s">
        <v>208</v>
      </c>
      <c r="O12" s="218" t="s">
        <v>55</v>
      </c>
      <c r="P12" s="219"/>
      <c r="Q12" s="114">
        <v>-40.28</v>
      </c>
    </row>
    <row r="13" spans="13:17" ht="15.75" x14ac:dyDescent="0.25">
      <c r="M13" s="220">
        <v>43943</v>
      </c>
      <c r="N13" s="221" t="s">
        <v>208</v>
      </c>
      <c r="O13" s="221" t="s">
        <v>55</v>
      </c>
      <c r="P13" s="222"/>
      <c r="Q13" s="223">
        <v>-40.28</v>
      </c>
    </row>
    <row r="14" spans="13:17" ht="15.75" x14ac:dyDescent="0.25">
      <c r="M14" s="165">
        <v>43914</v>
      </c>
      <c r="N14" s="218" t="s">
        <v>208</v>
      </c>
      <c r="O14" s="218" t="s">
        <v>55</v>
      </c>
      <c r="P14" s="219"/>
      <c r="Q14" s="114">
        <v>-40.28</v>
      </c>
    </row>
    <row r="15" spans="13:17" ht="15.75" x14ac:dyDescent="0.25">
      <c r="M15" s="220">
        <v>43885</v>
      </c>
      <c r="N15" s="221" t="s">
        <v>208</v>
      </c>
      <c r="O15" s="221" t="s">
        <v>55</v>
      </c>
      <c r="P15" s="222"/>
      <c r="Q15" s="223">
        <v>-40.28</v>
      </c>
    </row>
    <row r="16" spans="13:17" ht="15.75" x14ac:dyDescent="0.25">
      <c r="M16" s="165">
        <v>43853</v>
      </c>
      <c r="N16" s="218" t="s">
        <v>208</v>
      </c>
      <c r="O16" s="218" t="s">
        <v>55</v>
      </c>
      <c r="P16" s="219"/>
      <c r="Q16" s="114">
        <v>-40.28</v>
      </c>
    </row>
    <row r="17" spans="13:17" ht="15.75" x14ac:dyDescent="0.25">
      <c r="M17" s="220">
        <v>43823</v>
      </c>
      <c r="N17" s="221" t="s">
        <v>208</v>
      </c>
      <c r="O17" s="221" t="s">
        <v>55</v>
      </c>
      <c r="P17" s="222"/>
      <c r="Q17" s="223">
        <v>-40.28</v>
      </c>
    </row>
    <row r="18" spans="13:17" ht="16.5" thickBot="1" x14ac:dyDescent="0.3">
      <c r="M18" s="224">
        <v>43791</v>
      </c>
      <c r="N18" s="225" t="s">
        <v>208</v>
      </c>
      <c r="O18" s="225" t="s">
        <v>55</v>
      </c>
      <c r="P18" s="226"/>
      <c r="Q18" s="227">
        <v>-40.28</v>
      </c>
    </row>
  </sheetData>
  <conditionalFormatting sqref="Q2:Q18">
    <cfRule type="expression" dxfId="48" priority="1">
      <formula>$F2&gt;0</formula>
    </cfRule>
  </conditionalFormatting>
  <conditionalFormatting sqref="P2:P18">
    <cfRule type="expression" dxfId="47" priority="2">
      <formula>AND(NOT(ISNUMBER(MATCH(P2,SubcategoryNames,0))), NOT(ISBLANK(P2)))</formula>
    </cfRule>
  </conditionalFormatting>
  <conditionalFormatting sqref="O2:O18">
    <cfRule type="expression" dxfId="46" priority="3">
      <formula>NOT(ISNUMBER(MATCH(O2,HiddenCategoriesCategoryNames,0)))</formula>
    </cfRule>
  </conditionalFormatting>
  <dataValidations count="2">
    <dataValidation type="list" allowBlank="1" showInputMessage="1" showErrorMessage="1" sqref="P2:P18" xr:uid="{8D40F0E1-B320-4467-B2BA-62EE50CF6126}">
      <formula1>OFFSET(HiddenCategoriesCategoryNames,MATCH(O2,HiddenCategoriesCategoryNames,0)-1,1,1,COUNTA(OFFSET(HiddenCategoriesCategoryNames,MATCH(O2,HiddenCategoriesCategoryNames,0)-1,1,1,30)))</formula1>
    </dataValidation>
    <dataValidation type="list" allowBlank="1" showInputMessage="1" showErrorMessage="1" sqref="O2:O18" xr:uid="{83C72819-72A3-4623-A963-80350FC64FC9}">
      <formula1>HiddenCategoriesCategoryNames</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56F85-B1B6-4B8D-97FE-6EAD01A023F1}">
  <sheetPr>
    <tabColor theme="5"/>
  </sheetPr>
  <dimension ref="K1:O4"/>
  <sheetViews>
    <sheetView workbookViewId="0">
      <selection activeCell="F33" sqref="F33:F34"/>
    </sheetView>
  </sheetViews>
  <sheetFormatPr defaultRowHeight="15" x14ac:dyDescent="0.25"/>
  <cols>
    <col min="11" max="11" width="11.85546875" bestFit="1" customWidth="1"/>
    <col min="12" max="12" width="30.140625" bestFit="1" customWidth="1"/>
    <col min="13" max="13" width="20" bestFit="1" customWidth="1"/>
    <col min="15" max="15" width="9.42578125" bestFit="1" customWidth="1"/>
  </cols>
  <sheetData>
    <row r="1" spans="11:15" ht="15.75" x14ac:dyDescent="0.25">
      <c r="K1" s="165">
        <v>44275</v>
      </c>
      <c r="L1" s="218" t="s">
        <v>216</v>
      </c>
      <c r="M1" s="218" t="s">
        <v>64</v>
      </c>
      <c r="N1" s="219"/>
      <c r="O1" s="114">
        <v>-3.95</v>
      </c>
    </row>
    <row r="2" spans="11:15" ht="15.75" x14ac:dyDescent="0.25">
      <c r="K2" s="220">
        <v>44251</v>
      </c>
      <c r="L2" s="221" t="s">
        <v>216</v>
      </c>
      <c r="M2" s="221" t="s">
        <v>64</v>
      </c>
      <c r="N2" s="222"/>
      <c r="O2" s="223">
        <v>-3.95</v>
      </c>
    </row>
    <row r="3" spans="11:15" ht="15.75" x14ac:dyDescent="0.25">
      <c r="K3" s="165">
        <v>44175</v>
      </c>
      <c r="L3" s="218" t="s">
        <v>216</v>
      </c>
      <c r="M3" s="218" t="s">
        <v>64</v>
      </c>
      <c r="N3" s="219"/>
      <c r="O3" s="114">
        <v>-3.95</v>
      </c>
    </row>
    <row r="4" spans="11:15" ht="16.5" thickBot="1" x14ac:dyDescent="0.3">
      <c r="K4" s="229">
        <v>44159</v>
      </c>
      <c r="L4" s="230" t="s">
        <v>216</v>
      </c>
      <c r="M4" s="230" t="s">
        <v>64</v>
      </c>
      <c r="N4" s="231"/>
      <c r="O4" s="232">
        <v>-3.95</v>
      </c>
    </row>
  </sheetData>
  <conditionalFormatting sqref="O1:O4">
    <cfRule type="expression" dxfId="45" priority="1">
      <formula>$F1&gt;0</formula>
    </cfRule>
  </conditionalFormatting>
  <conditionalFormatting sqref="N1:N4">
    <cfRule type="expression" dxfId="44" priority="2">
      <formula>AND(NOT(ISNUMBER(MATCH(N1,SubcategoryNames,0))), NOT(ISBLANK(N1)))</formula>
    </cfRule>
  </conditionalFormatting>
  <conditionalFormatting sqref="M1:M4">
    <cfRule type="expression" dxfId="43" priority="3">
      <formula>NOT(ISNUMBER(MATCH(M1,HiddenCategoriesCategoryNames,0)))</formula>
    </cfRule>
  </conditionalFormatting>
  <dataValidations count="2">
    <dataValidation type="list" allowBlank="1" showInputMessage="1" showErrorMessage="1" sqref="N1:N4" xr:uid="{ED971DBF-D282-4C5E-9A53-F57AF3A4A7AB}">
      <formula1>OFFSET(HiddenCategoriesCategoryNames,MATCH(M1,HiddenCategoriesCategoryNames,0)-1,1,1,COUNTA(OFFSET(HiddenCategoriesCategoryNames,MATCH(M1,HiddenCategoriesCategoryNames,0)-1,1,1,30)))</formula1>
    </dataValidation>
    <dataValidation type="list" allowBlank="1" showInputMessage="1" showErrorMessage="1" sqref="M1:M4" xr:uid="{BCC780B1-0309-4939-B6F7-E2BDED487F1F}">
      <formula1>HiddenCategoriesCategoryNames</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F331-BB9E-472C-9291-1D6996921C64}">
  <sheetPr>
    <tabColor theme="5"/>
  </sheetPr>
  <dimension ref="A1:J36"/>
  <sheetViews>
    <sheetView workbookViewId="0">
      <selection activeCell="I28" sqref="I28"/>
    </sheetView>
  </sheetViews>
  <sheetFormatPr defaultRowHeight="15" x14ac:dyDescent="0.25"/>
  <cols>
    <col min="1" max="1" width="11.85546875" bestFit="1" customWidth="1"/>
    <col min="2" max="2" width="31" bestFit="1" customWidth="1"/>
    <col min="3" max="3" width="12.7109375" bestFit="1" customWidth="1"/>
    <col min="5" max="5" width="11.7109375" bestFit="1" customWidth="1"/>
    <col min="10" max="10" width="11.28515625" bestFit="1" customWidth="1"/>
  </cols>
  <sheetData>
    <row r="1" spans="1:10" x14ac:dyDescent="0.25">
      <c r="A1" t="s">
        <v>1556</v>
      </c>
    </row>
    <row r="2" spans="1:10" ht="15.75" x14ac:dyDescent="0.25">
      <c r="A2" s="165">
        <v>44301</v>
      </c>
      <c r="B2" s="218" t="s">
        <v>182</v>
      </c>
      <c r="C2" s="218" t="s">
        <v>55</v>
      </c>
      <c r="D2" s="219"/>
      <c r="E2" s="114">
        <v>-10.9</v>
      </c>
      <c r="F2">
        <f>YEAR(A2)</f>
        <v>2021</v>
      </c>
      <c r="I2">
        <v>2019</v>
      </c>
      <c r="J2" s="228">
        <f>SUMIFS(E:E,F:F,I2)</f>
        <v>-975.8</v>
      </c>
    </row>
    <row r="3" spans="1:10" ht="15.75" x14ac:dyDescent="0.25">
      <c r="A3" s="220">
        <v>44284</v>
      </c>
      <c r="B3" s="221" t="s">
        <v>202</v>
      </c>
      <c r="C3" s="221" t="s">
        <v>55</v>
      </c>
      <c r="D3" s="222"/>
      <c r="E3" s="223">
        <v>-344.72</v>
      </c>
      <c r="F3">
        <f t="shared" ref="F3:F36" si="0">YEAR(A3)</f>
        <v>2021</v>
      </c>
      <c r="I3">
        <v>2020</v>
      </c>
      <c r="J3" s="228">
        <f t="shared" ref="J3:J4" si="1">SUMIFS(E:E,F:F,I3)</f>
        <v>-3762.400000000001</v>
      </c>
    </row>
    <row r="4" spans="1:10" ht="15.75" x14ac:dyDescent="0.25">
      <c r="A4" s="165">
        <v>44272</v>
      </c>
      <c r="B4" s="218" t="s">
        <v>182</v>
      </c>
      <c r="C4" s="218" t="s">
        <v>55</v>
      </c>
      <c r="D4" s="219"/>
      <c r="E4" s="114">
        <v>-10.9</v>
      </c>
      <c r="F4">
        <f t="shared" si="0"/>
        <v>2021</v>
      </c>
      <c r="I4">
        <v>2021</v>
      </c>
      <c r="J4" s="228">
        <f t="shared" si="1"/>
        <v>-1077.7600000000002</v>
      </c>
    </row>
    <row r="5" spans="1:10" ht="15.75" x14ac:dyDescent="0.25">
      <c r="A5" s="220">
        <v>44256</v>
      </c>
      <c r="B5" s="221" t="s">
        <v>202</v>
      </c>
      <c r="C5" s="221" t="s">
        <v>55</v>
      </c>
      <c r="D5" s="222"/>
      <c r="E5" s="223">
        <v>-344.72</v>
      </c>
      <c r="F5">
        <f t="shared" si="0"/>
        <v>2021</v>
      </c>
    </row>
    <row r="6" spans="1:10" ht="15.75" x14ac:dyDescent="0.25">
      <c r="A6" s="165">
        <v>44245</v>
      </c>
      <c r="B6" s="218" t="s">
        <v>182</v>
      </c>
      <c r="C6" s="218" t="s">
        <v>55</v>
      </c>
      <c r="D6" s="219"/>
      <c r="E6" s="114">
        <v>-10.9</v>
      </c>
      <c r="F6">
        <f t="shared" si="0"/>
        <v>2021</v>
      </c>
    </row>
    <row r="7" spans="1:10" ht="15.75" x14ac:dyDescent="0.25">
      <c r="A7" s="220">
        <v>44223</v>
      </c>
      <c r="B7" s="221" t="s">
        <v>202</v>
      </c>
      <c r="C7" s="221" t="s">
        <v>55</v>
      </c>
      <c r="D7" s="222"/>
      <c r="E7" s="223">
        <v>-344.72</v>
      </c>
      <c r="F7">
        <f t="shared" si="0"/>
        <v>2021</v>
      </c>
    </row>
    <row r="8" spans="1:10" ht="15.75" x14ac:dyDescent="0.25">
      <c r="A8" s="165">
        <v>44211</v>
      </c>
      <c r="B8" s="218" t="s">
        <v>182</v>
      </c>
      <c r="C8" s="218" t="s">
        <v>55</v>
      </c>
      <c r="D8" s="219"/>
      <c r="E8" s="114">
        <v>-10.9</v>
      </c>
      <c r="F8">
        <f t="shared" si="0"/>
        <v>2021</v>
      </c>
    </row>
    <row r="9" spans="1:10" ht="15.75" x14ac:dyDescent="0.25">
      <c r="A9" s="220">
        <v>44195</v>
      </c>
      <c r="B9" s="221" t="s">
        <v>202</v>
      </c>
      <c r="C9" s="221" t="s">
        <v>55</v>
      </c>
      <c r="D9" s="222"/>
      <c r="E9" s="223">
        <v>-344.72</v>
      </c>
      <c r="F9">
        <f t="shared" si="0"/>
        <v>2020</v>
      </c>
    </row>
    <row r="10" spans="1:10" ht="15.75" x14ac:dyDescent="0.25">
      <c r="A10" s="165">
        <v>44181</v>
      </c>
      <c r="B10" s="218" t="s">
        <v>182</v>
      </c>
      <c r="C10" s="218" t="s">
        <v>55</v>
      </c>
      <c r="D10" s="219"/>
      <c r="E10" s="114">
        <v>-10.9</v>
      </c>
      <c r="F10">
        <f t="shared" si="0"/>
        <v>2020</v>
      </c>
    </row>
    <row r="11" spans="1:10" ht="15.75" x14ac:dyDescent="0.25">
      <c r="A11" s="220">
        <v>44165</v>
      </c>
      <c r="B11" s="221" t="s">
        <v>202</v>
      </c>
      <c r="C11" s="221" t="s">
        <v>55</v>
      </c>
      <c r="D11" s="222"/>
      <c r="E11" s="223">
        <v>-344.72</v>
      </c>
      <c r="F11">
        <f t="shared" si="0"/>
        <v>2020</v>
      </c>
    </row>
    <row r="12" spans="1:10" ht="15.75" x14ac:dyDescent="0.25">
      <c r="A12" s="165">
        <v>44153</v>
      </c>
      <c r="B12" s="218" t="s">
        <v>182</v>
      </c>
      <c r="C12" s="218" t="s">
        <v>55</v>
      </c>
      <c r="D12" s="219"/>
      <c r="E12" s="114">
        <v>-10.9</v>
      </c>
      <c r="F12">
        <f t="shared" si="0"/>
        <v>2020</v>
      </c>
    </row>
    <row r="13" spans="1:10" ht="15.75" x14ac:dyDescent="0.25">
      <c r="A13" s="220">
        <v>44132</v>
      </c>
      <c r="B13" s="221" t="s">
        <v>202</v>
      </c>
      <c r="C13" s="221" t="s">
        <v>55</v>
      </c>
      <c r="D13" s="222"/>
      <c r="E13" s="223">
        <v>-344.72</v>
      </c>
      <c r="F13">
        <f t="shared" si="0"/>
        <v>2020</v>
      </c>
    </row>
    <row r="14" spans="1:10" ht="15.75" x14ac:dyDescent="0.25">
      <c r="A14" s="165">
        <v>44119</v>
      </c>
      <c r="B14" s="218" t="s">
        <v>182</v>
      </c>
      <c r="C14" s="218" t="s">
        <v>55</v>
      </c>
      <c r="D14" s="219"/>
      <c r="E14" s="114">
        <v>-10.9</v>
      </c>
      <c r="F14">
        <f t="shared" si="0"/>
        <v>2020</v>
      </c>
    </row>
    <row r="15" spans="1:10" ht="15.75" x14ac:dyDescent="0.25">
      <c r="A15" s="220">
        <v>44103</v>
      </c>
      <c r="B15" s="221" t="s">
        <v>715</v>
      </c>
      <c r="C15" s="221" t="s">
        <v>55</v>
      </c>
      <c r="D15" s="222"/>
      <c r="E15" s="223">
        <v>-344.72</v>
      </c>
      <c r="F15">
        <f t="shared" si="0"/>
        <v>2020</v>
      </c>
    </row>
    <row r="16" spans="1:10" ht="15.75" x14ac:dyDescent="0.25">
      <c r="A16" s="165">
        <v>44090</v>
      </c>
      <c r="B16" s="218" t="s">
        <v>182</v>
      </c>
      <c r="C16" s="218" t="s">
        <v>55</v>
      </c>
      <c r="D16" s="219"/>
      <c r="E16" s="114">
        <v>-10.9</v>
      </c>
      <c r="F16">
        <f t="shared" si="0"/>
        <v>2020</v>
      </c>
    </row>
    <row r="17" spans="1:6" ht="15.75" x14ac:dyDescent="0.25">
      <c r="A17" s="220">
        <v>44070</v>
      </c>
      <c r="B17" s="221" t="s">
        <v>715</v>
      </c>
      <c r="C17" s="221" t="s">
        <v>55</v>
      </c>
      <c r="D17" s="222"/>
      <c r="E17" s="223">
        <v>-344.72</v>
      </c>
      <c r="F17">
        <f t="shared" si="0"/>
        <v>2020</v>
      </c>
    </row>
    <row r="18" spans="1:6" ht="15.75" x14ac:dyDescent="0.25">
      <c r="A18" s="165">
        <v>44060</v>
      </c>
      <c r="B18" s="218" t="s">
        <v>182</v>
      </c>
      <c r="C18" s="218" t="s">
        <v>55</v>
      </c>
      <c r="D18" s="219"/>
      <c r="E18" s="114">
        <v>-10.9</v>
      </c>
      <c r="F18">
        <f t="shared" si="0"/>
        <v>2020</v>
      </c>
    </row>
    <row r="19" spans="1:6" ht="15.75" x14ac:dyDescent="0.25">
      <c r="A19" s="220">
        <v>44027</v>
      </c>
      <c r="B19" s="221" t="s">
        <v>182</v>
      </c>
      <c r="C19" s="221" t="s">
        <v>55</v>
      </c>
      <c r="D19" s="222"/>
      <c r="E19" s="223">
        <v>-10.9</v>
      </c>
      <c r="F19">
        <f t="shared" si="0"/>
        <v>2020</v>
      </c>
    </row>
    <row r="20" spans="1:6" ht="15.75" x14ac:dyDescent="0.25">
      <c r="A20" s="165">
        <v>44011</v>
      </c>
      <c r="B20" s="218" t="s">
        <v>715</v>
      </c>
      <c r="C20" s="218" t="s">
        <v>55</v>
      </c>
      <c r="D20" s="219"/>
      <c r="E20" s="114">
        <v>-318</v>
      </c>
      <c r="F20">
        <f t="shared" si="0"/>
        <v>2020</v>
      </c>
    </row>
    <row r="21" spans="1:6" ht="15.75" x14ac:dyDescent="0.25">
      <c r="A21" s="220">
        <v>43999</v>
      </c>
      <c r="B21" s="221" t="s">
        <v>182</v>
      </c>
      <c r="C21" s="221" t="s">
        <v>55</v>
      </c>
      <c r="D21" s="222"/>
      <c r="E21" s="223">
        <v>-10.9</v>
      </c>
      <c r="F21">
        <f t="shared" si="0"/>
        <v>2020</v>
      </c>
    </row>
    <row r="22" spans="1:6" ht="15.75" x14ac:dyDescent="0.25">
      <c r="A22" s="165">
        <v>43979</v>
      </c>
      <c r="B22" s="218" t="s">
        <v>715</v>
      </c>
      <c r="C22" s="218" t="s">
        <v>55</v>
      </c>
      <c r="D22" s="219"/>
      <c r="E22" s="114">
        <v>-318</v>
      </c>
      <c r="F22">
        <f t="shared" si="0"/>
        <v>2020</v>
      </c>
    </row>
    <row r="23" spans="1:6" ht="15.75" x14ac:dyDescent="0.25">
      <c r="A23" s="220">
        <v>43966</v>
      </c>
      <c r="B23" s="221" t="s">
        <v>182</v>
      </c>
      <c r="C23" s="221" t="s">
        <v>55</v>
      </c>
      <c r="D23" s="222"/>
      <c r="E23" s="223">
        <v>-10.9</v>
      </c>
      <c r="F23">
        <f t="shared" si="0"/>
        <v>2020</v>
      </c>
    </row>
    <row r="24" spans="1:6" ht="15.75" x14ac:dyDescent="0.25">
      <c r="A24" s="165">
        <v>43950</v>
      </c>
      <c r="B24" s="218" t="s">
        <v>715</v>
      </c>
      <c r="C24" s="218" t="s">
        <v>55</v>
      </c>
      <c r="D24" s="219"/>
      <c r="E24" s="114">
        <v>-318</v>
      </c>
      <c r="F24">
        <f t="shared" si="0"/>
        <v>2020</v>
      </c>
    </row>
    <row r="25" spans="1:6" ht="15.75" x14ac:dyDescent="0.25">
      <c r="A25" s="220">
        <v>43936</v>
      </c>
      <c r="B25" s="221" t="s">
        <v>182</v>
      </c>
      <c r="C25" s="221" t="s">
        <v>55</v>
      </c>
      <c r="D25" s="222"/>
      <c r="E25" s="223">
        <v>-10.9</v>
      </c>
      <c r="F25">
        <f t="shared" si="0"/>
        <v>2020</v>
      </c>
    </row>
    <row r="26" spans="1:6" ht="15.75" x14ac:dyDescent="0.25">
      <c r="A26" s="165">
        <v>43917</v>
      </c>
      <c r="B26" s="218" t="s">
        <v>715</v>
      </c>
      <c r="C26" s="218" t="s">
        <v>55</v>
      </c>
      <c r="D26" s="219"/>
      <c r="E26" s="114">
        <v>-318</v>
      </c>
      <c r="F26">
        <f t="shared" si="0"/>
        <v>2020</v>
      </c>
    </row>
    <row r="27" spans="1:6" ht="15.75" x14ac:dyDescent="0.25">
      <c r="A27" s="220">
        <v>43908</v>
      </c>
      <c r="B27" s="221" t="s">
        <v>182</v>
      </c>
      <c r="C27" s="221" t="s">
        <v>55</v>
      </c>
      <c r="D27" s="222"/>
      <c r="E27" s="223">
        <v>-10.9</v>
      </c>
      <c r="F27">
        <f t="shared" si="0"/>
        <v>2020</v>
      </c>
    </row>
    <row r="28" spans="1:6" ht="15.75" x14ac:dyDescent="0.25">
      <c r="A28" s="165">
        <v>43888</v>
      </c>
      <c r="B28" s="218" t="s">
        <v>715</v>
      </c>
      <c r="C28" s="218" t="s">
        <v>55</v>
      </c>
      <c r="D28" s="219"/>
      <c r="E28" s="114">
        <v>-318</v>
      </c>
      <c r="F28">
        <f t="shared" si="0"/>
        <v>2020</v>
      </c>
    </row>
    <row r="29" spans="1:6" ht="15.75" x14ac:dyDescent="0.25">
      <c r="A29" s="220">
        <v>43879</v>
      </c>
      <c r="B29" s="221" t="s">
        <v>182</v>
      </c>
      <c r="C29" s="221" t="s">
        <v>55</v>
      </c>
      <c r="D29" s="222"/>
      <c r="E29" s="223">
        <v>-10.9</v>
      </c>
      <c r="F29">
        <f t="shared" si="0"/>
        <v>2020</v>
      </c>
    </row>
    <row r="30" spans="1:6" ht="15.75" x14ac:dyDescent="0.25">
      <c r="A30" s="165">
        <v>43859</v>
      </c>
      <c r="B30" s="218" t="s">
        <v>715</v>
      </c>
      <c r="C30" s="218" t="s">
        <v>55</v>
      </c>
      <c r="D30" s="219"/>
      <c r="E30" s="114">
        <v>-318</v>
      </c>
      <c r="F30">
        <f t="shared" si="0"/>
        <v>2020</v>
      </c>
    </row>
    <row r="31" spans="1:6" ht="15.75" x14ac:dyDescent="0.25">
      <c r="A31" s="220">
        <v>43846</v>
      </c>
      <c r="B31" s="221" t="s">
        <v>182</v>
      </c>
      <c r="C31" s="221" t="s">
        <v>55</v>
      </c>
      <c r="D31" s="222"/>
      <c r="E31" s="223">
        <v>-10.9</v>
      </c>
      <c r="F31">
        <f t="shared" si="0"/>
        <v>2020</v>
      </c>
    </row>
    <row r="32" spans="1:6" ht="15.75" x14ac:dyDescent="0.25">
      <c r="A32" s="165">
        <v>43829</v>
      </c>
      <c r="B32" s="218" t="s">
        <v>715</v>
      </c>
      <c r="C32" s="218" t="s">
        <v>55</v>
      </c>
      <c r="D32" s="219"/>
      <c r="E32" s="114">
        <v>-318</v>
      </c>
      <c r="F32">
        <f t="shared" si="0"/>
        <v>2019</v>
      </c>
    </row>
    <row r="33" spans="1:6" ht="15.75" x14ac:dyDescent="0.25">
      <c r="A33" s="220">
        <v>43817</v>
      </c>
      <c r="B33" s="221" t="s">
        <v>182</v>
      </c>
      <c r="C33" s="221" t="s">
        <v>55</v>
      </c>
      <c r="D33" s="222"/>
      <c r="E33" s="223">
        <v>-10.9</v>
      </c>
      <c r="F33">
        <f t="shared" si="0"/>
        <v>2019</v>
      </c>
    </row>
    <row r="34" spans="1:6" ht="15.75" x14ac:dyDescent="0.25">
      <c r="A34" s="165">
        <v>43796</v>
      </c>
      <c r="B34" s="218" t="s">
        <v>715</v>
      </c>
      <c r="C34" s="218" t="s">
        <v>55</v>
      </c>
      <c r="D34" s="219"/>
      <c r="E34" s="114">
        <v>-318</v>
      </c>
      <c r="F34">
        <f t="shared" si="0"/>
        <v>2019</v>
      </c>
    </row>
    <row r="35" spans="1:6" ht="15.75" x14ac:dyDescent="0.25">
      <c r="A35" s="220">
        <v>43787</v>
      </c>
      <c r="B35" s="221" t="s">
        <v>182</v>
      </c>
      <c r="C35" s="221" t="s">
        <v>55</v>
      </c>
      <c r="D35" s="222"/>
      <c r="E35" s="223">
        <v>-10.9</v>
      </c>
      <c r="F35">
        <f t="shared" si="0"/>
        <v>2019</v>
      </c>
    </row>
    <row r="36" spans="1:6" ht="16.5" thickBot="1" x14ac:dyDescent="0.3">
      <c r="A36" s="224">
        <v>43767</v>
      </c>
      <c r="B36" s="225" t="s">
        <v>715</v>
      </c>
      <c r="C36" s="225" t="s">
        <v>55</v>
      </c>
      <c r="D36" s="226"/>
      <c r="E36" s="227">
        <v>-318</v>
      </c>
      <c r="F36">
        <f t="shared" si="0"/>
        <v>2019</v>
      </c>
    </row>
  </sheetData>
  <conditionalFormatting sqref="E2:E36">
    <cfRule type="expression" dxfId="42" priority="1">
      <formula>$F2&gt;0</formula>
    </cfRule>
  </conditionalFormatting>
  <conditionalFormatting sqref="D2:D36">
    <cfRule type="expression" dxfId="41" priority="2">
      <formula>AND(NOT(ISNUMBER(MATCH(D2,SubcategoryNames,0))), NOT(ISBLANK(D2)))</formula>
    </cfRule>
  </conditionalFormatting>
  <conditionalFormatting sqref="C2:C36">
    <cfRule type="expression" dxfId="40" priority="3">
      <formula>NOT(ISNUMBER(MATCH(C2,HiddenCategoriesCategoryNames,0)))</formula>
    </cfRule>
  </conditionalFormatting>
  <dataValidations count="2">
    <dataValidation type="list" allowBlank="1" showInputMessage="1" showErrorMessage="1" sqref="D2:D36" xr:uid="{6FA0F8F2-93B2-4455-98AB-4F0179A43F53}">
      <formula1>OFFSET(HiddenCategoriesCategoryNames,MATCH(C2,HiddenCategoriesCategoryNames,0)-1,1,1,COUNTA(OFFSET(HiddenCategoriesCategoryNames,MATCH(C2,HiddenCategoriesCategoryNames,0)-1,1,1,30)))</formula1>
    </dataValidation>
    <dataValidation type="list" allowBlank="1" showInputMessage="1" showErrorMessage="1" sqref="C2:C36" xr:uid="{7D3995F9-1F21-4644-904B-E4BFB0FE9701}">
      <formula1>HiddenCategoriesCategoryNames</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D5A9-22A7-467B-A861-759998F1608B}">
  <dimension ref="B1:Y31"/>
  <sheetViews>
    <sheetView showGridLines="0" tabSelected="1" workbookViewId="0">
      <selection activeCell="C2" sqref="C2:T31"/>
    </sheetView>
  </sheetViews>
  <sheetFormatPr defaultRowHeight="15" x14ac:dyDescent="0.25"/>
  <cols>
    <col min="1" max="1" width="1.85546875" customWidth="1"/>
    <col min="2" max="2" width="0" hidden="1" customWidth="1"/>
    <col min="3" max="3" width="32.140625" bestFit="1" customWidth="1"/>
    <col min="4" max="4" width="10.42578125" bestFit="1" customWidth="1"/>
    <col min="5" max="5" width="11.140625" bestFit="1" customWidth="1"/>
    <col min="6" max="6" width="1" customWidth="1"/>
    <col min="7" max="7" width="11" hidden="1" customWidth="1"/>
    <col min="8" max="8" width="38.140625" customWidth="1"/>
    <col min="9" max="9" width="11" customWidth="1"/>
    <col min="10" max="10" width="19" customWidth="1"/>
    <col min="11" max="11" width="11" customWidth="1"/>
    <col min="12" max="12" width="11" hidden="1" customWidth="1"/>
    <col min="13" max="13" width="19" customWidth="1"/>
    <col min="14" max="15" width="11" hidden="1" customWidth="1"/>
    <col min="16" max="19" width="12" hidden="1" customWidth="1"/>
    <col min="20" max="20" width="10.5703125" bestFit="1" customWidth="1"/>
    <col min="24" max="25" width="0" hidden="1" customWidth="1"/>
  </cols>
  <sheetData>
    <row r="1" spans="2:25" s="162" customFormat="1" ht="5.0999999999999996" customHeight="1" x14ac:dyDescent="0.25">
      <c r="B1" s="178"/>
      <c r="C1" s="178"/>
      <c r="D1" s="178"/>
      <c r="E1" s="178"/>
      <c r="F1" s="178"/>
      <c r="G1" s="178"/>
      <c r="H1" s="178"/>
      <c r="I1" s="178"/>
      <c r="J1" s="178"/>
      <c r="K1" s="178"/>
      <c r="L1" s="178"/>
      <c r="M1" s="178"/>
      <c r="N1" s="178"/>
      <c r="O1" s="178"/>
      <c r="P1" s="178"/>
      <c r="Q1" s="178"/>
      <c r="R1" s="178"/>
      <c r="S1" s="178"/>
      <c r="T1" s="178"/>
      <c r="U1" s="178"/>
      <c r="V1" s="178"/>
      <c r="W1" s="178"/>
      <c r="X1" s="178"/>
      <c r="Y1" s="178"/>
    </row>
    <row r="2" spans="2:25" ht="40.35" customHeight="1" x14ac:dyDescent="0.25">
      <c r="B2" s="177"/>
      <c r="C2" s="179" t="s">
        <v>1533</v>
      </c>
      <c r="D2" s="179"/>
      <c r="E2" s="179"/>
      <c r="F2" s="179"/>
      <c r="G2" s="179"/>
      <c r="H2" s="179"/>
      <c r="I2" s="179"/>
      <c r="J2" s="179"/>
      <c r="K2" s="179"/>
      <c r="L2" s="179"/>
      <c r="M2" s="177"/>
      <c r="N2" s="177"/>
      <c r="O2" s="177"/>
      <c r="P2" s="177"/>
      <c r="Q2" s="177"/>
      <c r="R2" s="177"/>
      <c r="S2" s="177"/>
      <c r="T2" s="177"/>
      <c r="U2" s="177"/>
      <c r="V2" s="177"/>
      <c r="W2" s="177"/>
      <c r="X2" s="177"/>
      <c r="Y2" s="177"/>
    </row>
    <row r="3" spans="2:25" ht="40.35" customHeight="1" x14ac:dyDescent="0.25">
      <c r="B3" s="177"/>
      <c r="C3" s="190" t="s">
        <v>1534</v>
      </c>
      <c r="D3" s="190"/>
      <c r="E3" s="190"/>
      <c r="F3" s="190"/>
      <c r="G3" s="190"/>
      <c r="H3" s="190"/>
      <c r="I3" s="190"/>
      <c r="J3" s="190"/>
      <c r="K3" s="190"/>
      <c r="L3" s="190"/>
      <c r="M3" s="190"/>
      <c r="N3" s="177"/>
      <c r="O3" s="177"/>
      <c r="P3" s="177"/>
      <c r="Q3" s="177"/>
      <c r="R3" s="177"/>
      <c r="S3" s="177"/>
      <c r="T3" s="177"/>
      <c r="U3" s="177"/>
      <c r="V3" s="177"/>
      <c r="W3" s="177"/>
      <c r="X3" s="177"/>
      <c r="Y3" s="177"/>
    </row>
    <row r="4" spans="2:25" ht="0.95" customHeight="1" x14ac:dyDescent="0.25">
      <c r="B4" s="177"/>
      <c r="C4" s="191"/>
      <c r="D4" s="191"/>
      <c r="E4" s="191"/>
      <c r="F4" s="191"/>
      <c r="G4" s="191"/>
      <c r="H4" s="191"/>
      <c r="I4" s="191"/>
      <c r="J4" s="191"/>
      <c r="K4" s="191"/>
      <c r="L4" s="191"/>
      <c r="M4" s="191"/>
      <c r="N4" s="191"/>
      <c r="O4" s="191"/>
      <c r="P4" s="191"/>
      <c r="Q4" s="191"/>
      <c r="R4" s="191"/>
      <c r="S4" s="191"/>
      <c r="T4" s="177"/>
      <c r="U4" s="177"/>
      <c r="V4" s="177"/>
      <c r="W4" s="177"/>
      <c r="X4" s="177"/>
      <c r="Y4" s="177"/>
    </row>
    <row r="5" spans="2:25" x14ac:dyDescent="0.25">
      <c r="B5" s="177"/>
      <c r="C5" s="177"/>
      <c r="D5" s="177"/>
      <c r="E5" s="177"/>
      <c r="F5" s="177"/>
      <c r="G5" s="177"/>
      <c r="H5" s="177"/>
      <c r="I5" s="177"/>
      <c r="J5" s="177"/>
      <c r="K5" s="177"/>
      <c r="L5" s="177"/>
      <c r="M5" s="177"/>
      <c r="N5" s="177"/>
      <c r="O5" s="177"/>
      <c r="P5" s="177"/>
      <c r="Q5" s="177"/>
      <c r="R5" s="177"/>
      <c r="S5" s="177"/>
      <c r="T5" s="177"/>
      <c r="U5" s="177"/>
      <c r="V5" s="177"/>
      <c r="W5" s="177"/>
      <c r="X5" s="177"/>
      <c r="Y5" s="177"/>
    </row>
    <row r="6" spans="2:25" ht="5.0999999999999996" customHeight="1" thickBot="1" x14ac:dyDescent="0.3">
      <c r="B6" s="177"/>
      <c r="C6" s="177"/>
      <c r="D6" s="177"/>
      <c r="E6" s="177"/>
      <c r="F6" s="177"/>
      <c r="G6" s="177"/>
      <c r="H6" s="177"/>
      <c r="I6" s="177"/>
      <c r="J6" s="177"/>
      <c r="K6" s="177"/>
      <c r="L6" s="177"/>
      <c r="M6" s="177"/>
      <c r="N6" s="177"/>
      <c r="O6" s="177"/>
      <c r="P6" s="177"/>
      <c r="Q6" s="177"/>
      <c r="R6" s="177"/>
      <c r="S6" s="177"/>
      <c r="T6" s="177"/>
      <c r="U6" s="177"/>
      <c r="V6" s="177"/>
      <c r="W6" s="177"/>
      <c r="X6" s="177"/>
      <c r="Y6" s="177"/>
    </row>
    <row r="7" spans="2:25" x14ac:dyDescent="0.25">
      <c r="B7" s="177"/>
      <c r="C7" s="192" t="s">
        <v>1536</v>
      </c>
      <c r="D7" s="193"/>
      <c r="E7" s="194"/>
      <c r="F7" s="177"/>
      <c r="G7" s="177"/>
      <c r="H7" s="195" t="s">
        <v>1535</v>
      </c>
      <c r="I7" s="177"/>
      <c r="J7" s="177"/>
      <c r="K7" s="177"/>
      <c r="L7" s="177"/>
      <c r="M7" s="177"/>
      <c r="N7" s="177"/>
      <c r="O7" s="177"/>
      <c r="P7" s="177"/>
      <c r="Q7" s="177"/>
      <c r="R7" s="177"/>
      <c r="S7" s="177"/>
      <c r="T7" s="177"/>
      <c r="U7" s="177"/>
      <c r="V7" s="177"/>
      <c r="W7" s="177"/>
      <c r="X7" s="196" t="s">
        <v>1541</v>
      </c>
      <c r="Y7" s="177"/>
    </row>
    <row r="8" spans="2:25" ht="20.100000000000001" customHeight="1" thickBot="1" x14ac:dyDescent="0.3">
      <c r="B8" s="177"/>
      <c r="C8" s="197" t="s">
        <v>26</v>
      </c>
      <c r="D8" s="198" t="s">
        <v>1537</v>
      </c>
      <c r="E8" s="199"/>
      <c r="F8" s="177"/>
      <c r="G8" s="177" t="s">
        <v>45</v>
      </c>
      <c r="H8" s="177" t="s">
        <v>26</v>
      </c>
      <c r="I8" s="200" t="s">
        <v>30</v>
      </c>
      <c r="J8" s="177" t="s">
        <v>1523</v>
      </c>
      <c r="K8" s="200" t="s">
        <v>1524</v>
      </c>
      <c r="L8" s="201" t="s">
        <v>1525</v>
      </c>
      <c r="M8" s="202" t="s">
        <v>1526</v>
      </c>
      <c r="N8" s="202" t="s">
        <v>1527</v>
      </c>
      <c r="O8" s="201" t="s">
        <v>1528</v>
      </c>
      <c r="P8" s="177" t="s">
        <v>1529</v>
      </c>
      <c r="Q8" s="177" t="s">
        <v>1530</v>
      </c>
      <c r="R8" s="177" t="s">
        <v>1531</v>
      </c>
      <c r="S8" s="177" t="s">
        <v>1532</v>
      </c>
      <c r="T8" s="177" t="s">
        <v>74</v>
      </c>
      <c r="U8" s="177"/>
      <c r="V8" s="177"/>
      <c r="W8" s="177"/>
      <c r="X8" s="196" t="s">
        <v>1542</v>
      </c>
      <c r="Y8" s="196">
        <v>52</v>
      </c>
    </row>
    <row r="9" spans="2:25" x14ac:dyDescent="0.25">
      <c r="B9" s="177"/>
      <c r="C9" s="203" t="str" cm="1">
        <f t="array" aca="1" ref="C9" ca="1">IFERROR(INDEX(RecurringExp[Merchant],MATCH($B19,RecurringExp[Rank_Annual],0),0),"")</f>
        <v>Verizon</v>
      </c>
      <c r="D9" s="204" cm="1">
        <f t="array" aca="1" ref="D9" ca="1">IFERROR(INDEX(RecurringExp[YTD/Annual Cost],MATCH($B19,RecurringExp[Rank_Annual],0),0),NA())</f>
        <v>1248.02</v>
      </c>
      <c r="E9" s="199"/>
      <c r="F9" s="177"/>
      <c r="G9" s="177" t="s">
        <v>1550</v>
      </c>
      <c r="H9" s="177" t="s">
        <v>202</v>
      </c>
      <c r="I9" s="200">
        <v>344.72</v>
      </c>
      <c r="J9" s="177" t="s">
        <v>1543</v>
      </c>
      <c r="K9" s="200">
        <f ca="1">IFERROR(IF(ISBLANK(RecurringExp[[#This Row],[Amount $]]),"",IF(RecurringExp[[#This Row],[Sum from Trans]]&lt;&gt;"",RecurringExp[[#This Row],[Sum from Trans]],RecurringExp[[#This Row],[Amount $]]*_xlfn.XLOOKUP(RecurringExp[[#This Row],[Frequency]],FrequencyKey,FrequencyValue))),"")</f>
        <v>1034.1600000000001</v>
      </c>
      <c r="L9" s="201">
        <v>0</v>
      </c>
      <c r="M9" s="202">
        <v>44284</v>
      </c>
      <c r="N9" s="202">
        <v>44309</v>
      </c>
      <c r="O9" s="201">
        <f ca="1">IF(SUMIFS(Table1[Amount $],Table1[Merchant],RecurringExp[[#This Row],[Merchant]],Table1[Date_Year],YEAR(TODAY()))*-1=0,"",SUMIFS(Table1[Amount $],Table1[Merchant],RecurringExp[[#This Row],[Merchant]],Table1[Date_Year],YEAR(TODAY()))*-1)</f>
        <v>1034.1600000000001</v>
      </c>
      <c r="P9" s="177">
        <f ca="1">IF(ISBLANK(RecurringExp[[#This Row],[Upcoming Pay Date]]),"",IF(RecurringExp[[#This Row],[Upcoming Pay Date]]-TODAY()&lt;0,"",IF(RecurringExp[[#This Row],[Upcoming Pay Date]]-TODAY()&gt;30,"",RecurringExp[[#This Row],[Upcoming Pay Date]]-TODAY())))</f>
        <v>6</v>
      </c>
      <c r="Q9" s="177">
        <f ca="1">IFERROR(RANK(RecurringExp[[#This Row],[Upcoming Days]],RecurringExp[Upcoming Days],1)+COUNTIF(RecurringExp[[#This Row],[Upcoming Days]]:RecurringExp[[#This Row],[Upcoming Days]],RecurringExp[[#This Row],[Upcoming Days]])-1,"")</f>
        <v>3</v>
      </c>
      <c r="R9" s="177">
        <f ca="1">IFERROR(RANK(RecurringExp[[#This Row],[YTD/Annual Cost]],RecurringExp[YTD/Annual Cost],0)+COUNTIF(RecurringExp[[#This Row],[YTD/Annual Cost]]:RecurringExp[[#This Row],[YTD/Annual Cost]],RecurringExp[[#This Row],[YTD/Annual Cost]])-1,"")</f>
        <v>2</v>
      </c>
      <c r="S9" s="177" t="b">
        <v>0</v>
      </c>
      <c r="T9" s="233"/>
      <c r="U9" s="177"/>
      <c r="V9" s="177"/>
      <c r="W9" s="177"/>
      <c r="X9" s="196" t="s">
        <v>1543</v>
      </c>
      <c r="Y9" s="196">
        <v>12</v>
      </c>
    </row>
    <row r="10" spans="2:25" x14ac:dyDescent="0.25">
      <c r="B10" s="177"/>
      <c r="C10" s="203" t="str" cm="1">
        <f t="array" aca="1" ref="C10" ca="1">IFERROR(INDEX(RecurringExp[Merchant],MATCH($B20,RecurringExp[Rank_Annual],0),0),"")</f>
        <v>Electronic Debit Tran Life</v>
      </c>
      <c r="D10" s="204" cm="1">
        <f t="array" aca="1" ref="D10" ca="1">IFERROR(INDEX(RecurringExp[YTD/Annual Cost],MATCH($B20,RecurringExp[Rank_Annual],0),0),NA())</f>
        <v>1034.1600000000001</v>
      </c>
      <c r="E10" s="199"/>
      <c r="F10" s="177"/>
      <c r="G10" s="177" t="s">
        <v>1551</v>
      </c>
      <c r="H10" s="177" t="s">
        <v>214</v>
      </c>
      <c r="I10" s="200">
        <v>226</v>
      </c>
      <c r="J10" s="177" t="s">
        <v>1543</v>
      </c>
      <c r="K10" s="200">
        <f ca="1">IFERROR(IF(ISBLANK(RecurringExp[[#This Row],[Amount $]]),"",IF(RecurringExp[[#This Row],[Sum from Trans]]&lt;&gt;"",RecurringExp[[#This Row],[Sum from Trans]],RecurringExp[[#This Row],[Amount $]]*_xlfn.XLOOKUP(RecurringExp[[#This Row],[Frequency]],FrequencyKey,FrequencyValue))),"")</f>
        <v>452</v>
      </c>
      <c r="L10" s="201">
        <v>-0.5</v>
      </c>
      <c r="M10" s="202">
        <v>44275</v>
      </c>
      <c r="N10" s="202">
        <v>44304</v>
      </c>
      <c r="O10" s="201">
        <f ca="1">IF(SUMIFS(Table1[Amount $],Table1[Merchant],RecurringExp[[#This Row],[Merchant]],Table1[Date_Year],YEAR(TODAY()))*-1=0,"",SUMIFS(Table1[Amount $],Table1[Merchant],RecurringExp[[#This Row],[Merchant]],Table1[Date_Year],YEAR(TODAY()))*-1)</f>
        <v>452</v>
      </c>
      <c r="P10" s="177">
        <f ca="1">IF(ISBLANK(RecurringExp[[#This Row],[Upcoming Pay Date]]),"",IF(RecurringExp[[#This Row],[Upcoming Pay Date]]-TODAY()&lt;0,"",IF(RecurringExp[[#This Row],[Upcoming Pay Date]]-TODAY()&gt;30,"",RecurringExp[[#This Row],[Upcoming Pay Date]]-TODAY())))</f>
        <v>1</v>
      </c>
      <c r="Q10" s="177">
        <f ca="1">IFERROR(RANK(RecurringExp[[#This Row],[Upcoming Days]],RecurringExp[Upcoming Days],1)+COUNTIF(RecurringExp[[#This Row],[Upcoming Days]]:RecurringExp[[#This Row],[Upcoming Days]],RecurringExp[[#This Row],[Upcoming Days]])-1,"")</f>
        <v>1</v>
      </c>
      <c r="R10" s="177">
        <f ca="1">IFERROR(RANK(RecurringExp[[#This Row],[YTD/Annual Cost]],RecurringExp[YTD/Annual Cost],0)+COUNTIF(RecurringExp[[#This Row],[YTD/Annual Cost]]:RecurringExp[[#This Row],[YTD/Annual Cost]],RecurringExp[[#This Row],[YTD/Annual Cost]])-1,"")</f>
        <v>4</v>
      </c>
      <c r="S10" s="177" t="b">
        <v>0</v>
      </c>
      <c r="T10" s="233"/>
      <c r="U10" s="177"/>
      <c r="V10" s="177"/>
      <c r="W10" s="177"/>
      <c r="X10" s="196" t="s">
        <v>1544</v>
      </c>
      <c r="Y10" s="196">
        <v>4</v>
      </c>
    </row>
    <row r="11" spans="2:25" x14ac:dyDescent="0.25">
      <c r="B11" s="177"/>
      <c r="C11" s="203" t="str" cm="1">
        <f t="array" aca="1" ref="C11" ca="1">IFERROR(INDEX(RecurringExp[Merchant],MATCH($B21,RecurringExp[Rank_Annual],0),0),"")</f>
        <v>Pepco</v>
      </c>
      <c r="D11" s="204" cm="1">
        <f t="array" aca="1" ref="D11" ca="1">IFERROR(INDEX(RecurringExp[YTD/Annual Cost],MATCH($B21,RecurringExp[Rank_Annual],0),0),NA())</f>
        <v>473.95</v>
      </c>
      <c r="E11" s="199"/>
      <c r="F11" s="177"/>
      <c r="G11" s="177" t="s">
        <v>1547</v>
      </c>
      <c r="H11" s="177" t="s">
        <v>208</v>
      </c>
      <c r="I11" s="200">
        <v>40.28</v>
      </c>
      <c r="J11" s="177" t="s">
        <v>1543</v>
      </c>
      <c r="K11" s="200">
        <f ca="1">IFERROR(IF(ISBLANK(RecurringExp[[#This Row],[Amount $]]),"",IF(RecurringExp[[#This Row],[Sum from Trans]]&lt;&gt;"",RecurringExp[[#This Row],[Sum from Trans]],RecurringExp[[#This Row],[Amount $]]*_xlfn.XLOOKUP(RecurringExp[[#This Row],[Frequency]],FrequencyKey,FrequencyValue))),"")</f>
        <v>120.84</v>
      </c>
      <c r="L11" s="201">
        <v>0</v>
      </c>
      <c r="M11" s="202">
        <v>44279</v>
      </c>
      <c r="N11" s="202">
        <v>44307</v>
      </c>
      <c r="O11" s="201">
        <f ca="1">IF(SUMIFS(Table1[Amount $],Table1[Merchant],RecurringExp[[#This Row],[Merchant]],Table1[Date_Year],YEAR(TODAY()))*-1=0,"",SUMIFS(Table1[Amount $],Table1[Merchant],RecurringExp[[#This Row],[Merchant]],Table1[Date_Year],YEAR(TODAY()))*-1)</f>
        <v>120.84</v>
      </c>
      <c r="P11" s="177">
        <f ca="1">IF(ISBLANK(RecurringExp[[#This Row],[Upcoming Pay Date]]),"",IF(RecurringExp[[#This Row],[Upcoming Pay Date]]-TODAY()&lt;0,"",IF(RecurringExp[[#This Row],[Upcoming Pay Date]]-TODAY()&gt;30,"",RecurringExp[[#This Row],[Upcoming Pay Date]]-TODAY())))</f>
        <v>4</v>
      </c>
      <c r="Q11" s="177">
        <f ca="1">IFERROR(RANK(RecurringExp[[#This Row],[Upcoming Days]],RecurringExp[Upcoming Days],1)+COUNTIF(RecurringExp[[#This Row],[Upcoming Days]]:RecurringExp[[#This Row],[Upcoming Days]],RecurringExp[[#This Row],[Upcoming Days]])-1,"")</f>
        <v>2</v>
      </c>
      <c r="R11" s="177">
        <f ca="1">IFERROR(RANK(RecurringExp[[#This Row],[YTD/Annual Cost]],RecurringExp[YTD/Annual Cost],0)+COUNTIF(RecurringExp[[#This Row],[YTD/Annual Cost]]:RecurringExp[[#This Row],[YTD/Annual Cost]],RecurringExp[[#This Row],[YTD/Annual Cost]])-1,"")</f>
        <v>7</v>
      </c>
      <c r="S11" s="177" t="b">
        <v>0</v>
      </c>
      <c r="T11" s="233"/>
      <c r="U11" s="177"/>
      <c r="V11" s="177"/>
      <c r="W11" s="177"/>
      <c r="X11" s="196" t="s">
        <v>1545</v>
      </c>
      <c r="Y11" s="196">
        <v>1</v>
      </c>
    </row>
    <row r="12" spans="2:25" x14ac:dyDescent="0.25">
      <c r="B12" s="177"/>
      <c r="C12" s="203" t="str" cm="1">
        <f t="array" aca="1" ref="C12" ca="1">IFERROR(INDEX(RecurringExp[Merchant],MATCH($B22,RecurringExp[Rank_Annual],0),0),"")</f>
        <v>Check Card Purchase Credit</v>
      </c>
      <c r="D12" s="204" cm="1">
        <f t="array" aca="1" ref="D12" ca="1">IFERROR(INDEX(RecurringExp[YTD/Annual Cost],MATCH($B22,RecurringExp[Rank_Annual],0),0),NA())</f>
        <v>452</v>
      </c>
      <c r="E12" s="199"/>
      <c r="F12" s="177"/>
      <c r="G12" s="177" t="s">
        <v>1549</v>
      </c>
      <c r="H12" s="177" t="s">
        <v>138</v>
      </c>
      <c r="I12" s="200">
        <v>12.99</v>
      </c>
      <c r="J12" s="177" t="s">
        <v>1543</v>
      </c>
      <c r="K12" s="200">
        <f ca="1">IFERROR(IF(ISBLANK(RecurringExp[[#This Row],[Amount $]]),"",IF(RecurringExp[[#This Row],[Sum from Trans]]&lt;&gt;"",RecurringExp[[#This Row],[Sum from Trans]],RecurringExp[[#This Row],[Amount $]]*_xlfn.XLOOKUP(RecurringExp[[#This Row],[Frequency]],FrequencyKey,FrequencyValue))),"")</f>
        <v>25.98</v>
      </c>
      <c r="L12" s="201">
        <v>0</v>
      </c>
      <c r="M12" s="202">
        <v>44255</v>
      </c>
      <c r="N12" s="202">
        <v>44282</v>
      </c>
      <c r="O12" s="201">
        <f ca="1">IF(SUMIFS(Table1[Amount $],Table1[Merchant],RecurringExp[[#This Row],[Merchant]],Table1[Date_Year],YEAR(TODAY()))*-1=0,"",SUMIFS(Table1[Amount $],Table1[Merchant],RecurringExp[[#This Row],[Merchant]],Table1[Date_Year],YEAR(TODAY()))*-1)</f>
        <v>25.98</v>
      </c>
      <c r="P12" s="177" t="str">
        <f ca="1">IF(ISBLANK(RecurringExp[[#This Row],[Upcoming Pay Date]]),"",IF(RecurringExp[[#This Row],[Upcoming Pay Date]]-TODAY()&lt;0,"",IF(RecurringExp[[#This Row],[Upcoming Pay Date]]-TODAY()&gt;30,"",RecurringExp[[#This Row],[Upcoming Pay Date]]-TODAY())))</f>
        <v/>
      </c>
      <c r="Q12" s="177" t="str">
        <f ca="1">IFERROR(RANK(RecurringExp[[#This Row],[Upcoming Days]],RecurringExp[Upcoming Days],1)+COUNTIF(RecurringExp[[#This Row],[Upcoming Days]]:RecurringExp[[#This Row],[Upcoming Days]],RecurringExp[[#This Row],[Upcoming Days]])-1,"")</f>
        <v/>
      </c>
      <c r="R12" s="177">
        <f ca="1">IFERROR(RANK(RecurringExp[[#This Row],[YTD/Annual Cost]],RecurringExp[YTD/Annual Cost],0)+COUNTIF(RecurringExp[[#This Row],[YTD/Annual Cost]]:RecurringExp[[#This Row],[YTD/Annual Cost]],RecurringExp[[#This Row],[YTD/Annual Cost]])-1,"")</f>
        <v>14</v>
      </c>
      <c r="S12" s="177" t="b">
        <v>0</v>
      </c>
      <c r="T12" s="233"/>
      <c r="U12" s="177"/>
      <c r="V12" s="177"/>
      <c r="W12" s="177"/>
      <c r="X12" s="177"/>
      <c r="Y12" s="177"/>
    </row>
    <row r="13" spans="2:25" x14ac:dyDescent="0.25">
      <c r="B13" s="177"/>
      <c r="C13" s="203" t="str" cm="1">
        <f t="array" aca="1" ref="C13" ca="1">IFERROR(INDEX(RecurringExp[Merchant],MATCH($B23,RecurringExp[Rank_Annual],0),0),"")</f>
        <v>Verizon Wireless</v>
      </c>
      <c r="D13" s="204" cm="1">
        <f t="array" aca="1" ref="D13" ca="1">IFERROR(INDEX(RecurringExp[YTD/Annual Cost],MATCH($B23,RecurringExp[Rank_Annual],0),0),NA())</f>
        <v>369.42</v>
      </c>
      <c r="E13" s="199"/>
      <c r="F13" s="177"/>
      <c r="G13" s="177" t="s">
        <v>1548</v>
      </c>
      <c r="H13" s="177" t="s">
        <v>182</v>
      </c>
      <c r="I13" s="200">
        <v>10.9</v>
      </c>
      <c r="J13" s="177" t="s">
        <v>1543</v>
      </c>
      <c r="K13" s="200">
        <f ca="1">IFERROR(IF(ISBLANK(RecurringExp[[#This Row],[Amount $]]),"",IF(RecurringExp[[#This Row],[Sum from Trans]]&lt;&gt;"",RecurringExp[[#This Row],[Sum from Trans]],RecurringExp[[#This Row],[Amount $]]*_xlfn.XLOOKUP(RecurringExp[[#This Row],[Frequency]],FrequencyKey,FrequencyValue))),"")</f>
        <v>43.6</v>
      </c>
      <c r="L13" s="201">
        <v>0</v>
      </c>
      <c r="M13" s="202">
        <v>44301</v>
      </c>
      <c r="N13" s="202">
        <v>44328</v>
      </c>
      <c r="O13" s="201">
        <f ca="1">IF(SUMIFS(Table1[Amount $],Table1[Merchant],RecurringExp[[#This Row],[Merchant]],Table1[Date_Year],YEAR(TODAY()))*-1=0,"",SUMIFS(Table1[Amount $],Table1[Merchant],RecurringExp[[#This Row],[Merchant]],Table1[Date_Year],YEAR(TODAY()))*-1)</f>
        <v>43.6</v>
      </c>
      <c r="P13" s="177">
        <f ca="1">IF(ISBLANK(RecurringExp[[#This Row],[Upcoming Pay Date]]),"",IF(RecurringExp[[#This Row],[Upcoming Pay Date]]-TODAY()&lt;0,"",IF(RecurringExp[[#This Row],[Upcoming Pay Date]]-TODAY()&gt;30,"",RecurringExp[[#This Row],[Upcoming Pay Date]]-TODAY())))</f>
        <v>25</v>
      </c>
      <c r="Q13" s="177">
        <f ca="1">IFERROR(RANK(RecurringExp[[#This Row],[Upcoming Days]],RecurringExp[Upcoming Days],1)+COUNTIF(RecurringExp[[#This Row],[Upcoming Days]]:RecurringExp[[#This Row],[Upcoming Days]],RecurringExp[[#This Row],[Upcoming Days]])-1,"")</f>
        <v>4</v>
      </c>
      <c r="R13" s="177">
        <f ca="1">IFERROR(RANK(RecurringExp[[#This Row],[YTD/Annual Cost]],RecurringExp[YTD/Annual Cost],0)+COUNTIF(RecurringExp[[#This Row],[YTD/Annual Cost]]:RecurringExp[[#This Row],[YTD/Annual Cost]],RecurringExp[[#This Row],[YTD/Annual Cost]])-1,"")</f>
        <v>10</v>
      </c>
      <c r="S13" s="177" t="b">
        <v>0</v>
      </c>
      <c r="T13" s="233"/>
      <c r="U13" s="177"/>
      <c r="V13" s="177"/>
      <c r="W13" s="177"/>
      <c r="X13" s="177"/>
      <c r="Y13" s="177"/>
    </row>
    <row r="14" spans="2:25" ht="15.75" thickBot="1" x14ac:dyDescent="0.3">
      <c r="B14" s="177"/>
      <c r="C14" s="205"/>
      <c r="D14" s="206"/>
      <c r="E14" s="207"/>
      <c r="F14" s="177"/>
      <c r="G14" s="177" t="s">
        <v>1552</v>
      </c>
      <c r="H14" s="166" t="s">
        <v>123</v>
      </c>
      <c r="I14" s="200">
        <v>19.07</v>
      </c>
      <c r="J14" s="177" t="s">
        <v>1543</v>
      </c>
      <c r="K14" s="200">
        <f ca="1">IFERROR(IF(ISBLANK(RecurringExp[[#This Row],[Amount $]]),"",IF(RecurringExp[[#This Row],[Sum from Trans]]&lt;&gt;"",RecurringExp[[#This Row],[Sum from Trans]],RecurringExp[[#This Row],[Amount $]]*_xlfn.XLOOKUP(RecurringExp[[#This Row],[Frequency]],FrequencyKey,FrequencyValue))),"")</f>
        <v>73.039999999999992</v>
      </c>
      <c r="L14" s="201">
        <v>15.120000000000001</v>
      </c>
      <c r="M14" s="202">
        <v>44267</v>
      </c>
      <c r="N14" s="202">
        <v>44297</v>
      </c>
      <c r="O14" s="201">
        <f ca="1">IF(SUMIFS(Table1[Amount $],Table1[Merchant],RecurringExp[[#This Row],[Merchant]],Table1[Date_Year],YEAR(TODAY()))*-1=0,"",SUMIFS(Table1[Amount $],Table1[Merchant],RecurringExp[[#This Row],[Merchant]],Table1[Date_Year],YEAR(TODAY()))*-1)</f>
        <v>73.039999999999992</v>
      </c>
      <c r="P14" s="177" t="str">
        <f ca="1">IF(ISBLANK(RecurringExp[[#This Row],[Upcoming Pay Date]]),"",IF(RecurringExp[[#This Row],[Upcoming Pay Date]]-TODAY()&lt;0,"",IF(RecurringExp[[#This Row],[Upcoming Pay Date]]-TODAY()&gt;30,"",RecurringExp[[#This Row],[Upcoming Pay Date]]-TODAY())))</f>
        <v/>
      </c>
      <c r="Q14" s="177" t="str">
        <f ca="1">IFERROR(RANK(RecurringExp[[#This Row],[Upcoming Days]],RecurringExp[Upcoming Days],1)+COUNTIF(RecurringExp[[#This Row],[Upcoming Days]]:RecurringExp[[#This Row],[Upcoming Days]],RecurringExp[[#This Row],[Upcoming Days]])-1,"")</f>
        <v/>
      </c>
      <c r="R14" s="177">
        <f ca="1">IFERROR(RANK(RecurringExp[[#This Row],[YTD/Annual Cost]],RecurringExp[YTD/Annual Cost],0)+COUNTIF(RecurringExp[[#This Row],[YTD/Annual Cost]]:RecurringExp[[#This Row],[YTD/Annual Cost]],RecurringExp[[#This Row],[YTD/Annual Cost]])-1,"")</f>
        <v>9</v>
      </c>
      <c r="S14" s="177" t="b">
        <v>0</v>
      </c>
      <c r="T14" s="233"/>
      <c r="U14" s="177"/>
      <c r="V14" s="177"/>
      <c r="W14" s="177"/>
      <c r="X14" s="177"/>
      <c r="Y14" s="177"/>
    </row>
    <row r="15" spans="2:25" x14ac:dyDescent="0.25">
      <c r="B15" s="177"/>
      <c r="C15" s="177"/>
      <c r="D15" s="177"/>
      <c r="E15" s="177"/>
      <c r="F15" s="177"/>
      <c r="G15" s="177" t="s">
        <v>1546</v>
      </c>
      <c r="H15" s="218" t="s">
        <v>1560</v>
      </c>
      <c r="I15" s="200">
        <v>326.02999999999997</v>
      </c>
      <c r="J15" s="177" t="s">
        <v>1543</v>
      </c>
      <c r="K15" s="200">
        <f ca="1">IFERROR(IF(ISBLANK(RecurringExp[[#This Row],[Amount $]]),"",IF(RecurringExp[[#This Row],[Sum from Trans]]&lt;&gt;"",RecurringExp[[#This Row],[Sum from Trans]],RecurringExp[[#This Row],[Amount $]]*_xlfn.XLOOKUP(RecurringExp[[#This Row],[Frequency]],FrequencyKey,FrequencyValue))),"")</f>
        <v>1248.02</v>
      </c>
      <c r="L15" s="201">
        <v>326.02999999999997</v>
      </c>
      <c r="M15" s="202">
        <v>44267</v>
      </c>
      <c r="N15" s="202">
        <v>44297</v>
      </c>
      <c r="O15" s="201">
        <f ca="1">IF(SUMIFS(Table1[Amount $],Table1[Merchant],RecurringExp[[#This Row],[Merchant]],Table1[Date_Year],YEAR(TODAY()))*-1=0,"",SUMIFS(Table1[Amount $],Table1[Merchant],RecurringExp[[#This Row],[Merchant]],Table1[Date_Year],YEAR(TODAY()))*-1)</f>
        <v>1248.02</v>
      </c>
      <c r="P15" s="177" t="str">
        <f ca="1">IF(ISBLANK(RecurringExp[[#This Row],[Upcoming Pay Date]]),"",IF(RecurringExp[[#This Row],[Upcoming Pay Date]]-TODAY()&lt;0,"",IF(RecurringExp[[#This Row],[Upcoming Pay Date]]-TODAY()&gt;30,"",RecurringExp[[#This Row],[Upcoming Pay Date]]-TODAY())))</f>
        <v/>
      </c>
      <c r="Q15" s="177" t="str">
        <f ca="1">IFERROR(RANK(RecurringExp[[#This Row],[Upcoming Days]],RecurringExp[Upcoming Days],1)+COUNTIF(RecurringExp[[#This Row],[Upcoming Days]]:RecurringExp[[#This Row],[Upcoming Days]],RecurringExp[[#This Row],[Upcoming Days]])-1,"")</f>
        <v/>
      </c>
      <c r="R15" s="177">
        <f ca="1">IFERROR(RANK(RecurringExp[[#This Row],[YTD/Annual Cost]],RecurringExp[YTD/Annual Cost],0)+COUNTIF(RecurringExp[[#This Row],[YTD/Annual Cost]]:RecurringExp[[#This Row],[YTD/Annual Cost]],RecurringExp[[#This Row],[YTD/Annual Cost]])-1,"")</f>
        <v>1</v>
      </c>
      <c r="S15" s="177" t="b">
        <v>1</v>
      </c>
      <c r="T15" s="233"/>
      <c r="U15" s="177"/>
      <c r="V15" s="177"/>
      <c r="W15" s="177"/>
      <c r="X15" s="177"/>
      <c r="Y15" s="177"/>
    </row>
    <row r="16" spans="2:25" ht="15.75" thickBot="1" x14ac:dyDescent="0.3">
      <c r="B16" s="177"/>
      <c r="C16" s="177"/>
      <c r="D16" s="177"/>
      <c r="E16" s="177"/>
      <c r="F16" s="177"/>
      <c r="G16" s="177" t="s">
        <v>1562</v>
      </c>
      <c r="H16" s="177" t="s">
        <v>1561</v>
      </c>
      <c r="I16" s="200">
        <v>123.02</v>
      </c>
      <c r="J16" s="177" t="s">
        <v>1543</v>
      </c>
      <c r="K16" s="200">
        <f ca="1">IFERROR(IF(ISBLANK(RecurringExp[[#This Row],[Amount $]]),"",IF(RecurringExp[[#This Row],[Sum from Trans]]&lt;&gt;"",RecurringExp[[#This Row],[Sum from Trans]],RecurringExp[[#This Row],[Amount $]]*_xlfn.XLOOKUP(RecurringExp[[#This Row],[Frequency]],FrequencyKey,FrequencyValue))),"")</f>
        <v>369.42</v>
      </c>
      <c r="L16" s="201">
        <v>123.02</v>
      </c>
      <c r="M16" s="202">
        <v>44268</v>
      </c>
      <c r="N16" s="202">
        <v>44298</v>
      </c>
      <c r="O16" s="201">
        <f ca="1">IF(SUMIFS(Table1[Amount $],Table1[Merchant],RecurringExp[[#This Row],[Merchant]],Table1[Date_Year],YEAR(TODAY()))*-1=0,"",SUMIFS(Table1[Amount $],Table1[Merchant],RecurringExp[[#This Row],[Merchant]],Table1[Date_Year],YEAR(TODAY()))*-1)</f>
        <v>369.42</v>
      </c>
      <c r="P16" s="177" t="str">
        <f ca="1">IF(ISBLANK(RecurringExp[[#This Row],[Upcoming Pay Date]]),"",IF(RecurringExp[[#This Row],[Upcoming Pay Date]]-TODAY()&lt;0,"",IF(RecurringExp[[#This Row],[Upcoming Pay Date]]-TODAY()&gt;30,"",RecurringExp[[#This Row],[Upcoming Pay Date]]-TODAY())))</f>
        <v/>
      </c>
      <c r="Q16" s="177" t="str">
        <f ca="1">IFERROR(RANK(RecurringExp[[#This Row],[Upcoming Days]],RecurringExp[Upcoming Days],1)+COUNTIF(RecurringExp[[#This Row],[Upcoming Days]]:RecurringExp[[#This Row],[Upcoming Days]],RecurringExp[[#This Row],[Upcoming Days]])-1,"")</f>
        <v/>
      </c>
      <c r="R16" s="177">
        <f ca="1">IFERROR(RANK(RecurringExp[[#This Row],[YTD/Annual Cost]],RecurringExp[YTD/Annual Cost],0)+COUNTIF(RecurringExp[[#This Row],[YTD/Annual Cost]]:RecurringExp[[#This Row],[YTD/Annual Cost]],RecurringExp[[#This Row],[YTD/Annual Cost]])-1,"")</f>
        <v>5</v>
      </c>
      <c r="S16" s="177" t="b">
        <v>1</v>
      </c>
      <c r="T16" s="233"/>
      <c r="U16" s="177"/>
      <c r="V16" s="177"/>
      <c r="W16" s="177"/>
      <c r="X16" s="177"/>
      <c r="Y16" s="177"/>
    </row>
    <row r="17" spans="2:25" ht="15.75" thickBot="1" x14ac:dyDescent="0.3">
      <c r="B17" s="177"/>
      <c r="C17" s="192" t="s">
        <v>1538</v>
      </c>
      <c r="D17" s="193"/>
      <c r="E17" s="194"/>
      <c r="F17" s="177"/>
      <c r="G17" s="177" t="s">
        <v>1563</v>
      </c>
      <c r="H17" s="177" t="s">
        <v>124</v>
      </c>
      <c r="I17" s="200">
        <v>9.99</v>
      </c>
      <c r="J17" s="177" t="s">
        <v>1543</v>
      </c>
      <c r="K17" s="200">
        <f ca="1">IFERROR(IF(ISBLANK(RecurringExp[[#This Row],[Amount $]]),"",IF(RecurringExp[[#This Row],[Sum from Trans]]&lt;&gt;"",RecurringExp[[#This Row],[Sum from Trans]],RecurringExp[[#This Row],[Amount $]]*_xlfn.XLOOKUP(RecurringExp[[#This Row],[Frequency]],FrequencyKey,FrequencyValue))),"")</f>
        <v>30.57</v>
      </c>
      <c r="L17" s="201">
        <v>9.99</v>
      </c>
      <c r="M17" s="202"/>
      <c r="N17" s="202"/>
      <c r="O17" s="201">
        <f ca="1">IF(SUMIFS(Table1[Amount $],Table1[Merchant],RecurringExp[[#This Row],[Merchant]],Table1[Date_Year],YEAR(TODAY()))*-1=0,"",SUMIFS(Table1[Amount $],Table1[Merchant],RecurringExp[[#This Row],[Merchant]],Table1[Date_Year],YEAR(TODAY()))*-1)</f>
        <v>30.57</v>
      </c>
      <c r="P17" s="177" t="str">
        <f ca="1">IF(ISBLANK(RecurringExp[[#This Row],[Upcoming Pay Date]]),"",IF(RecurringExp[[#This Row],[Upcoming Pay Date]]-TODAY()&lt;0,"",IF(RecurringExp[[#This Row],[Upcoming Pay Date]]-TODAY()&gt;30,"",RecurringExp[[#This Row],[Upcoming Pay Date]]-TODAY())))</f>
        <v/>
      </c>
      <c r="Q17" s="177" t="str">
        <f ca="1">IFERROR(RANK(RecurringExp[[#This Row],[Upcoming Days]],RecurringExp[Upcoming Days],1)+COUNTIF(RecurringExp[[#This Row],[Upcoming Days]]:RecurringExp[[#This Row],[Upcoming Days]],RecurringExp[[#This Row],[Upcoming Days]])-1,"")</f>
        <v/>
      </c>
      <c r="R17" s="177">
        <f ca="1">IFERROR(RANK(RecurringExp[[#This Row],[YTD/Annual Cost]],RecurringExp[YTD/Annual Cost],0)+COUNTIF(RecurringExp[[#This Row],[YTD/Annual Cost]]:RecurringExp[[#This Row],[YTD/Annual Cost]],RecurringExp[[#This Row],[YTD/Annual Cost]])-1,"")</f>
        <v>12</v>
      </c>
      <c r="S17" s="177" t="b">
        <v>1</v>
      </c>
      <c r="T17" s="233"/>
      <c r="U17" s="177"/>
      <c r="V17" s="177"/>
      <c r="W17" s="177"/>
      <c r="X17" s="177"/>
      <c r="Y17" s="177"/>
    </row>
    <row r="18" spans="2:25" ht="15.75" thickBot="1" x14ac:dyDescent="0.3">
      <c r="B18" s="177"/>
      <c r="C18" s="208" t="s">
        <v>26</v>
      </c>
      <c r="D18" s="209" t="s">
        <v>1539</v>
      </c>
      <c r="E18" s="210" t="s">
        <v>1540</v>
      </c>
      <c r="F18" s="177"/>
      <c r="G18" s="177" t="s">
        <v>1566</v>
      </c>
      <c r="H18" s="177" t="s">
        <v>1565</v>
      </c>
      <c r="I18" s="200">
        <v>9.99</v>
      </c>
      <c r="J18" s="177" t="s">
        <v>1543</v>
      </c>
      <c r="K18" s="200">
        <f ca="1">IFERROR(IF(ISBLANK(RecurringExp[[#This Row],[Amount $]]),"",IF(RecurringExp[[#This Row],[Sum from Trans]]&lt;&gt;"",RecurringExp[[#This Row],[Sum from Trans]],RecurringExp[[#This Row],[Amount $]]*_xlfn.XLOOKUP(RecurringExp[[#This Row],[Frequency]],FrequencyKey,FrequencyValue))),"")</f>
        <v>40.56</v>
      </c>
      <c r="L18" s="201">
        <v>9.99</v>
      </c>
      <c r="M18" s="202"/>
      <c r="N18" s="202"/>
      <c r="O18" s="201">
        <f ca="1">IF(SUMIFS(Table1[Amount $],Table1[Merchant],RecurringExp[[#This Row],[Merchant]],Table1[Date_Year],YEAR(TODAY()))*-1=0,"",SUMIFS(Table1[Amount $],Table1[Merchant],RecurringExp[[#This Row],[Merchant]],Table1[Date_Year],YEAR(TODAY()))*-1)</f>
        <v>40.56</v>
      </c>
      <c r="P18" s="177" t="str">
        <f ca="1">IF(ISBLANK(RecurringExp[[#This Row],[Upcoming Pay Date]]),"",IF(RecurringExp[[#This Row],[Upcoming Pay Date]]-TODAY()&lt;0,"",IF(RecurringExp[[#This Row],[Upcoming Pay Date]]-TODAY()&gt;30,"",RecurringExp[[#This Row],[Upcoming Pay Date]]-TODAY())))</f>
        <v/>
      </c>
      <c r="Q18" s="177" t="str">
        <f ca="1">IFERROR(RANK(RecurringExp[[#This Row],[Upcoming Days]],RecurringExp[Upcoming Days],1)+COUNTIF(RecurringExp[[#This Row],[Upcoming Days]]:RecurringExp[[#This Row],[Upcoming Days]],RecurringExp[[#This Row],[Upcoming Days]])-1,"")</f>
        <v/>
      </c>
      <c r="R18" s="177">
        <f ca="1">IFERROR(RANK(RecurringExp[[#This Row],[YTD/Annual Cost]],RecurringExp[YTD/Annual Cost],0)+COUNTIF(RecurringExp[[#This Row],[YTD/Annual Cost]]:RecurringExp[[#This Row],[YTD/Annual Cost]],RecurringExp[[#This Row],[YTD/Annual Cost]])-1,"")</f>
        <v>11</v>
      </c>
      <c r="S18" s="177" t="b">
        <v>1</v>
      </c>
      <c r="T18" s="233"/>
      <c r="U18" s="177"/>
      <c r="V18" s="177"/>
      <c r="W18" s="177"/>
      <c r="X18" s="177"/>
      <c r="Y18" s="177"/>
    </row>
    <row r="19" spans="2:25" x14ac:dyDescent="0.25">
      <c r="B19" s="211">
        <v>1</v>
      </c>
      <c r="C19" s="212" t="str">
        <f ca="1">IFERROR(INDEX(RecurringExp[Merchant],MATCH($B19,RecurringExp[Rank_Days],0),0),"")</f>
        <v>Check Card Purchase Credit</v>
      </c>
      <c r="D19" s="213" cm="1">
        <f t="array" aca="1" ref="D19" ca="1">IFERROR(INDEX(RecurringExp[Amount $],MATCH($B19,RecurringExp[Rank_Days],0),0),"")</f>
        <v>226</v>
      </c>
      <c r="E19" s="214" cm="1">
        <f t="array" aca="1" ref="E19" ca="1">IFERROR(IF(INDEX(RecurringExp[Upcoming Days],MATCH($B19,RecurringExp[Rank_Days],0),0)=0,"Today",INDEX(RecurringExp[Upcoming Days],MATCH($B19,RecurringExp[Rank_Days],0),0)),"")</f>
        <v>1</v>
      </c>
      <c r="F19" s="177"/>
      <c r="G19" s="177" t="s">
        <v>1568</v>
      </c>
      <c r="H19" s="177" t="s">
        <v>1567</v>
      </c>
      <c r="I19" s="200">
        <v>9.99</v>
      </c>
      <c r="J19" s="177" t="s">
        <v>1543</v>
      </c>
      <c r="K19" s="200">
        <f ca="1">IFERROR(IF(ISBLANK(RecurringExp[[#This Row],[Amount $]]),"",IF(RecurringExp[[#This Row],[Sum from Trans]]&lt;&gt;"",RecurringExp[[#This Row],[Sum from Trans]],RecurringExp[[#This Row],[Amount $]]*_xlfn.XLOOKUP(RecurringExp[[#This Row],[Frequency]],FrequencyKey,FrequencyValue))),"")</f>
        <v>29.97</v>
      </c>
      <c r="L19" s="201">
        <v>9.99</v>
      </c>
      <c r="M19" s="202"/>
      <c r="N19" s="202"/>
      <c r="O19" s="201">
        <f ca="1">IF(SUMIFS(Table1[Amount $],Table1[Merchant],RecurringExp[[#This Row],[Merchant]],Table1[Date_Year],YEAR(TODAY()))*-1=0,"",SUMIFS(Table1[Amount $],Table1[Merchant],RecurringExp[[#This Row],[Merchant]],Table1[Date_Year],YEAR(TODAY()))*-1)</f>
        <v>29.97</v>
      </c>
      <c r="P19" s="177" t="str">
        <f ca="1">IF(ISBLANK(RecurringExp[[#This Row],[Upcoming Pay Date]]),"",IF(RecurringExp[[#This Row],[Upcoming Pay Date]]-TODAY()&lt;0,"",IF(RecurringExp[[#This Row],[Upcoming Pay Date]]-TODAY()&gt;30,"",RecurringExp[[#This Row],[Upcoming Pay Date]]-TODAY())))</f>
        <v/>
      </c>
      <c r="Q19" s="177" t="str">
        <f ca="1">IFERROR(RANK(RecurringExp[[#This Row],[Upcoming Days]],RecurringExp[Upcoming Days],1)+COUNTIF(RecurringExp[[#This Row],[Upcoming Days]]:RecurringExp[[#This Row],[Upcoming Days]],RecurringExp[[#This Row],[Upcoming Days]])-1,"")</f>
        <v/>
      </c>
      <c r="R19" s="177">
        <f ca="1">IFERROR(RANK(RecurringExp[[#This Row],[YTD/Annual Cost]],RecurringExp[YTD/Annual Cost],0)+COUNTIF(RecurringExp[[#This Row],[YTD/Annual Cost]]:RecurringExp[[#This Row],[YTD/Annual Cost]],RecurringExp[[#This Row],[YTD/Annual Cost]])-1,"")</f>
        <v>13</v>
      </c>
      <c r="S19" s="177" t="b">
        <v>1</v>
      </c>
      <c r="T19" s="233"/>
      <c r="U19" s="177"/>
      <c r="V19" s="177"/>
      <c r="W19" s="177"/>
      <c r="X19" s="177"/>
      <c r="Y19" s="177"/>
    </row>
    <row r="20" spans="2:25" x14ac:dyDescent="0.25">
      <c r="B20" s="211">
        <v>2</v>
      </c>
      <c r="C20" s="212" t="str">
        <f ca="1">IFERROR(INDEX(RecurringExp[Merchant],MATCH($B21,RecurringExp[Rank_Days],0),0),"")</f>
        <v>Electronic Debit Tran Life</v>
      </c>
      <c r="D20" s="213" cm="1">
        <f t="array" aca="1" ref="D20" ca="1">IFERROR(INDEX(RecurringExp[Amount $],MATCH($B21,RecurringExp[Rank_Days],0),0),"")</f>
        <v>344.72</v>
      </c>
      <c r="E20" s="214" cm="1">
        <f t="array" aca="1" ref="E20" ca="1">IFERROR(IF(INDEX(RecurringExp[Upcoming Days],MATCH($B21,RecurringExp[Rank_Days],0),0)=0,"Today",INDEX(RecurringExp[Upcoming Days],MATCH($B21,RecurringExp[Rank_Days],0),0)),"")</f>
        <v>6</v>
      </c>
      <c r="F20" s="177"/>
      <c r="G20" s="177" t="s">
        <v>1570</v>
      </c>
      <c r="H20" s="166" t="s">
        <v>1569</v>
      </c>
      <c r="I20" s="200">
        <v>54.99</v>
      </c>
      <c r="J20" s="177" t="s">
        <v>1543</v>
      </c>
      <c r="K20" s="200">
        <f ca="1">IFERROR(IF(ISBLANK(RecurringExp[[#This Row],[Amount $]]),"",IF(RecurringExp[[#This Row],[Sum from Trans]]&lt;&gt;"",RecurringExp[[#This Row],[Sum from Trans]],RecurringExp[[#This Row],[Amount $]]*_xlfn.XLOOKUP(RecurringExp[[#This Row],[Frequency]],FrequencyKey,FrequencyValue))),"")</f>
        <v>109.98</v>
      </c>
      <c r="L20" s="201">
        <v>54.99</v>
      </c>
      <c r="M20" s="202"/>
      <c r="N20" s="202"/>
      <c r="O20" s="201">
        <f ca="1">IF(SUMIFS(Table1[Amount $],Table1[Merchant],RecurringExp[[#This Row],[Merchant]],Table1[Date_Year],YEAR(TODAY()))*-1=0,"",SUMIFS(Table1[Amount $],Table1[Merchant],RecurringExp[[#This Row],[Merchant]],Table1[Date_Year],YEAR(TODAY()))*-1)</f>
        <v>109.98</v>
      </c>
      <c r="P20" s="177" t="str">
        <f ca="1">IF(ISBLANK(RecurringExp[[#This Row],[Upcoming Pay Date]]),"",IF(RecurringExp[[#This Row],[Upcoming Pay Date]]-TODAY()&lt;0,"",IF(RecurringExp[[#This Row],[Upcoming Pay Date]]-TODAY()&gt;30,"",RecurringExp[[#This Row],[Upcoming Pay Date]]-TODAY())))</f>
        <v/>
      </c>
      <c r="Q20" s="177" t="str">
        <f ca="1">IFERROR(RANK(RecurringExp[[#This Row],[Upcoming Days]],RecurringExp[Upcoming Days],1)+COUNTIF(RecurringExp[[#This Row],[Upcoming Days]]:RecurringExp[[#This Row],[Upcoming Days]],RecurringExp[[#This Row],[Upcoming Days]])-1,"")</f>
        <v/>
      </c>
      <c r="R20" s="177">
        <f ca="1">IFERROR(RANK(RecurringExp[[#This Row],[YTD/Annual Cost]],RecurringExp[YTD/Annual Cost],0)+COUNTIF(RecurringExp[[#This Row],[YTD/Annual Cost]]:RecurringExp[[#This Row],[YTD/Annual Cost]],RecurringExp[[#This Row],[YTD/Annual Cost]])-1,"")</f>
        <v>8</v>
      </c>
      <c r="S20" s="177" t="b">
        <v>1</v>
      </c>
      <c r="T20" s="233"/>
      <c r="U20" s="177"/>
      <c r="V20" s="177"/>
      <c r="W20" s="177"/>
      <c r="X20" s="177"/>
      <c r="Y20" s="177"/>
    </row>
    <row r="21" spans="2:25" x14ac:dyDescent="0.25">
      <c r="B21" s="211">
        <v>3</v>
      </c>
      <c r="C21" s="212" t="str">
        <f ca="1">IFERROR(INDEX(RecurringExp[Merchant],MATCH($B22,RecurringExp[Rank_Days],0),0),"")</f>
        <v>Electronic Debit Transamerica Ins</v>
      </c>
      <c r="D21" s="213" cm="1">
        <f t="array" aca="1" ref="D21" ca="1">IFERROR(INDEX(RecurringExp[Amount $],MATCH($B22,RecurringExp[Rank_Days],0),0),"")</f>
        <v>10.9</v>
      </c>
      <c r="E21" s="214" cm="1">
        <f t="array" aca="1" ref="E21" ca="1">IFERROR(IF(INDEX(RecurringExp[Upcoming Days],MATCH($B22,RecurringExp[Rank_Days],0),0)=0,"Today",INDEX(RecurringExp[Upcoming Days],MATCH($B22,RecurringExp[Rank_Days],0),0)),"")</f>
        <v>25</v>
      </c>
      <c r="F21" s="177"/>
      <c r="G21" s="177" t="s">
        <v>1572</v>
      </c>
      <c r="H21" s="177" t="s">
        <v>1571</v>
      </c>
      <c r="I21" s="200">
        <v>5.3</v>
      </c>
      <c r="J21" s="177" t="s">
        <v>1543</v>
      </c>
      <c r="K21" s="200">
        <f ca="1">IFERROR(IF(ISBLANK(RecurringExp[[#This Row],[Amount $]]),"",IF(RecurringExp[[#This Row],[Sum from Trans]]&lt;&gt;"",RecurringExp[[#This Row],[Sum from Trans]],RecurringExp[[#This Row],[Amount $]]*_xlfn.XLOOKUP(RecurringExp[[#This Row],[Frequency]],FrequencyKey,FrequencyValue))),"")</f>
        <v>21.2</v>
      </c>
      <c r="L21" s="201">
        <v>5.3</v>
      </c>
      <c r="M21" s="202"/>
      <c r="N21" s="202"/>
      <c r="O21" s="201">
        <f ca="1">IF(SUMIFS(Table1[Amount $],Table1[Merchant],RecurringExp[[#This Row],[Merchant]],Table1[Date_Year],YEAR(TODAY()))*-1=0,"",SUMIFS(Table1[Amount $],Table1[Merchant],RecurringExp[[#This Row],[Merchant]],Table1[Date_Year],YEAR(TODAY()))*-1)</f>
        <v>21.2</v>
      </c>
      <c r="P21" s="177" t="str">
        <f ca="1">IF(ISBLANK(RecurringExp[[#This Row],[Upcoming Pay Date]]),"",IF(RecurringExp[[#This Row],[Upcoming Pay Date]]-TODAY()&lt;0,"",IF(RecurringExp[[#This Row],[Upcoming Pay Date]]-TODAY()&gt;30,"",RecurringExp[[#This Row],[Upcoming Pay Date]]-TODAY())))</f>
        <v/>
      </c>
      <c r="Q21" s="177" t="str">
        <f ca="1">IFERROR(RANK(RecurringExp[[#This Row],[Upcoming Days]],RecurringExp[Upcoming Days],1)+COUNTIF(RecurringExp[[#This Row],[Upcoming Days]]:RecurringExp[[#This Row],[Upcoming Days]],RecurringExp[[#This Row],[Upcoming Days]])-1,"")</f>
        <v/>
      </c>
      <c r="R21" s="177">
        <f ca="1">IFERROR(RANK(RecurringExp[[#This Row],[YTD/Annual Cost]],RecurringExp[YTD/Annual Cost],0)+COUNTIF(RecurringExp[[#This Row],[YTD/Annual Cost]]:RecurringExp[[#This Row],[YTD/Annual Cost]],RecurringExp[[#This Row],[YTD/Annual Cost]])-1,"")</f>
        <v>15</v>
      </c>
      <c r="S21" s="177" t="b">
        <v>1</v>
      </c>
      <c r="T21" s="233"/>
      <c r="U21" s="177"/>
      <c r="V21" s="177"/>
      <c r="W21" s="177"/>
      <c r="X21" s="177"/>
      <c r="Y21" s="177"/>
    </row>
    <row r="22" spans="2:25" ht="15.75" thickBot="1" x14ac:dyDescent="0.3">
      <c r="B22" s="211">
        <v>4</v>
      </c>
      <c r="C22" s="215" t="str">
        <f ca="1">IFERROR(INDEX(RecurringExp[Merchant],MATCH($B23,RecurringExp[Rank_Days],0),0),"")</f>
        <v/>
      </c>
      <c r="D22" s="216" t="str" cm="1">
        <f t="array" aca="1" ref="D22" ca="1">IFERROR(INDEX(RecurringExp[Amount $],MATCH($B23,RecurringExp[Rank_Days],0),0),"")</f>
        <v/>
      </c>
      <c r="E22" s="217" t="str" cm="1">
        <f t="array" aca="1" ref="E22" ca="1">IFERROR(IF(INDEX(RecurringExp[Upcoming Days],MATCH($B23,RecurringExp[Rank_Days],0),0)=0,"Today",INDEX(RecurringExp[Upcoming Days],MATCH($B23,RecurringExp[Rank_Days],0),0)),"")</f>
        <v/>
      </c>
      <c r="F22" s="177"/>
      <c r="G22" s="177"/>
      <c r="H22" s="166" t="s">
        <v>129</v>
      </c>
      <c r="I22" s="200">
        <v>65.92</v>
      </c>
      <c r="J22" s="177" t="s">
        <v>1543</v>
      </c>
      <c r="K22" s="200">
        <f ca="1">IFERROR(IF(ISBLANK(RecurringExp[[#This Row],[Amount $]]),"",IF(RecurringExp[[#This Row],[Sum from Trans]]&lt;&gt;"",RecurringExp[[#This Row],[Sum from Trans]],RecurringExp[[#This Row],[Amount $]]*_xlfn.XLOOKUP(RecurringExp[[#This Row],[Frequency]],FrequencyKey,FrequencyValue))),"")</f>
        <v>197.69</v>
      </c>
      <c r="L22" s="201"/>
      <c r="M22" s="202"/>
      <c r="N22" s="202"/>
      <c r="O22" s="201">
        <f ca="1">IF(SUMIFS(Table1[Amount $],Table1[Merchant],RecurringExp[[#This Row],[Merchant]],Table1[Date_Year],YEAR(TODAY()))*-1=0,"",SUMIFS(Table1[Amount $],Table1[Merchant],RecurringExp[[#This Row],[Merchant]],Table1[Date_Year],YEAR(TODAY()))*-1)</f>
        <v>197.69</v>
      </c>
      <c r="P22" s="177" t="str">
        <f ca="1">IF(ISBLANK(RecurringExp[[#This Row],[Upcoming Pay Date]]),"",IF(RecurringExp[[#This Row],[Upcoming Pay Date]]-TODAY()&lt;0,"",IF(RecurringExp[[#This Row],[Upcoming Pay Date]]-TODAY()&gt;30,"",RecurringExp[[#This Row],[Upcoming Pay Date]]-TODAY())))</f>
        <v/>
      </c>
      <c r="Q22" s="177" t="str">
        <f ca="1">IFERROR(RANK(RecurringExp[[#This Row],[Upcoming Days]],RecurringExp[Upcoming Days],1)+COUNTIF(RecurringExp[[#This Row],[Upcoming Days]]:RecurringExp[[#This Row],[Upcoming Days]],RecurringExp[[#This Row],[Upcoming Days]])-1,"")</f>
        <v/>
      </c>
      <c r="R22" s="177">
        <f ca="1">IFERROR(RANK(RecurringExp[[#This Row],[YTD/Annual Cost]],RecurringExp[YTD/Annual Cost],0)+COUNTIF(RecurringExp[[#This Row],[YTD/Annual Cost]]:RecurringExp[[#This Row],[YTD/Annual Cost]],RecurringExp[[#This Row],[YTD/Annual Cost]])-1,"")</f>
        <v>6</v>
      </c>
      <c r="S22" s="177"/>
      <c r="T22" s="233"/>
      <c r="U22" s="177"/>
      <c r="V22" s="177"/>
      <c r="W22" s="177"/>
      <c r="X22" s="177"/>
      <c r="Y22" s="177"/>
    </row>
    <row r="23" spans="2:25" x14ac:dyDescent="0.25">
      <c r="B23" s="211">
        <v>5</v>
      </c>
      <c r="F23" s="177"/>
      <c r="G23" s="177"/>
      <c r="H23" s="177" t="s">
        <v>1578</v>
      </c>
      <c r="I23" s="200">
        <v>473.95</v>
      </c>
      <c r="J23" s="177" t="s">
        <v>1580</v>
      </c>
      <c r="K23" s="200">
        <f ca="1">IFERROR(IF(ISBLANK(RecurringExp[[#This Row],[Amount $]]),"",IF(RecurringExp[[#This Row],[Sum from Trans]]&lt;&gt;"",RecurringExp[[#This Row],[Sum from Trans]],RecurringExp[[#This Row],[Amount $]]*_xlfn.XLOOKUP(RecurringExp[[#This Row],[Frequency]],FrequencyKey,FrequencyValue))),"")</f>
        <v>473.95</v>
      </c>
      <c r="L23" s="201"/>
      <c r="M23" s="202"/>
      <c r="N23" s="202"/>
      <c r="O23" s="201">
        <f ca="1">IF(SUMIFS(Table1[Amount $],Table1[Merchant],RecurringExp[[#This Row],[Merchant]],Table1[Date_Year],YEAR(TODAY()))*-1=0,"",SUMIFS(Table1[Amount $],Table1[Merchant],RecurringExp[[#This Row],[Merchant]],Table1[Date_Year],YEAR(TODAY()))*-1)</f>
        <v>473.95</v>
      </c>
      <c r="P23" s="177" t="str">
        <f ca="1">IF(ISBLANK(RecurringExp[[#This Row],[Upcoming Pay Date]]),"",IF(RecurringExp[[#This Row],[Upcoming Pay Date]]-TODAY()&lt;0,"",IF(RecurringExp[[#This Row],[Upcoming Pay Date]]-TODAY()&gt;30,"",RecurringExp[[#This Row],[Upcoming Pay Date]]-TODAY())))</f>
        <v/>
      </c>
      <c r="Q23" s="177" t="str">
        <f ca="1">IFERROR(RANK(RecurringExp[[#This Row],[Upcoming Days]],RecurringExp[Upcoming Days],1)+COUNTIF(RecurringExp[[#This Row],[Upcoming Days]]:RecurringExp[[#This Row],[Upcoming Days]],RecurringExp[[#This Row],[Upcoming Days]])-1,"")</f>
        <v/>
      </c>
      <c r="R23" s="177">
        <f ca="1">IFERROR(RANK(RecurringExp[[#This Row],[YTD/Annual Cost]],RecurringExp[YTD/Annual Cost],0)+COUNTIF(RecurringExp[[#This Row],[YTD/Annual Cost]]:RecurringExp[[#This Row],[YTD/Annual Cost]],RecurringExp[[#This Row],[YTD/Annual Cost]])-1,"")</f>
        <v>3</v>
      </c>
      <c r="S23" s="177"/>
      <c r="T23" s="235">
        <v>2109</v>
      </c>
      <c r="U23" s="177"/>
      <c r="V23" s="177"/>
      <c r="W23" s="177"/>
      <c r="X23" s="177"/>
      <c r="Y23" s="177"/>
    </row>
    <row r="24" spans="2:25" x14ac:dyDescent="0.25">
      <c r="G24" s="177"/>
      <c r="H24" s="177" t="s">
        <v>1579</v>
      </c>
      <c r="I24" s="200">
        <v>155</v>
      </c>
      <c r="J24" s="177" t="s">
        <v>1580</v>
      </c>
      <c r="K24" s="200" t="str">
        <f ca="1">IFERROR(IF(ISBLANK(RecurringExp[[#This Row],[Amount $]]),"",IF(RecurringExp[[#This Row],[Sum from Trans]]&lt;&gt;"",RecurringExp[[#This Row],[Sum from Trans]],RecurringExp[[#This Row],[Amount $]]*_xlfn.XLOOKUP(RecurringExp[[#This Row],[Frequency]],FrequencyKey,FrequencyValue))),"")</f>
        <v/>
      </c>
      <c r="L24" s="201"/>
      <c r="M24" s="202"/>
      <c r="N24" s="202"/>
      <c r="O24" s="201" t="str">
        <f ca="1">IF(SUMIFS(Table1[Amount $],Table1[Merchant],RecurringExp[[#This Row],[Merchant]],Table1[Date_Year],YEAR(TODAY()))*-1=0,"",SUMIFS(Table1[Amount $],Table1[Merchant],RecurringExp[[#This Row],[Merchant]],Table1[Date_Year],YEAR(TODAY()))*-1)</f>
        <v/>
      </c>
      <c r="P24" s="177" t="str">
        <f ca="1">IF(ISBLANK(RecurringExp[[#This Row],[Upcoming Pay Date]]),"",IF(RecurringExp[[#This Row],[Upcoming Pay Date]]-TODAY()&lt;0,"",IF(RecurringExp[[#This Row],[Upcoming Pay Date]]-TODAY()&gt;30,"",RecurringExp[[#This Row],[Upcoming Pay Date]]-TODAY())))</f>
        <v/>
      </c>
      <c r="Q24" s="177" t="str">
        <f ca="1">IFERROR(RANK(RecurringExp[[#This Row],[Upcoming Days]],RecurringExp[Upcoming Days],1)+COUNTIF(RecurringExp[[#This Row],[Upcoming Days]]:RecurringExp[[#This Row],[Upcoming Days]],RecurringExp[[#This Row],[Upcoming Days]])-1,"")</f>
        <v/>
      </c>
      <c r="R24" s="177" t="str">
        <f ca="1">IFERROR(RANK(RecurringExp[[#This Row],[YTD/Annual Cost]],RecurringExp[YTD/Annual Cost],0)+COUNTIF(RecurringExp[[#This Row],[YTD/Annual Cost]]:RecurringExp[[#This Row],[YTD/Annual Cost]],RecurringExp[[#This Row],[YTD/Annual Cost]])-1,"")</f>
        <v/>
      </c>
      <c r="S24" s="177"/>
      <c r="T24" s="234"/>
    </row>
    <row r="25" spans="2:25" x14ac:dyDescent="0.25">
      <c r="G25" s="177"/>
      <c r="H25" s="177" t="s">
        <v>1581</v>
      </c>
      <c r="I25" s="200">
        <v>95</v>
      </c>
      <c r="J25" s="177" t="s">
        <v>1580</v>
      </c>
      <c r="K25" s="200" t="str">
        <f ca="1">IFERROR(IF(ISBLANK(RecurringExp[[#This Row],[Amount $]]),"",IF(RecurringExp[[#This Row],[Sum from Trans]]&lt;&gt;"",RecurringExp[[#This Row],[Sum from Trans]],RecurringExp[[#This Row],[Amount $]]*_xlfn.XLOOKUP(RecurringExp[[#This Row],[Frequency]],FrequencyKey,FrequencyValue))),"")</f>
        <v/>
      </c>
      <c r="L25" s="201"/>
      <c r="M25" s="202"/>
      <c r="N25" s="202"/>
      <c r="O25" s="201" t="str">
        <f ca="1">IF(SUMIFS(Table1[Amount $],Table1[Merchant],RecurringExp[[#This Row],[Merchant]],Table1[Date_Year],YEAR(TODAY()))*-1=0,"",SUMIFS(Table1[Amount $],Table1[Merchant],RecurringExp[[#This Row],[Merchant]],Table1[Date_Year],YEAR(TODAY()))*-1)</f>
        <v/>
      </c>
      <c r="P25" s="177" t="str">
        <f ca="1">IF(ISBLANK(RecurringExp[[#This Row],[Upcoming Pay Date]]),"",IF(RecurringExp[[#This Row],[Upcoming Pay Date]]-TODAY()&lt;0,"",IF(RecurringExp[[#This Row],[Upcoming Pay Date]]-TODAY()&gt;30,"",RecurringExp[[#This Row],[Upcoming Pay Date]]-TODAY())))</f>
        <v/>
      </c>
      <c r="Q25" s="177" t="str">
        <f ca="1">IFERROR(RANK(RecurringExp[[#This Row],[Upcoming Days]],RecurringExp[Upcoming Days],1)+COUNTIF(RecurringExp[[#This Row],[Upcoming Days]]:RecurringExp[[#This Row],[Upcoming Days]],RecurringExp[[#This Row],[Upcoming Days]])-1,"")</f>
        <v/>
      </c>
      <c r="R25" s="177" t="str">
        <f ca="1">IFERROR(RANK(RecurringExp[[#This Row],[YTD/Annual Cost]],RecurringExp[YTD/Annual Cost],0)+COUNTIF(RecurringExp[[#This Row],[YTD/Annual Cost]]:RecurringExp[[#This Row],[YTD/Annual Cost]],RecurringExp[[#This Row],[YTD/Annual Cost]])-1,"")</f>
        <v/>
      </c>
      <c r="S25" s="177"/>
      <c r="T25" s="234"/>
    </row>
    <row r="26" spans="2:25" x14ac:dyDescent="0.25">
      <c r="G26" s="177"/>
      <c r="H26" s="177"/>
      <c r="I26" s="200"/>
      <c r="J26" s="177"/>
      <c r="K26" s="200" t="str">
        <f>IFERROR(IF(ISBLANK(RecurringExp[[#This Row],[Amount $]]),"",IF(RecurringExp[[#This Row],[Sum from Trans]]&lt;&gt;"",RecurringExp[[#This Row],[Sum from Trans]],RecurringExp[[#This Row],[Amount $]]*_xlfn.XLOOKUP(RecurringExp[[#This Row],[Frequency]],FrequencyKey,FrequencyValue))),"")</f>
        <v/>
      </c>
      <c r="L26" s="201"/>
      <c r="M26" s="202"/>
      <c r="N26" s="202"/>
      <c r="O26" s="201" t="str">
        <f ca="1">IF(SUMIFS(Table1[Amount $],Table1[Merchant],RecurringExp[[#This Row],[Merchant]],Table1[Date_Year],YEAR(TODAY()))*-1=0,"",SUMIFS(Table1[Amount $],Table1[Merchant],RecurringExp[[#This Row],[Merchant]],Table1[Date_Year],YEAR(TODAY()))*-1)</f>
        <v/>
      </c>
      <c r="P26" s="177" t="str">
        <f ca="1">IF(ISBLANK(RecurringExp[[#This Row],[Upcoming Pay Date]]),"",IF(RecurringExp[[#This Row],[Upcoming Pay Date]]-TODAY()&lt;0,"",IF(RecurringExp[[#This Row],[Upcoming Pay Date]]-TODAY()&gt;30,"",RecurringExp[[#This Row],[Upcoming Pay Date]]-TODAY())))</f>
        <v/>
      </c>
      <c r="Q26" s="177" t="str">
        <f ca="1">IFERROR(RANK(RecurringExp[[#This Row],[Upcoming Days]],RecurringExp[Upcoming Days],1)+COUNTIF(RecurringExp[[#This Row],[Upcoming Days]]:RecurringExp[[#This Row],[Upcoming Days]],RecurringExp[[#This Row],[Upcoming Days]])-1,"")</f>
        <v/>
      </c>
      <c r="R26" s="177" t="str">
        <f>IFERROR(RANK(RecurringExp[[#This Row],[YTD/Annual Cost]],RecurringExp[YTD/Annual Cost],0)+COUNTIF(RecurringExp[[#This Row],[YTD/Annual Cost]]:RecurringExp[[#This Row],[YTD/Annual Cost]],RecurringExp[[#This Row],[YTD/Annual Cost]])-1,"")</f>
        <v/>
      </c>
      <c r="S26" s="177"/>
      <c r="T26" s="234"/>
    </row>
    <row r="27" spans="2:25" x14ac:dyDescent="0.25">
      <c r="G27" s="177"/>
      <c r="H27" s="177"/>
      <c r="I27" s="200"/>
      <c r="J27" s="177"/>
      <c r="K27" s="200" t="str">
        <f>IFERROR(IF(ISBLANK(RecurringExp[[#This Row],[Amount $]]),"",IF(RecurringExp[[#This Row],[Sum from Trans]]&lt;&gt;"",RecurringExp[[#This Row],[Sum from Trans]],RecurringExp[[#This Row],[Amount $]]*_xlfn.XLOOKUP(RecurringExp[[#This Row],[Frequency]],FrequencyKey,FrequencyValue))),"")</f>
        <v/>
      </c>
      <c r="L27" s="201"/>
      <c r="M27" s="202"/>
      <c r="N27" s="202"/>
      <c r="O27" s="201" t="str">
        <f ca="1">IF(SUMIFS(Table1[Amount $],Table1[Merchant],RecurringExp[[#This Row],[Merchant]],Table1[Date_Year],YEAR(TODAY()))*-1=0,"",SUMIFS(Table1[Amount $],Table1[Merchant],RecurringExp[[#This Row],[Merchant]],Table1[Date_Year],YEAR(TODAY()))*-1)</f>
        <v/>
      </c>
      <c r="P27" s="177" t="str">
        <f ca="1">IF(ISBLANK(RecurringExp[[#This Row],[Upcoming Pay Date]]),"",IF(RecurringExp[[#This Row],[Upcoming Pay Date]]-TODAY()&lt;0,"",IF(RecurringExp[[#This Row],[Upcoming Pay Date]]-TODAY()&gt;30,"",RecurringExp[[#This Row],[Upcoming Pay Date]]-TODAY())))</f>
        <v/>
      </c>
      <c r="Q27" s="177" t="str">
        <f ca="1">IFERROR(RANK(RecurringExp[[#This Row],[Upcoming Days]],RecurringExp[Upcoming Days],1)+COUNTIF(RecurringExp[[#This Row],[Upcoming Days]]:RecurringExp[[#This Row],[Upcoming Days]],RecurringExp[[#This Row],[Upcoming Days]])-1,"")</f>
        <v/>
      </c>
      <c r="R27" s="177" t="str">
        <f>IFERROR(RANK(RecurringExp[[#This Row],[YTD/Annual Cost]],RecurringExp[YTD/Annual Cost],0)+COUNTIF(RecurringExp[[#This Row],[YTD/Annual Cost]]:RecurringExp[[#This Row],[YTD/Annual Cost]],RecurringExp[[#This Row],[YTD/Annual Cost]])-1,"")</f>
        <v/>
      </c>
      <c r="S27" s="177"/>
      <c r="T27" s="234"/>
    </row>
    <row r="28" spans="2:25" x14ac:dyDescent="0.25">
      <c r="G28" s="177"/>
      <c r="H28" s="177"/>
      <c r="I28" s="200"/>
      <c r="J28" s="177"/>
      <c r="K28" s="200" t="str">
        <f>IFERROR(IF(ISBLANK(RecurringExp[[#This Row],[Amount $]]),"",IF(RecurringExp[[#This Row],[Sum from Trans]]&lt;&gt;"",RecurringExp[[#This Row],[Sum from Trans]],RecurringExp[[#This Row],[Amount $]]*_xlfn.XLOOKUP(RecurringExp[[#This Row],[Frequency]],FrequencyKey,FrequencyValue))),"")</f>
        <v/>
      </c>
      <c r="L28" s="201"/>
      <c r="M28" s="202"/>
      <c r="N28" s="202"/>
      <c r="O28" s="201" t="str">
        <f ca="1">IF(SUMIFS(Table1[Amount $],Table1[Merchant],RecurringExp[[#This Row],[Merchant]],Table1[Date_Year],YEAR(TODAY()))*-1=0,"",SUMIFS(Table1[Amount $],Table1[Merchant],RecurringExp[[#This Row],[Merchant]],Table1[Date_Year],YEAR(TODAY()))*-1)</f>
        <v/>
      </c>
      <c r="P28" s="177" t="str">
        <f ca="1">IF(ISBLANK(RecurringExp[[#This Row],[Upcoming Pay Date]]),"",IF(RecurringExp[[#This Row],[Upcoming Pay Date]]-TODAY()&lt;0,"",IF(RecurringExp[[#This Row],[Upcoming Pay Date]]-TODAY()&gt;30,"",RecurringExp[[#This Row],[Upcoming Pay Date]]-TODAY())))</f>
        <v/>
      </c>
      <c r="Q28" s="177" t="str">
        <f ca="1">IFERROR(RANK(RecurringExp[[#This Row],[Upcoming Days]],RecurringExp[Upcoming Days],1)+COUNTIF(RecurringExp[[#This Row],[Upcoming Days]]:RecurringExp[[#This Row],[Upcoming Days]],RecurringExp[[#This Row],[Upcoming Days]])-1,"")</f>
        <v/>
      </c>
      <c r="R28" s="177" t="str">
        <f>IFERROR(RANK(RecurringExp[[#This Row],[YTD/Annual Cost]],RecurringExp[YTD/Annual Cost],0)+COUNTIF(RecurringExp[[#This Row],[YTD/Annual Cost]]:RecurringExp[[#This Row],[YTD/Annual Cost]],RecurringExp[[#This Row],[YTD/Annual Cost]])-1,"")</f>
        <v/>
      </c>
      <c r="S28" s="177"/>
      <c r="T28" s="234"/>
    </row>
    <row r="29" spans="2:25" x14ac:dyDescent="0.25">
      <c r="G29" s="177"/>
      <c r="H29" s="177"/>
      <c r="I29" s="200"/>
      <c r="J29" s="177"/>
      <c r="K29" s="200" t="str">
        <f>IFERROR(IF(ISBLANK(RecurringExp[[#This Row],[Amount $]]),"",IF(RecurringExp[[#This Row],[Sum from Trans]]&lt;&gt;"",RecurringExp[[#This Row],[Sum from Trans]],RecurringExp[[#This Row],[Amount $]]*_xlfn.XLOOKUP(RecurringExp[[#This Row],[Frequency]],FrequencyKey,FrequencyValue))),"")</f>
        <v/>
      </c>
      <c r="L29" s="201"/>
      <c r="M29" s="202"/>
      <c r="N29" s="202"/>
      <c r="O29" s="201" t="str">
        <f ca="1">IF(SUMIFS(Table1[Amount $],Table1[Merchant],RecurringExp[[#This Row],[Merchant]],Table1[Date_Year],YEAR(TODAY()))*-1=0,"",SUMIFS(Table1[Amount $],Table1[Merchant],RecurringExp[[#This Row],[Merchant]],Table1[Date_Year],YEAR(TODAY()))*-1)</f>
        <v/>
      </c>
      <c r="P29" s="177" t="str">
        <f ca="1">IF(ISBLANK(RecurringExp[[#This Row],[Upcoming Pay Date]]),"",IF(RecurringExp[[#This Row],[Upcoming Pay Date]]-TODAY()&lt;0,"",IF(RecurringExp[[#This Row],[Upcoming Pay Date]]-TODAY()&gt;30,"",RecurringExp[[#This Row],[Upcoming Pay Date]]-TODAY())))</f>
        <v/>
      </c>
      <c r="Q29" s="177" t="str">
        <f ca="1">IFERROR(RANK(RecurringExp[[#This Row],[Upcoming Days]],RecurringExp[Upcoming Days],1)+COUNTIF(RecurringExp[[#This Row],[Upcoming Days]]:RecurringExp[[#This Row],[Upcoming Days]],RecurringExp[[#This Row],[Upcoming Days]])-1,"")</f>
        <v/>
      </c>
      <c r="R29" s="177" t="str">
        <f>IFERROR(RANK(RecurringExp[[#This Row],[YTD/Annual Cost]],RecurringExp[YTD/Annual Cost],0)+COUNTIF(RecurringExp[[#This Row],[YTD/Annual Cost]]:RecurringExp[[#This Row],[YTD/Annual Cost]],RecurringExp[[#This Row],[YTD/Annual Cost]])-1,"")</f>
        <v/>
      </c>
      <c r="S29" s="177"/>
      <c r="T29" s="234"/>
    </row>
    <row r="30" spans="2:25" x14ac:dyDescent="0.25">
      <c r="G30" s="177"/>
      <c r="H30" s="177"/>
      <c r="I30" s="200"/>
      <c r="J30" s="177"/>
      <c r="K30" s="200" t="str">
        <f>IFERROR(IF(ISBLANK(RecurringExp[[#This Row],[Amount $]]),"",IF(RecurringExp[[#This Row],[Sum from Trans]]&lt;&gt;"",RecurringExp[[#This Row],[Sum from Trans]],RecurringExp[[#This Row],[Amount $]]*_xlfn.XLOOKUP(RecurringExp[[#This Row],[Frequency]],FrequencyKey,FrequencyValue))),"")</f>
        <v/>
      </c>
      <c r="L30" s="201"/>
      <c r="M30" s="202"/>
      <c r="N30" s="202"/>
      <c r="O30" s="201" t="str">
        <f ca="1">IF(SUMIFS(Table1[Amount $],Table1[Merchant],RecurringExp[[#This Row],[Merchant]],Table1[Date_Year],YEAR(TODAY()))*-1=0,"",SUMIFS(Table1[Amount $],Table1[Merchant],RecurringExp[[#This Row],[Merchant]],Table1[Date_Year],YEAR(TODAY()))*-1)</f>
        <v/>
      </c>
      <c r="P30" s="177" t="str">
        <f ca="1">IF(ISBLANK(RecurringExp[[#This Row],[Upcoming Pay Date]]),"",IF(RecurringExp[[#This Row],[Upcoming Pay Date]]-TODAY()&lt;0,"",IF(RecurringExp[[#This Row],[Upcoming Pay Date]]-TODAY()&gt;30,"",RecurringExp[[#This Row],[Upcoming Pay Date]]-TODAY())))</f>
        <v/>
      </c>
      <c r="Q30" s="177" t="str">
        <f ca="1">IFERROR(RANK(RecurringExp[[#This Row],[Upcoming Days]],RecurringExp[Upcoming Days],1)+COUNTIF(RecurringExp[[#This Row],[Upcoming Days]]:RecurringExp[[#This Row],[Upcoming Days]],RecurringExp[[#This Row],[Upcoming Days]])-1,"")</f>
        <v/>
      </c>
      <c r="R30" s="177" t="str">
        <f>IFERROR(RANK(RecurringExp[[#This Row],[YTD/Annual Cost]],RecurringExp[YTD/Annual Cost],0)+COUNTIF(RecurringExp[[#This Row],[YTD/Annual Cost]]:RecurringExp[[#This Row],[YTD/Annual Cost]],RecurringExp[[#This Row],[YTD/Annual Cost]])-1,"")</f>
        <v/>
      </c>
      <c r="S30" s="177"/>
      <c r="T30" s="234"/>
    </row>
    <row r="31" spans="2:25" x14ac:dyDescent="0.25">
      <c r="I31" s="187"/>
      <c r="K31" s="187" t="str">
        <f>IFERROR(IF(ISBLANK(RecurringExp[[#This Row],[Amount $]]),"",IF(RecurringExp[[#This Row],[Sum from Trans]]&lt;&gt;"",RecurringExp[[#This Row],[Sum from Trans]],RecurringExp[[#This Row],[Amount $]]*_xlfn.XLOOKUP(RecurringExp[[#This Row],[Frequency]],FrequencyKey,FrequencyValue))),"")</f>
        <v/>
      </c>
      <c r="L31" s="188"/>
      <c r="M31" s="189"/>
      <c r="N31" s="189"/>
      <c r="O31" s="188" t="str">
        <f ca="1">IF(SUMIFS(Table1[Amount $],Table1[Merchant],RecurringExp[[#This Row],[Merchant]],Table1[Date_Year],YEAR(TODAY()))*-1=0,"",SUMIFS(Table1[Amount $],Table1[Merchant],RecurringExp[[#This Row],[Merchant]],Table1[Date_Year],YEAR(TODAY()))*-1)</f>
        <v/>
      </c>
      <c r="P31" t="str">
        <f ca="1">IF(ISBLANK(RecurringExp[[#This Row],[Upcoming Pay Date]]),"",IF(RecurringExp[[#This Row],[Upcoming Pay Date]]-TODAY()&lt;0,"",IF(RecurringExp[[#This Row],[Upcoming Pay Date]]-TODAY()&gt;30,"",RecurringExp[[#This Row],[Upcoming Pay Date]]-TODAY())))</f>
        <v/>
      </c>
      <c r="Q31" t="str">
        <f ca="1">IFERROR(RANK(RecurringExp[[#This Row],[Upcoming Days]],RecurringExp[Upcoming Days],1)+COUNTIF(RecurringExp[[#This Row],[Upcoming Days]]:RecurringExp[[#This Row],[Upcoming Days]],RecurringExp[[#This Row],[Upcoming Days]])-1,"")</f>
        <v/>
      </c>
      <c r="R31" t="str">
        <f>IFERROR(RANK(RecurringExp[[#This Row],[YTD/Annual Cost]],RecurringExp[YTD/Annual Cost],0)+COUNTIF(RecurringExp[[#This Row],[YTD/Annual Cost]]:RecurringExp[[#This Row],[YTD/Annual Cost]],RecurringExp[[#This Row],[YTD/Annual Cost]])-1,"")</f>
        <v/>
      </c>
      <c r="T31" s="234"/>
    </row>
  </sheetData>
  <mergeCells count="3">
    <mergeCell ref="C2:L2"/>
    <mergeCell ref="C3:M3"/>
    <mergeCell ref="C4:S4"/>
  </mergeCells>
  <conditionalFormatting sqref="H9:H14 H17:H19 H21 H23:H31">
    <cfRule type="expression" dxfId="39" priority="4">
      <formula>INDIRECT("RC[11]", FALSE)=TRUE</formula>
    </cfRule>
  </conditionalFormatting>
  <conditionalFormatting sqref="H9:H14 H17:H19 H21 H23:H31">
    <cfRule type="expression" dxfId="38" priority="5">
      <formula>AND(ISBLANK(INDIRECT("RC[0]", FALSE)), INDIRECT("RC[1]", FALSE)&lt;&gt;"")</formula>
    </cfRule>
  </conditionalFormatting>
  <conditionalFormatting sqref="H9:H14 H17:H19 H21 H23:H31">
    <cfRule type="expression" dxfId="37" priority="6">
      <formula>AND(ISBLANK(INDIRECT("RC[0]", FALSE)), INDIRECT("RC[2]", FALSE)&lt;&gt;"")</formula>
    </cfRule>
  </conditionalFormatting>
  <conditionalFormatting sqref="I9:I31">
    <cfRule type="expression" dxfId="36" priority="7">
      <formula>INDIRECT("RC[10]", FALSE)=TRUE</formula>
    </cfRule>
  </conditionalFormatting>
  <conditionalFormatting sqref="I9:I31">
    <cfRule type="expression" dxfId="35" priority="8">
      <formula>AND(ISBLANK(INDIRECT("RC[0]", FALSE)), INDIRECT("RC[-1]", FALSE)&lt;&gt;"")</formula>
    </cfRule>
  </conditionalFormatting>
  <conditionalFormatting sqref="I9:I31">
    <cfRule type="expression" dxfId="34" priority="9">
      <formula>AND(ISBLANK(INDIRECT("RC[0]", FALSE)), INDIRECT("RC[1]", FALSE)&lt;&gt;"")</formula>
    </cfRule>
  </conditionalFormatting>
  <conditionalFormatting sqref="J9:J31">
    <cfRule type="expression" dxfId="33" priority="10">
      <formula>INDIRECT("RC[9]", FALSE)=TRUE</formula>
    </cfRule>
  </conditionalFormatting>
  <conditionalFormatting sqref="J9:J31">
    <cfRule type="expression" dxfId="32" priority="11">
      <formula>AND(ISBLANK(INDIRECT("RC[0]", FALSE)), INDIRECT("RC[-1]", FALSE)&lt;&gt;"")</formula>
    </cfRule>
  </conditionalFormatting>
  <conditionalFormatting sqref="J9:J31">
    <cfRule type="expression" dxfId="31" priority="12">
      <formula>AND(ISBLANK(INDIRECT("RC[0]", FALSE)), INDIRECT("RC[-2]", FALSE)&lt;&gt;"")</formula>
    </cfRule>
  </conditionalFormatting>
  <conditionalFormatting sqref="M9:M31">
    <cfRule type="expression" dxfId="30" priority="13">
      <formula>INDIRECT("RC[7]", FALSE)=TRUE</formula>
    </cfRule>
  </conditionalFormatting>
  <conditionalFormatting sqref="H16">
    <cfRule type="expression" dxfId="7" priority="1">
      <formula>INDIRECT("RC[11]", FALSE)=TRUE</formula>
    </cfRule>
  </conditionalFormatting>
  <conditionalFormatting sqref="H16">
    <cfRule type="expression" dxfId="6" priority="2">
      <formula>AND(ISBLANK(INDIRECT("RC[0]", FALSE)), INDIRECT("RC[1]", FALSE)&lt;&gt;"")</formula>
    </cfRule>
  </conditionalFormatting>
  <conditionalFormatting sqref="H16">
    <cfRule type="expression" dxfId="5" priority="3">
      <formula>AND(ISBLANK(INDIRECT("RC[0]", FALSE)), INDIRECT("RC[2]", FALSE)&lt;&gt;"")</formula>
    </cfRule>
  </conditionalFormatting>
  <dataValidations count="2">
    <dataValidation type="list" allowBlank="1" showInputMessage="1" showErrorMessage="1" promptTitle="Type of the entry" prompt="Weekly, Monthly, Quarterly, Annual, Unknown, Semi-Annual" sqref="J9:J31" xr:uid="{21983568-08AD-47C3-BCCD-AC624299ECC1}">
      <formula1>"Weekly, Monthly, Quarterly, Annual, Unknown, Semi-Annual"</formula1>
    </dataValidation>
    <dataValidation allowBlank="1" showInputMessage="1" showErrorMessage="1" prompt="Understand and review recurring expenses. Money in Excel will look out for price changes and let you know. Manually add other recurring expenses to the table below." sqref="A1" xr:uid="{EBE7BB1D-28E8-4578-95CB-05BCD7D365FF}"/>
  </dataValidation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71E34-955C-4F80-B554-59820120072A}">
  <dimension ref="A1:AY200"/>
  <sheetViews>
    <sheetView showGridLines="0" zoomScaleNormal="100" workbookViewId="0">
      <pane ySplit="5" topLeftCell="A6" activePane="bottomLeft" state="frozen"/>
      <selection pane="bottomLeft"/>
    </sheetView>
  </sheetViews>
  <sheetFormatPr defaultColWidth="11.28515625" defaultRowHeight="15" outlineLevelCol="1" x14ac:dyDescent="0.25"/>
  <cols>
    <col min="1" max="1" width="1.28515625" style="13" customWidth="1"/>
    <col min="2" max="2" width="2.85546875" style="13" hidden="1" customWidth="1" outlineLevel="1"/>
    <col min="3" max="3" width="1.42578125" style="13" customWidth="1" collapsed="1"/>
    <col min="4" max="4" width="11.28515625" style="13" customWidth="1"/>
    <col min="5" max="6" width="11.28515625" style="13"/>
    <col min="7" max="7" width="11.28515625" style="13" bestFit="1" customWidth="1"/>
    <col min="8" max="8" width="11.28515625" style="13"/>
    <col min="9" max="9" width="10.28515625" style="13" customWidth="1"/>
    <col min="10" max="10" width="1.42578125" style="13" customWidth="1"/>
    <col min="11" max="11" width="2.42578125" style="13" customWidth="1"/>
    <col min="12" max="12" width="1.42578125" style="13" customWidth="1"/>
    <col min="13" max="14" width="11.28515625" style="13"/>
    <col min="15" max="15" width="8.28515625" style="13" customWidth="1"/>
    <col min="16" max="16" width="3.42578125" style="13" customWidth="1"/>
    <col min="17" max="17" width="11.42578125" style="13" customWidth="1"/>
    <col min="18" max="18" width="11.28515625" style="13"/>
    <col min="19" max="19" width="10.28515625" style="13" customWidth="1"/>
    <col min="20" max="20" width="2.28515625" style="13" customWidth="1"/>
    <col min="21" max="21" width="11.28515625" style="13" customWidth="1"/>
    <col min="22" max="22" width="12.28515625" style="13" hidden="1" customWidth="1" outlineLevel="1"/>
    <col min="23" max="23" width="14.42578125" style="13" hidden="1" customWidth="1" outlineLevel="1"/>
    <col min="24" max="24" width="1.42578125" style="14" hidden="1" customWidth="1" outlineLevel="1"/>
    <col min="25" max="27" width="11.28515625" style="13" hidden="1" customWidth="1" outlineLevel="1"/>
    <col min="28" max="28" width="1.42578125" style="14" hidden="1" customWidth="1" outlineLevel="1"/>
    <col min="29" max="34" width="11.28515625" style="13" hidden="1" customWidth="1" outlineLevel="1"/>
    <col min="35" max="35" width="1.42578125" style="13" hidden="1" customWidth="1" outlineLevel="1"/>
    <col min="36" max="36" width="10" style="13" hidden="1" customWidth="1" outlineLevel="1"/>
    <col min="37" max="44" width="11.28515625" style="13" hidden="1" customWidth="1" outlineLevel="1"/>
    <col min="45" max="45" width="1.42578125" style="13" hidden="1" customWidth="1" outlineLevel="1"/>
    <col min="46" max="50" width="11.28515625" style="13" hidden="1" customWidth="1" outlineLevel="1"/>
    <col min="51" max="51" width="11.28515625" style="13" collapsed="1"/>
    <col min="52" max="16384" width="11.28515625" style="13"/>
  </cols>
  <sheetData>
    <row r="1" spans="1:50" s="5" customFormat="1" ht="5.0999999999999996" customHeight="1" x14ac:dyDescent="0.25">
      <c r="A1" s="1"/>
      <c r="B1" s="2"/>
      <c r="C1" s="3"/>
      <c r="D1" s="3"/>
      <c r="E1" s="3"/>
      <c r="F1" s="3"/>
      <c r="G1" s="3"/>
      <c r="H1" s="3"/>
      <c r="I1" s="3"/>
      <c r="J1" s="3"/>
      <c r="K1" s="3"/>
      <c r="L1" s="3"/>
      <c r="M1" s="3"/>
      <c r="N1" s="3"/>
      <c r="O1" s="3"/>
      <c r="P1" s="3"/>
      <c r="Q1" s="3"/>
      <c r="R1" s="3"/>
      <c r="S1" s="3"/>
      <c r="T1" s="4"/>
      <c r="X1" s="6"/>
      <c r="AB1" s="6"/>
    </row>
    <row r="2" spans="1:50" ht="40.5" customHeight="1" x14ac:dyDescent="0.55000000000000004">
      <c r="A2" s="7"/>
      <c r="B2" s="8"/>
      <c r="C2" s="146" t="s">
        <v>0</v>
      </c>
      <c r="D2" s="147"/>
      <c r="E2" s="147"/>
      <c r="F2" s="147"/>
      <c r="G2" s="147"/>
      <c r="H2" s="147"/>
      <c r="I2" s="147"/>
      <c r="J2" s="147"/>
      <c r="K2" s="147"/>
      <c r="L2" s="147"/>
      <c r="M2" s="147"/>
      <c r="N2" s="147"/>
      <c r="O2" s="147"/>
      <c r="P2" s="147"/>
      <c r="Q2" s="9" t="s">
        <v>1</v>
      </c>
      <c r="R2" s="10"/>
      <c r="S2" s="10"/>
      <c r="T2" s="11"/>
      <c r="U2" s="8"/>
      <c r="V2" s="12"/>
      <c r="AK2" s="12"/>
      <c r="AM2" s="15"/>
      <c r="AN2" s="15"/>
      <c r="AO2" s="16"/>
    </row>
    <row r="3" spans="1:50" ht="4.3499999999999996" customHeight="1" thickBot="1" x14ac:dyDescent="0.6">
      <c r="A3" s="7"/>
      <c r="B3" s="8"/>
      <c r="C3" s="139"/>
      <c r="D3" s="140"/>
      <c r="E3" s="140"/>
      <c r="F3" s="140"/>
      <c r="G3" s="140"/>
      <c r="H3" s="140"/>
      <c r="I3" s="140"/>
      <c r="J3" s="140"/>
      <c r="K3" s="140"/>
      <c r="L3" s="140"/>
      <c r="M3" s="140"/>
      <c r="N3" s="140"/>
      <c r="O3" s="140"/>
      <c r="P3" s="140"/>
      <c r="Q3" s="140"/>
      <c r="T3" s="11"/>
      <c r="U3" s="8"/>
      <c r="AK3" s="12"/>
      <c r="AM3" s="15"/>
      <c r="AN3" s="15"/>
      <c r="AO3" s="16"/>
    </row>
    <row r="4" spans="1:50" ht="40.5" customHeight="1" thickTop="1" thickBot="1" x14ac:dyDescent="0.35">
      <c r="A4" s="7"/>
      <c r="B4" s="8"/>
      <c r="C4" s="151" t="s">
        <v>2</v>
      </c>
      <c r="D4" s="152"/>
      <c r="E4" s="152"/>
      <c r="F4" s="152"/>
      <c r="G4" s="152"/>
      <c r="H4" s="152"/>
      <c r="I4" s="147"/>
      <c r="J4" s="147"/>
      <c r="K4" s="147"/>
      <c r="L4" s="147"/>
      <c r="M4" s="147"/>
      <c r="N4" s="147"/>
      <c r="O4" s="147"/>
      <c r="Q4" s="148" t="s">
        <v>69</v>
      </c>
      <c r="R4" s="149"/>
      <c r="S4" s="150"/>
      <c r="T4" s="11"/>
      <c r="U4" s="140"/>
      <c r="W4" s="17">
        <f>_xlfn.XLOOKUP(TEXT(Q4,"mmmm yyyy"),$V$7:$V$200,$W$7:$W$200)</f>
        <v>43983</v>
      </c>
      <c r="Y4" s="13" t="s">
        <v>3</v>
      </c>
      <c r="AC4" s="13" t="s">
        <v>4</v>
      </c>
      <c r="AD4" s="13" t="s">
        <v>5</v>
      </c>
      <c r="AE4" s="13" t="s">
        <v>6</v>
      </c>
      <c r="AF4" s="13" t="s">
        <v>7</v>
      </c>
      <c r="AG4" s="13" t="s">
        <v>4</v>
      </c>
      <c r="AH4" s="13" t="s">
        <v>8</v>
      </c>
      <c r="AJ4" s="18" t="s">
        <v>9</v>
      </c>
      <c r="AK4" s="18" t="s">
        <v>10</v>
      </c>
      <c r="AL4" s="18" t="s">
        <v>8</v>
      </c>
      <c r="AM4" s="18" t="str">
        <f>TEXT(AK6,"MMMM")&amp;" Spending"</f>
        <v>June Spending</v>
      </c>
      <c r="AN4" s="18" t="s">
        <v>11</v>
      </c>
      <c r="AO4" s="18" t="s">
        <v>12</v>
      </c>
      <c r="AP4" s="18" t="s">
        <v>8</v>
      </c>
      <c r="AQ4" s="18" t="str">
        <f>TEXT(AO6,"MMMM")&amp;" Spending"</f>
        <v>May Spending</v>
      </c>
      <c r="AR4" s="18" t="s">
        <v>11</v>
      </c>
      <c r="AS4" s="19"/>
      <c r="AT4" s="13" t="s">
        <v>13</v>
      </c>
      <c r="AU4" s="13" t="s">
        <v>8</v>
      </c>
      <c r="AV4" s="13" t="s">
        <v>14</v>
      </c>
      <c r="AW4" s="13" t="s">
        <v>15</v>
      </c>
      <c r="AX4" s="13" t="s">
        <v>16</v>
      </c>
    </row>
    <row r="5" spans="1:50" s="14" customFormat="1" ht="4.3499999999999996" customHeight="1" thickTop="1" x14ac:dyDescent="0.25">
      <c r="A5" s="20"/>
      <c r="B5" s="21"/>
      <c r="C5" s="21"/>
      <c r="D5" s="6"/>
      <c r="E5" s="6"/>
      <c r="F5" s="6"/>
      <c r="G5" s="6"/>
      <c r="H5" s="6"/>
      <c r="I5" s="6"/>
      <c r="J5" s="6"/>
      <c r="K5" s="6"/>
      <c r="L5" s="6"/>
      <c r="M5" s="6"/>
      <c r="N5" s="6"/>
      <c r="O5" s="6"/>
      <c r="P5" s="6"/>
      <c r="Q5" s="6"/>
      <c r="R5" s="6"/>
      <c r="S5" s="6"/>
      <c r="T5" s="6"/>
      <c r="U5" s="21"/>
    </row>
    <row r="6" spans="1:50" ht="14.85" customHeight="1" thickBot="1" x14ac:dyDescent="0.3">
      <c r="A6" s="22"/>
      <c r="G6" s="23"/>
      <c r="V6" s="24" t="s">
        <v>17</v>
      </c>
      <c r="W6" s="24" t="s">
        <v>18</v>
      </c>
      <c r="Y6" s="25" t="str">
        <f>TEXT(ABS(Z9),"$#,##0")&amp;" "&amp;IF(Z7&gt;Z8,"less was spent compared to last month","more was spent compared to last month")</f>
        <v>$321 less was spent compared to last month</v>
      </c>
      <c r="Z6" s="26"/>
      <c r="AA6" s="26"/>
      <c r="AC6" s="27" t="str" cm="1">
        <f t="array" ref="AC6:AC24">_xlfn.UNIQUE(INDEX(_xlfn._xlws.FILTER(CategoriesTable[],(CategoriesTable[Category type]="expense")*(NOT(CategoriesTable[ID]=0)),""),0,2),FALSE)</f>
        <v>Auto/Transport</v>
      </c>
      <c r="AD6" s="28">
        <f>SUMIFS(Table1[Amount $],Table1[Category],Snapshot!AC6,Table1[Month],Snapshot!$W$4)*-1</f>
        <v>0</v>
      </c>
      <c r="AE6" s="25">
        <f>RANK(AD6,$AD$6:$AD$35,0)+COUNTIF(AD6:$AD$6,AD6)-1</f>
        <v>10</v>
      </c>
      <c r="AF6" s="25">
        <v>1</v>
      </c>
      <c r="AG6" s="25" t="str" cm="1">
        <f t="array" ref="AG6">IF(INDEX($AD$6:$AD$35,MATCH(AF6,$AE$6:$AE$35,0),0)=0,"",INDEX($AC$6:$AC$35,MATCH(AF6,$AE$6:$AE$35,0),0))</f>
        <v>Bills/Utilities</v>
      </c>
      <c r="AH6" s="28" cm="1">
        <f t="array" ref="AH6">IF(INDEX($AD$6:$AD$35,MATCH(AF6,$AE$6:$AE$35,0),0)=0,0,INDEX($AD$6:$AD$35,MATCH(AF6,$AE$6:$AE$35,0),0))</f>
        <v>1881.32</v>
      </c>
      <c r="AI6" s="29"/>
      <c r="AJ6" s="30">
        <f>DATE(2000,1,1)</f>
        <v>36526</v>
      </c>
      <c r="AK6" s="30">
        <f>DATE(YEAR(W4),MONTH(W4),DAY(W4))</f>
        <v>43983</v>
      </c>
      <c r="AL6" s="31">
        <f>SUMIFS(Table1[Amount $],Table1[Category Type],"Expense",Table1[Date],Snapshot!AK6)*-1</f>
        <v>50.16</v>
      </c>
      <c r="AM6" s="31">
        <f ca="1">IF(AK6&gt;TODAY(),NA(),SUM(AL6:$AL$6))</f>
        <v>50.16</v>
      </c>
      <c r="AN6" s="31" t="e">
        <f ca="1">IF(OR(AK6=EOMONTH($AK$6,0),AK6=TODAY()),AM6,NA())</f>
        <v>#N/A</v>
      </c>
      <c r="AO6" s="30">
        <f>DATE(YEAR(AK6),MONTH(AK6)-1,DAY(AK6))</f>
        <v>43952</v>
      </c>
      <c r="AP6" s="31">
        <f>SUMIFS(Table1[Amount $],Table1[Category Type],"Expense",Table1[Date],Snapshot!AO6)*-1</f>
        <v>500</v>
      </c>
      <c r="AQ6" s="31">
        <f>IF(AO6&lt;=EOMONTH($AO$6,0),SUM(AP$6:$AP6),NA())</f>
        <v>500</v>
      </c>
      <c r="AR6" s="31" t="e">
        <f>IF(AO6=EOMONTH($AO$6,0),AQ6,NA())</f>
        <v>#N/A</v>
      </c>
      <c r="AT6" s="25" t="str" cm="1">
        <f t="array" ref="AT6:AT36">_xlfn.UNIQUE(_xlfn._xlws.FILTER(Table1[Merchant],(Table1[Merchant]&lt;&gt;"")*(Table1[Amount $]&lt;0)*(Table1[Month]=Snapshot!$W$4)*(Table1[Category Type]="Expense")))</f>
        <v>Amazon Prime</v>
      </c>
      <c r="AU6" s="32">
        <f>IF(ISBLANK(AT6),"",SUMIFS(Table1[Amount $],Table1[Merchant],Snapshot!AT6,Table1[Month],Snapshot!$W$4)*-1)</f>
        <v>12.99</v>
      </c>
      <c r="AV6" s="25">
        <f>IF(ISBLANK(AT6),"",COUNTIFS(Table1[Merchant],Snapshot!AT6,Table1[Month],Snapshot!$W$4))</f>
        <v>1</v>
      </c>
      <c r="AW6" s="25">
        <f>IFERROR(RANK(AV6,$AV$6:$AV$200)+COUNTIF($AV$6:AV6,AV6)-1,"")</f>
        <v>8</v>
      </c>
      <c r="AX6" s="25">
        <f>IFERROR(RANK(AU6,$AU$6:$AU$200)+COUNTIF($AU$6:AU6,AU6)-1,"")</f>
        <v>25</v>
      </c>
    </row>
    <row r="7" spans="1:50" ht="20.100000000000001" customHeight="1" x14ac:dyDescent="0.3">
      <c r="A7" s="22"/>
      <c r="C7" s="33"/>
      <c r="D7" s="34" t="s">
        <v>19</v>
      </c>
      <c r="E7" s="35"/>
      <c r="F7" s="35"/>
      <c r="G7" s="35"/>
      <c r="H7" s="36"/>
      <c r="I7" s="35"/>
      <c r="J7" s="37"/>
      <c r="L7" s="33"/>
      <c r="M7" s="34" t="s">
        <v>20</v>
      </c>
      <c r="N7" s="35"/>
      <c r="O7" s="35"/>
      <c r="P7" s="35"/>
      <c r="Q7" s="35"/>
      <c r="R7" s="35"/>
      <c r="S7" s="35"/>
      <c r="T7" s="37"/>
      <c r="V7" s="38" t="str">
        <f t="shared" ref="V7:V8" si="0">IF(ISBLANK(W7),"--",TEXT(W7,"mmmm")&amp;" "&amp;TEXT(W7,"YYYY"))</f>
        <v>April 2021</v>
      </c>
      <c r="W7" s="38" cm="1">
        <f t="array" ref="W7:W25">_xlfn._xlws.SORT(_xlfn.UNIQUE(_xlfn._xlws.FILTER(Table1[Month],Table1[Month]&lt;&gt;"",)),1,-1)</f>
        <v>44287</v>
      </c>
      <c r="X7" s="39"/>
      <c r="Y7" s="27" t="str">
        <f>IFERROR(TEXT(AO6,"mmmm"),"--")</f>
        <v>May</v>
      </c>
      <c r="Z7" s="40">
        <f>SUMIFS(Table1[Amount $],Table1[Category Type],"Expense",Table1[Month],DATE(YEAR(Snapshot!$W$4),MONTH(Snapshot!$W$4)-1,DAY(Snapshot!$W$4)))*-1</f>
        <v>4475.6399999999976</v>
      </c>
      <c r="AA7" s="40"/>
      <c r="AB7" s="39"/>
      <c r="AC7" s="27" t="str">
        <v>Bills/Utilities</v>
      </c>
      <c r="AD7" s="28">
        <f>SUMIFS(Table1[Amount $],Table1[Category],Snapshot!AC7,Table1[Month],Snapshot!$W$4)*-1</f>
        <v>1881.32</v>
      </c>
      <c r="AE7" s="25">
        <f>RANK(AD7,$AD$6:$AD$35,0)+COUNTIF(AD$6:$AD7,AD7)-1</f>
        <v>1</v>
      </c>
      <c r="AF7" s="25">
        <v>2</v>
      </c>
      <c r="AG7" s="25" t="str" cm="1">
        <f t="array" ref="AG7">IF(INDEX($AD$6:$AD$35,MATCH(AF7,$AE$6:$AE$35,0),0)=0,"",INDEX($AC$6:$AC$35,MATCH(AF7,$AE$6:$AE$35,0),0))</f>
        <v>Shopping</v>
      </c>
      <c r="AH7" s="28" cm="1">
        <f t="array" ref="AH7">IF(INDEX($AD$6:$AD$35,MATCH(AF7,$AE$6:$AE$35,0),0)=0,0,INDEX($AD$6:$AD$35,MATCH(AF7,$AE$6:$AE$35,0),0))</f>
        <v>573.13</v>
      </c>
      <c r="AI7" s="29"/>
      <c r="AJ7" s="30">
        <f>DATE(YEAR(AJ6),MONTH(AJ6),DAY(AJ6)+1)</f>
        <v>36527</v>
      </c>
      <c r="AK7" s="30">
        <f>IF(MONTH(AK6)=MONTH(DATE(YEAR(AK6),MONTH(AK6),DAY(AK6)+1)),DATE(YEAR(AK6),MONTH(AK6),DAY(AK6)+1),NA())</f>
        <v>43984</v>
      </c>
      <c r="AL7" s="31">
        <f>SUMIFS(Table1[Amount $],Table1[Category Type],"Expense",Table1[Date],Snapshot!AK7)*-1</f>
        <v>149.93</v>
      </c>
      <c r="AM7" s="31">
        <f ca="1">IF(AK7&gt;TODAY(),NA(),SUM(AL$6:$AL7))</f>
        <v>200.09</v>
      </c>
      <c r="AN7" s="31" t="e">
        <f t="shared" ref="AN7:AN36" ca="1" si="1">IF(OR(AK7=EOMONTH($AK$6,0),AK7=TODAY()),AM7,NA())</f>
        <v>#N/A</v>
      </c>
      <c r="AO7" s="30">
        <f>IF(MONTH(AO6)=MONTH(DATE(YEAR(AO6),MONTH(AO6),DAY(AO6)+1)),DATE(YEAR(AO6),MONTH(AO6),DAY(AO6)+1),NA())</f>
        <v>43953</v>
      </c>
      <c r="AP7" s="31">
        <f>SUMIFS(Table1[Amount $],Table1[Category Type],"Expense",Table1[Date],Snapshot!AO7)*-1</f>
        <v>77.58</v>
      </c>
      <c r="AQ7" s="31">
        <f>IF(AO7&lt;=EOMONTH($AO$6,0),SUM(AP$6:$AP7),NA())</f>
        <v>577.58000000000004</v>
      </c>
      <c r="AR7" s="31" t="e">
        <f t="shared" ref="AR7:AR36" si="2">IF(AO7=EOMONTH($AO$6,0),AQ7,NA())</f>
        <v>#N/A</v>
      </c>
      <c r="AT7" s="25" t="str">
        <v>Electronic Debit Transamerica Tpl</v>
      </c>
      <c r="AU7" s="32">
        <f>IF(ISBLANK(AT7),"",SUMIFS(Table1[Amount $],Table1[Merchant],Snapshot!AT7,Table1[Month],Snapshot!$W$4)*-1)</f>
        <v>318</v>
      </c>
      <c r="AV7" s="25">
        <f>IF(ISBLANK(AT7),"",COUNTIFS(Table1[Merchant],Snapshot!AT7,Table1[Month],Snapshot!$W$4))</f>
        <v>1</v>
      </c>
      <c r="AW7" s="25">
        <f>IFERROR(RANK(AV7,$AV$6:$AV$200)+COUNTIF($AV$6:AV7,AV7)-1,"")</f>
        <v>9</v>
      </c>
      <c r="AX7" s="25">
        <f>IFERROR(RANK(AU7,$AU$6:$AU$200)+COUNTIF($AU$6:AU7,AU7)-1,"")</f>
        <v>5</v>
      </c>
    </row>
    <row r="8" spans="1:50" ht="14.85" customHeight="1" x14ac:dyDescent="0.25">
      <c r="A8" s="22"/>
      <c r="C8" s="41"/>
      <c r="D8" s="42" t="str">
        <f>Y6</f>
        <v>$321 less was spent compared to last month</v>
      </c>
      <c r="H8" s="14"/>
      <c r="J8" s="43"/>
      <c r="L8" s="41"/>
      <c r="M8" s="42" t="str">
        <f>Q10&amp;" accounts for "&amp;TEXT(S10/S22,"0%")&amp;" of money spent this month"</f>
        <v>Bills/Utilities accounts for 45% of money spent this month</v>
      </c>
      <c r="T8" s="43"/>
      <c r="V8" s="38" t="str">
        <f t="shared" si="0"/>
        <v>March 2021</v>
      </c>
      <c r="W8" s="38">
        <v>44256</v>
      </c>
      <c r="X8" s="39"/>
      <c r="Y8" s="25" t="str">
        <f>IFERROR(TEXT(AK6,"mmmm"),"--")</f>
        <v>June</v>
      </c>
      <c r="Z8" s="40">
        <f>SUMIFS(Table1[Amount $],Table1[Category Type],"Expense",Table1[Month],Snapshot!$W$4)*-1</f>
        <v>4154.1699999999992</v>
      </c>
      <c r="AA8" s="40"/>
      <c r="AB8" s="39"/>
      <c r="AC8" s="27" t="str">
        <v>Entertainment</v>
      </c>
      <c r="AD8" s="28">
        <f>SUMIFS(Table1[Amount $],Table1[Category],Snapshot!AC8,Table1[Month],Snapshot!$W$4)*-1</f>
        <v>32.379999999999995</v>
      </c>
      <c r="AE8" s="25">
        <f>RANK(AD8,$AD$6:$AD$35,0)+COUNTIF(AD$6:$AD8,AD8)-1</f>
        <v>7</v>
      </c>
      <c r="AF8" s="25">
        <v>3</v>
      </c>
      <c r="AG8" s="25" t="str" cm="1">
        <f t="array" ref="AG8">IF(INDEX($AD$6:$AD$35,MATCH(AF8,$AE$6:$AE$35,0),0)=0,"",INDEX($AC$6:$AC$35,MATCH(AF8,$AE$6:$AE$35,0),0))</f>
        <v>Restaurants/Dining</v>
      </c>
      <c r="AH8" s="28" cm="1">
        <f t="array" ref="AH8">IF(INDEX($AD$6:$AD$35,MATCH(AF8,$AE$6:$AE$35,0),0)=0,0,INDEX($AD$6:$AD$35,MATCH(AF8,$AE$6:$AE$35,0),0))</f>
        <v>562.28999999999985</v>
      </c>
      <c r="AI8" s="29"/>
      <c r="AJ8" s="30">
        <f t="shared" ref="AJ8:AJ36" si="3">DATE(YEAR(AJ7),MONTH(AJ7),DAY(AJ7)+1)</f>
        <v>36528</v>
      </c>
      <c r="AK8" s="30">
        <f t="shared" ref="AK8:AK36" si="4">IF(MONTH(AK7)=MONTH(DATE(YEAR(AK7),MONTH(AK7),DAY(AK7)+1)),DATE(YEAR(AK7),MONTH(AK7),DAY(AK7)+1),NA())</f>
        <v>43985</v>
      </c>
      <c r="AL8" s="31">
        <f>SUMIFS(Table1[Amount $],Table1[Category Type],"Expense",Table1[Date],Snapshot!AK8)*-1</f>
        <v>109.44</v>
      </c>
      <c r="AM8" s="31">
        <f ca="1">IF(AK8&gt;TODAY(),NA(),SUM(AL$6:$AL8))</f>
        <v>309.52999999999997</v>
      </c>
      <c r="AN8" s="31" t="e">
        <f t="shared" ca="1" si="1"/>
        <v>#N/A</v>
      </c>
      <c r="AO8" s="30">
        <f t="shared" ref="AO8:AO36" si="5">IF(MONTH(AO7)=MONTH(DATE(YEAR(AO7),MONTH(AO7),DAY(AO7)+1)),DATE(YEAR(AO7),MONTH(AO7),DAY(AO7)+1),NA())</f>
        <v>43954</v>
      </c>
      <c r="AP8" s="31">
        <f>SUMIFS(Table1[Amount $],Table1[Category Type],"Expense",Table1[Date],Snapshot!AO8)*-1</f>
        <v>0</v>
      </c>
      <c r="AQ8" s="31">
        <f>IF(AO8&lt;=EOMONTH($AO$6,0),SUM(AP$6:$AP8),NA())</f>
        <v>577.58000000000004</v>
      </c>
      <c r="AR8" s="31" t="e">
        <f t="shared" si="2"/>
        <v>#N/A</v>
      </c>
      <c r="AT8" s="25" t="str">
        <v>Overdraft Item Fee For</v>
      </c>
      <c r="AU8" s="32">
        <f>IF(ISBLANK(AT8),"",SUMIFS(Table1[Amount $],Table1[Merchant],Snapshot!AT8,Table1[Month],Snapshot!$W$4)*-1)</f>
        <v>180</v>
      </c>
      <c r="AV8" s="25">
        <f>IF(ISBLANK(AT8),"",COUNTIFS(Table1[Merchant],Snapshot!AT8,Table1[Month],Snapshot!$W$4))</f>
        <v>5</v>
      </c>
      <c r="AW8" s="25">
        <f>IFERROR(RANK(AV8,$AV$6:$AV$200)+COUNTIF($AV$6:AV8,AV8)-1,"")</f>
        <v>2</v>
      </c>
      <c r="AX8" s="25">
        <f>IFERROR(RANK(AU8,$AU$6:$AU$200)+COUNTIF($AU$6:AU8,AU8)-1,"")</f>
        <v>10</v>
      </c>
    </row>
    <row r="9" spans="1:50" ht="14.85" customHeight="1" x14ac:dyDescent="0.25">
      <c r="A9" s="22"/>
      <c r="C9" s="41"/>
      <c r="H9" s="14"/>
      <c r="J9" s="43"/>
      <c r="L9" s="41"/>
      <c r="O9" s="14"/>
      <c r="T9" s="43"/>
      <c r="V9" s="38" t="str">
        <f>IF(ISBLANK(W9),"--",TEXT(W9,"mmmm")&amp;" "&amp;TEXT(W9,"YYYY"))</f>
        <v>February 2021</v>
      </c>
      <c r="W9" s="38">
        <v>44228</v>
      </c>
      <c r="X9" s="39"/>
      <c r="Y9" s="25" t="s">
        <v>21</v>
      </c>
      <c r="Z9" s="40">
        <f>Z8-Z7</f>
        <v>-321.46999999999844</v>
      </c>
      <c r="AA9" s="40"/>
      <c r="AB9" s="39"/>
      <c r="AC9" s="27" t="str">
        <v>Fees/Charges</v>
      </c>
      <c r="AD9" s="28">
        <f>SUMIFS(Table1[Amount $],Table1[Category],Snapshot!AC9,Table1[Month],Snapshot!$W$4)*-1</f>
        <v>325.95</v>
      </c>
      <c r="AE9" s="25">
        <f>RANK(AD9,$AD$6:$AD$35,0)+COUNTIF(AD$6:$AD9,AD9)-1</f>
        <v>5</v>
      </c>
      <c r="AF9" s="25">
        <v>4</v>
      </c>
      <c r="AG9" s="25" t="str" cm="1">
        <f t="array" ref="AG9">IF(INDEX($AD$6:$AD$35,MATCH(AF9,$AE$6:$AE$35,0),0)=0,"",INDEX($AC$6:$AC$35,MATCH(AF9,$AE$6:$AE$35,0),0))</f>
        <v>Professional Services</v>
      </c>
      <c r="AH9" s="28" cm="1">
        <f t="array" ref="AH9">IF(INDEX($AD$6:$AD$35,MATCH(AF9,$AE$6:$AE$35,0),0)=0,0,INDEX($AD$6:$AD$35,MATCH(AF9,$AE$6:$AE$35,0),0))</f>
        <v>500</v>
      </c>
      <c r="AJ9" s="30">
        <f t="shared" si="3"/>
        <v>36529</v>
      </c>
      <c r="AK9" s="30">
        <f t="shared" si="4"/>
        <v>43986</v>
      </c>
      <c r="AL9" s="31">
        <f>SUMIFS(Table1[Amount $],Table1[Category Type],"Expense",Table1[Date],Snapshot!AK9)*-1</f>
        <v>90.9</v>
      </c>
      <c r="AM9" s="31">
        <f ca="1">IF(AK9&gt;TODAY(),NA(),SUM(AL$6:$AL9))</f>
        <v>400.42999999999995</v>
      </c>
      <c r="AN9" s="31" t="e">
        <f t="shared" ca="1" si="1"/>
        <v>#N/A</v>
      </c>
      <c r="AO9" s="30">
        <f t="shared" si="5"/>
        <v>43955</v>
      </c>
      <c r="AP9" s="31">
        <f>SUMIFS(Table1[Amount $],Table1[Category Type],"Expense",Table1[Date],Snapshot!AO9)*-1</f>
        <v>0</v>
      </c>
      <c r="AQ9" s="31">
        <f>IF(AO9&lt;=EOMONTH($AO$6,0),SUM(AP$6:$AP9),NA())</f>
        <v>577.58000000000004</v>
      </c>
      <c r="AR9" s="31" t="e">
        <f t="shared" si="2"/>
        <v>#N/A</v>
      </c>
      <c r="AT9" s="25" t="str">
        <v>Overdraft Protection Transfer Fee</v>
      </c>
      <c r="AU9" s="32">
        <f>IF(ISBLANK(AT9),"",SUMIFS(Table1[Amount $],Table1[Merchant],Snapshot!AT9,Table1[Month],Snapshot!$W$4)*-1)</f>
        <v>12.5</v>
      </c>
      <c r="AV9" s="25">
        <f>IF(ISBLANK(AT9),"",COUNTIFS(Table1[Merchant],Snapshot!AT9,Table1[Month],Snapshot!$W$4))</f>
        <v>1</v>
      </c>
      <c r="AW9" s="25">
        <f>IFERROR(RANK(AV9,$AV$6:$AV$200)+COUNTIF($AV$6:AV9,AV9)-1,"")</f>
        <v>10</v>
      </c>
      <c r="AX9" s="25">
        <f>IFERROR(RANK(AU9,$AU$6:$AU$200)+COUNTIF($AU$6:AU9,AU9)-1,"")</f>
        <v>26</v>
      </c>
    </row>
    <row r="10" spans="1:50" ht="14.85" customHeight="1" x14ac:dyDescent="0.25">
      <c r="A10" s="22"/>
      <c r="C10" s="41"/>
      <c r="D10" s="140"/>
      <c r="E10" s="140"/>
      <c r="F10" s="140"/>
      <c r="G10" s="140"/>
      <c r="H10" s="14"/>
      <c r="J10" s="43"/>
      <c r="L10" s="41"/>
      <c r="O10" s="14"/>
      <c r="P10" s="44"/>
      <c r="Q10" s="45" t="str" cm="1">
        <f t="array" ref="Q10">INDEX($AG$6:$AG$11,MATCH(1,$AF$6:$AF$11,0),0)</f>
        <v>Bills/Utilities</v>
      </c>
      <c r="R10" s="46"/>
      <c r="S10" s="47" cm="1">
        <f t="array" ref="S10">INDEX($AH$6:$AH$11,MATCH(1,$AF$6:$AF$11,0),0)</f>
        <v>1881.32</v>
      </c>
      <c r="T10" s="43"/>
      <c r="V10" s="38" t="str">
        <f t="shared" ref="V10:V64" si="6">IF(ISBLANK(W10),"--",TEXT(W10,"mmmm")&amp;" "&amp;TEXT(W10,"YYYY"))</f>
        <v>January 2021</v>
      </c>
      <c r="W10" s="38">
        <v>44197</v>
      </c>
      <c r="X10" s="39"/>
      <c r="Z10" s="14"/>
      <c r="AA10" s="14"/>
      <c r="AB10" s="39"/>
      <c r="AC10" s="27" t="str">
        <v>Groceries</v>
      </c>
      <c r="AD10" s="28">
        <f>SUMIFS(Table1[Amount $],Table1[Category],Snapshot!AC10,Table1[Month],Snapshot!$W$4)*-1</f>
        <v>23.28</v>
      </c>
      <c r="AE10" s="25">
        <f>RANK(AD10,$AD$6:$AD$35,0)+COUNTIF(AD$6:$AD10,AD10)-1</f>
        <v>8</v>
      </c>
      <c r="AF10" s="25">
        <v>5</v>
      </c>
      <c r="AG10" s="25" t="str" cm="1">
        <f t="array" ref="AG10">IF(INDEX($AD$6:$AD$35,MATCH(AF10,$AE$6:$AE$35,0),0)=0,"",INDEX($AC$6:$AC$35,MATCH(AF10,$AE$6:$AE$35,0),0))</f>
        <v>Fees/Charges</v>
      </c>
      <c r="AH10" s="28" cm="1">
        <f t="array" ref="AH10">IF(INDEX($AD$6:$AD$35,MATCH(AF10,$AE$6:$AE$35,0),0)=0,0,INDEX($AD$6:$AD$35,MATCH(AF10,$AE$6:$AE$35,0),0))</f>
        <v>325.95</v>
      </c>
      <c r="AJ10" s="30">
        <f t="shared" si="3"/>
        <v>36530</v>
      </c>
      <c r="AK10" s="30">
        <f t="shared" si="4"/>
        <v>43987</v>
      </c>
      <c r="AL10" s="31">
        <f>SUMIFS(Table1[Amount $],Table1[Category Type],"Expense",Table1[Date],Snapshot!AK10)*-1</f>
        <v>15.99</v>
      </c>
      <c r="AM10" s="31">
        <f ca="1">IF(AK10&gt;TODAY(),NA(),SUM(AL$6:$AL10))</f>
        <v>416.41999999999996</v>
      </c>
      <c r="AN10" s="31" t="e">
        <f t="shared" ca="1" si="1"/>
        <v>#N/A</v>
      </c>
      <c r="AO10" s="30">
        <f t="shared" si="5"/>
        <v>43956</v>
      </c>
      <c r="AP10" s="31">
        <f>SUMIFS(Table1[Amount $],Table1[Category Type],"Expense",Table1[Date],Snapshot!AO10)*-1</f>
        <v>66.72999999999999</v>
      </c>
      <c r="AQ10" s="31">
        <f>IF(AO10&lt;=EOMONTH($AO$6,0),SUM(AP$6:$AP10),NA())</f>
        <v>644.31000000000006</v>
      </c>
      <c r="AR10" s="31" t="e">
        <f t="shared" si="2"/>
        <v>#N/A</v>
      </c>
      <c r="AT10" s="25" t="str">
        <v>Extended Overdraft Fee</v>
      </c>
      <c r="AU10" s="32">
        <f>IF(ISBLANK(AT10),"",SUMIFS(Table1[Amount $],Table1[Merchant],Snapshot!AT10,Table1[Month],Snapshot!$W$4)*-1)</f>
        <v>36</v>
      </c>
      <c r="AV10" s="25">
        <f>IF(ISBLANK(AT10),"",COUNTIFS(Table1[Merchant],Snapshot!AT10,Table1[Month],Snapshot!$W$4))</f>
        <v>1</v>
      </c>
      <c r="AW10" s="25">
        <f>IFERROR(RANK(AV10,$AV$6:$AV$200)+COUNTIF($AV$6:AV10,AV10)-1,"")</f>
        <v>11</v>
      </c>
      <c r="AX10" s="25">
        <f>IFERROR(RANK(AU10,$AU$6:$AU$200)+COUNTIF($AU$6:AU10,AU10)-1,"")</f>
        <v>18</v>
      </c>
    </row>
    <row r="11" spans="1:50" ht="14.85" customHeight="1" x14ac:dyDescent="0.3">
      <c r="A11" s="22"/>
      <c r="C11" s="41"/>
      <c r="D11" s="48"/>
      <c r="E11" s="48"/>
      <c r="F11" s="48"/>
      <c r="G11" s="49"/>
      <c r="H11" s="14"/>
      <c r="J11" s="43"/>
      <c r="L11" s="41"/>
      <c r="O11" s="14"/>
      <c r="Q11" s="50"/>
      <c r="T11" s="43"/>
      <c r="V11" s="38" t="str">
        <f t="shared" si="6"/>
        <v>December 2020</v>
      </c>
      <c r="W11" s="38">
        <v>44166</v>
      </c>
      <c r="X11" s="39"/>
      <c r="Y11" s="51"/>
      <c r="Z11" s="14"/>
      <c r="AA11" s="14"/>
      <c r="AB11" s="39"/>
      <c r="AC11" s="27" t="str">
        <v>Health/Fitness</v>
      </c>
      <c r="AD11" s="28">
        <f>SUMIFS(Table1[Amount $],Table1[Category],Snapshot!AC11,Table1[Month],Snapshot!$W$4)*-1</f>
        <v>0</v>
      </c>
      <c r="AE11" s="25">
        <f>RANK(AD11,$AD$6:$AD$35,0)+COUNTIF(AD$6:$AD11,AD11)-1</f>
        <v>11</v>
      </c>
      <c r="AF11" s="25">
        <v>6</v>
      </c>
      <c r="AG11" s="52" t="str">
        <f>IF(SUM(AH6:AH10)=SUM(AD6:AD35),"","All Other Categories")</f>
        <v>All Other Categories</v>
      </c>
      <c r="AH11" s="53">
        <f>SUM(AD6:AD35)-SUM(AH6:AH10)</f>
        <v>311.48000000000047</v>
      </c>
      <c r="AJ11" s="30">
        <f t="shared" si="3"/>
        <v>36531</v>
      </c>
      <c r="AK11" s="30">
        <f t="shared" si="4"/>
        <v>43988</v>
      </c>
      <c r="AL11" s="31">
        <f>SUMIFS(Table1[Amount $],Table1[Category Type],"Expense",Table1[Date],Snapshot!AK11)*-1</f>
        <v>221.72000000000003</v>
      </c>
      <c r="AM11" s="31">
        <f ca="1">IF(AK11&gt;TODAY(),NA(),SUM(AL$6:$AL11))</f>
        <v>638.14</v>
      </c>
      <c r="AN11" s="31" t="e">
        <f t="shared" ca="1" si="1"/>
        <v>#N/A</v>
      </c>
      <c r="AO11" s="30">
        <f t="shared" si="5"/>
        <v>43957</v>
      </c>
      <c r="AP11" s="31">
        <f>SUMIFS(Table1[Amount $],Table1[Category Type],"Expense",Table1[Date],Snapshot!AO11)*-1</f>
        <v>465.77</v>
      </c>
      <c r="AQ11" s="31">
        <f>IF(AO11&lt;=EOMONTH($AO$6,0),SUM(AP$6:$AP11),NA())</f>
        <v>1110.08</v>
      </c>
      <c r="AR11" s="31" t="e">
        <f t="shared" si="2"/>
        <v>#N/A</v>
      </c>
      <c r="AT11" s="25" t="str">
        <v>Returned Item Fee For</v>
      </c>
      <c r="AU11" s="32">
        <f>IF(ISBLANK(AT11),"",SUMIFS(Table1[Amount $],Table1[Merchant],Snapshot!AT11,Table1[Month],Snapshot!$W$4)*-1)</f>
        <v>36</v>
      </c>
      <c r="AV11" s="25">
        <f>IF(ISBLANK(AT11),"",COUNTIFS(Table1[Merchant],Snapshot!AT11,Table1[Month],Snapshot!$W$4))</f>
        <v>1</v>
      </c>
      <c r="AW11" s="25">
        <f>IFERROR(RANK(AV11,$AV$6:$AV$200)+COUNTIF($AV$6:AV11,AV11)-1,"")</f>
        <v>12</v>
      </c>
      <c r="AX11" s="25">
        <f>IFERROR(RANK(AU11,$AU$6:$AU$200)+COUNTIF($AU$6:AU11,AU11)-1,"")</f>
        <v>19</v>
      </c>
    </row>
    <row r="12" spans="1:50" ht="14.85" customHeight="1" x14ac:dyDescent="0.25">
      <c r="A12" s="22"/>
      <c r="C12" s="41"/>
      <c r="H12" s="14"/>
      <c r="J12" s="43"/>
      <c r="L12" s="41"/>
      <c r="O12" s="14"/>
      <c r="P12" s="54"/>
      <c r="Q12" s="45" t="str" cm="1">
        <f t="array" ref="Q12">INDEX($AG$6:$AG$11,MATCH(2,$AF$6:$AF$11,0),0)</f>
        <v>Shopping</v>
      </c>
      <c r="R12" s="46"/>
      <c r="S12" s="47" cm="1">
        <f t="array" ref="S12">INDEX($AH$6:$AH$11,MATCH(2,$AF$6:$AF$11,0),0)</f>
        <v>573.13</v>
      </c>
      <c r="T12" s="43"/>
      <c r="V12" s="38" t="str">
        <f t="shared" si="6"/>
        <v>November 2020</v>
      </c>
      <c r="W12" s="38">
        <v>44136</v>
      </c>
      <c r="X12" s="39"/>
      <c r="Y12" s="14"/>
      <c r="Z12" s="14"/>
      <c r="AA12" s="14"/>
      <c r="AB12" s="39"/>
      <c r="AC12" s="27" t="str">
        <v>Home</v>
      </c>
      <c r="AD12" s="28">
        <f>SUMIFS(Table1[Amount $],Table1[Category],Snapshot!AC12,Table1[Month],Snapshot!$W$4)*-1</f>
        <v>0</v>
      </c>
      <c r="AE12" s="25">
        <f>RANK(AD12,$AD$6:$AD$35,0)+COUNTIF(AD$6:$AD12,AD12)-1</f>
        <v>12</v>
      </c>
      <c r="AF12" s="25"/>
      <c r="AG12" s="25" t="s">
        <v>22</v>
      </c>
      <c r="AH12" s="28">
        <f>SUM(AH6:AH11)</f>
        <v>4154.17</v>
      </c>
      <c r="AJ12" s="30">
        <f t="shared" si="3"/>
        <v>36532</v>
      </c>
      <c r="AK12" s="30">
        <f t="shared" si="4"/>
        <v>43989</v>
      </c>
      <c r="AL12" s="31">
        <f>SUMIFS(Table1[Amount $],Table1[Category Type],"Expense",Table1[Date],Snapshot!AK12)*-1</f>
        <v>0</v>
      </c>
      <c r="AM12" s="31">
        <f ca="1">IF(AK12&gt;TODAY(),NA(),SUM(AL$6:$AL12))</f>
        <v>638.14</v>
      </c>
      <c r="AN12" s="31" t="e">
        <f t="shared" ca="1" si="1"/>
        <v>#N/A</v>
      </c>
      <c r="AO12" s="30">
        <f t="shared" si="5"/>
        <v>43958</v>
      </c>
      <c r="AP12" s="31">
        <f>SUMIFS(Table1[Amount $],Table1[Category Type],"Expense",Table1[Date],Snapshot!AO12)*-1</f>
        <v>600.62</v>
      </c>
      <c r="AQ12" s="31">
        <f>IF(AO12&lt;=EOMONTH($AO$6,0),SUM(AP$6:$AP12),NA())</f>
        <v>1710.6999999999998</v>
      </c>
      <c r="AR12" s="31" t="e">
        <f t="shared" si="2"/>
        <v>#N/A</v>
      </c>
      <c r="AT12" s="25" t="str">
        <v>Spotify</v>
      </c>
      <c r="AU12" s="32">
        <f>IF(ISBLANK(AT12),"",SUMIFS(Table1[Amount $],Table1[Merchant],Snapshot!AT12,Table1[Month],Snapshot!$W$4)*-1)</f>
        <v>9.99</v>
      </c>
      <c r="AV12" s="25">
        <f>IF(ISBLANK(AT12),"",COUNTIFS(Table1[Merchant],Snapshot!AT12,Table1[Month],Snapshot!$W$4))</f>
        <v>1</v>
      </c>
      <c r="AW12" s="25">
        <f>IFERROR(RANK(AV12,$AV$6:$AV$200)+COUNTIF($AV$6:AV12,AV12)-1,"")</f>
        <v>13</v>
      </c>
      <c r="AX12" s="25">
        <f>IFERROR(RANK(AU12,$AU$6:$AU$200)+COUNTIF($AU$6:AU12,AU12)-1,"")</f>
        <v>29</v>
      </c>
    </row>
    <row r="13" spans="1:50" ht="14.85" customHeight="1" x14ac:dyDescent="0.25">
      <c r="A13" s="22"/>
      <c r="C13" s="41"/>
      <c r="H13" s="14"/>
      <c r="J13" s="43"/>
      <c r="L13" s="41"/>
      <c r="O13" s="14"/>
      <c r="Q13" s="50"/>
      <c r="T13" s="43"/>
      <c r="V13" s="38" t="str">
        <f t="shared" si="6"/>
        <v>October 2020</v>
      </c>
      <c r="W13" s="38">
        <v>44105</v>
      </c>
      <c r="X13" s="39"/>
      <c r="Y13" s="14"/>
      <c r="Z13" s="14"/>
      <c r="AA13" s="14"/>
      <c r="AB13" s="39"/>
      <c r="AC13" s="27" t="str">
        <v>Misc</v>
      </c>
      <c r="AD13" s="28">
        <f>SUMIFS(Table1[Amount $],Table1[Category],Snapshot!AC13,Table1[Month],Snapshot!$W$4)*-1</f>
        <v>0</v>
      </c>
      <c r="AE13" s="25">
        <f>RANK(AD13,$AD$6:$AD$35,0)+COUNTIF(AD$6:$AD13,AD13)-1</f>
        <v>13</v>
      </c>
      <c r="AF13" s="25"/>
      <c r="AG13" s="25"/>
      <c r="AH13" s="25"/>
      <c r="AJ13" s="30">
        <f t="shared" si="3"/>
        <v>36533</v>
      </c>
      <c r="AK13" s="30">
        <f t="shared" si="4"/>
        <v>43990</v>
      </c>
      <c r="AL13" s="31">
        <f>SUMIFS(Table1[Amount $],Table1[Category Type],"Expense",Table1[Date],Snapshot!AK13)*-1</f>
        <v>609.79</v>
      </c>
      <c r="AM13" s="31">
        <f ca="1">IF(AK13&gt;TODAY(),NA(),SUM(AL$6:$AL13))</f>
        <v>1247.9299999999998</v>
      </c>
      <c r="AN13" s="31" t="e">
        <f t="shared" ca="1" si="1"/>
        <v>#N/A</v>
      </c>
      <c r="AO13" s="30">
        <f t="shared" si="5"/>
        <v>43959</v>
      </c>
      <c r="AP13" s="31">
        <f>SUMIFS(Table1[Amount $],Table1[Category Type],"Expense",Table1[Date],Snapshot!AO13)*-1</f>
        <v>201.95</v>
      </c>
      <c r="AQ13" s="31">
        <f>IF(AO13&lt;=EOMONTH($AO$6,0),SUM(AP$6:$AP13),NA())</f>
        <v>1912.6499999999999</v>
      </c>
      <c r="AR13" s="31" t="e">
        <f t="shared" si="2"/>
        <v>#N/A</v>
      </c>
      <c r="AT13" s="25" t="str">
        <v>Jcpenney</v>
      </c>
      <c r="AU13" s="32">
        <f>IF(ISBLANK(AT13),"",SUMIFS(Table1[Amount $],Table1[Merchant],Snapshot!AT13,Table1[Month],Snapshot!$W$4)*-1)</f>
        <v>36</v>
      </c>
      <c r="AV13" s="25">
        <f>IF(ISBLANK(AT13),"",COUNTIFS(Table1[Merchant],Snapshot!AT13,Table1[Month],Snapshot!$W$4))</f>
        <v>1</v>
      </c>
      <c r="AW13" s="25">
        <f>IFERROR(RANK(AV13,$AV$6:$AV$200)+COUNTIF($AV$6:AV13,AV13)-1,"")</f>
        <v>14</v>
      </c>
      <c r="AX13" s="25">
        <f>IFERROR(RANK(AU13,$AU$6:$AU$200)+COUNTIF($AU$6:AU13,AU13)-1,"")</f>
        <v>20</v>
      </c>
    </row>
    <row r="14" spans="1:50" ht="14.85" customHeight="1" x14ac:dyDescent="0.25">
      <c r="A14" s="22"/>
      <c r="C14" s="41"/>
      <c r="H14" s="14"/>
      <c r="J14" s="43"/>
      <c r="L14" s="41"/>
      <c r="O14" s="14"/>
      <c r="P14" s="55"/>
      <c r="Q14" s="45" t="str" cm="1">
        <f t="array" ref="Q14">INDEX($AG$6:$AG$11,MATCH(3,$AF$6:$AF$11,0),0)</f>
        <v>Restaurants/Dining</v>
      </c>
      <c r="R14" s="46"/>
      <c r="S14" s="47" cm="1">
        <f t="array" ref="S14">INDEX($AH$6:$AH$11,MATCH(3,$AF$6:$AF$11,0),0)</f>
        <v>562.28999999999985</v>
      </c>
      <c r="T14" s="43"/>
      <c r="V14" s="38" t="str">
        <f t="shared" si="6"/>
        <v>September 2020</v>
      </c>
      <c r="W14" s="38">
        <v>44075</v>
      </c>
      <c r="X14" s="39"/>
      <c r="Y14" s="56"/>
      <c r="Z14" s="14"/>
      <c r="AA14" s="14"/>
      <c r="AB14" s="39"/>
      <c r="AC14" s="27" t="str">
        <v>Mortgage/Rent</v>
      </c>
      <c r="AD14" s="28">
        <f>SUMIFS(Table1[Amount $],Table1[Category],Snapshot!AC14,Table1[Month],Snapshot!$W$4)*-1</f>
        <v>239.82</v>
      </c>
      <c r="AE14" s="25">
        <f>RANK(AD14,$AD$6:$AD$35,0)+COUNTIF(AD$6:$AD14,AD14)-1</f>
        <v>6</v>
      </c>
      <c r="AF14" s="25"/>
      <c r="AG14" s="25"/>
      <c r="AH14" s="25"/>
      <c r="AJ14" s="30">
        <f t="shared" si="3"/>
        <v>36534</v>
      </c>
      <c r="AK14" s="30">
        <f t="shared" si="4"/>
        <v>43991</v>
      </c>
      <c r="AL14" s="31">
        <f>SUMIFS(Table1[Amount $],Table1[Category Type],"Expense",Table1[Date],Snapshot!AK14)*-1</f>
        <v>0</v>
      </c>
      <c r="AM14" s="31">
        <f ca="1">IF(AK14&gt;TODAY(),NA(),SUM(AL$6:$AL14))</f>
        <v>1247.9299999999998</v>
      </c>
      <c r="AN14" s="31" t="e">
        <f t="shared" ca="1" si="1"/>
        <v>#N/A</v>
      </c>
      <c r="AO14" s="30">
        <f t="shared" si="5"/>
        <v>43960</v>
      </c>
      <c r="AP14" s="31">
        <f>SUMIFS(Table1[Amount $],Table1[Category Type],"Expense",Table1[Date],Snapshot!AO14)*-1</f>
        <v>192.2</v>
      </c>
      <c r="AQ14" s="31">
        <f>IF(AO14&lt;=EOMONTH($AO$6,0),SUM(AP$6:$AP14),NA())</f>
        <v>2104.85</v>
      </c>
      <c r="AR14" s="31" t="e">
        <f t="shared" si="2"/>
        <v>#N/A</v>
      </c>
      <c r="AT14" s="25" t="str">
        <v>Mcdonald's</v>
      </c>
      <c r="AU14" s="32">
        <f>IF(ISBLANK(AT14),"",SUMIFS(Table1[Amount $],Table1[Merchant],Snapshot!AT14,Table1[Month],Snapshot!$W$4)*-1)</f>
        <v>127.82999999999998</v>
      </c>
      <c r="AV14" s="25">
        <f>IF(ISBLANK(AT14),"",COUNTIFS(Table1[Merchant],Snapshot!AT14,Table1[Month],Snapshot!$W$4))</f>
        <v>5</v>
      </c>
      <c r="AW14" s="25">
        <f>IFERROR(RANK(AV14,$AV$6:$AV$200)+COUNTIF($AV$6:AV14,AV14)-1,"")</f>
        <v>3</v>
      </c>
      <c r="AX14" s="25">
        <f>IFERROR(RANK(AU14,$AU$6:$AU$200)+COUNTIF($AU$6:AU14,AU14)-1,"")</f>
        <v>13</v>
      </c>
    </row>
    <row r="15" spans="1:50" ht="14.85" customHeight="1" x14ac:dyDescent="0.3">
      <c r="A15" s="22"/>
      <c r="C15" s="41"/>
      <c r="D15" s="57"/>
      <c r="E15" s="58"/>
      <c r="F15" s="58"/>
      <c r="G15" s="59"/>
      <c r="H15" s="14"/>
      <c r="J15" s="43"/>
      <c r="L15" s="41"/>
      <c r="O15" s="60"/>
      <c r="Q15" s="50"/>
      <c r="T15" s="43"/>
      <c r="V15" s="38" t="str">
        <f t="shared" si="6"/>
        <v>August 2020</v>
      </c>
      <c r="W15" s="38">
        <v>44044</v>
      </c>
      <c r="X15" s="39"/>
      <c r="Y15" s="39"/>
      <c r="Z15" s="51"/>
      <c r="AA15" s="51"/>
      <c r="AB15" s="39"/>
      <c r="AC15" s="27" t="str">
        <v>Payment</v>
      </c>
      <c r="AD15" s="28">
        <f>SUMIFS(Table1[Amount $],Table1[Category],Snapshot!AC15,Table1[Month],Snapshot!$W$4)*-1</f>
        <v>16</v>
      </c>
      <c r="AE15" s="25">
        <f>RANK(AD15,$AD$6:$AD$35,0)+COUNTIF(AD$6:$AD15,AD15)-1</f>
        <v>9</v>
      </c>
      <c r="AF15" s="25"/>
      <c r="AG15" s="25"/>
      <c r="AH15" s="25"/>
      <c r="AJ15" s="30">
        <f t="shared" si="3"/>
        <v>36535</v>
      </c>
      <c r="AK15" s="30">
        <f t="shared" si="4"/>
        <v>43992</v>
      </c>
      <c r="AL15" s="31">
        <f>SUMIFS(Table1[Amount $],Table1[Category Type],"Expense",Table1[Date],Snapshot!AK15)*-1</f>
        <v>0</v>
      </c>
      <c r="AM15" s="31">
        <f ca="1">IF(AK15&gt;TODAY(),NA(),SUM(AL$6:$AL15))</f>
        <v>1247.9299999999998</v>
      </c>
      <c r="AN15" s="31" t="e">
        <f t="shared" ca="1" si="1"/>
        <v>#N/A</v>
      </c>
      <c r="AO15" s="30">
        <f t="shared" si="5"/>
        <v>43961</v>
      </c>
      <c r="AP15" s="31">
        <f>SUMIFS(Table1[Amount $],Table1[Category Type],"Expense",Table1[Date],Snapshot!AO15)*-1</f>
        <v>42.77</v>
      </c>
      <c r="AQ15" s="31">
        <f>IF(AO15&lt;=EOMONTH($AO$6,0),SUM(AP$6:$AP15),NA())</f>
        <v>2147.62</v>
      </c>
      <c r="AR15" s="31" t="e">
        <f t="shared" si="2"/>
        <v>#N/A</v>
      </c>
      <c r="AT15" s="25" t="str">
        <v>Electronic Debit Shen Life</v>
      </c>
      <c r="AU15" s="32">
        <f>IF(ISBLANK(AT15),"",SUMIFS(Table1[Amount $],Table1[Merchant],Snapshot!AT15,Table1[Month],Snapshot!$W$4)*-1)</f>
        <v>40.28</v>
      </c>
      <c r="AV15" s="25">
        <f>IF(ISBLANK(AT15),"",COUNTIFS(Table1[Merchant],Snapshot!AT15,Table1[Month],Snapshot!$W$4))</f>
        <v>1</v>
      </c>
      <c r="AW15" s="25">
        <f>IFERROR(RANK(AV15,$AV$6:$AV$200)+COUNTIF($AV$6:AV15,AV15)-1,"")</f>
        <v>15</v>
      </c>
      <c r="AX15" s="25">
        <f>IFERROR(RANK(AU15,$AU$6:$AU$200)+COUNTIF($AU$6:AU15,AU15)-1,"")</f>
        <v>17</v>
      </c>
    </row>
    <row r="16" spans="1:50" ht="14.85" customHeight="1" x14ac:dyDescent="0.3">
      <c r="A16" s="22"/>
      <c r="C16" s="41"/>
      <c r="D16" s="61"/>
      <c r="E16" s="58"/>
      <c r="F16" s="58"/>
      <c r="G16" s="49"/>
      <c r="J16" s="43"/>
      <c r="L16" s="41"/>
      <c r="P16" s="62"/>
      <c r="Q16" s="45" t="str" cm="1">
        <f t="array" ref="Q16">INDEX($AG$6:$AG$11,MATCH(4,$AF$6:$AF$11,0),0)</f>
        <v>Professional Services</v>
      </c>
      <c r="R16" s="46"/>
      <c r="S16" s="47" cm="1">
        <f t="array" ref="S16">INDEX($AH$6:$AH$11,MATCH(4,$AF$6:$AF$11,0),0)</f>
        <v>500</v>
      </c>
      <c r="T16" s="43"/>
      <c r="V16" s="38" t="str">
        <f t="shared" si="6"/>
        <v>July 2020</v>
      </c>
      <c r="W16" s="38">
        <v>44013</v>
      </c>
      <c r="X16" s="39"/>
      <c r="Y16" s="14"/>
      <c r="Z16" s="51"/>
      <c r="AA16" s="51"/>
      <c r="AB16" s="39"/>
      <c r="AC16" s="27" t="str">
        <v>Professional Services</v>
      </c>
      <c r="AD16" s="28">
        <f>SUMIFS(Table1[Amount $],Table1[Category],Snapshot!AC16,Table1[Month],Snapshot!$W$4)*-1</f>
        <v>500</v>
      </c>
      <c r="AE16" s="25">
        <f>RANK(AD16,$AD$6:$AD$35,0)+COUNTIF(AD$6:$AD16,AD16)-1</f>
        <v>4</v>
      </c>
      <c r="AF16" s="25"/>
      <c r="AG16" s="25"/>
      <c r="AH16" s="25"/>
      <c r="AJ16" s="30">
        <f t="shared" si="3"/>
        <v>36536</v>
      </c>
      <c r="AK16" s="30">
        <f t="shared" si="4"/>
        <v>43993</v>
      </c>
      <c r="AL16" s="31">
        <f>SUMIFS(Table1[Amount $],Table1[Category Type],"Expense",Table1[Date],Snapshot!AK16)*-1</f>
        <v>501.95</v>
      </c>
      <c r="AM16" s="31">
        <f ca="1">IF(AK16&gt;TODAY(),NA(),SUM(AL$6:$AL16))</f>
        <v>1749.8799999999999</v>
      </c>
      <c r="AN16" s="31" t="e">
        <f t="shared" ca="1" si="1"/>
        <v>#N/A</v>
      </c>
      <c r="AO16" s="30">
        <f t="shared" si="5"/>
        <v>43962</v>
      </c>
      <c r="AP16" s="31">
        <f>SUMIFS(Table1[Amount $],Table1[Category Type],"Expense",Table1[Date],Snapshot!AO16)*-1</f>
        <v>139.79</v>
      </c>
      <c r="AQ16" s="31">
        <f>IF(AO16&lt;=EOMONTH($AO$6,0),SUM(AP$6:$AP16),NA())</f>
        <v>2287.41</v>
      </c>
      <c r="AR16" s="31" t="e">
        <f t="shared" si="2"/>
        <v>#N/A</v>
      </c>
      <c r="AT16" s="25" t="str">
        <v>Check Card Purchase Doordash</v>
      </c>
      <c r="AU16" s="32">
        <f>IF(ISBLANK(AT16),"",SUMIFS(Table1[Amount $],Table1[Merchant],Snapshot!AT16,Table1[Month],Snapshot!$W$4)*-1)</f>
        <v>386.66999999999996</v>
      </c>
      <c r="AV16" s="25">
        <f>IF(ISBLANK(AT16),"",COUNTIFS(Table1[Merchant],Snapshot!AT16,Table1[Month],Snapshot!$W$4))</f>
        <v>7</v>
      </c>
      <c r="AW16" s="25">
        <f>IFERROR(RANK(AV16,$AV$6:$AV$200)+COUNTIF($AV$6:AV16,AV16)-1,"")</f>
        <v>1</v>
      </c>
      <c r="AX16" s="25">
        <f>IFERROR(RANK(AU16,$AU$6:$AU$200)+COUNTIF($AU$6:AU16,AU16)-1,"")</f>
        <v>3</v>
      </c>
    </row>
    <row r="17" spans="1:50" ht="14.85" customHeight="1" x14ac:dyDescent="0.3">
      <c r="A17" s="22"/>
      <c r="C17" s="41"/>
      <c r="D17" s="61"/>
      <c r="E17" s="58"/>
      <c r="F17" s="58"/>
      <c r="G17" s="49"/>
      <c r="J17" s="43"/>
      <c r="L17" s="41"/>
      <c r="Q17" s="50"/>
      <c r="T17" s="43"/>
      <c r="U17" s="63"/>
      <c r="V17" s="38" t="str">
        <f t="shared" si="6"/>
        <v>June 2020</v>
      </c>
      <c r="W17" s="38">
        <v>43983</v>
      </c>
      <c r="X17" s="39"/>
      <c r="Y17" s="14"/>
      <c r="Z17" s="51"/>
      <c r="AA17" s="51"/>
      <c r="AB17" s="39"/>
      <c r="AC17" s="27" t="str">
        <v>Restaurants/Dining</v>
      </c>
      <c r="AD17" s="28">
        <f>SUMIFS(Table1[Amount $],Table1[Category],Snapshot!AC17,Table1[Month],Snapshot!$W$4)*-1</f>
        <v>562.28999999999985</v>
      </c>
      <c r="AE17" s="25">
        <f>RANK(AD17,$AD$6:$AD$35,0)+COUNTIF(AD$6:$AD17,AD17)-1</f>
        <v>3</v>
      </c>
      <c r="AF17" s="25"/>
      <c r="AG17" s="25"/>
      <c r="AH17" s="25"/>
      <c r="AJ17" s="30">
        <f t="shared" si="3"/>
        <v>36537</v>
      </c>
      <c r="AK17" s="30">
        <f t="shared" si="4"/>
        <v>43994</v>
      </c>
      <c r="AL17" s="31">
        <f>SUMIFS(Table1[Amount $],Table1[Category Type],"Expense",Table1[Date],Snapshot!AK17)*-1</f>
        <v>343.58</v>
      </c>
      <c r="AM17" s="31">
        <f ca="1">IF(AK17&gt;TODAY(),NA(),SUM(AL$6:$AL17))</f>
        <v>2093.46</v>
      </c>
      <c r="AN17" s="31" t="e">
        <f t="shared" ca="1" si="1"/>
        <v>#N/A</v>
      </c>
      <c r="AO17" s="30">
        <f t="shared" si="5"/>
        <v>43963</v>
      </c>
      <c r="AP17" s="31">
        <f>SUMIFS(Table1[Amount $],Table1[Category Type],"Expense",Table1[Date],Snapshot!AO17)*-1</f>
        <v>30.909999999999997</v>
      </c>
      <c r="AQ17" s="31">
        <f>IF(AO17&lt;=EOMONTH($AO$6,0),SUM(AP$6:$AP17),NA())</f>
        <v>2318.3199999999997</v>
      </c>
      <c r="AR17" s="31" t="e">
        <f t="shared" si="2"/>
        <v>#N/A</v>
      </c>
      <c r="AT17" s="25" t="str">
        <v>Cvs</v>
      </c>
      <c r="AU17" s="32">
        <f>IF(ISBLANK(AT17),"",SUMIFS(Table1[Amount $],Table1[Merchant],Snapshot!AT17,Table1[Month],Snapshot!$W$4)*-1)</f>
        <v>132.35</v>
      </c>
      <c r="AV17" s="25">
        <f>IF(ISBLANK(AT17),"",COUNTIFS(Table1[Merchant],Snapshot!AT17,Table1[Month],Snapshot!$W$4))</f>
        <v>1</v>
      </c>
      <c r="AW17" s="25">
        <f>IFERROR(RANK(AV17,$AV$6:$AV$200)+COUNTIF($AV$6:AV17,AV17)-1,"")</f>
        <v>16</v>
      </c>
      <c r="AX17" s="25">
        <f>IFERROR(RANK(AU17,$AU$6:$AU$200)+COUNTIF($AU$6:AU17,AU17)-1,"")</f>
        <v>12</v>
      </c>
    </row>
    <row r="18" spans="1:50" ht="14.85" customHeight="1" x14ac:dyDescent="0.3">
      <c r="A18" s="22"/>
      <c r="C18" s="41"/>
      <c r="D18" s="57"/>
      <c r="E18" s="58"/>
      <c r="F18" s="58"/>
      <c r="G18" s="64"/>
      <c r="J18" s="43"/>
      <c r="L18" s="41"/>
      <c r="P18" s="65"/>
      <c r="Q18" s="45" t="str" cm="1">
        <f t="array" ref="Q18">INDEX($AG$6:$AG$11,MATCH(5,$AF$6:$AF$11,0),0)</f>
        <v>Fees/Charges</v>
      </c>
      <c r="R18" s="46"/>
      <c r="S18" s="47" cm="1">
        <f t="array" ref="S18">INDEX($AH$6:$AH$11,MATCH(5,$AF$6:$AF$11,0),0)</f>
        <v>325.95</v>
      </c>
      <c r="T18" s="43"/>
      <c r="V18" s="38" t="str">
        <f t="shared" si="6"/>
        <v>May 2020</v>
      </c>
      <c r="W18" s="38">
        <v>43952</v>
      </c>
      <c r="X18" s="39"/>
      <c r="Y18" s="14"/>
      <c r="Z18" s="14"/>
      <c r="AA18" s="14"/>
      <c r="AB18" s="39"/>
      <c r="AC18" s="27" t="str">
        <v>Shopping</v>
      </c>
      <c r="AD18" s="28">
        <f>SUMIFS(Table1[Amount $],Table1[Category],Snapshot!AC18,Table1[Month],Snapshot!$W$4)*-1</f>
        <v>573.13</v>
      </c>
      <c r="AE18" s="25">
        <f>RANK(AD18,$AD$6:$AD$35,0)+COUNTIF(AD$6:$AD18,AD18)-1</f>
        <v>2</v>
      </c>
      <c r="AF18" s="25"/>
      <c r="AG18" s="25"/>
      <c r="AH18" s="25"/>
      <c r="AJ18" s="30">
        <f t="shared" si="3"/>
        <v>36538</v>
      </c>
      <c r="AK18" s="30">
        <f t="shared" si="4"/>
        <v>43995</v>
      </c>
      <c r="AL18" s="31">
        <f>SUMIFS(Table1[Amount $],Table1[Category Type],"Expense",Table1[Date],Snapshot!AK18)*-1</f>
        <v>36.04</v>
      </c>
      <c r="AM18" s="31">
        <f ca="1">IF(AK18&gt;TODAY(),NA(),SUM(AL$6:$AL18))</f>
        <v>2129.5</v>
      </c>
      <c r="AN18" s="31" t="e">
        <f t="shared" ca="1" si="1"/>
        <v>#N/A</v>
      </c>
      <c r="AO18" s="30">
        <f t="shared" si="5"/>
        <v>43964</v>
      </c>
      <c r="AP18" s="31">
        <f>SUMIFS(Table1[Amount $],Table1[Category Type],"Expense",Table1[Date],Snapshot!AO18)*-1</f>
        <v>65.790000000000006</v>
      </c>
      <c r="AQ18" s="31">
        <f>IF(AO18&lt;=EOMONTH($AO$6,0),SUM(AP$6:$AP18),NA())</f>
        <v>2384.1099999999997</v>
      </c>
      <c r="AR18" s="31" t="e">
        <f t="shared" si="2"/>
        <v>#N/A</v>
      </c>
      <c r="AT18" s="25" t="str">
        <v>Electronic Debit Schwan S</v>
      </c>
      <c r="AU18" s="32">
        <f>IF(ISBLANK(AT18),"",SUMIFS(Table1[Amount $],Table1[Merchant],Snapshot!AT18,Table1[Month],Snapshot!$W$4)*-1)</f>
        <v>205.07</v>
      </c>
      <c r="AV18" s="25">
        <f>IF(ISBLANK(AT18),"",COUNTIFS(Table1[Merchant],Snapshot!AT18,Table1[Month],Snapshot!$W$4))</f>
        <v>2</v>
      </c>
      <c r="AW18" s="25">
        <f>IFERROR(RANK(AV18,$AV$6:$AV$200)+COUNTIF($AV$6:AV18,AV18)-1,"")</f>
        <v>5</v>
      </c>
      <c r="AX18" s="25">
        <f>IFERROR(RANK(AU18,$AU$6:$AU$200)+COUNTIF($AU$6:AU18,AU18)-1,"")</f>
        <v>8</v>
      </c>
    </row>
    <row r="19" spans="1:50" ht="14.85" customHeight="1" x14ac:dyDescent="0.3">
      <c r="A19" s="22"/>
      <c r="C19" s="41"/>
      <c r="D19" s="61"/>
      <c r="E19" s="58"/>
      <c r="F19" s="58"/>
      <c r="G19" s="66"/>
      <c r="J19" s="43"/>
      <c r="L19" s="41"/>
      <c r="Q19" s="50"/>
      <c r="T19" s="43"/>
      <c r="U19" s="63"/>
      <c r="V19" s="38" t="str">
        <f t="shared" si="6"/>
        <v>April 2020</v>
      </c>
      <c r="W19" s="38">
        <v>43922</v>
      </c>
      <c r="X19" s="39"/>
      <c r="Y19" s="14"/>
      <c r="Z19" s="14"/>
      <c r="AA19" s="14"/>
      <c r="AB19" s="39"/>
      <c r="AC19" s="27" t="str">
        <v>Travel</v>
      </c>
      <c r="AD19" s="28">
        <f>SUMIFS(Table1[Amount $],Table1[Category],Snapshot!AC19,Table1[Month],Snapshot!$W$4)*-1</f>
        <v>0</v>
      </c>
      <c r="AE19" s="25">
        <f>RANK(AD19,$AD$6:$AD$35,0)+COUNTIF(AD$6:$AD19,AD19)-1</f>
        <v>14</v>
      </c>
      <c r="AF19" s="25"/>
      <c r="AG19" s="25"/>
      <c r="AH19" s="25"/>
      <c r="AJ19" s="30">
        <f t="shared" si="3"/>
        <v>36539</v>
      </c>
      <c r="AK19" s="30">
        <f t="shared" si="4"/>
        <v>43996</v>
      </c>
      <c r="AL19" s="31">
        <f>SUMIFS(Table1[Amount $],Table1[Category Type],"Expense",Table1[Date],Snapshot!AK19)*-1</f>
        <v>0</v>
      </c>
      <c r="AM19" s="31">
        <f ca="1">IF(AK19&gt;TODAY(),NA(),SUM(AL$6:$AL19))</f>
        <v>2129.5</v>
      </c>
      <c r="AN19" s="31" t="e">
        <f t="shared" ca="1" si="1"/>
        <v>#N/A</v>
      </c>
      <c r="AO19" s="30">
        <f t="shared" si="5"/>
        <v>43965</v>
      </c>
      <c r="AP19" s="31">
        <f>SUMIFS(Table1[Amount $],Table1[Category Type],"Expense",Table1[Date],Snapshot!AO19)*-1</f>
        <v>127.88</v>
      </c>
      <c r="AQ19" s="31">
        <f>IF(AO19&lt;=EOMONTH($AO$6,0),SUM(AP$6:$AP19),NA())</f>
        <v>2511.9899999999998</v>
      </c>
      <c r="AR19" s="31" t="e">
        <f t="shared" si="2"/>
        <v>#N/A</v>
      </c>
      <c r="AT19" s="25" t="str">
        <v>Electronic Debit Td Auto</v>
      </c>
      <c r="AU19" s="32">
        <f>IF(ISBLANK(AT19),"",SUMIFS(Table1[Amount $],Table1[Merchant],Snapshot!AT19,Table1[Month],Snapshot!$W$4)*-1)</f>
        <v>239.82</v>
      </c>
      <c r="AV19" s="25">
        <f>IF(ISBLANK(AT19),"",COUNTIFS(Table1[Merchant],Snapshot!AT19,Table1[Month],Snapshot!$W$4))</f>
        <v>1</v>
      </c>
      <c r="AW19" s="25">
        <f>IFERROR(RANK(AV19,$AV$6:$AV$200)+COUNTIF($AV$6:AV19,AV19)-1,"")</f>
        <v>17</v>
      </c>
      <c r="AX19" s="25">
        <f>IFERROR(RANK(AU19,$AU$6:$AU$200)+COUNTIF($AU$6:AU19,AU19)-1,"")</f>
        <v>7</v>
      </c>
    </row>
    <row r="20" spans="1:50" ht="14.85" customHeight="1" x14ac:dyDescent="0.25">
      <c r="A20" s="22"/>
      <c r="C20" s="41"/>
      <c r="D20" s="14"/>
      <c r="E20" s="14"/>
      <c r="F20" s="14"/>
      <c r="G20" s="14"/>
      <c r="J20" s="43"/>
      <c r="L20" s="41"/>
      <c r="P20" s="67"/>
      <c r="Q20" s="45" t="str" cm="1">
        <f t="array" ref="Q20">INDEX($AG$6:$AG$11,MATCH(6,$AF$6:$AF$11,0),0)</f>
        <v>All Other Categories</v>
      </c>
      <c r="R20" s="46"/>
      <c r="S20" s="47" cm="1">
        <f t="array" ref="S20">INDEX($AH$6:$AH$11,MATCH(6,$AF$6:$AF$11,0),0)</f>
        <v>311.48000000000047</v>
      </c>
      <c r="T20" s="43"/>
      <c r="V20" s="38" t="str">
        <f t="shared" si="6"/>
        <v>March 2020</v>
      </c>
      <c r="W20" s="38">
        <v>43891</v>
      </c>
      <c r="X20" s="39"/>
      <c r="Y20" s="56"/>
      <c r="Z20" s="14"/>
      <c r="AA20" s="14"/>
      <c r="AB20" s="39"/>
      <c r="AC20" s="27" t="str">
        <v>Uncategorized</v>
      </c>
      <c r="AD20" s="28">
        <f>SUMIFS(Table1[Amount $],Table1[Category],Snapshot!AC20,Table1[Month],Snapshot!$W$4)*-1</f>
        <v>0</v>
      </c>
      <c r="AE20" s="25">
        <f>RANK(AD20,$AD$6:$AD$35,0)+COUNTIF(AD$6:$AD20,AD20)-1</f>
        <v>15</v>
      </c>
      <c r="AF20" s="25"/>
      <c r="AG20" s="25"/>
      <c r="AH20" s="25"/>
      <c r="AJ20" s="30">
        <f t="shared" si="3"/>
        <v>36540</v>
      </c>
      <c r="AK20" s="30">
        <f t="shared" si="4"/>
        <v>43997</v>
      </c>
      <c r="AL20" s="31">
        <f>SUMIFS(Table1[Amount $],Table1[Category Type],"Expense",Table1[Date],Snapshot!AK20)*-1</f>
        <v>331.03</v>
      </c>
      <c r="AM20" s="31">
        <f ca="1">IF(AK20&gt;TODAY(),NA(),SUM(AL$6:$AL20))</f>
        <v>2460.5299999999997</v>
      </c>
      <c r="AN20" s="31" t="e">
        <f t="shared" ca="1" si="1"/>
        <v>#N/A</v>
      </c>
      <c r="AO20" s="30">
        <f t="shared" si="5"/>
        <v>43966</v>
      </c>
      <c r="AP20" s="31">
        <f>SUMIFS(Table1[Amount $],Table1[Category Type],"Expense",Table1[Date],Snapshot!AO20)*-1</f>
        <v>52.589999999999996</v>
      </c>
      <c r="AQ20" s="31">
        <f>IF(AO20&lt;=EOMONTH($AO$6,0),SUM(AP$6:$AP20),NA())</f>
        <v>2564.58</v>
      </c>
      <c r="AR20" s="31" t="e">
        <f t="shared" si="2"/>
        <v>#N/A</v>
      </c>
      <c r="AT20" s="25" t="str">
        <v>Point Of Sale Debit</v>
      </c>
      <c r="AU20" s="32">
        <f>IF(ISBLANK(AT20),"",SUMIFS(Table1[Amount $],Table1[Merchant],Snapshot!AT20,Table1[Month],Snapshot!$W$4)*-1)</f>
        <v>186.72</v>
      </c>
      <c r="AV20" s="25">
        <f>IF(ISBLANK(AT20),"",COUNTIFS(Table1[Merchant],Snapshot!AT20,Table1[Month],Snapshot!$W$4))</f>
        <v>4</v>
      </c>
      <c r="AW20" s="25">
        <f>IFERROR(RANK(AV20,$AV$6:$AV$200)+COUNTIF($AV$6:AV20,AV20)-1,"")</f>
        <v>4</v>
      </c>
      <c r="AX20" s="25">
        <f>IFERROR(RANK(AU20,$AU$6:$AU$200)+COUNTIF($AU$6:AU20,AU20)-1,"")</f>
        <v>9</v>
      </c>
    </row>
    <row r="21" spans="1:50" ht="14.85" customHeight="1" x14ac:dyDescent="0.25">
      <c r="A21" s="22"/>
      <c r="C21" s="41"/>
      <c r="D21" s="57"/>
      <c r="E21" s="14"/>
      <c r="F21" s="14"/>
      <c r="G21" s="64"/>
      <c r="J21" s="43"/>
      <c r="L21" s="41"/>
      <c r="T21" s="43"/>
      <c r="V21" s="38" t="str">
        <f t="shared" si="6"/>
        <v>February 2020</v>
      </c>
      <c r="W21" s="38">
        <v>43862</v>
      </c>
      <c r="X21" s="39"/>
      <c r="Y21" s="39"/>
      <c r="Z21" s="51"/>
      <c r="AA21" s="51"/>
      <c r="AB21" s="39"/>
      <c r="AC21" s="27" t="str">
        <v>Apps</v>
      </c>
      <c r="AD21" s="28">
        <f>SUMIFS(Table1[Amount $],Table1[Category],Snapshot!AC21,Table1[Month],Snapshot!$W$4)*-1</f>
        <v>0</v>
      </c>
      <c r="AE21" s="25">
        <f>RANK(AD21,$AD$6:$AD$35,0)+COUNTIF(AD$6:$AD21,AD21)-1</f>
        <v>16</v>
      </c>
      <c r="AF21" s="25"/>
      <c r="AG21" s="25"/>
      <c r="AH21" s="25"/>
      <c r="AJ21" s="30">
        <f t="shared" si="3"/>
        <v>36541</v>
      </c>
      <c r="AK21" s="30">
        <f t="shared" si="4"/>
        <v>43998</v>
      </c>
      <c r="AL21" s="31">
        <f>SUMIFS(Table1[Amount $],Table1[Category Type],"Expense",Table1[Date],Snapshot!AK21)*-1</f>
        <v>138.35</v>
      </c>
      <c r="AM21" s="31">
        <f ca="1">IF(AK21&gt;TODAY(),NA(),SUM(AL$6:$AL21))</f>
        <v>2598.8799999999997</v>
      </c>
      <c r="AN21" s="31" t="e">
        <f t="shared" ca="1" si="1"/>
        <v>#N/A</v>
      </c>
      <c r="AO21" s="30">
        <f t="shared" si="5"/>
        <v>43967</v>
      </c>
      <c r="AP21" s="31">
        <f>SUMIFS(Table1[Amount $],Table1[Category Type],"Expense",Table1[Date],Snapshot!AO21)*-1</f>
        <v>0</v>
      </c>
      <c r="AQ21" s="31">
        <f>IF(AO21&lt;=EOMONTH($AO$6,0),SUM(AP$6:$AP21),NA())</f>
        <v>2564.58</v>
      </c>
      <c r="AR21" s="31" t="e">
        <f t="shared" si="2"/>
        <v>#N/A</v>
      </c>
      <c r="AT21" s="25" t="str">
        <v>Check Card Purchase Subway</v>
      </c>
      <c r="AU21" s="32">
        <f>IF(ISBLANK(AT21),"",SUMIFS(Table1[Amount $],Table1[Merchant],Snapshot!AT21,Table1[Month],Snapshot!$W$4)*-1)</f>
        <v>12.19</v>
      </c>
      <c r="AV21" s="25">
        <f>IF(ISBLANK(AT21),"",COUNTIFS(Table1[Merchant],Snapshot!AT21,Table1[Month],Snapshot!$W$4))</f>
        <v>1</v>
      </c>
      <c r="AW21" s="25">
        <f>IFERROR(RANK(AV21,$AV$6:$AV$200)+COUNTIF($AV$6:AV21,AV21)-1,"")</f>
        <v>18</v>
      </c>
      <c r="AX21" s="25">
        <f>IFERROR(RANK(AU21,$AU$6:$AU$200)+COUNTIF($AU$6:AU21,AU21)-1,"")</f>
        <v>27</v>
      </c>
    </row>
    <row r="22" spans="1:50" ht="14.85" customHeight="1" x14ac:dyDescent="0.25">
      <c r="A22" s="22"/>
      <c r="C22" s="41"/>
      <c r="D22" s="14"/>
      <c r="E22" s="14"/>
      <c r="F22" s="14"/>
      <c r="G22" s="14"/>
      <c r="J22" s="43"/>
      <c r="L22" s="41"/>
      <c r="P22" s="68" t="s">
        <v>70</v>
      </c>
      <c r="Q22" s="68"/>
      <c r="R22" s="68"/>
      <c r="S22" s="69">
        <f>S10+S12+S14+S16+S18+S20</f>
        <v>4154.17</v>
      </c>
      <c r="T22" s="43"/>
      <c r="V22" s="38" t="str">
        <f t="shared" si="6"/>
        <v>January 2020</v>
      </c>
      <c r="W22" s="38">
        <v>43831</v>
      </c>
      <c r="X22" s="39"/>
      <c r="Y22" s="39"/>
      <c r="Z22" s="51"/>
      <c r="AA22" s="51"/>
      <c r="AB22" s="39"/>
      <c r="AC22" s="27" t="str">
        <v>Education</v>
      </c>
      <c r="AD22" s="28">
        <f>SUMIFS(Table1[Amount $],Table1[Category],Snapshot!AC22,Table1[Month],Snapshot!$W$4)*-1</f>
        <v>0</v>
      </c>
      <c r="AE22" s="25">
        <f>RANK(AD22,$AD$6:$AD$35,0)+COUNTIF(AD$6:$AD22,AD22)-1</f>
        <v>17</v>
      </c>
      <c r="AF22" s="25"/>
      <c r="AG22" s="25"/>
      <c r="AH22" s="25"/>
      <c r="AJ22" s="30">
        <f t="shared" si="3"/>
        <v>36542</v>
      </c>
      <c r="AK22" s="30">
        <f t="shared" si="4"/>
        <v>43999</v>
      </c>
      <c r="AL22" s="31">
        <f>SUMIFS(Table1[Amount $],Table1[Category Type],"Expense",Table1[Date],Snapshot!AK22)*-1</f>
        <v>10.9</v>
      </c>
      <c r="AM22" s="31">
        <f ca="1">IF(AK22&gt;TODAY(),NA(),SUM(AL$6:$AL22))</f>
        <v>2609.7799999999997</v>
      </c>
      <c r="AN22" s="31" t="e">
        <f t="shared" ca="1" si="1"/>
        <v>#N/A</v>
      </c>
      <c r="AO22" s="30">
        <f t="shared" si="5"/>
        <v>43968</v>
      </c>
      <c r="AP22" s="31">
        <f>SUMIFS(Table1[Amount $],Table1[Category Type],"Expense",Table1[Date],Snapshot!AO22)*-1</f>
        <v>43.11</v>
      </c>
      <c r="AQ22" s="31">
        <f>IF(AO22&lt;=EOMONTH($AO$6,0),SUM(AP$6:$AP22),NA())</f>
        <v>2607.69</v>
      </c>
      <c r="AR22" s="31" t="e">
        <f t="shared" si="2"/>
        <v>#N/A</v>
      </c>
      <c r="AT22" s="25" t="str">
        <v>T Mobile</v>
      </c>
      <c r="AU22" s="32">
        <f>IF(ISBLANK(AT22),"",SUMIFS(Table1[Amount $],Table1[Merchant],Snapshot!AT22,Table1[Month],Snapshot!$W$4)*-1)</f>
        <v>75.92</v>
      </c>
      <c r="AV22" s="25">
        <f>IF(ISBLANK(AT22),"",COUNTIFS(Table1[Merchant],Snapshot!AT22,Table1[Month],Snapshot!$W$4))</f>
        <v>1</v>
      </c>
      <c r="AW22" s="25">
        <f>IFERROR(RANK(AV22,$AV$6:$AV$200)+COUNTIF($AV$6:AV22,AV22)-1,"")</f>
        <v>19</v>
      </c>
      <c r="AX22" s="25">
        <f>IFERROR(RANK(AU22,$AU$6:$AU$200)+COUNTIF($AU$6:AU22,AU22)-1,"")</f>
        <v>16</v>
      </c>
    </row>
    <row r="23" spans="1:50" ht="14.85" customHeight="1" x14ac:dyDescent="0.25">
      <c r="A23" s="22"/>
      <c r="C23" s="41"/>
      <c r="J23" s="43"/>
      <c r="L23" s="41"/>
      <c r="M23" s="70"/>
      <c r="N23" s="14"/>
      <c r="T23" s="43"/>
      <c r="V23" s="38" t="str">
        <f t="shared" si="6"/>
        <v>December 2019</v>
      </c>
      <c r="W23" s="38">
        <v>43800</v>
      </c>
      <c r="X23" s="39"/>
      <c r="Y23" s="14"/>
      <c r="Z23" s="51"/>
      <c r="AA23" s="51"/>
      <c r="AB23" s="39"/>
      <c r="AC23" s="27" t="str">
        <v>Government</v>
      </c>
      <c r="AD23" s="28">
        <f>SUMIFS(Table1[Amount $],Table1[Category],Snapshot!AC23,Table1[Month],Snapshot!$W$4)*-1</f>
        <v>0</v>
      </c>
      <c r="AE23" s="25">
        <f>RANK(AD23,$AD$6:$AD$35,0)+COUNTIF(AD$6:$AD23,AD23)-1</f>
        <v>18</v>
      </c>
      <c r="AF23" s="25"/>
      <c r="AG23" s="25"/>
      <c r="AH23" s="25"/>
      <c r="AJ23" s="30">
        <f t="shared" si="3"/>
        <v>36543</v>
      </c>
      <c r="AK23" s="30">
        <f t="shared" si="4"/>
        <v>44000</v>
      </c>
      <c r="AL23" s="31">
        <f>SUMIFS(Table1[Amount $],Table1[Category Type],"Expense",Table1[Date],Snapshot!AK23)*-1</f>
        <v>75.92</v>
      </c>
      <c r="AM23" s="31">
        <f ca="1">IF(AK23&gt;TODAY(),NA(),SUM(AL$6:$AL23))</f>
        <v>2685.7</v>
      </c>
      <c r="AN23" s="31" t="e">
        <f t="shared" ca="1" si="1"/>
        <v>#N/A</v>
      </c>
      <c r="AO23" s="30">
        <f t="shared" si="5"/>
        <v>43969</v>
      </c>
      <c r="AP23" s="31">
        <f>SUMIFS(Table1[Amount $],Table1[Category Type],"Expense",Table1[Date],Snapshot!AO23)*-1</f>
        <v>155.76999999999998</v>
      </c>
      <c r="AQ23" s="31">
        <f>IF(AO23&lt;=EOMONTH($AO$6,0),SUM(AP$6:$AP23),NA())</f>
        <v>2763.46</v>
      </c>
      <c r="AR23" s="31" t="e">
        <f t="shared" si="2"/>
        <v>#N/A</v>
      </c>
      <c r="AT23" s="25" t="str">
        <v>Electronic Debit Transamerica Ins</v>
      </c>
      <c r="AU23" s="32">
        <f>IF(ISBLANK(AT23),"",SUMIFS(Table1[Amount $],Table1[Merchant],Snapshot!AT23,Table1[Month],Snapshot!$W$4)*-1)</f>
        <v>10.9</v>
      </c>
      <c r="AV23" s="25">
        <f>IF(ISBLANK(AT23),"",COUNTIFS(Table1[Merchant],Snapshot!AT23,Table1[Month],Snapshot!$W$4))</f>
        <v>1</v>
      </c>
      <c r="AW23" s="25">
        <f>IFERROR(RANK(AV23,$AV$6:$AV$200)+COUNTIF($AV$6:AV23,AV23)-1,"")</f>
        <v>20</v>
      </c>
      <c r="AX23" s="25">
        <f>IFERROR(RANK(AU23,$AU$6:$AU$200)+COUNTIF($AU$6:AU23,AU23)-1,"")</f>
        <v>28</v>
      </c>
    </row>
    <row r="24" spans="1:50" ht="14.85" customHeight="1" thickBot="1" x14ac:dyDescent="0.3">
      <c r="A24" s="22"/>
      <c r="C24" s="71"/>
      <c r="D24" s="72"/>
      <c r="E24" s="72"/>
      <c r="F24" s="72"/>
      <c r="G24" s="72"/>
      <c r="H24" s="72"/>
      <c r="I24" s="72"/>
      <c r="J24" s="73"/>
      <c r="L24" s="71"/>
      <c r="M24" s="72"/>
      <c r="N24" s="72"/>
      <c r="O24" s="72"/>
      <c r="P24" s="72"/>
      <c r="Q24" s="72"/>
      <c r="R24" s="72"/>
      <c r="S24" s="72"/>
      <c r="T24" s="73"/>
      <c r="V24" s="38" t="str">
        <f t="shared" si="6"/>
        <v>November 2019</v>
      </c>
      <c r="W24" s="38">
        <v>43770</v>
      </c>
      <c r="X24" s="39"/>
      <c r="Y24" s="14"/>
      <c r="Z24" s="14"/>
      <c r="AA24" s="14"/>
      <c r="AB24" s="39"/>
      <c r="AC24" s="27" t="str">
        <v>Loan</v>
      </c>
      <c r="AD24" s="28">
        <f>SUMIFS(Table1[Amount $],Table1[Category],Snapshot!AC24,Table1[Month],Snapshot!$W$4)*-1</f>
        <v>0</v>
      </c>
      <c r="AE24" s="25">
        <f>RANK(AD24,$AD$6:$AD$35,0)+COUNTIF(AD$6:$AD24,AD24)-1</f>
        <v>19</v>
      </c>
      <c r="AF24" s="25"/>
      <c r="AG24" s="25"/>
      <c r="AH24" s="25"/>
      <c r="AJ24" s="30">
        <f t="shared" si="3"/>
        <v>36544</v>
      </c>
      <c r="AK24" s="30">
        <f t="shared" si="4"/>
        <v>44001</v>
      </c>
      <c r="AL24" s="31">
        <f>SUMIFS(Table1[Amount $],Table1[Category Type],"Expense",Table1[Date],Snapshot!AK24)*-1</f>
        <v>0</v>
      </c>
      <c r="AM24" s="31">
        <f ca="1">IF(AK24&gt;TODAY(),NA(),SUM(AL$6:$AL24))</f>
        <v>2685.7</v>
      </c>
      <c r="AN24" s="31" t="e">
        <f t="shared" ca="1" si="1"/>
        <v>#N/A</v>
      </c>
      <c r="AO24" s="30">
        <f t="shared" si="5"/>
        <v>43970</v>
      </c>
      <c r="AP24" s="31">
        <f>SUMIFS(Table1[Amount $],Table1[Category Type],"Expense",Table1[Date],Snapshot!AO24)*-1</f>
        <v>37.68</v>
      </c>
      <c r="AQ24" s="31">
        <f>IF(AO24&lt;=EOMONTH($AO$6,0),SUM(AP$6:$AP24),NA())</f>
        <v>2801.14</v>
      </c>
      <c r="AR24" s="31" t="e">
        <f t="shared" si="2"/>
        <v>#N/A</v>
      </c>
      <c r="AT24" s="25" t="str">
        <v>Electronic Debit Aft A</v>
      </c>
      <c r="AU24" s="32">
        <f>IF(ISBLANK(AT24),"",SUMIFS(Table1[Amount $],Table1[Merchant],Snapshot!AT24,Table1[Month],Snapshot!$W$4)*-1)</f>
        <v>79.849999999999994</v>
      </c>
      <c r="AV24" s="25">
        <f>IF(ISBLANK(AT24),"",COUNTIFS(Table1[Merchant],Snapshot!AT24,Table1[Month],Snapshot!$W$4))</f>
        <v>1</v>
      </c>
      <c r="AW24" s="25">
        <f>IFERROR(RANK(AV24,$AV$6:$AV$200)+COUNTIF($AV$6:AV24,AV24)-1,"")</f>
        <v>21</v>
      </c>
      <c r="AX24" s="25">
        <f>IFERROR(RANK(AU24,$AU$6:$AU$200)+COUNTIF($AU$6:AU24,AU24)-1,"")</f>
        <v>15</v>
      </c>
    </row>
    <row r="25" spans="1:50" ht="14.85" customHeight="1" thickBot="1" x14ac:dyDescent="0.3">
      <c r="A25" s="22"/>
      <c r="V25" s="38" t="str">
        <f t="shared" si="6"/>
        <v>October 2019</v>
      </c>
      <c r="W25" s="38">
        <v>43739</v>
      </c>
      <c r="X25" s="39"/>
      <c r="Y25" s="14"/>
      <c r="Z25" s="14"/>
      <c r="AA25" s="14"/>
      <c r="AB25" s="39"/>
      <c r="AC25" s="27"/>
      <c r="AD25" s="28">
        <f>SUMIFS(Table1[Amount $],Table1[Category],Snapshot!AC25,Table1[Month],Snapshot!$W$4)*-1</f>
        <v>0</v>
      </c>
      <c r="AE25" s="25">
        <f>RANK(AD25,$AD$6:$AD$35,0)+COUNTIF(AD$6:$AD25,AD25)-1</f>
        <v>20</v>
      </c>
      <c r="AF25" s="25"/>
      <c r="AG25" s="25"/>
      <c r="AH25" s="25"/>
      <c r="AJ25" s="30">
        <f t="shared" si="3"/>
        <v>36545</v>
      </c>
      <c r="AK25" s="30">
        <f t="shared" si="4"/>
        <v>44002</v>
      </c>
      <c r="AL25" s="31">
        <f>SUMIFS(Table1[Amount $],Table1[Category Type],"Expense",Table1[Date],Snapshot!AK25)*-1</f>
        <v>53.22</v>
      </c>
      <c r="AM25" s="31">
        <f ca="1">IF(AK25&gt;TODAY(),NA(),SUM(AL$6:$AL25))</f>
        <v>2738.9199999999996</v>
      </c>
      <c r="AN25" s="31" t="e">
        <f t="shared" ca="1" si="1"/>
        <v>#N/A</v>
      </c>
      <c r="AO25" s="30">
        <f t="shared" si="5"/>
        <v>43971</v>
      </c>
      <c r="AP25" s="31">
        <f>SUMIFS(Table1[Amount $],Table1[Category Type],"Expense",Table1[Date],Snapshot!AO25)*-1</f>
        <v>0</v>
      </c>
      <c r="AQ25" s="31">
        <f>IF(AO25&lt;=EOMONTH($AO$6,0),SUM(AP$6:$AP25),NA())</f>
        <v>2801.14</v>
      </c>
      <c r="AR25" s="31" t="e">
        <f t="shared" si="2"/>
        <v>#N/A</v>
      </c>
      <c r="AT25" s="25" t="str">
        <v>Electronic Debit Washington Gas</v>
      </c>
      <c r="AU25" s="32">
        <f>IF(ISBLANK(AT25),"",SUMIFS(Table1[Amount $],Table1[Merchant],Snapshot!AT25,Table1[Month],Snapshot!$W$4)*-1)</f>
        <v>297.75</v>
      </c>
      <c r="AV25" s="25">
        <f>IF(ISBLANK(AT25),"",COUNTIFS(Table1[Merchant],Snapshot!AT25,Table1[Month],Snapshot!$W$4))</f>
        <v>1</v>
      </c>
      <c r="AW25" s="25">
        <f>IFERROR(RANK(AV25,$AV$6:$AV$200)+COUNTIF($AV$6:AV25,AV25)-1,"")</f>
        <v>22</v>
      </c>
      <c r="AX25" s="25">
        <f>IFERROR(RANK(AU25,$AU$6:$AU$200)+COUNTIF($AU$6:AU25,AU25)-1,"")</f>
        <v>6</v>
      </c>
    </row>
    <row r="26" spans="1:50" ht="14.85" customHeight="1" thickTop="1" thickBot="1" x14ac:dyDescent="0.3">
      <c r="A26" s="22"/>
      <c r="C26" s="74"/>
      <c r="D26" s="74"/>
      <c r="E26" s="75"/>
      <c r="F26" s="75"/>
      <c r="G26" s="75"/>
      <c r="H26" s="75"/>
      <c r="I26" s="76"/>
      <c r="J26" s="76"/>
      <c r="K26" s="76"/>
      <c r="L26" s="76"/>
      <c r="M26" s="76"/>
      <c r="N26" s="75"/>
      <c r="O26" s="75"/>
      <c r="P26" s="75"/>
      <c r="Q26" s="75"/>
      <c r="R26" s="75"/>
      <c r="S26" s="75"/>
      <c r="T26" s="75"/>
      <c r="V26" s="38" t="str">
        <f t="shared" si="6"/>
        <v>--</v>
      </c>
      <c r="W26" s="38"/>
      <c r="X26" s="39"/>
      <c r="Y26" s="14"/>
      <c r="Z26" s="14"/>
      <c r="AA26" s="14"/>
      <c r="AB26" s="39"/>
      <c r="AC26" s="27"/>
      <c r="AD26" s="28">
        <f>SUMIFS(Table1[Amount $],Table1[Category],Snapshot!AC26,Table1[Month],Snapshot!$W$4)*-1</f>
        <v>0</v>
      </c>
      <c r="AE26" s="25">
        <f>RANK(AD26,$AD$6:$AD$35,0)+COUNTIF(AD$6:$AD26,AD26)-1</f>
        <v>21</v>
      </c>
      <c r="AF26" s="25"/>
      <c r="AG26" s="25"/>
      <c r="AH26" s="25"/>
      <c r="AJ26" s="30">
        <f t="shared" si="3"/>
        <v>36546</v>
      </c>
      <c r="AK26" s="30">
        <f t="shared" si="4"/>
        <v>44003</v>
      </c>
      <c r="AL26" s="31">
        <f>SUMIFS(Table1[Amount $],Table1[Category Type],"Expense",Table1[Date],Snapshot!AK26)*-1</f>
        <v>53.44</v>
      </c>
      <c r="AM26" s="31">
        <f ca="1">IF(AK26&gt;TODAY(),NA(),SUM(AL$6:$AL26))</f>
        <v>2792.3599999999997</v>
      </c>
      <c r="AN26" s="31" t="e">
        <f t="shared" ca="1" si="1"/>
        <v>#N/A</v>
      </c>
      <c r="AO26" s="30">
        <f t="shared" si="5"/>
        <v>43972</v>
      </c>
      <c r="AP26" s="31">
        <f>SUMIFS(Table1[Amount $],Table1[Category Type],"Expense",Table1[Date],Snapshot!AO26)*-1</f>
        <v>0</v>
      </c>
      <c r="AQ26" s="31">
        <f>IF(AO26&lt;=EOMONTH($AO$6,0),SUM(AP$6:$AP26),NA())</f>
        <v>2801.14</v>
      </c>
      <c r="AR26" s="31" t="e">
        <f t="shared" si="2"/>
        <v>#N/A</v>
      </c>
      <c r="AT26" s="25" t="str">
        <v>Electronic Debit Potomac Elec</v>
      </c>
      <c r="AU26" s="32">
        <f>IF(ISBLANK(AT26),"",SUMIFS(Table1[Amount $],Table1[Merchant],Snapshot!AT26,Table1[Month],Snapshot!$W$4)*-1)</f>
        <v>343.58</v>
      </c>
      <c r="AV26" s="25">
        <f>IF(ISBLANK(AT26),"",COUNTIFS(Table1[Merchant],Snapshot!AT26,Table1[Month],Snapshot!$W$4))</f>
        <v>1</v>
      </c>
      <c r="AW26" s="25">
        <f>IFERROR(RANK(AV26,$AV$6:$AV$200)+COUNTIF($AV$6:AV26,AV26)-1,"")</f>
        <v>23</v>
      </c>
      <c r="AX26" s="25">
        <f>IFERROR(RANK(AU26,$AU$6:$AU$200)+COUNTIF($AU$6:AU26,AU26)-1,"")</f>
        <v>4</v>
      </c>
    </row>
    <row r="27" spans="1:50" ht="20.100000000000001" customHeight="1" x14ac:dyDescent="0.3">
      <c r="A27" s="22"/>
      <c r="C27" s="33"/>
      <c r="D27" s="34" t="s">
        <v>23</v>
      </c>
      <c r="E27" s="77"/>
      <c r="F27" s="77"/>
      <c r="G27" s="77"/>
      <c r="H27" s="77"/>
      <c r="I27" s="77"/>
      <c r="J27" s="77"/>
      <c r="K27" s="35"/>
      <c r="L27" s="35"/>
      <c r="M27" s="35"/>
      <c r="N27" s="35"/>
      <c r="O27" s="35"/>
      <c r="P27" s="35"/>
      <c r="Q27" s="35"/>
      <c r="R27" s="35"/>
      <c r="S27" s="35"/>
      <c r="T27" s="37"/>
      <c r="V27" s="38" t="str">
        <f t="shared" si="6"/>
        <v>--</v>
      </c>
      <c r="W27" s="38"/>
      <c r="X27" s="39"/>
      <c r="Y27" s="14"/>
      <c r="Z27" s="14"/>
      <c r="AA27" s="14"/>
      <c r="AB27" s="39"/>
      <c r="AC27" s="27"/>
      <c r="AD27" s="28">
        <f>SUMIFS(Table1[Amount $],Table1[Category],Snapshot!AC27,Table1[Month],Snapshot!$W$4)*-1</f>
        <v>0</v>
      </c>
      <c r="AE27" s="25">
        <f>RANK(AD27,$AD$6:$AD$35,0)+COUNTIF(AD$6:$AD27,AD27)-1</f>
        <v>22</v>
      </c>
      <c r="AF27" s="25"/>
      <c r="AG27" s="25"/>
      <c r="AH27" s="25"/>
      <c r="AJ27" s="30">
        <f t="shared" si="3"/>
        <v>36547</v>
      </c>
      <c r="AK27" s="30">
        <f t="shared" si="4"/>
        <v>44004</v>
      </c>
      <c r="AL27" s="31">
        <f>SUMIFS(Table1[Amount $],Table1[Category Type],"Expense",Table1[Date],Snapshot!AK27)*-1</f>
        <v>602.39999999999986</v>
      </c>
      <c r="AM27" s="31">
        <f ca="1">IF(AK27&gt;TODAY(),NA(),SUM(AL$6:$AL27))</f>
        <v>3394.7599999999993</v>
      </c>
      <c r="AN27" s="31" t="e">
        <f t="shared" ca="1" si="1"/>
        <v>#N/A</v>
      </c>
      <c r="AO27" s="30">
        <f t="shared" si="5"/>
        <v>43973</v>
      </c>
      <c r="AP27" s="31">
        <f>SUMIFS(Table1[Amount $],Table1[Category Type],"Expense",Table1[Date],Snapshot!AO27)*-1</f>
        <v>92.550000000000011</v>
      </c>
      <c r="AQ27" s="31">
        <f>IF(AO27&lt;=EOMONTH($AO$6,0),SUM(AP$6:$AP27),NA())</f>
        <v>2893.69</v>
      </c>
      <c r="AR27" s="31" t="e">
        <f t="shared" si="2"/>
        <v>#N/A</v>
      </c>
      <c r="AT27" s="25" t="str">
        <v>Check Card Purchase Avedon</v>
      </c>
      <c r="AU27" s="32">
        <f>IF(ISBLANK(AT27),"",SUMIFS(Table1[Amount $],Table1[Merchant],Snapshot!AT27,Table1[Month],Snapshot!$W$4)*-1)</f>
        <v>500</v>
      </c>
      <c r="AV27" s="25">
        <f>IF(ISBLANK(AT27),"",COUNTIFS(Table1[Merchant],Snapshot!AT27,Table1[Month],Snapshot!$W$4))</f>
        <v>1</v>
      </c>
      <c r="AW27" s="25">
        <f>IFERROR(RANK(AV27,$AV$6:$AV$200)+COUNTIF($AV$6:AV27,AV27)-1,"")</f>
        <v>24</v>
      </c>
      <c r="AX27" s="25">
        <f>IFERROR(RANK(AU27,$AU$6:$AU$200)+COUNTIF($AU$6:AU27,AU27)-1,"")</f>
        <v>2</v>
      </c>
    </row>
    <row r="28" spans="1:50" ht="14.85" customHeight="1" x14ac:dyDescent="0.25">
      <c r="A28" s="22"/>
      <c r="C28" s="41"/>
      <c r="D28" s="42" t="str">
        <f ca="1">IFERROR(IF(AND(MONTH(W4)=MONTH(TODAY()),YEAR(W4)=YEAR(TODAY())),AK39,AK42),"")</f>
        <v>Compared to May, you spent $321 less</v>
      </c>
      <c r="T28" s="43"/>
      <c r="V28" s="38" t="str">
        <f t="shared" si="6"/>
        <v>--</v>
      </c>
      <c r="W28" s="38"/>
      <c r="X28" s="39"/>
      <c r="Y28" s="14"/>
      <c r="Z28" s="14"/>
      <c r="AA28" s="14"/>
      <c r="AB28" s="39"/>
      <c r="AC28" s="27"/>
      <c r="AD28" s="28">
        <f>SUMIFS(Table1[Amount $],Table1[Category],Snapshot!AC28,Table1[Month],Snapshot!$W$4)*-1</f>
        <v>0</v>
      </c>
      <c r="AE28" s="25">
        <f>RANK(AD28,$AD$6:$AD$35,0)+COUNTIF(AD$6:$AD28,AD28)-1</f>
        <v>23</v>
      </c>
      <c r="AF28" s="25"/>
      <c r="AG28" s="25"/>
      <c r="AH28" s="25"/>
      <c r="AJ28" s="30">
        <f t="shared" si="3"/>
        <v>36548</v>
      </c>
      <c r="AK28" s="30">
        <f t="shared" si="4"/>
        <v>44005</v>
      </c>
      <c r="AL28" s="31">
        <f>SUMIFS(Table1[Amount $],Table1[Category Type],"Expense",Table1[Date],Snapshot!AK28)*-1</f>
        <v>72</v>
      </c>
      <c r="AM28" s="31">
        <f ca="1">IF(AK28&gt;TODAY(),NA(),SUM(AL$6:$AL28))</f>
        <v>3466.7599999999993</v>
      </c>
      <c r="AN28" s="31" t="e">
        <f t="shared" ca="1" si="1"/>
        <v>#N/A</v>
      </c>
      <c r="AO28" s="30">
        <f t="shared" si="5"/>
        <v>43974</v>
      </c>
      <c r="AP28" s="31">
        <f>SUMIFS(Table1[Amount $],Table1[Category Type],"Expense",Table1[Date],Snapshot!AO28)*-1</f>
        <v>40.67</v>
      </c>
      <c r="AQ28" s="31">
        <f>IF(AO28&lt;=EOMONTH($AO$6,0),SUM(AP$6:$AP28),NA())</f>
        <v>2934.36</v>
      </c>
      <c r="AR28" s="31" t="e">
        <f t="shared" si="2"/>
        <v>#N/A</v>
      </c>
      <c r="AT28" s="25" t="str">
        <v>Electronic Debit Pmntus Svc</v>
      </c>
      <c r="AU28" s="32">
        <f>IF(ISBLANK(AT28),"",SUMIFS(Table1[Amount $],Table1[Merchant],Snapshot!AT28,Table1[Month],Snapshot!$W$4)*-1)</f>
        <v>1.95</v>
      </c>
      <c r="AV28" s="25">
        <f>IF(ISBLANK(AT28),"",COUNTIFS(Table1[Merchant],Snapshot!AT28,Table1[Month],Snapshot!$W$4))</f>
        <v>1</v>
      </c>
      <c r="AW28" s="25">
        <f>IFERROR(RANK(AV28,$AV$6:$AV$200)+COUNTIF($AV$6:AV28,AV28)-1,"")</f>
        <v>25</v>
      </c>
      <c r="AX28" s="25">
        <f>IFERROR(RANK(AU28,$AU$6:$AU$200)+COUNTIF($AU$6:AU28,AU28)-1,"")</f>
        <v>31</v>
      </c>
    </row>
    <row r="29" spans="1:50" ht="14.85" customHeight="1" x14ac:dyDescent="0.25">
      <c r="A29" s="22"/>
      <c r="C29" s="41"/>
      <c r="T29" s="43"/>
      <c r="V29" s="38" t="str">
        <f t="shared" si="6"/>
        <v>--</v>
      </c>
      <c r="W29" s="38"/>
      <c r="X29" s="39"/>
      <c r="Y29" s="14"/>
      <c r="Z29" s="14"/>
      <c r="AA29" s="14"/>
      <c r="AB29" s="39"/>
      <c r="AC29" s="27"/>
      <c r="AD29" s="28">
        <f>SUMIFS(Table1[Amount $],Table1[Category],Snapshot!AC29,Table1[Month],Snapshot!$W$4)*-1</f>
        <v>0</v>
      </c>
      <c r="AE29" s="25">
        <f>RANK(AD29,$AD$6:$AD$35,0)+COUNTIF(AD$6:$AD29,AD29)-1</f>
        <v>24</v>
      </c>
      <c r="AF29" s="25"/>
      <c r="AG29" s="25"/>
      <c r="AH29" s="25"/>
      <c r="AJ29" s="30">
        <f t="shared" si="3"/>
        <v>36549</v>
      </c>
      <c r="AK29" s="30">
        <f t="shared" si="4"/>
        <v>44006</v>
      </c>
      <c r="AL29" s="31">
        <f>SUMIFS(Table1[Amount $],Table1[Category Type],"Expense",Table1[Date],Snapshot!AK29)*-1</f>
        <v>117.93</v>
      </c>
      <c r="AM29" s="31">
        <f ca="1">IF(AK29&gt;TODAY(),NA(),SUM(AL$6:$AL29))</f>
        <v>3584.6899999999991</v>
      </c>
      <c r="AN29" s="31" t="e">
        <f t="shared" ca="1" si="1"/>
        <v>#N/A</v>
      </c>
      <c r="AO29" s="30">
        <f t="shared" si="5"/>
        <v>43975</v>
      </c>
      <c r="AP29" s="31">
        <f>SUMIFS(Table1[Amount $],Table1[Category Type],"Expense",Table1[Date],Snapshot!AO29)*-1</f>
        <v>43.85</v>
      </c>
      <c r="AQ29" s="31">
        <f>IF(AO29&lt;=EOMONTH($AO$6,0),SUM(AP$6:$AP29),NA())</f>
        <v>2978.21</v>
      </c>
      <c r="AR29" s="31" t="e">
        <f t="shared" si="2"/>
        <v>#N/A</v>
      </c>
      <c r="AT29" s="25" t="str">
        <v>Electronic Debit Billmatrix Billpayfee</v>
      </c>
      <c r="AU29" s="32">
        <f>IF(ISBLANK(AT29),"",SUMIFS(Table1[Amount $],Table1[Merchant],Snapshot!AT29,Table1[Month],Snapshot!$W$4)*-1)</f>
        <v>3.5</v>
      </c>
      <c r="AV29" s="25">
        <f>IF(ISBLANK(AT29),"",COUNTIFS(Table1[Merchant],Snapshot!AT29,Table1[Month],Snapshot!$W$4))</f>
        <v>1</v>
      </c>
      <c r="AW29" s="25">
        <f>IFERROR(RANK(AV29,$AV$6:$AV$200)+COUNTIF($AV$6:AV29,AV29)-1,"")</f>
        <v>26</v>
      </c>
      <c r="AX29" s="25">
        <f>IFERROR(RANK(AU29,$AU$6:$AU$200)+COUNTIF($AU$6:AU29,AU29)-1,"")</f>
        <v>30</v>
      </c>
    </row>
    <row r="30" spans="1:50" ht="14.85" customHeight="1" x14ac:dyDescent="0.25">
      <c r="A30" s="22"/>
      <c r="C30" s="41"/>
      <c r="D30" s="78"/>
      <c r="E30" s="78"/>
      <c r="F30" s="79"/>
      <c r="T30" s="43"/>
      <c r="V30" s="38" t="str">
        <f t="shared" si="6"/>
        <v>--</v>
      </c>
      <c r="W30" s="38"/>
      <c r="X30" s="39"/>
      <c r="Y30" s="14"/>
      <c r="Z30" s="14"/>
      <c r="AA30" s="14"/>
      <c r="AB30" s="39"/>
      <c r="AC30" s="27"/>
      <c r="AD30" s="28">
        <f>SUMIFS(Table1[Amount $],Table1[Category],Snapshot!AC30,Table1[Month],Snapshot!$W$4)*-1</f>
        <v>0</v>
      </c>
      <c r="AE30" s="25">
        <f>RANK(AD30,$AD$6:$AD$35,0)+COUNTIF(AD$6:$AD30,AD30)-1</f>
        <v>25</v>
      </c>
      <c r="AF30" s="25"/>
      <c r="AG30" s="25"/>
      <c r="AH30" s="25"/>
      <c r="AJ30" s="30">
        <f t="shared" si="3"/>
        <v>36550</v>
      </c>
      <c r="AK30" s="30">
        <f t="shared" si="4"/>
        <v>44007</v>
      </c>
      <c r="AL30" s="31">
        <f>SUMIFS(Table1[Amount $],Table1[Category Type],"Expense",Table1[Date],Snapshot!AK30)*-1</f>
        <v>108</v>
      </c>
      <c r="AM30" s="31">
        <f ca="1">IF(AK30&gt;TODAY(),NA(),SUM(AL$6:$AL30))</f>
        <v>3692.6899999999991</v>
      </c>
      <c r="AN30" s="31" t="e">
        <f t="shared" ca="1" si="1"/>
        <v>#N/A</v>
      </c>
      <c r="AO30" s="30">
        <f t="shared" si="5"/>
        <v>43976</v>
      </c>
      <c r="AP30" s="31">
        <f>SUMIFS(Table1[Amount $],Table1[Category Type],"Expense",Table1[Date],Snapshot!AO30)*-1</f>
        <v>110.21000000000001</v>
      </c>
      <c r="AQ30" s="31">
        <f>IF(AO30&lt;=EOMONTH($AO$6,0),SUM(AP$6:$AP30),NA())</f>
        <v>3088.42</v>
      </c>
      <c r="AR30" s="31" t="e">
        <f t="shared" si="2"/>
        <v>#N/A</v>
      </c>
      <c r="AT30" s="25" t="str">
        <v>Electronic Debit Fis Verizon</v>
      </c>
      <c r="AU30" s="32">
        <f>IF(ISBLANK(AT30),"",SUMIFS(Table1[Amount $],Table1[Merchant],Snapshot!AT30,Table1[Month],Snapshot!$W$4)*-1)</f>
        <v>515.23</v>
      </c>
      <c r="AV30" s="25">
        <f>IF(ISBLANK(AT30),"",COUNTIFS(Table1[Merchant],Snapshot!AT30,Table1[Month],Snapshot!$W$4))</f>
        <v>1</v>
      </c>
      <c r="AW30" s="25">
        <f>IFERROR(RANK(AV30,$AV$6:$AV$200)+COUNTIF($AV$6:AV30,AV30)-1,"")</f>
        <v>27</v>
      </c>
      <c r="AX30" s="25">
        <f>IFERROR(RANK(AU30,$AU$6:$AU$200)+COUNTIF($AU$6:AU30,AU30)-1,"")</f>
        <v>1</v>
      </c>
    </row>
    <row r="31" spans="1:50" ht="14.85" customHeight="1" x14ac:dyDescent="0.25">
      <c r="A31" s="22"/>
      <c r="C31" s="41"/>
      <c r="T31" s="43"/>
      <c r="V31" s="38" t="str">
        <f t="shared" si="6"/>
        <v>--</v>
      </c>
      <c r="W31" s="38"/>
      <c r="X31" s="39"/>
      <c r="Y31" s="14"/>
      <c r="Z31" s="14"/>
      <c r="AA31" s="14"/>
      <c r="AB31" s="39"/>
      <c r="AC31" s="27"/>
      <c r="AD31" s="28">
        <f>SUMIFS(Table1[Amount $],Table1[Category],Snapshot!AC31,Table1[Month],Snapshot!$W$4)*-1</f>
        <v>0</v>
      </c>
      <c r="AE31" s="25">
        <f>RANK(AD31,$AD$6:$AD$35,0)+COUNTIF(AD$6:$AD31,AD31)-1</f>
        <v>26</v>
      </c>
      <c r="AF31" s="25"/>
      <c r="AG31" s="25"/>
      <c r="AH31" s="25"/>
      <c r="AJ31" s="30">
        <f t="shared" si="3"/>
        <v>36551</v>
      </c>
      <c r="AK31" s="30">
        <f t="shared" si="4"/>
        <v>44008</v>
      </c>
      <c r="AL31" s="31">
        <f>SUMIFS(Table1[Amount $],Table1[Category Type],"Expense",Table1[Date],Snapshot!AK31)*-1</f>
        <v>94.49</v>
      </c>
      <c r="AM31" s="31">
        <f ca="1">IF(AK31&gt;TODAY(),NA(),SUM(AL$6:$AL31))</f>
        <v>3787.1799999999989</v>
      </c>
      <c r="AN31" s="31" t="e">
        <f t="shared" ca="1" si="1"/>
        <v>#N/A</v>
      </c>
      <c r="AO31" s="30">
        <f t="shared" si="5"/>
        <v>43977</v>
      </c>
      <c r="AP31" s="31">
        <f>SUMIFS(Table1[Amount $],Table1[Category Type],"Expense",Table1[Date],Snapshot!AO31)*-1</f>
        <v>391.33000000000004</v>
      </c>
      <c r="AQ31" s="31">
        <f>IF(AO31&lt;=EOMONTH($AO$6,0),SUM(AP$6:$AP31),NA())</f>
        <v>3479.75</v>
      </c>
      <c r="AR31" s="31" t="e">
        <f t="shared" si="2"/>
        <v>#N/A</v>
      </c>
      <c r="AT31" s="25" t="str">
        <v>Check Card Purchase Ammodern</v>
      </c>
      <c r="AU31" s="32">
        <f>IF(ISBLANK(AT31),"",SUMIFS(Table1[Amount $],Table1[Merchant],Snapshot!AT31,Table1[Month],Snapshot!$W$4)*-1)</f>
        <v>173.83</v>
      </c>
      <c r="AV31" s="25">
        <f>IF(ISBLANK(AT31),"",COUNTIFS(Table1[Merchant],Snapshot!AT31,Table1[Month],Snapshot!$W$4))</f>
        <v>1</v>
      </c>
      <c r="AW31" s="25">
        <f>IFERROR(RANK(AV31,$AV$6:$AV$200)+COUNTIF($AV$6:AV31,AV31)-1,"")</f>
        <v>28</v>
      </c>
      <c r="AX31" s="25">
        <f>IFERROR(RANK(AU31,$AU$6:$AU$200)+COUNTIF($AU$6:AU31,AU31)-1,"")</f>
        <v>11</v>
      </c>
    </row>
    <row r="32" spans="1:50" ht="14.85" customHeight="1" x14ac:dyDescent="0.25">
      <c r="A32" s="22"/>
      <c r="C32" s="41"/>
      <c r="T32" s="43"/>
      <c r="V32" s="38" t="str">
        <f t="shared" si="6"/>
        <v>--</v>
      </c>
      <c r="W32" s="38"/>
      <c r="X32" s="39"/>
      <c r="Y32" s="14"/>
      <c r="Z32" s="14"/>
      <c r="AA32" s="14"/>
      <c r="AB32" s="39"/>
      <c r="AC32" s="27"/>
      <c r="AD32" s="28">
        <f>SUMIFS(Table1[Amount $],Table1[Category],Snapshot!AC32,Table1[Month],Snapshot!$W$4)*-1</f>
        <v>0</v>
      </c>
      <c r="AE32" s="25">
        <f>RANK(AD32,$AD$6:$AD$35,0)+COUNTIF(AD$6:$AD32,AD32)-1</f>
        <v>27</v>
      </c>
      <c r="AF32" s="25"/>
      <c r="AG32" s="25"/>
      <c r="AH32" s="25"/>
      <c r="AJ32" s="30">
        <f t="shared" si="3"/>
        <v>36552</v>
      </c>
      <c r="AK32" s="30">
        <f t="shared" si="4"/>
        <v>44009</v>
      </c>
      <c r="AL32" s="31">
        <f>SUMIFS(Table1[Amount $],Table1[Category Type],"Expense",Table1[Date],Snapshot!AK32)*-1</f>
        <v>0</v>
      </c>
      <c r="AM32" s="31">
        <f ca="1">IF(AK32&gt;TODAY(),NA(),SUM(AL$6:$AL32))</f>
        <v>3787.1799999999989</v>
      </c>
      <c r="AN32" s="31" t="e">
        <f t="shared" ca="1" si="1"/>
        <v>#N/A</v>
      </c>
      <c r="AO32" s="30">
        <f t="shared" si="5"/>
        <v>43978</v>
      </c>
      <c r="AP32" s="31">
        <f>SUMIFS(Table1[Amount $],Table1[Category Type],"Expense",Table1[Date],Snapshot!AO32)*-1</f>
        <v>232.59</v>
      </c>
      <c r="AQ32" s="31">
        <f>IF(AO32&lt;=EOMONTH($AO$6,0),SUM(AP$6:$AP32),NA())</f>
        <v>3712.34</v>
      </c>
      <c r="AR32" s="31" t="e">
        <f t="shared" si="2"/>
        <v>#N/A</v>
      </c>
      <c r="AT32" s="25" t="str">
        <v>Ihop</v>
      </c>
      <c r="AU32" s="32">
        <f>IF(ISBLANK(AT32),"",SUMIFS(Table1[Amount $],Table1[Merchant],Snapshot!AT32,Table1[Month],Snapshot!$W$4)*-1)</f>
        <v>89.82</v>
      </c>
      <c r="AV32" s="25">
        <f>IF(ISBLANK(AT32),"",COUNTIFS(Table1[Merchant],Snapshot!AT32,Table1[Month],Snapshot!$W$4))</f>
        <v>2</v>
      </c>
      <c r="AW32" s="25">
        <f>IFERROR(RANK(AV32,$AV$6:$AV$200)+COUNTIF($AV$6:AV32,AV32)-1,"")</f>
        <v>6</v>
      </c>
      <c r="AX32" s="25">
        <f>IFERROR(RANK(AU32,$AU$6:$AU$200)+COUNTIF($AU$6:AU32,AU32)-1,"")</f>
        <v>14</v>
      </c>
    </row>
    <row r="33" spans="2:50" ht="14.85" customHeight="1" x14ac:dyDescent="0.25">
      <c r="C33" s="41"/>
      <c r="T33" s="43"/>
      <c r="V33" s="38" t="str">
        <f t="shared" si="6"/>
        <v>--</v>
      </c>
      <c r="W33" s="38"/>
      <c r="X33" s="39"/>
      <c r="Y33" s="14"/>
      <c r="Z33" s="14"/>
      <c r="AA33" s="14"/>
      <c r="AB33" s="39"/>
      <c r="AC33" s="27"/>
      <c r="AD33" s="28">
        <f>SUMIFS(Table1[Amount $],Table1[Category],Snapshot!AC33,Table1[Month],Snapshot!$W$4)*-1</f>
        <v>0</v>
      </c>
      <c r="AE33" s="25">
        <f>RANK(AD33,$AD$6:$AD$35,0)+COUNTIF(AD$6:$AD33,AD33)-1</f>
        <v>28</v>
      </c>
      <c r="AF33" s="25"/>
      <c r="AG33" s="25"/>
      <c r="AH33" s="25"/>
      <c r="AJ33" s="30">
        <f t="shared" si="3"/>
        <v>36553</v>
      </c>
      <c r="AK33" s="30">
        <f t="shared" si="4"/>
        <v>44010</v>
      </c>
      <c r="AL33" s="31">
        <f>SUMIFS(Table1[Amount $],Table1[Category Type],"Expense",Table1[Date],Snapshot!AK33)*-1</f>
        <v>0</v>
      </c>
      <c r="AM33" s="31">
        <f ca="1">IF(AK33&gt;TODAY(),NA(),SUM(AL$6:$AL33))</f>
        <v>3787.1799999999989</v>
      </c>
      <c r="AN33" s="31" t="e">
        <f t="shared" ca="1" si="1"/>
        <v>#N/A</v>
      </c>
      <c r="AO33" s="30">
        <f t="shared" si="5"/>
        <v>43979</v>
      </c>
      <c r="AP33" s="31">
        <f>SUMIFS(Table1[Amount $],Table1[Category Type],"Expense",Table1[Date],Snapshot!AO33)*-1</f>
        <v>570.20000000000005</v>
      </c>
      <c r="AQ33" s="31">
        <f>IF(AO33&lt;=EOMONTH($AO$6,0),SUM(AP$6:$AP33),NA())</f>
        <v>4282.54</v>
      </c>
      <c r="AR33" s="31" t="e">
        <f t="shared" si="2"/>
        <v>#N/A</v>
      </c>
      <c r="AT33" s="25" t="str">
        <v>Netflix</v>
      </c>
      <c r="AU33" s="32">
        <f>IF(ISBLANK(AT33),"",SUMIFS(Table1[Amount $],Table1[Merchant],Snapshot!AT33,Table1[Month],Snapshot!$W$4)*-1)</f>
        <v>15.99</v>
      </c>
      <c r="AV33" s="25">
        <f>IF(ISBLANK(AT33),"",COUNTIFS(Table1[Merchant],Snapshot!AT33,Table1[Month],Snapshot!$W$4))</f>
        <v>1</v>
      </c>
      <c r="AW33" s="25">
        <f>IFERROR(RANK(AV33,$AV$6:$AV$200)+COUNTIF($AV$6:AV33,AV33)-1,"")</f>
        <v>29</v>
      </c>
      <c r="AX33" s="25">
        <f>IFERROR(RANK(AU33,$AU$6:$AU$200)+COUNTIF($AU$6:AU33,AU33)-1,"")</f>
        <v>24</v>
      </c>
    </row>
    <row r="34" spans="2:50" ht="14.85" customHeight="1" x14ac:dyDescent="0.25">
      <c r="C34" s="41"/>
      <c r="T34" s="43"/>
      <c r="V34" s="38" t="str">
        <f t="shared" si="6"/>
        <v>--</v>
      </c>
      <c r="W34" s="38"/>
      <c r="X34" s="39"/>
      <c r="Y34" s="14"/>
      <c r="Z34" s="14"/>
      <c r="AA34" s="14"/>
      <c r="AB34" s="39"/>
      <c r="AC34" s="27"/>
      <c r="AD34" s="28">
        <f>SUMIFS(Table1[Amount $],Table1[Category],Snapshot!AC34,Table1[Month],Snapshot!$W$4)*-1</f>
        <v>0</v>
      </c>
      <c r="AE34" s="25">
        <f>RANK(AD34,$AD$6:$AD$35,0)+COUNTIF(AD$6:$AD34,AD34)-1</f>
        <v>29</v>
      </c>
      <c r="AF34" s="25"/>
      <c r="AG34" s="25"/>
      <c r="AH34" s="25"/>
      <c r="AJ34" s="30">
        <f t="shared" si="3"/>
        <v>36554</v>
      </c>
      <c r="AK34" s="30">
        <f t="shared" si="4"/>
        <v>44011</v>
      </c>
      <c r="AL34" s="31">
        <f>SUMIFS(Table1[Amount $],Table1[Category Type],"Expense",Table1[Date],Snapshot!AK34)*-1</f>
        <v>354</v>
      </c>
      <c r="AM34" s="31">
        <f ca="1">IF(AK34&gt;TODAY(),NA(),SUM(AL$6:$AL34))</f>
        <v>4141.1799999999985</v>
      </c>
      <c r="AN34" s="31" t="e">
        <f t="shared" ca="1" si="1"/>
        <v>#N/A</v>
      </c>
      <c r="AO34" s="30">
        <f t="shared" si="5"/>
        <v>43980</v>
      </c>
      <c r="AP34" s="31">
        <f>SUMIFS(Table1[Amount $],Table1[Category Type],"Expense",Table1[Date],Snapshot!AO34)*-1</f>
        <v>37.29</v>
      </c>
      <c r="AQ34" s="31">
        <f>IF(AO34&lt;=EOMONTH($AO$6,0),SUM(AP$6:$AP34),NA())</f>
        <v>4319.83</v>
      </c>
      <c r="AR34" s="31" t="e">
        <f t="shared" si="2"/>
        <v>#N/A</v>
      </c>
      <c r="AT34" s="25" t="str">
        <v>7 Eleven</v>
      </c>
      <c r="AU34" s="32">
        <f>IF(ISBLANK(AT34),"",SUMIFS(Table1[Amount $],Table1[Merchant],Snapshot!AT34,Table1[Month],Snapshot!$W$4)*-1)</f>
        <v>23.28</v>
      </c>
      <c r="AV34" s="25">
        <f>IF(ISBLANK(AT34),"",COUNTIFS(Table1[Merchant],Snapshot!AT34,Table1[Month],Snapshot!$W$4))</f>
        <v>1</v>
      </c>
      <c r="AW34" s="25">
        <f>IFERROR(RANK(AV34,$AV$6:$AV$200)+COUNTIF($AV$6:AV34,AV34)-1,"")</f>
        <v>30</v>
      </c>
      <c r="AX34" s="25">
        <f>IFERROR(RANK(AU34,$AU$6:$AU$200)+COUNTIF($AU$6:AU34,AU34)-1,"")</f>
        <v>22</v>
      </c>
    </row>
    <row r="35" spans="2:50" ht="14.85" customHeight="1" x14ac:dyDescent="0.25">
      <c r="C35" s="41"/>
      <c r="T35" s="43"/>
      <c r="V35" s="38" t="str">
        <f t="shared" si="6"/>
        <v>--</v>
      </c>
      <c r="W35" s="38"/>
      <c r="X35" s="39"/>
      <c r="Y35" s="14"/>
      <c r="Z35" s="14"/>
      <c r="AA35" s="14"/>
      <c r="AB35" s="39"/>
      <c r="AC35" s="27"/>
      <c r="AD35" s="28">
        <f>SUMIFS(Table1[Amount $],Table1[Category],Snapshot!AC35,Table1[Month],Snapshot!$W$4)*-1</f>
        <v>0</v>
      </c>
      <c r="AE35" s="25">
        <f>RANK(AD35,$AD$6:$AD$35,0)+COUNTIF(AD$6:$AD35,AD35)-1</f>
        <v>30</v>
      </c>
      <c r="AF35" s="25"/>
      <c r="AG35" s="25"/>
      <c r="AH35" s="25"/>
      <c r="AJ35" s="30">
        <f t="shared" si="3"/>
        <v>36555</v>
      </c>
      <c r="AK35" s="30">
        <f t="shared" si="4"/>
        <v>44012</v>
      </c>
      <c r="AL35" s="31">
        <f>SUMIFS(Table1[Amount $],Table1[Category Type],"Expense",Table1[Date],Snapshot!AK35)*-1</f>
        <v>12.99</v>
      </c>
      <c r="AM35" s="31">
        <f ca="1">IF(AK35&gt;TODAY(),NA(),SUM(AL$6:$AL35))</f>
        <v>4154.1699999999983</v>
      </c>
      <c r="AN35" s="31">
        <f t="shared" ca="1" si="1"/>
        <v>4154.1699999999983</v>
      </c>
      <c r="AO35" s="30">
        <f t="shared" si="5"/>
        <v>43981</v>
      </c>
      <c r="AP35" s="31">
        <f>SUMIFS(Table1[Amount $],Table1[Category Type],"Expense",Table1[Date],Snapshot!AO35)*-1</f>
        <v>98.88</v>
      </c>
      <c r="AQ35" s="31">
        <f>IF(AO35&lt;=EOMONTH($AO$6,0),SUM(AP$6:$AP35),NA())</f>
        <v>4418.71</v>
      </c>
      <c r="AR35" s="31" t="e">
        <f t="shared" si="2"/>
        <v>#N/A</v>
      </c>
      <c r="AT35" s="25" t="str">
        <v>Check Card Purchase Kfc</v>
      </c>
      <c r="AU35" s="32">
        <f>IF(ISBLANK(AT35),"",SUMIFS(Table1[Amount $],Table1[Merchant],Snapshot!AT35,Table1[Month],Snapshot!$W$4)*-1)</f>
        <v>17.78</v>
      </c>
      <c r="AV35" s="25">
        <f>IF(ISBLANK(AT35),"",COUNTIFS(Table1[Merchant],Snapshot!AT35,Table1[Month],Snapshot!$W$4))</f>
        <v>1</v>
      </c>
      <c r="AW35" s="25">
        <f>IFERROR(RANK(AV35,$AV$6:$AV$200)+COUNTIF($AV$6:AV35,AV35)-1,"")</f>
        <v>31</v>
      </c>
      <c r="AX35" s="25">
        <f>IFERROR(RANK(AU35,$AU$6:$AU$200)+COUNTIF($AU$6:AU35,AU35)-1,"")</f>
        <v>23</v>
      </c>
    </row>
    <row r="36" spans="2:50" ht="14.85" customHeight="1" x14ac:dyDescent="0.25">
      <c r="C36" s="41"/>
      <c r="T36" s="43"/>
      <c r="V36" s="38" t="str">
        <f t="shared" si="6"/>
        <v>--</v>
      </c>
      <c r="W36" s="38"/>
      <c r="X36" s="39"/>
      <c r="Y36" s="14"/>
      <c r="Z36" s="14"/>
      <c r="AA36" s="14"/>
      <c r="AB36" s="39"/>
      <c r="AC36" s="14"/>
      <c r="AD36" s="14"/>
      <c r="AE36" s="14"/>
      <c r="AF36" s="14"/>
      <c r="AG36" s="14"/>
      <c r="AH36" s="14"/>
      <c r="AJ36" s="30">
        <f t="shared" si="3"/>
        <v>36556</v>
      </c>
      <c r="AK36" s="30" t="e">
        <f t="shared" si="4"/>
        <v>#N/A</v>
      </c>
      <c r="AL36" s="31">
        <f>SUMIFS(Table1[Amount $],Table1[Category Type],"Expense",Table1[Date],Snapshot!AK36)*-1</f>
        <v>0</v>
      </c>
      <c r="AM36" s="31" t="e">
        <f ca="1">IF(AK36&gt;TODAY(),NA(),SUM(AL$6:$AL36))</f>
        <v>#N/A</v>
      </c>
      <c r="AN36" s="31" t="e">
        <f t="shared" ca="1" si="1"/>
        <v>#N/A</v>
      </c>
      <c r="AO36" s="30">
        <f t="shared" si="5"/>
        <v>43982</v>
      </c>
      <c r="AP36" s="31">
        <f>SUMIFS(Table1[Amount $],Table1[Category Type],"Expense",Table1[Date],Snapshot!AO36)*-1</f>
        <v>56.930000000000007</v>
      </c>
      <c r="AQ36" s="31">
        <f>IF(AO36&lt;=EOMONTH($AO$6,0),SUM(AP$6:$AP36),NA())</f>
        <v>4475.6400000000003</v>
      </c>
      <c r="AR36" s="31">
        <f t="shared" si="2"/>
        <v>4475.6400000000003</v>
      </c>
      <c r="AT36" s="25" t="str">
        <v>Recurring Check Card Purchase</v>
      </c>
      <c r="AU36" s="32">
        <f>IF(ISBLANK(AT36),"",SUMIFS(Table1[Amount $],Table1[Merchant],Snapshot!AT36,Table1[Month],Snapshot!$W$4)*-1)</f>
        <v>32.379999999999995</v>
      </c>
      <c r="AV36" s="25">
        <f>IF(ISBLANK(AT36),"",COUNTIFS(Table1[Merchant],Snapshot!AT36,Table1[Month],Snapshot!$W$4))</f>
        <v>2</v>
      </c>
      <c r="AW36" s="25">
        <f>IFERROR(RANK(AV36,$AV$6:$AV$200)+COUNTIF($AV$6:AV36,AV36)-1,"")</f>
        <v>7</v>
      </c>
      <c r="AX36" s="25">
        <f>IFERROR(RANK(AU36,$AU$6:$AU$200)+COUNTIF($AU$6:AU36,AU36)-1,"")</f>
        <v>21</v>
      </c>
    </row>
    <row r="37" spans="2:50" ht="14.85" customHeight="1" x14ac:dyDescent="0.25">
      <c r="C37" s="41"/>
      <c r="T37" s="43"/>
      <c r="V37" s="38" t="str">
        <f t="shared" si="6"/>
        <v>--</v>
      </c>
      <c r="W37" s="38"/>
      <c r="X37" s="39"/>
      <c r="AB37" s="39"/>
      <c r="AJ37" s="25"/>
      <c r="AK37" s="25"/>
      <c r="AL37" s="25"/>
      <c r="AM37" s="25"/>
      <c r="AN37" s="25"/>
      <c r="AO37" s="25"/>
      <c r="AP37" s="25"/>
      <c r="AQ37" s="25"/>
      <c r="AR37" s="25"/>
      <c r="AT37" s="25"/>
      <c r="AU37" s="32" t="str">
        <f>IF(ISBLANK(AT37),"",SUMIFS(Table1[Amount $],Table1[Merchant],Snapshot!AT37,Table1[Month],Snapshot!$W$4)*-1)</f>
        <v/>
      </c>
      <c r="AV37" s="25" t="str">
        <f>IF(ISBLANK(AT37),"",COUNTIFS(Table1[Merchant],Snapshot!AT37,Table1[Month],Snapshot!$W$4))</f>
        <v/>
      </c>
      <c r="AW37" s="25" t="str">
        <f>IFERROR(RANK(AV37,$AV$6:$AV$200)+COUNTIF($AV$6:AV37,AV37)-1,"")</f>
        <v/>
      </c>
      <c r="AX37" s="25" t="str">
        <f>IFERROR(RANK(AU37,$AU$6:$AU$200)+COUNTIF($AU$6:AU37,AU37)-1,"")</f>
        <v/>
      </c>
    </row>
    <row r="38" spans="2:50" ht="14.85" customHeight="1" x14ac:dyDescent="0.25">
      <c r="C38" s="41"/>
      <c r="T38" s="43"/>
      <c r="V38" s="38" t="str">
        <f t="shared" si="6"/>
        <v>--</v>
      </c>
      <c r="W38" s="38"/>
      <c r="X38" s="39"/>
      <c r="AB38" s="39"/>
      <c r="AJ38" s="25"/>
      <c r="AK38" s="30">
        <f ca="1">TODAY()</f>
        <v>44303</v>
      </c>
      <c r="AL38" s="25"/>
      <c r="AM38" s="28" t="e" cm="1">
        <f t="array" aca="1" ref="AM38" ca="1">INDEX(AM6:AM36,MATCH(AK38,AK6:AK36,0),0)</f>
        <v>#N/A</v>
      </c>
      <c r="AN38" s="28"/>
      <c r="AO38" s="30">
        <f ca="1">DATE(YEAR(AK38),MONTH(AK38)-1,DAY(AK38))</f>
        <v>44272</v>
      </c>
      <c r="AP38" s="25"/>
      <c r="AQ38" s="28" t="e" cm="1">
        <f t="array" aca="1" ref="AQ38" ca="1">INDEX(AQ6:AQ36,MATCH(AO38,AO6:AO36,0),0)</f>
        <v>#N/A</v>
      </c>
      <c r="AR38" s="28"/>
      <c r="AT38" s="25"/>
      <c r="AU38" s="32" t="str">
        <f>IF(ISBLANK(AT38),"",SUMIFS(Table1[Amount $],Table1[Merchant],Snapshot!AT38,Table1[Month],Snapshot!$W$4)*-1)</f>
        <v/>
      </c>
      <c r="AV38" s="25" t="str">
        <f>IF(ISBLANK(AT38),"",COUNTIFS(Table1[Merchant],Snapshot!AT38,Table1[Month],Snapshot!$W$4))</f>
        <v/>
      </c>
      <c r="AW38" s="25" t="str">
        <f>IFERROR(RANK(AV38,$AV$6:$AV$200)+COUNTIF($AV$6:AV38,AV38)-1,"")</f>
        <v/>
      </c>
      <c r="AX38" s="25" t="str">
        <f>IFERROR(RANK(AU38,$AU$6:$AU$200)+COUNTIF($AU$6:AU38,AU38)-1,"")</f>
        <v/>
      </c>
    </row>
    <row r="39" spans="2:50" ht="14.85" customHeight="1" x14ac:dyDescent="0.25">
      <c r="C39" s="41"/>
      <c r="T39" s="43"/>
      <c r="V39" s="38" t="str">
        <f t="shared" si="6"/>
        <v>--</v>
      </c>
      <c r="W39" s="38"/>
      <c r="X39" s="39"/>
      <c r="AB39" s="39"/>
      <c r="AJ39" s="25"/>
      <c r="AK39" s="30" t="e">
        <f ca="1">IF(AM38&gt;AQ38,"Spent "&amp;TEXT(AM38-AQ38,"$#,##0")&amp;" more","Spent "&amp;TEXT((AM38-AQ38)*-1,"$#,##0")&amp;" less")&amp;" than this time last month"</f>
        <v>#N/A</v>
      </c>
      <c r="AL39" s="25"/>
      <c r="AM39" s="25"/>
      <c r="AN39" s="25"/>
      <c r="AO39" s="25"/>
      <c r="AP39" s="25"/>
      <c r="AQ39" s="25"/>
      <c r="AR39" s="25"/>
      <c r="AT39" s="25"/>
      <c r="AU39" s="32" t="str">
        <f>IF(ISBLANK(AT39),"",SUMIFS(Table1[Amount $],Table1[Merchant],Snapshot!AT39,Table1[Month],Snapshot!$W$4)*-1)</f>
        <v/>
      </c>
      <c r="AV39" s="25" t="str">
        <f>IF(ISBLANK(AT39),"",COUNTIFS(Table1[Merchant],Snapshot!AT39,Table1[Month],Snapshot!$W$4))</f>
        <v/>
      </c>
      <c r="AW39" s="25" t="str">
        <f>IFERROR(RANK(AV39,$AV$6:$AV$200)+COUNTIF($AV$6:AV39,AV39)-1,"")</f>
        <v/>
      </c>
      <c r="AX39" s="25" t="str">
        <f>IFERROR(RANK(AU39,$AU$6:$AU$200)+COUNTIF($AU$6:AU39,AU39)-1,"")</f>
        <v/>
      </c>
    </row>
    <row r="40" spans="2:50" ht="14.85" customHeight="1" x14ac:dyDescent="0.25">
      <c r="C40" s="41"/>
      <c r="T40" s="43"/>
      <c r="V40" s="38" t="str">
        <f t="shared" si="6"/>
        <v>--</v>
      </c>
      <c r="W40" s="38"/>
      <c r="X40" s="39"/>
      <c r="AB40" s="39"/>
      <c r="AJ40" s="25"/>
      <c r="AK40" s="30"/>
      <c r="AL40" s="25"/>
      <c r="AM40" s="25"/>
      <c r="AN40" s="25"/>
      <c r="AO40" s="25"/>
      <c r="AP40" s="25"/>
      <c r="AQ40" s="25"/>
      <c r="AR40" s="25"/>
      <c r="AT40" s="25"/>
      <c r="AU40" s="32" t="str">
        <f>IF(ISBLANK(AT40),"",SUMIFS(Table1[Amount $],Table1[Merchant],Snapshot!AT40,Table1[Month],Snapshot!$W$4)*-1)</f>
        <v/>
      </c>
      <c r="AV40" s="25" t="str">
        <f>IF(ISBLANK(AT40),"",COUNTIFS(Table1[Merchant],Snapshot!AT40,Table1[Month],Snapshot!$W$4))</f>
        <v/>
      </c>
      <c r="AW40" s="25" t="str">
        <f>IFERROR(RANK(AV40,$AV$6:$AV$200)+COUNTIF($AV$6:AV40,AV40)-1,"")</f>
        <v/>
      </c>
      <c r="AX40" s="25" t="str">
        <f>IFERROR(RANK(AU40,$AU$6:$AU$200)+COUNTIF($AU$6:AU40,AU40)-1,"")</f>
        <v/>
      </c>
    </row>
    <row r="41" spans="2:50" ht="14.85" customHeight="1" x14ac:dyDescent="0.25">
      <c r="C41" s="41"/>
      <c r="T41" s="43"/>
      <c r="V41" s="38" t="str">
        <f t="shared" si="6"/>
        <v>--</v>
      </c>
      <c r="W41" s="38"/>
      <c r="AJ41" s="25"/>
      <c r="AK41" s="30">
        <f>IFERROR(MAX(AK6:AK36),IFERROR(AK35,IF(AK34,AK33)))</f>
        <v>44012</v>
      </c>
      <c r="AL41" s="25"/>
      <c r="AM41" s="28" cm="1">
        <f t="array" aca="1" ref="AM41" ca="1">INDEX(AM6:AM36,MATCH(AK41,AK6:AK36,0),0)</f>
        <v>4154.1699999999983</v>
      </c>
      <c r="AN41" s="28"/>
      <c r="AO41" s="30">
        <f>IFERROR(MAX(AO6:AO36),IFERROR(AO35,IF(AO34,AO33)))</f>
        <v>43982</v>
      </c>
      <c r="AP41" s="25"/>
      <c r="AQ41" s="28" cm="1">
        <f t="array" ref="AQ41">INDEX(AQ6:AQ36,MATCH(AO41,AO6:AO36,0),0)</f>
        <v>4475.6400000000003</v>
      </c>
      <c r="AR41" s="28"/>
      <c r="AT41" s="25"/>
      <c r="AU41" s="32" t="str">
        <f>IF(ISBLANK(AT41),"",SUMIFS(Table1[Amount $],Table1[Merchant],Snapshot!AT41,Table1[Month],Snapshot!$W$4)*-1)</f>
        <v/>
      </c>
      <c r="AV41" s="25" t="str">
        <f>IF(ISBLANK(AT41),"",COUNTIFS(Table1[Merchant],Snapshot!AT41,Table1[Month],Snapshot!$W$4))</f>
        <v/>
      </c>
      <c r="AW41" s="25" t="str">
        <f>IFERROR(RANK(AV41,$AV$6:$AV$200)+COUNTIF($AV$6:AV41,AV41)-1,"")</f>
        <v/>
      </c>
      <c r="AX41" s="25" t="str">
        <f>IFERROR(RANK(AU41,$AU$6:$AU$200)+COUNTIF($AU$6:AU41,AU41)-1,"")</f>
        <v/>
      </c>
    </row>
    <row r="42" spans="2:50" ht="14.85" customHeight="1" thickBot="1" x14ac:dyDescent="0.3">
      <c r="C42" s="71"/>
      <c r="D42" s="80"/>
      <c r="E42" s="81"/>
      <c r="F42" s="72"/>
      <c r="G42" s="72"/>
      <c r="H42" s="72"/>
      <c r="I42" s="72"/>
      <c r="J42" s="72"/>
      <c r="K42" s="72"/>
      <c r="L42" s="72"/>
      <c r="M42" s="72"/>
      <c r="N42" s="81"/>
      <c r="O42" s="72"/>
      <c r="P42" s="72"/>
      <c r="Q42" s="72"/>
      <c r="R42" s="72"/>
      <c r="S42" s="72"/>
      <c r="T42" s="73"/>
      <c r="V42" s="38" t="str">
        <f t="shared" si="6"/>
        <v>--</v>
      </c>
      <c r="W42" s="38"/>
      <c r="AJ42" s="25"/>
      <c r="AK42" s="30" t="str">
        <f ca="1">"Compared to "&amp;TEXT(AO6,"mmmm")&amp;", you "&amp;IF(AM41&gt;AQ41,"spent "&amp;TEXT(AM41-AQ41,"$#,##0")&amp;" more","spent "&amp;TEXT((AM41-AQ41)*-1,"$#,##0")&amp;" less")</f>
        <v>Compared to May, you spent $321 less</v>
      </c>
      <c r="AL42" s="25"/>
      <c r="AM42" s="25"/>
      <c r="AN42" s="25"/>
      <c r="AO42" s="25"/>
      <c r="AP42" s="25"/>
      <c r="AQ42" s="25"/>
      <c r="AR42" s="25"/>
      <c r="AT42" s="25"/>
      <c r="AU42" s="32" t="str">
        <f>IF(ISBLANK(AT42),"",SUMIFS(Table1[Amount $],Table1[Merchant],Snapshot!AT42,Table1[Month],Snapshot!$W$4)*-1)</f>
        <v/>
      </c>
      <c r="AV42" s="25" t="str">
        <f>IF(ISBLANK(AT42),"",COUNTIFS(Table1[Merchant],Snapshot!AT42,Table1[Month],Snapshot!$W$4))</f>
        <v/>
      </c>
      <c r="AW42" s="25" t="str">
        <f>IFERROR(RANK(AV42,$AV$6:$AV$200)+COUNTIF($AV$6:AV42,AV42)-1,"")</f>
        <v/>
      </c>
      <c r="AX42" s="25" t="str">
        <f>IFERROR(RANK(AU42,$AU$6:$AU$200)+COUNTIF($AU$6:AU42,AU42)-1,"")</f>
        <v/>
      </c>
    </row>
    <row r="43" spans="2:50" ht="14.85" customHeight="1" thickBot="1" x14ac:dyDescent="0.3">
      <c r="V43" s="38" t="str">
        <f t="shared" si="6"/>
        <v>--</v>
      </c>
      <c r="W43" s="38"/>
      <c r="AK43" s="12"/>
      <c r="AM43" s="14"/>
      <c r="AN43" s="14"/>
      <c r="AO43" s="14"/>
      <c r="AP43" s="14"/>
      <c r="AT43" s="25"/>
      <c r="AU43" s="32" t="str">
        <f>IF(ISBLANK(AT43),"",SUMIFS(Table1[Amount $],Table1[Merchant],Snapshot!AT43,Table1[Month],Snapshot!$W$4)*-1)</f>
        <v/>
      </c>
      <c r="AV43" s="25" t="str">
        <f>IF(ISBLANK(AT43),"",COUNTIFS(Table1[Merchant],Snapshot!AT43,Table1[Month],Snapshot!$W$4))</f>
        <v/>
      </c>
      <c r="AW43" s="25" t="str">
        <f>IFERROR(RANK(AV43,$AV$6:$AV$200)+COUNTIF($AV$6:AV43,AV43)-1,"")</f>
        <v/>
      </c>
      <c r="AX43" s="25" t="str">
        <f>IFERROR(RANK(AU43,$AU$6:$AU$200)+COUNTIF($AU$6:AU43,AU43)-1,"")</f>
        <v/>
      </c>
    </row>
    <row r="44" spans="2:50" ht="20.100000000000001" customHeight="1" x14ac:dyDescent="0.3">
      <c r="C44" s="33"/>
      <c r="D44" s="82" t="s">
        <v>24</v>
      </c>
      <c r="E44" s="36"/>
      <c r="F44" s="36"/>
      <c r="G44" s="36"/>
      <c r="H44" s="36"/>
      <c r="I44" s="36"/>
      <c r="J44" s="83"/>
      <c r="L44" s="33"/>
      <c r="M44" s="82" t="s">
        <v>25</v>
      </c>
      <c r="N44" s="36"/>
      <c r="O44" s="36"/>
      <c r="P44" s="36"/>
      <c r="Q44" s="36"/>
      <c r="R44" s="36"/>
      <c r="S44" s="36"/>
      <c r="T44" s="83"/>
      <c r="V44" s="38" t="str">
        <f t="shared" si="6"/>
        <v>--</v>
      </c>
      <c r="W44" s="38"/>
      <c r="AK44" s="12"/>
      <c r="AM44" s="14"/>
      <c r="AN44" s="14"/>
      <c r="AO44" s="14"/>
      <c r="AP44" s="14"/>
      <c r="AT44" s="25"/>
      <c r="AU44" s="32" t="str">
        <f>IF(ISBLANK(AT44),"",SUMIFS(Table1[Amount $],Table1[Merchant],Snapshot!AT44,Table1[Month],Snapshot!$W$4)*-1)</f>
        <v/>
      </c>
      <c r="AV44" s="25" t="str">
        <f>IF(ISBLANK(AT44),"",COUNTIFS(Table1[Merchant],Snapshot!AT44,Table1[Month],Snapshot!$W$4))</f>
        <v/>
      </c>
      <c r="AW44" s="25" t="str">
        <f>IFERROR(RANK(AV44,$AV$6:$AV$200)+COUNTIF($AV$6:AV44,AV44)-1,"")</f>
        <v/>
      </c>
      <c r="AX44" s="25" t="str">
        <f>IFERROR(RANK(AU44,$AU$6:$AU$200)+COUNTIF($AU$6:AU44,AU44)-1,"")</f>
        <v/>
      </c>
    </row>
    <row r="45" spans="2:50" ht="14.85" customHeight="1" x14ac:dyDescent="0.25">
      <c r="C45" s="41"/>
      <c r="J45" s="43"/>
      <c r="L45" s="41"/>
      <c r="T45" s="84"/>
      <c r="V45" s="38" t="str">
        <f t="shared" si="6"/>
        <v>--</v>
      </c>
      <c r="W45" s="38"/>
      <c r="AK45" s="12"/>
      <c r="AM45" s="14"/>
      <c r="AN45" s="14"/>
      <c r="AO45" s="14"/>
      <c r="AP45" s="14"/>
      <c r="AT45" s="25"/>
      <c r="AU45" s="32" t="str">
        <f>IF(ISBLANK(AT45),"",SUMIFS(Table1[Amount $],Table1[Merchant],Snapshot!AT45,Table1[Month],Snapshot!$W$4)*-1)</f>
        <v/>
      </c>
      <c r="AV45" s="25" t="str">
        <f>IF(ISBLANK(AT45),"",COUNTIFS(Table1[Merchant],Snapshot!AT45,Table1[Month],Snapshot!$W$4))</f>
        <v/>
      </c>
      <c r="AW45" s="25" t="str">
        <f>IFERROR(RANK(AV45,$AV$6:$AV$200)+COUNTIF($AV$6:AV45,AV45)-1,"")</f>
        <v/>
      </c>
      <c r="AX45" s="25" t="str">
        <f>IFERROR(RANK(AU45,$AU$6:$AU$200)+COUNTIF($AU$6:AU45,AU45)-1,"")</f>
        <v/>
      </c>
    </row>
    <row r="46" spans="2:50" ht="14.85" customHeight="1" x14ac:dyDescent="0.25">
      <c r="C46" s="41"/>
      <c r="D46" s="85" t="s">
        <v>26</v>
      </c>
      <c r="E46" s="85"/>
      <c r="F46" s="85"/>
      <c r="G46" s="86" t="s">
        <v>5</v>
      </c>
      <c r="H46" s="86"/>
      <c r="I46" s="86" t="s">
        <v>71</v>
      </c>
      <c r="J46" s="87"/>
      <c r="L46" s="41"/>
      <c r="M46" s="85" t="s">
        <v>26</v>
      </c>
      <c r="N46" s="85"/>
      <c r="O46" s="85"/>
      <c r="P46" s="85"/>
      <c r="Q46" s="88" t="s">
        <v>4</v>
      </c>
      <c r="R46" s="86"/>
      <c r="S46" s="86" t="s">
        <v>71</v>
      </c>
      <c r="T46" s="89"/>
      <c r="V46" s="38" t="str">
        <f t="shared" si="6"/>
        <v>--</v>
      </c>
      <c r="W46" s="38"/>
      <c r="AK46" s="12"/>
      <c r="AM46" s="14"/>
      <c r="AN46" s="14"/>
      <c r="AO46" s="14"/>
      <c r="AP46" s="14"/>
      <c r="AT46" s="25"/>
      <c r="AU46" s="32" t="str">
        <f>IF(ISBLANK(AT46),"",SUMIFS(Table1[Amount $],Table1[Merchant],Snapshot!AT46,Table1[Month],Snapshot!$W$4)*-1)</f>
        <v/>
      </c>
      <c r="AV46" s="25" t="str">
        <f>IF(ISBLANK(AT46),"",COUNTIFS(Table1[Merchant],Snapshot!AT46,Table1[Month],Snapshot!$W$4))</f>
        <v/>
      </c>
      <c r="AW46" s="25" t="str">
        <f>IFERROR(RANK(AV46,$AV$6:$AV$200)+COUNTIF($AV$6:AV46,AV46)-1,"")</f>
        <v/>
      </c>
      <c r="AX46" s="25" t="str">
        <f>IFERROR(RANK(AU46,$AU$6:$AU$200)+COUNTIF($AU$6:AU46,AU46)-1,"")</f>
        <v/>
      </c>
    </row>
    <row r="47" spans="2:50" ht="14.85" customHeight="1" x14ac:dyDescent="0.25">
      <c r="B47" s="90">
        <v>1</v>
      </c>
      <c r="C47" s="91"/>
      <c r="D47" s="92" t="str" cm="1">
        <f t="array" ref="D47">IFERROR(INDEX($AT:$AT,MATCH($B47,$AW:$AW,0),0),"")</f>
        <v>Check Card Purchase Doordash</v>
      </c>
      <c r="E47" s="92"/>
      <c r="F47" s="92"/>
      <c r="G47" s="92" cm="1">
        <f t="array" ref="G47">IF(IFERROR(INDEX($AV:$AV,MATCH($B47,$AW:$AW,0),0),"")=0,"",IFERROR(INDEX($AV:$AV,MATCH($B47,$AW:$AW,0),0),""))</f>
        <v>7</v>
      </c>
      <c r="H47" s="92"/>
      <c r="I47" s="93" cm="1">
        <f t="array" ref="I47">IF(IFERROR(INDEX($AU:$AU,MATCH($B47,$AW:$AW,0),0),"")=0,"",IFERROR(INDEX($AU:$AU,MATCH($B47,$AW:$AW,0),0),""))</f>
        <v>386.66999999999996</v>
      </c>
      <c r="J47" s="94"/>
      <c r="L47" s="41"/>
      <c r="M47" s="92" t="str" cm="1">
        <f t="array" ref="M47">IFERROR(INDEX($AT:$AT,MATCH($B47,$AX:$AX,0),0),"")</f>
        <v>Electronic Debit Fis Verizon</v>
      </c>
      <c r="N47" s="92"/>
      <c r="O47" s="92"/>
      <c r="P47" s="92"/>
      <c r="Q47" s="95" t="str" cm="1">
        <f t="array" ref="Q47">IFERROR(INDEX(Table1[Category],MATCH(Snapshot!M47,Table1[Merchant],0),0),"")</f>
        <v>Bills/Utilities</v>
      </c>
      <c r="R47" s="92"/>
      <c r="S47" s="93" cm="1">
        <f t="array" ref="S47">IF(IFERROR(INDEX($AU:$AU,MATCH($B47,$AX:$AX,0),0),"")=0,"",IFERROR(INDEX($AU:$AU,MATCH($B47,$AX:$AX,0),0),""))</f>
        <v>515.23</v>
      </c>
      <c r="T47" s="96"/>
      <c r="U47" s="14"/>
      <c r="V47" s="38" t="str">
        <f t="shared" si="6"/>
        <v>--</v>
      </c>
      <c r="W47" s="38"/>
      <c r="AK47" s="12"/>
      <c r="AM47" s="14"/>
      <c r="AN47" s="14"/>
      <c r="AO47" s="14"/>
      <c r="AP47" s="14"/>
      <c r="AT47" s="25"/>
      <c r="AU47" s="32" t="str">
        <f>IF(ISBLANK(AT47),"",SUMIFS(Table1[Amount $],Table1[Merchant],Snapshot!AT47,Table1[Month],Snapshot!$W$4)*-1)</f>
        <v/>
      </c>
      <c r="AV47" s="25" t="str">
        <f>IF(ISBLANK(AT47),"",COUNTIFS(Table1[Merchant],Snapshot!AT47,Table1[Month],Snapshot!$W$4))</f>
        <v/>
      </c>
      <c r="AW47" s="25" t="str">
        <f>IFERROR(RANK(AV47,$AV$6:$AV$200)+COUNTIF($AV$6:AV47,AV47)-1,"")</f>
        <v/>
      </c>
      <c r="AX47" s="25" t="str">
        <f>IFERROR(RANK(AU47,$AU$6:$AU$200)+COUNTIF($AU$6:AU47,AU47)-1,"")</f>
        <v/>
      </c>
    </row>
    <row r="48" spans="2:50" ht="14.85" customHeight="1" x14ac:dyDescent="0.25">
      <c r="B48" s="90">
        <f>B47+1</f>
        <v>2</v>
      </c>
      <c r="C48" s="91"/>
      <c r="D48" s="25" t="str" cm="1">
        <f t="array" ref="D48">IFERROR(INDEX($AT:$AT,MATCH($B48,$AW:$AW,0),0),"")</f>
        <v>Overdraft Item Fee For</v>
      </c>
      <c r="E48" s="25"/>
      <c r="F48" s="25"/>
      <c r="G48" s="25" cm="1">
        <f t="array" ref="G48">IF(IFERROR(INDEX($AV:$AV,MATCH($B48,$AW:$AW,0),0),"")=0,"",IFERROR(INDEX($AV:$AV,MATCH($B48,$AW:$AW,0),0),""))</f>
        <v>5</v>
      </c>
      <c r="H48" s="25"/>
      <c r="I48" s="40" cm="1">
        <f t="array" ref="I48">IF(IFERROR(INDEX($AU:$AU,MATCH($B48,$AW:$AW,0),0),"")=0,"",IFERROR(INDEX($AU:$AU,MATCH($B48,$AW:$AW,0),0),""))</f>
        <v>180</v>
      </c>
      <c r="J48" s="94"/>
      <c r="L48" s="41"/>
      <c r="M48" s="25" t="str" cm="1">
        <f t="array" ref="M48">IFERROR(INDEX($AT:$AT,MATCH($B48,$AX:$AX,0),0),"")</f>
        <v>Check Card Purchase Avedon</v>
      </c>
      <c r="N48" s="25"/>
      <c r="O48" s="25"/>
      <c r="P48" s="25"/>
      <c r="Q48" s="97" t="str" cm="1">
        <f t="array" ref="Q48">IFERROR(INDEX(Table1[Category],MATCH(Snapshot!M48,Table1[Merchant],0),0),"")</f>
        <v>Professional Services</v>
      </c>
      <c r="R48" s="25"/>
      <c r="S48" s="40" cm="1">
        <f t="array" ref="S48">IF(IFERROR(INDEX($AU:$AU,MATCH($B48,$AX:$AX,0),0),"")=0,"",IFERROR(INDEX($AU:$AU,MATCH($B48,$AX:$AX,0),0),""))</f>
        <v>500</v>
      </c>
      <c r="T48" s="96"/>
      <c r="V48" s="38" t="str">
        <f t="shared" si="6"/>
        <v>--</v>
      </c>
      <c r="W48" s="38"/>
      <c r="AK48" s="12"/>
      <c r="AM48" s="14"/>
      <c r="AN48" s="14"/>
      <c r="AO48" s="14"/>
      <c r="AP48" s="14"/>
      <c r="AT48" s="25"/>
      <c r="AU48" s="32" t="str">
        <f>IF(ISBLANK(AT48),"",SUMIFS(Table1[Amount $],Table1[Merchant],Snapshot!AT48,Table1[Month],Snapshot!$W$4)*-1)</f>
        <v/>
      </c>
      <c r="AV48" s="25" t="str">
        <f>IF(ISBLANK(AT48),"",COUNTIFS(Table1[Merchant],Snapshot!AT48,Table1[Month],Snapshot!$W$4))</f>
        <v/>
      </c>
      <c r="AW48" s="25" t="str">
        <f>IFERROR(RANK(AV48,$AV$6:$AV$200)+COUNTIF($AV$6:AV48,AV48)-1,"")</f>
        <v/>
      </c>
      <c r="AX48" s="25" t="str">
        <f>IFERROR(RANK(AU48,$AU$6:$AU$200)+COUNTIF($AU$6:AU48,AU48)-1,"")</f>
        <v/>
      </c>
    </row>
    <row r="49" spans="2:50" ht="14.85" customHeight="1" x14ac:dyDescent="0.25">
      <c r="B49" s="90">
        <f t="shared" ref="B49:B56" si="7">B48+1</f>
        <v>3</v>
      </c>
      <c r="C49" s="91"/>
      <c r="D49" s="14" t="str" cm="1">
        <f t="array" ref="D49">IFERROR(INDEX($AT:$AT,MATCH($B49,$AW:$AW,0),0),"")</f>
        <v>Mcdonald's</v>
      </c>
      <c r="E49" s="14"/>
      <c r="F49" s="14"/>
      <c r="G49" s="14" cm="1">
        <f t="array" ref="G49">IF(IFERROR(INDEX($AV:$AV,MATCH($B49,$AW:$AW,0),0),"")=0,"",IFERROR(INDEX($AV:$AV,MATCH($B49,$AW:$AW,0),0),""))</f>
        <v>5</v>
      </c>
      <c r="H49" s="14"/>
      <c r="I49" s="51" cm="1">
        <f t="array" ref="I49">IF(IFERROR(INDEX($AU:$AU,MATCH($B49,$AW:$AW,0),0),"")=0,"",IFERROR(INDEX($AU:$AU,MATCH($B49,$AW:$AW,0),0),""))</f>
        <v>127.82999999999998</v>
      </c>
      <c r="J49" s="94"/>
      <c r="L49" s="41"/>
      <c r="M49" s="14" t="str" cm="1">
        <f t="array" ref="M49">IFERROR(INDEX($AT:$AT,MATCH($B49,$AX:$AX,0),0),"")</f>
        <v>Check Card Purchase Doordash</v>
      </c>
      <c r="N49" s="14"/>
      <c r="O49" s="14"/>
      <c r="P49" s="14"/>
      <c r="Q49" s="98" t="str" cm="1">
        <f t="array" ref="Q49">IFERROR(INDEX(Table1[Category],MATCH(Snapshot!M49,Table1[Merchant],0),0),"")</f>
        <v>Restaurants/Dining</v>
      </c>
      <c r="R49" s="14"/>
      <c r="S49" s="51" cm="1">
        <f t="array" ref="S49">IF(IFERROR(INDEX($AU:$AU,MATCH($B49,$AX:$AX,0),0),"")=0,"",IFERROR(INDEX($AU:$AU,MATCH($B49,$AX:$AX,0),0),""))</f>
        <v>386.66999999999996</v>
      </c>
      <c r="T49" s="96"/>
      <c r="V49" s="38" t="str">
        <f t="shared" si="6"/>
        <v>--</v>
      </c>
      <c r="W49" s="38"/>
      <c r="AK49" s="12"/>
      <c r="AM49" s="14"/>
      <c r="AN49" s="14"/>
      <c r="AO49" s="14"/>
      <c r="AP49" s="14"/>
      <c r="AT49" s="25"/>
      <c r="AU49" s="32" t="str">
        <f>IF(ISBLANK(AT49),"",SUMIFS(Table1[Amount $],Table1[Merchant],Snapshot!AT49,Table1[Month],Snapshot!$W$4)*-1)</f>
        <v/>
      </c>
      <c r="AV49" s="25" t="str">
        <f>IF(ISBLANK(AT49),"",COUNTIFS(Table1[Merchant],Snapshot!AT49,Table1[Month],Snapshot!$W$4))</f>
        <v/>
      </c>
      <c r="AW49" s="25" t="str">
        <f>IFERROR(RANK(AV49,$AV$6:$AV$200)+COUNTIF($AV$6:AV49,AV49)-1,"")</f>
        <v/>
      </c>
      <c r="AX49" s="25" t="str">
        <f>IFERROR(RANK(AU49,$AU$6:$AU$200)+COUNTIF($AU$6:AU49,AU49)-1,"")</f>
        <v/>
      </c>
    </row>
    <row r="50" spans="2:50" ht="14.85" customHeight="1" x14ac:dyDescent="0.25">
      <c r="B50" s="90">
        <f t="shared" si="7"/>
        <v>4</v>
      </c>
      <c r="C50" s="91"/>
      <c r="D50" s="25" t="str" cm="1">
        <f t="array" ref="D50">IFERROR(INDEX($AT:$AT,MATCH($B50,$AW:$AW,0),0),"")</f>
        <v>Point Of Sale Debit</v>
      </c>
      <c r="E50" s="25"/>
      <c r="F50" s="25"/>
      <c r="G50" s="25" cm="1">
        <f t="array" ref="G50">IF(IFERROR(INDEX($AV:$AV,MATCH($B50,$AW:$AW,0),0),"")=0,"",IFERROR(INDEX($AV:$AV,MATCH($B50,$AW:$AW,0),0),""))</f>
        <v>4</v>
      </c>
      <c r="H50" s="25"/>
      <c r="I50" s="40" cm="1">
        <f t="array" ref="I50">IF(IFERROR(INDEX($AU:$AU,MATCH($B50,$AW:$AW,0),0),"")=0,"",IFERROR(INDEX($AU:$AU,MATCH($B50,$AW:$AW,0),0),""))</f>
        <v>186.72</v>
      </c>
      <c r="J50" s="94"/>
      <c r="L50" s="41"/>
      <c r="M50" s="25" t="str" cm="1">
        <f t="array" ref="M50">IFERROR(INDEX($AT:$AT,MATCH($B50,$AX:$AX,0),0),"")</f>
        <v>Electronic Debit Potomac Elec</v>
      </c>
      <c r="N50" s="25"/>
      <c r="O50" s="25"/>
      <c r="P50" s="25"/>
      <c r="Q50" s="97" t="str" cm="1">
        <f t="array" ref="Q50">IFERROR(INDEX(Table1[Category],MATCH(Snapshot!M50,Table1[Merchant],0),0),"")</f>
        <v>Bills/Utilities</v>
      </c>
      <c r="R50" s="25"/>
      <c r="S50" s="40" cm="1">
        <f t="array" ref="S50">IF(IFERROR(INDEX($AU:$AU,MATCH($B50,$AX:$AX,0),0),"")=0,"",IFERROR(INDEX($AU:$AU,MATCH($B50,$AX:$AX,0),0),""))</f>
        <v>343.58</v>
      </c>
      <c r="T50" s="96"/>
      <c r="V50" s="38" t="str">
        <f t="shared" si="6"/>
        <v>--</v>
      </c>
      <c r="W50" s="38"/>
      <c r="AK50" s="12"/>
      <c r="AM50" s="14"/>
      <c r="AN50" s="14"/>
      <c r="AO50" s="14"/>
      <c r="AP50" s="14"/>
      <c r="AT50" s="25"/>
      <c r="AU50" s="32" t="str">
        <f>IF(ISBLANK(AT50),"",SUMIFS(Table1[Amount $],Table1[Merchant],Snapshot!AT50,Table1[Month],Snapshot!$W$4)*-1)</f>
        <v/>
      </c>
      <c r="AV50" s="25" t="str">
        <f>IF(ISBLANK(AT50),"",COUNTIFS(Table1[Merchant],Snapshot!AT50,Table1[Month],Snapshot!$W$4))</f>
        <v/>
      </c>
      <c r="AW50" s="25" t="str">
        <f>IFERROR(RANK(AV50,$AV$6:$AV$200)+COUNTIF($AV$6:AV50,AV50)-1,"")</f>
        <v/>
      </c>
      <c r="AX50" s="25" t="str">
        <f>IFERROR(RANK(AU50,$AU$6:$AU$200)+COUNTIF($AU$6:AU50,AU50)-1,"")</f>
        <v/>
      </c>
    </row>
    <row r="51" spans="2:50" ht="14.85" customHeight="1" x14ac:dyDescent="0.25">
      <c r="B51" s="90">
        <f t="shared" si="7"/>
        <v>5</v>
      </c>
      <c r="C51" s="91"/>
      <c r="D51" s="14" t="str" cm="1">
        <f t="array" ref="D51">IFERROR(INDEX($AT:$AT,MATCH($B51,$AW:$AW,0),0),"")</f>
        <v>Electronic Debit Schwan S</v>
      </c>
      <c r="E51" s="14"/>
      <c r="F51" s="14"/>
      <c r="G51" s="14" cm="1">
        <f t="array" ref="G51">IF(IFERROR(INDEX($AV:$AV,MATCH($B51,$AW:$AW,0),0),"")=0,"",IFERROR(INDEX($AV:$AV,MATCH($B51,$AW:$AW,0),0),""))</f>
        <v>2</v>
      </c>
      <c r="H51" s="14"/>
      <c r="I51" s="51" cm="1">
        <f t="array" ref="I51">IF(IFERROR(INDEX($AU:$AU,MATCH($B51,$AW:$AW,0),0),"")=0,"",IFERROR(INDEX($AU:$AU,MATCH($B51,$AW:$AW,0),0),""))</f>
        <v>205.07</v>
      </c>
      <c r="J51" s="94"/>
      <c r="L51" s="41"/>
      <c r="M51" s="14" t="str" cm="1">
        <f t="array" ref="M51">IFERROR(INDEX($AT:$AT,MATCH($B51,$AX:$AX,0),0),"")</f>
        <v>Electronic Debit Transamerica Tpl</v>
      </c>
      <c r="N51" s="14"/>
      <c r="O51" s="14"/>
      <c r="P51" s="14"/>
      <c r="Q51" s="98" t="str" cm="1">
        <f t="array" ref="Q51">IFERROR(INDEX(Table1[Category],MATCH(Snapshot!M51,Table1[Merchant],0),0),"")</f>
        <v>Bills/Utilities</v>
      </c>
      <c r="R51" s="14"/>
      <c r="S51" s="51" cm="1">
        <f t="array" ref="S51">IF(IFERROR(INDEX($AU:$AU,MATCH($B51,$AX:$AX,0),0),"")=0,"",IFERROR(INDEX($AU:$AU,MATCH($B51,$AX:$AX,0),0),""))</f>
        <v>318</v>
      </c>
      <c r="T51" s="96"/>
      <c r="V51" s="38" t="str">
        <f t="shared" si="6"/>
        <v>--</v>
      </c>
      <c r="W51" s="38"/>
      <c r="AM51" s="14"/>
      <c r="AN51" s="14"/>
      <c r="AO51" s="14"/>
      <c r="AP51" s="14"/>
      <c r="AT51" s="25"/>
      <c r="AU51" s="32" t="str">
        <f>IF(ISBLANK(AT51),"",SUMIFS(Table1[Amount $],Table1[Merchant],Snapshot!AT51,Table1[Month],Snapshot!$W$4)*-1)</f>
        <v/>
      </c>
      <c r="AV51" s="25" t="str">
        <f>IF(ISBLANK(AT51),"",COUNTIFS(Table1[Merchant],Snapshot!AT51,Table1[Month],Snapshot!$W$4))</f>
        <v/>
      </c>
      <c r="AW51" s="25" t="str">
        <f>IFERROR(RANK(AV51,$AV$6:$AV$200)+COUNTIF($AV$6:AV51,AV51)-1,"")</f>
        <v/>
      </c>
      <c r="AX51" s="25" t="str">
        <f>IFERROR(RANK(AU51,$AU$6:$AU$200)+COUNTIF($AU$6:AU51,AU51)-1,"")</f>
        <v/>
      </c>
    </row>
    <row r="52" spans="2:50" x14ac:dyDescent="0.25">
      <c r="B52" s="90">
        <f t="shared" si="7"/>
        <v>6</v>
      </c>
      <c r="C52" s="91"/>
      <c r="D52" s="25" t="str" cm="1">
        <f t="array" ref="D52">IFERROR(INDEX($AT:$AT,MATCH($B52,$AW:$AW,0),0),"")</f>
        <v>Ihop</v>
      </c>
      <c r="E52" s="25"/>
      <c r="F52" s="25"/>
      <c r="G52" s="25" cm="1">
        <f t="array" ref="G52">IF(IFERROR(INDEX($AV:$AV,MATCH($B52,$AW:$AW,0),0),"")=0,"",IFERROR(INDEX($AV:$AV,MATCH($B52,$AW:$AW,0),0),""))</f>
        <v>2</v>
      </c>
      <c r="H52" s="25"/>
      <c r="I52" s="40" cm="1">
        <f t="array" ref="I52">IF(IFERROR(INDEX($AU:$AU,MATCH($B52,$AW:$AW,0),0),"")=0,"",IFERROR(INDEX($AU:$AU,MATCH($B52,$AW:$AW,0),0),""))</f>
        <v>89.82</v>
      </c>
      <c r="J52" s="94"/>
      <c r="L52" s="41"/>
      <c r="M52" s="25" t="str" cm="1">
        <f t="array" ref="M52">IFERROR(INDEX($AT:$AT,MATCH($B52,$AX:$AX,0),0),"")</f>
        <v>Electronic Debit Washington Gas</v>
      </c>
      <c r="N52" s="25"/>
      <c r="O52" s="25"/>
      <c r="P52" s="25"/>
      <c r="Q52" s="97" t="str" cm="1">
        <f t="array" ref="Q52">IFERROR(INDEX(Table1[Category],MATCH(Snapshot!M52,Table1[Merchant],0),0),"")</f>
        <v>Bills/Utilities</v>
      </c>
      <c r="R52" s="25"/>
      <c r="S52" s="40" cm="1">
        <f t="array" ref="S52">IF(IFERROR(INDEX($AU:$AU,MATCH($B52,$AX:$AX,0),0),"")=0,"",IFERROR(INDEX($AU:$AU,MATCH($B52,$AX:$AX,0),0),""))</f>
        <v>297.75</v>
      </c>
      <c r="T52" s="96"/>
      <c r="V52" s="38" t="str">
        <f t="shared" si="6"/>
        <v>--</v>
      </c>
      <c r="W52" s="38"/>
      <c r="AM52" s="14"/>
      <c r="AN52" s="14"/>
      <c r="AO52" s="14"/>
      <c r="AP52" s="14"/>
      <c r="AT52" s="25"/>
      <c r="AU52" s="32" t="str">
        <f>IF(ISBLANK(AT52),"",SUMIFS(Table1[Amount $],Table1[Merchant],Snapshot!AT52,Table1[Month],Snapshot!$W$4)*-1)</f>
        <v/>
      </c>
      <c r="AV52" s="25" t="str">
        <f>IF(ISBLANK(AT52),"",COUNTIFS(Table1[Merchant],Snapshot!AT52,Table1[Month],Snapshot!$W$4))</f>
        <v/>
      </c>
      <c r="AW52" s="25" t="str">
        <f>IFERROR(RANK(AV52,$AV$6:$AV$200)+COUNTIF($AV$6:AV52,AV52)-1,"")</f>
        <v/>
      </c>
      <c r="AX52" s="25" t="str">
        <f>IFERROR(RANK(AU52,$AU$6:$AU$200)+COUNTIF($AU$6:AU52,AU52)-1,"")</f>
        <v/>
      </c>
    </row>
    <row r="53" spans="2:50" x14ac:dyDescent="0.25">
      <c r="B53" s="90">
        <f t="shared" si="7"/>
        <v>7</v>
      </c>
      <c r="C53" s="91"/>
      <c r="D53" s="14" t="str" cm="1">
        <f t="array" ref="D53">IFERROR(INDEX($AT:$AT,MATCH($B53,$AW:$AW,0),0),"")</f>
        <v>Recurring Check Card Purchase</v>
      </c>
      <c r="E53" s="14"/>
      <c r="F53" s="14"/>
      <c r="G53" s="14" cm="1">
        <f t="array" ref="G53">IF(IFERROR(INDEX($AV:$AV,MATCH($B53,$AW:$AW,0),0),"")=0,"",IFERROR(INDEX($AV:$AV,MATCH($B53,$AW:$AW,0),0),""))</f>
        <v>2</v>
      </c>
      <c r="H53" s="14"/>
      <c r="I53" s="51" cm="1">
        <f t="array" ref="I53">IF(IFERROR(INDEX($AU:$AU,MATCH($B53,$AW:$AW,0),0),"")=0,"",IFERROR(INDEX($AU:$AU,MATCH($B53,$AW:$AW,0),0),""))</f>
        <v>32.379999999999995</v>
      </c>
      <c r="J53" s="94"/>
      <c r="L53" s="41"/>
      <c r="M53" s="14" t="str" cm="1">
        <f t="array" ref="M53">IFERROR(INDEX($AT:$AT,MATCH($B53,$AX:$AX,0),0),"")</f>
        <v>Electronic Debit Td Auto</v>
      </c>
      <c r="N53" s="14"/>
      <c r="O53" s="14"/>
      <c r="P53" s="14"/>
      <c r="Q53" s="98" t="str" cm="1">
        <f t="array" ref="Q53">IFERROR(INDEX(Table1[Category],MATCH(Snapshot!M53,Table1[Merchant],0),0),"")</f>
        <v>Mortgage/Rent</v>
      </c>
      <c r="R53" s="14"/>
      <c r="S53" s="51" cm="1">
        <f t="array" ref="S53">IF(IFERROR(INDEX($AU:$AU,MATCH($B53,$AX:$AX,0),0),"")=0,"",IFERROR(INDEX($AU:$AU,MATCH($B53,$AX:$AX,0),0),""))</f>
        <v>239.82</v>
      </c>
      <c r="T53" s="96"/>
      <c r="V53" s="38" t="str">
        <f t="shared" si="6"/>
        <v>--</v>
      </c>
      <c r="W53" s="38"/>
      <c r="AM53" s="14"/>
      <c r="AN53" s="14"/>
      <c r="AO53" s="14"/>
      <c r="AP53" s="14"/>
      <c r="AT53" s="25"/>
      <c r="AU53" s="32" t="str">
        <f>IF(ISBLANK(AT53),"",SUMIFS(Table1[Amount $],Table1[Merchant],Snapshot!AT53,Table1[Month],Snapshot!$W$4)*-1)</f>
        <v/>
      </c>
      <c r="AV53" s="25" t="str">
        <f>IF(ISBLANK(AT53),"",COUNTIFS(Table1[Merchant],Snapshot!AT53,Table1[Month],Snapshot!$W$4))</f>
        <v/>
      </c>
      <c r="AW53" s="25" t="str">
        <f>IFERROR(RANK(AV53,$AV$6:$AV$200)+COUNTIF($AV$6:AV53,AV53)-1,"")</f>
        <v/>
      </c>
      <c r="AX53" s="25" t="str">
        <f>IFERROR(RANK(AU53,$AU$6:$AU$200)+COUNTIF($AU$6:AU53,AU53)-1,"")</f>
        <v/>
      </c>
    </row>
    <row r="54" spans="2:50" x14ac:dyDescent="0.25">
      <c r="B54" s="90">
        <f t="shared" si="7"/>
        <v>8</v>
      </c>
      <c r="C54" s="91"/>
      <c r="D54" s="25" t="str" cm="1">
        <f t="array" ref="D54">IFERROR(INDEX($AT:$AT,MATCH($B54,$AW:$AW,0),0),"")</f>
        <v>Amazon Prime</v>
      </c>
      <c r="E54" s="25"/>
      <c r="F54" s="25"/>
      <c r="G54" s="25" cm="1">
        <f t="array" ref="G54">IF(IFERROR(INDEX($AV:$AV,MATCH($B54,$AW:$AW,0),0),"")=0,"",IFERROR(INDEX($AV:$AV,MATCH($B54,$AW:$AW,0),0),""))</f>
        <v>1</v>
      </c>
      <c r="H54" s="25"/>
      <c r="I54" s="40" cm="1">
        <f t="array" ref="I54">IF(IFERROR(INDEX($AU:$AU,MATCH($B54,$AW:$AW,0),0),"")=0,"",IFERROR(INDEX($AU:$AU,MATCH($B54,$AW:$AW,0),0),""))</f>
        <v>12.99</v>
      </c>
      <c r="J54" s="94"/>
      <c r="L54" s="41"/>
      <c r="M54" s="25" t="str" cm="1">
        <f t="array" ref="M54">IFERROR(INDEX($AT:$AT,MATCH($B54,$AX:$AX,0),0),"")</f>
        <v>Electronic Debit Schwan S</v>
      </c>
      <c r="N54" s="25"/>
      <c r="O54" s="25"/>
      <c r="P54" s="25"/>
      <c r="Q54" s="97" t="str" cm="1">
        <f t="array" ref="Q54">IFERROR(INDEX(Table1[Category],MATCH(Snapshot!M54,Table1[Merchant],0),0),"")</f>
        <v>Shopping</v>
      </c>
      <c r="R54" s="25"/>
      <c r="S54" s="40" cm="1">
        <f t="array" ref="S54">IF(IFERROR(INDEX($AU:$AU,MATCH($B54,$AX:$AX,0),0),"")=0,"",IFERROR(INDEX($AU:$AU,MATCH($B54,$AX:$AX,0),0),""))</f>
        <v>205.07</v>
      </c>
      <c r="T54" s="96"/>
      <c r="V54" s="38" t="str">
        <f t="shared" si="6"/>
        <v>--</v>
      </c>
      <c r="W54" s="38"/>
      <c r="AM54" s="14"/>
      <c r="AN54" s="14"/>
      <c r="AO54" s="14"/>
      <c r="AP54" s="14"/>
      <c r="AT54" s="25"/>
      <c r="AU54" s="32" t="str">
        <f>IF(ISBLANK(AT54),"",SUMIFS(Table1[Amount $],Table1[Merchant],Snapshot!AT54,Table1[Month],Snapshot!$W$4)*-1)</f>
        <v/>
      </c>
      <c r="AV54" s="25" t="str">
        <f>IF(ISBLANK(AT54),"",COUNTIFS(Table1[Merchant],Snapshot!AT54,Table1[Month],Snapshot!$W$4))</f>
        <v/>
      </c>
      <c r="AW54" s="25" t="str">
        <f>IFERROR(RANK(AV54,$AV$6:$AV$200)+COUNTIF($AV$6:AV54,AV54)-1,"")</f>
        <v/>
      </c>
      <c r="AX54" s="25" t="str">
        <f>IFERROR(RANK(AU54,$AU$6:$AU$200)+COUNTIF($AU$6:AU54,AU54)-1,"")</f>
        <v/>
      </c>
    </row>
    <row r="55" spans="2:50" x14ac:dyDescent="0.25">
      <c r="B55" s="90">
        <f t="shared" si="7"/>
        <v>9</v>
      </c>
      <c r="C55" s="91"/>
      <c r="D55" s="14" t="str" cm="1">
        <f t="array" ref="D55">IFERROR(INDEX($AT:$AT,MATCH($B55,$AW:$AW,0),0),"")</f>
        <v>Electronic Debit Transamerica Tpl</v>
      </c>
      <c r="E55" s="14"/>
      <c r="F55" s="14"/>
      <c r="G55" s="14" cm="1">
        <f t="array" ref="G55">IF(IFERROR(INDEX($AV:$AV,MATCH($B55,$AW:$AW,0),0),"")=0,"",IFERROR(INDEX($AV:$AV,MATCH($B55,$AW:$AW,0),0),""))</f>
        <v>1</v>
      </c>
      <c r="H55" s="14"/>
      <c r="I55" s="51" cm="1">
        <f t="array" ref="I55">IF(IFERROR(INDEX($AU:$AU,MATCH($B55,$AW:$AW,0),0),"")=0,"",IFERROR(INDEX($AU:$AU,MATCH($B55,$AW:$AW,0),0),""))</f>
        <v>318</v>
      </c>
      <c r="J55" s="94"/>
      <c r="L55" s="41"/>
      <c r="M55" s="14" t="str" cm="1">
        <f t="array" ref="M55">IFERROR(INDEX($AT:$AT,MATCH($B55,$AX:$AX,0),0),"")</f>
        <v>Point Of Sale Debit</v>
      </c>
      <c r="N55" s="14"/>
      <c r="O55" s="14"/>
      <c r="P55" s="14"/>
      <c r="Q55" s="98" t="str" cm="1">
        <f t="array" ref="Q55">IFERROR(INDEX(Table1[Category],MATCH(Snapshot!M55,Table1[Merchant],0),0),"")</f>
        <v>Auto/Transport</v>
      </c>
      <c r="R55" s="14"/>
      <c r="S55" s="51" cm="1">
        <f t="array" ref="S55">IF(IFERROR(INDEX($AU:$AU,MATCH($B55,$AX:$AX,0),0),"")=0,"",IFERROR(INDEX($AU:$AU,MATCH($B55,$AX:$AX,0),0),""))</f>
        <v>186.72</v>
      </c>
      <c r="T55" s="96"/>
      <c r="V55" s="38" t="str">
        <f t="shared" si="6"/>
        <v>--</v>
      </c>
      <c r="W55" s="38"/>
      <c r="AM55" s="14"/>
      <c r="AN55" s="14"/>
      <c r="AO55" s="14"/>
      <c r="AP55" s="14"/>
      <c r="AT55" s="25"/>
      <c r="AU55" s="32" t="str">
        <f>IF(ISBLANK(AT55),"",SUMIFS(Table1[Amount $],Table1[Merchant],Snapshot!AT55,Table1[Month],Snapshot!$W$4)*-1)</f>
        <v/>
      </c>
      <c r="AV55" s="25" t="str">
        <f>IF(ISBLANK(AT55),"",COUNTIFS(Table1[Merchant],Snapshot!AT55,Table1[Month],Snapshot!$W$4))</f>
        <v/>
      </c>
      <c r="AW55" s="25" t="str">
        <f>IFERROR(RANK(AV55,$AV$6:$AV$200)+COUNTIF($AV$6:AV55,AV55)-1,"")</f>
        <v/>
      </c>
      <c r="AX55" s="25" t="str">
        <f>IFERROR(RANK(AU55,$AU$6:$AU$200)+COUNTIF($AU$6:AU55,AU55)-1,"")</f>
        <v/>
      </c>
    </row>
    <row r="56" spans="2:50" x14ac:dyDescent="0.25">
      <c r="B56" s="90">
        <f t="shared" si="7"/>
        <v>10</v>
      </c>
      <c r="C56" s="91"/>
      <c r="D56" s="25" t="str" cm="1">
        <f t="array" ref="D56">IFERROR(INDEX($AT:$AT,MATCH($B56,$AW:$AW,0),0),"")</f>
        <v>Overdraft Protection Transfer Fee</v>
      </c>
      <c r="E56" s="25"/>
      <c r="F56" s="25"/>
      <c r="G56" s="25" cm="1">
        <f t="array" ref="G56">IF(IFERROR(INDEX($AV:$AV,MATCH($B56,$AW:$AW,0),0),"")=0,"",IFERROR(INDEX($AV:$AV,MATCH($B56,$AW:$AW,0),0),""))</f>
        <v>1</v>
      </c>
      <c r="H56" s="25"/>
      <c r="I56" s="40" cm="1">
        <f t="array" ref="I56">IF(IFERROR(INDEX($AU:$AU,MATCH($B56,$AW:$AW,0),0),"")=0,"",IFERROR(INDEX($AU:$AU,MATCH($B56,$AW:$AW,0),0),""))</f>
        <v>12.5</v>
      </c>
      <c r="J56" s="94"/>
      <c r="L56" s="41"/>
      <c r="M56" s="25" t="str" cm="1">
        <f t="array" ref="M56">IFERROR(INDEX($AT:$AT,MATCH($B56,$AX:$AX,0),0),"")</f>
        <v>Overdraft Item Fee For</v>
      </c>
      <c r="N56" s="25"/>
      <c r="O56" s="25"/>
      <c r="P56" s="25"/>
      <c r="Q56" s="97" t="str" cm="1">
        <f t="array" ref="Q56">IFERROR(INDEX(Table1[Category],MATCH(Snapshot!M56,Table1[Merchant],0),0),"")</f>
        <v>Fees/Charges</v>
      </c>
      <c r="R56" s="25"/>
      <c r="S56" s="40" cm="1">
        <f t="array" ref="S56">IF(IFERROR(INDEX($AU:$AU,MATCH($B56,$AX:$AX,0),0),"")=0,"",IFERROR(INDEX($AU:$AU,MATCH($B56,$AX:$AX,0),0),""))</f>
        <v>180</v>
      </c>
      <c r="T56" s="96"/>
      <c r="V56" s="38" t="str">
        <f t="shared" si="6"/>
        <v>--</v>
      </c>
      <c r="W56" s="38"/>
      <c r="AM56" s="14"/>
      <c r="AN56" s="14"/>
      <c r="AO56" s="14"/>
      <c r="AP56" s="14"/>
      <c r="AT56" s="25"/>
      <c r="AU56" s="32" t="str">
        <f>IF(ISBLANK(AT56),"",SUMIFS(Table1[Amount $],Table1[Merchant],Snapshot!AT56,Table1[Month],Snapshot!$W$4)*-1)</f>
        <v/>
      </c>
      <c r="AV56" s="25" t="str">
        <f>IF(ISBLANK(AT56),"",COUNTIFS(Table1[Merchant],Snapshot!AT56,Table1[Month],Snapshot!$W$4))</f>
        <v/>
      </c>
      <c r="AW56" s="25" t="str">
        <f>IFERROR(RANK(AV56,$AV$6:$AV$200)+COUNTIF($AV$6:AV56,AV56)-1,"")</f>
        <v/>
      </c>
      <c r="AX56" s="25" t="str">
        <f>IFERROR(RANK(AU56,$AU$6:$AU$200)+COUNTIF($AU$6:AU56,AU56)-1,"")</f>
        <v/>
      </c>
    </row>
    <row r="57" spans="2:50" ht="16.350000000000001" customHeight="1" thickBot="1" x14ac:dyDescent="0.3">
      <c r="C57" s="71"/>
      <c r="D57" s="72"/>
      <c r="E57" s="72"/>
      <c r="F57" s="72"/>
      <c r="G57" s="72"/>
      <c r="H57" s="72"/>
      <c r="I57" s="72"/>
      <c r="J57" s="73"/>
      <c r="L57" s="71"/>
      <c r="M57" s="72"/>
      <c r="N57" s="72"/>
      <c r="O57" s="72"/>
      <c r="P57" s="72"/>
      <c r="Q57" s="72"/>
      <c r="R57" s="72"/>
      <c r="S57" s="72"/>
      <c r="T57" s="73"/>
      <c r="V57" s="38" t="str">
        <f t="shared" si="6"/>
        <v>--</v>
      </c>
      <c r="W57" s="38"/>
      <c r="X57" s="99"/>
      <c r="Y57" s="61"/>
      <c r="Z57" s="100"/>
      <c r="AA57" s="101"/>
      <c r="AM57" s="14"/>
      <c r="AN57" s="14"/>
      <c r="AO57" s="14"/>
      <c r="AP57" s="14"/>
      <c r="AT57" s="25"/>
      <c r="AU57" s="32" t="str">
        <f>IF(ISBLANK(AT57),"",SUMIFS(Table1[Amount $],Table1[Merchant],Snapshot!AT57,Table1[Month],Snapshot!$W$4)*-1)</f>
        <v/>
      </c>
      <c r="AV57" s="25" t="str">
        <f>IF(ISBLANK(AT57),"",COUNTIFS(Table1[Merchant],Snapshot!AT57,Table1[Month],Snapshot!$W$4))</f>
        <v/>
      </c>
      <c r="AW57" s="25" t="str">
        <f>IFERROR(RANK(AV57,$AV$6:$AV$200)+COUNTIF($AV$6:AV57,AV57)-1,"")</f>
        <v/>
      </c>
      <c r="AX57" s="25" t="str">
        <f>IFERROR(RANK(AU57,$AU$6:$AU$200)+COUNTIF($AU$6:AU57,AU57)-1,"")</f>
        <v/>
      </c>
    </row>
    <row r="58" spans="2:50" ht="15.75" x14ac:dyDescent="0.25">
      <c r="V58" s="38" t="str">
        <f t="shared" si="6"/>
        <v>--</v>
      </c>
      <c r="W58" s="38"/>
      <c r="X58" s="61"/>
      <c r="Y58" s="61"/>
      <c r="Z58" s="101"/>
      <c r="AA58" s="101"/>
      <c r="AM58" s="14"/>
      <c r="AN58" s="14"/>
      <c r="AO58" s="14"/>
      <c r="AP58" s="14"/>
      <c r="AT58" s="25"/>
      <c r="AU58" s="32" t="str">
        <f>IF(ISBLANK(AT58),"",SUMIFS(Table1[Amount $],Table1[Merchant],Snapshot!AT58,Table1[Month],Snapshot!$W$4)*-1)</f>
        <v/>
      </c>
      <c r="AV58" s="25" t="str">
        <f>IF(ISBLANK(AT58),"",COUNTIFS(Table1[Merchant],Snapshot!AT58,Table1[Month],Snapshot!$W$4))</f>
        <v/>
      </c>
      <c r="AW58" s="25" t="str">
        <f>IFERROR(RANK(AV58,$AV$6:$AV$200)+COUNTIF($AV$6:AV58,AV58)-1,"")</f>
        <v/>
      </c>
      <c r="AX58" s="25" t="str">
        <f>IFERROR(RANK(AU58,$AU$6:$AU$200)+COUNTIF($AU$6:AU58,AU58)-1,"")</f>
        <v/>
      </c>
    </row>
    <row r="59" spans="2:50" x14ac:dyDescent="0.25">
      <c r="D59" s="14"/>
      <c r="V59" s="38" t="str">
        <f t="shared" si="6"/>
        <v>--</v>
      </c>
      <c r="W59" s="38"/>
      <c r="Y59" s="14"/>
      <c r="Z59" s="102"/>
      <c r="AA59" s="102"/>
      <c r="AM59" s="14"/>
      <c r="AN59" s="14"/>
      <c r="AO59" s="14"/>
      <c r="AP59" s="14"/>
      <c r="AT59" s="25"/>
      <c r="AU59" s="32" t="str">
        <f>IF(ISBLANK(AT59),"",SUMIFS(Table1[Amount $],Table1[Merchant],Snapshot!AT59,Table1[Month],Snapshot!$W$4)*-1)</f>
        <v/>
      </c>
      <c r="AV59" s="25" t="str">
        <f>IF(ISBLANK(AT59),"",COUNTIFS(Table1[Merchant],Snapshot!AT59,Table1[Month],Snapshot!$W$4))</f>
        <v/>
      </c>
      <c r="AW59" s="25" t="str">
        <f>IFERROR(RANK(AV59,$AV$6:$AV$200)+COUNTIF($AV$6:AV59,AV59)-1,"")</f>
        <v/>
      </c>
      <c r="AX59" s="25" t="str">
        <f>IFERROR(RANK(AU59,$AU$6:$AU$200)+COUNTIF($AU$6:AU59,AU59)-1,"")</f>
        <v/>
      </c>
    </row>
    <row r="60" spans="2:50" x14ac:dyDescent="0.25">
      <c r="D60" s="14"/>
      <c r="V60" s="38" t="str">
        <f t="shared" si="6"/>
        <v>--</v>
      </c>
      <c r="W60" s="38"/>
      <c r="AM60" s="14"/>
      <c r="AN60" s="14"/>
      <c r="AO60" s="14"/>
      <c r="AP60" s="14"/>
      <c r="AT60" s="25"/>
      <c r="AU60" s="32" t="str">
        <f>IF(ISBLANK(AT60),"",SUMIFS(Table1[Amount $],Table1[Merchant],Snapshot!AT60,Table1[Month],Snapshot!$W$4)*-1)</f>
        <v/>
      </c>
      <c r="AV60" s="25" t="str">
        <f>IF(ISBLANK(AT60),"",COUNTIFS(Table1[Merchant],Snapshot!AT60,Table1[Month],Snapshot!$W$4))</f>
        <v/>
      </c>
      <c r="AW60" s="25" t="str">
        <f>IFERROR(RANK(AV60,$AV$6:$AV$200)+COUNTIF($AV$6:AV60,AV60)-1,"")</f>
        <v/>
      </c>
      <c r="AX60" s="25" t="str">
        <f>IFERROR(RANK(AU60,$AU$6:$AU$200)+COUNTIF($AU$6:AU60,AU60)-1,"")</f>
        <v/>
      </c>
    </row>
    <row r="61" spans="2:50" x14ac:dyDescent="0.25">
      <c r="D61" s="14"/>
      <c r="V61" s="38" t="str">
        <f t="shared" si="6"/>
        <v>--</v>
      </c>
      <c r="W61" s="38"/>
      <c r="AM61" s="14"/>
      <c r="AN61" s="14"/>
      <c r="AO61" s="14"/>
      <c r="AP61" s="14"/>
      <c r="AT61" s="25"/>
      <c r="AU61" s="32" t="str">
        <f>IF(ISBLANK(AT61),"",SUMIFS(Table1[Amount $],Table1[Merchant],Snapshot!AT61,Table1[Month],Snapshot!$W$4)*-1)</f>
        <v/>
      </c>
      <c r="AV61" s="25" t="str">
        <f>IF(ISBLANK(AT61),"",COUNTIFS(Table1[Merchant],Snapshot!AT61,Table1[Month],Snapshot!$W$4))</f>
        <v/>
      </c>
      <c r="AW61" s="25" t="str">
        <f>IFERROR(RANK(AV61,$AV$6:$AV$200)+COUNTIF($AV$6:AV61,AV61)-1,"")</f>
        <v/>
      </c>
      <c r="AX61" s="25" t="str">
        <f>IFERROR(RANK(AU61,$AU$6:$AU$200)+COUNTIF($AU$6:AU61,AU61)-1,"")</f>
        <v/>
      </c>
    </row>
    <row r="62" spans="2:50" x14ac:dyDescent="0.25">
      <c r="D62" s="14"/>
      <c r="V62" s="38" t="str">
        <f t="shared" si="6"/>
        <v>--</v>
      </c>
      <c r="W62" s="38"/>
      <c r="AM62" s="14"/>
      <c r="AN62" s="14"/>
      <c r="AO62" s="14"/>
      <c r="AP62" s="14"/>
      <c r="AT62" s="25"/>
      <c r="AU62" s="32" t="str">
        <f>IF(ISBLANK(AT62),"",SUMIFS(Table1[Amount $],Table1[Merchant],Snapshot!AT62,Table1[Month],Snapshot!$W$4)*-1)</f>
        <v/>
      </c>
      <c r="AV62" s="25" t="str">
        <f>IF(ISBLANK(AT62),"",COUNTIFS(Table1[Merchant],Snapshot!AT62,Table1[Month],Snapshot!$W$4))</f>
        <v/>
      </c>
      <c r="AW62" s="25" t="str">
        <f>IFERROR(RANK(AV62,$AV$6:$AV$200)+COUNTIF($AV$6:AV62,AV62)-1,"")</f>
        <v/>
      </c>
      <c r="AX62" s="25" t="str">
        <f>IFERROR(RANK(AU62,$AU$6:$AU$200)+COUNTIF($AU$6:AU62,AU62)-1,"")</f>
        <v/>
      </c>
    </row>
    <row r="63" spans="2:50" x14ac:dyDescent="0.25">
      <c r="D63" s="14"/>
      <c r="V63" s="38" t="str">
        <f t="shared" si="6"/>
        <v>--</v>
      </c>
      <c r="W63" s="38"/>
      <c r="AM63" s="14"/>
      <c r="AN63" s="14"/>
      <c r="AO63" s="14"/>
      <c r="AP63" s="14"/>
      <c r="AT63" s="25"/>
      <c r="AU63" s="32" t="str">
        <f>IF(ISBLANK(AT63),"",SUMIFS(Table1[Amount $],Table1[Merchant],Snapshot!AT63,Table1[Month],Snapshot!$W$4)*-1)</f>
        <v/>
      </c>
      <c r="AV63" s="25" t="str">
        <f>IF(ISBLANK(AT63),"",COUNTIFS(Table1[Merchant],Snapshot!AT63,Table1[Month],Snapshot!$W$4))</f>
        <v/>
      </c>
      <c r="AW63" s="25" t="str">
        <f>IFERROR(RANK(AV63,$AV$6:$AV$200)+COUNTIF($AV$6:AV63,AV63)-1,"")</f>
        <v/>
      </c>
      <c r="AX63" s="25" t="str">
        <f>IFERROR(RANK(AU63,$AU$6:$AU$200)+COUNTIF($AU$6:AU63,AU63)-1,"")</f>
        <v/>
      </c>
    </row>
    <row r="64" spans="2:50" x14ac:dyDescent="0.25">
      <c r="D64" s="14"/>
      <c r="V64" s="38" t="str">
        <f t="shared" si="6"/>
        <v>--</v>
      </c>
      <c r="W64" s="38"/>
      <c r="AM64" s="14"/>
      <c r="AN64" s="14"/>
      <c r="AO64" s="14"/>
      <c r="AP64" s="14"/>
      <c r="AT64" s="25"/>
      <c r="AU64" s="32" t="str">
        <f>IF(ISBLANK(AT64),"",SUMIFS(Table1[Amount $],Table1[Merchant],Snapshot!AT64,Table1[Month],Snapshot!$W$4)*-1)</f>
        <v/>
      </c>
      <c r="AV64" s="25" t="str">
        <f>IF(ISBLANK(AT64),"",COUNTIFS(Table1[Merchant],Snapshot!AT64,Table1[Month],Snapshot!$W$4))</f>
        <v/>
      </c>
      <c r="AW64" s="25" t="str">
        <f>IFERROR(RANK(AV64,$AV$6:$AV$200)+COUNTIF($AV$6:AV64,AV64)-1,"")</f>
        <v/>
      </c>
      <c r="AX64" s="25" t="str">
        <f>IFERROR(RANK(AU64,$AU$6:$AU$200)+COUNTIF($AU$6:AU64,AU64)-1,"")</f>
        <v/>
      </c>
    </row>
    <row r="65" spans="4:50" x14ac:dyDescent="0.25">
      <c r="D65" s="14"/>
      <c r="V65" s="38" t="str">
        <f t="shared" ref="V65:V99" si="8">IF(ISBLANK(W65),"--",TEXT(W65,"mmmm")&amp;" "&amp;TEXT(W65,"YYYY"))</f>
        <v>--</v>
      </c>
      <c r="W65" s="38"/>
      <c r="AM65" s="14"/>
      <c r="AN65" s="14"/>
      <c r="AO65" s="14"/>
      <c r="AP65" s="14"/>
      <c r="AT65" s="25"/>
      <c r="AU65" s="32" t="str">
        <f>IF(ISBLANK(AT65),"",SUMIFS(Table1[Amount $],Table1[Merchant],Snapshot!AT65,Table1[Month],Snapshot!$W$4)*-1)</f>
        <v/>
      </c>
      <c r="AV65" s="25" t="str">
        <f>IF(ISBLANK(AT65),"",COUNTIFS(Table1[Merchant],Snapshot!AT65,Table1[Month],Snapshot!$W$4))</f>
        <v/>
      </c>
      <c r="AW65" s="25" t="str">
        <f>IFERROR(RANK(AV65,$AV$6:$AV$200)+COUNTIF($AV$6:AV65,AV65)-1,"")</f>
        <v/>
      </c>
      <c r="AX65" s="25" t="str">
        <f>IFERROR(RANK(AU65,$AU$6:$AU$200)+COUNTIF($AU$6:AU65,AU65)-1,"")</f>
        <v/>
      </c>
    </row>
    <row r="66" spans="4:50" x14ac:dyDescent="0.25">
      <c r="D66" s="14"/>
      <c r="V66" s="38" t="str">
        <f t="shared" si="8"/>
        <v>--</v>
      </c>
      <c r="W66" s="38"/>
      <c r="AM66" s="14"/>
      <c r="AN66" s="14"/>
      <c r="AO66" s="14"/>
      <c r="AP66" s="14"/>
      <c r="AT66" s="25"/>
      <c r="AU66" s="32" t="str">
        <f>IF(ISBLANK(AT66),"",SUMIFS(Table1[Amount $],Table1[Merchant],Snapshot!AT66,Table1[Month],Snapshot!$W$4)*-1)</f>
        <v/>
      </c>
      <c r="AV66" s="25" t="str">
        <f>IF(ISBLANK(AT66),"",COUNTIFS(Table1[Merchant],Snapshot!AT66,Table1[Month],Snapshot!$W$4))</f>
        <v/>
      </c>
      <c r="AW66" s="25" t="str">
        <f>IFERROR(RANK(AV66,$AV$6:$AV$200)+COUNTIF($AV$6:AV66,AV66)-1,"")</f>
        <v/>
      </c>
      <c r="AX66" s="25" t="str">
        <f>IFERROR(RANK(AU66,$AU$6:$AU$200)+COUNTIF($AU$6:AU66,AU66)-1,"")</f>
        <v/>
      </c>
    </row>
    <row r="67" spans="4:50" x14ac:dyDescent="0.25">
      <c r="D67" s="14"/>
      <c r="V67" s="38" t="str">
        <f t="shared" si="8"/>
        <v>--</v>
      </c>
      <c r="W67" s="38"/>
      <c r="AM67" s="14"/>
      <c r="AN67" s="14"/>
      <c r="AO67" s="14"/>
      <c r="AP67" s="14"/>
      <c r="AT67" s="25"/>
      <c r="AU67" s="32" t="str">
        <f>IF(ISBLANK(AT67),"",SUMIFS(Table1[Amount $],Table1[Merchant],Snapshot!AT67,Table1[Month],Snapshot!$W$4)*-1)</f>
        <v/>
      </c>
      <c r="AV67" s="25" t="str">
        <f>IF(ISBLANK(AT67),"",COUNTIFS(Table1[Merchant],Snapshot!AT67,Table1[Month],Snapshot!$W$4))</f>
        <v/>
      </c>
      <c r="AW67" s="25" t="str">
        <f>IFERROR(RANK(AV67,$AV$6:$AV$200)+COUNTIF($AV$6:AV67,AV67)-1,"")</f>
        <v/>
      </c>
      <c r="AX67" s="25" t="str">
        <f>IFERROR(RANK(AU67,$AU$6:$AU$200)+COUNTIF($AU$6:AU67,AU67)-1,"")</f>
        <v/>
      </c>
    </row>
    <row r="68" spans="4:50" x14ac:dyDescent="0.25">
      <c r="D68" s="14"/>
      <c r="V68" s="38" t="str">
        <f t="shared" si="8"/>
        <v>--</v>
      </c>
      <c r="W68" s="38"/>
      <c r="AM68" s="14"/>
      <c r="AN68" s="14"/>
      <c r="AO68" s="14"/>
      <c r="AP68" s="14"/>
      <c r="AT68" s="25"/>
      <c r="AU68" s="32" t="str">
        <f>IF(ISBLANK(AT68),"",SUMIFS(Table1[Amount $],Table1[Merchant],Snapshot!AT68,Table1[Month],Snapshot!$W$4)*-1)</f>
        <v/>
      </c>
      <c r="AV68" s="25" t="str">
        <f>IF(ISBLANK(AT68),"",COUNTIFS(Table1[Merchant],Snapshot!AT68,Table1[Month],Snapshot!$W$4))</f>
        <v/>
      </c>
      <c r="AW68" s="25" t="str">
        <f>IFERROR(RANK(AV68,$AV$6:$AV$200)+COUNTIF($AV$6:AV68,AV68)-1,"")</f>
        <v/>
      </c>
      <c r="AX68" s="25" t="str">
        <f>IFERROR(RANK(AU68,$AU$6:$AU$200)+COUNTIF($AU$6:AU68,AU68)-1,"")</f>
        <v/>
      </c>
    </row>
    <row r="69" spans="4:50" x14ac:dyDescent="0.25">
      <c r="D69" s="14"/>
      <c r="V69" s="38" t="str">
        <f t="shared" si="8"/>
        <v>--</v>
      </c>
      <c r="W69" s="38"/>
      <c r="AT69" s="25"/>
      <c r="AU69" s="32" t="str">
        <f>IF(ISBLANK(AT69),"",SUMIFS(Table1[Amount $],Table1[Merchant],Snapshot!AT69,Table1[Month],Snapshot!$W$4)*-1)</f>
        <v/>
      </c>
      <c r="AV69" s="25" t="str">
        <f>IF(ISBLANK(AT69),"",COUNTIFS(Table1[Merchant],Snapshot!AT69,Table1[Month],Snapshot!$W$4))</f>
        <v/>
      </c>
      <c r="AW69" s="25" t="str">
        <f>IFERROR(RANK(AV69,$AV$6:$AV$200)+COUNTIF($AV$6:AV69,AV69)-1,"")</f>
        <v/>
      </c>
      <c r="AX69" s="25" t="str">
        <f>IFERROR(RANK(AU69,$AU$6:$AU$200)+COUNTIF($AU$6:AU69,AU69)-1,"")</f>
        <v/>
      </c>
    </row>
    <row r="70" spans="4:50" x14ac:dyDescent="0.25">
      <c r="D70" s="14"/>
      <c r="V70" s="38" t="str">
        <f t="shared" si="8"/>
        <v>--</v>
      </c>
      <c r="W70" s="38"/>
      <c r="AT70" s="25"/>
      <c r="AU70" s="32" t="str">
        <f>IF(ISBLANK(AT70),"",SUMIFS(Table1[Amount $],Table1[Merchant],Snapshot!AT70,Table1[Month],Snapshot!$W$4)*-1)</f>
        <v/>
      </c>
      <c r="AV70" s="25" t="str">
        <f>IF(ISBLANK(AT70),"",COUNTIFS(Table1[Merchant],Snapshot!AT70,Table1[Month],Snapshot!$W$4))</f>
        <v/>
      </c>
      <c r="AW70" s="25" t="str">
        <f>IFERROR(RANK(AV70,$AV$6:$AV$200)+COUNTIF($AV$6:AV70,AV70)-1,"")</f>
        <v/>
      </c>
      <c r="AX70" s="25" t="str">
        <f>IFERROR(RANK(AU70,$AU$6:$AU$200)+COUNTIF($AU$6:AU70,AU70)-1,"")</f>
        <v/>
      </c>
    </row>
    <row r="71" spans="4:50" x14ac:dyDescent="0.25">
      <c r="D71" s="14"/>
      <c r="V71" s="38" t="str">
        <f t="shared" si="8"/>
        <v>--</v>
      </c>
      <c r="W71" s="38"/>
      <c r="AT71" s="25"/>
      <c r="AU71" s="32" t="str">
        <f>IF(ISBLANK(AT71),"",SUMIFS(Table1[Amount $],Table1[Merchant],Snapshot!AT71,Table1[Month],Snapshot!$W$4)*-1)</f>
        <v/>
      </c>
      <c r="AV71" s="25" t="str">
        <f>IF(ISBLANK(AT71),"",COUNTIFS(Table1[Merchant],Snapshot!AT71,Table1[Month],Snapshot!$W$4))</f>
        <v/>
      </c>
      <c r="AW71" s="25" t="str">
        <f>IFERROR(RANK(AV71,$AV$6:$AV$200)+COUNTIF($AV$6:AV71,AV71)-1,"")</f>
        <v/>
      </c>
      <c r="AX71" s="25" t="str">
        <f>IFERROR(RANK(AU71,$AU$6:$AU$200)+COUNTIF($AU$6:AU71,AU71)-1,"")</f>
        <v/>
      </c>
    </row>
    <row r="72" spans="4:50" x14ac:dyDescent="0.25">
      <c r="V72" s="38" t="str">
        <f t="shared" si="8"/>
        <v>--</v>
      </c>
      <c r="W72" s="38"/>
      <c r="AT72" s="25"/>
      <c r="AU72" s="32" t="str">
        <f>IF(ISBLANK(AT72),"",SUMIFS(Table1[Amount $],Table1[Merchant],Snapshot!AT72,Table1[Month],Snapshot!$W$4)*-1)</f>
        <v/>
      </c>
      <c r="AV72" s="25" t="str">
        <f>IF(ISBLANK(AT72),"",COUNTIFS(Table1[Merchant],Snapshot!AT72,Table1[Month],Snapshot!$W$4))</f>
        <v/>
      </c>
      <c r="AW72" s="25" t="str">
        <f>IFERROR(RANK(AV72,$AV$6:$AV$200)+COUNTIF($AV$6:AV72,AV72)-1,"")</f>
        <v/>
      </c>
      <c r="AX72" s="25" t="str">
        <f>IFERROR(RANK(AU72,$AU$6:$AU$200)+COUNTIF($AU$6:AU72,AU72)-1,"")</f>
        <v/>
      </c>
    </row>
    <row r="73" spans="4:50" x14ac:dyDescent="0.25">
      <c r="V73" s="38" t="str">
        <f t="shared" si="8"/>
        <v>--</v>
      </c>
      <c r="W73" s="38"/>
      <c r="AT73" s="25"/>
      <c r="AU73" s="32" t="str">
        <f>IF(ISBLANK(AT73),"",SUMIFS(Table1[Amount $],Table1[Merchant],Snapshot!AT73,Table1[Month],Snapshot!$W$4)*-1)</f>
        <v/>
      </c>
      <c r="AV73" s="25" t="str">
        <f>IF(ISBLANK(AT73),"",COUNTIFS(Table1[Merchant],Snapshot!AT73,Table1[Month],Snapshot!$W$4))</f>
        <v/>
      </c>
      <c r="AW73" s="25" t="str">
        <f>IFERROR(RANK(AV73,$AV$6:$AV$200)+COUNTIF($AV$6:AV73,AV73)-1,"")</f>
        <v/>
      </c>
      <c r="AX73" s="25" t="str">
        <f>IFERROR(RANK(AU73,$AU$6:$AU$200)+COUNTIF($AU$6:AU73,AU73)-1,"")</f>
        <v/>
      </c>
    </row>
    <row r="74" spans="4:50" x14ac:dyDescent="0.25">
      <c r="V74" s="38" t="str">
        <f t="shared" si="8"/>
        <v>--</v>
      </c>
      <c r="W74" s="38"/>
      <c r="AT74" s="25"/>
      <c r="AU74" s="32" t="str">
        <f>IF(ISBLANK(AT74),"",SUMIFS(Table1[Amount $],Table1[Merchant],Snapshot!AT74,Table1[Month],Snapshot!$W$4)*-1)</f>
        <v/>
      </c>
      <c r="AV74" s="25" t="str">
        <f>IF(ISBLANK(AT74),"",COUNTIFS(Table1[Merchant],Snapshot!AT74,Table1[Month],Snapshot!$W$4))</f>
        <v/>
      </c>
      <c r="AW74" s="25" t="str">
        <f>IFERROR(RANK(AV74,$AV$6:$AV$200)+COUNTIF($AV$6:AV74,AV74)-1,"")</f>
        <v/>
      </c>
      <c r="AX74" s="25" t="str">
        <f>IFERROR(RANK(AU74,$AU$6:$AU$200)+COUNTIF($AU$6:AU74,AU74)-1,"")</f>
        <v/>
      </c>
    </row>
    <row r="75" spans="4:50" x14ac:dyDescent="0.25">
      <c r="V75" s="38" t="str">
        <f t="shared" si="8"/>
        <v>--</v>
      </c>
      <c r="W75" s="38"/>
      <c r="AT75" s="25"/>
      <c r="AU75" s="32" t="str">
        <f>IF(ISBLANK(AT75),"",SUMIFS(Table1[Amount $],Table1[Merchant],Snapshot!AT75,Table1[Month],Snapshot!$W$4)*-1)</f>
        <v/>
      </c>
      <c r="AV75" s="25" t="str">
        <f>IF(ISBLANK(AT75),"",COUNTIFS(Table1[Merchant],Snapshot!AT75,Table1[Month],Snapshot!$W$4))</f>
        <v/>
      </c>
      <c r="AW75" s="25" t="str">
        <f>IFERROR(RANK(AV75,$AV$6:$AV$200)+COUNTIF($AV$6:AV75,AV75)-1,"")</f>
        <v/>
      </c>
      <c r="AX75" s="25" t="str">
        <f>IFERROR(RANK(AU75,$AU$6:$AU$200)+COUNTIF($AU$6:AU75,AU75)-1,"")</f>
        <v/>
      </c>
    </row>
    <row r="76" spans="4:50" x14ac:dyDescent="0.25">
      <c r="V76" s="38" t="str">
        <f t="shared" si="8"/>
        <v>--</v>
      </c>
      <c r="W76" s="38"/>
      <c r="AT76" s="25"/>
      <c r="AU76" s="32" t="str">
        <f>IF(ISBLANK(AT76),"",SUMIFS(Table1[Amount $],Table1[Merchant],Snapshot!AT76,Table1[Month],Snapshot!$W$4)*-1)</f>
        <v/>
      </c>
      <c r="AV76" s="25" t="str">
        <f>IF(ISBLANK(AT76),"",COUNTIFS(Table1[Merchant],Snapshot!AT76,Table1[Month],Snapshot!$W$4))</f>
        <v/>
      </c>
      <c r="AW76" s="25" t="str">
        <f>IFERROR(RANK(AV76,$AV$6:$AV$200)+COUNTIF($AV$6:AV76,AV76)-1,"")</f>
        <v/>
      </c>
      <c r="AX76" s="25" t="str">
        <f>IFERROR(RANK(AU76,$AU$6:$AU$200)+COUNTIF($AU$6:AU76,AU76)-1,"")</f>
        <v/>
      </c>
    </row>
    <row r="77" spans="4:50" x14ac:dyDescent="0.25">
      <c r="V77" s="38" t="str">
        <f t="shared" si="8"/>
        <v>--</v>
      </c>
      <c r="W77" s="38"/>
      <c r="AT77" s="25"/>
      <c r="AU77" s="32" t="str">
        <f>IF(ISBLANK(AT77),"",SUMIFS(Table1[Amount $],Table1[Merchant],Snapshot!AT77,Table1[Month],Snapshot!$W$4)*-1)</f>
        <v/>
      </c>
      <c r="AV77" s="25" t="str">
        <f>IF(ISBLANK(AT77),"",COUNTIFS(Table1[Merchant],Snapshot!AT77,Table1[Month],Snapshot!$W$4))</f>
        <v/>
      </c>
      <c r="AW77" s="25" t="str">
        <f>IFERROR(RANK(AV77,$AV$6:$AV$200)+COUNTIF($AV$6:AV77,AV77)-1,"")</f>
        <v/>
      </c>
      <c r="AX77" s="25" t="str">
        <f>IFERROR(RANK(AU77,$AU$6:$AU$200)+COUNTIF($AU$6:AU77,AU77)-1,"")</f>
        <v/>
      </c>
    </row>
    <row r="78" spans="4:50" x14ac:dyDescent="0.25">
      <c r="V78" s="38" t="str">
        <f t="shared" si="8"/>
        <v>--</v>
      </c>
      <c r="W78" s="38"/>
      <c r="AT78" s="25"/>
      <c r="AU78" s="32" t="str">
        <f>IF(ISBLANK(AT78),"",SUMIFS(Table1[Amount $],Table1[Merchant],Snapshot!AT78,Table1[Month],Snapshot!$W$4)*-1)</f>
        <v/>
      </c>
      <c r="AV78" s="25" t="str">
        <f>IF(ISBLANK(AT78),"",COUNTIFS(Table1[Merchant],Snapshot!AT78,Table1[Month],Snapshot!$W$4))</f>
        <v/>
      </c>
      <c r="AW78" s="25" t="str">
        <f>IFERROR(RANK(AV78,$AV$6:$AV$200)+COUNTIF($AV$6:AV78,AV78)-1,"")</f>
        <v/>
      </c>
      <c r="AX78" s="25" t="str">
        <f>IFERROR(RANK(AU78,$AU$6:$AU$200)+COUNTIF($AU$6:AU78,AU78)-1,"")</f>
        <v/>
      </c>
    </row>
    <row r="79" spans="4:50" x14ac:dyDescent="0.25">
      <c r="V79" s="38" t="str">
        <f t="shared" si="8"/>
        <v>--</v>
      </c>
      <c r="W79" s="38"/>
      <c r="AT79" s="25"/>
      <c r="AU79" s="32" t="str">
        <f>IF(ISBLANK(AT79),"",SUMIFS(Table1[Amount $],Table1[Merchant],Snapshot!AT79,Table1[Month],Snapshot!$W$4)*-1)</f>
        <v/>
      </c>
      <c r="AV79" s="25" t="str">
        <f>IF(ISBLANK(AT79),"",COUNTIFS(Table1[Merchant],Snapshot!AT79,Table1[Month],Snapshot!$W$4))</f>
        <v/>
      </c>
      <c r="AW79" s="25" t="str">
        <f>IFERROR(RANK(AV79,$AV$6:$AV$200)+COUNTIF($AV$6:AV79,AV79)-1,"")</f>
        <v/>
      </c>
      <c r="AX79" s="25" t="str">
        <f>IFERROR(RANK(AU79,$AU$6:$AU$200)+COUNTIF($AU$6:AU79,AU79)-1,"")</f>
        <v/>
      </c>
    </row>
    <row r="80" spans="4:50" x14ac:dyDescent="0.25">
      <c r="V80" s="38" t="str">
        <f t="shared" si="8"/>
        <v>--</v>
      </c>
      <c r="W80" s="38"/>
      <c r="AT80" s="25"/>
      <c r="AU80" s="32" t="str">
        <f>IF(ISBLANK(AT80),"",SUMIFS(Table1[Amount $],Table1[Merchant],Snapshot!AT80,Table1[Month],Snapshot!$W$4)*-1)</f>
        <v/>
      </c>
      <c r="AV80" s="25" t="str">
        <f>IF(ISBLANK(AT80),"",COUNTIFS(Table1[Merchant],Snapshot!AT80,Table1[Month],Snapshot!$W$4))</f>
        <v/>
      </c>
      <c r="AW80" s="25" t="str">
        <f>IFERROR(RANK(AV80,$AV$6:$AV$200)+COUNTIF($AV$6:AV80,AV80)-1,"")</f>
        <v/>
      </c>
      <c r="AX80" s="25" t="str">
        <f>IFERROR(RANK(AU80,$AU$6:$AU$200)+COUNTIF($AU$6:AU80,AU80)-1,"")</f>
        <v/>
      </c>
    </row>
    <row r="81" spans="22:50" x14ac:dyDescent="0.25">
      <c r="V81" s="38" t="str">
        <f t="shared" si="8"/>
        <v>--</v>
      </c>
      <c r="W81" s="38"/>
      <c r="AT81" s="25"/>
      <c r="AU81" s="32" t="str">
        <f>IF(ISBLANK(AT81),"",SUMIFS(Table1[Amount $],Table1[Merchant],Snapshot!AT81,Table1[Month],Snapshot!$W$4)*-1)</f>
        <v/>
      </c>
      <c r="AV81" s="25" t="str">
        <f>IF(ISBLANK(AT81),"",COUNTIFS(Table1[Merchant],Snapshot!AT81,Table1[Month],Snapshot!$W$4))</f>
        <v/>
      </c>
      <c r="AW81" s="25" t="str">
        <f>IFERROR(RANK(AV81,$AV$6:$AV$200)+COUNTIF($AV$6:AV81,AV81)-1,"")</f>
        <v/>
      </c>
      <c r="AX81" s="25" t="str">
        <f>IFERROR(RANK(AU81,$AU$6:$AU$200)+COUNTIF($AU$6:AU81,AU81)-1,"")</f>
        <v/>
      </c>
    </row>
    <row r="82" spans="22:50" x14ac:dyDescent="0.25">
      <c r="V82" s="38" t="str">
        <f t="shared" si="8"/>
        <v>--</v>
      </c>
      <c r="W82" s="38"/>
      <c r="AT82" s="25"/>
      <c r="AU82" s="32" t="str">
        <f>IF(ISBLANK(AT82),"",SUMIFS(Table1[Amount $],Table1[Merchant],Snapshot!AT82,Table1[Month],Snapshot!$W$4)*-1)</f>
        <v/>
      </c>
      <c r="AV82" s="25" t="str">
        <f>IF(ISBLANK(AT82),"",COUNTIFS(Table1[Merchant],Snapshot!AT82,Table1[Month],Snapshot!$W$4))</f>
        <v/>
      </c>
      <c r="AW82" s="25" t="str">
        <f>IFERROR(RANK(AV82,$AV$6:$AV$200)+COUNTIF($AV$6:AV82,AV82)-1,"")</f>
        <v/>
      </c>
      <c r="AX82" s="25" t="str">
        <f>IFERROR(RANK(AU82,$AU$6:$AU$200)+COUNTIF($AU$6:AU82,AU82)-1,"")</f>
        <v/>
      </c>
    </row>
    <row r="83" spans="22:50" x14ac:dyDescent="0.25">
      <c r="V83" s="38" t="str">
        <f t="shared" si="8"/>
        <v>--</v>
      </c>
      <c r="W83" s="38"/>
      <c r="AT83" s="25"/>
      <c r="AU83" s="32" t="str">
        <f>IF(ISBLANK(AT83),"",SUMIFS(Table1[Amount $],Table1[Merchant],Snapshot!AT83,Table1[Month],Snapshot!$W$4)*-1)</f>
        <v/>
      </c>
      <c r="AV83" s="25" t="str">
        <f>IF(ISBLANK(AT83),"",COUNTIFS(Table1[Merchant],Snapshot!AT83,Table1[Month],Snapshot!$W$4))</f>
        <v/>
      </c>
      <c r="AW83" s="25" t="str">
        <f>IFERROR(RANK(AV83,$AV$6:$AV$200)+COUNTIF($AV$6:AV83,AV83)-1,"")</f>
        <v/>
      </c>
      <c r="AX83" s="25" t="str">
        <f>IFERROR(RANK(AU83,$AU$6:$AU$200)+COUNTIF($AU$6:AU83,AU83)-1,"")</f>
        <v/>
      </c>
    </row>
    <row r="84" spans="22:50" x14ac:dyDescent="0.25">
      <c r="V84" s="38" t="str">
        <f t="shared" si="8"/>
        <v>--</v>
      </c>
      <c r="W84" s="38"/>
      <c r="AT84" s="25"/>
      <c r="AU84" s="32" t="str">
        <f>IF(ISBLANK(AT84),"",SUMIFS(Table1[Amount $],Table1[Merchant],Snapshot!AT84,Table1[Month],Snapshot!$W$4)*-1)</f>
        <v/>
      </c>
      <c r="AV84" s="25" t="str">
        <f>IF(ISBLANK(AT84),"",COUNTIFS(Table1[Merchant],Snapshot!AT84,Table1[Month],Snapshot!$W$4))</f>
        <v/>
      </c>
      <c r="AW84" s="25" t="str">
        <f>IFERROR(RANK(AV84,$AV$6:$AV$200)+COUNTIF($AV$6:AV84,AV84)-1,"")</f>
        <v/>
      </c>
      <c r="AX84" s="25" t="str">
        <f>IFERROR(RANK(AU84,$AU$6:$AU$200)+COUNTIF($AU$6:AU84,AU84)-1,"")</f>
        <v/>
      </c>
    </row>
    <row r="85" spans="22:50" x14ac:dyDescent="0.25">
      <c r="V85" s="38" t="str">
        <f t="shared" si="8"/>
        <v>--</v>
      </c>
      <c r="W85" s="38"/>
      <c r="AT85" s="25"/>
      <c r="AU85" s="32" t="str">
        <f>IF(ISBLANK(AT85),"",SUMIFS(Table1[Amount $],Table1[Merchant],Snapshot!AT85,Table1[Month],Snapshot!$W$4)*-1)</f>
        <v/>
      </c>
      <c r="AV85" s="25" t="str">
        <f>IF(ISBLANK(AT85),"",COUNTIFS(Table1[Merchant],Snapshot!AT85,Table1[Month],Snapshot!$W$4))</f>
        <v/>
      </c>
      <c r="AW85" s="25" t="str">
        <f>IFERROR(RANK(AV85,$AV$6:$AV$200)+COUNTIF($AV$6:AV85,AV85)-1,"")</f>
        <v/>
      </c>
      <c r="AX85" s="25" t="str">
        <f>IFERROR(RANK(AU85,$AU$6:$AU$200)+COUNTIF($AU$6:AU85,AU85)-1,"")</f>
        <v/>
      </c>
    </row>
    <row r="86" spans="22:50" x14ac:dyDescent="0.25">
      <c r="V86" s="38" t="str">
        <f t="shared" si="8"/>
        <v>--</v>
      </c>
      <c r="W86" s="38"/>
      <c r="AT86" s="25"/>
      <c r="AU86" s="32" t="str">
        <f>IF(ISBLANK(AT86),"",SUMIFS(Table1[Amount $],Table1[Merchant],Snapshot!AT86,Table1[Month],Snapshot!$W$4)*-1)</f>
        <v/>
      </c>
      <c r="AV86" s="25" t="str">
        <f>IF(ISBLANK(AT86),"",COUNTIFS(Table1[Merchant],Snapshot!AT86,Table1[Month],Snapshot!$W$4))</f>
        <v/>
      </c>
      <c r="AW86" s="25" t="str">
        <f>IFERROR(RANK(AV86,$AV$6:$AV$200)+COUNTIF($AV$6:AV86,AV86)-1,"")</f>
        <v/>
      </c>
      <c r="AX86" s="25" t="str">
        <f>IFERROR(RANK(AU86,$AU$6:$AU$200)+COUNTIF($AU$6:AU86,AU86)-1,"")</f>
        <v/>
      </c>
    </row>
    <row r="87" spans="22:50" x14ac:dyDescent="0.25">
      <c r="V87" s="38" t="str">
        <f t="shared" si="8"/>
        <v>--</v>
      </c>
      <c r="W87" s="38"/>
      <c r="AT87" s="25"/>
      <c r="AU87" s="32" t="str">
        <f>IF(ISBLANK(AT87),"",SUMIFS(Table1[Amount $],Table1[Merchant],Snapshot!AT87,Table1[Month],Snapshot!$W$4)*-1)</f>
        <v/>
      </c>
      <c r="AV87" s="25" t="str">
        <f>IF(ISBLANK(AT87),"",COUNTIFS(Table1[Merchant],Snapshot!AT87,Table1[Month],Snapshot!$W$4))</f>
        <v/>
      </c>
      <c r="AW87" s="25" t="str">
        <f>IFERROR(RANK(AV87,$AV$6:$AV$200)+COUNTIF($AV$6:AV87,AV87)-1,"")</f>
        <v/>
      </c>
      <c r="AX87" s="25" t="str">
        <f>IFERROR(RANK(AU87,$AU$6:$AU$200)+COUNTIF($AU$6:AU87,AU87)-1,"")</f>
        <v/>
      </c>
    </row>
    <row r="88" spans="22:50" x14ac:dyDescent="0.25">
      <c r="V88" s="38" t="str">
        <f t="shared" si="8"/>
        <v>--</v>
      </c>
      <c r="W88" s="38"/>
      <c r="AT88" s="25"/>
      <c r="AU88" s="32" t="str">
        <f>IF(ISBLANK(AT88),"",SUMIFS(Table1[Amount $],Table1[Merchant],Snapshot!AT88,Table1[Month],Snapshot!$W$4)*-1)</f>
        <v/>
      </c>
      <c r="AV88" s="25" t="str">
        <f>IF(ISBLANK(AT88),"",COUNTIFS(Table1[Merchant],Snapshot!AT88,Table1[Month],Snapshot!$W$4))</f>
        <v/>
      </c>
      <c r="AW88" s="25" t="str">
        <f>IFERROR(RANK(AV88,$AV$6:$AV$200)+COUNTIF($AV$6:AV88,AV88)-1,"")</f>
        <v/>
      </c>
      <c r="AX88" s="25" t="str">
        <f>IFERROR(RANK(AU88,$AU$6:$AU$200)+COUNTIF($AU$6:AU88,AU88)-1,"")</f>
        <v/>
      </c>
    </row>
    <row r="89" spans="22:50" x14ac:dyDescent="0.25">
      <c r="V89" s="38" t="str">
        <f t="shared" si="8"/>
        <v>--</v>
      </c>
      <c r="W89" s="38"/>
      <c r="AT89" s="25"/>
      <c r="AU89" s="32" t="str">
        <f>IF(ISBLANK(AT89),"",SUMIFS(Table1[Amount $],Table1[Merchant],Snapshot!AT89,Table1[Month],Snapshot!$W$4)*-1)</f>
        <v/>
      </c>
      <c r="AV89" s="25" t="str">
        <f>IF(ISBLANK(AT89),"",COUNTIFS(Table1[Merchant],Snapshot!AT89,Table1[Month],Snapshot!$W$4))</f>
        <v/>
      </c>
      <c r="AW89" s="25" t="str">
        <f>IFERROR(RANK(AV89,$AV$6:$AV$200)+COUNTIF($AV$6:AV89,AV89)-1,"")</f>
        <v/>
      </c>
      <c r="AX89" s="25" t="str">
        <f>IFERROR(RANK(AU89,$AU$6:$AU$200)+COUNTIF($AU$6:AU89,AU89)-1,"")</f>
        <v/>
      </c>
    </row>
    <row r="90" spans="22:50" x14ac:dyDescent="0.25">
      <c r="V90" s="38" t="str">
        <f t="shared" si="8"/>
        <v>--</v>
      </c>
      <c r="W90" s="38"/>
      <c r="AT90" s="25"/>
      <c r="AU90" s="32" t="str">
        <f>IF(ISBLANK(AT90),"",SUMIFS(Table1[Amount $],Table1[Merchant],Snapshot!AT90,Table1[Month],Snapshot!$W$4)*-1)</f>
        <v/>
      </c>
      <c r="AV90" s="25" t="str">
        <f>IF(ISBLANK(AT90),"",COUNTIFS(Table1[Merchant],Snapshot!AT90,Table1[Month],Snapshot!$W$4))</f>
        <v/>
      </c>
      <c r="AW90" s="25" t="str">
        <f>IFERROR(RANK(AV90,$AV$6:$AV$200)+COUNTIF($AV$6:AV90,AV90)-1,"")</f>
        <v/>
      </c>
      <c r="AX90" s="25" t="str">
        <f>IFERROR(RANK(AU90,$AU$6:$AU$200)+COUNTIF($AU$6:AU90,AU90)-1,"")</f>
        <v/>
      </c>
    </row>
    <row r="91" spans="22:50" x14ac:dyDescent="0.25">
      <c r="V91" s="38" t="str">
        <f t="shared" si="8"/>
        <v>--</v>
      </c>
      <c r="W91" s="38"/>
      <c r="AT91" s="25"/>
      <c r="AU91" s="32" t="str">
        <f>IF(ISBLANK(AT91),"",SUMIFS(Table1[Amount $],Table1[Merchant],Snapshot!AT91,Table1[Month],Snapshot!$W$4)*-1)</f>
        <v/>
      </c>
      <c r="AV91" s="25" t="str">
        <f>IF(ISBLANK(AT91),"",COUNTIFS(Table1[Merchant],Snapshot!AT91,Table1[Month],Snapshot!$W$4))</f>
        <v/>
      </c>
      <c r="AW91" s="25" t="str">
        <f>IFERROR(RANK(AV91,$AV$6:$AV$200)+COUNTIF($AV$6:AV91,AV91)-1,"")</f>
        <v/>
      </c>
      <c r="AX91" s="25" t="str">
        <f>IFERROR(RANK(AU91,$AU$6:$AU$200)+COUNTIF($AU$6:AU91,AU91)-1,"")</f>
        <v/>
      </c>
    </row>
    <row r="92" spans="22:50" x14ac:dyDescent="0.25">
      <c r="V92" s="38" t="str">
        <f t="shared" si="8"/>
        <v>--</v>
      </c>
      <c r="W92" s="38"/>
      <c r="AT92" s="25"/>
      <c r="AU92" s="32" t="str">
        <f>IF(ISBLANK(AT92),"",SUMIFS(Table1[Amount $],Table1[Merchant],Snapshot!AT92,Table1[Month],Snapshot!$W$4)*-1)</f>
        <v/>
      </c>
      <c r="AV92" s="25" t="str">
        <f>IF(ISBLANK(AT92),"",COUNTIFS(Table1[Merchant],Snapshot!AT92,Table1[Month],Snapshot!$W$4))</f>
        <v/>
      </c>
      <c r="AW92" s="25" t="str">
        <f>IFERROR(RANK(AV92,$AV$6:$AV$200)+COUNTIF($AV$6:AV92,AV92)-1,"")</f>
        <v/>
      </c>
      <c r="AX92" s="25" t="str">
        <f>IFERROR(RANK(AU92,$AU$6:$AU$200)+COUNTIF($AU$6:AU92,AU92)-1,"")</f>
        <v/>
      </c>
    </row>
    <row r="93" spans="22:50" x14ac:dyDescent="0.25">
      <c r="V93" s="38" t="str">
        <f t="shared" si="8"/>
        <v>--</v>
      </c>
      <c r="W93" s="38"/>
      <c r="AT93" s="25"/>
      <c r="AU93" s="32" t="str">
        <f>IF(ISBLANK(AT93),"",SUMIFS(Table1[Amount $],Table1[Merchant],Snapshot!AT93,Table1[Month],Snapshot!$W$4)*-1)</f>
        <v/>
      </c>
      <c r="AV93" s="25" t="str">
        <f>IF(ISBLANK(AT93),"",COUNTIFS(Table1[Merchant],Snapshot!AT93,Table1[Month],Snapshot!$W$4))</f>
        <v/>
      </c>
      <c r="AW93" s="25" t="str">
        <f>IFERROR(RANK(AV93,$AV$6:$AV$200)+COUNTIF($AV$6:AV93,AV93)-1,"")</f>
        <v/>
      </c>
      <c r="AX93" s="25" t="str">
        <f>IFERROR(RANK(AU93,$AU$6:$AU$200)+COUNTIF($AU$6:AU93,AU93)-1,"")</f>
        <v/>
      </c>
    </row>
    <row r="94" spans="22:50" x14ac:dyDescent="0.25">
      <c r="V94" s="38" t="str">
        <f t="shared" si="8"/>
        <v>--</v>
      </c>
      <c r="W94" s="38"/>
      <c r="AT94" s="25"/>
      <c r="AU94" s="32" t="str">
        <f>IF(ISBLANK(AT94),"",SUMIFS(Table1[Amount $],Table1[Merchant],Snapshot!AT94,Table1[Month],Snapshot!$W$4)*-1)</f>
        <v/>
      </c>
      <c r="AV94" s="25" t="str">
        <f>IF(ISBLANK(AT94),"",COUNTIFS(Table1[Merchant],Snapshot!AT94,Table1[Month],Snapshot!$W$4))</f>
        <v/>
      </c>
      <c r="AW94" s="25" t="str">
        <f>IFERROR(RANK(AV94,$AV$6:$AV$200)+COUNTIF($AV$6:AV94,AV94)-1,"")</f>
        <v/>
      </c>
      <c r="AX94" s="25" t="str">
        <f>IFERROR(RANK(AU94,$AU$6:$AU$200)+COUNTIF($AU$6:AU94,AU94)-1,"")</f>
        <v/>
      </c>
    </row>
    <row r="95" spans="22:50" x14ac:dyDescent="0.25">
      <c r="V95" s="38" t="str">
        <f t="shared" si="8"/>
        <v>--</v>
      </c>
      <c r="W95" s="38"/>
      <c r="AT95" s="25"/>
      <c r="AU95" s="32" t="str">
        <f>IF(ISBLANK(AT95),"",SUMIFS(Table1[Amount $],Table1[Merchant],Snapshot!AT95,Table1[Month],Snapshot!$W$4)*-1)</f>
        <v/>
      </c>
      <c r="AV95" s="25" t="str">
        <f>IF(ISBLANK(AT95),"",COUNTIFS(Table1[Merchant],Snapshot!AT95,Table1[Month],Snapshot!$W$4))</f>
        <v/>
      </c>
      <c r="AW95" s="25" t="str">
        <f>IFERROR(RANK(AV95,$AV$6:$AV$200)+COUNTIF($AV$6:AV95,AV95)-1,"")</f>
        <v/>
      </c>
      <c r="AX95" s="25" t="str">
        <f>IFERROR(RANK(AU95,$AU$6:$AU$200)+COUNTIF($AU$6:AU95,AU95)-1,"")</f>
        <v/>
      </c>
    </row>
    <row r="96" spans="22:50" x14ac:dyDescent="0.25">
      <c r="V96" s="38" t="str">
        <f t="shared" si="8"/>
        <v>--</v>
      </c>
      <c r="W96" s="38"/>
      <c r="AT96" s="25"/>
      <c r="AU96" s="32" t="str">
        <f>IF(ISBLANK(AT96),"",SUMIFS(Table1[Amount $],Table1[Merchant],Snapshot!AT96,Table1[Month],Snapshot!$W$4)*-1)</f>
        <v/>
      </c>
      <c r="AV96" s="25" t="str">
        <f>IF(ISBLANK(AT96),"",COUNTIFS(Table1[Merchant],Snapshot!AT96,Table1[Month],Snapshot!$W$4))</f>
        <v/>
      </c>
      <c r="AW96" s="25" t="str">
        <f>IFERROR(RANK(AV96,$AV$6:$AV$200)+COUNTIF($AV$6:AV96,AV96)-1,"")</f>
        <v/>
      </c>
      <c r="AX96" s="25" t="str">
        <f>IFERROR(RANK(AU96,$AU$6:$AU$200)+COUNTIF($AU$6:AU96,AU96)-1,"")</f>
        <v/>
      </c>
    </row>
    <row r="97" spans="22:50" x14ac:dyDescent="0.25">
      <c r="V97" s="38" t="str">
        <f t="shared" si="8"/>
        <v>--</v>
      </c>
      <c r="W97" s="38"/>
      <c r="AT97" s="25"/>
      <c r="AU97" s="32" t="str">
        <f>IF(ISBLANK(AT97),"",SUMIFS(Table1[Amount $],Table1[Merchant],Snapshot!AT97,Table1[Month],Snapshot!$W$4)*-1)</f>
        <v/>
      </c>
      <c r="AV97" s="25" t="str">
        <f>IF(ISBLANK(AT97),"",COUNTIFS(Table1[Merchant],Snapshot!AT97,Table1[Month],Snapshot!$W$4))</f>
        <v/>
      </c>
      <c r="AW97" s="25" t="str">
        <f>IFERROR(RANK(AV97,$AV$6:$AV$200)+COUNTIF($AV$6:AV97,AV97)-1,"")</f>
        <v/>
      </c>
      <c r="AX97" s="25" t="str">
        <f>IFERROR(RANK(AU97,$AU$6:$AU$200)+COUNTIF($AU$6:AU97,AU97)-1,"")</f>
        <v/>
      </c>
    </row>
    <row r="98" spans="22:50" x14ac:dyDescent="0.25">
      <c r="V98" s="38" t="str">
        <f t="shared" si="8"/>
        <v>--</v>
      </c>
      <c r="W98" s="38"/>
      <c r="AT98" s="25"/>
      <c r="AU98" s="32" t="str">
        <f>IF(ISBLANK(AT98),"",SUMIFS(Table1[Amount $],Table1[Merchant],Snapshot!AT98,Table1[Month],Snapshot!$W$4)*-1)</f>
        <v/>
      </c>
      <c r="AV98" s="25" t="str">
        <f>IF(ISBLANK(AT98),"",COUNTIFS(Table1[Merchant],Snapshot!AT98,Table1[Month],Snapshot!$W$4))</f>
        <v/>
      </c>
      <c r="AW98" s="25" t="str">
        <f>IFERROR(RANK(AV98,$AV$6:$AV$200)+COUNTIF($AV$6:AV98,AV98)-1,"")</f>
        <v/>
      </c>
      <c r="AX98" s="25" t="str">
        <f>IFERROR(RANK(AU98,$AU$6:$AU$200)+COUNTIF($AU$6:AU98,AU98)-1,"")</f>
        <v/>
      </c>
    </row>
    <row r="99" spans="22:50" x14ac:dyDescent="0.25">
      <c r="V99" s="38" t="str">
        <f t="shared" si="8"/>
        <v>--</v>
      </c>
      <c r="W99" s="38"/>
      <c r="AT99" s="25"/>
      <c r="AU99" s="32" t="str">
        <f>IF(ISBLANK(AT99),"",SUMIFS(Table1[Amount $],Table1[Merchant],Snapshot!AT99,Table1[Month],Snapshot!$W$4)*-1)</f>
        <v/>
      </c>
      <c r="AV99" s="25" t="str">
        <f>IF(ISBLANK(AT99),"",COUNTIFS(Table1[Merchant],Snapshot!AT99,Table1[Month],Snapshot!$W$4))</f>
        <v/>
      </c>
      <c r="AW99" s="25" t="str">
        <f>IFERROR(RANK(AV99,$AV$6:$AV$200)+COUNTIF($AV$6:AV99,AV99)-1,"")</f>
        <v/>
      </c>
      <c r="AX99" s="25" t="str">
        <f>IFERROR(RANK(AU99,$AU$6:$AU$200)+COUNTIF($AU$6:AU99,AU99)-1,"")</f>
        <v/>
      </c>
    </row>
    <row r="100" spans="22:50" x14ac:dyDescent="0.25">
      <c r="V100" s="38" t="str">
        <f t="shared" ref="V100:V105" si="9">IF(ISBLANK(W100),"--",TEXT(W100,"mmmm")&amp;" "&amp;TEXT(W100,"YYYY"))</f>
        <v>--</v>
      </c>
      <c r="W100" s="38"/>
      <c r="AT100" s="25"/>
      <c r="AU100" s="32" t="str">
        <f>IF(ISBLANK(AT100),"",SUMIFS(Table1[Amount $],Table1[Merchant],Snapshot!AT100,Table1[Month],Snapshot!$W$4)*-1)</f>
        <v/>
      </c>
      <c r="AV100" s="25" t="str">
        <f>IF(ISBLANK(AT100),"",COUNTIFS(Table1[Merchant],Snapshot!AT100,Table1[Month],Snapshot!$W$4))</f>
        <v/>
      </c>
      <c r="AW100" s="25" t="str">
        <f>IFERROR(RANK(AV100,$AV$6:$AV$200)+COUNTIF($AV$6:AV100,AV100)-1,"")</f>
        <v/>
      </c>
      <c r="AX100" s="25" t="str">
        <f>IFERROR(RANK(AU100,$AU$6:$AU$200)+COUNTIF($AU$6:AU100,AU100)-1,"")</f>
        <v/>
      </c>
    </row>
    <row r="101" spans="22:50" x14ac:dyDescent="0.25">
      <c r="V101" s="38" t="str">
        <f t="shared" si="9"/>
        <v>--</v>
      </c>
      <c r="W101" s="38"/>
      <c r="AT101" s="25"/>
      <c r="AU101" s="32" t="str">
        <f>IF(ISBLANK(AT101),"",SUMIFS(Table1[Amount $],Table1[Merchant],Snapshot!AT101,Table1[Month],Snapshot!$W$4)*-1)</f>
        <v/>
      </c>
      <c r="AV101" s="25" t="str">
        <f>IF(ISBLANK(AT101),"",COUNTIFS(Table1[Merchant],Snapshot!AT101,Table1[Month],Snapshot!$W$4))</f>
        <v/>
      </c>
      <c r="AW101" s="25" t="str">
        <f>IFERROR(RANK(AV101,$AV$6:$AV$200)+COUNTIF($AV$6:AV101,AV101)-1,"")</f>
        <v/>
      </c>
      <c r="AX101" s="25" t="str">
        <f>IFERROR(RANK(AU101,$AU$6:$AU$200)+COUNTIF($AU$6:AU101,AU101)-1,"")</f>
        <v/>
      </c>
    </row>
    <row r="102" spans="22:50" x14ac:dyDescent="0.25">
      <c r="V102" s="38" t="str">
        <f t="shared" si="9"/>
        <v>--</v>
      </c>
      <c r="W102" s="38"/>
      <c r="AT102" s="25"/>
      <c r="AU102" s="32" t="str">
        <f>IF(ISBLANK(AT102),"",SUMIFS(Table1[Amount $],Table1[Merchant],Snapshot!AT102,Table1[Month],Snapshot!$W$4)*-1)</f>
        <v/>
      </c>
      <c r="AV102" s="25" t="str">
        <f>IF(ISBLANK(AT102),"",COUNTIFS(Table1[Merchant],Snapshot!AT102,Table1[Month],Snapshot!$W$4))</f>
        <v/>
      </c>
      <c r="AW102" s="25" t="str">
        <f>IFERROR(RANK(AV102,$AV$6:$AV$200)+COUNTIF($AV$6:AV102,AV102)-1,"")</f>
        <v/>
      </c>
      <c r="AX102" s="25" t="str">
        <f>IFERROR(RANK(AU102,$AU$6:$AU$200)+COUNTIF($AU$6:AU102,AU102)-1,"")</f>
        <v/>
      </c>
    </row>
    <row r="103" spans="22:50" x14ac:dyDescent="0.25">
      <c r="V103" s="38" t="str">
        <f t="shared" si="9"/>
        <v>--</v>
      </c>
      <c r="W103" s="38"/>
      <c r="AT103" s="25"/>
      <c r="AU103" s="32" t="str">
        <f>IF(ISBLANK(AT103),"",SUMIFS(Table1[Amount $],Table1[Merchant],Snapshot!AT103,Table1[Month],Snapshot!$W$4)*-1)</f>
        <v/>
      </c>
      <c r="AV103" s="25" t="str">
        <f>IF(ISBLANK(AT103),"",COUNTIFS(Table1[Merchant],Snapshot!AT103,Table1[Month],Snapshot!$W$4))</f>
        <v/>
      </c>
      <c r="AW103" s="25" t="str">
        <f>IFERROR(RANK(AV103,$AV$6:$AV$200)+COUNTIF($AV$6:AV103,AV103)-1,"")</f>
        <v/>
      </c>
      <c r="AX103" s="25" t="str">
        <f>IFERROR(RANK(AU103,$AU$6:$AU$200)+COUNTIF($AU$6:AU103,AU103)-1,"")</f>
        <v/>
      </c>
    </row>
    <row r="104" spans="22:50" x14ac:dyDescent="0.25">
      <c r="V104" s="38" t="str">
        <f t="shared" si="9"/>
        <v>--</v>
      </c>
      <c r="W104" s="38"/>
      <c r="AT104" s="25"/>
      <c r="AU104" s="32" t="str">
        <f>IF(ISBLANK(AT104),"",SUMIFS(Table1[Amount $],Table1[Merchant],Snapshot!AT104,Table1[Month],Snapshot!$W$4)*-1)</f>
        <v/>
      </c>
      <c r="AV104" s="25" t="str">
        <f>IF(ISBLANK(AT104),"",COUNTIFS(Table1[Merchant],Snapshot!AT104,Table1[Month],Snapshot!$W$4))</f>
        <v/>
      </c>
      <c r="AW104" s="25" t="str">
        <f>IFERROR(RANK(AV104,$AV$6:$AV$200)+COUNTIF($AV$6:AV104,AV104)-1,"")</f>
        <v/>
      </c>
      <c r="AX104" s="25" t="str">
        <f>IFERROR(RANK(AU104,$AU$6:$AU$200)+COUNTIF($AU$6:AU104,AU104)-1,"")</f>
        <v/>
      </c>
    </row>
    <row r="105" spans="22:50" x14ac:dyDescent="0.25">
      <c r="V105" s="38" t="str">
        <f t="shared" si="9"/>
        <v>--</v>
      </c>
      <c r="W105" s="38"/>
      <c r="AT105" s="25"/>
      <c r="AU105" s="32" t="str">
        <f>IF(ISBLANK(AT105),"",SUMIFS(Table1[Amount $],Table1[Merchant],Snapshot!AT105,Table1[Month],Snapshot!$W$4)*-1)</f>
        <v/>
      </c>
      <c r="AV105" s="25" t="str">
        <f>IF(ISBLANK(AT105),"",COUNTIFS(Table1[Merchant],Snapshot!AT105,Table1[Month],Snapshot!$W$4))</f>
        <v/>
      </c>
      <c r="AW105" s="25" t="str">
        <f>IFERROR(RANK(AV105,$AV$6:$AV$200)+COUNTIF($AV$6:AV105,AV105)-1,"")</f>
        <v/>
      </c>
      <c r="AX105" s="25" t="str">
        <f>IFERROR(RANK(AU105,$AU$6:$AU$200)+COUNTIF($AU$6:AU105,AU105)-1,"")</f>
        <v/>
      </c>
    </row>
    <row r="106" spans="22:50" x14ac:dyDescent="0.25">
      <c r="V106" s="38" t="str">
        <f t="shared" ref="V106:V169" si="10">IF(ISBLANK(W106),"--",TEXT(W106,"mmmm")&amp;" "&amp;TEXT(W106,"YYYY"))</f>
        <v>--</v>
      </c>
      <c r="W106" s="38"/>
      <c r="AT106" s="25"/>
      <c r="AU106" s="32" t="str">
        <f>IF(ISBLANK(AT106),"",SUMIFS(Table1[Amount $],Table1[Merchant],Snapshot!AT106,Table1[Month],Snapshot!$W$4)*-1)</f>
        <v/>
      </c>
      <c r="AV106" s="25" t="str">
        <f>IF(ISBLANK(AT106),"",COUNTIFS(Table1[Merchant],Snapshot!AT106,Table1[Month],Snapshot!$W$4))</f>
        <v/>
      </c>
      <c r="AW106" s="25" t="str">
        <f>IFERROR(RANK(AV106,$AV$6:$AV$200)+COUNTIF($AV$6:AV106,AV106)-1,"")</f>
        <v/>
      </c>
      <c r="AX106" s="25" t="str">
        <f>IFERROR(RANK(AU106,$AU$6:$AU$200)+COUNTIF($AU$6:AU106,AU106)-1,"")</f>
        <v/>
      </c>
    </row>
    <row r="107" spans="22:50" x14ac:dyDescent="0.25">
      <c r="V107" s="38" t="str">
        <f t="shared" si="10"/>
        <v>--</v>
      </c>
      <c r="W107" s="38"/>
      <c r="AT107" s="25"/>
      <c r="AU107" s="32" t="str">
        <f>IF(ISBLANK(AT107),"",SUMIFS(Table1[Amount $],Table1[Merchant],Snapshot!AT107,Table1[Month],Snapshot!$W$4)*-1)</f>
        <v/>
      </c>
      <c r="AV107" s="25" t="str">
        <f>IF(ISBLANK(AT107),"",COUNTIFS(Table1[Merchant],Snapshot!AT107,Table1[Month],Snapshot!$W$4))</f>
        <v/>
      </c>
      <c r="AW107" s="25" t="str">
        <f>IFERROR(RANK(AV107,$AV$6:$AV$200)+COUNTIF($AV$6:AV107,AV107)-1,"")</f>
        <v/>
      </c>
      <c r="AX107" s="25" t="str">
        <f>IFERROR(RANK(AU107,$AU$6:$AU$200)+COUNTIF($AU$6:AU107,AU107)-1,"")</f>
        <v/>
      </c>
    </row>
    <row r="108" spans="22:50" x14ac:dyDescent="0.25">
      <c r="V108" s="38" t="str">
        <f t="shared" si="10"/>
        <v>--</v>
      </c>
      <c r="W108" s="38"/>
      <c r="AT108" s="25"/>
      <c r="AU108" s="32" t="str">
        <f>IF(ISBLANK(AT108),"",SUMIFS(Table1[Amount $],Table1[Merchant],Snapshot!AT108,Table1[Month],Snapshot!$W$4)*-1)</f>
        <v/>
      </c>
      <c r="AV108" s="25" t="str">
        <f>IF(ISBLANK(AT108),"",COUNTIFS(Table1[Merchant],Snapshot!AT108,Table1[Month],Snapshot!$W$4))</f>
        <v/>
      </c>
      <c r="AW108" s="25" t="str">
        <f>IFERROR(RANK(AV108,$AV$6:$AV$200)+COUNTIF($AV$6:AV108,AV108)-1,"")</f>
        <v/>
      </c>
      <c r="AX108" s="25" t="str">
        <f>IFERROR(RANK(AU108,$AU$6:$AU$200)+COUNTIF($AU$6:AU108,AU108)-1,"")</f>
        <v/>
      </c>
    </row>
    <row r="109" spans="22:50" x14ac:dyDescent="0.25">
      <c r="V109" s="38" t="str">
        <f t="shared" si="10"/>
        <v>--</v>
      </c>
      <c r="W109" s="38"/>
      <c r="AT109" s="25"/>
      <c r="AU109" s="32" t="str">
        <f>IF(ISBLANK(AT109),"",SUMIFS(Table1[Amount $],Table1[Merchant],Snapshot!AT109,Table1[Month],Snapshot!$W$4)*-1)</f>
        <v/>
      </c>
      <c r="AV109" s="25" t="str">
        <f>IF(ISBLANK(AT109),"",COUNTIFS(Table1[Merchant],Snapshot!AT109,Table1[Month],Snapshot!$W$4))</f>
        <v/>
      </c>
      <c r="AW109" s="25" t="str">
        <f>IFERROR(RANK(AV109,$AV$6:$AV$200)+COUNTIF($AV$6:AV109,AV109)-1,"")</f>
        <v/>
      </c>
      <c r="AX109" s="25" t="str">
        <f>IFERROR(RANK(AU109,$AU$6:$AU$200)+COUNTIF($AU$6:AU109,AU109)-1,"")</f>
        <v/>
      </c>
    </row>
    <row r="110" spans="22:50" x14ac:dyDescent="0.25">
      <c r="V110" s="38" t="str">
        <f t="shared" si="10"/>
        <v>--</v>
      </c>
      <c r="W110" s="38"/>
      <c r="AT110" s="25"/>
      <c r="AU110" s="32" t="str">
        <f>IF(ISBLANK(AT110),"",SUMIFS(Table1[Amount $],Table1[Merchant],Snapshot!AT110,Table1[Month],Snapshot!$W$4)*-1)</f>
        <v/>
      </c>
      <c r="AV110" s="25" t="str">
        <f>IF(ISBLANK(AT110),"",COUNTIFS(Table1[Merchant],Snapshot!AT110,Table1[Month],Snapshot!$W$4))</f>
        <v/>
      </c>
      <c r="AW110" s="25" t="str">
        <f>IFERROR(RANK(AV110,$AV$6:$AV$200)+COUNTIF($AV$6:AV110,AV110)-1,"")</f>
        <v/>
      </c>
      <c r="AX110" s="25" t="str">
        <f>IFERROR(RANK(AU110,$AU$6:$AU$200)+COUNTIF($AU$6:AU110,AU110)-1,"")</f>
        <v/>
      </c>
    </row>
    <row r="111" spans="22:50" x14ac:dyDescent="0.25">
      <c r="V111" s="38" t="str">
        <f t="shared" si="10"/>
        <v>--</v>
      </c>
      <c r="W111" s="38"/>
      <c r="AT111" s="25"/>
      <c r="AU111" s="32" t="str">
        <f>IF(ISBLANK(AT111),"",SUMIFS(Table1[Amount $],Table1[Merchant],Snapshot!AT111,Table1[Month],Snapshot!$W$4)*-1)</f>
        <v/>
      </c>
      <c r="AV111" s="25" t="str">
        <f>IF(ISBLANK(AT111),"",COUNTIFS(Table1[Merchant],Snapshot!AT111,Table1[Month],Snapshot!$W$4))</f>
        <v/>
      </c>
      <c r="AW111" s="25" t="str">
        <f>IFERROR(RANK(AV111,$AV$6:$AV$200)+COUNTIF($AV$6:AV111,AV111)-1,"")</f>
        <v/>
      </c>
      <c r="AX111" s="25" t="str">
        <f>IFERROR(RANK(AU111,$AU$6:$AU$200)+COUNTIF($AU$6:AU111,AU111)-1,"")</f>
        <v/>
      </c>
    </row>
    <row r="112" spans="22:50" x14ac:dyDescent="0.25">
      <c r="V112" s="38" t="str">
        <f t="shared" si="10"/>
        <v>--</v>
      </c>
      <c r="W112" s="38"/>
      <c r="AT112" s="25"/>
      <c r="AU112" s="32" t="str">
        <f>IF(ISBLANK(AT112),"",SUMIFS(Table1[Amount $],Table1[Merchant],Snapshot!AT112,Table1[Month],Snapshot!$W$4)*-1)</f>
        <v/>
      </c>
      <c r="AV112" s="25" t="str">
        <f>IF(ISBLANK(AT112),"",COUNTIFS(Table1[Merchant],Snapshot!AT112,Table1[Month],Snapshot!$W$4))</f>
        <v/>
      </c>
      <c r="AW112" s="25" t="str">
        <f>IFERROR(RANK(AV112,$AV$6:$AV$200)+COUNTIF($AV$6:AV112,AV112)-1,"")</f>
        <v/>
      </c>
      <c r="AX112" s="25" t="str">
        <f>IFERROR(RANK(AU112,$AU$6:$AU$200)+COUNTIF($AU$6:AU112,AU112)-1,"")</f>
        <v/>
      </c>
    </row>
    <row r="113" spans="22:50" x14ac:dyDescent="0.25">
      <c r="V113" s="38" t="str">
        <f t="shared" si="10"/>
        <v>--</v>
      </c>
      <c r="W113" s="38"/>
      <c r="AT113" s="25"/>
      <c r="AU113" s="32" t="str">
        <f>IF(ISBLANK(AT113),"",SUMIFS(Table1[Amount $],Table1[Merchant],Snapshot!AT113,Table1[Month],Snapshot!$W$4)*-1)</f>
        <v/>
      </c>
      <c r="AV113" s="25" t="str">
        <f>IF(ISBLANK(AT113),"",COUNTIFS(Table1[Merchant],Snapshot!AT113,Table1[Month],Snapshot!$W$4))</f>
        <v/>
      </c>
      <c r="AW113" s="25" t="str">
        <f>IFERROR(RANK(AV113,$AV$6:$AV$200)+COUNTIF($AV$6:AV113,AV113)-1,"")</f>
        <v/>
      </c>
      <c r="AX113" s="25" t="str">
        <f>IFERROR(RANK(AU113,$AU$6:$AU$200)+COUNTIF($AU$6:AU113,AU113)-1,"")</f>
        <v/>
      </c>
    </row>
    <row r="114" spans="22:50" x14ac:dyDescent="0.25">
      <c r="V114" s="38" t="str">
        <f t="shared" si="10"/>
        <v>--</v>
      </c>
      <c r="W114" s="38"/>
      <c r="AT114" s="25"/>
      <c r="AU114" s="32" t="str">
        <f>IF(ISBLANK(AT114),"",SUMIFS(Table1[Amount $],Table1[Merchant],Snapshot!AT114,Table1[Month],Snapshot!$W$4)*-1)</f>
        <v/>
      </c>
      <c r="AV114" s="25" t="str">
        <f>IF(ISBLANK(AT114),"",COUNTIFS(Table1[Merchant],Snapshot!AT114,Table1[Month],Snapshot!$W$4))</f>
        <v/>
      </c>
      <c r="AW114" s="25" t="str">
        <f>IFERROR(RANK(AV114,$AV$6:$AV$200)+COUNTIF($AV$6:AV114,AV114)-1,"")</f>
        <v/>
      </c>
      <c r="AX114" s="25" t="str">
        <f>IFERROR(RANK(AU114,$AU$6:$AU$200)+COUNTIF($AU$6:AU114,AU114)-1,"")</f>
        <v/>
      </c>
    </row>
    <row r="115" spans="22:50" x14ac:dyDescent="0.25">
      <c r="V115" s="38" t="str">
        <f t="shared" si="10"/>
        <v>--</v>
      </c>
      <c r="W115" s="38"/>
      <c r="AT115" s="25"/>
      <c r="AU115" s="32" t="str">
        <f>IF(ISBLANK(AT115),"",SUMIFS(Table1[Amount $],Table1[Merchant],Snapshot!AT115,Table1[Month],Snapshot!$W$4)*-1)</f>
        <v/>
      </c>
      <c r="AV115" s="25" t="str">
        <f>IF(ISBLANK(AT115),"",COUNTIFS(Table1[Merchant],Snapshot!AT115,Table1[Month],Snapshot!$W$4))</f>
        <v/>
      </c>
      <c r="AW115" s="25" t="str">
        <f>IFERROR(RANK(AV115,$AV$6:$AV$200)+COUNTIF($AV$6:AV115,AV115)-1,"")</f>
        <v/>
      </c>
      <c r="AX115" s="25" t="str">
        <f>IFERROR(RANK(AU115,$AU$6:$AU$200)+COUNTIF($AU$6:AU115,AU115)-1,"")</f>
        <v/>
      </c>
    </row>
    <row r="116" spans="22:50" x14ac:dyDescent="0.25">
      <c r="V116" s="38" t="str">
        <f t="shared" si="10"/>
        <v>--</v>
      </c>
      <c r="W116" s="38"/>
      <c r="AT116" s="25"/>
      <c r="AU116" s="32" t="str">
        <f>IF(ISBLANK(AT116),"",SUMIFS(Table1[Amount $],Table1[Merchant],Snapshot!AT116,Table1[Month],Snapshot!$W$4)*-1)</f>
        <v/>
      </c>
      <c r="AV116" s="25" t="str">
        <f>IF(ISBLANK(AT116),"",COUNTIFS(Table1[Merchant],Snapshot!AT116,Table1[Month],Snapshot!$W$4))</f>
        <v/>
      </c>
      <c r="AW116" s="25" t="str">
        <f>IFERROR(RANK(AV116,$AV$6:$AV$200)+COUNTIF($AV$6:AV116,AV116)-1,"")</f>
        <v/>
      </c>
      <c r="AX116" s="25" t="str">
        <f>IFERROR(RANK(AU116,$AU$6:$AU$200)+COUNTIF($AU$6:AU116,AU116)-1,"")</f>
        <v/>
      </c>
    </row>
    <row r="117" spans="22:50" x14ac:dyDescent="0.25">
      <c r="V117" s="38" t="str">
        <f t="shared" si="10"/>
        <v>--</v>
      </c>
      <c r="W117" s="38"/>
      <c r="AT117" s="25"/>
      <c r="AU117" s="32" t="str">
        <f>IF(ISBLANK(AT117),"",SUMIFS(Table1[Amount $],Table1[Merchant],Snapshot!AT117,Table1[Month],Snapshot!$W$4)*-1)</f>
        <v/>
      </c>
      <c r="AV117" s="25" t="str">
        <f>IF(ISBLANK(AT117),"",COUNTIFS(Table1[Merchant],Snapshot!AT117,Table1[Month],Snapshot!$W$4))</f>
        <v/>
      </c>
      <c r="AW117" s="25" t="str">
        <f>IFERROR(RANK(AV117,$AV$6:$AV$200)+COUNTIF($AV$6:AV117,AV117)-1,"")</f>
        <v/>
      </c>
      <c r="AX117" s="25" t="str">
        <f>IFERROR(RANK(AU117,$AU$6:$AU$200)+COUNTIF($AU$6:AU117,AU117)-1,"")</f>
        <v/>
      </c>
    </row>
    <row r="118" spans="22:50" x14ac:dyDescent="0.25">
      <c r="V118" s="38" t="str">
        <f t="shared" si="10"/>
        <v>--</v>
      </c>
      <c r="W118" s="38"/>
      <c r="AT118" s="25"/>
      <c r="AU118" s="32" t="str">
        <f>IF(ISBLANK(AT118),"",SUMIFS(Table1[Amount $],Table1[Merchant],Snapshot!AT118,Table1[Month],Snapshot!$W$4)*-1)</f>
        <v/>
      </c>
      <c r="AV118" s="25" t="str">
        <f>IF(ISBLANK(AT118),"",COUNTIFS(Table1[Merchant],Snapshot!AT118,Table1[Month],Snapshot!$W$4))</f>
        <v/>
      </c>
      <c r="AW118" s="25" t="str">
        <f>IFERROR(RANK(AV118,$AV$6:$AV$200)+COUNTIF($AV$6:AV118,AV118)-1,"")</f>
        <v/>
      </c>
      <c r="AX118" s="25" t="str">
        <f>IFERROR(RANK(AU118,$AU$6:$AU$200)+COUNTIF($AU$6:AU118,AU118)-1,"")</f>
        <v/>
      </c>
    </row>
    <row r="119" spans="22:50" x14ac:dyDescent="0.25">
      <c r="V119" s="38" t="str">
        <f t="shared" si="10"/>
        <v>--</v>
      </c>
      <c r="W119" s="38"/>
      <c r="AT119" s="25"/>
      <c r="AU119" s="32" t="str">
        <f>IF(ISBLANK(AT119),"",SUMIFS(Table1[Amount $],Table1[Merchant],Snapshot!AT119,Table1[Month],Snapshot!$W$4)*-1)</f>
        <v/>
      </c>
      <c r="AV119" s="25" t="str">
        <f>IF(ISBLANK(AT119),"",COUNTIFS(Table1[Merchant],Snapshot!AT119,Table1[Month],Snapshot!$W$4))</f>
        <v/>
      </c>
      <c r="AW119" s="25" t="str">
        <f>IFERROR(RANK(AV119,$AV$6:$AV$200)+COUNTIF($AV$6:AV119,AV119)-1,"")</f>
        <v/>
      </c>
      <c r="AX119" s="25" t="str">
        <f>IFERROR(RANK(AU119,$AU$6:$AU$200)+COUNTIF($AU$6:AU119,AU119)-1,"")</f>
        <v/>
      </c>
    </row>
    <row r="120" spans="22:50" x14ac:dyDescent="0.25">
      <c r="V120" s="38" t="str">
        <f t="shared" si="10"/>
        <v>--</v>
      </c>
      <c r="W120" s="38"/>
      <c r="AT120" s="25"/>
      <c r="AU120" s="32" t="str">
        <f>IF(ISBLANK(AT120),"",SUMIFS(Table1[Amount $],Table1[Merchant],Snapshot!AT120,Table1[Month],Snapshot!$W$4)*-1)</f>
        <v/>
      </c>
      <c r="AV120" s="25" t="str">
        <f>IF(ISBLANK(AT120),"",COUNTIFS(Table1[Merchant],Snapshot!AT120,Table1[Month],Snapshot!$W$4))</f>
        <v/>
      </c>
      <c r="AW120" s="25" t="str">
        <f>IFERROR(RANK(AV120,$AV$6:$AV$200)+COUNTIF($AV$6:AV120,AV120)-1,"")</f>
        <v/>
      </c>
      <c r="AX120" s="25" t="str">
        <f>IFERROR(RANK(AU120,$AU$6:$AU$200)+COUNTIF($AU$6:AU120,AU120)-1,"")</f>
        <v/>
      </c>
    </row>
    <row r="121" spans="22:50" x14ac:dyDescent="0.25">
      <c r="V121" s="38" t="str">
        <f t="shared" si="10"/>
        <v>--</v>
      </c>
      <c r="W121" s="38"/>
      <c r="AT121" s="25"/>
      <c r="AU121" s="32" t="str">
        <f>IF(ISBLANK(AT121),"",SUMIFS(Table1[Amount $],Table1[Merchant],Snapshot!AT121,Table1[Month],Snapshot!$W$4)*-1)</f>
        <v/>
      </c>
      <c r="AV121" s="25" t="str">
        <f>IF(ISBLANK(AT121),"",COUNTIFS(Table1[Merchant],Snapshot!AT121,Table1[Month],Snapshot!$W$4))</f>
        <v/>
      </c>
      <c r="AW121" s="25" t="str">
        <f>IFERROR(RANK(AV121,$AV$6:$AV$200)+COUNTIF($AV$6:AV121,AV121)-1,"")</f>
        <v/>
      </c>
      <c r="AX121" s="25" t="str">
        <f>IFERROR(RANK(AU121,$AU$6:$AU$200)+COUNTIF($AU$6:AU121,AU121)-1,"")</f>
        <v/>
      </c>
    </row>
    <row r="122" spans="22:50" x14ac:dyDescent="0.25">
      <c r="V122" s="38" t="str">
        <f t="shared" si="10"/>
        <v>--</v>
      </c>
      <c r="W122" s="38"/>
      <c r="AT122" s="25"/>
      <c r="AU122" s="32" t="str">
        <f>IF(ISBLANK(AT122),"",SUMIFS(Table1[Amount $],Table1[Merchant],Snapshot!AT122,Table1[Month],Snapshot!$W$4)*-1)</f>
        <v/>
      </c>
      <c r="AV122" s="25" t="str">
        <f>IF(ISBLANK(AT122),"",COUNTIFS(Table1[Merchant],Snapshot!AT122,Table1[Month],Snapshot!$W$4))</f>
        <v/>
      </c>
      <c r="AW122" s="25" t="str">
        <f>IFERROR(RANK(AV122,$AV$6:$AV$200)+COUNTIF($AV$6:AV122,AV122)-1,"")</f>
        <v/>
      </c>
      <c r="AX122" s="25" t="str">
        <f>IFERROR(RANK(AU122,$AU$6:$AU$200)+COUNTIF($AU$6:AU122,AU122)-1,"")</f>
        <v/>
      </c>
    </row>
    <row r="123" spans="22:50" x14ac:dyDescent="0.25">
      <c r="V123" s="38" t="str">
        <f t="shared" si="10"/>
        <v>--</v>
      </c>
      <c r="W123" s="38"/>
      <c r="AT123" s="25"/>
      <c r="AU123" s="32" t="str">
        <f>IF(ISBLANK(AT123),"",SUMIFS(Table1[Amount $],Table1[Merchant],Snapshot!AT123,Table1[Month],Snapshot!$W$4)*-1)</f>
        <v/>
      </c>
      <c r="AV123" s="25" t="str">
        <f>IF(ISBLANK(AT123),"",COUNTIFS(Table1[Merchant],Snapshot!AT123,Table1[Month],Snapshot!$W$4))</f>
        <v/>
      </c>
      <c r="AW123" s="25" t="str">
        <f>IFERROR(RANK(AV123,$AV$6:$AV$200)+COUNTIF($AV$6:AV123,AV123)-1,"")</f>
        <v/>
      </c>
      <c r="AX123" s="25" t="str">
        <f>IFERROR(RANK(AU123,$AU$6:$AU$200)+COUNTIF($AU$6:AU123,AU123)-1,"")</f>
        <v/>
      </c>
    </row>
    <row r="124" spans="22:50" x14ac:dyDescent="0.25">
      <c r="V124" s="38" t="str">
        <f t="shared" si="10"/>
        <v>--</v>
      </c>
      <c r="W124" s="38"/>
      <c r="AT124" s="25"/>
      <c r="AU124" s="32" t="str">
        <f>IF(ISBLANK(AT124),"",SUMIFS(Table1[Amount $],Table1[Merchant],Snapshot!AT124,Table1[Month],Snapshot!$W$4)*-1)</f>
        <v/>
      </c>
      <c r="AV124" s="25" t="str">
        <f>IF(ISBLANK(AT124),"",COUNTIFS(Table1[Merchant],Snapshot!AT124,Table1[Month],Snapshot!$W$4))</f>
        <v/>
      </c>
      <c r="AW124" s="25" t="str">
        <f>IFERROR(RANK(AV124,$AV$6:$AV$200)+COUNTIF($AV$6:AV124,AV124)-1,"")</f>
        <v/>
      </c>
      <c r="AX124" s="25" t="str">
        <f>IFERROR(RANK(AU124,$AU$6:$AU$200)+COUNTIF($AU$6:AU124,AU124)-1,"")</f>
        <v/>
      </c>
    </row>
    <row r="125" spans="22:50" x14ac:dyDescent="0.25">
      <c r="V125" s="38" t="str">
        <f t="shared" si="10"/>
        <v>--</v>
      </c>
      <c r="W125" s="38"/>
      <c r="AT125" s="25"/>
      <c r="AU125" s="32" t="str">
        <f>IF(ISBLANK(AT125),"",SUMIFS(Table1[Amount $],Table1[Merchant],Snapshot!AT125,Table1[Month],Snapshot!$W$4)*-1)</f>
        <v/>
      </c>
      <c r="AV125" s="25" t="str">
        <f>IF(ISBLANK(AT125),"",COUNTIFS(Table1[Merchant],Snapshot!AT125,Table1[Month],Snapshot!$W$4))</f>
        <v/>
      </c>
      <c r="AW125" s="25" t="str">
        <f>IFERROR(RANK(AV125,$AV$6:$AV$200)+COUNTIF($AV$6:AV125,AV125)-1,"")</f>
        <v/>
      </c>
      <c r="AX125" s="25" t="str">
        <f>IFERROR(RANK(AU125,$AU$6:$AU$200)+COUNTIF($AU$6:AU125,AU125)-1,"")</f>
        <v/>
      </c>
    </row>
    <row r="126" spans="22:50" x14ac:dyDescent="0.25">
      <c r="V126" s="38" t="str">
        <f t="shared" si="10"/>
        <v>--</v>
      </c>
      <c r="W126" s="38"/>
      <c r="AT126" s="25"/>
      <c r="AU126" s="32" t="str">
        <f>IF(ISBLANK(AT126),"",SUMIFS(Table1[Amount $],Table1[Merchant],Snapshot!AT126,Table1[Month],Snapshot!$W$4)*-1)</f>
        <v/>
      </c>
      <c r="AV126" s="25" t="str">
        <f>IF(ISBLANK(AT126),"",COUNTIFS(Table1[Merchant],Snapshot!AT126,Table1[Month],Snapshot!$W$4))</f>
        <v/>
      </c>
      <c r="AW126" s="25" t="str">
        <f>IFERROR(RANK(AV126,$AV$6:$AV$200)+COUNTIF($AV$6:AV126,AV126)-1,"")</f>
        <v/>
      </c>
      <c r="AX126" s="25" t="str">
        <f>IFERROR(RANK(AU126,$AU$6:$AU$200)+COUNTIF($AU$6:AU126,AU126)-1,"")</f>
        <v/>
      </c>
    </row>
    <row r="127" spans="22:50" x14ac:dyDescent="0.25">
      <c r="V127" s="38" t="str">
        <f t="shared" si="10"/>
        <v>--</v>
      </c>
      <c r="W127" s="38"/>
      <c r="AT127" s="25"/>
      <c r="AU127" s="32" t="str">
        <f>IF(ISBLANK(AT127),"",SUMIFS(Table1[Amount $],Table1[Merchant],Snapshot!AT127,Table1[Month],Snapshot!$W$4)*-1)</f>
        <v/>
      </c>
      <c r="AV127" s="25" t="str">
        <f>IF(ISBLANK(AT127),"",COUNTIFS(Table1[Merchant],Snapshot!AT127,Table1[Month],Snapshot!$W$4))</f>
        <v/>
      </c>
      <c r="AW127" s="25" t="str">
        <f>IFERROR(RANK(AV127,$AV$6:$AV$200)+COUNTIF($AV$6:AV127,AV127)-1,"")</f>
        <v/>
      </c>
      <c r="AX127" s="25" t="str">
        <f>IFERROR(RANK(AU127,$AU$6:$AU$200)+COUNTIF($AU$6:AU127,AU127)-1,"")</f>
        <v/>
      </c>
    </row>
    <row r="128" spans="22:50" x14ac:dyDescent="0.25">
      <c r="V128" s="38" t="str">
        <f t="shared" si="10"/>
        <v>--</v>
      </c>
      <c r="W128" s="38"/>
      <c r="AT128" s="25"/>
      <c r="AU128" s="32" t="str">
        <f>IF(ISBLANK(AT128),"",SUMIFS(Table1[Amount $],Table1[Merchant],Snapshot!AT128,Table1[Month],Snapshot!$W$4)*-1)</f>
        <v/>
      </c>
      <c r="AV128" s="25" t="str">
        <f>IF(ISBLANK(AT128),"",COUNTIFS(Table1[Merchant],Snapshot!AT128,Table1[Month],Snapshot!$W$4))</f>
        <v/>
      </c>
      <c r="AW128" s="25" t="str">
        <f>IFERROR(RANK(AV128,$AV$6:$AV$200)+COUNTIF($AV$6:AV128,AV128)-1,"")</f>
        <v/>
      </c>
      <c r="AX128" s="25" t="str">
        <f>IFERROR(RANK(AU128,$AU$6:$AU$200)+COUNTIF($AU$6:AU128,AU128)-1,"")</f>
        <v/>
      </c>
    </row>
    <row r="129" spans="22:50" x14ac:dyDescent="0.25">
      <c r="V129" s="38" t="str">
        <f t="shared" si="10"/>
        <v>--</v>
      </c>
      <c r="W129" s="38"/>
      <c r="AT129" s="25"/>
      <c r="AU129" s="32" t="str">
        <f>IF(ISBLANK(AT129),"",SUMIFS(Table1[Amount $],Table1[Merchant],Snapshot!AT129,Table1[Month],Snapshot!$W$4)*-1)</f>
        <v/>
      </c>
      <c r="AV129" s="25" t="str">
        <f>IF(ISBLANK(AT129),"",COUNTIFS(Table1[Merchant],Snapshot!AT129,Table1[Month],Snapshot!$W$4))</f>
        <v/>
      </c>
      <c r="AW129" s="25" t="str">
        <f>IFERROR(RANK(AV129,$AV$6:$AV$200)+COUNTIF($AV$6:AV129,AV129)-1,"")</f>
        <v/>
      </c>
      <c r="AX129" s="25" t="str">
        <f>IFERROR(RANK(AU129,$AU$6:$AU$200)+COUNTIF($AU$6:AU129,AU129)-1,"")</f>
        <v/>
      </c>
    </row>
    <row r="130" spans="22:50" x14ac:dyDescent="0.25">
      <c r="V130" s="38" t="str">
        <f t="shared" si="10"/>
        <v>--</v>
      </c>
      <c r="W130" s="38"/>
      <c r="AT130" s="25"/>
      <c r="AU130" s="32" t="str">
        <f>IF(ISBLANK(AT130),"",SUMIFS(Table1[Amount $],Table1[Merchant],Snapshot!AT130,Table1[Month],Snapshot!$W$4)*-1)</f>
        <v/>
      </c>
      <c r="AV130" s="25" t="str">
        <f>IF(ISBLANK(AT130),"",COUNTIFS(Table1[Merchant],Snapshot!AT130,Table1[Month],Snapshot!$W$4))</f>
        <v/>
      </c>
      <c r="AW130" s="25" t="str">
        <f>IFERROR(RANK(AV130,$AV$6:$AV$200)+COUNTIF($AV$6:AV130,AV130)-1,"")</f>
        <v/>
      </c>
      <c r="AX130" s="25" t="str">
        <f>IFERROR(RANK(AU130,$AU$6:$AU$200)+COUNTIF($AU$6:AU130,AU130)-1,"")</f>
        <v/>
      </c>
    </row>
    <row r="131" spans="22:50" x14ac:dyDescent="0.25">
      <c r="V131" s="38" t="str">
        <f t="shared" si="10"/>
        <v>--</v>
      </c>
      <c r="W131" s="38"/>
      <c r="AT131" s="25"/>
      <c r="AU131" s="32" t="str">
        <f>IF(ISBLANK(AT131),"",SUMIFS(Table1[Amount $],Table1[Merchant],Snapshot!AT131,Table1[Month],Snapshot!$W$4)*-1)</f>
        <v/>
      </c>
      <c r="AV131" s="25" t="str">
        <f>IF(ISBLANK(AT131),"",COUNTIFS(Table1[Merchant],Snapshot!AT131,Table1[Month],Snapshot!$W$4))</f>
        <v/>
      </c>
      <c r="AW131" s="25" t="str">
        <f>IFERROR(RANK(AV131,$AV$6:$AV$200)+COUNTIF($AV$6:AV131,AV131)-1,"")</f>
        <v/>
      </c>
      <c r="AX131" s="25" t="str">
        <f>IFERROR(RANK(AU131,$AU$6:$AU$200)+COUNTIF($AU$6:AU131,AU131)-1,"")</f>
        <v/>
      </c>
    </row>
    <row r="132" spans="22:50" x14ac:dyDescent="0.25">
      <c r="V132" s="38" t="str">
        <f t="shared" si="10"/>
        <v>--</v>
      </c>
      <c r="W132" s="38"/>
      <c r="AT132" s="25"/>
      <c r="AU132" s="32" t="str">
        <f>IF(ISBLANK(AT132),"",SUMIFS(Table1[Amount $],Table1[Merchant],Snapshot!AT132,Table1[Month],Snapshot!$W$4)*-1)</f>
        <v/>
      </c>
      <c r="AV132" s="25" t="str">
        <f>IF(ISBLANK(AT132),"",COUNTIFS(Table1[Merchant],Snapshot!AT132,Table1[Month],Snapshot!$W$4))</f>
        <v/>
      </c>
      <c r="AW132" s="25" t="str">
        <f>IFERROR(RANK(AV132,$AV$6:$AV$200)+COUNTIF($AV$6:AV132,AV132)-1,"")</f>
        <v/>
      </c>
      <c r="AX132" s="25" t="str">
        <f>IFERROR(RANK(AU132,$AU$6:$AU$200)+COUNTIF($AU$6:AU132,AU132)-1,"")</f>
        <v/>
      </c>
    </row>
    <row r="133" spans="22:50" x14ac:dyDescent="0.25">
      <c r="V133" s="38" t="str">
        <f t="shared" si="10"/>
        <v>--</v>
      </c>
      <c r="W133" s="38"/>
      <c r="AT133" s="25"/>
      <c r="AU133" s="32" t="str">
        <f>IF(ISBLANK(AT133),"",SUMIFS(Table1[Amount $],Table1[Merchant],Snapshot!AT133,Table1[Month],Snapshot!$W$4)*-1)</f>
        <v/>
      </c>
      <c r="AV133" s="25" t="str">
        <f>IF(ISBLANK(AT133),"",COUNTIFS(Table1[Merchant],Snapshot!AT133,Table1[Month],Snapshot!$W$4))</f>
        <v/>
      </c>
      <c r="AW133" s="25" t="str">
        <f>IFERROR(RANK(AV133,$AV$6:$AV$200)+COUNTIF($AV$6:AV133,AV133)-1,"")</f>
        <v/>
      </c>
      <c r="AX133" s="25" t="str">
        <f>IFERROR(RANK(AU133,$AU$6:$AU$200)+COUNTIF($AU$6:AU133,AU133)-1,"")</f>
        <v/>
      </c>
    </row>
    <row r="134" spans="22:50" x14ac:dyDescent="0.25">
      <c r="V134" s="38" t="str">
        <f t="shared" si="10"/>
        <v>--</v>
      </c>
      <c r="W134" s="38"/>
      <c r="AT134" s="25"/>
      <c r="AU134" s="32" t="str">
        <f>IF(ISBLANK(AT134),"",SUMIFS(Table1[Amount $],Table1[Merchant],Snapshot!AT134,Table1[Month],Snapshot!$W$4)*-1)</f>
        <v/>
      </c>
      <c r="AV134" s="25" t="str">
        <f>IF(ISBLANK(AT134),"",COUNTIFS(Table1[Merchant],Snapshot!AT134,Table1[Month],Snapshot!$W$4))</f>
        <v/>
      </c>
      <c r="AW134" s="25" t="str">
        <f>IFERROR(RANK(AV134,$AV$6:$AV$200)+COUNTIF($AV$6:AV134,AV134)-1,"")</f>
        <v/>
      </c>
      <c r="AX134" s="25" t="str">
        <f>IFERROR(RANK(AU134,$AU$6:$AU$200)+COUNTIF($AU$6:AU134,AU134)-1,"")</f>
        <v/>
      </c>
    </row>
    <row r="135" spans="22:50" x14ac:dyDescent="0.25">
      <c r="V135" s="38" t="str">
        <f t="shared" si="10"/>
        <v>--</v>
      </c>
      <c r="W135" s="38"/>
      <c r="AT135" s="25"/>
      <c r="AU135" s="32" t="str">
        <f>IF(ISBLANK(AT135),"",SUMIFS(Table1[Amount $],Table1[Merchant],Snapshot!AT135,Table1[Month],Snapshot!$W$4)*-1)</f>
        <v/>
      </c>
      <c r="AV135" s="25" t="str">
        <f>IF(ISBLANK(AT135),"",COUNTIFS(Table1[Merchant],Snapshot!AT135,Table1[Month],Snapshot!$W$4))</f>
        <v/>
      </c>
      <c r="AW135" s="25" t="str">
        <f>IFERROR(RANK(AV135,$AV$6:$AV$200)+COUNTIF($AV$6:AV135,AV135)-1,"")</f>
        <v/>
      </c>
      <c r="AX135" s="25" t="str">
        <f>IFERROR(RANK(AU135,$AU$6:$AU$200)+COUNTIF($AU$6:AU135,AU135)-1,"")</f>
        <v/>
      </c>
    </row>
    <row r="136" spans="22:50" x14ac:dyDescent="0.25">
      <c r="V136" s="38" t="str">
        <f t="shared" si="10"/>
        <v>--</v>
      </c>
      <c r="W136" s="38"/>
      <c r="AT136" s="25"/>
      <c r="AU136" s="32" t="str">
        <f>IF(ISBLANK(AT136),"",SUMIFS(Table1[Amount $],Table1[Merchant],Snapshot!AT136,Table1[Month],Snapshot!$W$4)*-1)</f>
        <v/>
      </c>
      <c r="AV136" s="25" t="str">
        <f>IF(ISBLANK(AT136),"",COUNTIFS(Table1[Merchant],Snapshot!AT136,Table1[Month],Snapshot!$W$4))</f>
        <v/>
      </c>
      <c r="AW136" s="25" t="str">
        <f>IFERROR(RANK(AV136,$AV$6:$AV$200)+COUNTIF($AV$6:AV136,AV136)-1,"")</f>
        <v/>
      </c>
      <c r="AX136" s="25" t="str">
        <f>IFERROR(RANK(AU136,$AU$6:$AU$200)+COUNTIF($AU$6:AU136,AU136)-1,"")</f>
        <v/>
      </c>
    </row>
    <row r="137" spans="22:50" x14ac:dyDescent="0.25">
      <c r="V137" s="38" t="str">
        <f t="shared" si="10"/>
        <v>--</v>
      </c>
      <c r="W137" s="38"/>
      <c r="AT137" s="25"/>
      <c r="AU137" s="32" t="str">
        <f>IF(ISBLANK(AT137),"",SUMIFS(Table1[Amount $],Table1[Merchant],Snapshot!AT137,Table1[Month],Snapshot!$W$4)*-1)</f>
        <v/>
      </c>
      <c r="AV137" s="25" t="str">
        <f>IF(ISBLANK(AT137),"",COUNTIFS(Table1[Merchant],Snapshot!AT137,Table1[Month],Snapshot!$W$4))</f>
        <v/>
      </c>
      <c r="AW137" s="25" t="str">
        <f>IFERROR(RANK(AV137,$AV$6:$AV$200)+COUNTIF($AV$6:AV137,AV137)-1,"")</f>
        <v/>
      </c>
      <c r="AX137" s="25" t="str">
        <f>IFERROR(RANK(AU137,$AU$6:$AU$200)+COUNTIF($AU$6:AU137,AU137)-1,"")</f>
        <v/>
      </c>
    </row>
    <row r="138" spans="22:50" x14ac:dyDescent="0.25">
      <c r="V138" s="38" t="str">
        <f t="shared" si="10"/>
        <v>--</v>
      </c>
      <c r="W138" s="38"/>
      <c r="AT138" s="25"/>
      <c r="AU138" s="32" t="str">
        <f>IF(ISBLANK(AT138),"",SUMIFS(Table1[Amount $],Table1[Merchant],Snapshot!AT138,Table1[Month],Snapshot!$W$4)*-1)</f>
        <v/>
      </c>
      <c r="AV138" s="25" t="str">
        <f>IF(ISBLANK(AT138),"",COUNTIFS(Table1[Merchant],Snapshot!AT138,Table1[Month],Snapshot!$W$4))</f>
        <v/>
      </c>
      <c r="AW138" s="25" t="str">
        <f>IFERROR(RANK(AV138,$AV$6:$AV$200)+COUNTIF($AV$6:AV138,AV138)-1,"")</f>
        <v/>
      </c>
      <c r="AX138" s="25" t="str">
        <f>IFERROR(RANK(AU138,$AU$6:$AU$200)+COUNTIF($AU$6:AU138,AU138)-1,"")</f>
        <v/>
      </c>
    </row>
    <row r="139" spans="22:50" x14ac:dyDescent="0.25">
      <c r="V139" s="38" t="str">
        <f t="shared" si="10"/>
        <v>--</v>
      </c>
      <c r="W139" s="38"/>
      <c r="AT139" s="25"/>
      <c r="AU139" s="32" t="str">
        <f>IF(ISBLANK(AT139),"",SUMIFS(Table1[Amount $],Table1[Merchant],Snapshot!AT139,Table1[Month],Snapshot!$W$4)*-1)</f>
        <v/>
      </c>
      <c r="AV139" s="25" t="str">
        <f>IF(ISBLANK(AT139),"",COUNTIFS(Table1[Merchant],Snapshot!AT139,Table1[Month],Snapshot!$W$4))</f>
        <v/>
      </c>
      <c r="AW139" s="25" t="str">
        <f>IFERROR(RANK(AV139,$AV$6:$AV$200)+COUNTIF($AV$6:AV139,AV139)-1,"")</f>
        <v/>
      </c>
      <c r="AX139" s="25" t="str">
        <f>IFERROR(RANK(AU139,$AU$6:$AU$200)+COUNTIF($AU$6:AU139,AU139)-1,"")</f>
        <v/>
      </c>
    </row>
    <row r="140" spans="22:50" x14ac:dyDescent="0.25">
      <c r="V140" s="38" t="str">
        <f t="shared" si="10"/>
        <v>--</v>
      </c>
      <c r="W140" s="38"/>
      <c r="AT140" s="25"/>
      <c r="AU140" s="32" t="str">
        <f>IF(ISBLANK(AT140),"",SUMIFS(Table1[Amount $],Table1[Merchant],Snapshot!AT140,Table1[Month],Snapshot!$W$4)*-1)</f>
        <v/>
      </c>
      <c r="AV140" s="25" t="str">
        <f>IF(ISBLANK(AT140),"",COUNTIFS(Table1[Merchant],Snapshot!AT140,Table1[Month],Snapshot!$W$4))</f>
        <v/>
      </c>
      <c r="AW140" s="25" t="str">
        <f>IFERROR(RANK(AV140,$AV$6:$AV$200)+COUNTIF($AV$6:AV140,AV140)-1,"")</f>
        <v/>
      </c>
      <c r="AX140" s="25" t="str">
        <f>IFERROR(RANK(AU140,$AU$6:$AU$200)+COUNTIF($AU$6:AU140,AU140)-1,"")</f>
        <v/>
      </c>
    </row>
    <row r="141" spans="22:50" x14ac:dyDescent="0.25">
      <c r="V141" s="38" t="str">
        <f t="shared" si="10"/>
        <v>--</v>
      </c>
      <c r="W141" s="38"/>
      <c r="AT141" s="25"/>
      <c r="AU141" s="32" t="str">
        <f>IF(ISBLANK(AT141),"",SUMIFS(Table1[Amount $],Table1[Merchant],Snapshot!AT141,Table1[Month],Snapshot!$W$4)*-1)</f>
        <v/>
      </c>
      <c r="AV141" s="25" t="str">
        <f>IF(ISBLANK(AT141),"",COUNTIFS(Table1[Merchant],Snapshot!AT141,Table1[Month],Snapshot!$W$4))</f>
        <v/>
      </c>
      <c r="AW141" s="25" t="str">
        <f>IFERROR(RANK(AV141,$AV$6:$AV$200)+COUNTIF($AV$6:AV141,AV141)-1,"")</f>
        <v/>
      </c>
      <c r="AX141" s="25" t="str">
        <f>IFERROR(RANK(AU141,$AU$6:$AU$200)+COUNTIF($AU$6:AU141,AU141)-1,"")</f>
        <v/>
      </c>
    </row>
    <row r="142" spans="22:50" x14ac:dyDescent="0.25">
      <c r="V142" s="38" t="str">
        <f t="shared" si="10"/>
        <v>--</v>
      </c>
      <c r="W142" s="38"/>
      <c r="AT142" s="25"/>
      <c r="AU142" s="32" t="str">
        <f>IF(ISBLANK(AT142),"",SUMIFS(Table1[Amount $],Table1[Merchant],Snapshot!AT142,Table1[Month],Snapshot!$W$4)*-1)</f>
        <v/>
      </c>
      <c r="AV142" s="25" t="str">
        <f>IF(ISBLANK(AT142),"",COUNTIFS(Table1[Merchant],Snapshot!AT142,Table1[Month],Snapshot!$W$4))</f>
        <v/>
      </c>
      <c r="AW142" s="25" t="str">
        <f>IFERROR(RANK(AV142,$AV$6:$AV$200)+COUNTIF($AV$6:AV142,AV142)-1,"")</f>
        <v/>
      </c>
      <c r="AX142" s="25" t="str">
        <f>IFERROR(RANK(AU142,$AU$6:$AU$200)+COUNTIF($AU$6:AU142,AU142)-1,"")</f>
        <v/>
      </c>
    </row>
    <row r="143" spans="22:50" x14ac:dyDescent="0.25">
      <c r="V143" s="38" t="str">
        <f t="shared" si="10"/>
        <v>--</v>
      </c>
      <c r="W143" s="38"/>
      <c r="AT143" s="25"/>
      <c r="AU143" s="32" t="str">
        <f>IF(ISBLANK(AT143),"",SUMIFS(Table1[Amount $],Table1[Merchant],Snapshot!AT143,Table1[Month],Snapshot!$W$4)*-1)</f>
        <v/>
      </c>
      <c r="AV143" s="25" t="str">
        <f>IF(ISBLANK(AT143),"",COUNTIFS(Table1[Merchant],Snapshot!AT143,Table1[Month],Snapshot!$W$4))</f>
        <v/>
      </c>
      <c r="AW143" s="25" t="str">
        <f>IFERROR(RANK(AV143,$AV$6:$AV$200)+COUNTIF($AV$6:AV143,AV143)-1,"")</f>
        <v/>
      </c>
      <c r="AX143" s="25" t="str">
        <f>IFERROR(RANK(AU143,$AU$6:$AU$200)+COUNTIF($AU$6:AU143,AU143)-1,"")</f>
        <v/>
      </c>
    </row>
    <row r="144" spans="22:50" x14ac:dyDescent="0.25">
      <c r="V144" s="38" t="str">
        <f t="shared" si="10"/>
        <v>--</v>
      </c>
      <c r="W144" s="38"/>
      <c r="AT144" s="25"/>
      <c r="AU144" s="32" t="str">
        <f>IF(ISBLANK(AT144),"",SUMIFS(Table1[Amount $],Table1[Merchant],Snapshot!AT144,Table1[Month],Snapshot!$W$4)*-1)</f>
        <v/>
      </c>
      <c r="AV144" s="25" t="str">
        <f>IF(ISBLANK(AT144),"",COUNTIFS(Table1[Merchant],Snapshot!AT144,Table1[Month],Snapshot!$W$4))</f>
        <v/>
      </c>
      <c r="AW144" s="25" t="str">
        <f>IFERROR(RANK(AV144,$AV$6:$AV$200)+COUNTIF($AV$6:AV144,AV144)-1,"")</f>
        <v/>
      </c>
      <c r="AX144" s="25" t="str">
        <f>IFERROR(RANK(AU144,$AU$6:$AU$200)+COUNTIF($AU$6:AU144,AU144)-1,"")</f>
        <v/>
      </c>
    </row>
    <row r="145" spans="22:50" x14ac:dyDescent="0.25">
      <c r="V145" s="38" t="str">
        <f t="shared" si="10"/>
        <v>--</v>
      </c>
      <c r="W145" s="38"/>
      <c r="AT145" s="25"/>
      <c r="AU145" s="32" t="str">
        <f>IF(ISBLANK(AT145),"",SUMIFS(Table1[Amount $],Table1[Merchant],Snapshot!AT145,Table1[Month],Snapshot!$W$4)*-1)</f>
        <v/>
      </c>
      <c r="AV145" s="25" t="str">
        <f>IF(ISBLANK(AT145),"",COUNTIFS(Table1[Merchant],Snapshot!AT145,Table1[Month],Snapshot!$W$4))</f>
        <v/>
      </c>
      <c r="AW145" s="25" t="str">
        <f>IFERROR(RANK(AV145,$AV$6:$AV$200)+COUNTIF($AV$6:AV145,AV145)-1,"")</f>
        <v/>
      </c>
      <c r="AX145" s="25" t="str">
        <f>IFERROR(RANK(AU145,$AU$6:$AU$200)+COUNTIF($AU$6:AU145,AU145)-1,"")</f>
        <v/>
      </c>
    </row>
    <row r="146" spans="22:50" x14ac:dyDescent="0.25">
      <c r="V146" s="38" t="str">
        <f t="shared" si="10"/>
        <v>--</v>
      </c>
      <c r="W146" s="38"/>
      <c r="AT146" s="25"/>
      <c r="AU146" s="32" t="str">
        <f>IF(ISBLANK(AT146),"",SUMIFS(Table1[Amount $],Table1[Merchant],Snapshot!AT146,Table1[Month],Snapshot!$W$4)*-1)</f>
        <v/>
      </c>
      <c r="AV146" s="25" t="str">
        <f>IF(ISBLANK(AT146),"",COUNTIFS(Table1[Merchant],Snapshot!AT146,Table1[Month],Snapshot!$W$4))</f>
        <v/>
      </c>
      <c r="AW146" s="25" t="str">
        <f>IFERROR(RANK(AV146,$AV$6:$AV$200)+COUNTIF($AV$6:AV146,AV146)-1,"")</f>
        <v/>
      </c>
      <c r="AX146" s="25" t="str">
        <f>IFERROR(RANK(AU146,$AU$6:$AU$200)+COUNTIF($AU$6:AU146,AU146)-1,"")</f>
        <v/>
      </c>
    </row>
    <row r="147" spans="22:50" x14ac:dyDescent="0.25">
      <c r="V147" s="38" t="str">
        <f t="shared" si="10"/>
        <v>--</v>
      </c>
      <c r="W147" s="38"/>
      <c r="AT147" s="25"/>
      <c r="AU147" s="32" t="str">
        <f>IF(ISBLANK(AT147),"",SUMIFS(Table1[Amount $],Table1[Merchant],Snapshot!AT147,Table1[Month],Snapshot!$W$4)*-1)</f>
        <v/>
      </c>
      <c r="AV147" s="25" t="str">
        <f>IF(ISBLANK(AT147),"",COUNTIFS(Table1[Merchant],Snapshot!AT147,Table1[Month],Snapshot!$W$4))</f>
        <v/>
      </c>
      <c r="AW147" s="25" t="str">
        <f>IFERROR(RANK(AV147,$AV$6:$AV$200)+COUNTIF($AV$6:AV147,AV147)-1,"")</f>
        <v/>
      </c>
      <c r="AX147" s="25" t="str">
        <f>IFERROR(RANK(AU147,$AU$6:$AU$200)+COUNTIF($AU$6:AU147,AU147)-1,"")</f>
        <v/>
      </c>
    </row>
    <row r="148" spans="22:50" x14ac:dyDescent="0.25">
      <c r="V148" s="38" t="str">
        <f t="shared" si="10"/>
        <v>--</v>
      </c>
      <c r="W148" s="38"/>
      <c r="AT148" s="25"/>
      <c r="AU148" s="32" t="str">
        <f>IF(ISBLANK(AT148),"",SUMIFS(Table1[Amount $],Table1[Merchant],Snapshot!AT148,Table1[Month],Snapshot!$W$4)*-1)</f>
        <v/>
      </c>
      <c r="AV148" s="25" t="str">
        <f>IF(ISBLANK(AT148),"",COUNTIFS(Table1[Merchant],Snapshot!AT148,Table1[Month],Snapshot!$W$4))</f>
        <v/>
      </c>
      <c r="AW148" s="25" t="str">
        <f>IFERROR(RANK(AV148,$AV$6:$AV$200)+COUNTIF($AV$6:AV148,AV148)-1,"")</f>
        <v/>
      </c>
      <c r="AX148" s="25" t="str">
        <f>IFERROR(RANK(AU148,$AU$6:$AU$200)+COUNTIF($AU$6:AU148,AU148)-1,"")</f>
        <v/>
      </c>
    </row>
    <row r="149" spans="22:50" x14ac:dyDescent="0.25">
      <c r="V149" s="38" t="str">
        <f t="shared" si="10"/>
        <v>--</v>
      </c>
      <c r="W149" s="38"/>
      <c r="AT149" s="25"/>
      <c r="AU149" s="32" t="str">
        <f>IF(ISBLANK(AT149),"",SUMIFS(Table1[Amount $],Table1[Merchant],Snapshot!AT149,Table1[Month],Snapshot!$W$4)*-1)</f>
        <v/>
      </c>
      <c r="AV149" s="25" t="str">
        <f>IF(ISBLANK(AT149),"",COUNTIFS(Table1[Merchant],Snapshot!AT149,Table1[Month],Snapshot!$W$4))</f>
        <v/>
      </c>
      <c r="AW149" s="25" t="str">
        <f>IFERROR(RANK(AV149,$AV$6:$AV$200)+COUNTIF($AV$6:AV149,AV149)-1,"")</f>
        <v/>
      </c>
      <c r="AX149" s="25" t="str">
        <f>IFERROR(RANK(AU149,$AU$6:$AU$200)+COUNTIF($AU$6:AU149,AU149)-1,"")</f>
        <v/>
      </c>
    </row>
    <row r="150" spans="22:50" x14ac:dyDescent="0.25">
      <c r="V150" s="38" t="str">
        <f t="shared" si="10"/>
        <v>--</v>
      </c>
      <c r="W150" s="38"/>
      <c r="AT150" s="25"/>
      <c r="AU150" s="32" t="str">
        <f>IF(ISBLANK(AT150),"",SUMIFS(Table1[Amount $],Table1[Merchant],Snapshot!AT150,Table1[Month],Snapshot!$W$4)*-1)</f>
        <v/>
      </c>
      <c r="AV150" s="25" t="str">
        <f>IF(ISBLANK(AT150),"",COUNTIFS(Table1[Merchant],Snapshot!AT150,Table1[Month],Snapshot!$W$4))</f>
        <v/>
      </c>
      <c r="AW150" s="25" t="str">
        <f>IFERROR(RANK(AV150,$AV$6:$AV$200)+COUNTIF($AV$6:AV150,AV150)-1,"")</f>
        <v/>
      </c>
      <c r="AX150" s="25" t="str">
        <f>IFERROR(RANK(AU150,$AU$6:$AU$200)+COUNTIF($AU$6:AU150,AU150)-1,"")</f>
        <v/>
      </c>
    </row>
    <row r="151" spans="22:50" x14ac:dyDescent="0.25">
      <c r="V151" s="38" t="str">
        <f t="shared" si="10"/>
        <v>--</v>
      </c>
      <c r="W151" s="38"/>
      <c r="AT151" s="25"/>
      <c r="AU151" s="32" t="str">
        <f>IF(ISBLANK(AT151),"",SUMIFS(Table1[Amount $],Table1[Merchant],Snapshot!AT151,Table1[Month],Snapshot!$W$4)*-1)</f>
        <v/>
      </c>
      <c r="AV151" s="25" t="str">
        <f>IF(ISBLANK(AT151),"",COUNTIFS(Table1[Merchant],Snapshot!AT151,Table1[Month],Snapshot!$W$4))</f>
        <v/>
      </c>
      <c r="AW151" s="25" t="str">
        <f>IFERROR(RANK(AV151,$AV$6:$AV$200)+COUNTIF($AV$6:AV151,AV151)-1,"")</f>
        <v/>
      </c>
      <c r="AX151" s="25" t="str">
        <f>IFERROR(RANK(AU151,$AU$6:$AU$200)+COUNTIF($AU$6:AU151,AU151)-1,"")</f>
        <v/>
      </c>
    </row>
    <row r="152" spans="22:50" x14ac:dyDescent="0.25">
      <c r="V152" s="38" t="str">
        <f t="shared" si="10"/>
        <v>--</v>
      </c>
      <c r="W152" s="38"/>
      <c r="AT152" s="25"/>
      <c r="AU152" s="32" t="str">
        <f>IF(ISBLANK(AT152),"",SUMIFS(Table1[Amount $],Table1[Merchant],Snapshot!AT152,Table1[Month],Snapshot!$W$4)*-1)</f>
        <v/>
      </c>
      <c r="AV152" s="25" t="str">
        <f>IF(ISBLANK(AT152),"",COUNTIFS(Table1[Merchant],Snapshot!AT152,Table1[Month],Snapshot!$W$4))</f>
        <v/>
      </c>
      <c r="AW152" s="25" t="str">
        <f>IFERROR(RANK(AV152,$AV$6:$AV$200)+COUNTIF($AV$6:AV152,AV152)-1,"")</f>
        <v/>
      </c>
      <c r="AX152" s="25" t="str">
        <f>IFERROR(RANK(AU152,$AU$6:$AU$200)+COUNTIF($AU$6:AU152,AU152)-1,"")</f>
        <v/>
      </c>
    </row>
    <row r="153" spans="22:50" x14ac:dyDescent="0.25">
      <c r="V153" s="38" t="str">
        <f t="shared" si="10"/>
        <v>--</v>
      </c>
      <c r="W153" s="38"/>
      <c r="AT153" s="25"/>
      <c r="AU153" s="32" t="str">
        <f>IF(ISBLANK(AT153),"",SUMIFS(Table1[Amount $],Table1[Merchant],Snapshot!AT153,Table1[Month],Snapshot!$W$4)*-1)</f>
        <v/>
      </c>
      <c r="AV153" s="25" t="str">
        <f>IF(ISBLANK(AT153),"",COUNTIFS(Table1[Merchant],Snapshot!AT153,Table1[Month],Snapshot!$W$4))</f>
        <v/>
      </c>
      <c r="AW153" s="25" t="str">
        <f>IFERROR(RANK(AV153,$AV$6:$AV$200)+COUNTIF($AV$6:AV153,AV153)-1,"")</f>
        <v/>
      </c>
      <c r="AX153" s="25" t="str">
        <f>IFERROR(RANK(AU153,$AU$6:$AU$200)+COUNTIF($AU$6:AU153,AU153)-1,"")</f>
        <v/>
      </c>
    </row>
    <row r="154" spans="22:50" x14ac:dyDescent="0.25">
      <c r="V154" s="38" t="str">
        <f t="shared" si="10"/>
        <v>--</v>
      </c>
      <c r="W154" s="38"/>
      <c r="AT154" s="25"/>
      <c r="AU154" s="32" t="str">
        <f>IF(ISBLANK(AT154),"",SUMIFS(Table1[Amount $],Table1[Merchant],Snapshot!AT154,Table1[Month],Snapshot!$W$4)*-1)</f>
        <v/>
      </c>
      <c r="AV154" s="25" t="str">
        <f>IF(ISBLANK(AT154),"",COUNTIFS(Table1[Merchant],Snapshot!AT154,Table1[Month],Snapshot!$W$4))</f>
        <v/>
      </c>
      <c r="AW154" s="25" t="str">
        <f>IFERROR(RANK(AV154,$AV$6:$AV$200)+COUNTIF($AV$6:AV154,AV154)-1,"")</f>
        <v/>
      </c>
      <c r="AX154" s="25" t="str">
        <f>IFERROR(RANK(AU154,$AU$6:$AU$200)+COUNTIF($AU$6:AU154,AU154)-1,"")</f>
        <v/>
      </c>
    </row>
    <row r="155" spans="22:50" x14ac:dyDescent="0.25">
      <c r="V155" s="38" t="str">
        <f t="shared" si="10"/>
        <v>--</v>
      </c>
      <c r="W155" s="38"/>
      <c r="AT155" s="25"/>
      <c r="AU155" s="32" t="str">
        <f>IF(ISBLANK(AT155),"",SUMIFS(Table1[Amount $],Table1[Merchant],Snapshot!AT155,Table1[Month],Snapshot!$W$4)*-1)</f>
        <v/>
      </c>
      <c r="AV155" s="25" t="str">
        <f>IF(ISBLANK(AT155),"",COUNTIFS(Table1[Merchant],Snapshot!AT155,Table1[Month],Snapshot!$W$4))</f>
        <v/>
      </c>
      <c r="AW155" s="25" t="str">
        <f>IFERROR(RANK(AV155,$AV$6:$AV$200)+COUNTIF($AV$6:AV155,AV155)-1,"")</f>
        <v/>
      </c>
      <c r="AX155" s="25" t="str">
        <f>IFERROR(RANK(AU155,$AU$6:$AU$200)+COUNTIF($AU$6:AU155,AU155)-1,"")</f>
        <v/>
      </c>
    </row>
    <row r="156" spans="22:50" x14ac:dyDescent="0.25">
      <c r="V156" s="38" t="str">
        <f t="shared" si="10"/>
        <v>--</v>
      </c>
      <c r="W156" s="38"/>
      <c r="AT156" s="25"/>
      <c r="AU156" s="32" t="str">
        <f>IF(ISBLANK(AT156),"",SUMIFS(Table1[Amount $],Table1[Merchant],Snapshot!AT156,Table1[Month],Snapshot!$W$4)*-1)</f>
        <v/>
      </c>
      <c r="AV156" s="25" t="str">
        <f>IF(ISBLANK(AT156),"",COUNTIFS(Table1[Merchant],Snapshot!AT156,Table1[Month],Snapshot!$W$4))</f>
        <v/>
      </c>
      <c r="AW156" s="25" t="str">
        <f>IFERROR(RANK(AV156,$AV$6:$AV$200)+COUNTIF($AV$6:AV156,AV156)-1,"")</f>
        <v/>
      </c>
      <c r="AX156" s="25" t="str">
        <f>IFERROR(RANK(AU156,$AU$6:$AU$200)+COUNTIF($AU$6:AU156,AU156)-1,"")</f>
        <v/>
      </c>
    </row>
    <row r="157" spans="22:50" x14ac:dyDescent="0.25">
      <c r="V157" s="38" t="str">
        <f t="shared" si="10"/>
        <v>--</v>
      </c>
      <c r="W157" s="38"/>
      <c r="AT157" s="25"/>
      <c r="AU157" s="32" t="str">
        <f>IF(ISBLANK(AT157),"",SUMIFS(Table1[Amount $],Table1[Merchant],Snapshot!AT157,Table1[Month],Snapshot!$W$4)*-1)</f>
        <v/>
      </c>
      <c r="AV157" s="25" t="str">
        <f>IF(ISBLANK(AT157),"",COUNTIFS(Table1[Merchant],Snapshot!AT157,Table1[Month],Snapshot!$W$4))</f>
        <v/>
      </c>
      <c r="AW157" s="25" t="str">
        <f>IFERROR(RANK(AV157,$AV$6:$AV$200)+COUNTIF($AV$6:AV157,AV157)-1,"")</f>
        <v/>
      </c>
      <c r="AX157" s="25" t="str">
        <f>IFERROR(RANK(AU157,$AU$6:$AU$200)+COUNTIF($AU$6:AU157,AU157)-1,"")</f>
        <v/>
      </c>
    </row>
    <row r="158" spans="22:50" x14ac:dyDescent="0.25">
      <c r="V158" s="38" t="str">
        <f t="shared" si="10"/>
        <v>--</v>
      </c>
      <c r="W158" s="38"/>
      <c r="AT158" s="25"/>
      <c r="AU158" s="32" t="str">
        <f>IF(ISBLANK(AT158),"",SUMIFS(Table1[Amount $],Table1[Merchant],Snapshot!AT158,Table1[Month],Snapshot!$W$4)*-1)</f>
        <v/>
      </c>
      <c r="AV158" s="25" t="str">
        <f>IF(ISBLANK(AT158),"",COUNTIFS(Table1[Merchant],Snapshot!AT158,Table1[Month],Snapshot!$W$4))</f>
        <v/>
      </c>
      <c r="AW158" s="25" t="str">
        <f>IFERROR(RANK(AV158,$AV$6:$AV$200)+COUNTIF($AV$6:AV158,AV158)-1,"")</f>
        <v/>
      </c>
      <c r="AX158" s="25" t="str">
        <f>IFERROR(RANK(AU158,$AU$6:$AU$200)+COUNTIF($AU$6:AU158,AU158)-1,"")</f>
        <v/>
      </c>
    </row>
    <row r="159" spans="22:50" x14ac:dyDescent="0.25">
      <c r="V159" s="38" t="str">
        <f t="shared" si="10"/>
        <v>--</v>
      </c>
      <c r="W159" s="38"/>
      <c r="AT159" s="25"/>
      <c r="AU159" s="32" t="str">
        <f>IF(ISBLANK(AT159),"",SUMIFS(Table1[Amount $],Table1[Merchant],Snapshot!AT159,Table1[Month],Snapshot!$W$4)*-1)</f>
        <v/>
      </c>
      <c r="AV159" s="25" t="str">
        <f>IF(ISBLANK(AT159),"",COUNTIFS(Table1[Merchant],Snapshot!AT159,Table1[Month],Snapshot!$W$4))</f>
        <v/>
      </c>
      <c r="AW159" s="25" t="str">
        <f>IFERROR(RANK(AV159,$AV$6:$AV$200)+COUNTIF($AV$6:AV159,AV159)-1,"")</f>
        <v/>
      </c>
      <c r="AX159" s="25" t="str">
        <f>IFERROR(RANK(AU159,$AU$6:$AU$200)+COUNTIF($AU$6:AU159,AU159)-1,"")</f>
        <v/>
      </c>
    </row>
    <row r="160" spans="22:50" x14ac:dyDescent="0.25">
      <c r="V160" s="38" t="str">
        <f t="shared" si="10"/>
        <v>--</v>
      </c>
      <c r="W160" s="38"/>
      <c r="AT160" s="25"/>
      <c r="AU160" s="32" t="str">
        <f>IF(ISBLANK(AT160),"",SUMIFS(Table1[Amount $],Table1[Merchant],Snapshot!AT160,Table1[Month],Snapshot!$W$4)*-1)</f>
        <v/>
      </c>
      <c r="AV160" s="25" t="str">
        <f>IF(ISBLANK(AT160),"",COUNTIFS(Table1[Merchant],Snapshot!AT160,Table1[Month],Snapshot!$W$4))</f>
        <v/>
      </c>
      <c r="AW160" s="25" t="str">
        <f>IFERROR(RANK(AV160,$AV$6:$AV$200)+COUNTIF($AV$6:AV160,AV160)-1,"")</f>
        <v/>
      </c>
      <c r="AX160" s="25" t="str">
        <f>IFERROR(RANK(AU160,$AU$6:$AU$200)+COUNTIF($AU$6:AU160,AU160)-1,"")</f>
        <v/>
      </c>
    </row>
    <row r="161" spans="22:50" x14ac:dyDescent="0.25">
      <c r="V161" s="38" t="str">
        <f t="shared" si="10"/>
        <v>--</v>
      </c>
      <c r="W161" s="38"/>
      <c r="AT161" s="25"/>
      <c r="AU161" s="32" t="str">
        <f>IF(ISBLANK(AT161),"",SUMIFS(Table1[Amount $],Table1[Merchant],Snapshot!AT161,Table1[Month],Snapshot!$W$4)*-1)</f>
        <v/>
      </c>
      <c r="AV161" s="25" t="str">
        <f>IF(ISBLANK(AT161),"",COUNTIFS(Table1[Merchant],Snapshot!AT161,Table1[Month],Snapshot!$W$4))</f>
        <v/>
      </c>
      <c r="AW161" s="25" t="str">
        <f>IFERROR(RANK(AV161,$AV$6:$AV$200)+COUNTIF($AV$6:AV161,AV161)-1,"")</f>
        <v/>
      </c>
      <c r="AX161" s="25" t="str">
        <f>IFERROR(RANK(AU161,$AU$6:$AU$200)+COUNTIF($AU$6:AU161,AU161)-1,"")</f>
        <v/>
      </c>
    </row>
    <row r="162" spans="22:50" x14ac:dyDescent="0.25">
      <c r="V162" s="38" t="str">
        <f t="shared" si="10"/>
        <v>--</v>
      </c>
      <c r="W162" s="38"/>
      <c r="AT162" s="25"/>
      <c r="AU162" s="32" t="str">
        <f>IF(ISBLANK(AT162),"",SUMIFS(Table1[Amount $],Table1[Merchant],Snapshot!AT162,Table1[Month],Snapshot!$W$4)*-1)</f>
        <v/>
      </c>
      <c r="AV162" s="25" t="str">
        <f>IF(ISBLANK(AT162),"",COUNTIFS(Table1[Merchant],Snapshot!AT162,Table1[Month],Snapshot!$W$4))</f>
        <v/>
      </c>
      <c r="AW162" s="25" t="str">
        <f>IFERROR(RANK(AV162,$AV$6:$AV$200)+COUNTIF($AV$6:AV162,AV162)-1,"")</f>
        <v/>
      </c>
      <c r="AX162" s="25" t="str">
        <f>IFERROR(RANK(AU162,$AU$6:$AU$200)+COUNTIF($AU$6:AU162,AU162)-1,"")</f>
        <v/>
      </c>
    </row>
    <row r="163" spans="22:50" x14ac:dyDescent="0.25">
      <c r="V163" s="38" t="str">
        <f t="shared" si="10"/>
        <v>--</v>
      </c>
      <c r="W163" s="38"/>
      <c r="AT163" s="25"/>
      <c r="AU163" s="32" t="str">
        <f>IF(ISBLANK(AT163),"",SUMIFS(Table1[Amount $],Table1[Merchant],Snapshot!AT163,Table1[Month],Snapshot!$W$4)*-1)</f>
        <v/>
      </c>
      <c r="AV163" s="25" t="str">
        <f>IF(ISBLANK(AT163),"",COUNTIFS(Table1[Merchant],Snapshot!AT163,Table1[Month],Snapshot!$W$4))</f>
        <v/>
      </c>
      <c r="AW163" s="25" t="str">
        <f>IFERROR(RANK(AV163,$AV$6:$AV$200)+COUNTIF($AV$6:AV163,AV163)-1,"")</f>
        <v/>
      </c>
      <c r="AX163" s="25" t="str">
        <f>IFERROR(RANK(AU163,$AU$6:$AU$200)+COUNTIF($AU$6:AU163,AU163)-1,"")</f>
        <v/>
      </c>
    </row>
    <row r="164" spans="22:50" x14ac:dyDescent="0.25">
      <c r="V164" s="38" t="str">
        <f t="shared" si="10"/>
        <v>--</v>
      </c>
      <c r="W164" s="38"/>
      <c r="AT164" s="25"/>
      <c r="AU164" s="32" t="str">
        <f>IF(ISBLANK(AT164),"",SUMIFS(Table1[Amount $],Table1[Merchant],Snapshot!AT164,Table1[Month],Snapshot!$W$4)*-1)</f>
        <v/>
      </c>
      <c r="AV164" s="25" t="str">
        <f>IF(ISBLANK(AT164),"",COUNTIFS(Table1[Merchant],Snapshot!AT164,Table1[Month],Snapshot!$W$4))</f>
        <v/>
      </c>
      <c r="AW164" s="25" t="str">
        <f>IFERROR(RANK(AV164,$AV$6:$AV$200)+COUNTIF($AV$6:AV164,AV164)-1,"")</f>
        <v/>
      </c>
      <c r="AX164" s="25" t="str">
        <f>IFERROR(RANK(AU164,$AU$6:$AU$200)+COUNTIF($AU$6:AU164,AU164)-1,"")</f>
        <v/>
      </c>
    </row>
    <row r="165" spans="22:50" x14ac:dyDescent="0.25">
      <c r="V165" s="38" t="str">
        <f t="shared" si="10"/>
        <v>--</v>
      </c>
      <c r="W165" s="38"/>
      <c r="AT165" s="25"/>
      <c r="AU165" s="32" t="str">
        <f>IF(ISBLANK(AT165),"",SUMIFS(Table1[Amount $],Table1[Merchant],Snapshot!AT165,Table1[Month],Snapshot!$W$4)*-1)</f>
        <v/>
      </c>
      <c r="AV165" s="25" t="str">
        <f>IF(ISBLANK(AT165),"",COUNTIFS(Table1[Merchant],Snapshot!AT165,Table1[Month],Snapshot!$W$4))</f>
        <v/>
      </c>
      <c r="AW165" s="25" t="str">
        <f>IFERROR(RANK(AV165,$AV$6:$AV$200)+COUNTIF($AV$6:AV165,AV165)-1,"")</f>
        <v/>
      </c>
      <c r="AX165" s="25" t="str">
        <f>IFERROR(RANK(AU165,$AU$6:$AU$200)+COUNTIF($AU$6:AU165,AU165)-1,"")</f>
        <v/>
      </c>
    </row>
    <row r="166" spans="22:50" x14ac:dyDescent="0.25">
      <c r="V166" s="38" t="str">
        <f t="shared" si="10"/>
        <v>--</v>
      </c>
      <c r="W166" s="38"/>
      <c r="AT166" s="25"/>
      <c r="AU166" s="32" t="str">
        <f>IF(ISBLANK(AT166),"",SUMIFS(Table1[Amount $],Table1[Merchant],Snapshot!AT166,Table1[Month],Snapshot!$W$4)*-1)</f>
        <v/>
      </c>
      <c r="AV166" s="25" t="str">
        <f>IF(ISBLANK(AT166),"",COUNTIFS(Table1[Merchant],Snapshot!AT166,Table1[Month],Snapshot!$W$4))</f>
        <v/>
      </c>
      <c r="AW166" s="25" t="str">
        <f>IFERROR(RANK(AV166,$AV$6:$AV$200)+COUNTIF($AV$6:AV166,AV166)-1,"")</f>
        <v/>
      </c>
      <c r="AX166" s="25" t="str">
        <f>IFERROR(RANK(AU166,$AU$6:$AU$200)+COUNTIF($AU$6:AU166,AU166)-1,"")</f>
        <v/>
      </c>
    </row>
    <row r="167" spans="22:50" x14ac:dyDescent="0.25">
      <c r="V167" s="38" t="str">
        <f t="shared" si="10"/>
        <v>--</v>
      </c>
      <c r="W167" s="38"/>
      <c r="AT167" s="25"/>
      <c r="AU167" s="32" t="str">
        <f>IF(ISBLANK(AT167),"",SUMIFS(Table1[Amount $],Table1[Merchant],Snapshot!AT167,Table1[Month],Snapshot!$W$4)*-1)</f>
        <v/>
      </c>
      <c r="AV167" s="25" t="str">
        <f>IF(ISBLANK(AT167),"",COUNTIFS(Table1[Merchant],Snapshot!AT167,Table1[Month],Snapshot!$W$4))</f>
        <v/>
      </c>
      <c r="AW167" s="25" t="str">
        <f>IFERROR(RANK(AV167,$AV$6:$AV$200)+COUNTIF($AV$6:AV167,AV167)-1,"")</f>
        <v/>
      </c>
      <c r="AX167" s="25" t="str">
        <f>IFERROR(RANK(AU167,$AU$6:$AU$200)+COUNTIF($AU$6:AU167,AU167)-1,"")</f>
        <v/>
      </c>
    </row>
    <row r="168" spans="22:50" x14ac:dyDescent="0.25">
      <c r="V168" s="38" t="str">
        <f t="shared" si="10"/>
        <v>--</v>
      </c>
      <c r="W168" s="38"/>
      <c r="AT168" s="25"/>
      <c r="AU168" s="32" t="str">
        <f>IF(ISBLANK(AT168),"",SUMIFS(Table1[Amount $],Table1[Merchant],Snapshot!AT168,Table1[Month],Snapshot!$W$4)*-1)</f>
        <v/>
      </c>
      <c r="AV168" s="25" t="str">
        <f>IF(ISBLANK(AT168),"",COUNTIFS(Table1[Merchant],Snapshot!AT168,Table1[Month],Snapshot!$W$4))</f>
        <v/>
      </c>
      <c r="AW168" s="25" t="str">
        <f>IFERROR(RANK(AV168,$AV$6:$AV$200)+COUNTIF($AV$6:AV168,AV168)-1,"")</f>
        <v/>
      </c>
      <c r="AX168" s="25" t="str">
        <f>IFERROR(RANK(AU168,$AU$6:$AU$200)+COUNTIF($AU$6:AU168,AU168)-1,"")</f>
        <v/>
      </c>
    </row>
    <row r="169" spans="22:50" x14ac:dyDescent="0.25">
      <c r="V169" s="38" t="str">
        <f t="shared" si="10"/>
        <v>--</v>
      </c>
      <c r="W169" s="38"/>
      <c r="AT169" s="25"/>
      <c r="AU169" s="32" t="str">
        <f>IF(ISBLANK(AT169),"",SUMIFS(Table1[Amount $],Table1[Merchant],Snapshot!AT169,Table1[Month],Snapshot!$W$4)*-1)</f>
        <v/>
      </c>
      <c r="AV169" s="25" t="str">
        <f>IF(ISBLANK(AT169),"",COUNTIFS(Table1[Merchant],Snapshot!AT169,Table1[Month],Snapshot!$W$4))</f>
        <v/>
      </c>
      <c r="AW169" s="25" t="str">
        <f>IFERROR(RANK(AV169,$AV$6:$AV$200)+COUNTIF($AV$6:AV169,AV169)-1,"")</f>
        <v/>
      </c>
      <c r="AX169" s="25" t="str">
        <f>IFERROR(RANK(AU169,$AU$6:$AU$200)+COUNTIF($AU$6:AU169,AU169)-1,"")</f>
        <v/>
      </c>
    </row>
    <row r="170" spans="22:50" x14ac:dyDescent="0.25">
      <c r="V170" s="38" t="str">
        <f t="shared" ref="V170:V199" si="11">IF(ISBLANK(W170),"--",TEXT(W170,"mmmm")&amp;" "&amp;TEXT(W170,"YYYY"))</f>
        <v>--</v>
      </c>
      <c r="W170" s="38"/>
      <c r="AT170" s="25"/>
      <c r="AU170" s="32" t="str">
        <f>IF(ISBLANK(AT170),"",SUMIFS(Table1[Amount $],Table1[Merchant],Snapshot!AT170,Table1[Month],Snapshot!$W$4)*-1)</f>
        <v/>
      </c>
      <c r="AV170" s="25" t="str">
        <f>IF(ISBLANK(AT170),"",COUNTIFS(Table1[Merchant],Snapshot!AT170,Table1[Month],Snapshot!$W$4))</f>
        <v/>
      </c>
      <c r="AW170" s="25" t="str">
        <f>IFERROR(RANK(AV170,$AV$6:$AV$200)+COUNTIF($AV$6:AV170,AV170)-1,"")</f>
        <v/>
      </c>
      <c r="AX170" s="25" t="str">
        <f>IFERROR(RANK(AU170,$AU$6:$AU$200)+COUNTIF($AU$6:AU170,AU170)-1,"")</f>
        <v/>
      </c>
    </row>
    <row r="171" spans="22:50" x14ac:dyDescent="0.25">
      <c r="V171" s="38" t="str">
        <f t="shared" si="11"/>
        <v>--</v>
      </c>
      <c r="W171" s="38"/>
      <c r="AT171" s="25"/>
      <c r="AU171" s="32" t="str">
        <f>IF(ISBLANK(AT171),"",SUMIFS(Table1[Amount $],Table1[Merchant],Snapshot!AT171,Table1[Month],Snapshot!$W$4)*-1)</f>
        <v/>
      </c>
      <c r="AV171" s="25" t="str">
        <f>IF(ISBLANK(AT171),"",COUNTIFS(Table1[Merchant],Snapshot!AT171,Table1[Month],Snapshot!$W$4))</f>
        <v/>
      </c>
      <c r="AW171" s="25" t="str">
        <f>IFERROR(RANK(AV171,$AV$6:$AV$200)+COUNTIF($AV$6:AV171,AV171)-1,"")</f>
        <v/>
      </c>
      <c r="AX171" s="25" t="str">
        <f>IFERROR(RANK(AU171,$AU$6:$AU$200)+COUNTIF($AU$6:AU171,AU171)-1,"")</f>
        <v/>
      </c>
    </row>
    <row r="172" spans="22:50" x14ac:dyDescent="0.25">
      <c r="V172" s="38" t="str">
        <f t="shared" si="11"/>
        <v>--</v>
      </c>
      <c r="W172" s="38"/>
      <c r="AT172" s="25"/>
      <c r="AU172" s="32" t="str">
        <f>IF(ISBLANK(AT172),"",SUMIFS(Table1[Amount $],Table1[Merchant],Snapshot!AT172,Table1[Month],Snapshot!$W$4)*-1)</f>
        <v/>
      </c>
      <c r="AV172" s="25" t="str">
        <f>IF(ISBLANK(AT172),"",COUNTIFS(Table1[Merchant],Snapshot!AT172,Table1[Month],Snapshot!$W$4))</f>
        <v/>
      </c>
      <c r="AW172" s="25" t="str">
        <f>IFERROR(RANK(AV172,$AV$6:$AV$200)+COUNTIF($AV$6:AV172,AV172)-1,"")</f>
        <v/>
      </c>
      <c r="AX172" s="25" t="str">
        <f>IFERROR(RANK(AU172,$AU$6:$AU$200)+COUNTIF($AU$6:AU172,AU172)-1,"")</f>
        <v/>
      </c>
    </row>
    <row r="173" spans="22:50" x14ac:dyDescent="0.25">
      <c r="V173" s="38" t="str">
        <f t="shared" si="11"/>
        <v>--</v>
      </c>
      <c r="W173" s="38"/>
      <c r="AT173" s="25"/>
      <c r="AU173" s="32" t="str">
        <f>IF(ISBLANK(AT173),"",SUMIFS(Table1[Amount $],Table1[Merchant],Snapshot!AT173,Table1[Month],Snapshot!$W$4)*-1)</f>
        <v/>
      </c>
      <c r="AV173" s="25" t="str">
        <f>IF(ISBLANK(AT173),"",COUNTIFS(Table1[Merchant],Snapshot!AT173,Table1[Month],Snapshot!$W$4))</f>
        <v/>
      </c>
      <c r="AW173" s="25" t="str">
        <f>IFERROR(RANK(AV173,$AV$6:$AV$200)+COUNTIF($AV$6:AV173,AV173)-1,"")</f>
        <v/>
      </c>
      <c r="AX173" s="25" t="str">
        <f>IFERROR(RANK(AU173,$AU$6:$AU$200)+COUNTIF($AU$6:AU173,AU173)-1,"")</f>
        <v/>
      </c>
    </row>
    <row r="174" spans="22:50" x14ac:dyDescent="0.25">
      <c r="V174" s="38" t="str">
        <f t="shared" si="11"/>
        <v>--</v>
      </c>
      <c r="W174" s="38"/>
      <c r="AT174" s="25"/>
      <c r="AU174" s="32" t="str">
        <f>IF(ISBLANK(AT174),"",SUMIFS(Table1[Amount $],Table1[Merchant],Snapshot!AT174,Table1[Month],Snapshot!$W$4)*-1)</f>
        <v/>
      </c>
      <c r="AV174" s="25" t="str">
        <f>IF(ISBLANK(AT174),"",COUNTIFS(Table1[Merchant],Snapshot!AT174,Table1[Month],Snapshot!$W$4))</f>
        <v/>
      </c>
      <c r="AW174" s="25" t="str">
        <f>IFERROR(RANK(AV174,$AV$6:$AV$200)+COUNTIF($AV$6:AV174,AV174)-1,"")</f>
        <v/>
      </c>
      <c r="AX174" s="25" t="str">
        <f>IFERROR(RANK(AU174,$AU$6:$AU$200)+COUNTIF($AU$6:AU174,AU174)-1,"")</f>
        <v/>
      </c>
    </row>
    <row r="175" spans="22:50" x14ac:dyDescent="0.25">
      <c r="V175" s="38" t="str">
        <f t="shared" si="11"/>
        <v>--</v>
      </c>
      <c r="W175" s="38"/>
      <c r="AT175" s="25"/>
      <c r="AU175" s="32" t="str">
        <f>IF(ISBLANK(AT175),"",SUMIFS(Table1[Amount $],Table1[Merchant],Snapshot!AT175,Table1[Month],Snapshot!$W$4)*-1)</f>
        <v/>
      </c>
      <c r="AV175" s="25" t="str">
        <f>IF(ISBLANK(AT175),"",COUNTIFS(Table1[Merchant],Snapshot!AT175,Table1[Month],Snapshot!$W$4))</f>
        <v/>
      </c>
      <c r="AW175" s="25" t="str">
        <f>IFERROR(RANK(AV175,$AV$6:$AV$200)+COUNTIF($AV$6:AV175,AV175)-1,"")</f>
        <v/>
      </c>
      <c r="AX175" s="25" t="str">
        <f>IFERROR(RANK(AU175,$AU$6:$AU$200)+COUNTIF($AU$6:AU175,AU175)-1,"")</f>
        <v/>
      </c>
    </row>
    <row r="176" spans="22:50" x14ac:dyDescent="0.25">
      <c r="V176" s="38" t="str">
        <f t="shared" si="11"/>
        <v>--</v>
      </c>
      <c r="W176" s="38"/>
      <c r="AT176" s="25"/>
      <c r="AU176" s="32" t="str">
        <f>IF(ISBLANK(AT176),"",SUMIFS(Table1[Amount $],Table1[Merchant],Snapshot!AT176,Table1[Month],Snapshot!$W$4)*-1)</f>
        <v/>
      </c>
      <c r="AV176" s="25" t="str">
        <f>IF(ISBLANK(AT176),"",COUNTIFS(Table1[Merchant],Snapshot!AT176,Table1[Month],Snapshot!$W$4))</f>
        <v/>
      </c>
      <c r="AW176" s="25" t="str">
        <f>IFERROR(RANK(AV176,$AV$6:$AV$200)+COUNTIF($AV$6:AV176,AV176)-1,"")</f>
        <v/>
      </c>
      <c r="AX176" s="25" t="str">
        <f>IFERROR(RANK(AU176,$AU$6:$AU$200)+COUNTIF($AU$6:AU176,AU176)-1,"")</f>
        <v/>
      </c>
    </row>
    <row r="177" spans="22:50" x14ac:dyDescent="0.25">
      <c r="V177" s="38" t="str">
        <f t="shared" si="11"/>
        <v>--</v>
      </c>
      <c r="W177" s="38"/>
      <c r="AT177" s="25"/>
      <c r="AU177" s="32" t="str">
        <f>IF(ISBLANK(AT177),"",SUMIFS(Table1[Amount $],Table1[Merchant],Snapshot!AT177,Table1[Month],Snapshot!$W$4)*-1)</f>
        <v/>
      </c>
      <c r="AV177" s="25" t="str">
        <f>IF(ISBLANK(AT177),"",COUNTIFS(Table1[Merchant],Snapshot!AT177,Table1[Month],Snapshot!$W$4))</f>
        <v/>
      </c>
      <c r="AW177" s="25" t="str">
        <f>IFERROR(RANK(AV177,$AV$6:$AV$200)+COUNTIF($AV$6:AV177,AV177)-1,"")</f>
        <v/>
      </c>
      <c r="AX177" s="25" t="str">
        <f>IFERROR(RANK(AU177,$AU$6:$AU$200)+COUNTIF($AU$6:AU177,AU177)-1,"")</f>
        <v/>
      </c>
    </row>
    <row r="178" spans="22:50" x14ac:dyDescent="0.25">
      <c r="V178" s="38" t="str">
        <f t="shared" si="11"/>
        <v>--</v>
      </c>
      <c r="W178" s="38"/>
      <c r="AT178" s="25"/>
      <c r="AU178" s="32" t="str">
        <f>IF(ISBLANK(AT178),"",SUMIFS(Table1[Amount $],Table1[Merchant],Snapshot!AT178,Table1[Month],Snapshot!$W$4)*-1)</f>
        <v/>
      </c>
      <c r="AV178" s="25" t="str">
        <f>IF(ISBLANK(AT178),"",COUNTIFS(Table1[Merchant],Snapshot!AT178,Table1[Month],Snapshot!$W$4))</f>
        <v/>
      </c>
      <c r="AW178" s="25" t="str">
        <f>IFERROR(RANK(AV178,$AV$6:$AV$200)+COUNTIF($AV$6:AV178,AV178)-1,"")</f>
        <v/>
      </c>
      <c r="AX178" s="25" t="str">
        <f>IFERROR(RANK(AU178,$AU$6:$AU$200)+COUNTIF($AU$6:AU178,AU178)-1,"")</f>
        <v/>
      </c>
    </row>
    <row r="179" spans="22:50" x14ac:dyDescent="0.25">
      <c r="V179" s="38" t="str">
        <f t="shared" si="11"/>
        <v>--</v>
      </c>
      <c r="W179" s="38"/>
      <c r="AT179" s="25"/>
      <c r="AU179" s="32" t="str">
        <f>IF(ISBLANK(AT179),"",SUMIFS(Table1[Amount $],Table1[Merchant],Snapshot!AT179,Table1[Month],Snapshot!$W$4)*-1)</f>
        <v/>
      </c>
      <c r="AV179" s="25" t="str">
        <f>IF(ISBLANK(AT179),"",COUNTIFS(Table1[Merchant],Snapshot!AT179,Table1[Month],Snapshot!$W$4))</f>
        <v/>
      </c>
      <c r="AW179" s="25" t="str">
        <f>IFERROR(RANK(AV179,$AV$6:$AV$200)+COUNTIF($AV$6:AV179,AV179)-1,"")</f>
        <v/>
      </c>
      <c r="AX179" s="25" t="str">
        <f>IFERROR(RANK(AU179,$AU$6:$AU$200)+COUNTIF($AU$6:AU179,AU179)-1,"")</f>
        <v/>
      </c>
    </row>
    <row r="180" spans="22:50" x14ac:dyDescent="0.25">
      <c r="V180" s="38" t="str">
        <f t="shared" si="11"/>
        <v>--</v>
      </c>
      <c r="W180" s="38"/>
      <c r="AT180" s="25"/>
      <c r="AU180" s="32" t="str">
        <f>IF(ISBLANK(AT180),"",SUMIFS(Table1[Amount $],Table1[Merchant],Snapshot!AT180,Table1[Month],Snapshot!$W$4)*-1)</f>
        <v/>
      </c>
      <c r="AV180" s="25" t="str">
        <f>IF(ISBLANK(AT180),"",COUNTIFS(Table1[Merchant],Snapshot!AT180,Table1[Month],Snapshot!$W$4))</f>
        <v/>
      </c>
      <c r="AW180" s="25" t="str">
        <f>IFERROR(RANK(AV180,$AV$6:$AV$200)+COUNTIF($AV$6:AV180,AV180)-1,"")</f>
        <v/>
      </c>
      <c r="AX180" s="25" t="str">
        <f>IFERROR(RANK(AU180,$AU$6:$AU$200)+COUNTIF($AU$6:AU180,AU180)-1,"")</f>
        <v/>
      </c>
    </row>
    <row r="181" spans="22:50" x14ac:dyDescent="0.25">
      <c r="V181" s="38" t="str">
        <f t="shared" si="11"/>
        <v>--</v>
      </c>
      <c r="W181" s="38"/>
      <c r="AT181" s="25"/>
      <c r="AU181" s="32" t="str">
        <f>IF(ISBLANK(AT181),"",SUMIFS(Table1[Amount $],Table1[Merchant],Snapshot!AT181,Table1[Month],Snapshot!$W$4)*-1)</f>
        <v/>
      </c>
      <c r="AV181" s="25" t="str">
        <f>IF(ISBLANK(AT181),"",COUNTIFS(Table1[Merchant],Snapshot!AT181,Table1[Month],Snapshot!$W$4))</f>
        <v/>
      </c>
      <c r="AW181" s="25" t="str">
        <f>IFERROR(RANK(AV181,$AV$6:$AV$200)+COUNTIF($AV$6:AV181,AV181)-1,"")</f>
        <v/>
      </c>
      <c r="AX181" s="25" t="str">
        <f>IFERROR(RANK(AU181,$AU$6:$AU$200)+COUNTIF($AU$6:AU181,AU181)-1,"")</f>
        <v/>
      </c>
    </row>
    <row r="182" spans="22:50" x14ac:dyDescent="0.25">
      <c r="V182" s="38" t="str">
        <f t="shared" si="11"/>
        <v>--</v>
      </c>
      <c r="W182" s="38"/>
      <c r="AT182" s="25"/>
      <c r="AU182" s="32" t="str">
        <f>IF(ISBLANK(AT182),"",SUMIFS(Table1[Amount $],Table1[Merchant],Snapshot!AT182,Table1[Month],Snapshot!$W$4)*-1)</f>
        <v/>
      </c>
      <c r="AV182" s="25" t="str">
        <f>IF(ISBLANK(AT182),"",COUNTIFS(Table1[Merchant],Snapshot!AT182,Table1[Month],Snapshot!$W$4))</f>
        <v/>
      </c>
      <c r="AW182" s="25" t="str">
        <f>IFERROR(RANK(AV182,$AV$6:$AV$200)+COUNTIF($AV$6:AV182,AV182)-1,"")</f>
        <v/>
      </c>
      <c r="AX182" s="25" t="str">
        <f>IFERROR(RANK(AU182,$AU$6:$AU$200)+COUNTIF($AU$6:AU182,AU182)-1,"")</f>
        <v/>
      </c>
    </row>
    <row r="183" spans="22:50" x14ac:dyDescent="0.25">
      <c r="V183" s="38" t="str">
        <f t="shared" si="11"/>
        <v>--</v>
      </c>
      <c r="W183" s="38"/>
      <c r="AT183" s="25"/>
      <c r="AU183" s="32" t="str">
        <f>IF(ISBLANK(AT183),"",SUMIFS(Table1[Amount $],Table1[Merchant],Snapshot!AT183,Table1[Month],Snapshot!$W$4)*-1)</f>
        <v/>
      </c>
      <c r="AV183" s="25" t="str">
        <f>IF(ISBLANK(AT183),"",COUNTIFS(Table1[Merchant],Snapshot!AT183,Table1[Month],Snapshot!$W$4))</f>
        <v/>
      </c>
      <c r="AW183" s="25" t="str">
        <f>IFERROR(RANK(AV183,$AV$6:$AV$200)+COUNTIF($AV$6:AV183,AV183)-1,"")</f>
        <v/>
      </c>
      <c r="AX183" s="25" t="str">
        <f>IFERROR(RANK(AU183,$AU$6:$AU$200)+COUNTIF($AU$6:AU183,AU183)-1,"")</f>
        <v/>
      </c>
    </row>
    <row r="184" spans="22:50" x14ac:dyDescent="0.25">
      <c r="V184" s="38" t="str">
        <f t="shared" si="11"/>
        <v>--</v>
      </c>
      <c r="W184" s="38"/>
      <c r="AT184" s="25"/>
      <c r="AU184" s="32" t="str">
        <f>IF(ISBLANK(AT184),"",SUMIFS(Table1[Amount $],Table1[Merchant],Snapshot!AT184,Table1[Month],Snapshot!$W$4)*-1)</f>
        <v/>
      </c>
      <c r="AV184" s="25" t="str">
        <f>IF(ISBLANK(AT184),"",COUNTIFS(Table1[Merchant],Snapshot!AT184,Table1[Month],Snapshot!$W$4))</f>
        <v/>
      </c>
      <c r="AW184" s="25" t="str">
        <f>IFERROR(RANK(AV184,$AV$6:$AV$200)+COUNTIF($AV$6:AV184,AV184)-1,"")</f>
        <v/>
      </c>
      <c r="AX184" s="25" t="str">
        <f>IFERROR(RANK(AU184,$AU$6:$AU$200)+COUNTIF($AU$6:AU184,AU184)-1,"")</f>
        <v/>
      </c>
    </row>
    <row r="185" spans="22:50" x14ac:dyDescent="0.25">
      <c r="V185" s="38" t="str">
        <f t="shared" si="11"/>
        <v>--</v>
      </c>
      <c r="W185" s="38"/>
      <c r="AT185" s="25"/>
      <c r="AU185" s="32" t="str">
        <f>IF(ISBLANK(AT185),"",SUMIFS(Table1[Amount $],Table1[Merchant],Snapshot!AT185,Table1[Month],Snapshot!$W$4)*-1)</f>
        <v/>
      </c>
      <c r="AV185" s="25" t="str">
        <f>IF(ISBLANK(AT185),"",COUNTIFS(Table1[Merchant],Snapshot!AT185,Table1[Month],Snapshot!$W$4))</f>
        <v/>
      </c>
      <c r="AW185" s="25" t="str">
        <f>IFERROR(RANK(AV185,$AV$6:$AV$200)+COUNTIF($AV$6:AV185,AV185)-1,"")</f>
        <v/>
      </c>
      <c r="AX185" s="25" t="str">
        <f>IFERROR(RANK(AU185,$AU$6:$AU$200)+COUNTIF($AU$6:AU185,AU185)-1,"")</f>
        <v/>
      </c>
    </row>
    <row r="186" spans="22:50" x14ac:dyDescent="0.25">
      <c r="V186" s="38" t="str">
        <f t="shared" si="11"/>
        <v>--</v>
      </c>
      <c r="W186" s="38"/>
      <c r="AT186" s="25"/>
      <c r="AU186" s="32" t="str">
        <f>IF(ISBLANK(AT186),"",SUMIFS(Table1[Amount $],Table1[Merchant],Snapshot!AT186,Table1[Month],Snapshot!$W$4)*-1)</f>
        <v/>
      </c>
      <c r="AV186" s="25" t="str">
        <f>IF(ISBLANK(AT186),"",COUNTIFS(Table1[Merchant],Snapshot!AT186,Table1[Month],Snapshot!$W$4))</f>
        <v/>
      </c>
      <c r="AW186" s="25" t="str">
        <f>IFERROR(RANK(AV186,$AV$6:$AV$200)+COUNTIF($AV$6:AV186,AV186)-1,"")</f>
        <v/>
      </c>
      <c r="AX186" s="25" t="str">
        <f>IFERROR(RANK(AU186,$AU$6:$AU$200)+COUNTIF($AU$6:AU186,AU186)-1,"")</f>
        <v/>
      </c>
    </row>
    <row r="187" spans="22:50" x14ac:dyDescent="0.25">
      <c r="V187" s="38" t="str">
        <f t="shared" si="11"/>
        <v>--</v>
      </c>
      <c r="W187" s="38"/>
      <c r="AT187" s="25"/>
      <c r="AU187" s="32" t="str">
        <f>IF(ISBLANK(AT187),"",SUMIFS(Table1[Amount $],Table1[Merchant],Snapshot!AT187,Table1[Month],Snapshot!$W$4)*-1)</f>
        <v/>
      </c>
      <c r="AV187" s="25" t="str">
        <f>IF(ISBLANK(AT187),"",COUNTIFS(Table1[Merchant],Snapshot!AT187,Table1[Month],Snapshot!$W$4))</f>
        <v/>
      </c>
      <c r="AW187" s="25" t="str">
        <f>IFERROR(RANK(AV187,$AV$6:$AV$200)+COUNTIF($AV$6:AV187,AV187)-1,"")</f>
        <v/>
      </c>
      <c r="AX187" s="25" t="str">
        <f>IFERROR(RANK(AU187,$AU$6:$AU$200)+COUNTIF($AU$6:AU187,AU187)-1,"")</f>
        <v/>
      </c>
    </row>
    <row r="188" spans="22:50" x14ac:dyDescent="0.25">
      <c r="V188" s="38" t="str">
        <f t="shared" si="11"/>
        <v>--</v>
      </c>
      <c r="W188" s="38"/>
      <c r="AT188" s="25"/>
      <c r="AU188" s="32" t="str">
        <f>IF(ISBLANK(AT188),"",SUMIFS(Table1[Amount $],Table1[Merchant],Snapshot!AT188,Table1[Month],Snapshot!$W$4)*-1)</f>
        <v/>
      </c>
      <c r="AV188" s="25" t="str">
        <f>IF(ISBLANK(AT188),"",COUNTIFS(Table1[Merchant],Snapshot!AT188,Table1[Month],Snapshot!$W$4))</f>
        <v/>
      </c>
      <c r="AW188" s="25" t="str">
        <f>IFERROR(RANK(AV188,$AV$6:$AV$200)+COUNTIF($AV$6:AV188,AV188)-1,"")</f>
        <v/>
      </c>
      <c r="AX188" s="25" t="str">
        <f>IFERROR(RANK(AU188,$AU$6:$AU$200)+COUNTIF($AU$6:AU188,AU188)-1,"")</f>
        <v/>
      </c>
    </row>
    <row r="189" spans="22:50" x14ac:dyDescent="0.25">
      <c r="V189" s="38" t="str">
        <f t="shared" si="11"/>
        <v>--</v>
      </c>
      <c r="W189" s="38"/>
      <c r="AT189" s="25"/>
      <c r="AU189" s="32" t="str">
        <f>IF(ISBLANK(AT189),"",SUMIFS(Table1[Amount $],Table1[Merchant],Snapshot!AT189,Table1[Month],Snapshot!$W$4)*-1)</f>
        <v/>
      </c>
      <c r="AV189" s="25" t="str">
        <f>IF(ISBLANK(AT189),"",COUNTIFS(Table1[Merchant],Snapshot!AT189,Table1[Month],Snapshot!$W$4))</f>
        <v/>
      </c>
      <c r="AW189" s="25" t="str">
        <f>IFERROR(RANK(AV189,$AV$6:$AV$200)+COUNTIF($AV$6:AV189,AV189)-1,"")</f>
        <v/>
      </c>
      <c r="AX189" s="25" t="str">
        <f>IFERROR(RANK(AU189,$AU$6:$AU$200)+COUNTIF($AU$6:AU189,AU189)-1,"")</f>
        <v/>
      </c>
    </row>
    <row r="190" spans="22:50" x14ac:dyDescent="0.25">
      <c r="V190" s="38" t="str">
        <f t="shared" si="11"/>
        <v>--</v>
      </c>
      <c r="W190" s="38"/>
      <c r="AT190" s="25"/>
      <c r="AU190" s="32" t="str">
        <f>IF(ISBLANK(AT190),"",SUMIFS(Table1[Amount $],Table1[Merchant],Snapshot!AT190,Table1[Month],Snapshot!$W$4)*-1)</f>
        <v/>
      </c>
      <c r="AV190" s="25" t="str">
        <f>IF(ISBLANK(AT190),"",COUNTIFS(Table1[Merchant],Snapshot!AT190,Table1[Month],Snapshot!$W$4))</f>
        <v/>
      </c>
      <c r="AW190" s="25" t="str">
        <f>IFERROR(RANK(AV190,$AV$6:$AV$200)+COUNTIF($AV$6:AV190,AV190)-1,"")</f>
        <v/>
      </c>
      <c r="AX190" s="25" t="str">
        <f>IFERROR(RANK(AU190,$AU$6:$AU$200)+COUNTIF($AU$6:AU190,AU190)-1,"")</f>
        <v/>
      </c>
    </row>
    <row r="191" spans="22:50" x14ac:dyDescent="0.25">
      <c r="V191" s="38" t="str">
        <f t="shared" si="11"/>
        <v>--</v>
      </c>
      <c r="W191" s="38"/>
      <c r="AT191" s="25"/>
      <c r="AU191" s="32" t="str">
        <f>IF(ISBLANK(AT191),"",SUMIFS(Table1[Amount $],Table1[Merchant],Snapshot!AT191,Table1[Month],Snapshot!$W$4)*-1)</f>
        <v/>
      </c>
      <c r="AV191" s="25" t="str">
        <f>IF(ISBLANK(AT191),"",COUNTIFS(Table1[Merchant],Snapshot!AT191,Table1[Month],Snapshot!$W$4))</f>
        <v/>
      </c>
      <c r="AW191" s="25" t="str">
        <f>IFERROR(RANK(AV191,$AV$6:$AV$200)+COUNTIF($AV$6:AV191,AV191)-1,"")</f>
        <v/>
      </c>
      <c r="AX191" s="25" t="str">
        <f>IFERROR(RANK(AU191,$AU$6:$AU$200)+COUNTIF($AU$6:AU191,AU191)-1,"")</f>
        <v/>
      </c>
    </row>
    <row r="192" spans="22:50" x14ac:dyDescent="0.25">
      <c r="V192" s="38" t="str">
        <f t="shared" si="11"/>
        <v>--</v>
      </c>
      <c r="W192" s="38"/>
      <c r="AT192" s="25"/>
      <c r="AU192" s="32" t="str">
        <f>IF(ISBLANK(AT192),"",SUMIFS(Table1[Amount $],Table1[Merchant],Snapshot!AT192,Table1[Month],Snapshot!$W$4)*-1)</f>
        <v/>
      </c>
      <c r="AV192" s="25" t="str">
        <f>IF(ISBLANK(AT192),"",COUNTIFS(Table1[Merchant],Snapshot!AT192,Table1[Month],Snapshot!$W$4))</f>
        <v/>
      </c>
      <c r="AW192" s="25" t="str">
        <f>IFERROR(RANK(AV192,$AV$6:$AV$200)+COUNTIF($AV$6:AV192,AV192)-1,"")</f>
        <v/>
      </c>
      <c r="AX192" s="25" t="str">
        <f>IFERROR(RANK(AU192,$AU$6:$AU$200)+COUNTIF($AU$6:AU192,AU192)-1,"")</f>
        <v/>
      </c>
    </row>
    <row r="193" spans="22:50" x14ac:dyDescent="0.25">
      <c r="V193" s="38" t="str">
        <f t="shared" si="11"/>
        <v>--</v>
      </c>
      <c r="W193" s="38"/>
      <c r="AT193" s="25"/>
      <c r="AU193" s="32" t="str">
        <f>IF(ISBLANK(AT193),"",SUMIFS(Table1[Amount $],Table1[Merchant],Snapshot!AT193,Table1[Month],Snapshot!$W$4)*-1)</f>
        <v/>
      </c>
      <c r="AV193" s="25" t="str">
        <f>IF(ISBLANK(AT193),"",COUNTIFS(Table1[Merchant],Snapshot!AT193,Table1[Month],Snapshot!$W$4))</f>
        <v/>
      </c>
      <c r="AW193" s="25" t="str">
        <f>IFERROR(RANK(AV193,$AV$6:$AV$200)+COUNTIF($AV$6:AV193,AV193)-1,"")</f>
        <v/>
      </c>
      <c r="AX193" s="25" t="str">
        <f>IFERROR(RANK(AU193,$AU$6:$AU$200)+COUNTIF($AU$6:AU193,AU193)-1,"")</f>
        <v/>
      </c>
    </row>
    <row r="194" spans="22:50" x14ac:dyDescent="0.25">
      <c r="V194" s="38" t="str">
        <f t="shared" si="11"/>
        <v>--</v>
      </c>
      <c r="W194" s="38"/>
      <c r="AT194" s="25"/>
      <c r="AU194" s="32" t="str">
        <f>IF(ISBLANK(AT194),"",SUMIFS(Table1[Amount $],Table1[Merchant],Snapshot!AT194,Table1[Month],Snapshot!$W$4)*-1)</f>
        <v/>
      </c>
      <c r="AV194" s="25" t="str">
        <f>IF(ISBLANK(AT194),"",COUNTIFS(Table1[Merchant],Snapshot!AT194,Table1[Month],Snapshot!$W$4))</f>
        <v/>
      </c>
      <c r="AW194" s="25" t="str">
        <f>IFERROR(RANK(AV194,$AV$6:$AV$200)+COUNTIF($AV$6:AV194,AV194)-1,"")</f>
        <v/>
      </c>
      <c r="AX194" s="25" t="str">
        <f>IFERROR(RANK(AU194,$AU$6:$AU$200)+COUNTIF($AU$6:AU194,AU194)-1,"")</f>
        <v/>
      </c>
    </row>
    <row r="195" spans="22:50" x14ac:dyDescent="0.25">
      <c r="V195" s="38" t="str">
        <f t="shared" si="11"/>
        <v>--</v>
      </c>
      <c r="W195" s="38"/>
      <c r="AT195" s="25"/>
      <c r="AU195" s="32" t="str">
        <f>IF(ISBLANK(AT195),"",SUMIFS(Table1[Amount $],Table1[Merchant],Snapshot!AT195,Table1[Month],Snapshot!$W$4)*-1)</f>
        <v/>
      </c>
      <c r="AV195" s="25" t="str">
        <f>IF(ISBLANK(AT195),"",COUNTIFS(Table1[Merchant],Snapshot!AT195,Table1[Month],Snapshot!$W$4))</f>
        <v/>
      </c>
      <c r="AW195" s="25" t="str">
        <f>IFERROR(RANK(AV195,$AV$6:$AV$200)+COUNTIF($AV$6:AV195,AV195)-1,"")</f>
        <v/>
      </c>
      <c r="AX195" s="25" t="str">
        <f>IFERROR(RANK(AU195,$AU$6:$AU$200)+COUNTIF($AU$6:AU195,AU195)-1,"")</f>
        <v/>
      </c>
    </row>
    <row r="196" spans="22:50" x14ac:dyDescent="0.25">
      <c r="V196" s="38" t="str">
        <f t="shared" si="11"/>
        <v>--</v>
      </c>
      <c r="W196" s="38"/>
      <c r="AT196" s="25"/>
      <c r="AU196" s="32" t="str">
        <f>IF(ISBLANK(AT196),"",SUMIFS(Table1[Amount $],Table1[Merchant],Snapshot!AT196,Table1[Month],Snapshot!$W$4)*-1)</f>
        <v/>
      </c>
      <c r="AV196" s="25" t="str">
        <f>IF(ISBLANK(AT196),"",COUNTIFS(Table1[Merchant],Snapshot!AT196,Table1[Month],Snapshot!$W$4))</f>
        <v/>
      </c>
      <c r="AW196" s="25" t="str">
        <f>IFERROR(RANK(AV196,$AV$6:$AV$200)+COUNTIF($AV$6:AV196,AV196)-1,"")</f>
        <v/>
      </c>
      <c r="AX196" s="25" t="str">
        <f>IFERROR(RANK(AU196,$AU$6:$AU$200)+COUNTIF($AU$6:AU196,AU196)-1,"")</f>
        <v/>
      </c>
    </row>
    <row r="197" spans="22:50" x14ac:dyDescent="0.25">
      <c r="V197" s="38" t="str">
        <f t="shared" si="11"/>
        <v>--</v>
      </c>
      <c r="W197" s="38"/>
      <c r="AT197" s="25"/>
      <c r="AU197" s="32" t="str">
        <f>IF(ISBLANK(AT197),"",SUMIFS(Table1[Amount $],Table1[Merchant],Snapshot!AT197,Table1[Month],Snapshot!$W$4)*-1)</f>
        <v/>
      </c>
      <c r="AV197" s="25" t="str">
        <f>IF(ISBLANK(AT197),"",COUNTIFS(Table1[Merchant],Snapshot!AT197,Table1[Month],Snapshot!$W$4))</f>
        <v/>
      </c>
      <c r="AW197" s="25" t="str">
        <f>IFERROR(RANK(AV197,$AV$6:$AV$200)+COUNTIF($AV$6:AV197,AV197)-1,"")</f>
        <v/>
      </c>
      <c r="AX197" s="25" t="str">
        <f>IFERROR(RANK(AU197,$AU$6:$AU$200)+COUNTIF($AU$6:AU197,AU197)-1,"")</f>
        <v/>
      </c>
    </row>
    <row r="198" spans="22:50" x14ac:dyDescent="0.25">
      <c r="V198" s="38" t="str">
        <f t="shared" si="11"/>
        <v>--</v>
      </c>
      <c r="W198" s="38"/>
      <c r="AT198" s="25"/>
      <c r="AU198" s="32" t="str">
        <f>IF(ISBLANK(AT198),"",SUMIFS(Table1[Amount $],Table1[Merchant],Snapshot!AT198,Table1[Month],Snapshot!$W$4)*-1)</f>
        <v/>
      </c>
      <c r="AV198" s="25" t="str">
        <f>IF(ISBLANK(AT198),"",COUNTIFS(Table1[Merchant],Snapshot!AT198,Table1[Month],Snapshot!$W$4))</f>
        <v/>
      </c>
      <c r="AW198" s="25" t="str">
        <f>IFERROR(RANK(AV198,$AV$6:$AV$200)+COUNTIF($AV$6:AV198,AV198)-1,"")</f>
        <v/>
      </c>
      <c r="AX198" s="25" t="str">
        <f>IFERROR(RANK(AU198,$AU$6:$AU$200)+COUNTIF($AU$6:AU198,AU198)-1,"")</f>
        <v/>
      </c>
    </row>
    <row r="199" spans="22:50" x14ac:dyDescent="0.25">
      <c r="V199" s="38" t="str">
        <f t="shared" si="11"/>
        <v>--</v>
      </c>
      <c r="W199" s="38"/>
      <c r="AT199" s="25"/>
      <c r="AU199" s="32" t="str">
        <f>IF(ISBLANK(AT199),"",SUMIFS(Table1[Amount $],Table1[Merchant],Snapshot!AT199,Table1[Month],Snapshot!$W$4)*-1)</f>
        <v/>
      </c>
      <c r="AV199" s="25" t="str">
        <f>IF(ISBLANK(AT199),"",COUNTIFS(Table1[Merchant],Snapshot!AT199,Table1[Month],Snapshot!$W$4))</f>
        <v/>
      </c>
      <c r="AW199" s="25" t="str">
        <f>IFERROR(RANK(AV199,$AV$6:$AV$200)+COUNTIF($AV$6:AV199,AV199)-1,"")</f>
        <v/>
      </c>
      <c r="AX199" s="25" t="str">
        <f>IFERROR(RANK(AU199,$AU$6:$AU$200)+COUNTIF($AU$6:AU199,AU199)-1,"")</f>
        <v/>
      </c>
    </row>
    <row r="200" spans="22:50" x14ac:dyDescent="0.25">
      <c r="V200" s="38" t="str">
        <f t="shared" ref="V200" si="12">IF(ISBLANK(W200),"--",TEXT(W200,"mmmm")&amp;" "&amp;TEXT(W200,"YYYY"))</f>
        <v>--</v>
      </c>
      <c r="W200" s="38"/>
      <c r="AT200" s="25"/>
      <c r="AU200" s="32" t="str">
        <f>IF(ISBLANK(AT200),"",SUMIFS(Table1[Amount $],Table1[Merchant],Snapshot!AT200,Table1[Month],Snapshot!$W$4)*-1)</f>
        <v/>
      </c>
      <c r="AV200" s="25" t="str">
        <f>IF(ISBLANK(AT200),"",COUNTIFS(Table1[Merchant],Snapshot!AT200,Table1[Month],Snapshot!$W$4))</f>
        <v/>
      </c>
      <c r="AW200" s="25" t="str">
        <f>IFERROR(RANK(AV200,$AV$6:$AV$200)+COUNTIF($AV$6:AV200,AV200)-1,"")</f>
        <v/>
      </c>
      <c r="AX200" s="25" t="str">
        <f>IFERROR(RANK(AU200,$AU$6:$AU$200)+COUNTIF($AU$6:AU200,AU200)-1,"")</f>
        <v/>
      </c>
    </row>
  </sheetData>
  <mergeCells count="3">
    <mergeCell ref="C2:P2"/>
    <mergeCell ref="Q4:S4"/>
    <mergeCell ref="C4:O4"/>
  </mergeCells>
  <conditionalFormatting sqref="Z57">
    <cfRule type="expression" dxfId="29" priority="14">
      <formula>$Z$57&gt;=0</formula>
    </cfRule>
    <cfRule type="expression" dxfId="28" priority="16">
      <formula>$Z$57&lt;0</formula>
    </cfRule>
  </conditionalFormatting>
  <conditionalFormatting sqref="P20">
    <cfRule type="expression" dxfId="27" priority="13">
      <formula>$S20=0</formula>
    </cfRule>
  </conditionalFormatting>
  <conditionalFormatting sqref="P18">
    <cfRule type="expression" dxfId="26" priority="12">
      <formula>$S$18=0</formula>
    </cfRule>
  </conditionalFormatting>
  <conditionalFormatting sqref="P16">
    <cfRule type="expression" dxfId="25" priority="11">
      <formula>$S$16=0</formula>
    </cfRule>
  </conditionalFormatting>
  <conditionalFormatting sqref="P14">
    <cfRule type="expression" dxfId="24" priority="10">
      <formula>$S$14=0</formula>
    </cfRule>
  </conditionalFormatting>
  <conditionalFormatting sqref="P12">
    <cfRule type="expression" dxfId="23" priority="9">
      <formula>$S$12=0</formula>
    </cfRule>
  </conditionalFormatting>
  <conditionalFormatting sqref="S20">
    <cfRule type="expression" dxfId="22" priority="8">
      <formula>$S$20=0</formula>
    </cfRule>
  </conditionalFormatting>
  <conditionalFormatting sqref="S18">
    <cfRule type="expression" dxfId="21" priority="7">
      <formula>$S$18=0</formula>
    </cfRule>
  </conditionalFormatting>
  <conditionalFormatting sqref="S16">
    <cfRule type="expression" dxfId="20" priority="6">
      <formula>$S$16=0</formula>
    </cfRule>
  </conditionalFormatting>
  <conditionalFormatting sqref="S14">
    <cfRule type="expression" dxfId="19" priority="5">
      <formula>$S$14=0</formula>
    </cfRule>
  </conditionalFormatting>
  <conditionalFormatting sqref="S12">
    <cfRule type="expression" dxfId="18" priority="4">
      <formula>$S$12=0</formula>
    </cfRule>
  </conditionalFormatting>
  <conditionalFormatting sqref="S10">
    <cfRule type="expression" dxfId="17" priority="3">
      <formula>$S$10=0</formula>
    </cfRule>
  </conditionalFormatting>
  <conditionalFormatting sqref="P10">
    <cfRule type="expression" dxfId="16" priority="2">
      <formula>$S$10=0</formula>
    </cfRule>
  </conditionalFormatting>
  <conditionalFormatting sqref="M8">
    <cfRule type="expression" dxfId="15" priority="1">
      <formula>$S$22=0</formula>
    </cfRule>
  </conditionalFormatting>
  <dataValidations count="2">
    <dataValidation type="list" allowBlank="1" showInputMessage="1" showErrorMessage="1" sqref="Q4" xr:uid="{3FE88EC2-B73E-4CDE-AC6E-4A65F4D75E2F}">
      <formula1>Months</formula1>
    </dataValidation>
    <dataValidation allowBlank="1" showInputMessage="1" showErrorMessage="1" promptTitle="Snapshot" prompt="See your spending trends month over month with easy to read graphs. To switch months, click on the blue date box in columns Q to S." sqref="A1" xr:uid="{299E8B16-7D7A-4E06-8652-8B23BB64B79D}"/>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B8BD4-B995-1D44-AD5B-D093BFA01DB2}">
  <dimension ref="A1:L44"/>
  <sheetViews>
    <sheetView showGridLines="0" zoomScaleNormal="100" workbookViewId="0"/>
  </sheetViews>
  <sheetFormatPr defaultColWidth="8.85546875" defaultRowHeight="15.75" outlineLevelCol="1" x14ac:dyDescent="0.25"/>
  <cols>
    <col min="1" max="1" width="1.42578125" style="14" customWidth="1"/>
    <col min="2" max="2" width="35.85546875" style="14" customWidth="1"/>
    <col min="3" max="3" width="49.140625" style="14" hidden="1" customWidth="1" outlineLevel="1"/>
    <col min="4" max="4" width="55.28515625" style="14" customWidth="1" collapsed="1"/>
    <col min="5" max="5" width="26.42578125" style="138" customWidth="1"/>
    <col min="6" max="6" width="8.85546875" style="14"/>
    <col min="7" max="7" width="9.42578125" style="14" hidden="1" customWidth="1" outlineLevel="1"/>
    <col min="8" max="8" width="7.140625" style="14" hidden="1" customWidth="1" outlineLevel="1"/>
    <col min="9" max="9" width="7" style="14" hidden="1" customWidth="1" outlineLevel="1"/>
    <col min="10" max="11" width="21.7109375" style="14" hidden="1" customWidth="1" outlineLevel="1"/>
    <col min="12" max="12" width="8.85546875" style="14" collapsed="1"/>
    <col min="13" max="16384" width="8.85546875" style="14"/>
  </cols>
  <sheetData>
    <row r="1" spans="1:11" s="13" customFormat="1" ht="5.0999999999999996" customHeight="1" x14ac:dyDescent="0.25">
      <c r="A1" s="14"/>
      <c r="B1" s="3"/>
      <c r="C1" s="3"/>
      <c r="D1" s="3"/>
      <c r="E1" s="3"/>
    </row>
    <row r="2" spans="1:11" ht="40.5" customHeight="1" x14ac:dyDescent="0.55000000000000004">
      <c r="B2" s="146" t="s">
        <v>43</v>
      </c>
      <c r="C2" s="153"/>
      <c r="D2" s="153"/>
      <c r="E2" s="153"/>
    </row>
    <row r="3" spans="1:11" ht="40.5" customHeight="1" x14ac:dyDescent="0.25">
      <c r="B3" s="151" t="s">
        <v>44</v>
      </c>
      <c r="C3" s="158"/>
      <c r="D3" s="158"/>
      <c r="E3" s="158"/>
    </row>
    <row r="4" spans="1:11" ht="2.1" customHeight="1" x14ac:dyDescent="0.25">
      <c r="B4" s="110"/>
      <c r="C4" s="110"/>
      <c r="D4" s="110"/>
      <c r="E4" s="110"/>
    </row>
    <row r="5" spans="1:11" ht="12.6" customHeight="1" thickBot="1" x14ac:dyDescent="0.3">
      <c r="E5" s="14"/>
      <c r="G5" s="126" t="s">
        <v>43</v>
      </c>
      <c r="H5" s="126"/>
      <c r="I5" s="126"/>
      <c r="J5" s="126"/>
      <c r="K5" s="126"/>
    </row>
    <row r="6" spans="1:11" s="127" customFormat="1" ht="16.350000000000001" customHeight="1" x14ac:dyDescent="0.25">
      <c r="C6" s="128" t="s">
        <v>45</v>
      </c>
      <c r="D6" s="128" t="s">
        <v>46</v>
      </c>
      <c r="E6" s="129" t="s">
        <v>37</v>
      </c>
      <c r="G6" s="130" t="s">
        <v>47</v>
      </c>
      <c r="H6" s="130" t="s">
        <v>5</v>
      </c>
      <c r="I6" s="130" t="s">
        <v>7</v>
      </c>
      <c r="J6" s="130" t="s">
        <v>48</v>
      </c>
      <c r="K6" s="46" t="s">
        <v>49</v>
      </c>
    </row>
    <row r="7" spans="1:11" ht="16.350000000000001" customHeight="1" x14ac:dyDescent="0.25">
      <c r="B7" s="156" t="s">
        <v>72</v>
      </c>
      <c r="C7" s="131"/>
      <c r="D7" s="132" t="s">
        <v>50</v>
      </c>
      <c r="E7" s="131" t="s">
        <v>50</v>
      </c>
      <c r="G7" s="92" t="str">
        <f>IF(COUNTA(CategoriesTableLegacy[[#This Row],[Category Name]:[Category Type]])=2,"YES","")</f>
        <v>YES</v>
      </c>
      <c r="H7" s="92">
        <f>IF(G7="","",COUNTIF($G$7:G7,"YES"))</f>
        <v>1</v>
      </c>
      <c r="I7" s="92">
        <f>IF(ROW()-6&gt;MAX($H$7:$H$44),"--",ROW()-6)</f>
        <v>1</v>
      </c>
      <c r="J7" s="92" t="str" cm="1">
        <f t="array" ref="J7">IFERROR(INDEX(CategoriesTableLegacy[Category Name],MATCH(I7,$H$7:$H$44,0),0),"--")</f>
        <v>Income</v>
      </c>
      <c r="K7" s="133" t="str" cm="1">
        <f t="array" aca="1" ref="K7:K24" ca="1">OFFSET(Categories_deprecated_2jdI!$J$7,0,0,COUNTIF(Categories_deprecated_2jdI!$J$7:$J$44,"&lt;&gt;"&amp;"--"),1)</f>
        <v>Income</v>
      </c>
    </row>
    <row r="8" spans="1:11" ht="16.350000000000001" customHeight="1" x14ac:dyDescent="0.25">
      <c r="B8" s="157"/>
      <c r="C8" s="131"/>
      <c r="D8" s="132" t="s">
        <v>51</v>
      </c>
      <c r="E8" s="131" t="s">
        <v>52</v>
      </c>
      <c r="G8" s="14" t="str">
        <f>IF(COUNTA(CategoriesTableLegacy[[#This Row],[Category Name]:[Category Type]])=2,"YES","")</f>
        <v>YES</v>
      </c>
      <c r="H8" s="14">
        <f>IF(G8="","",COUNTIF($G$7:G8,"YES"))</f>
        <v>2</v>
      </c>
      <c r="I8" s="14">
        <f t="shared" ref="I8:I44" si="0">IF(ROW()-6&gt;MAX($H$7:$H$44),"--",ROW()-6)</f>
        <v>2</v>
      </c>
      <c r="J8" s="14" t="str" cm="1">
        <f t="array" ref="J8">IFERROR(INDEX(CategoriesTableLegacy[Category Name],MATCH(I8,$H$7:$H$44,0),0),"--")</f>
        <v>Refund</v>
      </c>
      <c r="K8" s="14" t="str">
        <f ca="1"/>
        <v>Refund</v>
      </c>
    </row>
    <row r="9" spans="1:11" ht="16.350000000000001" customHeight="1" x14ac:dyDescent="0.25">
      <c r="B9" s="157"/>
      <c r="C9" s="131"/>
      <c r="D9" s="132" t="s">
        <v>52</v>
      </c>
      <c r="E9" s="131" t="s">
        <v>52</v>
      </c>
      <c r="G9" s="14" t="str">
        <f>IF(COUNTA(CategoriesTableLegacy[[#This Row],[Category Name]:[Category Type]])=2,"YES","")</f>
        <v>YES</v>
      </c>
      <c r="H9" s="14">
        <f>IF(G9="","",COUNTIF($G$7:G9,"YES"))</f>
        <v>3</v>
      </c>
      <c r="I9" s="14">
        <f t="shared" si="0"/>
        <v>3</v>
      </c>
      <c r="J9" s="14" t="str" cm="1">
        <f t="array" ref="J9">IFERROR(INDEX(CategoriesTableLegacy[Category Name],MATCH(I9,$H$7:$H$44,0),0),"--")</f>
        <v>Transfer</v>
      </c>
      <c r="K9" s="14" t="str">
        <f ca="1"/>
        <v>Transfer</v>
      </c>
    </row>
    <row r="10" spans="1:11" ht="16.350000000000001" customHeight="1" x14ac:dyDescent="0.25">
      <c r="B10" s="157"/>
      <c r="C10" s="131"/>
      <c r="D10" s="132" t="s">
        <v>53</v>
      </c>
      <c r="E10" s="131" t="s">
        <v>54</v>
      </c>
      <c r="G10" s="14" t="str">
        <f>IF(COUNTA(CategoriesTableLegacy[[#This Row],[Category Name]:[Category Type]])=2,"YES","")</f>
        <v>YES</v>
      </c>
      <c r="H10" s="14">
        <f>IF(G10="","",COUNTIF($G$7:G10,"YES"))</f>
        <v>4</v>
      </c>
      <c r="I10" s="14">
        <f t="shared" si="0"/>
        <v>4</v>
      </c>
      <c r="J10" s="14" t="str" cm="1">
        <f t="array" ref="J10">IFERROR(INDEX(CategoriesTableLegacy[Category Name],MATCH(I10,$H$7:$H$44,0),0),"--")</f>
        <v>Auto/Transport</v>
      </c>
      <c r="K10" s="14" t="str">
        <f ca="1"/>
        <v>Auto/Transport</v>
      </c>
    </row>
    <row r="11" spans="1:11" ht="16.350000000000001" customHeight="1" x14ac:dyDescent="0.25">
      <c r="B11" s="157"/>
      <c r="C11" s="131"/>
      <c r="D11" s="132" t="s">
        <v>55</v>
      </c>
      <c r="E11" s="131" t="s">
        <v>54</v>
      </c>
      <c r="G11" s="14" t="str">
        <f>IF(COUNTA(CategoriesTableLegacy[[#This Row],[Category Name]:[Category Type]])=2,"YES","")</f>
        <v>YES</v>
      </c>
      <c r="H11" s="14">
        <f>IF(G11="","",COUNTIF($G$7:G11,"YES"))</f>
        <v>5</v>
      </c>
      <c r="I11" s="14">
        <f t="shared" si="0"/>
        <v>5</v>
      </c>
      <c r="J11" s="14" t="str" cm="1">
        <f t="array" ref="J11">IFERROR(INDEX(CategoriesTableLegacy[Category Name],MATCH(I11,$H$7:$H$44,0),0),"--")</f>
        <v>Bills/Utilities</v>
      </c>
      <c r="K11" s="14" t="str">
        <f ca="1"/>
        <v>Bills/Utilities</v>
      </c>
    </row>
    <row r="12" spans="1:11" ht="16.350000000000001" customHeight="1" x14ac:dyDescent="0.25">
      <c r="B12" s="157"/>
      <c r="C12" s="131"/>
      <c r="D12" s="132" t="s">
        <v>56</v>
      </c>
      <c r="E12" s="131" t="s">
        <v>54</v>
      </c>
      <c r="G12" s="14" t="str">
        <f>IF(COUNTA(CategoriesTableLegacy[[#This Row],[Category Name]:[Category Type]])=2,"YES","")</f>
        <v>YES</v>
      </c>
      <c r="H12" s="14">
        <f>IF(G12="","",COUNTIF($G$7:G12,"YES"))</f>
        <v>6</v>
      </c>
      <c r="I12" s="14">
        <f t="shared" si="0"/>
        <v>6</v>
      </c>
      <c r="J12" s="14" t="str" cm="1">
        <f t="array" ref="J12">IFERROR(INDEX(CategoriesTableLegacy[Category Name],MATCH(I12,$H$7:$H$44,0),0),"--")</f>
        <v>Entertainment</v>
      </c>
      <c r="K12" s="14" t="str">
        <f ca="1"/>
        <v>Entertainment</v>
      </c>
    </row>
    <row r="13" spans="1:11" ht="16.350000000000001" customHeight="1" x14ac:dyDescent="0.25">
      <c r="B13" s="157"/>
      <c r="C13" s="131"/>
      <c r="D13" s="132" t="s">
        <v>57</v>
      </c>
      <c r="E13" s="131" t="s">
        <v>54</v>
      </c>
      <c r="G13" s="14" t="str">
        <f>IF(COUNTA(CategoriesTableLegacy[[#This Row],[Category Name]:[Category Type]])=2,"YES","")</f>
        <v>YES</v>
      </c>
      <c r="H13" s="14">
        <f>IF(G13="","",COUNTIF($G$7:G13,"YES"))</f>
        <v>7</v>
      </c>
      <c r="I13" s="14">
        <f t="shared" si="0"/>
        <v>7</v>
      </c>
      <c r="J13" s="14" t="str" cm="1">
        <f t="array" ref="J13">IFERROR(INDEX(CategoriesTableLegacy[Category Name],MATCH(I13,$H$7:$H$44,0),0),"--")</f>
        <v>Fees/Charges</v>
      </c>
      <c r="K13" s="14" t="str">
        <f ca="1"/>
        <v>Fees/Charges</v>
      </c>
    </row>
    <row r="14" spans="1:11" ht="16.350000000000001" customHeight="1" x14ac:dyDescent="0.25">
      <c r="B14" s="157"/>
      <c r="C14" s="131"/>
      <c r="D14" s="132" t="s">
        <v>58</v>
      </c>
      <c r="E14" s="131" t="s">
        <v>54</v>
      </c>
      <c r="G14" s="14" t="str">
        <f>IF(COUNTA(CategoriesTableLegacy[[#This Row],[Category Name]:[Category Type]])=2,"YES","")</f>
        <v>YES</v>
      </c>
      <c r="H14" s="14">
        <f>IF(G14="","",COUNTIF($G$7:G14,"YES"))</f>
        <v>8</v>
      </c>
      <c r="I14" s="14">
        <f t="shared" si="0"/>
        <v>8</v>
      </c>
      <c r="J14" s="14" t="str" cm="1">
        <f t="array" ref="J14">IFERROR(INDEX(CategoriesTableLegacy[Category Name],MATCH(I14,$H$7:$H$44,0),0),"--")</f>
        <v>Groceries</v>
      </c>
      <c r="K14" s="14" t="str">
        <f ca="1"/>
        <v>Groceries</v>
      </c>
    </row>
    <row r="15" spans="1:11" ht="16.350000000000001" customHeight="1" x14ac:dyDescent="0.25">
      <c r="B15" s="157"/>
      <c r="C15" s="131"/>
      <c r="D15" s="132" t="s">
        <v>59</v>
      </c>
      <c r="E15" s="131" t="s">
        <v>54</v>
      </c>
      <c r="G15" s="14" t="str">
        <f>IF(COUNTA(CategoriesTableLegacy[[#This Row],[Category Name]:[Category Type]])=2,"YES","")</f>
        <v>YES</v>
      </c>
      <c r="H15" s="14">
        <f>IF(G15="","",COUNTIF($G$7:G15,"YES"))</f>
        <v>9</v>
      </c>
      <c r="I15" s="14">
        <f t="shared" si="0"/>
        <v>9</v>
      </c>
      <c r="J15" s="14" t="str" cm="1">
        <f t="array" ref="J15">IFERROR(INDEX(CategoriesTableLegacy[Category Name],MATCH(I15,$H$7:$H$44,0),0),"--")</f>
        <v>Health/Fitness</v>
      </c>
      <c r="K15" s="14" t="str">
        <f ca="1"/>
        <v>Health/Fitness</v>
      </c>
    </row>
    <row r="16" spans="1:11" ht="16.350000000000001" customHeight="1" x14ac:dyDescent="0.25">
      <c r="B16" s="157"/>
      <c r="C16" s="131"/>
      <c r="D16" s="132" t="s">
        <v>60</v>
      </c>
      <c r="E16" s="131" t="s">
        <v>54</v>
      </c>
      <c r="G16" s="14" t="str">
        <f>IF(COUNTA(CategoriesTableLegacy[[#This Row],[Category Name]:[Category Type]])=2,"YES","")</f>
        <v>YES</v>
      </c>
      <c r="H16" s="14">
        <f>IF(G16="","",COUNTIF($G$7:G16,"YES"))</f>
        <v>10</v>
      </c>
      <c r="I16" s="14">
        <f t="shared" si="0"/>
        <v>10</v>
      </c>
      <c r="J16" s="14" t="str" cm="1">
        <f t="array" ref="J16">IFERROR(INDEX(CategoriesTableLegacy[Category Name],MATCH(I16,$H$7:$H$44,0),0),"--")</f>
        <v>Home</v>
      </c>
      <c r="K16" s="14" t="str">
        <f ca="1"/>
        <v>Home</v>
      </c>
    </row>
    <row r="17" spans="2:11" ht="16.350000000000001" customHeight="1" x14ac:dyDescent="0.25">
      <c r="B17" s="157"/>
      <c r="C17" s="131"/>
      <c r="D17" s="132" t="s">
        <v>61</v>
      </c>
      <c r="E17" s="131" t="s">
        <v>54</v>
      </c>
      <c r="G17" s="14" t="str">
        <f>IF(COUNTA(CategoriesTableLegacy[[#This Row],[Category Name]:[Category Type]])=2,"YES","")</f>
        <v>YES</v>
      </c>
      <c r="H17" s="14">
        <f>IF(G17="","",COUNTIF($G$7:G17,"YES"))</f>
        <v>11</v>
      </c>
      <c r="I17" s="14">
        <f t="shared" si="0"/>
        <v>11</v>
      </c>
      <c r="J17" s="14" t="str" cm="1">
        <f t="array" ref="J17">IFERROR(INDEX(CategoriesTableLegacy[Category Name],MATCH(I17,$H$7:$H$44,0),0),"--")</f>
        <v>Misc</v>
      </c>
      <c r="K17" s="14" t="str">
        <f ca="1"/>
        <v>Misc</v>
      </c>
    </row>
    <row r="18" spans="2:11" ht="16.350000000000001" customHeight="1" x14ac:dyDescent="0.25">
      <c r="B18" s="157"/>
      <c r="C18" s="131"/>
      <c r="D18" s="132" t="s">
        <v>62</v>
      </c>
      <c r="E18" s="131" t="s">
        <v>54</v>
      </c>
      <c r="G18" s="14" t="str">
        <f>IF(COUNTA(CategoriesTableLegacy[[#This Row],[Category Name]:[Category Type]])=2,"YES","")</f>
        <v>YES</v>
      </c>
      <c r="H18" s="14">
        <f>IF(G18="","",COUNTIF($G$7:G18,"YES"))</f>
        <v>12</v>
      </c>
      <c r="I18" s="14">
        <f t="shared" si="0"/>
        <v>12</v>
      </c>
      <c r="J18" s="14" t="str" cm="1">
        <f t="array" ref="J18">IFERROR(INDEX(CategoriesTableLegacy[Category Name],MATCH(I18,$H$7:$H$44,0),0),"--")</f>
        <v>Mortgage/Rent</v>
      </c>
      <c r="K18" s="14" t="str">
        <f ca="1"/>
        <v>Mortgage/Rent</v>
      </c>
    </row>
    <row r="19" spans="2:11" ht="16.350000000000001" customHeight="1" x14ac:dyDescent="0.25">
      <c r="B19" s="157"/>
      <c r="C19" s="131"/>
      <c r="D19" s="132" t="s">
        <v>63</v>
      </c>
      <c r="E19" s="131" t="s">
        <v>54</v>
      </c>
      <c r="G19" s="14" t="str">
        <f>IF(COUNTA(CategoriesTableLegacy[[#This Row],[Category Name]:[Category Type]])=2,"YES","")</f>
        <v>YES</v>
      </c>
      <c r="H19" s="14">
        <f>IF(G19="","",COUNTIF($G$7:G19,"YES"))</f>
        <v>13</v>
      </c>
      <c r="I19" s="14">
        <f t="shared" si="0"/>
        <v>13</v>
      </c>
      <c r="J19" s="14" t="str" cm="1">
        <f t="array" ref="J19">IFERROR(INDEX(CategoriesTableLegacy[Category Name],MATCH(I19,$H$7:$H$44,0),0),"--")</f>
        <v>Payment</v>
      </c>
      <c r="K19" s="14" t="str">
        <f ca="1"/>
        <v>Payment</v>
      </c>
    </row>
    <row r="20" spans="2:11" ht="16.350000000000001" customHeight="1" x14ac:dyDescent="0.25">
      <c r="B20" s="157"/>
      <c r="C20" s="131"/>
      <c r="D20" s="132" t="s">
        <v>64</v>
      </c>
      <c r="E20" s="131" t="s">
        <v>54</v>
      </c>
      <c r="G20" s="14" t="str">
        <f>IF(COUNTA(CategoriesTableLegacy[[#This Row],[Category Name]:[Category Type]])=2,"YES","")</f>
        <v>YES</v>
      </c>
      <c r="H20" s="14">
        <f>IF(G20="","",COUNTIF($G$7:G20,"YES"))</f>
        <v>14</v>
      </c>
      <c r="I20" s="14">
        <f t="shared" si="0"/>
        <v>14</v>
      </c>
      <c r="J20" s="14" t="str" cm="1">
        <f t="array" ref="J20">IFERROR(INDEX(CategoriesTableLegacy[Category Name],MATCH(I20,$H$7:$H$44,0),0),"--")</f>
        <v>Professional Services</v>
      </c>
      <c r="K20" s="14" t="str">
        <f ca="1"/>
        <v>Professional Services</v>
      </c>
    </row>
    <row r="21" spans="2:11" ht="16.350000000000001" customHeight="1" x14ac:dyDescent="0.25">
      <c r="B21" s="157"/>
      <c r="C21" s="131"/>
      <c r="D21" s="132" t="s">
        <v>65</v>
      </c>
      <c r="E21" s="131" t="s">
        <v>54</v>
      </c>
      <c r="G21" s="14" t="str">
        <f>IF(COUNTA(CategoriesTableLegacy[[#This Row],[Category Name]:[Category Type]])=2,"YES","")</f>
        <v>YES</v>
      </c>
      <c r="H21" s="14">
        <f>IF(G21="","",COUNTIF($G$7:G21,"YES"))</f>
        <v>15</v>
      </c>
      <c r="I21" s="14">
        <f t="shared" si="0"/>
        <v>15</v>
      </c>
      <c r="J21" s="14" t="str" cm="1">
        <f t="array" ref="J21">IFERROR(INDEX(CategoriesTableLegacy[Category Name],MATCH(I21,$H$7:$H$44,0),0),"--")</f>
        <v>Restaurants/Dining</v>
      </c>
      <c r="K21" s="14" t="str">
        <f ca="1"/>
        <v>Restaurants/Dining</v>
      </c>
    </row>
    <row r="22" spans="2:11" ht="16.350000000000001" customHeight="1" x14ac:dyDescent="0.25">
      <c r="B22" s="157"/>
      <c r="C22" s="131"/>
      <c r="D22" s="132" t="s">
        <v>66</v>
      </c>
      <c r="E22" s="131" t="s">
        <v>54</v>
      </c>
      <c r="G22" s="14" t="str">
        <f>IF(COUNTA(CategoriesTableLegacy[[#This Row],[Category Name]:[Category Type]])=2,"YES","")</f>
        <v>YES</v>
      </c>
      <c r="H22" s="14">
        <f>IF(G22="","",COUNTIF($G$7:G22,"YES"))</f>
        <v>16</v>
      </c>
      <c r="I22" s="14">
        <f t="shared" si="0"/>
        <v>16</v>
      </c>
      <c r="J22" s="14" t="str" cm="1">
        <f t="array" ref="J22">IFERROR(INDEX(CategoriesTableLegacy[Category Name],MATCH(I22,$H$7:$H$44,0),0),"--")</f>
        <v>Shopping</v>
      </c>
      <c r="K22" s="14" t="str">
        <f ca="1"/>
        <v>Shopping</v>
      </c>
    </row>
    <row r="23" spans="2:11" ht="16.350000000000001" customHeight="1" x14ac:dyDescent="0.25">
      <c r="B23" s="157"/>
      <c r="C23" s="131"/>
      <c r="D23" s="132" t="s">
        <v>67</v>
      </c>
      <c r="E23" s="131" t="s">
        <v>54</v>
      </c>
      <c r="G23" s="14" t="str">
        <f>IF(COUNTA(CategoriesTableLegacy[[#This Row],[Category Name]:[Category Type]])=2,"YES","")</f>
        <v>YES</v>
      </c>
      <c r="H23" s="14">
        <f>IF(G23="","",COUNTIF($G$7:G23,"YES"))</f>
        <v>17</v>
      </c>
      <c r="I23" s="14">
        <f t="shared" si="0"/>
        <v>17</v>
      </c>
      <c r="J23" s="14" t="str" cm="1">
        <f t="array" ref="J23">IFERROR(INDEX(CategoriesTableLegacy[Category Name],MATCH(I23,$H$7:$H$44,0),0),"--")</f>
        <v>Travel</v>
      </c>
      <c r="K23" s="14" t="str">
        <f ca="1"/>
        <v>Travel</v>
      </c>
    </row>
    <row r="24" spans="2:11" ht="16.350000000000001" customHeight="1" thickBot="1" x14ac:dyDescent="0.3">
      <c r="B24" s="157"/>
      <c r="C24" s="134"/>
      <c r="D24" s="135" t="s">
        <v>68</v>
      </c>
      <c r="E24" s="134" t="s">
        <v>54</v>
      </c>
      <c r="G24" s="14" t="str">
        <f>IF(COUNTA(CategoriesTableLegacy[[#This Row],[Category Name]:[Category Type]])=2,"YES","")</f>
        <v>YES</v>
      </c>
      <c r="H24" s="14">
        <f>IF(G24="","",COUNTIF($G$7:G24,"YES"))</f>
        <v>18</v>
      </c>
      <c r="I24" s="14">
        <f t="shared" si="0"/>
        <v>18</v>
      </c>
      <c r="J24" s="14" t="str" cm="1">
        <f t="array" ref="J24">IFERROR(INDEX(CategoriesTableLegacy[Category Name],MATCH(I24,$H$7:$H$44,0),0),"--")</f>
        <v>Uncategorized</v>
      </c>
      <c r="K24" s="14" t="str">
        <f ca="1"/>
        <v>Uncategorized</v>
      </c>
    </row>
    <row r="25" spans="2:11" ht="16.350000000000001" customHeight="1" x14ac:dyDescent="0.25">
      <c r="B25" s="159" t="s">
        <v>73</v>
      </c>
      <c r="C25" s="143"/>
      <c r="D25" s="136"/>
      <c r="E25" s="137"/>
      <c r="G25" s="14" t="str">
        <f>IF(COUNTA(CategoriesTableLegacy[[#This Row],[Category Name]:[Category Type]])=2,"YES","")</f>
        <v/>
      </c>
      <c r="H25" s="14" t="str">
        <f>IF(G25="","",COUNTIF($G$7:G25,"YES"))</f>
        <v/>
      </c>
      <c r="I25" s="14" t="str">
        <f t="shared" si="0"/>
        <v>--</v>
      </c>
      <c r="J25" s="14" t="str" cm="1">
        <f t="array" ref="J25">IFERROR(INDEX(CategoriesTableLegacy[Category Name],MATCH(I25,$H$7:$H$44,0),0),"--")</f>
        <v>--</v>
      </c>
    </row>
    <row r="26" spans="2:11" ht="16.350000000000001" customHeight="1" x14ac:dyDescent="0.25">
      <c r="B26" s="160"/>
      <c r="C26" s="144"/>
      <c r="D26" s="136"/>
      <c r="E26" s="137"/>
      <c r="G26" s="14" t="str">
        <f>IF(COUNTA(CategoriesTableLegacy[[#This Row],[Category Name]:[Category Type]])=2,"YES","")</f>
        <v/>
      </c>
      <c r="H26" s="14" t="str">
        <f>IF(G26="","",COUNTIF($G$7:G26,"YES"))</f>
        <v/>
      </c>
      <c r="I26" s="14" t="str">
        <f t="shared" si="0"/>
        <v>--</v>
      </c>
      <c r="J26" s="14" t="str" cm="1">
        <f t="array" ref="J26">IFERROR(INDEX(CategoriesTableLegacy[Category Name],MATCH(I26,$H$7:$H$44,0),0),"--")</f>
        <v>--</v>
      </c>
    </row>
    <row r="27" spans="2:11" ht="16.350000000000001" customHeight="1" x14ac:dyDescent="0.25">
      <c r="B27" s="160"/>
      <c r="C27" s="144"/>
      <c r="D27" s="136"/>
      <c r="E27" s="137"/>
      <c r="G27" s="14" t="str">
        <f>IF(COUNTA(CategoriesTableLegacy[[#This Row],[Category Name]:[Category Type]])=2,"YES","")</f>
        <v/>
      </c>
      <c r="H27" s="14" t="str">
        <f>IF(G27="","",COUNTIF($G$7:G27,"YES"))</f>
        <v/>
      </c>
      <c r="I27" s="14" t="str">
        <f t="shared" si="0"/>
        <v>--</v>
      </c>
      <c r="J27" s="14" t="str" cm="1">
        <f t="array" ref="J27">IFERROR(INDEX(CategoriesTableLegacy[Category Name],MATCH(I27,$H$7:$H$44,0),0),"--")</f>
        <v>--</v>
      </c>
    </row>
    <row r="28" spans="2:11" ht="16.350000000000001" customHeight="1" x14ac:dyDescent="0.25">
      <c r="B28" s="160"/>
      <c r="C28" s="144"/>
      <c r="D28" s="136"/>
      <c r="E28" s="137"/>
      <c r="G28" s="14" t="str">
        <f>IF(COUNTA(CategoriesTableLegacy[[#This Row],[Category Name]:[Category Type]])=2,"YES","")</f>
        <v/>
      </c>
      <c r="H28" s="14" t="str">
        <f>IF(G28="","",COUNTIF($G$7:G28,"YES"))</f>
        <v/>
      </c>
      <c r="I28" s="14" t="str">
        <f t="shared" si="0"/>
        <v>--</v>
      </c>
      <c r="J28" s="14" t="str" cm="1">
        <f t="array" ref="J28">IFERROR(INDEX(CategoriesTableLegacy[Category Name],MATCH(I28,$H$7:$H$44,0),0),"--")</f>
        <v>--</v>
      </c>
    </row>
    <row r="29" spans="2:11" ht="16.350000000000001" customHeight="1" x14ac:dyDescent="0.25">
      <c r="B29" s="160"/>
      <c r="C29" s="144"/>
      <c r="D29" s="136"/>
      <c r="E29" s="137"/>
      <c r="G29" s="14" t="str">
        <f>IF(COUNTA(CategoriesTableLegacy[[#This Row],[Category Name]:[Category Type]])=2,"YES","")</f>
        <v/>
      </c>
      <c r="H29" s="14" t="str">
        <f>IF(G29="","",COUNTIF($G$7:G29,"YES"))</f>
        <v/>
      </c>
      <c r="I29" s="14" t="str">
        <f t="shared" si="0"/>
        <v>--</v>
      </c>
      <c r="J29" s="14" t="str" cm="1">
        <f t="array" ref="J29">IFERROR(INDEX(CategoriesTableLegacy[Category Name],MATCH(I29,$H$7:$H$44,0),0),"--")</f>
        <v>--</v>
      </c>
    </row>
    <row r="30" spans="2:11" ht="16.350000000000001" customHeight="1" x14ac:dyDescent="0.25">
      <c r="B30" s="160"/>
      <c r="C30" s="144"/>
      <c r="D30" s="136"/>
      <c r="E30" s="137"/>
      <c r="G30" s="14" t="str">
        <f>IF(COUNTA(CategoriesTableLegacy[[#This Row],[Category Name]:[Category Type]])=2,"YES","")</f>
        <v/>
      </c>
      <c r="H30" s="14" t="str">
        <f>IF(G30="","",COUNTIF($G$7:G30,"YES"))</f>
        <v/>
      </c>
      <c r="I30" s="14" t="str">
        <f t="shared" si="0"/>
        <v>--</v>
      </c>
      <c r="J30" s="14" t="str" cm="1">
        <f t="array" ref="J30">IFERROR(INDEX(CategoriesTableLegacy[Category Name],MATCH(I30,$H$7:$H$44,0),0),"--")</f>
        <v>--</v>
      </c>
    </row>
    <row r="31" spans="2:11" ht="16.350000000000001" customHeight="1" x14ac:dyDescent="0.25">
      <c r="B31" s="160"/>
      <c r="C31" s="144"/>
      <c r="D31" s="136"/>
      <c r="E31" s="137"/>
      <c r="G31" s="14" t="str">
        <f>IF(COUNTA(CategoriesTableLegacy[[#This Row],[Category Name]:[Category Type]])=2,"YES","")</f>
        <v/>
      </c>
      <c r="H31" s="14" t="str">
        <f>IF(G31="","",COUNTIF($G$7:G31,"YES"))</f>
        <v/>
      </c>
      <c r="I31" s="14" t="str">
        <f t="shared" si="0"/>
        <v>--</v>
      </c>
      <c r="J31" s="14" t="str" cm="1">
        <f t="array" ref="J31">IFERROR(INDEX(CategoriesTableLegacy[Category Name],MATCH(I31,$H$7:$H$44,0),0),"--")</f>
        <v>--</v>
      </c>
    </row>
    <row r="32" spans="2:11" ht="16.350000000000001" customHeight="1" x14ac:dyDescent="0.25">
      <c r="B32" s="160"/>
      <c r="C32" s="144"/>
      <c r="D32" s="136"/>
      <c r="E32" s="137"/>
      <c r="G32" s="14" t="str">
        <f>IF(COUNTA(CategoriesTableLegacy[[#This Row],[Category Name]:[Category Type]])=2,"YES","")</f>
        <v/>
      </c>
      <c r="H32" s="14" t="str">
        <f>IF(G32="","",COUNTIF($G$7:G32,"YES"))</f>
        <v/>
      </c>
      <c r="I32" s="14" t="str">
        <f t="shared" si="0"/>
        <v>--</v>
      </c>
      <c r="J32" s="14" t="str" cm="1">
        <f t="array" ref="J32">IFERROR(INDEX(CategoriesTableLegacy[Category Name],MATCH(I32,$H$7:$H$44,0),0),"--")</f>
        <v>--</v>
      </c>
    </row>
    <row r="33" spans="2:10" ht="16.350000000000001" customHeight="1" x14ac:dyDescent="0.25">
      <c r="B33" s="160"/>
      <c r="C33" s="144"/>
      <c r="D33" s="136"/>
      <c r="E33" s="137"/>
      <c r="G33" s="14" t="str">
        <f>IF(COUNTA(CategoriesTableLegacy[[#This Row],[Category Name]:[Category Type]])=2,"YES","")</f>
        <v/>
      </c>
      <c r="H33" s="14" t="str">
        <f>IF(G33="","",COUNTIF($G$7:G33,"YES"))</f>
        <v/>
      </c>
      <c r="I33" s="14" t="str">
        <f t="shared" si="0"/>
        <v>--</v>
      </c>
      <c r="J33" s="14" t="str" cm="1">
        <f t="array" ref="J33">IFERROR(INDEX(CategoriesTableLegacy[Category Name],MATCH(I33,$H$7:$H$44,0),0),"--")</f>
        <v>--</v>
      </c>
    </row>
    <row r="34" spans="2:10" ht="16.350000000000001" customHeight="1" x14ac:dyDescent="0.25">
      <c r="B34" s="160"/>
      <c r="C34" s="144"/>
      <c r="D34" s="136"/>
      <c r="E34" s="137"/>
      <c r="G34" s="14" t="str">
        <f>IF(COUNTA(CategoriesTableLegacy[[#This Row],[Category Name]:[Category Type]])=2,"YES","")</f>
        <v/>
      </c>
      <c r="H34" s="14" t="str">
        <f>IF(G34="","",COUNTIF($G$7:G34,"YES"))</f>
        <v/>
      </c>
      <c r="I34" s="14" t="str">
        <f t="shared" si="0"/>
        <v>--</v>
      </c>
      <c r="J34" s="14" t="str" cm="1">
        <f t="array" ref="J34">IFERROR(INDEX(CategoriesTableLegacy[Category Name],MATCH(I34,$H$7:$H$44,0),0),"--")</f>
        <v>--</v>
      </c>
    </row>
    <row r="35" spans="2:10" ht="16.350000000000001" customHeight="1" x14ac:dyDescent="0.25">
      <c r="B35" s="160"/>
      <c r="C35" s="144"/>
      <c r="D35" s="136"/>
      <c r="E35" s="137"/>
      <c r="G35" s="14" t="str">
        <f>IF(COUNTA(CategoriesTableLegacy[[#This Row],[Category Name]:[Category Type]])=2,"YES","")</f>
        <v/>
      </c>
      <c r="H35" s="14" t="str">
        <f>IF(G35="","",COUNTIF($G$7:G35,"YES"))</f>
        <v/>
      </c>
      <c r="I35" s="14" t="str">
        <f t="shared" si="0"/>
        <v>--</v>
      </c>
      <c r="J35" s="14" t="str" cm="1">
        <f t="array" ref="J35">IFERROR(INDEX(CategoriesTableLegacy[Category Name],MATCH(I35,$H$7:$H$44,0),0),"--")</f>
        <v>--</v>
      </c>
    </row>
    <row r="36" spans="2:10" ht="16.350000000000001" customHeight="1" x14ac:dyDescent="0.25">
      <c r="B36" s="160"/>
      <c r="C36" s="144"/>
      <c r="D36" s="136"/>
      <c r="E36" s="137"/>
      <c r="G36" s="14" t="str">
        <f>IF(COUNTA(CategoriesTableLegacy[[#This Row],[Category Name]:[Category Type]])=2,"YES","")</f>
        <v/>
      </c>
      <c r="H36" s="14" t="str">
        <f>IF(G36="","",COUNTIF($G$7:G36,"YES"))</f>
        <v/>
      </c>
      <c r="I36" s="14" t="str">
        <f t="shared" si="0"/>
        <v>--</v>
      </c>
      <c r="J36" s="14" t="str" cm="1">
        <f t="array" ref="J36">IFERROR(INDEX(CategoriesTableLegacy[Category Name],MATCH(I36,$H$7:$H$44,0),0),"--")</f>
        <v>--</v>
      </c>
    </row>
    <row r="37" spans="2:10" x14ac:dyDescent="0.25">
      <c r="B37" s="161"/>
      <c r="C37" s="145"/>
      <c r="D37" s="136"/>
      <c r="E37" s="137"/>
      <c r="G37" s="14" t="str">
        <f>IF(COUNTA(CategoriesTableLegacy[[#This Row],[Category Name]:[Category Type]])=2,"YES","")</f>
        <v/>
      </c>
      <c r="H37" s="14" t="str">
        <f>IF(G37="","",COUNTIF($G$7:G37,"YES"))</f>
        <v/>
      </c>
      <c r="I37" s="14" t="str">
        <f t="shared" si="0"/>
        <v>--</v>
      </c>
      <c r="J37" s="14" t="str" cm="1">
        <f t="array" ref="J37">IFERROR(INDEX(CategoriesTableLegacy[Category Name],MATCH(I37,$H$7:$H$44,0),0),"--")</f>
        <v>--</v>
      </c>
    </row>
    <row r="38" spans="2:10" x14ac:dyDescent="0.25">
      <c r="B38" s="161"/>
      <c r="C38" s="145"/>
      <c r="D38" s="136"/>
      <c r="E38" s="137"/>
      <c r="G38" s="14" t="str">
        <f>IF(COUNTA(CategoriesTableLegacy[[#This Row],[Category Name]:[Category Type]])=2,"YES","")</f>
        <v/>
      </c>
      <c r="H38" s="14" t="str">
        <f>IF(G38="","",COUNTIF($G$7:G38,"YES"))</f>
        <v/>
      </c>
      <c r="I38" s="14" t="str">
        <f t="shared" si="0"/>
        <v>--</v>
      </c>
      <c r="J38" s="14" t="str" cm="1">
        <f t="array" ref="J38">IFERROR(INDEX(CategoriesTableLegacy[Category Name],MATCH(I38,$H$7:$H$44,0),0),"--")</f>
        <v>--</v>
      </c>
    </row>
    <row r="39" spans="2:10" x14ac:dyDescent="0.25">
      <c r="B39" s="161"/>
      <c r="C39" s="145"/>
      <c r="D39" s="136"/>
      <c r="E39" s="137"/>
      <c r="G39" s="14" t="str">
        <f>IF(COUNTA(CategoriesTableLegacy[[#This Row],[Category Name]:[Category Type]])=2,"YES","")</f>
        <v/>
      </c>
      <c r="H39" s="14" t="str">
        <f>IF(G39="","",COUNTIF($G$7:G39,"YES"))</f>
        <v/>
      </c>
      <c r="I39" s="14" t="str">
        <f t="shared" si="0"/>
        <v>--</v>
      </c>
      <c r="J39" s="14" t="str" cm="1">
        <f t="array" ref="J39">IFERROR(INDEX(CategoriesTableLegacy[Category Name],MATCH(I39,$H$7:$H$44,0),0),"--")</f>
        <v>--</v>
      </c>
    </row>
    <row r="40" spans="2:10" x14ac:dyDescent="0.25">
      <c r="B40" s="161"/>
      <c r="C40" s="145"/>
      <c r="D40" s="136"/>
      <c r="E40" s="137"/>
      <c r="G40" s="14" t="str">
        <f>IF(COUNTA(CategoriesTableLegacy[[#This Row],[Category Name]:[Category Type]])=2,"YES","")</f>
        <v/>
      </c>
      <c r="H40" s="14" t="str">
        <f>IF(G40="","",COUNTIF($G$7:G40,"YES"))</f>
        <v/>
      </c>
      <c r="I40" s="14" t="str">
        <f t="shared" si="0"/>
        <v>--</v>
      </c>
      <c r="J40" s="14" t="str" cm="1">
        <f t="array" ref="J40">IFERROR(INDEX(CategoriesTableLegacy[Category Name],MATCH(I40,$H$7:$H$44,0),0),"--")</f>
        <v>--</v>
      </c>
    </row>
    <row r="41" spans="2:10" x14ac:dyDescent="0.25">
      <c r="B41" s="161"/>
      <c r="C41" s="145"/>
      <c r="D41" s="136"/>
      <c r="E41" s="137"/>
      <c r="G41" s="14" t="str">
        <f>IF(COUNTA(CategoriesTableLegacy[[#This Row],[Category Name]:[Category Type]])=2,"YES","")</f>
        <v/>
      </c>
      <c r="H41" s="14" t="str">
        <f>IF(G41="","",COUNTIF($G$7:G41,"YES"))</f>
        <v/>
      </c>
      <c r="I41" s="14" t="str">
        <f t="shared" si="0"/>
        <v>--</v>
      </c>
      <c r="J41" s="14" t="str" cm="1">
        <f t="array" ref="J41">IFERROR(INDEX(CategoriesTableLegacy[Category Name],MATCH(I41,$H$7:$H$44,0),0),"--")</f>
        <v>--</v>
      </c>
    </row>
    <row r="42" spans="2:10" x14ac:dyDescent="0.25">
      <c r="B42" s="161"/>
      <c r="C42" s="145"/>
      <c r="D42" s="136"/>
      <c r="E42" s="137"/>
      <c r="G42" s="14" t="str">
        <f>IF(COUNTA(CategoriesTableLegacy[[#This Row],[Category Name]:[Category Type]])=2,"YES","")</f>
        <v/>
      </c>
      <c r="H42" s="14" t="str">
        <f>IF(G42="","",COUNTIF($G$7:G42,"YES"))</f>
        <v/>
      </c>
      <c r="I42" s="14" t="str">
        <f t="shared" si="0"/>
        <v>--</v>
      </c>
      <c r="J42" s="14" t="str" cm="1">
        <f t="array" ref="J42">IFERROR(INDEX(CategoriesTableLegacy[Category Name],MATCH(I42,$H$7:$H$44,0),0),"--")</f>
        <v>--</v>
      </c>
    </row>
    <row r="43" spans="2:10" x14ac:dyDescent="0.25">
      <c r="B43" s="161"/>
      <c r="C43" s="145"/>
      <c r="D43" s="136"/>
      <c r="E43" s="137"/>
      <c r="G43" s="14" t="str">
        <f>IF(COUNTA(CategoriesTableLegacy[[#This Row],[Category Name]:[Category Type]])=2,"YES","")</f>
        <v/>
      </c>
      <c r="H43" s="14" t="str">
        <f>IF(G43="","",COUNTIF($G$7:G43,"YES"))</f>
        <v/>
      </c>
      <c r="I43" s="14" t="str">
        <f t="shared" si="0"/>
        <v>--</v>
      </c>
      <c r="J43" s="14" t="str" cm="1">
        <f t="array" ref="J43">IFERROR(INDEX(CategoriesTableLegacy[Category Name],MATCH(I43,$H$7:$H$44,0),0),"--")</f>
        <v>--</v>
      </c>
    </row>
    <row r="44" spans="2:10" x14ac:dyDescent="0.25">
      <c r="B44" s="161"/>
      <c r="C44" s="145"/>
      <c r="D44" s="136"/>
      <c r="E44" s="137"/>
      <c r="G44" s="14" t="str">
        <f>IF(COUNTA(CategoriesTableLegacy[[#This Row],[Category Name]:[Category Type]])=2,"YES","")</f>
        <v/>
      </c>
      <c r="H44" s="14" t="str">
        <f>IF(G44="","",COUNTIF($G$7:G44,"YES"))</f>
        <v/>
      </c>
      <c r="I44" s="14" t="str">
        <f t="shared" si="0"/>
        <v>--</v>
      </c>
      <c r="J44" s="14" t="str" cm="1">
        <f t="array" ref="J44">IFERROR(INDEX(CategoriesTableLegacy[Category Name],MATCH(I44,$H$7:$H$44,0),0),"--")</f>
        <v>--</v>
      </c>
    </row>
  </sheetData>
  <mergeCells count="4">
    <mergeCell ref="B7:B24"/>
    <mergeCell ref="B2:E2"/>
    <mergeCell ref="B3:E3"/>
    <mergeCell ref="B25:B44"/>
  </mergeCells>
  <conditionalFormatting sqref="E25:E44">
    <cfRule type="expression" dxfId="14" priority="3">
      <formula>AND(ISBLANK(E25),D25&lt;&gt;"")</formula>
    </cfRule>
  </conditionalFormatting>
  <conditionalFormatting sqref="D25:D44">
    <cfRule type="expression" dxfId="13" priority="2">
      <formula>AND(ISBLANK(D25),E25&lt;&gt;"")</formula>
    </cfRule>
  </conditionalFormatting>
  <dataValidations count="2">
    <dataValidation type="list" allowBlank="1" showInputMessage="1" showErrorMessage="1" sqref="E7:E44" xr:uid="{DCAA8EF2-4B1D-BB47-9A82-B536ED30521D}">
      <formula1>"Income,Transfer,Expense"</formula1>
    </dataValidation>
    <dataValidation allowBlank="1" showInputMessage="1" showErrorMessage="1" promptTitle="Categories" prompt="Create and edit categories in starting in row 25 on column D and set the category type in column E. Make transactions glanceable across every sheet." sqref="A1" xr:uid="{3EF09FB9-9454-40CB-B2B8-E8BB0507A067}"/>
  </dataValidations>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A58C3-9F13-437E-BB7C-437200728BDC}">
  <dimension ref="B1:M100"/>
  <sheetViews>
    <sheetView showGridLines="0" topLeftCell="A4" workbookViewId="0">
      <selection activeCell="C34" sqref="C34"/>
    </sheetView>
  </sheetViews>
  <sheetFormatPr defaultRowHeight="15" x14ac:dyDescent="0.25"/>
  <cols>
    <col min="1" max="1" width="4" customWidth="1"/>
    <col min="2" max="2" width="11" hidden="1" customWidth="1"/>
    <col min="3" max="4" width="38.28515625" customWidth="1"/>
    <col min="5" max="5" width="11" hidden="1" customWidth="1"/>
    <col min="6" max="6" width="8.5703125" customWidth="1"/>
    <col min="7" max="7" width="11" hidden="1" customWidth="1"/>
    <col min="8" max="9" width="38.42578125" customWidth="1"/>
    <col min="10" max="10" width="38.42578125" hidden="1" customWidth="1"/>
  </cols>
  <sheetData>
    <row r="1" spans="2:13" ht="8.1" customHeight="1" x14ac:dyDescent="0.25">
      <c r="B1" s="177"/>
      <c r="C1" s="178"/>
      <c r="D1" s="178"/>
      <c r="E1" s="178"/>
      <c r="F1" s="178"/>
      <c r="G1" s="178"/>
      <c r="H1" s="178"/>
      <c r="I1" s="178"/>
      <c r="J1" s="178"/>
      <c r="K1" s="177"/>
      <c r="L1" s="177"/>
      <c r="M1" s="177"/>
    </row>
    <row r="2" spans="2:13" ht="40.35" customHeight="1" x14ac:dyDescent="0.25">
      <c r="B2" s="179" t="s">
        <v>43</v>
      </c>
      <c r="C2" s="179"/>
      <c r="D2" s="179"/>
      <c r="E2" s="179"/>
      <c r="F2" s="179"/>
      <c r="G2" s="179"/>
      <c r="H2" s="179"/>
      <c r="I2" s="179"/>
      <c r="J2" s="179"/>
      <c r="K2" s="179"/>
      <c r="L2" s="179"/>
      <c r="M2" s="179"/>
    </row>
    <row r="3" spans="2:13" ht="53.1" customHeight="1" thickBot="1" x14ac:dyDescent="0.3">
      <c r="B3" s="177"/>
      <c r="C3" s="180" t="s">
        <v>81</v>
      </c>
      <c r="D3" s="180"/>
      <c r="E3" s="180"/>
      <c r="F3" s="180"/>
      <c r="G3" s="180"/>
      <c r="H3" s="180"/>
      <c r="I3" s="180"/>
      <c r="J3" s="180"/>
      <c r="K3" s="177"/>
      <c r="L3" s="177"/>
      <c r="M3" s="177"/>
    </row>
    <row r="4" spans="2:13" x14ac:dyDescent="0.25">
      <c r="B4" s="177"/>
      <c r="C4" s="177"/>
      <c r="D4" s="177"/>
      <c r="E4" s="177"/>
      <c r="F4" s="177"/>
      <c r="G4" s="177"/>
      <c r="H4" s="177"/>
      <c r="I4" s="177"/>
      <c r="J4" s="177"/>
      <c r="K4" s="177"/>
      <c r="L4" s="177"/>
      <c r="M4" s="177"/>
    </row>
    <row r="5" spans="2:13" ht="23.1" customHeight="1" x14ac:dyDescent="0.25">
      <c r="B5" s="177"/>
      <c r="C5" s="181" t="s">
        <v>43</v>
      </c>
      <c r="D5" s="181"/>
      <c r="E5" s="177"/>
      <c r="F5" s="177"/>
      <c r="G5" s="177"/>
      <c r="H5" s="181" t="s">
        <v>83</v>
      </c>
      <c r="I5" s="181"/>
      <c r="J5" s="177"/>
      <c r="K5" s="177"/>
      <c r="L5" s="177"/>
      <c r="M5" s="177"/>
    </row>
    <row r="6" spans="2:13" ht="42.95" customHeight="1" x14ac:dyDescent="0.25">
      <c r="B6" s="177"/>
      <c r="C6" s="182" t="s">
        <v>82</v>
      </c>
      <c r="D6" s="182"/>
      <c r="E6" s="177"/>
      <c r="F6" s="177"/>
      <c r="G6" s="177"/>
      <c r="H6" s="182" t="s">
        <v>84</v>
      </c>
      <c r="I6" s="182"/>
      <c r="J6" s="177"/>
      <c r="K6" s="177"/>
      <c r="L6" s="177"/>
      <c r="M6" s="177"/>
    </row>
    <row r="7" spans="2:13" ht="21.95" customHeight="1" x14ac:dyDescent="0.25">
      <c r="B7" s="183" t="s">
        <v>75</v>
      </c>
      <c r="C7" s="184" t="s">
        <v>76</v>
      </c>
      <c r="D7" s="185" t="s">
        <v>77</v>
      </c>
      <c r="E7" s="183" t="s">
        <v>78</v>
      </c>
      <c r="F7" s="177"/>
      <c r="G7" s="183" t="s">
        <v>75</v>
      </c>
      <c r="H7" s="184" t="s">
        <v>76</v>
      </c>
      <c r="I7" s="185" t="s">
        <v>79</v>
      </c>
      <c r="J7" s="183" t="s">
        <v>80</v>
      </c>
      <c r="K7" s="177"/>
      <c r="L7" s="177"/>
      <c r="M7" s="177"/>
    </row>
    <row r="8" spans="2:13" x14ac:dyDescent="0.25">
      <c r="B8" s="183" t="s">
        <v>152</v>
      </c>
      <c r="C8" s="184" t="s">
        <v>53</v>
      </c>
      <c r="D8" s="185" t="s">
        <v>54</v>
      </c>
      <c r="E8" s="183" t="b">
        <v>1</v>
      </c>
      <c r="F8" s="177"/>
      <c r="G8" s="183" t="s">
        <v>174</v>
      </c>
      <c r="H8" s="184" t="s">
        <v>53</v>
      </c>
      <c r="I8" s="185" t="s">
        <v>127</v>
      </c>
      <c r="J8" s="183" t="str">
        <f>IF(NOT(_xlfn.XLOOKUP(SubcategoriesTable[[#This Row],[Category name]],CategoriesTable[Category name],CategoriesTable[ID])=0),_xlfn.XLOOKUP(SubcategoriesTable[[#This Row],[Category name]],CategoriesTable[Category name],CategoriesTable[ID]),"")</f>
        <v>89f91b72f72a4dd68a16b583d4720595</v>
      </c>
      <c r="K8" s="177"/>
      <c r="L8" s="177"/>
      <c r="M8" s="177"/>
    </row>
    <row r="9" spans="2:13" x14ac:dyDescent="0.25">
      <c r="B9" s="183" t="s">
        <v>153</v>
      </c>
      <c r="C9" s="184" t="s">
        <v>55</v>
      </c>
      <c r="D9" s="185" t="s">
        <v>54</v>
      </c>
      <c r="E9" s="183" t="b">
        <v>1</v>
      </c>
      <c r="G9" s="183"/>
      <c r="H9" s="184"/>
      <c r="I9" s="185"/>
      <c r="J9" s="183" t="str">
        <f>IF(NOT(_xlfn.XLOOKUP(SubcategoriesTable[[#This Row],[Category name]],CategoriesTable[Category name],CategoriesTable[ID])=0),_xlfn.XLOOKUP(SubcategoriesTable[[#This Row],[Category name]],CategoriesTable[Category name],CategoriesTable[ID]),"")</f>
        <v/>
      </c>
    </row>
    <row r="10" spans="2:13" x14ac:dyDescent="0.25">
      <c r="B10" s="183" t="s">
        <v>155</v>
      </c>
      <c r="C10" s="184" t="s">
        <v>56</v>
      </c>
      <c r="D10" s="185" t="s">
        <v>54</v>
      </c>
      <c r="E10" s="183" t="b">
        <v>1</v>
      </c>
      <c r="G10" s="183"/>
      <c r="H10" s="184"/>
      <c r="I10" s="185"/>
      <c r="J10" s="183" t="str">
        <f>IF(NOT(_xlfn.XLOOKUP(SubcategoriesTable[[#This Row],[Category name]],CategoriesTable[Category name],CategoriesTable[ID])=0),_xlfn.XLOOKUP(SubcategoriesTable[[#This Row],[Category name]],CategoriesTable[Category name],CategoriesTable[ID]),"")</f>
        <v/>
      </c>
    </row>
    <row r="11" spans="2:13" x14ac:dyDescent="0.25">
      <c r="B11" s="183" t="s">
        <v>156</v>
      </c>
      <c r="C11" s="184" t="s">
        <v>57</v>
      </c>
      <c r="D11" s="185" t="s">
        <v>54</v>
      </c>
      <c r="E11" s="183" t="b">
        <v>1</v>
      </c>
      <c r="G11" s="183"/>
      <c r="H11" s="184"/>
      <c r="I11" s="185"/>
      <c r="J11" s="183" t="str">
        <f>IF(NOT(_xlfn.XLOOKUP(SubcategoriesTable[[#This Row],[Category name]],CategoriesTable[Category name],CategoriesTable[ID])=0),_xlfn.XLOOKUP(SubcategoriesTable[[#This Row],[Category name]],CategoriesTable[Category name],CategoriesTable[ID]),"")</f>
        <v/>
      </c>
    </row>
    <row r="12" spans="2:13" x14ac:dyDescent="0.25">
      <c r="B12" s="183" t="s">
        <v>158</v>
      </c>
      <c r="C12" s="184" t="s">
        <v>58</v>
      </c>
      <c r="D12" s="185" t="s">
        <v>54</v>
      </c>
      <c r="E12" s="183" t="b">
        <v>1</v>
      </c>
      <c r="G12" s="183"/>
      <c r="H12" s="184"/>
      <c r="I12" s="185"/>
      <c r="J12" s="183" t="str">
        <f>IF(NOT(_xlfn.XLOOKUP(SubcategoriesTable[[#This Row],[Category name]],CategoriesTable[Category name],CategoriesTable[ID])=0),_xlfn.XLOOKUP(SubcategoriesTable[[#This Row],[Category name]],CategoriesTable[Category name],CategoriesTable[ID]),"")</f>
        <v/>
      </c>
    </row>
    <row r="13" spans="2:13" x14ac:dyDescent="0.25">
      <c r="B13" s="183" t="s">
        <v>159</v>
      </c>
      <c r="C13" s="184" t="s">
        <v>59</v>
      </c>
      <c r="D13" s="185" t="s">
        <v>54</v>
      </c>
      <c r="E13" s="183" t="b">
        <v>1</v>
      </c>
      <c r="G13" s="183"/>
      <c r="H13" s="184"/>
      <c r="I13" s="185"/>
      <c r="J13" s="183" t="str">
        <f>IF(NOT(_xlfn.XLOOKUP(SubcategoriesTable[[#This Row],[Category name]],CategoriesTable[Category name],CategoriesTable[ID])=0),_xlfn.XLOOKUP(SubcategoriesTable[[#This Row],[Category name]],CategoriesTable[Category name],CategoriesTable[ID]),"")</f>
        <v/>
      </c>
    </row>
    <row r="14" spans="2:13" x14ac:dyDescent="0.25">
      <c r="B14" s="183" t="s">
        <v>160</v>
      </c>
      <c r="C14" s="184" t="s">
        <v>60</v>
      </c>
      <c r="D14" s="185" t="s">
        <v>54</v>
      </c>
      <c r="E14" s="183" t="b">
        <v>1</v>
      </c>
      <c r="G14" s="183"/>
      <c r="H14" s="184"/>
      <c r="I14" s="185"/>
      <c r="J14" s="183" t="str">
        <f>IF(NOT(_xlfn.XLOOKUP(SubcategoriesTable[[#This Row],[Category name]],CategoriesTable[Category name],CategoriesTable[ID])=0),_xlfn.XLOOKUP(SubcategoriesTable[[#This Row],[Category name]],CategoriesTable[Category name],CategoriesTable[ID]),"")</f>
        <v/>
      </c>
    </row>
    <row r="15" spans="2:13" x14ac:dyDescent="0.25">
      <c r="B15" s="183" t="s">
        <v>161</v>
      </c>
      <c r="C15" s="184" t="s">
        <v>50</v>
      </c>
      <c r="D15" s="185" t="s">
        <v>50</v>
      </c>
      <c r="E15" s="183" t="b">
        <v>1</v>
      </c>
      <c r="G15" s="183"/>
      <c r="H15" s="184"/>
      <c r="I15" s="185"/>
      <c r="J15" s="183" t="str">
        <f>IF(NOT(_xlfn.XLOOKUP(SubcategoriesTable[[#This Row],[Category name]],CategoriesTable[Category name],CategoriesTable[ID])=0),_xlfn.XLOOKUP(SubcategoriesTable[[#This Row],[Category name]],CategoriesTable[Category name],CategoriesTable[ID]),"")</f>
        <v/>
      </c>
    </row>
    <row r="16" spans="2:13" x14ac:dyDescent="0.25">
      <c r="B16" s="183" t="s">
        <v>164</v>
      </c>
      <c r="C16" s="184" t="s">
        <v>61</v>
      </c>
      <c r="D16" s="185" t="s">
        <v>54</v>
      </c>
      <c r="E16" s="183" t="b">
        <v>1</v>
      </c>
      <c r="G16" s="183"/>
      <c r="H16" s="184"/>
      <c r="I16" s="185"/>
      <c r="J16" s="183" t="str">
        <f>IF(NOT(_xlfn.XLOOKUP(SubcategoriesTable[[#This Row],[Category name]],CategoriesTable[Category name],CategoriesTable[ID])=0),_xlfn.XLOOKUP(SubcategoriesTable[[#This Row],[Category name]],CategoriesTable[Category name],CategoriesTable[ID]),"")</f>
        <v/>
      </c>
    </row>
    <row r="17" spans="2:10" x14ac:dyDescent="0.25">
      <c r="B17" s="183" t="s">
        <v>165</v>
      </c>
      <c r="C17" s="184" t="s">
        <v>62</v>
      </c>
      <c r="D17" s="185" t="s">
        <v>54</v>
      </c>
      <c r="E17" s="183" t="b">
        <v>1</v>
      </c>
      <c r="G17" s="183"/>
      <c r="H17" s="184"/>
      <c r="I17" s="185"/>
      <c r="J17" s="183" t="str">
        <f>IF(NOT(_xlfn.XLOOKUP(SubcategoriesTable[[#This Row],[Category name]],CategoriesTable[Category name],CategoriesTable[ID])=0),_xlfn.XLOOKUP(SubcategoriesTable[[#This Row],[Category name]],CategoriesTable[Category name],CategoriesTable[ID]),"")</f>
        <v/>
      </c>
    </row>
    <row r="18" spans="2:10" x14ac:dyDescent="0.25">
      <c r="B18" s="183" t="s">
        <v>166</v>
      </c>
      <c r="C18" s="184" t="s">
        <v>63</v>
      </c>
      <c r="D18" s="185" t="s">
        <v>54</v>
      </c>
      <c r="E18" s="183" t="b">
        <v>1</v>
      </c>
      <c r="G18" s="183"/>
      <c r="H18" s="184"/>
      <c r="I18" s="185"/>
      <c r="J18" s="183" t="str">
        <f>IF(NOT(_xlfn.XLOOKUP(SubcategoriesTable[[#This Row],[Category name]],CategoriesTable[Category name],CategoriesTable[ID])=0),_xlfn.XLOOKUP(SubcategoriesTable[[#This Row],[Category name]],CategoriesTable[Category name],CategoriesTable[ID]),"")</f>
        <v/>
      </c>
    </row>
    <row r="19" spans="2:10" x14ac:dyDescent="0.25">
      <c r="B19" s="183" t="s">
        <v>167</v>
      </c>
      <c r="C19" s="184" t="s">
        <v>64</v>
      </c>
      <c r="D19" s="185" t="s">
        <v>54</v>
      </c>
      <c r="E19" s="183" t="b">
        <v>1</v>
      </c>
      <c r="G19" s="183"/>
      <c r="H19" s="184"/>
      <c r="I19" s="185"/>
      <c r="J19" s="183" t="str">
        <f>IF(NOT(_xlfn.XLOOKUP(SubcategoriesTable[[#This Row],[Category name]],CategoriesTable[Category name],CategoriesTable[ID])=0),_xlfn.XLOOKUP(SubcategoriesTable[[#This Row],[Category name]],CategoriesTable[Category name],CategoriesTable[ID]),"")</f>
        <v/>
      </c>
    </row>
    <row r="20" spans="2:10" x14ac:dyDescent="0.25">
      <c r="B20" s="183" t="s">
        <v>168</v>
      </c>
      <c r="C20" s="184" t="s">
        <v>51</v>
      </c>
      <c r="D20" s="185" t="s">
        <v>52</v>
      </c>
      <c r="E20" s="183" t="b">
        <v>1</v>
      </c>
      <c r="G20" s="183"/>
      <c r="H20" s="184"/>
      <c r="I20" s="185"/>
      <c r="J20" s="183" t="str">
        <f>IF(NOT(_xlfn.XLOOKUP(SubcategoriesTable[[#This Row],[Category name]],CategoriesTable[Category name],CategoriesTable[ID])=0),_xlfn.XLOOKUP(SubcategoriesTable[[#This Row],[Category name]],CategoriesTable[Category name],CategoriesTable[ID]),"")</f>
        <v/>
      </c>
    </row>
    <row r="21" spans="2:10" x14ac:dyDescent="0.25">
      <c r="B21" s="183" t="s">
        <v>169</v>
      </c>
      <c r="C21" s="184" t="s">
        <v>65</v>
      </c>
      <c r="D21" s="185" t="s">
        <v>54</v>
      </c>
      <c r="E21" s="183" t="b">
        <v>1</v>
      </c>
      <c r="G21" s="183"/>
      <c r="H21" s="184"/>
      <c r="I21" s="185"/>
      <c r="J21" s="183" t="str">
        <f>IF(NOT(_xlfn.XLOOKUP(SubcategoriesTable[[#This Row],[Category name]],CategoriesTable[Category name],CategoriesTable[ID])=0),_xlfn.XLOOKUP(SubcategoriesTable[[#This Row],[Category name]],CategoriesTable[Category name],CategoriesTable[ID]),"")</f>
        <v/>
      </c>
    </row>
    <row r="22" spans="2:10" x14ac:dyDescent="0.25">
      <c r="B22" s="183" t="s">
        <v>170</v>
      </c>
      <c r="C22" s="184" t="s">
        <v>66</v>
      </c>
      <c r="D22" s="185" t="s">
        <v>54</v>
      </c>
      <c r="E22" s="183" t="b">
        <v>1</v>
      </c>
      <c r="G22" s="183"/>
      <c r="H22" s="184"/>
      <c r="I22" s="185"/>
      <c r="J22" s="183" t="str">
        <f>IF(NOT(_xlfn.XLOOKUP(SubcategoriesTable[[#This Row],[Category name]],CategoriesTable[Category name],CategoriesTable[ID])=0),_xlfn.XLOOKUP(SubcategoriesTable[[#This Row],[Category name]],CategoriesTable[Category name],CategoriesTable[ID]),"")</f>
        <v/>
      </c>
    </row>
    <row r="23" spans="2:10" x14ac:dyDescent="0.25">
      <c r="B23" s="183" t="s">
        <v>171</v>
      </c>
      <c r="C23" s="184" t="s">
        <v>52</v>
      </c>
      <c r="D23" s="185" t="s">
        <v>52</v>
      </c>
      <c r="E23" s="183" t="b">
        <v>1</v>
      </c>
      <c r="G23" s="183"/>
      <c r="H23" s="184"/>
      <c r="I23" s="185"/>
      <c r="J23" s="183" t="str">
        <f>IF(NOT(_xlfn.XLOOKUP(SubcategoriesTable[[#This Row],[Category name]],CategoriesTable[Category name],CategoriesTable[ID])=0),_xlfn.XLOOKUP(SubcategoriesTable[[#This Row],[Category name]],CategoriesTable[Category name],CategoriesTable[ID]),"")</f>
        <v/>
      </c>
    </row>
    <row r="24" spans="2:10" x14ac:dyDescent="0.25">
      <c r="B24" s="183" t="s">
        <v>172</v>
      </c>
      <c r="C24" s="184" t="s">
        <v>67</v>
      </c>
      <c r="D24" s="185" t="s">
        <v>54</v>
      </c>
      <c r="E24" s="183" t="b">
        <v>1</v>
      </c>
      <c r="G24" s="183"/>
      <c r="H24" s="184"/>
      <c r="I24" s="185"/>
      <c r="J24" s="183" t="str">
        <f>IF(NOT(_xlfn.XLOOKUP(SubcategoriesTable[[#This Row],[Category name]],CategoriesTable[Category name],CategoriesTable[ID])=0),_xlfn.XLOOKUP(SubcategoriesTable[[#This Row],[Category name]],CategoriesTable[Category name],CategoriesTable[ID]),"")</f>
        <v/>
      </c>
    </row>
    <row r="25" spans="2:10" x14ac:dyDescent="0.25">
      <c r="B25" s="183" t="s">
        <v>173</v>
      </c>
      <c r="C25" s="184" t="s">
        <v>68</v>
      </c>
      <c r="D25" s="185" t="s">
        <v>54</v>
      </c>
      <c r="E25" s="183" t="b">
        <v>1</v>
      </c>
      <c r="G25" s="183"/>
      <c r="H25" s="184"/>
      <c r="I25" s="185"/>
      <c r="J25" s="183" t="str">
        <f>IF(NOT(_xlfn.XLOOKUP(SubcategoriesTable[[#This Row],[Category name]],CategoriesTable[Category name],CategoriesTable[ID])=0),_xlfn.XLOOKUP(SubcategoriesTable[[#This Row],[Category name]],CategoriesTable[Category name],CategoriesTable[ID]),"")</f>
        <v/>
      </c>
    </row>
    <row r="26" spans="2:10" x14ac:dyDescent="0.25">
      <c r="B26" s="183" t="s">
        <v>151</v>
      </c>
      <c r="C26" s="184" t="s">
        <v>122</v>
      </c>
      <c r="D26" s="185" t="s">
        <v>54</v>
      </c>
      <c r="E26" s="183" t="b">
        <v>0</v>
      </c>
      <c r="G26" s="183"/>
      <c r="H26" s="184"/>
      <c r="I26" s="185"/>
      <c r="J26" s="183" t="str">
        <f>IF(NOT(_xlfn.XLOOKUP(SubcategoriesTable[[#This Row],[Category name]],CategoriesTable[Category name],CategoriesTable[ID])=0),_xlfn.XLOOKUP(SubcategoriesTable[[#This Row],[Category name]],CategoriesTable[Category name],CategoriesTable[ID]),"")</f>
        <v/>
      </c>
    </row>
    <row r="27" spans="2:10" x14ac:dyDescent="0.25">
      <c r="B27" s="183" t="s">
        <v>154</v>
      </c>
      <c r="C27" s="184" t="s">
        <v>126</v>
      </c>
      <c r="D27" s="185" t="s">
        <v>54</v>
      </c>
      <c r="E27" s="183" t="b">
        <v>0</v>
      </c>
      <c r="G27" s="183"/>
      <c r="H27" s="184"/>
      <c r="I27" s="185"/>
      <c r="J27" s="183" t="str">
        <f>IF(NOT(_xlfn.XLOOKUP(SubcategoriesTable[[#This Row],[Category name]],CategoriesTable[Category name],CategoriesTable[ID])=0),_xlfn.XLOOKUP(SubcategoriesTable[[#This Row],[Category name]],CategoriesTable[Category name],CategoriesTable[ID]),"")</f>
        <v/>
      </c>
    </row>
    <row r="28" spans="2:10" x14ac:dyDescent="0.25">
      <c r="B28" s="186" t="s">
        <v>157</v>
      </c>
      <c r="C28" s="184" t="s">
        <v>132</v>
      </c>
      <c r="D28" s="185" t="s">
        <v>54</v>
      </c>
      <c r="E28" s="183" t="b">
        <v>0</v>
      </c>
      <c r="G28" s="183"/>
      <c r="H28" s="184"/>
      <c r="I28" s="185"/>
      <c r="J28" s="183" t="str">
        <f>IF(NOT(_xlfn.XLOOKUP(SubcategoriesTable[[#This Row],[Category name]],CategoriesTable[Category name],CategoriesTable[ID])=0),_xlfn.XLOOKUP(SubcategoriesTable[[#This Row],[Category name]],CategoriesTable[Category name],CategoriesTable[ID]),"")</f>
        <v/>
      </c>
    </row>
    <row r="29" spans="2:10" x14ac:dyDescent="0.25">
      <c r="B29" s="183" t="s">
        <v>162</v>
      </c>
      <c r="C29" s="184" t="s">
        <v>131</v>
      </c>
      <c r="D29" s="185" t="s">
        <v>163</v>
      </c>
      <c r="E29" s="183" t="b">
        <v>0</v>
      </c>
      <c r="G29" s="183"/>
      <c r="H29" s="184"/>
      <c r="I29" s="185"/>
      <c r="J29" s="183" t="str">
        <f>IF(NOT(_xlfn.XLOOKUP(SubcategoriesTable[[#This Row],[Category name]],CategoriesTable[Category name],CategoriesTable[ID])=0),_xlfn.XLOOKUP(SubcategoriesTable[[#This Row],[Category name]],CategoriesTable[Category name],CategoriesTable[ID]),"")</f>
        <v/>
      </c>
    </row>
    <row r="30" spans="2:10" x14ac:dyDescent="0.25">
      <c r="B30" s="183" t="s">
        <v>1554</v>
      </c>
      <c r="C30" s="184" t="s">
        <v>1553</v>
      </c>
      <c r="D30" s="185" t="s">
        <v>54</v>
      </c>
      <c r="E30" s="183" t="b">
        <v>0</v>
      </c>
      <c r="G30" s="183"/>
      <c r="H30" s="184"/>
      <c r="I30" s="185"/>
      <c r="J30" s="183" t="str">
        <f>IF(NOT(_xlfn.XLOOKUP(SubcategoriesTable[[#This Row],[Category name]],CategoriesTable[Category name],CategoriesTable[ID])=0),_xlfn.XLOOKUP(SubcategoriesTable[[#This Row],[Category name]],CategoriesTable[Category name],CategoriesTable[ID]),"")</f>
        <v/>
      </c>
    </row>
    <row r="31" spans="2:10" x14ac:dyDescent="0.25">
      <c r="B31" s="183"/>
      <c r="C31" s="184" t="s">
        <v>1555</v>
      </c>
      <c r="D31" s="185"/>
      <c r="E31" s="183"/>
      <c r="G31" s="183"/>
      <c r="H31" s="184"/>
      <c r="I31" s="185"/>
      <c r="J31" s="183" t="str">
        <f>IF(NOT(_xlfn.XLOOKUP(SubcategoriesTable[[#This Row],[Category name]],CategoriesTable[Category name],CategoriesTable[ID])=0),_xlfn.XLOOKUP(SubcategoriesTable[[#This Row],[Category name]],CategoriesTable[Category name],CategoriesTable[ID]),"")</f>
        <v/>
      </c>
    </row>
    <row r="32" spans="2:10" x14ac:dyDescent="0.25">
      <c r="B32" s="183"/>
      <c r="C32" s="184"/>
      <c r="D32" s="185"/>
      <c r="E32" s="183"/>
      <c r="G32" s="183"/>
      <c r="H32" s="184"/>
      <c r="I32" s="185"/>
      <c r="J32" s="183" t="str">
        <f>IF(NOT(_xlfn.XLOOKUP(SubcategoriesTable[[#This Row],[Category name]],CategoriesTable[Category name],CategoriesTable[ID])=0),_xlfn.XLOOKUP(SubcategoriesTable[[#This Row],[Category name]],CategoriesTable[Category name],CategoriesTable[ID]),"")</f>
        <v/>
      </c>
    </row>
    <row r="33" spans="2:10" x14ac:dyDescent="0.25">
      <c r="B33" s="183"/>
      <c r="C33" s="184"/>
      <c r="D33" s="185"/>
      <c r="E33" s="183"/>
      <c r="G33" s="183"/>
      <c r="H33" s="184"/>
      <c r="I33" s="185"/>
      <c r="J33" s="183" t="str">
        <f>IF(NOT(_xlfn.XLOOKUP(SubcategoriesTable[[#This Row],[Category name]],CategoriesTable[Category name],CategoriesTable[ID])=0),_xlfn.XLOOKUP(SubcategoriesTable[[#This Row],[Category name]],CategoriesTable[Category name],CategoriesTable[ID]),"")</f>
        <v/>
      </c>
    </row>
    <row r="34" spans="2:10" x14ac:dyDescent="0.25">
      <c r="B34" s="183"/>
      <c r="C34" s="184"/>
      <c r="D34" s="185"/>
      <c r="E34" s="183"/>
      <c r="G34" s="183"/>
      <c r="H34" s="184"/>
      <c r="I34" s="185"/>
      <c r="J34" s="183" t="str">
        <f>IF(NOT(_xlfn.XLOOKUP(SubcategoriesTable[[#This Row],[Category name]],CategoriesTable[Category name],CategoriesTable[ID])=0),_xlfn.XLOOKUP(SubcategoriesTable[[#This Row],[Category name]],CategoriesTable[Category name],CategoriesTable[ID]),"")</f>
        <v/>
      </c>
    </row>
    <row r="35" spans="2:10" x14ac:dyDescent="0.25">
      <c r="B35" s="183"/>
      <c r="C35" s="184"/>
      <c r="D35" s="185"/>
      <c r="E35" s="183"/>
      <c r="G35" s="183"/>
      <c r="H35" s="184"/>
      <c r="I35" s="185"/>
      <c r="J35" s="183" t="str">
        <f>IF(NOT(_xlfn.XLOOKUP(SubcategoriesTable[[#This Row],[Category name]],CategoriesTable[Category name],CategoriesTable[ID])=0),_xlfn.XLOOKUP(SubcategoriesTable[[#This Row],[Category name]],CategoriesTable[Category name],CategoriesTable[ID]),"")</f>
        <v/>
      </c>
    </row>
    <row r="36" spans="2:10" x14ac:dyDescent="0.25">
      <c r="B36" s="183"/>
      <c r="C36" s="184"/>
      <c r="D36" s="185"/>
      <c r="E36" s="183"/>
      <c r="G36" s="183"/>
      <c r="H36" s="184"/>
      <c r="I36" s="185"/>
      <c r="J36" s="183" t="str">
        <f>IF(NOT(_xlfn.XLOOKUP(SubcategoriesTable[[#This Row],[Category name]],CategoriesTable[Category name],CategoriesTable[ID])=0),_xlfn.XLOOKUP(SubcategoriesTable[[#This Row],[Category name]],CategoriesTable[Category name],CategoriesTable[ID]),"")</f>
        <v/>
      </c>
    </row>
    <row r="37" spans="2:10" x14ac:dyDescent="0.25">
      <c r="B37" s="183"/>
      <c r="C37" s="184"/>
      <c r="D37" s="185"/>
      <c r="E37" s="183"/>
      <c r="G37" s="183"/>
      <c r="H37" s="184"/>
      <c r="I37" s="185"/>
      <c r="J37" s="183" t="str">
        <f>IF(NOT(_xlfn.XLOOKUP(SubcategoriesTable[[#This Row],[Category name]],CategoriesTable[Category name],CategoriesTable[ID])=0),_xlfn.XLOOKUP(SubcategoriesTable[[#This Row],[Category name]],CategoriesTable[Category name],CategoriesTable[ID]),"")</f>
        <v/>
      </c>
    </row>
    <row r="38" spans="2:10" x14ac:dyDescent="0.25">
      <c r="B38" s="183"/>
      <c r="C38" s="184"/>
      <c r="D38" s="185"/>
      <c r="E38" s="183"/>
      <c r="G38" s="183"/>
      <c r="H38" s="184"/>
      <c r="I38" s="185"/>
      <c r="J38" s="183" t="str">
        <f>IF(NOT(_xlfn.XLOOKUP(SubcategoriesTable[[#This Row],[Category name]],CategoriesTable[Category name],CategoriesTable[ID])=0),_xlfn.XLOOKUP(SubcategoriesTable[[#This Row],[Category name]],CategoriesTable[Category name],CategoriesTable[ID]),"")</f>
        <v/>
      </c>
    </row>
    <row r="39" spans="2:10" x14ac:dyDescent="0.25">
      <c r="B39" s="183"/>
      <c r="C39" s="184"/>
      <c r="D39" s="185"/>
      <c r="E39" s="183"/>
      <c r="G39" s="183"/>
      <c r="H39" s="184"/>
      <c r="I39" s="185"/>
      <c r="J39" s="183" t="str">
        <f>IF(NOT(_xlfn.XLOOKUP(SubcategoriesTable[[#This Row],[Category name]],CategoriesTable[Category name],CategoriesTable[ID])=0),_xlfn.XLOOKUP(SubcategoriesTable[[#This Row],[Category name]],CategoriesTable[Category name],CategoriesTable[ID]),"")</f>
        <v/>
      </c>
    </row>
    <row r="40" spans="2:10" x14ac:dyDescent="0.25">
      <c r="B40" s="183"/>
      <c r="C40" s="184"/>
      <c r="D40" s="185"/>
      <c r="E40" s="183"/>
      <c r="G40" s="183"/>
      <c r="H40" s="184"/>
      <c r="I40" s="185"/>
      <c r="J40" s="183" t="str">
        <f>IF(NOT(_xlfn.XLOOKUP(SubcategoriesTable[[#This Row],[Category name]],CategoriesTable[Category name],CategoriesTable[ID])=0),_xlfn.XLOOKUP(SubcategoriesTable[[#This Row],[Category name]],CategoriesTable[Category name],CategoriesTable[ID]),"")</f>
        <v/>
      </c>
    </row>
    <row r="41" spans="2:10" x14ac:dyDescent="0.25">
      <c r="B41" s="183"/>
      <c r="C41" s="184"/>
      <c r="D41" s="185"/>
      <c r="E41" s="183"/>
      <c r="G41" s="183"/>
      <c r="H41" s="184"/>
      <c r="I41" s="185"/>
      <c r="J41" s="183" t="str">
        <f>IF(NOT(_xlfn.XLOOKUP(SubcategoriesTable[[#This Row],[Category name]],CategoriesTable[Category name],CategoriesTable[ID])=0),_xlfn.XLOOKUP(SubcategoriesTable[[#This Row],[Category name]],CategoriesTable[Category name],CategoriesTable[ID]),"")</f>
        <v/>
      </c>
    </row>
    <row r="42" spans="2:10" x14ac:dyDescent="0.25">
      <c r="B42" s="183"/>
      <c r="C42" s="184"/>
      <c r="D42" s="185"/>
      <c r="E42" s="183"/>
      <c r="G42" s="183"/>
      <c r="H42" s="184"/>
      <c r="I42" s="185"/>
      <c r="J42" s="183" t="str">
        <f>IF(NOT(_xlfn.XLOOKUP(SubcategoriesTable[[#This Row],[Category name]],CategoriesTable[Category name],CategoriesTable[ID])=0),_xlfn.XLOOKUP(SubcategoriesTable[[#This Row],[Category name]],CategoriesTable[Category name],CategoriesTable[ID]),"")</f>
        <v/>
      </c>
    </row>
    <row r="43" spans="2:10" x14ac:dyDescent="0.25">
      <c r="B43" s="183"/>
      <c r="C43" s="184"/>
      <c r="D43" s="185"/>
      <c r="E43" s="183"/>
      <c r="G43" s="183"/>
      <c r="H43" s="184"/>
      <c r="I43" s="185"/>
      <c r="J43" s="183" t="str">
        <f>IF(NOT(_xlfn.XLOOKUP(SubcategoriesTable[[#This Row],[Category name]],CategoriesTable[Category name],CategoriesTable[ID])=0),_xlfn.XLOOKUP(SubcategoriesTable[[#This Row],[Category name]],CategoriesTable[Category name],CategoriesTable[ID]),"")</f>
        <v/>
      </c>
    </row>
    <row r="44" spans="2:10" x14ac:dyDescent="0.25">
      <c r="B44" s="183"/>
      <c r="C44" s="184"/>
      <c r="D44" s="185"/>
      <c r="E44" s="183"/>
      <c r="G44" s="183"/>
      <c r="H44" s="184"/>
      <c r="I44" s="185"/>
      <c r="J44" s="183" t="str">
        <f>IF(NOT(_xlfn.XLOOKUP(SubcategoriesTable[[#This Row],[Category name]],CategoriesTable[Category name],CategoriesTable[ID])=0),_xlfn.XLOOKUP(SubcategoriesTable[[#This Row],[Category name]],CategoriesTable[Category name],CategoriesTable[ID]),"")</f>
        <v/>
      </c>
    </row>
    <row r="45" spans="2:10" x14ac:dyDescent="0.25">
      <c r="B45" s="183"/>
      <c r="C45" s="184"/>
      <c r="D45" s="185"/>
      <c r="E45" s="183"/>
      <c r="G45" s="183"/>
      <c r="H45" s="184"/>
      <c r="I45" s="185"/>
      <c r="J45" s="183" t="str">
        <f>IF(NOT(_xlfn.XLOOKUP(SubcategoriesTable[[#This Row],[Category name]],CategoriesTable[Category name],CategoriesTable[ID])=0),_xlfn.XLOOKUP(SubcategoriesTable[[#This Row],[Category name]],CategoriesTable[Category name],CategoriesTable[ID]),"")</f>
        <v/>
      </c>
    </row>
    <row r="46" spans="2:10" x14ac:dyDescent="0.25">
      <c r="B46" s="183"/>
      <c r="C46" s="184"/>
      <c r="D46" s="185"/>
      <c r="E46" s="183"/>
      <c r="G46" s="183"/>
      <c r="H46" s="184"/>
      <c r="I46" s="185"/>
      <c r="J46" s="183" t="str">
        <f>IF(NOT(_xlfn.XLOOKUP(SubcategoriesTable[[#This Row],[Category name]],CategoriesTable[Category name],CategoriesTable[ID])=0),_xlfn.XLOOKUP(SubcategoriesTable[[#This Row],[Category name]],CategoriesTable[Category name],CategoriesTable[ID]),"")</f>
        <v/>
      </c>
    </row>
    <row r="47" spans="2:10" x14ac:dyDescent="0.25">
      <c r="B47" s="183"/>
      <c r="C47" s="184"/>
      <c r="D47" s="185"/>
      <c r="E47" s="183"/>
      <c r="G47" s="183"/>
      <c r="H47" s="184"/>
      <c r="I47" s="185"/>
      <c r="J47" s="183" t="str">
        <f>IF(NOT(_xlfn.XLOOKUP(SubcategoriesTable[[#This Row],[Category name]],CategoriesTable[Category name],CategoriesTable[ID])=0),_xlfn.XLOOKUP(SubcategoriesTable[[#This Row],[Category name]],CategoriesTable[Category name],CategoriesTable[ID]),"")</f>
        <v/>
      </c>
    </row>
    <row r="48" spans="2:10" x14ac:dyDescent="0.25">
      <c r="B48" s="183"/>
      <c r="C48" s="184"/>
      <c r="D48" s="185"/>
      <c r="E48" s="183"/>
      <c r="G48" s="183"/>
      <c r="H48" s="184"/>
      <c r="I48" s="185"/>
      <c r="J48" s="183" t="str">
        <f>IF(NOT(_xlfn.XLOOKUP(SubcategoriesTable[[#This Row],[Category name]],CategoriesTable[Category name],CategoriesTable[ID])=0),_xlfn.XLOOKUP(SubcategoriesTable[[#This Row],[Category name]],CategoriesTable[Category name],CategoriesTable[ID]),"")</f>
        <v/>
      </c>
    </row>
    <row r="49" spans="2:10" x14ac:dyDescent="0.25">
      <c r="B49" s="183"/>
      <c r="C49" s="184"/>
      <c r="D49" s="185"/>
      <c r="E49" s="183"/>
      <c r="G49" s="183"/>
      <c r="H49" s="184"/>
      <c r="I49" s="185"/>
      <c r="J49" s="183" t="str">
        <f>IF(NOT(_xlfn.XLOOKUP(SubcategoriesTable[[#This Row],[Category name]],CategoriesTable[Category name],CategoriesTable[ID])=0),_xlfn.XLOOKUP(SubcategoriesTable[[#This Row],[Category name]],CategoriesTable[Category name],CategoriesTable[ID]),"")</f>
        <v/>
      </c>
    </row>
    <row r="50" spans="2:10" x14ac:dyDescent="0.25">
      <c r="B50" s="183"/>
      <c r="C50" s="184"/>
      <c r="D50" s="185"/>
      <c r="E50" s="183"/>
      <c r="G50" s="183"/>
      <c r="H50" s="184"/>
      <c r="I50" s="185"/>
      <c r="J50" s="183" t="str">
        <f>IF(NOT(_xlfn.XLOOKUP(SubcategoriesTable[[#This Row],[Category name]],CategoriesTable[Category name],CategoriesTable[ID])=0),_xlfn.XLOOKUP(SubcategoriesTable[[#This Row],[Category name]],CategoriesTable[Category name],CategoriesTable[ID]),"")</f>
        <v/>
      </c>
    </row>
    <row r="51" spans="2:10" x14ac:dyDescent="0.25">
      <c r="B51" s="183"/>
      <c r="C51" s="184"/>
      <c r="D51" s="185"/>
      <c r="E51" s="183"/>
      <c r="G51" s="183"/>
      <c r="H51" s="184"/>
      <c r="I51" s="185"/>
      <c r="J51" s="183" t="str">
        <f>IF(NOT(_xlfn.XLOOKUP(SubcategoriesTable[[#This Row],[Category name]],CategoriesTable[Category name],CategoriesTable[ID])=0),_xlfn.XLOOKUP(SubcategoriesTable[[#This Row],[Category name]],CategoriesTable[Category name],CategoriesTable[ID]),"")</f>
        <v/>
      </c>
    </row>
    <row r="52" spans="2:10" x14ac:dyDescent="0.25">
      <c r="B52" s="183"/>
      <c r="C52" s="184"/>
      <c r="D52" s="185"/>
      <c r="E52" s="183"/>
      <c r="G52" s="183"/>
      <c r="H52" s="184"/>
      <c r="I52" s="185"/>
      <c r="J52" s="183" t="str">
        <f>IF(NOT(_xlfn.XLOOKUP(SubcategoriesTable[[#This Row],[Category name]],CategoriesTable[Category name],CategoriesTable[ID])=0),_xlfn.XLOOKUP(SubcategoriesTable[[#This Row],[Category name]],CategoriesTable[Category name],CategoriesTable[ID]),"")</f>
        <v/>
      </c>
    </row>
    <row r="53" spans="2:10" x14ac:dyDescent="0.25">
      <c r="B53" s="183"/>
      <c r="C53" s="184"/>
      <c r="D53" s="185"/>
      <c r="E53" s="183"/>
      <c r="G53" s="183"/>
      <c r="H53" s="184"/>
      <c r="I53" s="185"/>
      <c r="J53" s="183" t="str">
        <f>IF(NOT(_xlfn.XLOOKUP(SubcategoriesTable[[#This Row],[Category name]],CategoriesTable[Category name],CategoriesTable[ID])=0),_xlfn.XLOOKUP(SubcategoriesTable[[#This Row],[Category name]],CategoriesTable[Category name],CategoriesTable[ID]),"")</f>
        <v/>
      </c>
    </row>
    <row r="54" spans="2:10" x14ac:dyDescent="0.25">
      <c r="B54" s="183"/>
      <c r="C54" s="184"/>
      <c r="D54" s="185"/>
      <c r="E54" s="183"/>
      <c r="G54" s="183"/>
      <c r="H54" s="184"/>
      <c r="I54" s="185"/>
      <c r="J54" s="183" t="str">
        <f>IF(NOT(_xlfn.XLOOKUP(SubcategoriesTable[[#This Row],[Category name]],CategoriesTable[Category name],CategoriesTable[ID])=0),_xlfn.XLOOKUP(SubcategoriesTable[[#This Row],[Category name]],CategoriesTable[Category name],CategoriesTable[ID]),"")</f>
        <v/>
      </c>
    </row>
    <row r="55" spans="2:10" x14ac:dyDescent="0.25">
      <c r="B55" s="183"/>
      <c r="C55" s="184"/>
      <c r="D55" s="185"/>
      <c r="E55" s="183"/>
      <c r="G55" s="183"/>
      <c r="H55" s="184"/>
      <c r="I55" s="185"/>
      <c r="J55" s="183" t="str">
        <f>IF(NOT(_xlfn.XLOOKUP(SubcategoriesTable[[#This Row],[Category name]],CategoriesTable[Category name],CategoriesTable[ID])=0),_xlfn.XLOOKUP(SubcategoriesTable[[#This Row],[Category name]],CategoriesTable[Category name],CategoriesTable[ID]),"")</f>
        <v/>
      </c>
    </row>
    <row r="56" spans="2:10" x14ac:dyDescent="0.25">
      <c r="B56" s="183"/>
      <c r="C56" s="184"/>
      <c r="D56" s="185"/>
      <c r="E56" s="183"/>
      <c r="G56" s="183"/>
      <c r="H56" s="184"/>
      <c r="I56" s="185"/>
      <c r="J56" s="183" t="str">
        <f>IF(NOT(_xlfn.XLOOKUP(SubcategoriesTable[[#This Row],[Category name]],CategoriesTable[Category name],CategoriesTable[ID])=0),_xlfn.XLOOKUP(SubcategoriesTable[[#This Row],[Category name]],CategoriesTable[Category name],CategoriesTable[ID]),"")</f>
        <v/>
      </c>
    </row>
    <row r="57" spans="2:10" x14ac:dyDescent="0.25">
      <c r="B57" s="183"/>
      <c r="C57" s="184"/>
      <c r="D57" s="185"/>
      <c r="E57" s="183"/>
      <c r="G57" s="183"/>
      <c r="H57" s="184"/>
      <c r="I57" s="185"/>
      <c r="J57" s="183" t="str">
        <f>IF(NOT(_xlfn.XLOOKUP(SubcategoriesTable[[#This Row],[Category name]],CategoriesTable[Category name],CategoriesTable[ID])=0),_xlfn.XLOOKUP(SubcategoriesTable[[#This Row],[Category name]],CategoriesTable[Category name],CategoriesTable[ID]),"")</f>
        <v/>
      </c>
    </row>
    <row r="58" spans="2:10" x14ac:dyDescent="0.25">
      <c r="B58" s="183"/>
      <c r="C58" s="184"/>
      <c r="D58" s="185"/>
      <c r="E58" s="183"/>
      <c r="G58" s="183"/>
      <c r="H58" s="184"/>
      <c r="I58" s="185"/>
      <c r="J58" s="183" t="str">
        <f>IF(NOT(_xlfn.XLOOKUP(SubcategoriesTable[[#This Row],[Category name]],CategoriesTable[Category name],CategoriesTable[ID])=0),_xlfn.XLOOKUP(SubcategoriesTable[[#This Row],[Category name]],CategoriesTable[Category name],CategoriesTable[ID]),"")</f>
        <v/>
      </c>
    </row>
    <row r="59" spans="2:10" x14ac:dyDescent="0.25">
      <c r="B59" s="183"/>
      <c r="C59" s="184"/>
      <c r="D59" s="185"/>
      <c r="E59" s="183"/>
      <c r="G59" s="183"/>
      <c r="H59" s="184"/>
      <c r="I59" s="185"/>
      <c r="J59" s="183" t="str">
        <f>IF(NOT(_xlfn.XLOOKUP(SubcategoriesTable[[#This Row],[Category name]],CategoriesTable[Category name],CategoriesTable[ID])=0),_xlfn.XLOOKUP(SubcategoriesTable[[#This Row],[Category name]],CategoriesTable[Category name],CategoriesTable[ID]),"")</f>
        <v/>
      </c>
    </row>
    <row r="60" spans="2:10" x14ac:dyDescent="0.25">
      <c r="B60" s="183"/>
      <c r="C60" s="184"/>
      <c r="D60" s="185"/>
      <c r="E60" s="183"/>
      <c r="G60" s="183"/>
      <c r="H60" s="184"/>
      <c r="I60" s="185"/>
      <c r="J60" s="183" t="str">
        <f>IF(NOT(_xlfn.XLOOKUP(SubcategoriesTable[[#This Row],[Category name]],CategoriesTable[Category name],CategoriesTable[ID])=0),_xlfn.XLOOKUP(SubcategoriesTable[[#This Row],[Category name]],CategoriesTable[Category name],CategoriesTable[ID]),"")</f>
        <v/>
      </c>
    </row>
    <row r="61" spans="2:10" x14ac:dyDescent="0.25">
      <c r="B61" s="183"/>
      <c r="C61" s="184"/>
      <c r="D61" s="185"/>
      <c r="E61" s="183"/>
      <c r="G61" s="183"/>
      <c r="H61" s="184"/>
      <c r="I61" s="185"/>
      <c r="J61" s="183" t="str">
        <f>IF(NOT(_xlfn.XLOOKUP(SubcategoriesTable[[#This Row],[Category name]],CategoriesTable[Category name],CategoriesTable[ID])=0),_xlfn.XLOOKUP(SubcategoriesTable[[#This Row],[Category name]],CategoriesTable[Category name],CategoriesTable[ID]),"")</f>
        <v/>
      </c>
    </row>
    <row r="62" spans="2:10" x14ac:dyDescent="0.25">
      <c r="B62" s="183"/>
      <c r="C62" s="184"/>
      <c r="D62" s="185"/>
      <c r="E62" s="183"/>
      <c r="G62" s="183"/>
      <c r="H62" s="184"/>
      <c r="I62" s="185"/>
      <c r="J62" s="183" t="str">
        <f>IF(NOT(_xlfn.XLOOKUP(SubcategoriesTable[[#This Row],[Category name]],CategoriesTable[Category name],CategoriesTable[ID])=0),_xlfn.XLOOKUP(SubcategoriesTable[[#This Row],[Category name]],CategoriesTable[Category name],CategoriesTable[ID]),"")</f>
        <v/>
      </c>
    </row>
    <row r="63" spans="2:10" x14ac:dyDescent="0.25">
      <c r="B63" s="183"/>
      <c r="C63" s="184"/>
      <c r="D63" s="185"/>
      <c r="E63" s="183"/>
      <c r="G63" s="183"/>
      <c r="H63" s="184"/>
      <c r="I63" s="185"/>
      <c r="J63" s="183" t="str">
        <f>IF(NOT(_xlfn.XLOOKUP(SubcategoriesTable[[#This Row],[Category name]],CategoriesTable[Category name],CategoriesTable[ID])=0),_xlfn.XLOOKUP(SubcategoriesTable[[#This Row],[Category name]],CategoriesTable[Category name],CategoriesTable[ID]),"")</f>
        <v/>
      </c>
    </row>
    <row r="64" spans="2:10" x14ac:dyDescent="0.25">
      <c r="B64" s="183"/>
      <c r="C64" s="184"/>
      <c r="D64" s="185"/>
      <c r="E64" s="183"/>
      <c r="G64" s="183"/>
      <c r="H64" s="184"/>
      <c r="I64" s="185"/>
      <c r="J64" s="183" t="str">
        <f>IF(NOT(_xlfn.XLOOKUP(SubcategoriesTable[[#This Row],[Category name]],CategoriesTable[Category name],CategoriesTable[ID])=0),_xlfn.XLOOKUP(SubcategoriesTable[[#This Row],[Category name]],CategoriesTable[Category name],CategoriesTable[ID]),"")</f>
        <v/>
      </c>
    </row>
    <row r="65" spans="2:10" x14ac:dyDescent="0.25">
      <c r="B65" s="183"/>
      <c r="C65" s="184"/>
      <c r="D65" s="185"/>
      <c r="E65" s="183"/>
      <c r="G65" s="183"/>
      <c r="H65" s="184"/>
      <c r="I65" s="185"/>
      <c r="J65" s="183" t="str">
        <f>IF(NOT(_xlfn.XLOOKUP(SubcategoriesTable[[#This Row],[Category name]],CategoriesTable[Category name],CategoriesTable[ID])=0),_xlfn.XLOOKUP(SubcategoriesTable[[#This Row],[Category name]],CategoriesTable[Category name],CategoriesTable[ID]),"")</f>
        <v/>
      </c>
    </row>
    <row r="66" spans="2:10" x14ac:dyDescent="0.25">
      <c r="B66" s="183"/>
      <c r="C66" s="184"/>
      <c r="D66" s="185"/>
      <c r="E66" s="183"/>
      <c r="G66" s="183"/>
      <c r="H66" s="184"/>
      <c r="I66" s="185"/>
      <c r="J66" s="183" t="str">
        <f>IF(NOT(_xlfn.XLOOKUP(SubcategoriesTable[[#This Row],[Category name]],CategoriesTable[Category name],CategoriesTable[ID])=0),_xlfn.XLOOKUP(SubcategoriesTable[[#This Row],[Category name]],CategoriesTable[Category name],CategoriesTable[ID]),"")</f>
        <v/>
      </c>
    </row>
    <row r="67" spans="2:10" x14ac:dyDescent="0.25">
      <c r="B67" s="183"/>
      <c r="C67" s="184"/>
      <c r="D67" s="185"/>
      <c r="E67" s="183"/>
      <c r="G67" s="183"/>
      <c r="H67" s="184"/>
      <c r="I67" s="185"/>
      <c r="J67" s="183" t="str">
        <f>IF(NOT(_xlfn.XLOOKUP(SubcategoriesTable[[#This Row],[Category name]],CategoriesTable[Category name],CategoriesTable[ID])=0),_xlfn.XLOOKUP(SubcategoriesTable[[#This Row],[Category name]],CategoriesTable[Category name],CategoriesTable[ID]),"")</f>
        <v/>
      </c>
    </row>
    <row r="68" spans="2:10" x14ac:dyDescent="0.25">
      <c r="B68" s="183"/>
      <c r="C68" s="184"/>
      <c r="D68" s="185"/>
      <c r="E68" s="183"/>
      <c r="G68" s="183"/>
      <c r="H68" s="184"/>
      <c r="I68" s="185"/>
      <c r="J68" s="183" t="str">
        <f>IF(NOT(_xlfn.XLOOKUP(SubcategoriesTable[[#This Row],[Category name]],CategoriesTable[Category name],CategoriesTable[ID])=0),_xlfn.XLOOKUP(SubcategoriesTable[[#This Row],[Category name]],CategoriesTable[Category name],CategoriesTable[ID]),"")</f>
        <v/>
      </c>
    </row>
    <row r="69" spans="2:10" x14ac:dyDescent="0.25">
      <c r="B69" s="183"/>
      <c r="C69" s="184"/>
      <c r="D69" s="185"/>
      <c r="E69" s="183"/>
      <c r="G69" s="183"/>
      <c r="H69" s="184"/>
      <c r="I69" s="185"/>
      <c r="J69" s="183" t="str">
        <f>IF(NOT(_xlfn.XLOOKUP(SubcategoriesTable[[#This Row],[Category name]],CategoriesTable[Category name],CategoriesTable[ID])=0),_xlfn.XLOOKUP(SubcategoriesTable[[#This Row],[Category name]],CategoriesTable[Category name],CategoriesTable[ID]),"")</f>
        <v/>
      </c>
    </row>
    <row r="70" spans="2:10" x14ac:dyDescent="0.25">
      <c r="B70" s="183"/>
      <c r="C70" s="184"/>
      <c r="D70" s="185"/>
      <c r="E70" s="183"/>
      <c r="G70" s="183"/>
      <c r="H70" s="184"/>
      <c r="I70" s="185"/>
      <c r="J70" s="183" t="str">
        <f>IF(NOT(_xlfn.XLOOKUP(SubcategoriesTable[[#This Row],[Category name]],CategoriesTable[Category name],CategoriesTable[ID])=0),_xlfn.XLOOKUP(SubcategoriesTable[[#This Row],[Category name]],CategoriesTable[Category name],CategoriesTable[ID]),"")</f>
        <v/>
      </c>
    </row>
    <row r="71" spans="2:10" x14ac:dyDescent="0.25">
      <c r="B71" s="183"/>
      <c r="C71" s="184"/>
      <c r="D71" s="185"/>
      <c r="E71" s="183"/>
      <c r="G71" s="183"/>
      <c r="H71" s="184"/>
      <c r="I71" s="185"/>
      <c r="J71" s="183" t="str">
        <f>IF(NOT(_xlfn.XLOOKUP(SubcategoriesTable[[#This Row],[Category name]],CategoriesTable[Category name],CategoriesTable[ID])=0),_xlfn.XLOOKUP(SubcategoriesTable[[#This Row],[Category name]],CategoriesTable[Category name],CategoriesTable[ID]),"")</f>
        <v/>
      </c>
    </row>
    <row r="72" spans="2:10" x14ac:dyDescent="0.25">
      <c r="B72" s="183"/>
      <c r="C72" s="184"/>
      <c r="D72" s="185"/>
      <c r="E72" s="183"/>
      <c r="G72" s="183"/>
      <c r="H72" s="184"/>
      <c r="I72" s="185"/>
      <c r="J72" s="183" t="str">
        <f>IF(NOT(_xlfn.XLOOKUP(SubcategoriesTable[[#This Row],[Category name]],CategoriesTable[Category name],CategoriesTable[ID])=0),_xlfn.XLOOKUP(SubcategoriesTable[[#This Row],[Category name]],CategoriesTable[Category name],CategoriesTable[ID]),"")</f>
        <v/>
      </c>
    </row>
    <row r="73" spans="2:10" x14ac:dyDescent="0.25">
      <c r="B73" s="183"/>
      <c r="C73" s="184"/>
      <c r="D73" s="185"/>
      <c r="E73" s="183"/>
      <c r="G73" s="183"/>
      <c r="H73" s="184"/>
      <c r="I73" s="185"/>
      <c r="J73" s="183" t="str">
        <f>IF(NOT(_xlfn.XLOOKUP(SubcategoriesTable[[#This Row],[Category name]],CategoriesTable[Category name],CategoriesTable[ID])=0),_xlfn.XLOOKUP(SubcategoriesTable[[#This Row],[Category name]],CategoriesTable[Category name],CategoriesTable[ID]),"")</f>
        <v/>
      </c>
    </row>
    <row r="74" spans="2:10" x14ac:dyDescent="0.25">
      <c r="B74" s="183"/>
      <c r="C74" s="184"/>
      <c r="D74" s="185"/>
      <c r="E74" s="183"/>
      <c r="G74" s="183"/>
      <c r="H74" s="184"/>
      <c r="I74" s="185"/>
      <c r="J74" s="183" t="str">
        <f>IF(NOT(_xlfn.XLOOKUP(SubcategoriesTable[[#This Row],[Category name]],CategoriesTable[Category name],CategoriesTable[ID])=0),_xlfn.XLOOKUP(SubcategoriesTable[[#This Row],[Category name]],CategoriesTable[Category name],CategoriesTable[ID]),"")</f>
        <v/>
      </c>
    </row>
    <row r="75" spans="2:10" x14ac:dyDescent="0.25">
      <c r="B75" s="183"/>
      <c r="C75" s="184"/>
      <c r="D75" s="185"/>
      <c r="E75" s="183"/>
      <c r="G75" s="183"/>
      <c r="H75" s="184"/>
      <c r="I75" s="185"/>
      <c r="J75" s="183" t="str">
        <f>IF(NOT(_xlfn.XLOOKUP(SubcategoriesTable[[#This Row],[Category name]],CategoriesTable[Category name],CategoriesTable[ID])=0),_xlfn.XLOOKUP(SubcategoriesTable[[#This Row],[Category name]],CategoriesTable[Category name],CategoriesTable[ID]),"")</f>
        <v/>
      </c>
    </row>
    <row r="76" spans="2:10" x14ac:dyDescent="0.25">
      <c r="B76" s="183"/>
      <c r="C76" s="184"/>
      <c r="D76" s="185"/>
      <c r="E76" s="183"/>
      <c r="G76" s="183"/>
      <c r="H76" s="184"/>
      <c r="I76" s="185"/>
      <c r="J76" s="183" t="str">
        <f>IF(NOT(_xlfn.XLOOKUP(SubcategoriesTable[[#This Row],[Category name]],CategoriesTable[Category name],CategoriesTable[ID])=0),_xlfn.XLOOKUP(SubcategoriesTable[[#This Row],[Category name]],CategoriesTable[Category name],CategoriesTable[ID]),"")</f>
        <v/>
      </c>
    </row>
    <row r="77" spans="2:10" x14ac:dyDescent="0.25">
      <c r="B77" s="183"/>
      <c r="C77" s="184"/>
      <c r="D77" s="185"/>
      <c r="E77" s="183"/>
      <c r="G77" s="183"/>
      <c r="H77" s="184"/>
      <c r="I77" s="185"/>
      <c r="J77" s="183" t="str">
        <f>IF(NOT(_xlfn.XLOOKUP(SubcategoriesTable[[#This Row],[Category name]],CategoriesTable[Category name],CategoriesTable[ID])=0),_xlfn.XLOOKUP(SubcategoriesTable[[#This Row],[Category name]],CategoriesTable[Category name],CategoriesTable[ID]),"")</f>
        <v/>
      </c>
    </row>
    <row r="78" spans="2:10" x14ac:dyDescent="0.25">
      <c r="B78" s="183"/>
      <c r="C78" s="184"/>
      <c r="D78" s="185"/>
      <c r="E78" s="183"/>
      <c r="G78" s="183"/>
      <c r="H78" s="184"/>
      <c r="I78" s="185"/>
      <c r="J78" s="183" t="str">
        <f>IF(NOT(_xlfn.XLOOKUP(SubcategoriesTable[[#This Row],[Category name]],CategoriesTable[Category name],CategoriesTable[ID])=0),_xlfn.XLOOKUP(SubcategoriesTable[[#This Row],[Category name]],CategoriesTable[Category name],CategoriesTable[ID]),"")</f>
        <v/>
      </c>
    </row>
    <row r="79" spans="2:10" x14ac:dyDescent="0.25">
      <c r="B79" s="183"/>
      <c r="C79" s="184"/>
      <c r="D79" s="185"/>
      <c r="E79" s="183"/>
      <c r="G79" s="183"/>
      <c r="H79" s="184"/>
      <c r="I79" s="185"/>
      <c r="J79" s="183" t="str">
        <f>IF(NOT(_xlfn.XLOOKUP(SubcategoriesTable[[#This Row],[Category name]],CategoriesTable[Category name],CategoriesTable[ID])=0),_xlfn.XLOOKUP(SubcategoriesTable[[#This Row],[Category name]],CategoriesTable[Category name],CategoriesTable[ID]),"")</f>
        <v/>
      </c>
    </row>
    <row r="80" spans="2:10" x14ac:dyDescent="0.25">
      <c r="B80" s="183"/>
      <c r="C80" s="184"/>
      <c r="D80" s="185"/>
      <c r="E80" s="183"/>
      <c r="G80" s="183"/>
      <c r="H80" s="184"/>
      <c r="I80" s="185"/>
      <c r="J80" s="183" t="str">
        <f>IF(NOT(_xlfn.XLOOKUP(SubcategoriesTable[[#This Row],[Category name]],CategoriesTable[Category name],CategoriesTable[ID])=0),_xlfn.XLOOKUP(SubcategoriesTable[[#This Row],[Category name]],CategoriesTable[Category name],CategoriesTable[ID]),"")</f>
        <v/>
      </c>
    </row>
    <row r="81" spans="2:10" x14ac:dyDescent="0.25">
      <c r="B81" s="183"/>
      <c r="C81" s="184"/>
      <c r="D81" s="185"/>
      <c r="E81" s="183"/>
      <c r="G81" s="183"/>
      <c r="H81" s="184"/>
      <c r="I81" s="185"/>
      <c r="J81" s="183" t="str">
        <f>IF(NOT(_xlfn.XLOOKUP(SubcategoriesTable[[#This Row],[Category name]],CategoriesTable[Category name],CategoriesTable[ID])=0),_xlfn.XLOOKUP(SubcategoriesTable[[#This Row],[Category name]],CategoriesTable[Category name],CategoriesTable[ID]),"")</f>
        <v/>
      </c>
    </row>
    <row r="82" spans="2:10" x14ac:dyDescent="0.25">
      <c r="B82" s="183"/>
      <c r="C82" s="184"/>
      <c r="D82" s="185"/>
      <c r="E82" s="183"/>
      <c r="G82" s="183"/>
      <c r="H82" s="184"/>
      <c r="I82" s="185"/>
      <c r="J82" s="183" t="str">
        <f>IF(NOT(_xlfn.XLOOKUP(SubcategoriesTable[[#This Row],[Category name]],CategoriesTable[Category name],CategoriesTable[ID])=0),_xlfn.XLOOKUP(SubcategoriesTable[[#This Row],[Category name]],CategoriesTable[Category name],CategoriesTable[ID]),"")</f>
        <v/>
      </c>
    </row>
    <row r="83" spans="2:10" x14ac:dyDescent="0.25">
      <c r="B83" s="183"/>
      <c r="C83" s="184"/>
      <c r="D83" s="185"/>
      <c r="E83" s="183"/>
      <c r="G83" s="183"/>
      <c r="H83" s="184"/>
      <c r="I83" s="185"/>
      <c r="J83" s="183" t="str">
        <f>IF(NOT(_xlfn.XLOOKUP(SubcategoriesTable[[#This Row],[Category name]],CategoriesTable[Category name],CategoriesTable[ID])=0),_xlfn.XLOOKUP(SubcategoriesTable[[#This Row],[Category name]],CategoriesTable[Category name],CategoriesTable[ID]),"")</f>
        <v/>
      </c>
    </row>
    <row r="84" spans="2:10" x14ac:dyDescent="0.25">
      <c r="B84" s="183"/>
      <c r="C84" s="184"/>
      <c r="D84" s="185"/>
      <c r="E84" s="183"/>
      <c r="G84" s="183"/>
      <c r="H84" s="184"/>
      <c r="I84" s="185"/>
      <c r="J84" s="183" t="str">
        <f>IF(NOT(_xlfn.XLOOKUP(SubcategoriesTable[[#This Row],[Category name]],CategoriesTable[Category name],CategoriesTable[ID])=0),_xlfn.XLOOKUP(SubcategoriesTable[[#This Row],[Category name]],CategoriesTable[Category name],CategoriesTable[ID]),"")</f>
        <v/>
      </c>
    </row>
    <row r="85" spans="2:10" x14ac:dyDescent="0.25">
      <c r="B85" s="183"/>
      <c r="C85" s="184"/>
      <c r="D85" s="185"/>
      <c r="E85" s="183"/>
      <c r="G85" s="183"/>
      <c r="H85" s="184"/>
      <c r="I85" s="185"/>
      <c r="J85" s="183" t="str">
        <f>IF(NOT(_xlfn.XLOOKUP(SubcategoriesTable[[#This Row],[Category name]],CategoriesTable[Category name],CategoriesTable[ID])=0),_xlfn.XLOOKUP(SubcategoriesTable[[#This Row],[Category name]],CategoriesTable[Category name],CategoriesTable[ID]),"")</f>
        <v/>
      </c>
    </row>
    <row r="86" spans="2:10" x14ac:dyDescent="0.25">
      <c r="B86" s="183"/>
      <c r="C86" s="184"/>
      <c r="D86" s="185"/>
      <c r="E86" s="183"/>
      <c r="G86" s="183"/>
      <c r="H86" s="184"/>
      <c r="I86" s="185"/>
      <c r="J86" s="183" t="str">
        <f>IF(NOT(_xlfn.XLOOKUP(SubcategoriesTable[[#This Row],[Category name]],CategoriesTable[Category name],CategoriesTable[ID])=0),_xlfn.XLOOKUP(SubcategoriesTable[[#This Row],[Category name]],CategoriesTable[Category name],CategoriesTable[ID]),"")</f>
        <v/>
      </c>
    </row>
    <row r="87" spans="2:10" x14ac:dyDescent="0.25">
      <c r="B87" s="183"/>
      <c r="C87" s="184"/>
      <c r="D87" s="185"/>
      <c r="E87" s="183"/>
      <c r="G87" s="183"/>
      <c r="H87" s="184"/>
      <c r="I87" s="185"/>
      <c r="J87" s="183" t="str">
        <f>IF(NOT(_xlfn.XLOOKUP(SubcategoriesTable[[#This Row],[Category name]],CategoriesTable[Category name],CategoriesTable[ID])=0),_xlfn.XLOOKUP(SubcategoriesTable[[#This Row],[Category name]],CategoriesTable[Category name],CategoriesTable[ID]),"")</f>
        <v/>
      </c>
    </row>
    <row r="88" spans="2:10" x14ac:dyDescent="0.25">
      <c r="B88" s="183"/>
      <c r="C88" s="184"/>
      <c r="D88" s="185"/>
      <c r="E88" s="183"/>
      <c r="G88" s="183"/>
      <c r="H88" s="184"/>
      <c r="I88" s="185"/>
      <c r="J88" s="183" t="str">
        <f>IF(NOT(_xlfn.XLOOKUP(SubcategoriesTable[[#This Row],[Category name]],CategoriesTable[Category name],CategoriesTable[ID])=0),_xlfn.XLOOKUP(SubcategoriesTable[[#This Row],[Category name]],CategoriesTable[Category name],CategoriesTable[ID]),"")</f>
        <v/>
      </c>
    </row>
    <row r="89" spans="2:10" x14ac:dyDescent="0.25">
      <c r="B89" s="183"/>
      <c r="C89" s="184"/>
      <c r="D89" s="185"/>
      <c r="E89" s="183"/>
      <c r="G89" s="183"/>
      <c r="H89" s="184"/>
      <c r="I89" s="185"/>
      <c r="J89" s="183" t="str">
        <f>IF(NOT(_xlfn.XLOOKUP(SubcategoriesTable[[#This Row],[Category name]],CategoriesTable[Category name],CategoriesTable[ID])=0),_xlfn.XLOOKUP(SubcategoriesTable[[#This Row],[Category name]],CategoriesTable[Category name],CategoriesTable[ID]),"")</f>
        <v/>
      </c>
    </row>
    <row r="90" spans="2:10" x14ac:dyDescent="0.25">
      <c r="B90" s="183"/>
      <c r="C90" s="184"/>
      <c r="D90" s="185"/>
      <c r="E90" s="183"/>
      <c r="G90" s="183"/>
      <c r="H90" s="184"/>
      <c r="I90" s="185"/>
      <c r="J90" s="183" t="str">
        <f>IF(NOT(_xlfn.XLOOKUP(SubcategoriesTable[[#This Row],[Category name]],CategoriesTable[Category name],CategoriesTable[ID])=0),_xlfn.XLOOKUP(SubcategoriesTable[[#This Row],[Category name]],CategoriesTable[Category name],CategoriesTable[ID]),"")</f>
        <v/>
      </c>
    </row>
    <row r="91" spans="2:10" x14ac:dyDescent="0.25">
      <c r="B91" s="183"/>
      <c r="C91" s="184"/>
      <c r="D91" s="185"/>
      <c r="E91" s="183"/>
      <c r="G91" s="183"/>
      <c r="H91" s="184"/>
      <c r="I91" s="185"/>
      <c r="J91" s="183" t="str">
        <f>IF(NOT(_xlfn.XLOOKUP(SubcategoriesTable[[#This Row],[Category name]],CategoriesTable[Category name],CategoriesTable[ID])=0),_xlfn.XLOOKUP(SubcategoriesTable[[#This Row],[Category name]],CategoriesTable[Category name],CategoriesTable[ID]),"")</f>
        <v/>
      </c>
    </row>
    <row r="92" spans="2:10" x14ac:dyDescent="0.25">
      <c r="B92" s="183"/>
      <c r="C92" s="184"/>
      <c r="D92" s="185"/>
      <c r="E92" s="183"/>
      <c r="G92" s="183"/>
      <c r="H92" s="184"/>
      <c r="I92" s="185"/>
      <c r="J92" s="183" t="str">
        <f>IF(NOT(_xlfn.XLOOKUP(SubcategoriesTable[[#This Row],[Category name]],CategoriesTable[Category name],CategoriesTable[ID])=0),_xlfn.XLOOKUP(SubcategoriesTable[[#This Row],[Category name]],CategoriesTable[Category name],CategoriesTable[ID]),"")</f>
        <v/>
      </c>
    </row>
    <row r="93" spans="2:10" x14ac:dyDescent="0.25">
      <c r="B93" s="183"/>
      <c r="C93" s="184"/>
      <c r="D93" s="185"/>
      <c r="E93" s="183"/>
      <c r="G93" s="183"/>
      <c r="H93" s="184"/>
      <c r="I93" s="185"/>
      <c r="J93" s="183" t="str">
        <f>IF(NOT(_xlfn.XLOOKUP(SubcategoriesTable[[#This Row],[Category name]],CategoriesTable[Category name],CategoriesTable[ID])=0),_xlfn.XLOOKUP(SubcategoriesTable[[#This Row],[Category name]],CategoriesTable[Category name],CategoriesTable[ID]),"")</f>
        <v/>
      </c>
    </row>
    <row r="94" spans="2:10" x14ac:dyDescent="0.25">
      <c r="B94" s="183"/>
      <c r="C94" s="184"/>
      <c r="D94" s="185"/>
      <c r="E94" s="183"/>
      <c r="G94" s="183"/>
      <c r="H94" s="184"/>
      <c r="I94" s="185"/>
      <c r="J94" s="183" t="str">
        <f>IF(NOT(_xlfn.XLOOKUP(SubcategoriesTable[[#This Row],[Category name]],CategoriesTable[Category name],CategoriesTable[ID])=0),_xlfn.XLOOKUP(SubcategoriesTable[[#This Row],[Category name]],CategoriesTable[Category name],CategoriesTable[ID]),"")</f>
        <v/>
      </c>
    </row>
    <row r="95" spans="2:10" x14ac:dyDescent="0.25">
      <c r="B95" s="183"/>
      <c r="C95" s="184"/>
      <c r="D95" s="185"/>
      <c r="E95" s="183"/>
      <c r="G95" s="183"/>
      <c r="H95" s="184"/>
      <c r="I95" s="185"/>
      <c r="J95" s="183" t="str">
        <f>IF(NOT(_xlfn.XLOOKUP(SubcategoriesTable[[#This Row],[Category name]],CategoriesTable[Category name],CategoriesTable[ID])=0),_xlfn.XLOOKUP(SubcategoriesTable[[#This Row],[Category name]],CategoriesTable[Category name],CategoriesTable[ID]),"")</f>
        <v/>
      </c>
    </row>
    <row r="96" spans="2:10" x14ac:dyDescent="0.25">
      <c r="B96" s="183"/>
      <c r="C96" s="184"/>
      <c r="D96" s="185"/>
      <c r="E96" s="183"/>
      <c r="G96" s="183"/>
      <c r="H96" s="184"/>
      <c r="I96" s="185"/>
      <c r="J96" s="183" t="str">
        <f>IF(NOT(_xlfn.XLOOKUP(SubcategoriesTable[[#This Row],[Category name]],CategoriesTable[Category name],CategoriesTable[ID])=0),_xlfn.XLOOKUP(SubcategoriesTable[[#This Row],[Category name]],CategoriesTable[Category name],CategoriesTable[ID]),"")</f>
        <v/>
      </c>
    </row>
    <row r="97" spans="2:10" x14ac:dyDescent="0.25">
      <c r="B97" s="183"/>
      <c r="C97" s="184"/>
      <c r="D97" s="185"/>
      <c r="E97" s="183"/>
      <c r="G97" s="183"/>
      <c r="H97" s="184"/>
      <c r="I97" s="185"/>
      <c r="J97" s="183" t="str">
        <f>IF(NOT(_xlfn.XLOOKUP(SubcategoriesTable[[#This Row],[Category name]],CategoriesTable[Category name],CategoriesTable[ID])=0),_xlfn.XLOOKUP(SubcategoriesTable[[#This Row],[Category name]],CategoriesTable[Category name],CategoriesTable[ID]),"")</f>
        <v/>
      </c>
    </row>
    <row r="98" spans="2:10" x14ac:dyDescent="0.25">
      <c r="B98" s="183"/>
      <c r="C98" s="184"/>
      <c r="D98" s="185"/>
      <c r="E98" s="183"/>
      <c r="G98" s="183"/>
      <c r="H98" s="184"/>
      <c r="I98" s="185"/>
      <c r="J98" s="183" t="str">
        <f>IF(NOT(_xlfn.XLOOKUP(SubcategoriesTable[[#This Row],[Category name]],CategoriesTable[Category name],CategoriesTable[ID])=0),_xlfn.XLOOKUP(SubcategoriesTable[[#This Row],[Category name]],CategoriesTable[Category name],CategoriesTable[ID]),"")</f>
        <v/>
      </c>
    </row>
    <row r="99" spans="2:10" x14ac:dyDescent="0.25">
      <c r="B99" s="183"/>
      <c r="C99" s="184"/>
      <c r="D99" s="185"/>
      <c r="E99" s="183"/>
      <c r="G99" s="183"/>
      <c r="H99" s="184"/>
      <c r="I99" s="185"/>
      <c r="J99" s="183" t="str">
        <f>IF(NOT(_xlfn.XLOOKUP(SubcategoriesTable[[#This Row],[Category name]],CategoriesTable[Category name],CategoriesTable[ID])=0),_xlfn.XLOOKUP(SubcategoriesTable[[#This Row],[Category name]],CategoriesTable[Category name],CategoriesTable[ID]),"")</f>
        <v/>
      </c>
    </row>
    <row r="100" spans="2:10" x14ac:dyDescent="0.25">
      <c r="B100" s="183"/>
      <c r="C100" s="184"/>
      <c r="D100" s="185"/>
      <c r="E100" s="183"/>
      <c r="G100" s="183"/>
      <c r="H100" s="184"/>
      <c r="I100" s="185"/>
      <c r="J100" s="183" t="str">
        <f>IF(NOT(_xlfn.XLOOKUP(SubcategoriesTable[[#This Row],[Category name]],CategoriesTable[Category name],CategoriesTable[ID])=0),_xlfn.XLOOKUP(SubcategoriesTable[[#This Row],[Category name]],CategoriesTable[Category name],CategoriesTable[ID]),"")</f>
        <v/>
      </c>
    </row>
  </sheetData>
  <mergeCells count="6">
    <mergeCell ref="B2:M2"/>
    <mergeCell ref="C3:J3"/>
    <mergeCell ref="C5:D5"/>
    <mergeCell ref="C6:D6"/>
    <mergeCell ref="H5:I5"/>
    <mergeCell ref="H6:I6"/>
  </mergeCells>
  <conditionalFormatting sqref="C8:C100">
    <cfRule type="expression" dxfId="12" priority="1">
      <formula>AND(ISBLANK(INDIRECT("CategoriesTable[@Category name]")),NOT(ISBLANK(INDIRECT("CategoriesTable[@Category type]"))))</formula>
    </cfRule>
  </conditionalFormatting>
  <conditionalFormatting sqref="D8:D100">
    <cfRule type="expression" dxfId="11" priority="2">
      <formula>AND(ISBLANK(INDIRECT("CategoriesTable[@Category type]")),NOT(ISBLANK(INDIRECT("CategoriesTable[@Category name]"))))</formula>
    </cfRule>
  </conditionalFormatting>
  <conditionalFormatting sqref="B8:E100">
    <cfRule type="expression" dxfId="10" priority="3">
      <formula>INDIRECT("CategoriesTable[@Default]")=TRUE</formula>
    </cfRule>
  </conditionalFormatting>
  <conditionalFormatting sqref="H8:H100">
    <cfRule type="expression" dxfId="9" priority="4">
      <formula>AND(ISBLANK(INDIRECT("SubcategoriesTable[@Category name]")),NOT(ISBLANK(INDIRECT("SubcategoriesTable[@Subcategory name]"))))</formula>
    </cfRule>
  </conditionalFormatting>
  <conditionalFormatting sqref="I8:I100">
    <cfRule type="expression" dxfId="8" priority="5">
      <formula>AND(ISBLANK(INDIRECT("SubcategoriesTable[@Subcategory name]")),NOT(ISBLANK(INDIRECT("SubcategoriesTable[@Category name]"))))</formula>
    </cfRule>
  </conditionalFormatting>
  <dataValidations count="2">
    <dataValidation type="list" allowBlank="1" showInputMessage="1" showErrorMessage="1" promptTitle="Type of the entry" prompt="Expense, Income, Transfer" sqref="D8:D100" xr:uid="{29C20F73-40DF-4767-A189-FC29D4CF4705}">
      <formula1>"Expense, Income, Transfer"</formula1>
    </dataValidation>
    <dataValidation type="list" allowBlank="1" showInputMessage="1" showErrorMessage="1" sqref="H8:H100" xr:uid="{36204D5D-6FE6-4719-8DD4-EDE3BF59528E}">
      <formula1>INDIRECT("HiddenCategories!$B$2#")</formula1>
    </dataValidation>
  </dataValidations>
  <pageMargins left="0.7" right="0.7" top="0.75" bottom="0.75" header="0.3" footer="0.3"/>
  <tableParts count="2">
    <tablePart r:id="rId1"/>
    <tablePart r:id="rId2"/>
  </tableParts>
  <extLst>
    <ext xmlns:x15="http://schemas.microsoft.com/office/spreadsheetml/2010/11/main" uri="{F7C9EE02-42E1-4005-9D12-6889AFFD525C}">
      <x15:webExtensions xmlns:xm="http://schemas.microsoft.com/office/excel/2006/main">
        <x15:webExtension appRef="{300E31B9-DBE3-4380-912A-85674950F610}">
          <xm:f>Categories!$C$26:$D$100</xm:f>
        </x15:webExtension>
      </x15:webExtens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EA6B-55BC-4389-BF7D-8877294911EB}">
  <dimension ref="B1:CP100"/>
  <sheetViews>
    <sheetView workbookViewId="0"/>
  </sheetViews>
  <sheetFormatPr defaultRowHeight="15" x14ac:dyDescent="0.25"/>
  <sheetData>
    <row r="1" spans="2:3" x14ac:dyDescent="0.25">
      <c r="B1" t="s">
        <v>4</v>
      </c>
      <c r="C1" t="s">
        <v>83</v>
      </c>
    </row>
    <row r="2" spans="2:3" x14ac:dyDescent="0.25">
      <c r="B2" t="str" cm="1">
        <f t="array" ref="B2:B25">_xlfn.UNIQUE(_xlfn._xlws.FILTER(CategoryNames, CategoryNames&lt;&gt;"",),FALSE,FALSE)</f>
        <v>Auto/Transport</v>
      </c>
      <c r="C2" t="str" cm="1">
        <f t="array" aca="1" ref="C2" ca="1">IFERROR(TRANSPOSE(INDEX(_xlfn._xlws.FILTER(INDIRECT("SubcategoriesTable[Subcategory name]"),INDIRECT("SubcategoriesTable[Category name]")=$B2),,)),_xlfn.CONCAT("No subcategories for"," ", $B2))</f>
        <v>Gas</v>
      </c>
    </row>
    <row r="3" spans="2:3" x14ac:dyDescent="0.25">
      <c r="B3" t="str">
        <v>Bills/Utilities</v>
      </c>
      <c r="C3" t="str" cm="1">
        <f t="array" aca="1" ref="C3" ca="1">IFERROR(TRANSPOSE(INDEX(_xlfn._xlws.FILTER(INDIRECT("SubcategoriesTable[Subcategory name]"),INDIRECT("SubcategoriesTable[Category name]")=$B3),,)),_xlfn.CONCAT("No subcategories for"," ", $B3))</f>
        <v>No subcategories for Bills/Utilities</v>
      </c>
    </row>
    <row r="4" spans="2:3" x14ac:dyDescent="0.25">
      <c r="B4" t="str">
        <v>Entertainment</v>
      </c>
      <c r="C4" t="str" cm="1">
        <f t="array" aca="1" ref="C4" ca="1">IFERROR(TRANSPOSE(INDEX(_xlfn._xlws.FILTER(INDIRECT("SubcategoriesTable[Subcategory name]"),INDIRECT("SubcategoriesTable[Category name]")=$B4),,)),_xlfn.CONCAT("No subcategories for"," ", $B4))</f>
        <v>No subcategories for Entertainment</v>
      </c>
    </row>
    <row r="5" spans="2:3" x14ac:dyDescent="0.25">
      <c r="B5" t="str">
        <v>Fees/Charges</v>
      </c>
      <c r="C5" t="str" cm="1">
        <f t="array" aca="1" ref="C5" ca="1">IFERROR(TRANSPOSE(INDEX(_xlfn._xlws.FILTER(INDIRECT("SubcategoriesTable[Subcategory name]"),INDIRECT("SubcategoriesTable[Category name]")=$B5),,)),_xlfn.CONCAT("No subcategories for"," ", $B5))</f>
        <v>No subcategories for Fees/Charges</v>
      </c>
    </row>
    <row r="6" spans="2:3" x14ac:dyDescent="0.25">
      <c r="B6" t="str">
        <v>Groceries</v>
      </c>
      <c r="C6" t="str" cm="1">
        <f t="array" aca="1" ref="C6" ca="1">IFERROR(TRANSPOSE(INDEX(_xlfn._xlws.FILTER(INDIRECT("SubcategoriesTable[Subcategory name]"),INDIRECT("SubcategoriesTable[Category name]")=$B6),,)),_xlfn.CONCAT("No subcategories for"," ", $B6))</f>
        <v>No subcategories for Groceries</v>
      </c>
    </row>
    <row r="7" spans="2:3" x14ac:dyDescent="0.25">
      <c r="B7" t="str">
        <v>Health/Fitness</v>
      </c>
      <c r="C7" t="str" cm="1">
        <f t="array" aca="1" ref="C7" ca="1">IFERROR(TRANSPOSE(INDEX(_xlfn._xlws.FILTER(INDIRECT("SubcategoriesTable[Subcategory name]"),INDIRECT("SubcategoriesTable[Category name]")=$B7),,)),_xlfn.CONCAT("No subcategories for"," ", $B7))</f>
        <v>No subcategories for Health/Fitness</v>
      </c>
    </row>
    <row r="8" spans="2:3" x14ac:dyDescent="0.25">
      <c r="B8" t="str">
        <v>Home</v>
      </c>
      <c r="C8" t="str" cm="1">
        <f t="array" aca="1" ref="C8" ca="1">IFERROR(TRANSPOSE(INDEX(_xlfn._xlws.FILTER(INDIRECT("SubcategoriesTable[Subcategory name]"),INDIRECT("SubcategoriesTable[Category name]")=$B8),,)),_xlfn.CONCAT("No subcategories for"," ", $B8))</f>
        <v>No subcategories for Home</v>
      </c>
    </row>
    <row r="9" spans="2:3" x14ac:dyDescent="0.25">
      <c r="B9" t="str">
        <v>Income</v>
      </c>
      <c r="C9" t="str" cm="1">
        <f t="array" aca="1" ref="C9" ca="1">IFERROR(TRANSPOSE(INDEX(_xlfn._xlws.FILTER(INDIRECT("SubcategoriesTable[Subcategory name]"),INDIRECT("SubcategoriesTable[Category name]")=$B9),,)),_xlfn.CONCAT("No subcategories for"," ", $B9))</f>
        <v>No subcategories for Income</v>
      </c>
    </row>
    <row r="10" spans="2:3" x14ac:dyDescent="0.25">
      <c r="B10" t="str">
        <v>Misc</v>
      </c>
      <c r="C10" t="str" cm="1">
        <f t="array" aca="1" ref="C10" ca="1">IFERROR(TRANSPOSE(INDEX(_xlfn._xlws.FILTER(INDIRECT("SubcategoriesTable[Subcategory name]"),INDIRECT("SubcategoriesTable[Category name]")=$B10),,)),_xlfn.CONCAT("No subcategories for"," ", $B10))</f>
        <v>No subcategories for Misc</v>
      </c>
    </row>
    <row r="11" spans="2:3" x14ac:dyDescent="0.25">
      <c r="B11" t="str">
        <v>Mortgage/Rent</v>
      </c>
      <c r="C11" t="str" cm="1">
        <f t="array" aca="1" ref="C11" ca="1">IFERROR(TRANSPOSE(INDEX(_xlfn._xlws.FILTER(INDIRECT("SubcategoriesTable[Subcategory name]"),INDIRECT("SubcategoriesTable[Category name]")=$B11),,)),_xlfn.CONCAT("No subcategories for"," ", $B11))</f>
        <v>No subcategories for Mortgage/Rent</v>
      </c>
    </row>
    <row r="12" spans="2:3" x14ac:dyDescent="0.25">
      <c r="B12" t="str">
        <v>Payment</v>
      </c>
      <c r="C12" t="str" cm="1">
        <f t="array" aca="1" ref="C12" ca="1">IFERROR(TRANSPOSE(INDEX(_xlfn._xlws.FILTER(INDIRECT("SubcategoriesTable[Subcategory name]"),INDIRECT("SubcategoriesTable[Category name]")=$B12),,)),_xlfn.CONCAT("No subcategories for"," ", $B12))</f>
        <v>No subcategories for Payment</v>
      </c>
    </row>
    <row r="13" spans="2:3" x14ac:dyDescent="0.25">
      <c r="B13" t="str">
        <v>Professional Services</v>
      </c>
      <c r="C13" t="str" cm="1">
        <f t="array" aca="1" ref="C13" ca="1">IFERROR(TRANSPOSE(INDEX(_xlfn._xlws.FILTER(INDIRECT("SubcategoriesTable[Subcategory name]"),INDIRECT("SubcategoriesTable[Category name]")=$B13),,)),_xlfn.CONCAT("No subcategories for"," ", $B13))</f>
        <v>No subcategories for Professional Services</v>
      </c>
    </row>
    <row r="14" spans="2:3" x14ac:dyDescent="0.25">
      <c r="B14" t="str">
        <v>Refund</v>
      </c>
      <c r="C14" t="str" cm="1">
        <f t="array" aca="1" ref="C14" ca="1">IFERROR(TRANSPOSE(INDEX(_xlfn._xlws.FILTER(INDIRECT("SubcategoriesTable[Subcategory name]"),INDIRECT("SubcategoriesTable[Category name]")=$B14),,)),_xlfn.CONCAT("No subcategories for"," ", $B14))</f>
        <v>No subcategories for Refund</v>
      </c>
    </row>
    <row r="15" spans="2:3" x14ac:dyDescent="0.25">
      <c r="B15" t="str">
        <v>Restaurants/Dining</v>
      </c>
      <c r="C15" t="str" cm="1">
        <f t="array" aca="1" ref="C15" ca="1">IFERROR(TRANSPOSE(INDEX(_xlfn._xlws.FILTER(INDIRECT("SubcategoriesTable[Subcategory name]"),INDIRECT("SubcategoriesTable[Category name]")=$B15),,)),_xlfn.CONCAT("No subcategories for"," ", $B15))</f>
        <v>No subcategories for Restaurants/Dining</v>
      </c>
    </row>
    <row r="16" spans="2:3" x14ac:dyDescent="0.25">
      <c r="B16" t="str">
        <v>Shopping</v>
      </c>
      <c r="C16" t="str" cm="1">
        <f t="array" aca="1" ref="C16" ca="1">IFERROR(TRANSPOSE(INDEX(_xlfn._xlws.FILTER(INDIRECT("SubcategoriesTable[Subcategory name]"),INDIRECT("SubcategoriesTable[Category name]")=$B16),,)),_xlfn.CONCAT("No subcategories for"," ", $B16))</f>
        <v>No subcategories for Shopping</v>
      </c>
    </row>
    <row r="17" spans="2:94" x14ac:dyDescent="0.25">
      <c r="B17" t="str">
        <v>Transfer</v>
      </c>
      <c r="C17" t="str" cm="1">
        <f t="array" aca="1" ref="C17" ca="1">IFERROR(TRANSPOSE(INDEX(_xlfn._xlws.FILTER(INDIRECT("SubcategoriesTable[Subcategory name]"),INDIRECT("SubcategoriesTable[Category name]")=$B17),,)),_xlfn.CONCAT("No subcategories for"," ", $B17))</f>
        <v>No subcategories for Transfer</v>
      </c>
    </row>
    <row r="18" spans="2:94" x14ac:dyDescent="0.25">
      <c r="B18" t="str">
        <v>Travel</v>
      </c>
      <c r="C18" t="str" cm="1">
        <f t="array" aca="1" ref="C18" ca="1">IFERROR(TRANSPOSE(INDEX(_xlfn._xlws.FILTER(INDIRECT("SubcategoriesTable[Subcategory name]"),INDIRECT("SubcategoriesTable[Category name]")=$B18),,)),_xlfn.CONCAT("No subcategories for"," ", $B18))</f>
        <v>No subcategories for Travel</v>
      </c>
    </row>
    <row r="19" spans="2:94" x14ac:dyDescent="0.25">
      <c r="B19" t="str">
        <v>Uncategorized</v>
      </c>
      <c r="C19" t="str" cm="1">
        <f t="array" aca="1" ref="C19" ca="1">IFERROR(TRANSPOSE(INDEX(_xlfn._xlws.FILTER(INDIRECT("SubcategoriesTable[Subcategory name]"),INDIRECT("SubcategoriesTable[Category name]")=$B19),,)),_xlfn.CONCAT("No subcategories for"," ", $B19))</f>
        <v>No subcategories for Uncategorized</v>
      </c>
    </row>
    <row r="20" spans="2:94" x14ac:dyDescent="0.25">
      <c r="B20" t="str">
        <v>Apps</v>
      </c>
      <c r="C20" t="str" cm="1">
        <f t="array" aca="1" ref="C20" ca="1">IFERROR(TRANSPOSE(INDEX(_xlfn._xlws.FILTER(INDIRECT("SubcategoriesTable[Subcategory name]"),INDIRECT("SubcategoriesTable[Category name]")=$B20),,)),_xlfn.CONCAT("No subcategories for"," ", $B20))</f>
        <v>No subcategories for Apps</v>
      </c>
    </row>
    <row r="21" spans="2:94" x14ac:dyDescent="0.25">
      <c r="B21" t="str">
        <v>Education</v>
      </c>
      <c r="C21" t="str" cm="1">
        <f t="array" aca="1" ref="C21" ca="1">IFERROR(TRANSPOSE(INDEX(_xlfn._xlws.FILTER(INDIRECT("SubcategoriesTable[Subcategory name]"),INDIRECT("SubcategoriesTable[Category name]")=$B21),,)),_xlfn.CONCAT("No subcategories for"," ", $B21))</f>
        <v>No subcategories for Education</v>
      </c>
    </row>
    <row r="22" spans="2:94" x14ac:dyDescent="0.25">
      <c r="B22" t="str">
        <v>Government</v>
      </c>
      <c r="C22" t="str" cm="1">
        <f t="array" aca="1" ref="C22" ca="1">IFERROR(TRANSPOSE(INDEX(_xlfn._xlws.FILTER(INDIRECT("SubcategoriesTable[Subcategory name]"),INDIRECT("SubcategoriesTable[Category name]")=$B22),,)),_xlfn.CONCAT("No subcategories for"," ", $B22))</f>
        <v>No subcategories for Government</v>
      </c>
    </row>
    <row r="23" spans="2:94" x14ac:dyDescent="0.25">
      <c r="B23" t="str">
        <v>Investment</v>
      </c>
      <c r="C23" t="str" cm="1">
        <f t="array" aca="1" ref="C23" ca="1">IFERROR(TRANSPOSE(INDEX(_xlfn._xlws.FILTER(INDIRECT("SubcategoriesTable[Subcategory name]"),INDIRECT("SubcategoriesTable[Category name]")=$B23),,)),_xlfn.CONCAT("No subcategories for"," ", $B23))</f>
        <v>No subcategories for Investment</v>
      </c>
    </row>
    <row r="24" spans="2:94" x14ac:dyDescent="0.25">
      <c r="B24" t="str">
        <v>Loan</v>
      </c>
      <c r="C24" t="str" cm="1">
        <f t="array" aca="1" ref="C24" ca="1">IFERROR(TRANSPOSE(INDEX(_xlfn._xlws.FILTER(INDIRECT("SubcategoriesTable[Subcategory name]"),INDIRECT("SubcategoriesTable[Category name]")=$B24),,)),_xlfn.CONCAT("No subcategories for"," ", $B24))</f>
        <v>No subcategories for Loan</v>
      </c>
    </row>
    <row r="25" spans="2:94" x14ac:dyDescent="0.25">
      <c r="B25" t="str">
        <v>Insurance</v>
      </c>
      <c r="C25" t="str" cm="1">
        <f t="array" aca="1" ref="C25" ca="1">IFERROR(TRANSPOSE(INDEX(_xlfn._xlws.FILTER(INDIRECT("SubcategoriesTable[Subcategory name]"),INDIRECT("SubcategoriesTable[Category name]")=$B25),,)),_xlfn.CONCAT("No subcategories for"," ", $B25))</f>
        <v>No subcategories for Insurance</v>
      </c>
    </row>
    <row r="26" spans="2:94" x14ac:dyDescent="0.25">
      <c r="C26" cm="1">
        <f t="array" aca="1" ref="C26:CP26" ca="1">IFERROR(TRANSPOSE(INDEX(_xlfn._xlws.FILTER(INDIRECT("SubcategoriesTable[Subcategory name]"),INDIRECT("SubcategoriesTable[Category name]")=$B26),,)),_xlfn.CONCAT("No subcategories for"," ", $B26))</f>
        <v>0</v>
      </c>
      <c r="D26">
        <f ca="1"/>
        <v>0</v>
      </c>
      <c r="E26">
        <f ca="1"/>
        <v>0</v>
      </c>
      <c r="F26">
        <f ca="1"/>
        <v>0</v>
      </c>
      <c r="G26">
        <f ca="1"/>
        <v>0</v>
      </c>
      <c r="H26">
        <f ca="1"/>
        <v>0</v>
      </c>
      <c r="I26">
        <f ca="1"/>
        <v>0</v>
      </c>
      <c r="J26">
        <f ca="1"/>
        <v>0</v>
      </c>
      <c r="K26">
        <f ca="1"/>
        <v>0</v>
      </c>
      <c r="L26">
        <f ca="1"/>
        <v>0</v>
      </c>
      <c r="M26">
        <f ca="1"/>
        <v>0</v>
      </c>
      <c r="N26">
        <f ca="1"/>
        <v>0</v>
      </c>
      <c r="O26">
        <f ca="1"/>
        <v>0</v>
      </c>
      <c r="P26">
        <f ca="1"/>
        <v>0</v>
      </c>
      <c r="Q26">
        <f ca="1"/>
        <v>0</v>
      </c>
      <c r="R26">
        <f ca="1"/>
        <v>0</v>
      </c>
      <c r="S26">
        <f ca="1"/>
        <v>0</v>
      </c>
      <c r="T26">
        <f ca="1"/>
        <v>0</v>
      </c>
      <c r="U26">
        <f ca="1"/>
        <v>0</v>
      </c>
      <c r="V26">
        <f ca="1"/>
        <v>0</v>
      </c>
      <c r="W26">
        <f ca="1"/>
        <v>0</v>
      </c>
      <c r="X26">
        <f ca="1"/>
        <v>0</v>
      </c>
      <c r="Y26">
        <f ca="1"/>
        <v>0</v>
      </c>
      <c r="Z26">
        <f ca="1"/>
        <v>0</v>
      </c>
      <c r="AA26">
        <f ca="1"/>
        <v>0</v>
      </c>
      <c r="AB26">
        <f ca="1"/>
        <v>0</v>
      </c>
      <c r="AC26">
        <f ca="1"/>
        <v>0</v>
      </c>
      <c r="AD26">
        <f ca="1"/>
        <v>0</v>
      </c>
      <c r="AE26">
        <f ca="1"/>
        <v>0</v>
      </c>
      <c r="AF26">
        <f ca="1"/>
        <v>0</v>
      </c>
      <c r="AG26">
        <f ca="1"/>
        <v>0</v>
      </c>
      <c r="AH26">
        <f ca="1"/>
        <v>0</v>
      </c>
      <c r="AI26">
        <f ca="1"/>
        <v>0</v>
      </c>
      <c r="AJ26">
        <f ca="1"/>
        <v>0</v>
      </c>
      <c r="AK26">
        <f ca="1"/>
        <v>0</v>
      </c>
      <c r="AL26">
        <f ca="1"/>
        <v>0</v>
      </c>
      <c r="AM26">
        <f ca="1"/>
        <v>0</v>
      </c>
      <c r="AN26">
        <f ca="1"/>
        <v>0</v>
      </c>
      <c r="AO26">
        <f ca="1"/>
        <v>0</v>
      </c>
      <c r="AP26">
        <f ca="1"/>
        <v>0</v>
      </c>
      <c r="AQ26">
        <f ca="1"/>
        <v>0</v>
      </c>
      <c r="AR26">
        <f ca="1"/>
        <v>0</v>
      </c>
      <c r="AS26">
        <f ca="1"/>
        <v>0</v>
      </c>
      <c r="AT26">
        <f ca="1"/>
        <v>0</v>
      </c>
      <c r="AU26">
        <f ca="1"/>
        <v>0</v>
      </c>
      <c r="AV26">
        <f ca="1"/>
        <v>0</v>
      </c>
      <c r="AW26">
        <f ca="1"/>
        <v>0</v>
      </c>
      <c r="AX26">
        <f ca="1"/>
        <v>0</v>
      </c>
      <c r="AY26">
        <f ca="1"/>
        <v>0</v>
      </c>
      <c r="AZ26">
        <f ca="1"/>
        <v>0</v>
      </c>
      <c r="BA26">
        <f ca="1"/>
        <v>0</v>
      </c>
      <c r="BB26">
        <f ca="1"/>
        <v>0</v>
      </c>
      <c r="BC26">
        <f ca="1"/>
        <v>0</v>
      </c>
      <c r="BD26">
        <f ca="1"/>
        <v>0</v>
      </c>
      <c r="BE26">
        <f ca="1"/>
        <v>0</v>
      </c>
      <c r="BF26">
        <f ca="1"/>
        <v>0</v>
      </c>
      <c r="BG26">
        <f ca="1"/>
        <v>0</v>
      </c>
      <c r="BH26">
        <f ca="1"/>
        <v>0</v>
      </c>
      <c r="BI26">
        <f ca="1"/>
        <v>0</v>
      </c>
      <c r="BJ26">
        <f ca="1"/>
        <v>0</v>
      </c>
      <c r="BK26">
        <f ca="1"/>
        <v>0</v>
      </c>
      <c r="BL26">
        <f ca="1"/>
        <v>0</v>
      </c>
      <c r="BM26">
        <f ca="1"/>
        <v>0</v>
      </c>
      <c r="BN26">
        <f ca="1"/>
        <v>0</v>
      </c>
      <c r="BO26">
        <f ca="1"/>
        <v>0</v>
      </c>
      <c r="BP26">
        <f ca="1"/>
        <v>0</v>
      </c>
      <c r="BQ26">
        <f ca="1"/>
        <v>0</v>
      </c>
      <c r="BR26">
        <f ca="1"/>
        <v>0</v>
      </c>
      <c r="BS26">
        <f ca="1"/>
        <v>0</v>
      </c>
      <c r="BT26">
        <f ca="1"/>
        <v>0</v>
      </c>
      <c r="BU26">
        <f ca="1"/>
        <v>0</v>
      </c>
      <c r="BV26">
        <f ca="1"/>
        <v>0</v>
      </c>
      <c r="BW26">
        <f ca="1"/>
        <v>0</v>
      </c>
      <c r="BX26">
        <f ca="1"/>
        <v>0</v>
      </c>
      <c r="BY26">
        <f ca="1"/>
        <v>0</v>
      </c>
      <c r="BZ26">
        <f ca="1"/>
        <v>0</v>
      </c>
      <c r="CA26">
        <f ca="1"/>
        <v>0</v>
      </c>
      <c r="CB26">
        <f ca="1"/>
        <v>0</v>
      </c>
      <c r="CC26">
        <f ca="1"/>
        <v>0</v>
      </c>
      <c r="CD26">
        <f ca="1"/>
        <v>0</v>
      </c>
      <c r="CE26">
        <f ca="1"/>
        <v>0</v>
      </c>
      <c r="CF26">
        <f ca="1"/>
        <v>0</v>
      </c>
      <c r="CG26">
        <f ca="1"/>
        <v>0</v>
      </c>
      <c r="CH26">
        <f ca="1"/>
        <v>0</v>
      </c>
      <c r="CI26">
        <f ca="1"/>
        <v>0</v>
      </c>
      <c r="CJ26">
        <f ca="1"/>
        <v>0</v>
      </c>
      <c r="CK26">
        <f ca="1"/>
        <v>0</v>
      </c>
      <c r="CL26">
        <f ca="1"/>
        <v>0</v>
      </c>
      <c r="CM26">
        <f ca="1"/>
        <v>0</v>
      </c>
      <c r="CN26">
        <f ca="1"/>
        <v>0</v>
      </c>
      <c r="CO26">
        <f ca="1"/>
        <v>0</v>
      </c>
      <c r="CP26">
        <f ca="1"/>
        <v>0</v>
      </c>
    </row>
    <row r="27" spans="2:94" x14ac:dyDescent="0.25">
      <c r="C27" cm="1">
        <f t="array" aca="1" ref="C27:CP27" ca="1">IFERROR(TRANSPOSE(INDEX(_xlfn._xlws.FILTER(INDIRECT("SubcategoriesTable[Subcategory name]"),INDIRECT("SubcategoriesTable[Category name]")=$B27),,)),_xlfn.CONCAT("No subcategories for"," ", $B27))</f>
        <v>0</v>
      </c>
      <c r="D27">
        <f ca="1"/>
        <v>0</v>
      </c>
      <c r="E27">
        <f ca="1"/>
        <v>0</v>
      </c>
      <c r="F27">
        <f ca="1"/>
        <v>0</v>
      </c>
      <c r="G27">
        <f ca="1"/>
        <v>0</v>
      </c>
      <c r="H27">
        <f ca="1"/>
        <v>0</v>
      </c>
      <c r="I27">
        <f ca="1"/>
        <v>0</v>
      </c>
      <c r="J27">
        <f ca="1"/>
        <v>0</v>
      </c>
      <c r="K27">
        <f ca="1"/>
        <v>0</v>
      </c>
      <c r="L27">
        <f ca="1"/>
        <v>0</v>
      </c>
      <c r="M27">
        <f ca="1"/>
        <v>0</v>
      </c>
      <c r="N27">
        <f ca="1"/>
        <v>0</v>
      </c>
      <c r="O27">
        <f ca="1"/>
        <v>0</v>
      </c>
      <c r="P27">
        <f ca="1"/>
        <v>0</v>
      </c>
      <c r="Q27">
        <f ca="1"/>
        <v>0</v>
      </c>
      <c r="R27">
        <f ca="1"/>
        <v>0</v>
      </c>
      <c r="S27">
        <f ca="1"/>
        <v>0</v>
      </c>
      <c r="T27">
        <f ca="1"/>
        <v>0</v>
      </c>
      <c r="U27">
        <f ca="1"/>
        <v>0</v>
      </c>
      <c r="V27">
        <f ca="1"/>
        <v>0</v>
      </c>
      <c r="W27">
        <f ca="1"/>
        <v>0</v>
      </c>
      <c r="X27">
        <f ca="1"/>
        <v>0</v>
      </c>
      <c r="Y27">
        <f ca="1"/>
        <v>0</v>
      </c>
      <c r="Z27">
        <f ca="1"/>
        <v>0</v>
      </c>
      <c r="AA27">
        <f ca="1"/>
        <v>0</v>
      </c>
      <c r="AB27">
        <f ca="1"/>
        <v>0</v>
      </c>
      <c r="AC27">
        <f ca="1"/>
        <v>0</v>
      </c>
      <c r="AD27">
        <f ca="1"/>
        <v>0</v>
      </c>
      <c r="AE27">
        <f ca="1"/>
        <v>0</v>
      </c>
      <c r="AF27">
        <f ca="1"/>
        <v>0</v>
      </c>
      <c r="AG27">
        <f ca="1"/>
        <v>0</v>
      </c>
      <c r="AH27">
        <f ca="1"/>
        <v>0</v>
      </c>
      <c r="AI27">
        <f ca="1"/>
        <v>0</v>
      </c>
      <c r="AJ27">
        <f ca="1"/>
        <v>0</v>
      </c>
      <c r="AK27">
        <f ca="1"/>
        <v>0</v>
      </c>
      <c r="AL27">
        <f ca="1"/>
        <v>0</v>
      </c>
      <c r="AM27">
        <f ca="1"/>
        <v>0</v>
      </c>
      <c r="AN27">
        <f ca="1"/>
        <v>0</v>
      </c>
      <c r="AO27">
        <f ca="1"/>
        <v>0</v>
      </c>
      <c r="AP27">
        <f ca="1"/>
        <v>0</v>
      </c>
      <c r="AQ27">
        <f ca="1"/>
        <v>0</v>
      </c>
      <c r="AR27">
        <f ca="1"/>
        <v>0</v>
      </c>
      <c r="AS27">
        <f ca="1"/>
        <v>0</v>
      </c>
      <c r="AT27">
        <f ca="1"/>
        <v>0</v>
      </c>
      <c r="AU27">
        <f ca="1"/>
        <v>0</v>
      </c>
      <c r="AV27">
        <f ca="1"/>
        <v>0</v>
      </c>
      <c r="AW27">
        <f ca="1"/>
        <v>0</v>
      </c>
      <c r="AX27">
        <f ca="1"/>
        <v>0</v>
      </c>
      <c r="AY27">
        <f ca="1"/>
        <v>0</v>
      </c>
      <c r="AZ27">
        <f ca="1"/>
        <v>0</v>
      </c>
      <c r="BA27">
        <f ca="1"/>
        <v>0</v>
      </c>
      <c r="BB27">
        <f ca="1"/>
        <v>0</v>
      </c>
      <c r="BC27">
        <f ca="1"/>
        <v>0</v>
      </c>
      <c r="BD27">
        <f ca="1"/>
        <v>0</v>
      </c>
      <c r="BE27">
        <f ca="1"/>
        <v>0</v>
      </c>
      <c r="BF27">
        <f ca="1"/>
        <v>0</v>
      </c>
      <c r="BG27">
        <f ca="1"/>
        <v>0</v>
      </c>
      <c r="BH27">
        <f ca="1"/>
        <v>0</v>
      </c>
      <c r="BI27">
        <f ca="1"/>
        <v>0</v>
      </c>
      <c r="BJ27">
        <f ca="1"/>
        <v>0</v>
      </c>
      <c r="BK27">
        <f ca="1"/>
        <v>0</v>
      </c>
      <c r="BL27">
        <f ca="1"/>
        <v>0</v>
      </c>
      <c r="BM27">
        <f ca="1"/>
        <v>0</v>
      </c>
      <c r="BN27">
        <f ca="1"/>
        <v>0</v>
      </c>
      <c r="BO27">
        <f ca="1"/>
        <v>0</v>
      </c>
      <c r="BP27">
        <f ca="1"/>
        <v>0</v>
      </c>
      <c r="BQ27">
        <f ca="1"/>
        <v>0</v>
      </c>
      <c r="BR27">
        <f ca="1"/>
        <v>0</v>
      </c>
      <c r="BS27">
        <f ca="1"/>
        <v>0</v>
      </c>
      <c r="BT27">
        <f ca="1"/>
        <v>0</v>
      </c>
      <c r="BU27">
        <f ca="1"/>
        <v>0</v>
      </c>
      <c r="BV27">
        <f ca="1"/>
        <v>0</v>
      </c>
      <c r="BW27">
        <f ca="1"/>
        <v>0</v>
      </c>
      <c r="BX27">
        <f ca="1"/>
        <v>0</v>
      </c>
      <c r="BY27">
        <f ca="1"/>
        <v>0</v>
      </c>
      <c r="BZ27">
        <f ca="1"/>
        <v>0</v>
      </c>
      <c r="CA27">
        <f ca="1"/>
        <v>0</v>
      </c>
      <c r="CB27">
        <f ca="1"/>
        <v>0</v>
      </c>
      <c r="CC27">
        <f ca="1"/>
        <v>0</v>
      </c>
      <c r="CD27">
        <f ca="1"/>
        <v>0</v>
      </c>
      <c r="CE27">
        <f ca="1"/>
        <v>0</v>
      </c>
      <c r="CF27">
        <f ca="1"/>
        <v>0</v>
      </c>
      <c r="CG27">
        <f ca="1"/>
        <v>0</v>
      </c>
      <c r="CH27">
        <f ca="1"/>
        <v>0</v>
      </c>
      <c r="CI27">
        <f ca="1"/>
        <v>0</v>
      </c>
      <c r="CJ27">
        <f ca="1"/>
        <v>0</v>
      </c>
      <c r="CK27">
        <f ca="1"/>
        <v>0</v>
      </c>
      <c r="CL27">
        <f ca="1"/>
        <v>0</v>
      </c>
      <c r="CM27">
        <f ca="1"/>
        <v>0</v>
      </c>
      <c r="CN27">
        <f ca="1"/>
        <v>0</v>
      </c>
      <c r="CO27">
        <f ca="1"/>
        <v>0</v>
      </c>
      <c r="CP27">
        <f ca="1"/>
        <v>0</v>
      </c>
    </row>
    <row r="28" spans="2:94" x14ac:dyDescent="0.25">
      <c r="C28" cm="1">
        <f t="array" aca="1" ref="C28:CP28" ca="1">IFERROR(TRANSPOSE(INDEX(_xlfn._xlws.FILTER(INDIRECT("SubcategoriesTable[Subcategory name]"),INDIRECT("SubcategoriesTable[Category name]")=$B28),,)),_xlfn.CONCAT("No subcategories for"," ", $B28))</f>
        <v>0</v>
      </c>
      <c r="D28">
        <f ca="1"/>
        <v>0</v>
      </c>
      <c r="E28">
        <f ca="1"/>
        <v>0</v>
      </c>
      <c r="F28">
        <f ca="1"/>
        <v>0</v>
      </c>
      <c r="G28">
        <f ca="1"/>
        <v>0</v>
      </c>
      <c r="H28">
        <f ca="1"/>
        <v>0</v>
      </c>
      <c r="I28">
        <f ca="1"/>
        <v>0</v>
      </c>
      <c r="J28">
        <f ca="1"/>
        <v>0</v>
      </c>
      <c r="K28">
        <f ca="1"/>
        <v>0</v>
      </c>
      <c r="L28">
        <f ca="1"/>
        <v>0</v>
      </c>
      <c r="M28">
        <f ca="1"/>
        <v>0</v>
      </c>
      <c r="N28">
        <f ca="1"/>
        <v>0</v>
      </c>
      <c r="O28">
        <f ca="1"/>
        <v>0</v>
      </c>
      <c r="P28">
        <f ca="1"/>
        <v>0</v>
      </c>
      <c r="Q28">
        <f ca="1"/>
        <v>0</v>
      </c>
      <c r="R28">
        <f ca="1"/>
        <v>0</v>
      </c>
      <c r="S28">
        <f ca="1"/>
        <v>0</v>
      </c>
      <c r="T28">
        <f ca="1"/>
        <v>0</v>
      </c>
      <c r="U28">
        <f ca="1"/>
        <v>0</v>
      </c>
      <c r="V28">
        <f ca="1"/>
        <v>0</v>
      </c>
      <c r="W28">
        <f ca="1"/>
        <v>0</v>
      </c>
      <c r="X28">
        <f ca="1"/>
        <v>0</v>
      </c>
      <c r="Y28">
        <f ca="1"/>
        <v>0</v>
      </c>
      <c r="Z28">
        <f ca="1"/>
        <v>0</v>
      </c>
      <c r="AA28">
        <f ca="1"/>
        <v>0</v>
      </c>
      <c r="AB28">
        <f ca="1"/>
        <v>0</v>
      </c>
      <c r="AC28">
        <f ca="1"/>
        <v>0</v>
      </c>
      <c r="AD28">
        <f ca="1"/>
        <v>0</v>
      </c>
      <c r="AE28">
        <f ca="1"/>
        <v>0</v>
      </c>
      <c r="AF28">
        <f ca="1"/>
        <v>0</v>
      </c>
      <c r="AG28">
        <f ca="1"/>
        <v>0</v>
      </c>
      <c r="AH28">
        <f ca="1"/>
        <v>0</v>
      </c>
      <c r="AI28">
        <f ca="1"/>
        <v>0</v>
      </c>
      <c r="AJ28">
        <f ca="1"/>
        <v>0</v>
      </c>
      <c r="AK28">
        <f ca="1"/>
        <v>0</v>
      </c>
      <c r="AL28">
        <f ca="1"/>
        <v>0</v>
      </c>
      <c r="AM28">
        <f ca="1"/>
        <v>0</v>
      </c>
      <c r="AN28">
        <f ca="1"/>
        <v>0</v>
      </c>
      <c r="AO28">
        <f ca="1"/>
        <v>0</v>
      </c>
      <c r="AP28">
        <f ca="1"/>
        <v>0</v>
      </c>
      <c r="AQ28">
        <f ca="1"/>
        <v>0</v>
      </c>
      <c r="AR28">
        <f ca="1"/>
        <v>0</v>
      </c>
      <c r="AS28">
        <f ca="1"/>
        <v>0</v>
      </c>
      <c r="AT28">
        <f ca="1"/>
        <v>0</v>
      </c>
      <c r="AU28">
        <f ca="1"/>
        <v>0</v>
      </c>
      <c r="AV28">
        <f ca="1"/>
        <v>0</v>
      </c>
      <c r="AW28">
        <f ca="1"/>
        <v>0</v>
      </c>
      <c r="AX28">
        <f ca="1"/>
        <v>0</v>
      </c>
      <c r="AY28">
        <f ca="1"/>
        <v>0</v>
      </c>
      <c r="AZ28">
        <f ca="1"/>
        <v>0</v>
      </c>
      <c r="BA28">
        <f ca="1"/>
        <v>0</v>
      </c>
      <c r="BB28">
        <f ca="1"/>
        <v>0</v>
      </c>
      <c r="BC28">
        <f ca="1"/>
        <v>0</v>
      </c>
      <c r="BD28">
        <f ca="1"/>
        <v>0</v>
      </c>
      <c r="BE28">
        <f ca="1"/>
        <v>0</v>
      </c>
      <c r="BF28">
        <f ca="1"/>
        <v>0</v>
      </c>
      <c r="BG28">
        <f ca="1"/>
        <v>0</v>
      </c>
      <c r="BH28">
        <f ca="1"/>
        <v>0</v>
      </c>
      <c r="BI28">
        <f ca="1"/>
        <v>0</v>
      </c>
      <c r="BJ28">
        <f ca="1"/>
        <v>0</v>
      </c>
      <c r="BK28">
        <f ca="1"/>
        <v>0</v>
      </c>
      <c r="BL28">
        <f ca="1"/>
        <v>0</v>
      </c>
      <c r="BM28">
        <f ca="1"/>
        <v>0</v>
      </c>
      <c r="BN28">
        <f ca="1"/>
        <v>0</v>
      </c>
      <c r="BO28">
        <f ca="1"/>
        <v>0</v>
      </c>
      <c r="BP28">
        <f ca="1"/>
        <v>0</v>
      </c>
      <c r="BQ28">
        <f ca="1"/>
        <v>0</v>
      </c>
      <c r="BR28">
        <f ca="1"/>
        <v>0</v>
      </c>
      <c r="BS28">
        <f ca="1"/>
        <v>0</v>
      </c>
      <c r="BT28">
        <f ca="1"/>
        <v>0</v>
      </c>
      <c r="BU28">
        <f ca="1"/>
        <v>0</v>
      </c>
      <c r="BV28">
        <f ca="1"/>
        <v>0</v>
      </c>
      <c r="BW28">
        <f ca="1"/>
        <v>0</v>
      </c>
      <c r="BX28">
        <f ca="1"/>
        <v>0</v>
      </c>
      <c r="BY28">
        <f ca="1"/>
        <v>0</v>
      </c>
      <c r="BZ28">
        <f ca="1"/>
        <v>0</v>
      </c>
      <c r="CA28">
        <f ca="1"/>
        <v>0</v>
      </c>
      <c r="CB28">
        <f ca="1"/>
        <v>0</v>
      </c>
      <c r="CC28">
        <f ca="1"/>
        <v>0</v>
      </c>
      <c r="CD28">
        <f ca="1"/>
        <v>0</v>
      </c>
      <c r="CE28">
        <f ca="1"/>
        <v>0</v>
      </c>
      <c r="CF28">
        <f ca="1"/>
        <v>0</v>
      </c>
      <c r="CG28">
        <f ca="1"/>
        <v>0</v>
      </c>
      <c r="CH28">
        <f ca="1"/>
        <v>0</v>
      </c>
      <c r="CI28">
        <f ca="1"/>
        <v>0</v>
      </c>
      <c r="CJ28">
        <f ca="1"/>
        <v>0</v>
      </c>
      <c r="CK28">
        <f ca="1"/>
        <v>0</v>
      </c>
      <c r="CL28">
        <f ca="1"/>
        <v>0</v>
      </c>
      <c r="CM28">
        <f ca="1"/>
        <v>0</v>
      </c>
      <c r="CN28">
        <f ca="1"/>
        <v>0</v>
      </c>
      <c r="CO28">
        <f ca="1"/>
        <v>0</v>
      </c>
      <c r="CP28">
        <f ca="1"/>
        <v>0</v>
      </c>
    </row>
    <row r="29" spans="2:94" x14ac:dyDescent="0.25">
      <c r="C29" cm="1">
        <f t="array" aca="1" ref="C29:CP29" ca="1">IFERROR(TRANSPOSE(INDEX(_xlfn._xlws.FILTER(INDIRECT("SubcategoriesTable[Subcategory name]"),INDIRECT("SubcategoriesTable[Category name]")=$B29),,)),_xlfn.CONCAT("No subcategories for"," ", $B29))</f>
        <v>0</v>
      </c>
      <c r="D29">
        <f ca="1"/>
        <v>0</v>
      </c>
      <c r="E29">
        <f ca="1"/>
        <v>0</v>
      </c>
      <c r="F29">
        <f ca="1"/>
        <v>0</v>
      </c>
      <c r="G29">
        <f ca="1"/>
        <v>0</v>
      </c>
      <c r="H29">
        <f ca="1"/>
        <v>0</v>
      </c>
      <c r="I29">
        <f ca="1"/>
        <v>0</v>
      </c>
      <c r="J29">
        <f ca="1"/>
        <v>0</v>
      </c>
      <c r="K29">
        <f ca="1"/>
        <v>0</v>
      </c>
      <c r="L29">
        <f ca="1"/>
        <v>0</v>
      </c>
      <c r="M29">
        <f ca="1"/>
        <v>0</v>
      </c>
      <c r="N29">
        <f ca="1"/>
        <v>0</v>
      </c>
      <c r="O29">
        <f ca="1"/>
        <v>0</v>
      </c>
      <c r="P29">
        <f ca="1"/>
        <v>0</v>
      </c>
      <c r="Q29">
        <f ca="1"/>
        <v>0</v>
      </c>
      <c r="R29">
        <f ca="1"/>
        <v>0</v>
      </c>
      <c r="S29">
        <f ca="1"/>
        <v>0</v>
      </c>
      <c r="T29">
        <f ca="1"/>
        <v>0</v>
      </c>
      <c r="U29">
        <f ca="1"/>
        <v>0</v>
      </c>
      <c r="V29">
        <f ca="1"/>
        <v>0</v>
      </c>
      <c r="W29">
        <f ca="1"/>
        <v>0</v>
      </c>
      <c r="X29">
        <f ca="1"/>
        <v>0</v>
      </c>
      <c r="Y29">
        <f ca="1"/>
        <v>0</v>
      </c>
      <c r="Z29">
        <f ca="1"/>
        <v>0</v>
      </c>
      <c r="AA29">
        <f ca="1"/>
        <v>0</v>
      </c>
      <c r="AB29">
        <f ca="1"/>
        <v>0</v>
      </c>
      <c r="AC29">
        <f ca="1"/>
        <v>0</v>
      </c>
      <c r="AD29">
        <f ca="1"/>
        <v>0</v>
      </c>
      <c r="AE29">
        <f ca="1"/>
        <v>0</v>
      </c>
      <c r="AF29">
        <f ca="1"/>
        <v>0</v>
      </c>
      <c r="AG29">
        <f ca="1"/>
        <v>0</v>
      </c>
      <c r="AH29">
        <f ca="1"/>
        <v>0</v>
      </c>
      <c r="AI29">
        <f ca="1"/>
        <v>0</v>
      </c>
      <c r="AJ29">
        <f ca="1"/>
        <v>0</v>
      </c>
      <c r="AK29">
        <f ca="1"/>
        <v>0</v>
      </c>
      <c r="AL29">
        <f ca="1"/>
        <v>0</v>
      </c>
      <c r="AM29">
        <f ca="1"/>
        <v>0</v>
      </c>
      <c r="AN29">
        <f ca="1"/>
        <v>0</v>
      </c>
      <c r="AO29">
        <f ca="1"/>
        <v>0</v>
      </c>
      <c r="AP29">
        <f ca="1"/>
        <v>0</v>
      </c>
      <c r="AQ29">
        <f ca="1"/>
        <v>0</v>
      </c>
      <c r="AR29">
        <f ca="1"/>
        <v>0</v>
      </c>
      <c r="AS29">
        <f ca="1"/>
        <v>0</v>
      </c>
      <c r="AT29">
        <f ca="1"/>
        <v>0</v>
      </c>
      <c r="AU29">
        <f ca="1"/>
        <v>0</v>
      </c>
      <c r="AV29">
        <f ca="1"/>
        <v>0</v>
      </c>
      <c r="AW29">
        <f ca="1"/>
        <v>0</v>
      </c>
      <c r="AX29">
        <f ca="1"/>
        <v>0</v>
      </c>
      <c r="AY29">
        <f ca="1"/>
        <v>0</v>
      </c>
      <c r="AZ29">
        <f ca="1"/>
        <v>0</v>
      </c>
      <c r="BA29">
        <f ca="1"/>
        <v>0</v>
      </c>
      <c r="BB29">
        <f ca="1"/>
        <v>0</v>
      </c>
      <c r="BC29">
        <f ca="1"/>
        <v>0</v>
      </c>
      <c r="BD29">
        <f ca="1"/>
        <v>0</v>
      </c>
      <c r="BE29">
        <f ca="1"/>
        <v>0</v>
      </c>
      <c r="BF29">
        <f ca="1"/>
        <v>0</v>
      </c>
      <c r="BG29">
        <f ca="1"/>
        <v>0</v>
      </c>
      <c r="BH29">
        <f ca="1"/>
        <v>0</v>
      </c>
      <c r="BI29">
        <f ca="1"/>
        <v>0</v>
      </c>
      <c r="BJ29">
        <f ca="1"/>
        <v>0</v>
      </c>
      <c r="BK29">
        <f ca="1"/>
        <v>0</v>
      </c>
      <c r="BL29">
        <f ca="1"/>
        <v>0</v>
      </c>
      <c r="BM29">
        <f ca="1"/>
        <v>0</v>
      </c>
      <c r="BN29">
        <f ca="1"/>
        <v>0</v>
      </c>
      <c r="BO29">
        <f ca="1"/>
        <v>0</v>
      </c>
      <c r="BP29">
        <f ca="1"/>
        <v>0</v>
      </c>
      <c r="BQ29">
        <f ca="1"/>
        <v>0</v>
      </c>
      <c r="BR29">
        <f ca="1"/>
        <v>0</v>
      </c>
      <c r="BS29">
        <f ca="1"/>
        <v>0</v>
      </c>
      <c r="BT29">
        <f ca="1"/>
        <v>0</v>
      </c>
      <c r="BU29">
        <f ca="1"/>
        <v>0</v>
      </c>
      <c r="BV29">
        <f ca="1"/>
        <v>0</v>
      </c>
      <c r="BW29">
        <f ca="1"/>
        <v>0</v>
      </c>
      <c r="BX29">
        <f ca="1"/>
        <v>0</v>
      </c>
      <c r="BY29">
        <f ca="1"/>
        <v>0</v>
      </c>
      <c r="BZ29">
        <f ca="1"/>
        <v>0</v>
      </c>
      <c r="CA29">
        <f ca="1"/>
        <v>0</v>
      </c>
      <c r="CB29">
        <f ca="1"/>
        <v>0</v>
      </c>
      <c r="CC29">
        <f ca="1"/>
        <v>0</v>
      </c>
      <c r="CD29">
        <f ca="1"/>
        <v>0</v>
      </c>
      <c r="CE29">
        <f ca="1"/>
        <v>0</v>
      </c>
      <c r="CF29">
        <f ca="1"/>
        <v>0</v>
      </c>
      <c r="CG29">
        <f ca="1"/>
        <v>0</v>
      </c>
      <c r="CH29">
        <f ca="1"/>
        <v>0</v>
      </c>
      <c r="CI29">
        <f ca="1"/>
        <v>0</v>
      </c>
      <c r="CJ29">
        <f ca="1"/>
        <v>0</v>
      </c>
      <c r="CK29">
        <f ca="1"/>
        <v>0</v>
      </c>
      <c r="CL29">
        <f ca="1"/>
        <v>0</v>
      </c>
      <c r="CM29">
        <f ca="1"/>
        <v>0</v>
      </c>
      <c r="CN29">
        <f ca="1"/>
        <v>0</v>
      </c>
      <c r="CO29">
        <f ca="1"/>
        <v>0</v>
      </c>
      <c r="CP29">
        <f ca="1"/>
        <v>0</v>
      </c>
    </row>
    <row r="30" spans="2:94" x14ac:dyDescent="0.25">
      <c r="C30" cm="1">
        <f t="array" aca="1" ref="C30:CP30" ca="1">IFERROR(TRANSPOSE(INDEX(_xlfn._xlws.FILTER(INDIRECT("SubcategoriesTable[Subcategory name]"),INDIRECT("SubcategoriesTable[Category name]")=$B30),,)),_xlfn.CONCAT("No subcategories for"," ", $B30))</f>
        <v>0</v>
      </c>
      <c r="D30">
        <f ca="1"/>
        <v>0</v>
      </c>
      <c r="E30">
        <f ca="1"/>
        <v>0</v>
      </c>
      <c r="F30">
        <f ca="1"/>
        <v>0</v>
      </c>
      <c r="G30">
        <f ca="1"/>
        <v>0</v>
      </c>
      <c r="H30">
        <f ca="1"/>
        <v>0</v>
      </c>
      <c r="I30">
        <f ca="1"/>
        <v>0</v>
      </c>
      <c r="J30">
        <f ca="1"/>
        <v>0</v>
      </c>
      <c r="K30">
        <f ca="1"/>
        <v>0</v>
      </c>
      <c r="L30">
        <f ca="1"/>
        <v>0</v>
      </c>
      <c r="M30">
        <f ca="1"/>
        <v>0</v>
      </c>
      <c r="N30">
        <f ca="1"/>
        <v>0</v>
      </c>
      <c r="O30">
        <f ca="1"/>
        <v>0</v>
      </c>
      <c r="P30">
        <f ca="1"/>
        <v>0</v>
      </c>
      <c r="Q30">
        <f ca="1"/>
        <v>0</v>
      </c>
      <c r="R30">
        <f ca="1"/>
        <v>0</v>
      </c>
      <c r="S30">
        <f ca="1"/>
        <v>0</v>
      </c>
      <c r="T30">
        <f ca="1"/>
        <v>0</v>
      </c>
      <c r="U30">
        <f ca="1"/>
        <v>0</v>
      </c>
      <c r="V30">
        <f ca="1"/>
        <v>0</v>
      </c>
      <c r="W30">
        <f ca="1"/>
        <v>0</v>
      </c>
      <c r="X30">
        <f ca="1"/>
        <v>0</v>
      </c>
      <c r="Y30">
        <f ca="1"/>
        <v>0</v>
      </c>
      <c r="Z30">
        <f ca="1"/>
        <v>0</v>
      </c>
      <c r="AA30">
        <f ca="1"/>
        <v>0</v>
      </c>
      <c r="AB30">
        <f ca="1"/>
        <v>0</v>
      </c>
      <c r="AC30">
        <f ca="1"/>
        <v>0</v>
      </c>
      <c r="AD30">
        <f ca="1"/>
        <v>0</v>
      </c>
      <c r="AE30">
        <f ca="1"/>
        <v>0</v>
      </c>
      <c r="AF30">
        <f ca="1"/>
        <v>0</v>
      </c>
      <c r="AG30">
        <f ca="1"/>
        <v>0</v>
      </c>
      <c r="AH30">
        <f ca="1"/>
        <v>0</v>
      </c>
      <c r="AI30">
        <f ca="1"/>
        <v>0</v>
      </c>
      <c r="AJ30">
        <f ca="1"/>
        <v>0</v>
      </c>
      <c r="AK30">
        <f ca="1"/>
        <v>0</v>
      </c>
      <c r="AL30">
        <f ca="1"/>
        <v>0</v>
      </c>
      <c r="AM30">
        <f ca="1"/>
        <v>0</v>
      </c>
      <c r="AN30">
        <f ca="1"/>
        <v>0</v>
      </c>
      <c r="AO30">
        <f ca="1"/>
        <v>0</v>
      </c>
      <c r="AP30">
        <f ca="1"/>
        <v>0</v>
      </c>
      <c r="AQ30">
        <f ca="1"/>
        <v>0</v>
      </c>
      <c r="AR30">
        <f ca="1"/>
        <v>0</v>
      </c>
      <c r="AS30">
        <f ca="1"/>
        <v>0</v>
      </c>
      <c r="AT30">
        <f ca="1"/>
        <v>0</v>
      </c>
      <c r="AU30">
        <f ca="1"/>
        <v>0</v>
      </c>
      <c r="AV30">
        <f ca="1"/>
        <v>0</v>
      </c>
      <c r="AW30">
        <f ca="1"/>
        <v>0</v>
      </c>
      <c r="AX30">
        <f ca="1"/>
        <v>0</v>
      </c>
      <c r="AY30">
        <f ca="1"/>
        <v>0</v>
      </c>
      <c r="AZ30">
        <f ca="1"/>
        <v>0</v>
      </c>
      <c r="BA30">
        <f ca="1"/>
        <v>0</v>
      </c>
      <c r="BB30">
        <f ca="1"/>
        <v>0</v>
      </c>
      <c r="BC30">
        <f ca="1"/>
        <v>0</v>
      </c>
      <c r="BD30">
        <f ca="1"/>
        <v>0</v>
      </c>
      <c r="BE30">
        <f ca="1"/>
        <v>0</v>
      </c>
      <c r="BF30">
        <f ca="1"/>
        <v>0</v>
      </c>
      <c r="BG30">
        <f ca="1"/>
        <v>0</v>
      </c>
      <c r="BH30">
        <f ca="1"/>
        <v>0</v>
      </c>
      <c r="BI30">
        <f ca="1"/>
        <v>0</v>
      </c>
      <c r="BJ30">
        <f ca="1"/>
        <v>0</v>
      </c>
      <c r="BK30">
        <f ca="1"/>
        <v>0</v>
      </c>
      <c r="BL30">
        <f ca="1"/>
        <v>0</v>
      </c>
      <c r="BM30">
        <f ca="1"/>
        <v>0</v>
      </c>
      <c r="BN30">
        <f ca="1"/>
        <v>0</v>
      </c>
      <c r="BO30">
        <f ca="1"/>
        <v>0</v>
      </c>
      <c r="BP30">
        <f ca="1"/>
        <v>0</v>
      </c>
      <c r="BQ30">
        <f ca="1"/>
        <v>0</v>
      </c>
      <c r="BR30">
        <f ca="1"/>
        <v>0</v>
      </c>
      <c r="BS30">
        <f ca="1"/>
        <v>0</v>
      </c>
      <c r="BT30">
        <f ca="1"/>
        <v>0</v>
      </c>
      <c r="BU30">
        <f ca="1"/>
        <v>0</v>
      </c>
      <c r="BV30">
        <f ca="1"/>
        <v>0</v>
      </c>
      <c r="BW30">
        <f ca="1"/>
        <v>0</v>
      </c>
      <c r="BX30">
        <f ca="1"/>
        <v>0</v>
      </c>
      <c r="BY30">
        <f ca="1"/>
        <v>0</v>
      </c>
      <c r="BZ30">
        <f ca="1"/>
        <v>0</v>
      </c>
      <c r="CA30">
        <f ca="1"/>
        <v>0</v>
      </c>
      <c r="CB30">
        <f ca="1"/>
        <v>0</v>
      </c>
      <c r="CC30">
        <f ca="1"/>
        <v>0</v>
      </c>
      <c r="CD30">
        <f ca="1"/>
        <v>0</v>
      </c>
      <c r="CE30">
        <f ca="1"/>
        <v>0</v>
      </c>
      <c r="CF30">
        <f ca="1"/>
        <v>0</v>
      </c>
      <c r="CG30">
        <f ca="1"/>
        <v>0</v>
      </c>
      <c r="CH30">
        <f ca="1"/>
        <v>0</v>
      </c>
      <c r="CI30">
        <f ca="1"/>
        <v>0</v>
      </c>
      <c r="CJ30">
        <f ca="1"/>
        <v>0</v>
      </c>
      <c r="CK30">
        <f ca="1"/>
        <v>0</v>
      </c>
      <c r="CL30">
        <f ca="1"/>
        <v>0</v>
      </c>
      <c r="CM30">
        <f ca="1"/>
        <v>0</v>
      </c>
      <c r="CN30">
        <f ca="1"/>
        <v>0</v>
      </c>
      <c r="CO30">
        <f ca="1"/>
        <v>0</v>
      </c>
      <c r="CP30">
        <f ca="1"/>
        <v>0</v>
      </c>
    </row>
    <row r="31" spans="2:94" x14ac:dyDescent="0.25">
      <c r="C31" cm="1">
        <f t="array" aca="1" ref="C31:CP31" ca="1">IFERROR(TRANSPOSE(INDEX(_xlfn._xlws.FILTER(INDIRECT("SubcategoriesTable[Subcategory name]"),INDIRECT("SubcategoriesTable[Category name]")=$B31),,)),_xlfn.CONCAT("No subcategories for"," ", $B31))</f>
        <v>0</v>
      </c>
      <c r="D31">
        <f ca="1"/>
        <v>0</v>
      </c>
      <c r="E31">
        <f ca="1"/>
        <v>0</v>
      </c>
      <c r="F31">
        <f ca="1"/>
        <v>0</v>
      </c>
      <c r="G31">
        <f ca="1"/>
        <v>0</v>
      </c>
      <c r="H31">
        <f ca="1"/>
        <v>0</v>
      </c>
      <c r="I31">
        <f ca="1"/>
        <v>0</v>
      </c>
      <c r="J31">
        <f ca="1"/>
        <v>0</v>
      </c>
      <c r="K31">
        <f ca="1"/>
        <v>0</v>
      </c>
      <c r="L31">
        <f ca="1"/>
        <v>0</v>
      </c>
      <c r="M31">
        <f ca="1"/>
        <v>0</v>
      </c>
      <c r="N31">
        <f ca="1"/>
        <v>0</v>
      </c>
      <c r="O31">
        <f ca="1"/>
        <v>0</v>
      </c>
      <c r="P31">
        <f ca="1"/>
        <v>0</v>
      </c>
      <c r="Q31">
        <f ca="1"/>
        <v>0</v>
      </c>
      <c r="R31">
        <f ca="1"/>
        <v>0</v>
      </c>
      <c r="S31">
        <f ca="1"/>
        <v>0</v>
      </c>
      <c r="T31">
        <f ca="1"/>
        <v>0</v>
      </c>
      <c r="U31">
        <f ca="1"/>
        <v>0</v>
      </c>
      <c r="V31">
        <f ca="1"/>
        <v>0</v>
      </c>
      <c r="W31">
        <f ca="1"/>
        <v>0</v>
      </c>
      <c r="X31">
        <f ca="1"/>
        <v>0</v>
      </c>
      <c r="Y31">
        <f ca="1"/>
        <v>0</v>
      </c>
      <c r="Z31">
        <f ca="1"/>
        <v>0</v>
      </c>
      <c r="AA31">
        <f ca="1"/>
        <v>0</v>
      </c>
      <c r="AB31">
        <f ca="1"/>
        <v>0</v>
      </c>
      <c r="AC31">
        <f ca="1"/>
        <v>0</v>
      </c>
      <c r="AD31">
        <f ca="1"/>
        <v>0</v>
      </c>
      <c r="AE31">
        <f ca="1"/>
        <v>0</v>
      </c>
      <c r="AF31">
        <f ca="1"/>
        <v>0</v>
      </c>
      <c r="AG31">
        <f ca="1"/>
        <v>0</v>
      </c>
      <c r="AH31">
        <f ca="1"/>
        <v>0</v>
      </c>
      <c r="AI31">
        <f ca="1"/>
        <v>0</v>
      </c>
      <c r="AJ31">
        <f ca="1"/>
        <v>0</v>
      </c>
      <c r="AK31">
        <f ca="1"/>
        <v>0</v>
      </c>
      <c r="AL31">
        <f ca="1"/>
        <v>0</v>
      </c>
      <c r="AM31">
        <f ca="1"/>
        <v>0</v>
      </c>
      <c r="AN31">
        <f ca="1"/>
        <v>0</v>
      </c>
      <c r="AO31">
        <f ca="1"/>
        <v>0</v>
      </c>
      <c r="AP31">
        <f ca="1"/>
        <v>0</v>
      </c>
      <c r="AQ31">
        <f ca="1"/>
        <v>0</v>
      </c>
      <c r="AR31">
        <f ca="1"/>
        <v>0</v>
      </c>
      <c r="AS31">
        <f ca="1"/>
        <v>0</v>
      </c>
      <c r="AT31">
        <f ca="1"/>
        <v>0</v>
      </c>
      <c r="AU31">
        <f ca="1"/>
        <v>0</v>
      </c>
      <c r="AV31">
        <f ca="1"/>
        <v>0</v>
      </c>
      <c r="AW31">
        <f ca="1"/>
        <v>0</v>
      </c>
      <c r="AX31">
        <f ca="1"/>
        <v>0</v>
      </c>
      <c r="AY31">
        <f ca="1"/>
        <v>0</v>
      </c>
      <c r="AZ31">
        <f ca="1"/>
        <v>0</v>
      </c>
      <c r="BA31">
        <f ca="1"/>
        <v>0</v>
      </c>
      <c r="BB31">
        <f ca="1"/>
        <v>0</v>
      </c>
      <c r="BC31">
        <f ca="1"/>
        <v>0</v>
      </c>
      <c r="BD31">
        <f ca="1"/>
        <v>0</v>
      </c>
      <c r="BE31">
        <f ca="1"/>
        <v>0</v>
      </c>
      <c r="BF31">
        <f ca="1"/>
        <v>0</v>
      </c>
      <c r="BG31">
        <f ca="1"/>
        <v>0</v>
      </c>
      <c r="BH31">
        <f ca="1"/>
        <v>0</v>
      </c>
      <c r="BI31">
        <f ca="1"/>
        <v>0</v>
      </c>
      <c r="BJ31">
        <f ca="1"/>
        <v>0</v>
      </c>
      <c r="BK31">
        <f ca="1"/>
        <v>0</v>
      </c>
      <c r="BL31">
        <f ca="1"/>
        <v>0</v>
      </c>
      <c r="BM31">
        <f ca="1"/>
        <v>0</v>
      </c>
      <c r="BN31">
        <f ca="1"/>
        <v>0</v>
      </c>
      <c r="BO31">
        <f ca="1"/>
        <v>0</v>
      </c>
      <c r="BP31">
        <f ca="1"/>
        <v>0</v>
      </c>
      <c r="BQ31">
        <f ca="1"/>
        <v>0</v>
      </c>
      <c r="BR31">
        <f ca="1"/>
        <v>0</v>
      </c>
      <c r="BS31">
        <f ca="1"/>
        <v>0</v>
      </c>
      <c r="BT31">
        <f ca="1"/>
        <v>0</v>
      </c>
      <c r="BU31">
        <f ca="1"/>
        <v>0</v>
      </c>
      <c r="BV31">
        <f ca="1"/>
        <v>0</v>
      </c>
      <c r="BW31">
        <f ca="1"/>
        <v>0</v>
      </c>
      <c r="BX31">
        <f ca="1"/>
        <v>0</v>
      </c>
      <c r="BY31">
        <f ca="1"/>
        <v>0</v>
      </c>
      <c r="BZ31">
        <f ca="1"/>
        <v>0</v>
      </c>
      <c r="CA31">
        <f ca="1"/>
        <v>0</v>
      </c>
      <c r="CB31">
        <f ca="1"/>
        <v>0</v>
      </c>
      <c r="CC31">
        <f ca="1"/>
        <v>0</v>
      </c>
      <c r="CD31">
        <f ca="1"/>
        <v>0</v>
      </c>
      <c r="CE31">
        <f ca="1"/>
        <v>0</v>
      </c>
      <c r="CF31">
        <f ca="1"/>
        <v>0</v>
      </c>
      <c r="CG31">
        <f ca="1"/>
        <v>0</v>
      </c>
      <c r="CH31">
        <f ca="1"/>
        <v>0</v>
      </c>
      <c r="CI31">
        <f ca="1"/>
        <v>0</v>
      </c>
      <c r="CJ31">
        <f ca="1"/>
        <v>0</v>
      </c>
      <c r="CK31">
        <f ca="1"/>
        <v>0</v>
      </c>
      <c r="CL31">
        <f ca="1"/>
        <v>0</v>
      </c>
      <c r="CM31">
        <f ca="1"/>
        <v>0</v>
      </c>
      <c r="CN31">
        <f ca="1"/>
        <v>0</v>
      </c>
      <c r="CO31">
        <f ca="1"/>
        <v>0</v>
      </c>
      <c r="CP31">
        <f ca="1"/>
        <v>0</v>
      </c>
    </row>
    <row r="32" spans="2:94" x14ac:dyDescent="0.25">
      <c r="C32" cm="1">
        <f t="array" aca="1" ref="C32:CP32" ca="1">IFERROR(TRANSPOSE(INDEX(_xlfn._xlws.FILTER(INDIRECT("SubcategoriesTable[Subcategory name]"),INDIRECT("SubcategoriesTable[Category name]")=$B32),,)),_xlfn.CONCAT("No subcategories for"," ", $B32))</f>
        <v>0</v>
      </c>
      <c r="D32">
        <f ca="1"/>
        <v>0</v>
      </c>
      <c r="E32">
        <f ca="1"/>
        <v>0</v>
      </c>
      <c r="F32">
        <f ca="1"/>
        <v>0</v>
      </c>
      <c r="G32">
        <f ca="1"/>
        <v>0</v>
      </c>
      <c r="H32">
        <f ca="1"/>
        <v>0</v>
      </c>
      <c r="I32">
        <f ca="1"/>
        <v>0</v>
      </c>
      <c r="J32">
        <f ca="1"/>
        <v>0</v>
      </c>
      <c r="K32">
        <f ca="1"/>
        <v>0</v>
      </c>
      <c r="L32">
        <f ca="1"/>
        <v>0</v>
      </c>
      <c r="M32">
        <f ca="1"/>
        <v>0</v>
      </c>
      <c r="N32">
        <f ca="1"/>
        <v>0</v>
      </c>
      <c r="O32">
        <f ca="1"/>
        <v>0</v>
      </c>
      <c r="P32">
        <f ca="1"/>
        <v>0</v>
      </c>
      <c r="Q32">
        <f ca="1"/>
        <v>0</v>
      </c>
      <c r="R32">
        <f ca="1"/>
        <v>0</v>
      </c>
      <c r="S32">
        <f ca="1"/>
        <v>0</v>
      </c>
      <c r="T32">
        <f ca="1"/>
        <v>0</v>
      </c>
      <c r="U32">
        <f ca="1"/>
        <v>0</v>
      </c>
      <c r="V32">
        <f ca="1"/>
        <v>0</v>
      </c>
      <c r="W32">
        <f ca="1"/>
        <v>0</v>
      </c>
      <c r="X32">
        <f ca="1"/>
        <v>0</v>
      </c>
      <c r="Y32">
        <f ca="1"/>
        <v>0</v>
      </c>
      <c r="Z32">
        <f ca="1"/>
        <v>0</v>
      </c>
      <c r="AA32">
        <f ca="1"/>
        <v>0</v>
      </c>
      <c r="AB32">
        <f ca="1"/>
        <v>0</v>
      </c>
      <c r="AC32">
        <f ca="1"/>
        <v>0</v>
      </c>
      <c r="AD32">
        <f ca="1"/>
        <v>0</v>
      </c>
      <c r="AE32">
        <f ca="1"/>
        <v>0</v>
      </c>
      <c r="AF32">
        <f ca="1"/>
        <v>0</v>
      </c>
      <c r="AG32">
        <f ca="1"/>
        <v>0</v>
      </c>
      <c r="AH32">
        <f ca="1"/>
        <v>0</v>
      </c>
      <c r="AI32">
        <f ca="1"/>
        <v>0</v>
      </c>
      <c r="AJ32">
        <f ca="1"/>
        <v>0</v>
      </c>
      <c r="AK32">
        <f ca="1"/>
        <v>0</v>
      </c>
      <c r="AL32">
        <f ca="1"/>
        <v>0</v>
      </c>
      <c r="AM32">
        <f ca="1"/>
        <v>0</v>
      </c>
      <c r="AN32">
        <f ca="1"/>
        <v>0</v>
      </c>
      <c r="AO32">
        <f ca="1"/>
        <v>0</v>
      </c>
      <c r="AP32">
        <f ca="1"/>
        <v>0</v>
      </c>
      <c r="AQ32">
        <f ca="1"/>
        <v>0</v>
      </c>
      <c r="AR32">
        <f ca="1"/>
        <v>0</v>
      </c>
      <c r="AS32">
        <f ca="1"/>
        <v>0</v>
      </c>
      <c r="AT32">
        <f ca="1"/>
        <v>0</v>
      </c>
      <c r="AU32">
        <f ca="1"/>
        <v>0</v>
      </c>
      <c r="AV32">
        <f ca="1"/>
        <v>0</v>
      </c>
      <c r="AW32">
        <f ca="1"/>
        <v>0</v>
      </c>
      <c r="AX32">
        <f ca="1"/>
        <v>0</v>
      </c>
      <c r="AY32">
        <f ca="1"/>
        <v>0</v>
      </c>
      <c r="AZ32">
        <f ca="1"/>
        <v>0</v>
      </c>
      <c r="BA32">
        <f ca="1"/>
        <v>0</v>
      </c>
      <c r="BB32">
        <f ca="1"/>
        <v>0</v>
      </c>
      <c r="BC32">
        <f ca="1"/>
        <v>0</v>
      </c>
      <c r="BD32">
        <f ca="1"/>
        <v>0</v>
      </c>
      <c r="BE32">
        <f ca="1"/>
        <v>0</v>
      </c>
      <c r="BF32">
        <f ca="1"/>
        <v>0</v>
      </c>
      <c r="BG32">
        <f ca="1"/>
        <v>0</v>
      </c>
      <c r="BH32">
        <f ca="1"/>
        <v>0</v>
      </c>
      <c r="BI32">
        <f ca="1"/>
        <v>0</v>
      </c>
      <c r="BJ32">
        <f ca="1"/>
        <v>0</v>
      </c>
      <c r="BK32">
        <f ca="1"/>
        <v>0</v>
      </c>
      <c r="BL32">
        <f ca="1"/>
        <v>0</v>
      </c>
      <c r="BM32">
        <f ca="1"/>
        <v>0</v>
      </c>
      <c r="BN32">
        <f ca="1"/>
        <v>0</v>
      </c>
      <c r="BO32">
        <f ca="1"/>
        <v>0</v>
      </c>
      <c r="BP32">
        <f ca="1"/>
        <v>0</v>
      </c>
      <c r="BQ32">
        <f ca="1"/>
        <v>0</v>
      </c>
      <c r="BR32">
        <f ca="1"/>
        <v>0</v>
      </c>
      <c r="BS32">
        <f ca="1"/>
        <v>0</v>
      </c>
      <c r="BT32">
        <f ca="1"/>
        <v>0</v>
      </c>
      <c r="BU32">
        <f ca="1"/>
        <v>0</v>
      </c>
      <c r="BV32">
        <f ca="1"/>
        <v>0</v>
      </c>
      <c r="BW32">
        <f ca="1"/>
        <v>0</v>
      </c>
      <c r="BX32">
        <f ca="1"/>
        <v>0</v>
      </c>
      <c r="BY32">
        <f ca="1"/>
        <v>0</v>
      </c>
      <c r="BZ32">
        <f ca="1"/>
        <v>0</v>
      </c>
      <c r="CA32">
        <f ca="1"/>
        <v>0</v>
      </c>
      <c r="CB32">
        <f ca="1"/>
        <v>0</v>
      </c>
      <c r="CC32">
        <f ca="1"/>
        <v>0</v>
      </c>
      <c r="CD32">
        <f ca="1"/>
        <v>0</v>
      </c>
      <c r="CE32">
        <f ca="1"/>
        <v>0</v>
      </c>
      <c r="CF32">
        <f ca="1"/>
        <v>0</v>
      </c>
      <c r="CG32">
        <f ca="1"/>
        <v>0</v>
      </c>
      <c r="CH32">
        <f ca="1"/>
        <v>0</v>
      </c>
      <c r="CI32">
        <f ca="1"/>
        <v>0</v>
      </c>
      <c r="CJ32">
        <f ca="1"/>
        <v>0</v>
      </c>
      <c r="CK32">
        <f ca="1"/>
        <v>0</v>
      </c>
      <c r="CL32">
        <f ca="1"/>
        <v>0</v>
      </c>
      <c r="CM32">
        <f ca="1"/>
        <v>0</v>
      </c>
      <c r="CN32">
        <f ca="1"/>
        <v>0</v>
      </c>
      <c r="CO32">
        <f ca="1"/>
        <v>0</v>
      </c>
      <c r="CP32">
        <f ca="1"/>
        <v>0</v>
      </c>
    </row>
    <row r="33" spans="3:94" x14ac:dyDescent="0.25">
      <c r="C33" cm="1">
        <f t="array" aca="1" ref="C33:CP33" ca="1">IFERROR(TRANSPOSE(INDEX(_xlfn._xlws.FILTER(INDIRECT("SubcategoriesTable[Subcategory name]"),INDIRECT("SubcategoriesTable[Category name]")=$B33),,)),_xlfn.CONCAT("No subcategories for"," ", $B33))</f>
        <v>0</v>
      </c>
      <c r="D33">
        <f ca="1"/>
        <v>0</v>
      </c>
      <c r="E33">
        <f ca="1"/>
        <v>0</v>
      </c>
      <c r="F33">
        <f ca="1"/>
        <v>0</v>
      </c>
      <c r="G33">
        <f ca="1"/>
        <v>0</v>
      </c>
      <c r="H33">
        <f ca="1"/>
        <v>0</v>
      </c>
      <c r="I33">
        <f ca="1"/>
        <v>0</v>
      </c>
      <c r="J33">
        <f ca="1"/>
        <v>0</v>
      </c>
      <c r="K33">
        <f ca="1"/>
        <v>0</v>
      </c>
      <c r="L33">
        <f ca="1"/>
        <v>0</v>
      </c>
      <c r="M33">
        <f ca="1"/>
        <v>0</v>
      </c>
      <c r="N33">
        <f ca="1"/>
        <v>0</v>
      </c>
      <c r="O33">
        <f ca="1"/>
        <v>0</v>
      </c>
      <c r="P33">
        <f ca="1"/>
        <v>0</v>
      </c>
      <c r="Q33">
        <f ca="1"/>
        <v>0</v>
      </c>
      <c r="R33">
        <f ca="1"/>
        <v>0</v>
      </c>
      <c r="S33">
        <f ca="1"/>
        <v>0</v>
      </c>
      <c r="T33">
        <f ca="1"/>
        <v>0</v>
      </c>
      <c r="U33">
        <f ca="1"/>
        <v>0</v>
      </c>
      <c r="V33">
        <f ca="1"/>
        <v>0</v>
      </c>
      <c r="W33">
        <f ca="1"/>
        <v>0</v>
      </c>
      <c r="X33">
        <f ca="1"/>
        <v>0</v>
      </c>
      <c r="Y33">
        <f ca="1"/>
        <v>0</v>
      </c>
      <c r="Z33">
        <f ca="1"/>
        <v>0</v>
      </c>
      <c r="AA33">
        <f ca="1"/>
        <v>0</v>
      </c>
      <c r="AB33">
        <f ca="1"/>
        <v>0</v>
      </c>
      <c r="AC33">
        <f ca="1"/>
        <v>0</v>
      </c>
      <c r="AD33">
        <f ca="1"/>
        <v>0</v>
      </c>
      <c r="AE33">
        <f ca="1"/>
        <v>0</v>
      </c>
      <c r="AF33">
        <f ca="1"/>
        <v>0</v>
      </c>
      <c r="AG33">
        <f ca="1"/>
        <v>0</v>
      </c>
      <c r="AH33">
        <f ca="1"/>
        <v>0</v>
      </c>
      <c r="AI33">
        <f ca="1"/>
        <v>0</v>
      </c>
      <c r="AJ33">
        <f ca="1"/>
        <v>0</v>
      </c>
      <c r="AK33">
        <f ca="1"/>
        <v>0</v>
      </c>
      <c r="AL33">
        <f ca="1"/>
        <v>0</v>
      </c>
      <c r="AM33">
        <f ca="1"/>
        <v>0</v>
      </c>
      <c r="AN33">
        <f ca="1"/>
        <v>0</v>
      </c>
      <c r="AO33">
        <f ca="1"/>
        <v>0</v>
      </c>
      <c r="AP33">
        <f ca="1"/>
        <v>0</v>
      </c>
      <c r="AQ33">
        <f ca="1"/>
        <v>0</v>
      </c>
      <c r="AR33">
        <f ca="1"/>
        <v>0</v>
      </c>
      <c r="AS33">
        <f ca="1"/>
        <v>0</v>
      </c>
      <c r="AT33">
        <f ca="1"/>
        <v>0</v>
      </c>
      <c r="AU33">
        <f ca="1"/>
        <v>0</v>
      </c>
      <c r="AV33">
        <f ca="1"/>
        <v>0</v>
      </c>
      <c r="AW33">
        <f ca="1"/>
        <v>0</v>
      </c>
      <c r="AX33">
        <f ca="1"/>
        <v>0</v>
      </c>
      <c r="AY33">
        <f ca="1"/>
        <v>0</v>
      </c>
      <c r="AZ33">
        <f ca="1"/>
        <v>0</v>
      </c>
      <c r="BA33">
        <f ca="1"/>
        <v>0</v>
      </c>
      <c r="BB33">
        <f ca="1"/>
        <v>0</v>
      </c>
      <c r="BC33">
        <f ca="1"/>
        <v>0</v>
      </c>
      <c r="BD33">
        <f ca="1"/>
        <v>0</v>
      </c>
      <c r="BE33">
        <f ca="1"/>
        <v>0</v>
      </c>
      <c r="BF33">
        <f ca="1"/>
        <v>0</v>
      </c>
      <c r="BG33">
        <f ca="1"/>
        <v>0</v>
      </c>
      <c r="BH33">
        <f ca="1"/>
        <v>0</v>
      </c>
      <c r="BI33">
        <f ca="1"/>
        <v>0</v>
      </c>
      <c r="BJ33">
        <f ca="1"/>
        <v>0</v>
      </c>
      <c r="BK33">
        <f ca="1"/>
        <v>0</v>
      </c>
      <c r="BL33">
        <f ca="1"/>
        <v>0</v>
      </c>
      <c r="BM33">
        <f ca="1"/>
        <v>0</v>
      </c>
      <c r="BN33">
        <f ca="1"/>
        <v>0</v>
      </c>
      <c r="BO33">
        <f ca="1"/>
        <v>0</v>
      </c>
      <c r="BP33">
        <f ca="1"/>
        <v>0</v>
      </c>
      <c r="BQ33">
        <f ca="1"/>
        <v>0</v>
      </c>
      <c r="BR33">
        <f ca="1"/>
        <v>0</v>
      </c>
      <c r="BS33">
        <f ca="1"/>
        <v>0</v>
      </c>
      <c r="BT33">
        <f ca="1"/>
        <v>0</v>
      </c>
      <c r="BU33">
        <f ca="1"/>
        <v>0</v>
      </c>
      <c r="BV33">
        <f ca="1"/>
        <v>0</v>
      </c>
      <c r="BW33">
        <f ca="1"/>
        <v>0</v>
      </c>
      <c r="BX33">
        <f ca="1"/>
        <v>0</v>
      </c>
      <c r="BY33">
        <f ca="1"/>
        <v>0</v>
      </c>
      <c r="BZ33">
        <f ca="1"/>
        <v>0</v>
      </c>
      <c r="CA33">
        <f ca="1"/>
        <v>0</v>
      </c>
      <c r="CB33">
        <f ca="1"/>
        <v>0</v>
      </c>
      <c r="CC33">
        <f ca="1"/>
        <v>0</v>
      </c>
      <c r="CD33">
        <f ca="1"/>
        <v>0</v>
      </c>
      <c r="CE33">
        <f ca="1"/>
        <v>0</v>
      </c>
      <c r="CF33">
        <f ca="1"/>
        <v>0</v>
      </c>
      <c r="CG33">
        <f ca="1"/>
        <v>0</v>
      </c>
      <c r="CH33">
        <f ca="1"/>
        <v>0</v>
      </c>
      <c r="CI33">
        <f ca="1"/>
        <v>0</v>
      </c>
      <c r="CJ33">
        <f ca="1"/>
        <v>0</v>
      </c>
      <c r="CK33">
        <f ca="1"/>
        <v>0</v>
      </c>
      <c r="CL33">
        <f ca="1"/>
        <v>0</v>
      </c>
      <c r="CM33">
        <f ca="1"/>
        <v>0</v>
      </c>
      <c r="CN33">
        <f ca="1"/>
        <v>0</v>
      </c>
      <c r="CO33">
        <f ca="1"/>
        <v>0</v>
      </c>
      <c r="CP33">
        <f ca="1"/>
        <v>0</v>
      </c>
    </row>
    <row r="34" spans="3:94" x14ac:dyDescent="0.25">
      <c r="C34" cm="1">
        <f t="array" aca="1" ref="C34:CP34" ca="1">IFERROR(TRANSPOSE(INDEX(_xlfn._xlws.FILTER(INDIRECT("SubcategoriesTable[Subcategory name]"),INDIRECT("SubcategoriesTable[Category name]")=$B34),,)),_xlfn.CONCAT("No subcategories for"," ", $B34))</f>
        <v>0</v>
      </c>
      <c r="D34">
        <f ca="1"/>
        <v>0</v>
      </c>
      <c r="E34">
        <f ca="1"/>
        <v>0</v>
      </c>
      <c r="F34">
        <f ca="1"/>
        <v>0</v>
      </c>
      <c r="G34">
        <f ca="1"/>
        <v>0</v>
      </c>
      <c r="H34">
        <f ca="1"/>
        <v>0</v>
      </c>
      <c r="I34">
        <f ca="1"/>
        <v>0</v>
      </c>
      <c r="J34">
        <f ca="1"/>
        <v>0</v>
      </c>
      <c r="K34">
        <f ca="1"/>
        <v>0</v>
      </c>
      <c r="L34">
        <f ca="1"/>
        <v>0</v>
      </c>
      <c r="M34">
        <f ca="1"/>
        <v>0</v>
      </c>
      <c r="N34">
        <f ca="1"/>
        <v>0</v>
      </c>
      <c r="O34">
        <f ca="1"/>
        <v>0</v>
      </c>
      <c r="P34">
        <f ca="1"/>
        <v>0</v>
      </c>
      <c r="Q34">
        <f ca="1"/>
        <v>0</v>
      </c>
      <c r="R34">
        <f ca="1"/>
        <v>0</v>
      </c>
      <c r="S34">
        <f ca="1"/>
        <v>0</v>
      </c>
      <c r="T34">
        <f ca="1"/>
        <v>0</v>
      </c>
      <c r="U34">
        <f ca="1"/>
        <v>0</v>
      </c>
      <c r="V34">
        <f ca="1"/>
        <v>0</v>
      </c>
      <c r="W34">
        <f ca="1"/>
        <v>0</v>
      </c>
      <c r="X34">
        <f ca="1"/>
        <v>0</v>
      </c>
      <c r="Y34">
        <f ca="1"/>
        <v>0</v>
      </c>
      <c r="Z34">
        <f ca="1"/>
        <v>0</v>
      </c>
      <c r="AA34">
        <f ca="1"/>
        <v>0</v>
      </c>
      <c r="AB34">
        <f ca="1"/>
        <v>0</v>
      </c>
      <c r="AC34">
        <f ca="1"/>
        <v>0</v>
      </c>
      <c r="AD34">
        <f ca="1"/>
        <v>0</v>
      </c>
      <c r="AE34">
        <f ca="1"/>
        <v>0</v>
      </c>
      <c r="AF34">
        <f ca="1"/>
        <v>0</v>
      </c>
      <c r="AG34">
        <f ca="1"/>
        <v>0</v>
      </c>
      <c r="AH34">
        <f ca="1"/>
        <v>0</v>
      </c>
      <c r="AI34">
        <f ca="1"/>
        <v>0</v>
      </c>
      <c r="AJ34">
        <f ca="1"/>
        <v>0</v>
      </c>
      <c r="AK34">
        <f ca="1"/>
        <v>0</v>
      </c>
      <c r="AL34">
        <f ca="1"/>
        <v>0</v>
      </c>
      <c r="AM34">
        <f ca="1"/>
        <v>0</v>
      </c>
      <c r="AN34">
        <f ca="1"/>
        <v>0</v>
      </c>
      <c r="AO34">
        <f ca="1"/>
        <v>0</v>
      </c>
      <c r="AP34">
        <f ca="1"/>
        <v>0</v>
      </c>
      <c r="AQ34">
        <f ca="1"/>
        <v>0</v>
      </c>
      <c r="AR34">
        <f ca="1"/>
        <v>0</v>
      </c>
      <c r="AS34">
        <f ca="1"/>
        <v>0</v>
      </c>
      <c r="AT34">
        <f ca="1"/>
        <v>0</v>
      </c>
      <c r="AU34">
        <f ca="1"/>
        <v>0</v>
      </c>
      <c r="AV34">
        <f ca="1"/>
        <v>0</v>
      </c>
      <c r="AW34">
        <f ca="1"/>
        <v>0</v>
      </c>
      <c r="AX34">
        <f ca="1"/>
        <v>0</v>
      </c>
      <c r="AY34">
        <f ca="1"/>
        <v>0</v>
      </c>
      <c r="AZ34">
        <f ca="1"/>
        <v>0</v>
      </c>
      <c r="BA34">
        <f ca="1"/>
        <v>0</v>
      </c>
      <c r="BB34">
        <f ca="1"/>
        <v>0</v>
      </c>
      <c r="BC34">
        <f ca="1"/>
        <v>0</v>
      </c>
      <c r="BD34">
        <f ca="1"/>
        <v>0</v>
      </c>
      <c r="BE34">
        <f ca="1"/>
        <v>0</v>
      </c>
      <c r="BF34">
        <f ca="1"/>
        <v>0</v>
      </c>
      <c r="BG34">
        <f ca="1"/>
        <v>0</v>
      </c>
      <c r="BH34">
        <f ca="1"/>
        <v>0</v>
      </c>
      <c r="BI34">
        <f ca="1"/>
        <v>0</v>
      </c>
      <c r="BJ34">
        <f ca="1"/>
        <v>0</v>
      </c>
      <c r="BK34">
        <f ca="1"/>
        <v>0</v>
      </c>
      <c r="BL34">
        <f ca="1"/>
        <v>0</v>
      </c>
      <c r="BM34">
        <f ca="1"/>
        <v>0</v>
      </c>
      <c r="BN34">
        <f ca="1"/>
        <v>0</v>
      </c>
      <c r="BO34">
        <f ca="1"/>
        <v>0</v>
      </c>
      <c r="BP34">
        <f ca="1"/>
        <v>0</v>
      </c>
      <c r="BQ34">
        <f ca="1"/>
        <v>0</v>
      </c>
      <c r="BR34">
        <f ca="1"/>
        <v>0</v>
      </c>
      <c r="BS34">
        <f ca="1"/>
        <v>0</v>
      </c>
      <c r="BT34">
        <f ca="1"/>
        <v>0</v>
      </c>
      <c r="BU34">
        <f ca="1"/>
        <v>0</v>
      </c>
      <c r="BV34">
        <f ca="1"/>
        <v>0</v>
      </c>
      <c r="BW34">
        <f ca="1"/>
        <v>0</v>
      </c>
      <c r="BX34">
        <f ca="1"/>
        <v>0</v>
      </c>
      <c r="BY34">
        <f ca="1"/>
        <v>0</v>
      </c>
      <c r="BZ34">
        <f ca="1"/>
        <v>0</v>
      </c>
      <c r="CA34">
        <f ca="1"/>
        <v>0</v>
      </c>
      <c r="CB34">
        <f ca="1"/>
        <v>0</v>
      </c>
      <c r="CC34">
        <f ca="1"/>
        <v>0</v>
      </c>
      <c r="CD34">
        <f ca="1"/>
        <v>0</v>
      </c>
      <c r="CE34">
        <f ca="1"/>
        <v>0</v>
      </c>
      <c r="CF34">
        <f ca="1"/>
        <v>0</v>
      </c>
      <c r="CG34">
        <f ca="1"/>
        <v>0</v>
      </c>
      <c r="CH34">
        <f ca="1"/>
        <v>0</v>
      </c>
      <c r="CI34">
        <f ca="1"/>
        <v>0</v>
      </c>
      <c r="CJ34">
        <f ca="1"/>
        <v>0</v>
      </c>
      <c r="CK34">
        <f ca="1"/>
        <v>0</v>
      </c>
      <c r="CL34">
        <f ca="1"/>
        <v>0</v>
      </c>
      <c r="CM34">
        <f ca="1"/>
        <v>0</v>
      </c>
      <c r="CN34">
        <f ca="1"/>
        <v>0</v>
      </c>
      <c r="CO34">
        <f ca="1"/>
        <v>0</v>
      </c>
      <c r="CP34">
        <f ca="1"/>
        <v>0</v>
      </c>
    </row>
    <row r="35" spans="3:94" x14ac:dyDescent="0.25">
      <c r="C35" cm="1">
        <f t="array" aca="1" ref="C35:CP35" ca="1">IFERROR(TRANSPOSE(INDEX(_xlfn._xlws.FILTER(INDIRECT("SubcategoriesTable[Subcategory name]"),INDIRECT("SubcategoriesTable[Category name]")=$B35),,)),_xlfn.CONCAT("No subcategories for"," ", $B35))</f>
        <v>0</v>
      </c>
      <c r="D35">
        <f ca="1"/>
        <v>0</v>
      </c>
      <c r="E35">
        <f ca="1"/>
        <v>0</v>
      </c>
      <c r="F35">
        <f ca="1"/>
        <v>0</v>
      </c>
      <c r="G35">
        <f ca="1"/>
        <v>0</v>
      </c>
      <c r="H35">
        <f ca="1"/>
        <v>0</v>
      </c>
      <c r="I35">
        <f ca="1"/>
        <v>0</v>
      </c>
      <c r="J35">
        <f ca="1"/>
        <v>0</v>
      </c>
      <c r="K35">
        <f ca="1"/>
        <v>0</v>
      </c>
      <c r="L35">
        <f ca="1"/>
        <v>0</v>
      </c>
      <c r="M35">
        <f ca="1"/>
        <v>0</v>
      </c>
      <c r="N35">
        <f ca="1"/>
        <v>0</v>
      </c>
      <c r="O35">
        <f ca="1"/>
        <v>0</v>
      </c>
      <c r="P35">
        <f ca="1"/>
        <v>0</v>
      </c>
      <c r="Q35">
        <f ca="1"/>
        <v>0</v>
      </c>
      <c r="R35">
        <f ca="1"/>
        <v>0</v>
      </c>
      <c r="S35">
        <f ca="1"/>
        <v>0</v>
      </c>
      <c r="T35">
        <f ca="1"/>
        <v>0</v>
      </c>
      <c r="U35">
        <f ca="1"/>
        <v>0</v>
      </c>
      <c r="V35">
        <f ca="1"/>
        <v>0</v>
      </c>
      <c r="W35">
        <f ca="1"/>
        <v>0</v>
      </c>
      <c r="X35">
        <f ca="1"/>
        <v>0</v>
      </c>
      <c r="Y35">
        <f ca="1"/>
        <v>0</v>
      </c>
      <c r="Z35">
        <f ca="1"/>
        <v>0</v>
      </c>
      <c r="AA35">
        <f ca="1"/>
        <v>0</v>
      </c>
      <c r="AB35">
        <f ca="1"/>
        <v>0</v>
      </c>
      <c r="AC35">
        <f ca="1"/>
        <v>0</v>
      </c>
      <c r="AD35">
        <f ca="1"/>
        <v>0</v>
      </c>
      <c r="AE35">
        <f ca="1"/>
        <v>0</v>
      </c>
      <c r="AF35">
        <f ca="1"/>
        <v>0</v>
      </c>
      <c r="AG35">
        <f ca="1"/>
        <v>0</v>
      </c>
      <c r="AH35">
        <f ca="1"/>
        <v>0</v>
      </c>
      <c r="AI35">
        <f ca="1"/>
        <v>0</v>
      </c>
      <c r="AJ35">
        <f ca="1"/>
        <v>0</v>
      </c>
      <c r="AK35">
        <f ca="1"/>
        <v>0</v>
      </c>
      <c r="AL35">
        <f ca="1"/>
        <v>0</v>
      </c>
      <c r="AM35">
        <f ca="1"/>
        <v>0</v>
      </c>
      <c r="AN35">
        <f ca="1"/>
        <v>0</v>
      </c>
      <c r="AO35">
        <f ca="1"/>
        <v>0</v>
      </c>
      <c r="AP35">
        <f ca="1"/>
        <v>0</v>
      </c>
      <c r="AQ35">
        <f ca="1"/>
        <v>0</v>
      </c>
      <c r="AR35">
        <f ca="1"/>
        <v>0</v>
      </c>
      <c r="AS35">
        <f ca="1"/>
        <v>0</v>
      </c>
      <c r="AT35">
        <f ca="1"/>
        <v>0</v>
      </c>
      <c r="AU35">
        <f ca="1"/>
        <v>0</v>
      </c>
      <c r="AV35">
        <f ca="1"/>
        <v>0</v>
      </c>
      <c r="AW35">
        <f ca="1"/>
        <v>0</v>
      </c>
      <c r="AX35">
        <f ca="1"/>
        <v>0</v>
      </c>
      <c r="AY35">
        <f ca="1"/>
        <v>0</v>
      </c>
      <c r="AZ35">
        <f ca="1"/>
        <v>0</v>
      </c>
      <c r="BA35">
        <f ca="1"/>
        <v>0</v>
      </c>
      <c r="BB35">
        <f ca="1"/>
        <v>0</v>
      </c>
      <c r="BC35">
        <f ca="1"/>
        <v>0</v>
      </c>
      <c r="BD35">
        <f ca="1"/>
        <v>0</v>
      </c>
      <c r="BE35">
        <f ca="1"/>
        <v>0</v>
      </c>
      <c r="BF35">
        <f ca="1"/>
        <v>0</v>
      </c>
      <c r="BG35">
        <f ca="1"/>
        <v>0</v>
      </c>
      <c r="BH35">
        <f ca="1"/>
        <v>0</v>
      </c>
      <c r="BI35">
        <f ca="1"/>
        <v>0</v>
      </c>
      <c r="BJ35">
        <f ca="1"/>
        <v>0</v>
      </c>
      <c r="BK35">
        <f ca="1"/>
        <v>0</v>
      </c>
      <c r="BL35">
        <f ca="1"/>
        <v>0</v>
      </c>
      <c r="BM35">
        <f ca="1"/>
        <v>0</v>
      </c>
      <c r="BN35">
        <f ca="1"/>
        <v>0</v>
      </c>
      <c r="BO35">
        <f ca="1"/>
        <v>0</v>
      </c>
      <c r="BP35">
        <f ca="1"/>
        <v>0</v>
      </c>
      <c r="BQ35">
        <f ca="1"/>
        <v>0</v>
      </c>
      <c r="BR35">
        <f ca="1"/>
        <v>0</v>
      </c>
      <c r="BS35">
        <f ca="1"/>
        <v>0</v>
      </c>
      <c r="BT35">
        <f ca="1"/>
        <v>0</v>
      </c>
      <c r="BU35">
        <f ca="1"/>
        <v>0</v>
      </c>
      <c r="BV35">
        <f ca="1"/>
        <v>0</v>
      </c>
      <c r="BW35">
        <f ca="1"/>
        <v>0</v>
      </c>
      <c r="BX35">
        <f ca="1"/>
        <v>0</v>
      </c>
      <c r="BY35">
        <f ca="1"/>
        <v>0</v>
      </c>
      <c r="BZ35">
        <f ca="1"/>
        <v>0</v>
      </c>
      <c r="CA35">
        <f ca="1"/>
        <v>0</v>
      </c>
      <c r="CB35">
        <f ca="1"/>
        <v>0</v>
      </c>
      <c r="CC35">
        <f ca="1"/>
        <v>0</v>
      </c>
      <c r="CD35">
        <f ca="1"/>
        <v>0</v>
      </c>
      <c r="CE35">
        <f ca="1"/>
        <v>0</v>
      </c>
      <c r="CF35">
        <f ca="1"/>
        <v>0</v>
      </c>
      <c r="CG35">
        <f ca="1"/>
        <v>0</v>
      </c>
      <c r="CH35">
        <f ca="1"/>
        <v>0</v>
      </c>
      <c r="CI35">
        <f ca="1"/>
        <v>0</v>
      </c>
      <c r="CJ35">
        <f ca="1"/>
        <v>0</v>
      </c>
      <c r="CK35">
        <f ca="1"/>
        <v>0</v>
      </c>
      <c r="CL35">
        <f ca="1"/>
        <v>0</v>
      </c>
      <c r="CM35">
        <f ca="1"/>
        <v>0</v>
      </c>
      <c r="CN35">
        <f ca="1"/>
        <v>0</v>
      </c>
      <c r="CO35">
        <f ca="1"/>
        <v>0</v>
      </c>
      <c r="CP35">
        <f ca="1"/>
        <v>0</v>
      </c>
    </row>
    <row r="36" spans="3:94" x14ac:dyDescent="0.25">
      <c r="C36" cm="1">
        <f t="array" aca="1" ref="C36:CP36" ca="1">IFERROR(TRANSPOSE(INDEX(_xlfn._xlws.FILTER(INDIRECT("SubcategoriesTable[Subcategory name]"),INDIRECT("SubcategoriesTable[Category name]")=$B36),,)),_xlfn.CONCAT("No subcategories for"," ", $B36))</f>
        <v>0</v>
      </c>
      <c r="D36">
        <f ca="1"/>
        <v>0</v>
      </c>
      <c r="E36">
        <f ca="1"/>
        <v>0</v>
      </c>
      <c r="F36">
        <f ca="1"/>
        <v>0</v>
      </c>
      <c r="G36">
        <f ca="1"/>
        <v>0</v>
      </c>
      <c r="H36">
        <f ca="1"/>
        <v>0</v>
      </c>
      <c r="I36">
        <f ca="1"/>
        <v>0</v>
      </c>
      <c r="J36">
        <f ca="1"/>
        <v>0</v>
      </c>
      <c r="K36">
        <f ca="1"/>
        <v>0</v>
      </c>
      <c r="L36">
        <f ca="1"/>
        <v>0</v>
      </c>
      <c r="M36">
        <f ca="1"/>
        <v>0</v>
      </c>
      <c r="N36">
        <f ca="1"/>
        <v>0</v>
      </c>
      <c r="O36">
        <f ca="1"/>
        <v>0</v>
      </c>
      <c r="P36">
        <f ca="1"/>
        <v>0</v>
      </c>
      <c r="Q36">
        <f ca="1"/>
        <v>0</v>
      </c>
      <c r="R36">
        <f ca="1"/>
        <v>0</v>
      </c>
      <c r="S36">
        <f ca="1"/>
        <v>0</v>
      </c>
      <c r="T36">
        <f ca="1"/>
        <v>0</v>
      </c>
      <c r="U36">
        <f ca="1"/>
        <v>0</v>
      </c>
      <c r="V36">
        <f ca="1"/>
        <v>0</v>
      </c>
      <c r="W36">
        <f ca="1"/>
        <v>0</v>
      </c>
      <c r="X36">
        <f ca="1"/>
        <v>0</v>
      </c>
      <c r="Y36">
        <f ca="1"/>
        <v>0</v>
      </c>
      <c r="Z36">
        <f ca="1"/>
        <v>0</v>
      </c>
      <c r="AA36">
        <f ca="1"/>
        <v>0</v>
      </c>
      <c r="AB36">
        <f ca="1"/>
        <v>0</v>
      </c>
      <c r="AC36">
        <f ca="1"/>
        <v>0</v>
      </c>
      <c r="AD36">
        <f ca="1"/>
        <v>0</v>
      </c>
      <c r="AE36">
        <f ca="1"/>
        <v>0</v>
      </c>
      <c r="AF36">
        <f ca="1"/>
        <v>0</v>
      </c>
      <c r="AG36">
        <f ca="1"/>
        <v>0</v>
      </c>
      <c r="AH36">
        <f ca="1"/>
        <v>0</v>
      </c>
      <c r="AI36">
        <f ca="1"/>
        <v>0</v>
      </c>
      <c r="AJ36">
        <f ca="1"/>
        <v>0</v>
      </c>
      <c r="AK36">
        <f ca="1"/>
        <v>0</v>
      </c>
      <c r="AL36">
        <f ca="1"/>
        <v>0</v>
      </c>
      <c r="AM36">
        <f ca="1"/>
        <v>0</v>
      </c>
      <c r="AN36">
        <f ca="1"/>
        <v>0</v>
      </c>
      <c r="AO36">
        <f ca="1"/>
        <v>0</v>
      </c>
      <c r="AP36">
        <f ca="1"/>
        <v>0</v>
      </c>
      <c r="AQ36">
        <f ca="1"/>
        <v>0</v>
      </c>
      <c r="AR36">
        <f ca="1"/>
        <v>0</v>
      </c>
      <c r="AS36">
        <f ca="1"/>
        <v>0</v>
      </c>
      <c r="AT36">
        <f ca="1"/>
        <v>0</v>
      </c>
      <c r="AU36">
        <f ca="1"/>
        <v>0</v>
      </c>
      <c r="AV36">
        <f ca="1"/>
        <v>0</v>
      </c>
      <c r="AW36">
        <f ca="1"/>
        <v>0</v>
      </c>
      <c r="AX36">
        <f ca="1"/>
        <v>0</v>
      </c>
      <c r="AY36">
        <f ca="1"/>
        <v>0</v>
      </c>
      <c r="AZ36">
        <f ca="1"/>
        <v>0</v>
      </c>
      <c r="BA36">
        <f ca="1"/>
        <v>0</v>
      </c>
      <c r="BB36">
        <f ca="1"/>
        <v>0</v>
      </c>
      <c r="BC36">
        <f ca="1"/>
        <v>0</v>
      </c>
      <c r="BD36">
        <f ca="1"/>
        <v>0</v>
      </c>
      <c r="BE36">
        <f ca="1"/>
        <v>0</v>
      </c>
      <c r="BF36">
        <f ca="1"/>
        <v>0</v>
      </c>
      <c r="BG36">
        <f ca="1"/>
        <v>0</v>
      </c>
      <c r="BH36">
        <f ca="1"/>
        <v>0</v>
      </c>
      <c r="BI36">
        <f ca="1"/>
        <v>0</v>
      </c>
      <c r="BJ36">
        <f ca="1"/>
        <v>0</v>
      </c>
      <c r="BK36">
        <f ca="1"/>
        <v>0</v>
      </c>
      <c r="BL36">
        <f ca="1"/>
        <v>0</v>
      </c>
      <c r="BM36">
        <f ca="1"/>
        <v>0</v>
      </c>
      <c r="BN36">
        <f ca="1"/>
        <v>0</v>
      </c>
      <c r="BO36">
        <f ca="1"/>
        <v>0</v>
      </c>
      <c r="BP36">
        <f ca="1"/>
        <v>0</v>
      </c>
      <c r="BQ36">
        <f ca="1"/>
        <v>0</v>
      </c>
      <c r="BR36">
        <f ca="1"/>
        <v>0</v>
      </c>
      <c r="BS36">
        <f ca="1"/>
        <v>0</v>
      </c>
      <c r="BT36">
        <f ca="1"/>
        <v>0</v>
      </c>
      <c r="BU36">
        <f ca="1"/>
        <v>0</v>
      </c>
      <c r="BV36">
        <f ca="1"/>
        <v>0</v>
      </c>
      <c r="BW36">
        <f ca="1"/>
        <v>0</v>
      </c>
      <c r="BX36">
        <f ca="1"/>
        <v>0</v>
      </c>
      <c r="BY36">
        <f ca="1"/>
        <v>0</v>
      </c>
      <c r="BZ36">
        <f ca="1"/>
        <v>0</v>
      </c>
      <c r="CA36">
        <f ca="1"/>
        <v>0</v>
      </c>
      <c r="CB36">
        <f ca="1"/>
        <v>0</v>
      </c>
      <c r="CC36">
        <f ca="1"/>
        <v>0</v>
      </c>
      <c r="CD36">
        <f ca="1"/>
        <v>0</v>
      </c>
      <c r="CE36">
        <f ca="1"/>
        <v>0</v>
      </c>
      <c r="CF36">
        <f ca="1"/>
        <v>0</v>
      </c>
      <c r="CG36">
        <f ca="1"/>
        <v>0</v>
      </c>
      <c r="CH36">
        <f ca="1"/>
        <v>0</v>
      </c>
      <c r="CI36">
        <f ca="1"/>
        <v>0</v>
      </c>
      <c r="CJ36">
        <f ca="1"/>
        <v>0</v>
      </c>
      <c r="CK36">
        <f ca="1"/>
        <v>0</v>
      </c>
      <c r="CL36">
        <f ca="1"/>
        <v>0</v>
      </c>
      <c r="CM36">
        <f ca="1"/>
        <v>0</v>
      </c>
      <c r="CN36">
        <f ca="1"/>
        <v>0</v>
      </c>
      <c r="CO36">
        <f ca="1"/>
        <v>0</v>
      </c>
      <c r="CP36">
        <f ca="1"/>
        <v>0</v>
      </c>
    </row>
    <row r="37" spans="3:94" x14ac:dyDescent="0.25">
      <c r="C37" cm="1">
        <f t="array" aca="1" ref="C37:CP37" ca="1">IFERROR(TRANSPOSE(INDEX(_xlfn._xlws.FILTER(INDIRECT("SubcategoriesTable[Subcategory name]"),INDIRECT("SubcategoriesTable[Category name]")=$B37),,)),_xlfn.CONCAT("No subcategories for"," ", $B37))</f>
        <v>0</v>
      </c>
      <c r="D37">
        <f ca="1"/>
        <v>0</v>
      </c>
      <c r="E37">
        <f ca="1"/>
        <v>0</v>
      </c>
      <c r="F37">
        <f ca="1"/>
        <v>0</v>
      </c>
      <c r="G37">
        <f ca="1"/>
        <v>0</v>
      </c>
      <c r="H37">
        <f ca="1"/>
        <v>0</v>
      </c>
      <c r="I37">
        <f ca="1"/>
        <v>0</v>
      </c>
      <c r="J37">
        <f ca="1"/>
        <v>0</v>
      </c>
      <c r="K37">
        <f ca="1"/>
        <v>0</v>
      </c>
      <c r="L37">
        <f ca="1"/>
        <v>0</v>
      </c>
      <c r="M37">
        <f ca="1"/>
        <v>0</v>
      </c>
      <c r="N37">
        <f ca="1"/>
        <v>0</v>
      </c>
      <c r="O37">
        <f ca="1"/>
        <v>0</v>
      </c>
      <c r="P37">
        <f ca="1"/>
        <v>0</v>
      </c>
      <c r="Q37">
        <f ca="1"/>
        <v>0</v>
      </c>
      <c r="R37">
        <f ca="1"/>
        <v>0</v>
      </c>
      <c r="S37">
        <f ca="1"/>
        <v>0</v>
      </c>
      <c r="T37">
        <f ca="1"/>
        <v>0</v>
      </c>
      <c r="U37">
        <f ca="1"/>
        <v>0</v>
      </c>
      <c r="V37">
        <f ca="1"/>
        <v>0</v>
      </c>
      <c r="W37">
        <f ca="1"/>
        <v>0</v>
      </c>
      <c r="X37">
        <f ca="1"/>
        <v>0</v>
      </c>
      <c r="Y37">
        <f ca="1"/>
        <v>0</v>
      </c>
      <c r="Z37">
        <f ca="1"/>
        <v>0</v>
      </c>
      <c r="AA37">
        <f ca="1"/>
        <v>0</v>
      </c>
      <c r="AB37">
        <f ca="1"/>
        <v>0</v>
      </c>
      <c r="AC37">
        <f ca="1"/>
        <v>0</v>
      </c>
      <c r="AD37">
        <f ca="1"/>
        <v>0</v>
      </c>
      <c r="AE37">
        <f ca="1"/>
        <v>0</v>
      </c>
      <c r="AF37">
        <f ca="1"/>
        <v>0</v>
      </c>
      <c r="AG37">
        <f ca="1"/>
        <v>0</v>
      </c>
      <c r="AH37">
        <f ca="1"/>
        <v>0</v>
      </c>
      <c r="AI37">
        <f ca="1"/>
        <v>0</v>
      </c>
      <c r="AJ37">
        <f ca="1"/>
        <v>0</v>
      </c>
      <c r="AK37">
        <f ca="1"/>
        <v>0</v>
      </c>
      <c r="AL37">
        <f ca="1"/>
        <v>0</v>
      </c>
      <c r="AM37">
        <f ca="1"/>
        <v>0</v>
      </c>
      <c r="AN37">
        <f ca="1"/>
        <v>0</v>
      </c>
      <c r="AO37">
        <f ca="1"/>
        <v>0</v>
      </c>
      <c r="AP37">
        <f ca="1"/>
        <v>0</v>
      </c>
      <c r="AQ37">
        <f ca="1"/>
        <v>0</v>
      </c>
      <c r="AR37">
        <f ca="1"/>
        <v>0</v>
      </c>
      <c r="AS37">
        <f ca="1"/>
        <v>0</v>
      </c>
      <c r="AT37">
        <f ca="1"/>
        <v>0</v>
      </c>
      <c r="AU37">
        <f ca="1"/>
        <v>0</v>
      </c>
      <c r="AV37">
        <f ca="1"/>
        <v>0</v>
      </c>
      <c r="AW37">
        <f ca="1"/>
        <v>0</v>
      </c>
      <c r="AX37">
        <f ca="1"/>
        <v>0</v>
      </c>
      <c r="AY37">
        <f ca="1"/>
        <v>0</v>
      </c>
      <c r="AZ37">
        <f ca="1"/>
        <v>0</v>
      </c>
      <c r="BA37">
        <f ca="1"/>
        <v>0</v>
      </c>
      <c r="BB37">
        <f ca="1"/>
        <v>0</v>
      </c>
      <c r="BC37">
        <f ca="1"/>
        <v>0</v>
      </c>
      <c r="BD37">
        <f ca="1"/>
        <v>0</v>
      </c>
      <c r="BE37">
        <f ca="1"/>
        <v>0</v>
      </c>
      <c r="BF37">
        <f ca="1"/>
        <v>0</v>
      </c>
      <c r="BG37">
        <f ca="1"/>
        <v>0</v>
      </c>
      <c r="BH37">
        <f ca="1"/>
        <v>0</v>
      </c>
      <c r="BI37">
        <f ca="1"/>
        <v>0</v>
      </c>
      <c r="BJ37">
        <f ca="1"/>
        <v>0</v>
      </c>
      <c r="BK37">
        <f ca="1"/>
        <v>0</v>
      </c>
      <c r="BL37">
        <f ca="1"/>
        <v>0</v>
      </c>
      <c r="BM37">
        <f ca="1"/>
        <v>0</v>
      </c>
      <c r="BN37">
        <f ca="1"/>
        <v>0</v>
      </c>
      <c r="BO37">
        <f ca="1"/>
        <v>0</v>
      </c>
      <c r="BP37">
        <f ca="1"/>
        <v>0</v>
      </c>
      <c r="BQ37">
        <f ca="1"/>
        <v>0</v>
      </c>
      <c r="BR37">
        <f ca="1"/>
        <v>0</v>
      </c>
      <c r="BS37">
        <f ca="1"/>
        <v>0</v>
      </c>
      <c r="BT37">
        <f ca="1"/>
        <v>0</v>
      </c>
      <c r="BU37">
        <f ca="1"/>
        <v>0</v>
      </c>
      <c r="BV37">
        <f ca="1"/>
        <v>0</v>
      </c>
      <c r="BW37">
        <f ca="1"/>
        <v>0</v>
      </c>
      <c r="BX37">
        <f ca="1"/>
        <v>0</v>
      </c>
      <c r="BY37">
        <f ca="1"/>
        <v>0</v>
      </c>
      <c r="BZ37">
        <f ca="1"/>
        <v>0</v>
      </c>
      <c r="CA37">
        <f ca="1"/>
        <v>0</v>
      </c>
      <c r="CB37">
        <f ca="1"/>
        <v>0</v>
      </c>
      <c r="CC37">
        <f ca="1"/>
        <v>0</v>
      </c>
      <c r="CD37">
        <f ca="1"/>
        <v>0</v>
      </c>
      <c r="CE37">
        <f ca="1"/>
        <v>0</v>
      </c>
      <c r="CF37">
        <f ca="1"/>
        <v>0</v>
      </c>
      <c r="CG37">
        <f ca="1"/>
        <v>0</v>
      </c>
      <c r="CH37">
        <f ca="1"/>
        <v>0</v>
      </c>
      <c r="CI37">
        <f ca="1"/>
        <v>0</v>
      </c>
      <c r="CJ37">
        <f ca="1"/>
        <v>0</v>
      </c>
      <c r="CK37">
        <f ca="1"/>
        <v>0</v>
      </c>
      <c r="CL37">
        <f ca="1"/>
        <v>0</v>
      </c>
      <c r="CM37">
        <f ca="1"/>
        <v>0</v>
      </c>
      <c r="CN37">
        <f ca="1"/>
        <v>0</v>
      </c>
      <c r="CO37">
        <f ca="1"/>
        <v>0</v>
      </c>
      <c r="CP37">
        <f ca="1"/>
        <v>0</v>
      </c>
    </row>
    <row r="38" spans="3:94" x14ac:dyDescent="0.25">
      <c r="C38" cm="1">
        <f t="array" aca="1" ref="C38:CP38" ca="1">IFERROR(TRANSPOSE(INDEX(_xlfn._xlws.FILTER(INDIRECT("SubcategoriesTable[Subcategory name]"),INDIRECT("SubcategoriesTable[Category name]")=$B38),,)),_xlfn.CONCAT("No subcategories for"," ", $B38))</f>
        <v>0</v>
      </c>
      <c r="D38">
        <f ca="1"/>
        <v>0</v>
      </c>
      <c r="E38">
        <f ca="1"/>
        <v>0</v>
      </c>
      <c r="F38">
        <f ca="1"/>
        <v>0</v>
      </c>
      <c r="G38">
        <f ca="1"/>
        <v>0</v>
      </c>
      <c r="H38">
        <f ca="1"/>
        <v>0</v>
      </c>
      <c r="I38">
        <f ca="1"/>
        <v>0</v>
      </c>
      <c r="J38">
        <f ca="1"/>
        <v>0</v>
      </c>
      <c r="K38">
        <f ca="1"/>
        <v>0</v>
      </c>
      <c r="L38">
        <f ca="1"/>
        <v>0</v>
      </c>
      <c r="M38">
        <f ca="1"/>
        <v>0</v>
      </c>
      <c r="N38">
        <f ca="1"/>
        <v>0</v>
      </c>
      <c r="O38">
        <f ca="1"/>
        <v>0</v>
      </c>
      <c r="P38">
        <f ca="1"/>
        <v>0</v>
      </c>
      <c r="Q38">
        <f ca="1"/>
        <v>0</v>
      </c>
      <c r="R38">
        <f ca="1"/>
        <v>0</v>
      </c>
      <c r="S38">
        <f ca="1"/>
        <v>0</v>
      </c>
      <c r="T38">
        <f ca="1"/>
        <v>0</v>
      </c>
      <c r="U38">
        <f ca="1"/>
        <v>0</v>
      </c>
      <c r="V38">
        <f ca="1"/>
        <v>0</v>
      </c>
      <c r="W38">
        <f ca="1"/>
        <v>0</v>
      </c>
      <c r="X38">
        <f ca="1"/>
        <v>0</v>
      </c>
      <c r="Y38">
        <f ca="1"/>
        <v>0</v>
      </c>
      <c r="Z38">
        <f ca="1"/>
        <v>0</v>
      </c>
      <c r="AA38">
        <f ca="1"/>
        <v>0</v>
      </c>
      <c r="AB38">
        <f ca="1"/>
        <v>0</v>
      </c>
      <c r="AC38">
        <f ca="1"/>
        <v>0</v>
      </c>
      <c r="AD38">
        <f ca="1"/>
        <v>0</v>
      </c>
      <c r="AE38">
        <f ca="1"/>
        <v>0</v>
      </c>
      <c r="AF38">
        <f ca="1"/>
        <v>0</v>
      </c>
      <c r="AG38">
        <f ca="1"/>
        <v>0</v>
      </c>
      <c r="AH38">
        <f ca="1"/>
        <v>0</v>
      </c>
      <c r="AI38">
        <f ca="1"/>
        <v>0</v>
      </c>
      <c r="AJ38">
        <f ca="1"/>
        <v>0</v>
      </c>
      <c r="AK38">
        <f ca="1"/>
        <v>0</v>
      </c>
      <c r="AL38">
        <f ca="1"/>
        <v>0</v>
      </c>
      <c r="AM38">
        <f ca="1"/>
        <v>0</v>
      </c>
      <c r="AN38">
        <f ca="1"/>
        <v>0</v>
      </c>
      <c r="AO38">
        <f ca="1"/>
        <v>0</v>
      </c>
      <c r="AP38">
        <f ca="1"/>
        <v>0</v>
      </c>
      <c r="AQ38">
        <f ca="1"/>
        <v>0</v>
      </c>
      <c r="AR38">
        <f ca="1"/>
        <v>0</v>
      </c>
      <c r="AS38">
        <f ca="1"/>
        <v>0</v>
      </c>
      <c r="AT38">
        <f ca="1"/>
        <v>0</v>
      </c>
      <c r="AU38">
        <f ca="1"/>
        <v>0</v>
      </c>
      <c r="AV38">
        <f ca="1"/>
        <v>0</v>
      </c>
      <c r="AW38">
        <f ca="1"/>
        <v>0</v>
      </c>
      <c r="AX38">
        <f ca="1"/>
        <v>0</v>
      </c>
      <c r="AY38">
        <f ca="1"/>
        <v>0</v>
      </c>
      <c r="AZ38">
        <f ca="1"/>
        <v>0</v>
      </c>
      <c r="BA38">
        <f ca="1"/>
        <v>0</v>
      </c>
      <c r="BB38">
        <f ca="1"/>
        <v>0</v>
      </c>
      <c r="BC38">
        <f ca="1"/>
        <v>0</v>
      </c>
      <c r="BD38">
        <f ca="1"/>
        <v>0</v>
      </c>
      <c r="BE38">
        <f ca="1"/>
        <v>0</v>
      </c>
      <c r="BF38">
        <f ca="1"/>
        <v>0</v>
      </c>
      <c r="BG38">
        <f ca="1"/>
        <v>0</v>
      </c>
      <c r="BH38">
        <f ca="1"/>
        <v>0</v>
      </c>
      <c r="BI38">
        <f ca="1"/>
        <v>0</v>
      </c>
      <c r="BJ38">
        <f ca="1"/>
        <v>0</v>
      </c>
      <c r="BK38">
        <f ca="1"/>
        <v>0</v>
      </c>
      <c r="BL38">
        <f ca="1"/>
        <v>0</v>
      </c>
      <c r="BM38">
        <f ca="1"/>
        <v>0</v>
      </c>
      <c r="BN38">
        <f ca="1"/>
        <v>0</v>
      </c>
      <c r="BO38">
        <f ca="1"/>
        <v>0</v>
      </c>
      <c r="BP38">
        <f ca="1"/>
        <v>0</v>
      </c>
      <c r="BQ38">
        <f ca="1"/>
        <v>0</v>
      </c>
      <c r="BR38">
        <f ca="1"/>
        <v>0</v>
      </c>
      <c r="BS38">
        <f ca="1"/>
        <v>0</v>
      </c>
      <c r="BT38">
        <f ca="1"/>
        <v>0</v>
      </c>
      <c r="BU38">
        <f ca="1"/>
        <v>0</v>
      </c>
      <c r="BV38">
        <f ca="1"/>
        <v>0</v>
      </c>
      <c r="BW38">
        <f ca="1"/>
        <v>0</v>
      </c>
      <c r="BX38">
        <f ca="1"/>
        <v>0</v>
      </c>
      <c r="BY38">
        <f ca="1"/>
        <v>0</v>
      </c>
      <c r="BZ38">
        <f ca="1"/>
        <v>0</v>
      </c>
      <c r="CA38">
        <f ca="1"/>
        <v>0</v>
      </c>
      <c r="CB38">
        <f ca="1"/>
        <v>0</v>
      </c>
      <c r="CC38">
        <f ca="1"/>
        <v>0</v>
      </c>
      <c r="CD38">
        <f ca="1"/>
        <v>0</v>
      </c>
      <c r="CE38">
        <f ca="1"/>
        <v>0</v>
      </c>
      <c r="CF38">
        <f ca="1"/>
        <v>0</v>
      </c>
      <c r="CG38">
        <f ca="1"/>
        <v>0</v>
      </c>
      <c r="CH38">
        <f ca="1"/>
        <v>0</v>
      </c>
      <c r="CI38">
        <f ca="1"/>
        <v>0</v>
      </c>
      <c r="CJ38">
        <f ca="1"/>
        <v>0</v>
      </c>
      <c r="CK38">
        <f ca="1"/>
        <v>0</v>
      </c>
      <c r="CL38">
        <f ca="1"/>
        <v>0</v>
      </c>
      <c r="CM38">
        <f ca="1"/>
        <v>0</v>
      </c>
      <c r="CN38">
        <f ca="1"/>
        <v>0</v>
      </c>
      <c r="CO38">
        <f ca="1"/>
        <v>0</v>
      </c>
      <c r="CP38">
        <f ca="1"/>
        <v>0</v>
      </c>
    </row>
    <row r="39" spans="3:94" x14ac:dyDescent="0.25">
      <c r="C39" cm="1">
        <f t="array" aca="1" ref="C39:CP39" ca="1">IFERROR(TRANSPOSE(INDEX(_xlfn._xlws.FILTER(INDIRECT("SubcategoriesTable[Subcategory name]"),INDIRECT("SubcategoriesTable[Category name]")=$B39),,)),_xlfn.CONCAT("No subcategories for"," ", $B39))</f>
        <v>0</v>
      </c>
      <c r="D39">
        <f ca="1"/>
        <v>0</v>
      </c>
      <c r="E39">
        <f ca="1"/>
        <v>0</v>
      </c>
      <c r="F39">
        <f ca="1"/>
        <v>0</v>
      </c>
      <c r="G39">
        <f ca="1"/>
        <v>0</v>
      </c>
      <c r="H39">
        <f ca="1"/>
        <v>0</v>
      </c>
      <c r="I39">
        <f ca="1"/>
        <v>0</v>
      </c>
      <c r="J39">
        <f ca="1"/>
        <v>0</v>
      </c>
      <c r="K39">
        <f ca="1"/>
        <v>0</v>
      </c>
      <c r="L39">
        <f ca="1"/>
        <v>0</v>
      </c>
      <c r="M39">
        <f ca="1"/>
        <v>0</v>
      </c>
      <c r="N39">
        <f ca="1"/>
        <v>0</v>
      </c>
      <c r="O39">
        <f ca="1"/>
        <v>0</v>
      </c>
      <c r="P39">
        <f ca="1"/>
        <v>0</v>
      </c>
      <c r="Q39">
        <f ca="1"/>
        <v>0</v>
      </c>
      <c r="R39">
        <f ca="1"/>
        <v>0</v>
      </c>
      <c r="S39">
        <f ca="1"/>
        <v>0</v>
      </c>
      <c r="T39">
        <f ca="1"/>
        <v>0</v>
      </c>
      <c r="U39">
        <f ca="1"/>
        <v>0</v>
      </c>
      <c r="V39">
        <f ca="1"/>
        <v>0</v>
      </c>
      <c r="W39">
        <f ca="1"/>
        <v>0</v>
      </c>
      <c r="X39">
        <f ca="1"/>
        <v>0</v>
      </c>
      <c r="Y39">
        <f ca="1"/>
        <v>0</v>
      </c>
      <c r="Z39">
        <f ca="1"/>
        <v>0</v>
      </c>
      <c r="AA39">
        <f ca="1"/>
        <v>0</v>
      </c>
      <c r="AB39">
        <f ca="1"/>
        <v>0</v>
      </c>
      <c r="AC39">
        <f ca="1"/>
        <v>0</v>
      </c>
      <c r="AD39">
        <f ca="1"/>
        <v>0</v>
      </c>
      <c r="AE39">
        <f ca="1"/>
        <v>0</v>
      </c>
      <c r="AF39">
        <f ca="1"/>
        <v>0</v>
      </c>
      <c r="AG39">
        <f ca="1"/>
        <v>0</v>
      </c>
      <c r="AH39">
        <f ca="1"/>
        <v>0</v>
      </c>
      <c r="AI39">
        <f ca="1"/>
        <v>0</v>
      </c>
      <c r="AJ39">
        <f ca="1"/>
        <v>0</v>
      </c>
      <c r="AK39">
        <f ca="1"/>
        <v>0</v>
      </c>
      <c r="AL39">
        <f ca="1"/>
        <v>0</v>
      </c>
      <c r="AM39">
        <f ca="1"/>
        <v>0</v>
      </c>
      <c r="AN39">
        <f ca="1"/>
        <v>0</v>
      </c>
      <c r="AO39">
        <f ca="1"/>
        <v>0</v>
      </c>
      <c r="AP39">
        <f ca="1"/>
        <v>0</v>
      </c>
      <c r="AQ39">
        <f ca="1"/>
        <v>0</v>
      </c>
      <c r="AR39">
        <f ca="1"/>
        <v>0</v>
      </c>
      <c r="AS39">
        <f ca="1"/>
        <v>0</v>
      </c>
      <c r="AT39">
        <f ca="1"/>
        <v>0</v>
      </c>
      <c r="AU39">
        <f ca="1"/>
        <v>0</v>
      </c>
      <c r="AV39">
        <f ca="1"/>
        <v>0</v>
      </c>
      <c r="AW39">
        <f ca="1"/>
        <v>0</v>
      </c>
      <c r="AX39">
        <f ca="1"/>
        <v>0</v>
      </c>
      <c r="AY39">
        <f ca="1"/>
        <v>0</v>
      </c>
      <c r="AZ39">
        <f ca="1"/>
        <v>0</v>
      </c>
      <c r="BA39">
        <f ca="1"/>
        <v>0</v>
      </c>
      <c r="BB39">
        <f ca="1"/>
        <v>0</v>
      </c>
      <c r="BC39">
        <f ca="1"/>
        <v>0</v>
      </c>
      <c r="BD39">
        <f ca="1"/>
        <v>0</v>
      </c>
      <c r="BE39">
        <f ca="1"/>
        <v>0</v>
      </c>
      <c r="BF39">
        <f ca="1"/>
        <v>0</v>
      </c>
      <c r="BG39">
        <f ca="1"/>
        <v>0</v>
      </c>
      <c r="BH39">
        <f ca="1"/>
        <v>0</v>
      </c>
      <c r="BI39">
        <f ca="1"/>
        <v>0</v>
      </c>
      <c r="BJ39">
        <f ca="1"/>
        <v>0</v>
      </c>
      <c r="BK39">
        <f ca="1"/>
        <v>0</v>
      </c>
      <c r="BL39">
        <f ca="1"/>
        <v>0</v>
      </c>
      <c r="BM39">
        <f ca="1"/>
        <v>0</v>
      </c>
      <c r="BN39">
        <f ca="1"/>
        <v>0</v>
      </c>
      <c r="BO39">
        <f ca="1"/>
        <v>0</v>
      </c>
      <c r="BP39">
        <f ca="1"/>
        <v>0</v>
      </c>
      <c r="BQ39">
        <f ca="1"/>
        <v>0</v>
      </c>
      <c r="BR39">
        <f ca="1"/>
        <v>0</v>
      </c>
      <c r="BS39">
        <f ca="1"/>
        <v>0</v>
      </c>
      <c r="BT39">
        <f ca="1"/>
        <v>0</v>
      </c>
      <c r="BU39">
        <f ca="1"/>
        <v>0</v>
      </c>
      <c r="BV39">
        <f ca="1"/>
        <v>0</v>
      </c>
      <c r="BW39">
        <f ca="1"/>
        <v>0</v>
      </c>
      <c r="BX39">
        <f ca="1"/>
        <v>0</v>
      </c>
      <c r="BY39">
        <f ca="1"/>
        <v>0</v>
      </c>
      <c r="BZ39">
        <f ca="1"/>
        <v>0</v>
      </c>
      <c r="CA39">
        <f ca="1"/>
        <v>0</v>
      </c>
      <c r="CB39">
        <f ca="1"/>
        <v>0</v>
      </c>
      <c r="CC39">
        <f ca="1"/>
        <v>0</v>
      </c>
      <c r="CD39">
        <f ca="1"/>
        <v>0</v>
      </c>
      <c r="CE39">
        <f ca="1"/>
        <v>0</v>
      </c>
      <c r="CF39">
        <f ca="1"/>
        <v>0</v>
      </c>
      <c r="CG39">
        <f ca="1"/>
        <v>0</v>
      </c>
      <c r="CH39">
        <f ca="1"/>
        <v>0</v>
      </c>
      <c r="CI39">
        <f ca="1"/>
        <v>0</v>
      </c>
      <c r="CJ39">
        <f ca="1"/>
        <v>0</v>
      </c>
      <c r="CK39">
        <f ca="1"/>
        <v>0</v>
      </c>
      <c r="CL39">
        <f ca="1"/>
        <v>0</v>
      </c>
      <c r="CM39">
        <f ca="1"/>
        <v>0</v>
      </c>
      <c r="CN39">
        <f ca="1"/>
        <v>0</v>
      </c>
      <c r="CO39">
        <f ca="1"/>
        <v>0</v>
      </c>
      <c r="CP39">
        <f ca="1"/>
        <v>0</v>
      </c>
    </row>
    <row r="40" spans="3:94" x14ac:dyDescent="0.25">
      <c r="C40" cm="1">
        <f t="array" aca="1" ref="C40:CP40" ca="1">IFERROR(TRANSPOSE(INDEX(_xlfn._xlws.FILTER(INDIRECT("SubcategoriesTable[Subcategory name]"),INDIRECT("SubcategoriesTable[Category name]")=$B40),,)),_xlfn.CONCAT("No subcategories for"," ", $B40))</f>
        <v>0</v>
      </c>
      <c r="D40">
        <f ca="1"/>
        <v>0</v>
      </c>
      <c r="E40">
        <f ca="1"/>
        <v>0</v>
      </c>
      <c r="F40">
        <f ca="1"/>
        <v>0</v>
      </c>
      <c r="G40">
        <f ca="1"/>
        <v>0</v>
      </c>
      <c r="H40">
        <f ca="1"/>
        <v>0</v>
      </c>
      <c r="I40">
        <f ca="1"/>
        <v>0</v>
      </c>
      <c r="J40">
        <f ca="1"/>
        <v>0</v>
      </c>
      <c r="K40">
        <f ca="1"/>
        <v>0</v>
      </c>
      <c r="L40">
        <f ca="1"/>
        <v>0</v>
      </c>
      <c r="M40">
        <f ca="1"/>
        <v>0</v>
      </c>
      <c r="N40">
        <f ca="1"/>
        <v>0</v>
      </c>
      <c r="O40">
        <f ca="1"/>
        <v>0</v>
      </c>
      <c r="P40">
        <f ca="1"/>
        <v>0</v>
      </c>
      <c r="Q40">
        <f ca="1"/>
        <v>0</v>
      </c>
      <c r="R40">
        <f ca="1"/>
        <v>0</v>
      </c>
      <c r="S40">
        <f ca="1"/>
        <v>0</v>
      </c>
      <c r="T40">
        <f ca="1"/>
        <v>0</v>
      </c>
      <c r="U40">
        <f ca="1"/>
        <v>0</v>
      </c>
      <c r="V40">
        <f ca="1"/>
        <v>0</v>
      </c>
      <c r="W40">
        <f ca="1"/>
        <v>0</v>
      </c>
      <c r="X40">
        <f ca="1"/>
        <v>0</v>
      </c>
      <c r="Y40">
        <f ca="1"/>
        <v>0</v>
      </c>
      <c r="Z40">
        <f ca="1"/>
        <v>0</v>
      </c>
      <c r="AA40">
        <f ca="1"/>
        <v>0</v>
      </c>
      <c r="AB40">
        <f ca="1"/>
        <v>0</v>
      </c>
      <c r="AC40">
        <f ca="1"/>
        <v>0</v>
      </c>
      <c r="AD40">
        <f ca="1"/>
        <v>0</v>
      </c>
      <c r="AE40">
        <f ca="1"/>
        <v>0</v>
      </c>
      <c r="AF40">
        <f ca="1"/>
        <v>0</v>
      </c>
      <c r="AG40">
        <f ca="1"/>
        <v>0</v>
      </c>
      <c r="AH40">
        <f ca="1"/>
        <v>0</v>
      </c>
      <c r="AI40">
        <f ca="1"/>
        <v>0</v>
      </c>
      <c r="AJ40">
        <f ca="1"/>
        <v>0</v>
      </c>
      <c r="AK40">
        <f ca="1"/>
        <v>0</v>
      </c>
      <c r="AL40">
        <f ca="1"/>
        <v>0</v>
      </c>
      <c r="AM40">
        <f ca="1"/>
        <v>0</v>
      </c>
      <c r="AN40">
        <f ca="1"/>
        <v>0</v>
      </c>
      <c r="AO40">
        <f ca="1"/>
        <v>0</v>
      </c>
      <c r="AP40">
        <f ca="1"/>
        <v>0</v>
      </c>
      <c r="AQ40">
        <f ca="1"/>
        <v>0</v>
      </c>
      <c r="AR40">
        <f ca="1"/>
        <v>0</v>
      </c>
      <c r="AS40">
        <f ca="1"/>
        <v>0</v>
      </c>
      <c r="AT40">
        <f ca="1"/>
        <v>0</v>
      </c>
      <c r="AU40">
        <f ca="1"/>
        <v>0</v>
      </c>
      <c r="AV40">
        <f ca="1"/>
        <v>0</v>
      </c>
      <c r="AW40">
        <f ca="1"/>
        <v>0</v>
      </c>
      <c r="AX40">
        <f ca="1"/>
        <v>0</v>
      </c>
      <c r="AY40">
        <f ca="1"/>
        <v>0</v>
      </c>
      <c r="AZ40">
        <f ca="1"/>
        <v>0</v>
      </c>
      <c r="BA40">
        <f ca="1"/>
        <v>0</v>
      </c>
      <c r="BB40">
        <f ca="1"/>
        <v>0</v>
      </c>
      <c r="BC40">
        <f ca="1"/>
        <v>0</v>
      </c>
      <c r="BD40">
        <f ca="1"/>
        <v>0</v>
      </c>
      <c r="BE40">
        <f ca="1"/>
        <v>0</v>
      </c>
      <c r="BF40">
        <f ca="1"/>
        <v>0</v>
      </c>
      <c r="BG40">
        <f ca="1"/>
        <v>0</v>
      </c>
      <c r="BH40">
        <f ca="1"/>
        <v>0</v>
      </c>
      <c r="BI40">
        <f ca="1"/>
        <v>0</v>
      </c>
      <c r="BJ40">
        <f ca="1"/>
        <v>0</v>
      </c>
      <c r="BK40">
        <f ca="1"/>
        <v>0</v>
      </c>
      <c r="BL40">
        <f ca="1"/>
        <v>0</v>
      </c>
      <c r="BM40">
        <f ca="1"/>
        <v>0</v>
      </c>
      <c r="BN40">
        <f ca="1"/>
        <v>0</v>
      </c>
      <c r="BO40">
        <f ca="1"/>
        <v>0</v>
      </c>
      <c r="BP40">
        <f ca="1"/>
        <v>0</v>
      </c>
      <c r="BQ40">
        <f ca="1"/>
        <v>0</v>
      </c>
      <c r="BR40">
        <f ca="1"/>
        <v>0</v>
      </c>
      <c r="BS40">
        <f ca="1"/>
        <v>0</v>
      </c>
      <c r="BT40">
        <f ca="1"/>
        <v>0</v>
      </c>
      <c r="BU40">
        <f ca="1"/>
        <v>0</v>
      </c>
      <c r="BV40">
        <f ca="1"/>
        <v>0</v>
      </c>
      <c r="BW40">
        <f ca="1"/>
        <v>0</v>
      </c>
      <c r="BX40">
        <f ca="1"/>
        <v>0</v>
      </c>
      <c r="BY40">
        <f ca="1"/>
        <v>0</v>
      </c>
      <c r="BZ40">
        <f ca="1"/>
        <v>0</v>
      </c>
      <c r="CA40">
        <f ca="1"/>
        <v>0</v>
      </c>
      <c r="CB40">
        <f ca="1"/>
        <v>0</v>
      </c>
      <c r="CC40">
        <f ca="1"/>
        <v>0</v>
      </c>
      <c r="CD40">
        <f ca="1"/>
        <v>0</v>
      </c>
      <c r="CE40">
        <f ca="1"/>
        <v>0</v>
      </c>
      <c r="CF40">
        <f ca="1"/>
        <v>0</v>
      </c>
      <c r="CG40">
        <f ca="1"/>
        <v>0</v>
      </c>
      <c r="CH40">
        <f ca="1"/>
        <v>0</v>
      </c>
      <c r="CI40">
        <f ca="1"/>
        <v>0</v>
      </c>
      <c r="CJ40">
        <f ca="1"/>
        <v>0</v>
      </c>
      <c r="CK40">
        <f ca="1"/>
        <v>0</v>
      </c>
      <c r="CL40">
        <f ca="1"/>
        <v>0</v>
      </c>
      <c r="CM40">
        <f ca="1"/>
        <v>0</v>
      </c>
      <c r="CN40">
        <f ca="1"/>
        <v>0</v>
      </c>
      <c r="CO40">
        <f ca="1"/>
        <v>0</v>
      </c>
      <c r="CP40">
        <f ca="1"/>
        <v>0</v>
      </c>
    </row>
    <row r="41" spans="3:94" x14ac:dyDescent="0.25">
      <c r="C41" cm="1">
        <f t="array" aca="1" ref="C41:CP41" ca="1">IFERROR(TRANSPOSE(INDEX(_xlfn._xlws.FILTER(INDIRECT("SubcategoriesTable[Subcategory name]"),INDIRECT("SubcategoriesTable[Category name]")=$B41),,)),_xlfn.CONCAT("No subcategories for"," ", $B41))</f>
        <v>0</v>
      </c>
      <c r="D41">
        <f ca="1"/>
        <v>0</v>
      </c>
      <c r="E41">
        <f ca="1"/>
        <v>0</v>
      </c>
      <c r="F41">
        <f ca="1"/>
        <v>0</v>
      </c>
      <c r="G41">
        <f ca="1"/>
        <v>0</v>
      </c>
      <c r="H41">
        <f ca="1"/>
        <v>0</v>
      </c>
      <c r="I41">
        <f ca="1"/>
        <v>0</v>
      </c>
      <c r="J41">
        <f ca="1"/>
        <v>0</v>
      </c>
      <c r="K41">
        <f ca="1"/>
        <v>0</v>
      </c>
      <c r="L41">
        <f ca="1"/>
        <v>0</v>
      </c>
      <c r="M41">
        <f ca="1"/>
        <v>0</v>
      </c>
      <c r="N41">
        <f ca="1"/>
        <v>0</v>
      </c>
      <c r="O41">
        <f ca="1"/>
        <v>0</v>
      </c>
      <c r="P41">
        <f ca="1"/>
        <v>0</v>
      </c>
      <c r="Q41">
        <f ca="1"/>
        <v>0</v>
      </c>
      <c r="R41">
        <f ca="1"/>
        <v>0</v>
      </c>
      <c r="S41">
        <f ca="1"/>
        <v>0</v>
      </c>
      <c r="T41">
        <f ca="1"/>
        <v>0</v>
      </c>
      <c r="U41">
        <f ca="1"/>
        <v>0</v>
      </c>
      <c r="V41">
        <f ca="1"/>
        <v>0</v>
      </c>
      <c r="W41">
        <f ca="1"/>
        <v>0</v>
      </c>
      <c r="X41">
        <f ca="1"/>
        <v>0</v>
      </c>
      <c r="Y41">
        <f ca="1"/>
        <v>0</v>
      </c>
      <c r="Z41">
        <f ca="1"/>
        <v>0</v>
      </c>
      <c r="AA41">
        <f ca="1"/>
        <v>0</v>
      </c>
      <c r="AB41">
        <f ca="1"/>
        <v>0</v>
      </c>
      <c r="AC41">
        <f ca="1"/>
        <v>0</v>
      </c>
      <c r="AD41">
        <f ca="1"/>
        <v>0</v>
      </c>
      <c r="AE41">
        <f ca="1"/>
        <v>0</v>
      </c>
      <c r="AF41">
        <f ca="1"/>
        <v>0</v>
      </c>
      <c r="AG41">
        <f ca="1"/>
        <v>0</v>
      </c>
      <c r="AH41">
        <f ca="1"/>
        <v>0</v>
      </c>
      <c r="AI41">
        <f ca="1"/>
        <v>0</v>
      </c>
      <c r="AJ41">
        <f ca="1"/>
        <v>0</v>
      </c>
      <c r="AK41">
        <f ca="1"/>
        <v>0</v>
      </c>
      <c r="AL41">
        <f ca="1"/>
        <v>0</v>
      </c>
      <c r="AM41">
        <f ca="1"/>
        <v>0</v>
      </c>
      <c r="AN41">
        <f ca="1"/>
        <v>0</v>
      </c>
      <c r="AO41">
        <f ca="1"/>
        <v>0</v>
      </c>
      <c r="AP41">
        <f ca="1"/>
        <v>0</v>
      </c>
      <c r="AQ41">
        <f ca="1"/>
        <v>0</v>
      </c>
      <c r="AR41">
        <f ca="1"/>
        <v>0</v>
      </c>
      <c r="AS41">
        <f ca="1"/>
        <v>0</v>
      </c>
      <c r="AT41">
        <f ca="1"/>
        <v>0</v>
      </c>
      <c r="AU41">
        <f ca="1"/>
        <v>0</v>
      </c>
      <c r="AV41">
        <f ca="1"/>
        <v>0</v>
      </c>
      <c r="AW41">
        <f ca="1"/>
        <v>0</v>
      </c>
      <c r="AX41">
        <f ca="1"/>
        <v>0</v>
      </c>
      <c r="AY41">
        <f ca="1"/>
        <v>0</v>
      </c>
      <c r="AZ41">
        <f ca="1"/>
        <v>0</v>
      </c>
      <c r="BA41">
        <f ca="1"/>
        <v>0</v>
      </c>
      <c r="BB41">
        <f ca="1"/>
        <v>0</v>
      </c>
      <c r="BC41">
        <f ca="1"/>
        <v>0</v>
      </c>
      <c r="BD41">
        <f ca="1"/>
        <v>0</v>
      </c>
      <c r="BE41">
        <f ca="1"/>
        <v>0</v>
      </c>
      <c r="BF41">
        <f ca="1"/>
        <v>0</v>
      </c>
      <c r="BG41">
        <f ca="1"/>
        <v>0</v>
      </c>
      <c r="BH41">
        <f ca="1"/>
        <v>0</v>
      </c>
      <c r="BI41">
        <f ca="1"/>
        <v>0</v>
      </c>
      <c r="BJ41">
        <f ca="1"/>
        <v>0</v>
      </c>
      <c r="BK41">
        <f ca="1"/>
        <v>0</v>
      </c>
      <c r="BL41">
        <f ca="1"/>
        <v>0</v>
      </c>
      <c r="BM41">
        <f ca="1"/>
        <v>0</v>
      </c>
      <c r="BN41">
        <f ca="1"/>
        <v>0</v>
      </c>
      <c r="BO41">
        <f ca="1"/>
        <v>0</v>
      </c>
      <c r="BP41">
        <f ca="1"/>
        <v>0</v>
      </c>
      <c r="BQ41">
        <f ca="1"/>
        <v>0</v>
      </c>
      <c r="BR41">
        <f ca="1"/>
        <v>0</v>
      </c>
      <c r="BS41">
        <f ca="1"/>
        <v>0</v>
      </c>
      <c r="BT41">
        <f ca="1"/>
        <v>0</v>
      </c>
      <c r="BU41">
        <f ca="1"/>
        <v>0</v>
      </c>
      <c r="BV41">
        <f ca="1"/>
        <v>0</v>
      </c>
      <c r="BW41">
        <f ca="1"/>
        <v>0</v>
      </c>
      <c r="BX41">
        <f ca="1"/>
        <v>0</v>
      </c>
      <c r="BY41">
        <f ca="1"/>
        <v>0</v>
      </c>
      <c r="BZ41">
        <f ca="1"/>
        <v>0</v>
      </c>
      <c r="CA41">
        <f ca="1"/>
        <v>0</v>
      </c>
      <c r="CB41">
        <f ca="1"/>
        <v>0</v>
      </c>
      <c r="CC41">
        <f ca="1"/>
        <v>0</v>
      </c>
      <c r="CD41">
        <f ca="1"/>
        <v>0</v>
      </c>
      <c r="CE41">
        <f ca="1"/>
        <v>0</v>
      </c>
      <c r="CF41">
        <f ca="1"/>
        <v>0</v>
      </c>
      <c r="CG41">
        <f ca="1"/>
        <v>0</v>
      </c>
      <c r="CH41">
        <f ca="1"/>
        <v>0</v>
      </c>
      <c r="CI41">
        <f ca="1"/>
        <v>0</v>
      </c>
      <c r="CJ41">
        <f ca="1"/>
        <v>0</v>
      </c>
      <c r="CK41">
        <f ca="1"/>
        <v>0</v>
      </c>
      <c r="CL41">
        <f ca="1"/>
        <v>0</v>
      </c>
      <c r="CM41">
        <f ca="1"/>
        <v>0</v>
      </c>
      <c r="CN41">
        <f ca="1"/>
        <v>0</v>
      </c>
      <c r="CO41">
        <f ca="1"/>
        <v>0</v>
      </c>
      <c r="CP41">
        <f ca="1"/>
        <v>0</v>
      </c>
    </row>
    <row r="42" spans="3:94" x14ac:dyDescent="0.25">
      <c r="C42" cm="1">
        <f t="array" aca="1" ref="C42:CP42" ca="1">IFERROR(TRANSPOSE(INDEX(_xlfn._xlws.FILTER(INDIRECT("SubcategoriesTable[Subcategory name]"),INDIRECT("SubcategoriesTable[Category name]")=$B42),,)),_xlfn.CONCAT("No subcategories for"," ", $B42))</f>
        <v>0</v>
      </c>
      <c r="D42">
        <f ca="1"/>
        <v>0</v>
      </c>
      <c r="E42">
        <f ca="1"/>
        <v>0</v>
      </c>
      <c r="F42">
        <f ca="1"/>
        <v>0</v>
      </c>
      <c r="G42">
        <f ca="1"/>
        <v>0</v>
      </c>
      <c r="H42">
        <f ca="1"/>
        <v>0</v>
      </c>
      <c r="I42">
        <f ca="1"/>
        <v>0</v>
      </c>
      <c r="J42">
        <f ca="1"/>
        <v>0</v>
      </c>
      <c r="K42">
        <f ca="1"/>
        <v>0</v>
      </c>
      <c r="L42">
        <f ca="1"/>
        <v>0</v>
      </c>
      <c r="M42">
        <f ca="1"/>
        <v>0</v>
      </c>
      <c r="N42">
        <f ca="1"/>
        <v>0</v>
      </c>
      <c r="O42">
        <f ca="1"/>
        <v>0</v>
      </c>
      <c r="P42">
        <f ca="1"/>
        <v>0</v>
      </c>
      <c r="Q42">
        <f ca="1"/>
        <v>0</v>
      </c>
      <c r="R42">
        <f ca="1"/>
        <v>0</v>
      </c>
      <c r="S42">
        <f ca="1"/>
        <v>0</v>
      </c>
      <c r="T42">
        <f ca="1"/>
        <v>0</v>
      </c>
      <c r="U42">
        <f ca="1"/>
        <v>0</v>
      </c>
      <c r="V42">
        <f ca="1"/>
        <v>0</v>
      </c>
      <c r="W42">
        <f ca="1"/>
        <v>0</v>
      </c>
      <c r="X42">
        <f ca="1"/>
        <v>0</v>
      </c>
      <c r="Y42">
        <f ca="1"/>
        <v>0</v>
      </c>
      <c r="Z42">
        <f ca="1"/>
        <v>0</v>
      </c>
      <c r="AA42">
        <f ca="1"/>
        <v>0</v>
      </c>
      <c r="AB42">
        <f ca="1"/>
        <v>0</v>
      </c>
      <c r="AC42">
        <f ca="1"/>
        <v>0</v>
      </c>
      <c r="AD42">
        <f ca="1"/>
        <v>0</v>
      </c>
      <c r="AE42">
        <f ca="1"/>
        <v>0</v>
      </c>
      <c r="AF42">
        <f ca="1"/>
        <v>0</v>
      </c>
      <c r="AG42">
        <f ca="1"/>
        <v>0</v>
      </c>
      <c r="AH42">
        <f ca="1"/>
        <v>0</v>
      </c>
      <c r="AI42">
        <f ca="1"/>
        <v>0</v>
      </c>
      <c r="AJ42">
        <f ca="1"/>
        <v>0</v>
      </c>
      <c r="AK42">
        <f ca="1"/>
        <v>0</v>
      </c>
      <c r="AL42">
        <f ca="1"/>
        <v>0</v>
      </c>
      <c r="AM42">
        <f ca="1"/>
        <v>0</v>
      </c>
      <c r="AN42">
        <f ca="1"/>
        <v>0</v>
      </c>
      <c r="AO42">
        <f ca="1"/>
        <v>0</v>
      </c>
      <c r="AP42">
        <f ca="1"/>
        <v>0</v>
      </c>
      <c r="AQ42">
        <f ca="1"/>
        <v>0</v>
      </c>
      <c r="AR42">
        <f ca="1"/>
        <v>0</v>
      </c>
      <c r="AS42">
        <f ca="1"/>
        <v>0</v>
      </c>
      <c r="AT42">
        <f ca="1"/>
        <v>0</v>
      </c>
      <c r="AU42">
        <f ca="1"/>
        <v>0</v>
      </c>
      <c r="AV42">
        <f ca="1"/>
        <v>0</v>
      </c>
      <c r="AW42">
        <f ca="1"/>
        <v>0</v>
      </c>
      <c r="AX42">
        <f ca="1"/>
        <v>0</v>
      </c>
      <c r="AY42">
        <f ca="1"/>
        <v>0</v>
      </c>
      <c r="AZ42">
        <f ca="1"/>
        <v>0</v>
      </c>
      <c r="BA42">
        <f ca="1"/>
        <v>0</v>
      </c>
      <c r="BB42">
        <f ca="1"/>
        <v>0</v>
      </c>
      <c r="BC42">
        <f ca="1"/>
        <v>0</v>
      </c>
      <c r="BD42">
        <f ca="1"/>
        <v>0</v>
      </c>
      <c r="BE42">
        <f ca="1"/>
        <v>0</v>
      </c>
      <c r="BF42">
        <f ca="1"/>
        <v>0</v>
      </c>
      <c r="BG42">
        <f ca="1"/>
        <v>0</v>
      </c>
      <c r="BH42">
        <f ca="1"/>
        <v>0</v>
      </c>
      <c r="BI42">
        <f ca="1"/>
        <v>0</v>
      </c>
      <c r="BJ42">
        <f ca="1"/>
        <v>0</v>
      </c>
      <c r="BK42">
        <f ca="1"/>
        <v>0</v>
      </c>
      <c r="BL42">
        <f ca="1"/>
        <v>0</v>
      </c>
      <c r="BM42">
        <f ca="1"/>
        <v>0</v>
      </c>
      <c r="BN42">
        <f ca="1"/>
        <v>0</v>
      </c>
      <c r="BO42">
        <f ca="1"/>
        <v>0</v>
      </c>
      <c r="BP42">
        <f ca="1"/>
        <v>0</v>
      </c>
      <c r="BQ42">
        <f ca="1"/>
        <v>0</v>
      </c>
      <c r="BR42">
        <f ca="1"/>
        <v>0</v>
      </c>
      <c r="BS42">
        <f ca="1"/>
        <v>0</v>
      </c>
      <c r="BT42">
        <f ca="1"/>
        <v>0</v>
      </c>
      <c r="BU42">
        <f ca="1"/>
        <v>0</v>
      </c>
      <c r="BV42">
        <f ca="1"/>
        <v>0</v>
      </c>
      <c r="BW42">
        <f ca="1"/>
        <v>0</v>
      </c>
      <c r="BX42">
        <f ca="1"/>
        <v>0</v>
      </c>
      <c r="BY42">
        <f ca="1"/>
        <v>0</v>
      </c>
      <c r="BZ42">
        <f ca="1"/>
        <v>0</v>
      </c>
      <c r="CA42">
        <f ca="1"/>
        <v>0</v>
      </c>
      <c r="CB42">
        <f ca="1"/>
        <v>0</v>
      </c>
      <c r="CC42">
        <f ca="1"/>
        <v>0</v>
      </c>
      <c r="CD42">
        <f ca="1"/>
        <v>0</v>
      </c>
      <c r="CE42">
        <f ca="1"/>
        <v>0</v>
      </c>
      <c r="CF42">
        <f ca="1"/>
        <v>0</v>
      </c>
      <c r="CG42">
        <f ca="1"/>
        <v>0</v>
      </c>
      <c r="CH42">
        <f ca="1"/>
        <v>0</v>
      </c>
      <c r="CI42">
        <f ca="1"/>
        <v>0</v>
      </c>
      <c r="CJ42">
        <f ca="1"/>
        <v>0</v>
      </c>
      <c r="CK42">
        <f ca="1"/>
        <v>0</v>
      </c>
      <c r="CL42">
        <f ca="1"/>
        <v>0</v>
      </c>
      <c r="CM42">
        <f ca="1"/>
        <v>0</v>
      </c>
      <c r="CN42">
        <f ca="1"/>
        <v>0</v>
      </c>
      <c r="CO42">
        <f ca="1"/>
        <v>0</v>
      </c>
      <c r="CP42">
        <f ca="1"/>
        <v>0</v>
      </c>
    </row>
    <row r="43" spans="3:94" x14ac:dyDescent="0.25">
      <c r="C43" cm="1">
        <f t="array" aca="1" ref="C43:CP43" ca="1">IFERROR(TRANSPOSE(INDEX(_xlfn._xlws.FILTER(INDIRECT("SubcategoriesTable[Subcategory name]"),INDIRECT("SubcategoriesTable[Category name]")=$B43),,)),_xlfn.CONCAT("No subcategories for"," ", $B43))</f>
        <v>0</v>
      </c>
      <c r="D43">
        <f ca="1"/>
        <v>0</v>
      </c>
      <c r="E43">
        <f ca="1"/>
        <v>0</v>
      </c>
      <c r="F43">
        <f ca="1"/>
        <v>0</v>
      </c>
      <c r="G43">
        <f ca="1"/>
        <v>0</v>
      </c>
      <c r="H43">
        <f ca="1"/>
        <v>0</v>
      </c>
      <c r="I43">
        <f ca="1"/>
        <v>0</v>
      </c>
      <c r="J43">
        <f ca="1"/>
        <v>0</v>
      </c>
      <c r="K43">
        <f ca="1"/>
        <v>0</v>
      </c>
      <c r="L43">
        <f ca="1"/>
        <v>0</v>
      </c>
      <c r="M43">
        <f ca="1"/>
        <v>0</v>
      </c>
      <c r="N43">
        <f ca="1"/>
        <v>0</v>
      </c>
      <c r="O43">
        <f ca="1"/>
        <v>0</v>
      </c>
      <c r="P43">
        <f ca="1"/>
        <v>0</v>
      </c>
      <c r="Q43">
        <f ca="1"/>
        <v>0</v>
      </c>
      <c r="R43">
        <f ca="1"/>
        <v>0</v>
      </c>
      <c r="S43">
        <f ca="1"/>
        <v>0</v>
      </c>
      <c r="T43">
        <f ca="1"/>
        <v>0</v>
      </c>
      <c r="U43">
        <f ca="1"/>
        <v>0</v>
      </c>
      <c r="V43">
        <f ca="1"/>
        <v>0</v>
      </c>
      <c r="W43">
        <f ca="1"/>
        <v>0</v>
      </c>
      <c r="X43">
        <f ca="1"/>
        <v>0</v>
      </c>
      <c r="Y43">
        <f ca="1"/>
        <v>0</v>
      </c>
      <c r="Z43">
        <f ca="1"/>
        <v>0</v>
      </c>
      <c r="AA43">
        <f ca="1"/>
        <v>0</v>
      </c>
      <c r="AB43">
        <f ca="1"/>
        <v>0</v>
      </c>
      <c r="AC43">
        <f ca="1"/>
        <v>0</v>
      </c>
      <c r="AD43">
        <f ca="1"/>
        <v>0</v>
      </c>
      <c r="AE43">
        <f ca="1"/>
        <v>0</v>
      </c>
      <c r="AF43">
        <f ca="1"/>
        <v>0</v>
      </c>
      <c r="AG43">
        <f ca="1"/>
        <v>0</v>
      </c>
      <c r="AH43">
        <f ca="1"/>
        <v>0</v>
      </c>
      <c r="AI43">
        <f ca="1"/>
        <v>0</v>
      </c>
      <c r="AJ43">
        <f ca="1"/>
        <v>0</v>
      </c>
      <c r="AK43">
        <f ca="1"/>
        <v>0</v>
      </c>
      <c r="AL43">
        <f ca="1"/>
        <v>0</v>
      </c>
      <c r="AM43">
        <f ca="1"/>
        <v>0</v>
      </c>
      <c r="AN43">
        <f ca="1"/>
        <v>0</v>
      </c>
      <c r="AO43">
        <f ca="1"/>
        <v>0</v>
      </c>
      <c r="AP43">
        <f ca="1"/>
        <v>0</v>
      </c>
      <c r="AQ43">
        <f ca="1"/>
        <v>0</v>
      </c>
      <c r="AR43">
        <f ca="1"/>
        <v>0</v>
      </c>
      <c r="AS43">
        <f ca="1"/>
        <v>0</v>
      </c>
      <c r="AT43">
        <f ca="1"/>
        <v>0</v>
      </c>
      <c r="AU43">
        <f ca="1"/>
        <v>0</v>
      </c>
      <c r="AV43">
        <f ca="1"/>
        <v>0</v>
      </c>
      <c r="AW43">
        <f ca="1"/>
        <v>0</v>
      </c>
      <c r="AX43">
        <f ca="1"/>
        <v>0</v>
      </c>
      <c r="AY43">
        <f ca="1"/>
        <v>0</v>
      </c>
      <c r="AZ43">
        <f ca="1"/>
        <v>0</v>
      </c>
      <c r="BA43">
        <f ca="1"/>
        <v>0</v>
      </c>
      <c r="BB43">
        <f ca="1"/>
        <v>0</v>
      </c>
      <c r="BC43">
        <f ca="1"/>
        <v>0</v>
      </c>
      <c r="BD43">
        <f ca="1"/>
        <v>0</v>
      </c>
      <c r="BE43">
        <f ca="1"/>
        <v>0</v>
      </c>
      <c r="BF43">
        <f ca="1"/>
        <v>0</v>
      </c>
      <c r="BG43">
        <f ca="1"/>
        <v>0</v>
      </c>
      <c r="BH43">
        <f ca="1"/>
        <v>0</v>
      </c>
      <c r="BI43">
        <f ca="1"/>
        <v>0</v>
      </c>
      <c r="BJ43">
        <f ca="1"/>
        <v>0</v>
      </c>
      <c r="BK43">
        <f ca="1"/>
        <v>0</v>
      </c>
      <c r="BL43">
        <f ca="1"/>
        <v>0</v>
      </c>
      <c r="BM43">
        <f ca="1"/>
        <v>0</v>
      </c>
      <c r="BN43">
        <f ca="1"/>
        <v>0</v>
      </c>
      <c r="BO43">
        <f ca="1"/>
        <v>0</v>
      </c>
      <c r="BP43">
        <f ca="1"/>
        <v>0</v>
      </c>
      <c r="BQ43">
        <f ca="1"/>
        <v>0</v>
      </c>
      <c r="BR43">
        <f ca="1"/>
        <v>0</v>
      </c>
      <c r="BS43">
        <f ca="1"/>
        <v>0</v>
      </c>
      <c r="BT43">
        <f ca="1"/>
        <v>0</v>
      </c>
      <c r="BU43">
        <f ca="1"/>
        <v>0</v>
      </c>
      <c r="BV43">
        <f ca="1"/>
        <v>0</v>
      </c>
      <c r="BW43">
        <f ca="1"/>
        <v>0</v>
      </c>
      <c r="BX43">
        <f ca="1"/>
        <v>0</v>
      </c>
      <c r="BY43">
        <f ca="1"/>
        <v>0</v>
      </c>
      <c r="BZ43">
        <f ca="1"/>
        <v>0</v>
      </c>
      <c r="CA43">
        <f ca="1"/>
        <v>0</v>
      </c>
      <c r="CB43">
        <f ca="1"/>
        <v>0</v>
      </c>
      <c r="CC43">
        <f ca="1"/>
        <v>0</v>
      </c>
      <c r="CD43">
        <f ca="1"/>
        <v>0</v>
      </c>
      <c r="CE43">
        <f ca="1"/>
        <v>0</v>
      </c>
      <c r="CF43">
        <f ca="1"/>
        <v>0</v>
      </c>
      <c r="CG43">
        <f ca="1"/>
        <v>0</v>
      </c>
      <c r="CH43">
        <f ca="1"/>
        <v>0</v>
      </c>
      <c r="CI43">
        <f ca="1"/>
        <v>0</v>
      </c>
      <c r="CJ43">
        <f ca="1"/>
        <v>0</v>
      </c>
      <c r="CK43">
        <f ca="1"/>
        <v>0</v>
      </c>
      <c r="CL43">
        <f ca="1"/>
        <v>0</v>
      </c>
      <c r="CM43">
        <f ca="1"/>
        <v>0</v>
      </c>
      <c r="CN43">
        <f ca="1"/>
        <v>0</v>
      </c>
      <c r="CO43">
        <f ca="1"/>
        <v>0</v>
      </c>
      <c r="CP43">
        <f ca="1"/>
        <v>0</v>
      </c>
    </row>
    <row r="44" spans="3:94" x14ac:dyDescent="0.25">
      <c r="C44" cm="1">
        <f t="array" aca="1" ref="C44:CP44" ca="1">IFERROR(TRANSPOSE(INDEX(_xlfn._xlws.FILTER(INDIRECT("SubcategoriesTable[Subcategory name]"),INDIRECT("SubcategoriesTable[Category name]")=$B44),,)),_xlfn.CONCAT("No subcategories for"," ", $B44))</f>
        <v>0</v>
      </c>
      <c r="D44">
        <f ca="1"/>
        <v>0</v>
      </c>
      <c r="E44">
        <f ca="1"/>
        <v>0</v>
      </c>
      <c r="F44">
        <f ca="1"/>
        <v>0</v>
      </c>
      <c r="G44">
        <f ca="1"/>
        <v>0</v>
      </c>
      <c r="H44">
        <f ca="1"/>
        <v>0</v>
      </c>
      <c r="I44">
        <f ca="1"/>
        <v>0</v>
      </c>
      <c r="J44">
        <f ca="1"/>
        <v>0</v>
      </c>
      <c r="K44">
        <f ca="1"/>
        <v>0</v>
      </c>
      <c r="L44">
        <f ca="1"/>
        <v>0</v>
      </c>
      <c r="M44">
        <f ca="1"/>
        <v>0</v>
      </c>
      <c r="N44">
        <f ca="1"/>
        <v>0</v>
      </c>
      <c r="O44">
        <f ca="1"/>
        <v>0</v>
      </c>
      <c r="P44">
        <f ca="1"/>
        <v>0</v>
      </c>
      <c r="Q44">
        <f ca="1"/>
        <v>0</v>
      </c>
      <c r="R44">
        <f ca="1"/>
        <v>0</v>
      </c>
      <c r="S44">
        <f ca="1"/>
        <v>0</v>
      </c>
      <c r="T44">
        <f ca="1"/>
        <v>0</v>
      </c>
      <c r="U44">
        <f ca="1"/>
        <v>0</v>
      </c>
      <c r="V44">
        <f ca="1"/>
        <v>0</v>
      </c>
      <c r="W44">
        <f ca="1"/>
        <v>0</v>
      </c>
      <c r="X44">
        <f ca="1"/>
        <v>0</v>
      </c>
      <c r="Y44">
        <f ca="1"/>
        <v>0</v>
      </c>
      <c r="Z44">
        <f ca="1"/>
        <v>0</v>
      </c>
      <c r="AA44">
        <f ca="1"/>
        <v>0</v>
      </c>
      <c r="AB44">
        <f ca="1"/>
        <v>0</v>
      </c>
      <c r="AC44">
        <f ca="1"/>
        <v>0</v>
      </c>
      <c r="AD44">
        <f ca="1"/>
        <v>0</v>
      </c>
      <c r="AE44">
        <f ca="1"/>
        <v>0</v>
      </c>
      <c r="AF44">
        <f ca="1"/>
        <v>0</v>
      </c>
      <c r="AG44">
        <f ca="1"/>
        <v>0</v>
      </c>
      <c r="AH44">
        <f ca="1"/>
        <v>0</v>
      </c>
      <c r="AI44">
        <f ca="1"/>
        <v>0</v>
      </c>
      <c r="AJ44">
        <f ca="1"/>
        <v>0</v>
      </c>
      <c r="AK44">
        <f ca="1"/>
        <v>0</v>
      </c>
      <c r="AL44">
        <f ca="1"/>
        <v>0</v>
      </c>
      <c r="AM44">
        <f ca="1"/>
        <v>0</v>
      </c>
      <c r="AN44">
        <f ca="1"/>
        <v>0</v>
      </c>
      <c r="AO44">
        <f ca="1"/>
        <v>0</v>
      </c>
      <c r="AP44">
        <f ca="1"/>
        <v>0</v>
      </c>
      <c r="AQ44">
        <f ca="1"/>
        <v>0</v>
      </c>
      <c r="AR44">
        <f ca="1"/>
        <v>0</v>
      </c>
      <c r="AS44">
        <f ca="1"/>
        <v>0</v>
      </c>
      <c r="AT44">
        <f ca="1"/>
        <v>0</v>
      </c>
      <c r="AU44">
        <f ca="1"/>
        <v>0</v>
      </c>
      <c r="AV44">
        <f ca="1"/>
        <v>0</v>
      </c>
      <c r="AW44">
        <f ca="1"/>
        <v>0</v>
      </c>
      <c r="AX44">
        <f ca="1"/>
        <v>0</v>
      </c>
      <c r="AY44">
        <f ca="1"/>
        <v>0</v>
      </c>
      <c r="AZ44">
        <f ca="1"/>
        <v>0</v>
      </c>
      <c r="BA44">
        <f ca="1"/>
        <v>0</v>
      </c>
      <c r="BB44">
        <f ca="1"/>
        <v>0</v>
      </c>
      <c r="BC44">
        <f ca="1"/>
        <v>0</v>
      </c>
      <c r="BD44">
        <f ca="1"/>
        <v>0</v>
      </c>
      <c r="BE44">
        <f ca="1"/>
        <v>0</v>
      </c>
      <c r="BF44">
        <f ca="1"/>
        <v>0</v>
      </c>
      <c r="BG44">
        <f ca="1"/>
        <v>0</v>
      </c>
      <c r="BH44">
        <f ca="1"/>
        <v>0</v>
      </c>
      <c r="BI44">
        <f ca="1"/>
        <v>0</v>
      </c>
      <c r="BJ44">
        <f ca="1"/>
        <v>0</v>
      </c>
      <c r="BK44">
        <f ca="1"/>
        <v>0</v>
      </c>
      <c r="BL44">
        <f ca="1"/>
        <v>0</v>
      </c>
      <c r="BM44">
        <f ca="1"/>
        <v>0</v>
      </c>
      <c r="BN44">
        <f ca="1"/>
        <v>0</v>
      </c>
      <c r="BO44">
        <f ca="1"/>
        <v>0</v>
      </c>
      <c r="BP44">
        <f ca="1"/>
        <v>0</v>
      </c>
      <c r="BQ44">
        <f ca="1"/>
        <v>0</v>
      </c>
      <c r="BR44">
        <f ca="1"/>
        <v>0</v>
      </c>
      <c r="BS44">
        <f ca="1"/>
        <v>0</v>
      </c>
      <c r="BT44">
        <f ca="1"/>
        <v>0</v>
      </c>
      <c r="BU44">
        <f ca="1"/>
        <v>0</v>
      </c>
      <c r="BV44">
        <f ca="1"/>
        <v>0</v>
      </c>
      <c r="BW44">
        <f ca="1"/>
        <v>0</v>
      </c>
      <c r="BX44">
        <f ca="1"/>
        <v>0</v>
      </c>
      <c r="BY44">
        <f ca="1"/>
        <v>0</v>
      </c>
      <c r="BZ44">
        <f ca="1"/>
        <v>0</v>
      </c>
      <c r="CA44">
        <f ca="1"/>
        <v>0</v>
      </c>
      <c r="CB44">
        <f ca="1"/>
        <v>0</v>
      </c>
      <c r="CC44">
        <f ca="1"/>
        <v>0</v>
      </c>
      <c r="CD44">
        <f ca="1"/>
        <v>0</v>
      </c>
      <c r="CE44">
        <f ca="1"/>
        <v>0</v>
      </c>
      <c r="CF44">
        <f ca="1"/>
        <v>0</v>
      </c>
      <c r="CG44">
        <f ca="1"/>
        <v>0</v>
      </c>
      <c r="CH44">
        <f ca="1"/>
        <v>0</v>
      </c>
      <c r="CI44">
        <f ca="1"/>
        <v>0</v>
      </c>
      <c r="CJ44">
        <f ca="1"/>
        <v>0</v>
      </c>
      <c r="CK44">
        <f ca="1"/>
        <v>0</v>
      </c>
      <c r="CL44">
        <f ca="1"/>
        <v>0</v>
      </c>
      <c r="CM44">
        <f ca="1"/>
        <v>0</v>
      </c>
      <c r="CN44">
        <f ca="1"/>
        <v>0</v>
      </c>
      <c r="CO44">
        <f ca="1"/>
        <v>0</v>
      </c>
      <c r="CP44">
        <f ca="1"/>
        <v>0</v>
      </c>
    </row>
    <row r="45" spans="3:94" x14ac:dyDescent="0.25">
      <c r="C45" cm="1">
        <f t="array" aca="1" ref="C45:CP45" ca="1">IFERROR(TRANSPOSE(INDEX(_xlfn._xlws.FILTER(INDIRECT("SubcategoriesTable[Subcategory name]"),INDIRECT("SubcategoriesTable[Category name]")=$B45),,)),_xlfn.CONCAT("No subcategories for"," ", $B45))</f>
        <v>0</v>
      </c>
      <c r="D45">
        <f ca="1"/>
        <v>0</v>
      </c>
      <c r="E45">
        <f ca="1"/>
        <v>0</v>
      </c>
      <c r="F45">
        <f ca="1"/>
        <v>0</v>
      </c>
      <c r="G45">
        <f ca="1"/>
        <v>0</v>
      </c>
      <c r="H45">
        <f ca="1"/>
        <v>0</v>
      </c>
      <c r="I45">
        <f ca="1"/>
        <v>0</v>
      </c>
      <c r="J45">
        <f ca="1"/>
        <v>0</v>
      </c>
      <c r="K45">
        <f ca="1"/>
        <v>0</v>
      </c>
      <c r="L45">
        <f ca="1"/>
        <v>0</v>
      </c>
      <c r="M45">
        <f ca="1"/>
        <v>0</v>
      </c>
      <c r="N45">
        <f ca="1"/>
        <v>0</v>
      </c>
      <c r="O45">
        <f ca="1"/>
        <v>0</v>
      </c>
      <c r="P45">
        <f ca="1"/>
        <v>0</v>
      </c>
      <c r="Q45">
        <f ca="1"/>
        <v>0</v>
      </c>
      <c r="R45">
        <f ca="1"/>
        <v>0</v>
      </c>
      <c r="S45">
        <f ca="1"/>
        <v>0</v>
      </c>
      <c r="T45">
        <f ca="1"/>
        <v>0</v>
      </c>
      <c r="U45">
        <f ca="1"/>
        <v>0</v>
      </c>
      <c r="V45">
        <f ca="1"/>
        <v>0</v>
      </c>
      <c r="W45">
        <f ca="1"/>
        <v>0</v>
      </c>
      <c r="X45">
        <f ca="1"/>
        <v>0</v>
      </c>
      <c r="Y45">
        <f ca="1"/>
        <v>0</v>
      </c>
      <c r="Z45">
        <f ca="1"/>
        <v>0</v>
      </c>
      <c r="AA45">
        <f ca="1"/>
        <v>0</v>
      </c>
      <c r="AB45">
        <f ca="1"/>
        <v>0</v>
      </c>
      <c r="AC45">
        <f ca="1"/>
        <v>0</v>
      </c>
      <c r="AD45">
        <f ca="1"/>
        <v>0</v>
      </c>
      <c r="AE45">
        <f ca="1"/>
        <v>0</v>
      </c>
      <c r="AF45">
        <f ca="1"/>
        <v>0</v>
      </c>
      <c r="AG45">
        <f ca="1"/>
        <v>0</v>
      </c>
      <c r="AH45">
        <f ca="1"/>
        <v>0</v>
      </c>
      <c r="AI45">
        <f ca="1"/>
        <v>0</v>
      </c>
      <c r="AJ45">
        <f ca="1"/>
        <v>0</v>
      </c>
      <c r="AK45">
        <f ca="1"/>
        <v>0</v>
      </c>
      <c r="AL45">
        <f ca="1"/>
        <v>0</v>
      </c>
      <c r="AM45">
        <f ca="1"/>
        <v>0</v>
      </c>
      <c r="AN45">
        <f ca="1"/>
        <v>0</v>
      </c>
      <c r="AO45">
        <f ca="1"/>
        <v>0</v>
      </c>
      <c r="AP45">
        <f ca="1"/>
        <v>0</v>
      </c>
      <c r="AQ45">
        <f ca="1"/>
        <v>0</v>
      </c>
      <c r="AR45">
        <f ca="1"/>
        <v>0</v>
      </c>
      <c r="AS45">
        <f ca="1"/>
        <v>0</v>
      </c>
      <c r="AT45">
        <f ca="1"/>
        <v>0</v>
      </c>
      <c r="AU45">
        <f ca="1"/>
        <v>0</v>
      </c>
      <c r="AV45">
        <f ca="1"/>
        <v>0</v>
      </c>
      <c r="AW45">
        <f ca="1"/>
        <v>0</v>
      </c>
      <c r="AX45">
        <f ca="1"/>
        <v>0</v>
      </c>
      <c r="AY45">
        <f ca="1"/>
        <v>0</v>
      </c>
      <c r="AZ45">
        <f ca="1"/>
        <v>0</v>
      </c>
      <c r="BA45">
        <f ca="1"/>
        <v>0</v>
      </c>
      <c r="BB45">
        <f ca="1"/>
        <v>0</v>
      </c>
      <c r="BC45">
        <f ca="1"/>
        <v>0</v>
      </c>
      <c r="BD45">
        <f ca="1"/>
        <v>0</v>
      </c>
      <c r="BE45">
        <f ca="1"/>
        <v>0</v>
      </c>
      <c r="BF45">
        <f ca="1"/>
        <v>0</v>
      </c>
      <c r="BG45">
        <f ca="1"/>
        <v>0</v>
      </c>
      <c r="BH45">
        <f ca="1"/>
        <v>0</v>
      </c>
      <c r="BI45">
        <f ca="1"/>
        <v>0</v>
      </c>
      <c r="BJ45">
        <f ca="1"/>
        <v>0</v>
      </c>
      <c r="BK45">
        <f ca="1"/>
        <v>0</v>
      </c>
      <c r="BL45">
        <f ca="1"/>
        <v>0</v>
      </c>
      <c r="BM45">
        <f ca="1"/>
        <v>0</v>
      </c>
      <c r="BN45">
        <f ca="1"/>
        <v>0</v>
      </c>
      <c r="BO45">
        <f ca="1"/>
        <v>0</v>
      </c>
      <c r="BP45">
        <f ca="1"/>
        <v>0</v>
      </c>
      <c r="BQ45">
        <f ca="1"/>
        <v>0</v>
      </c>
      <c r="BR45">
        <f ca="1"/>
        <v>0</v>
      </c>
      <c r="BS45">
        <f ca="1"/>
        <v>0</v>
      </c>
      <c r="BT45">
        <f ca="1"/>
        <v>0</v>
      </c>
      <c r="BU45">
        <f ca="1"/>
        <v>0</v>
      </c>
      <c r="BV45">
        <f ca="1"/>
        <v>0</v>
      </c>
      <c r="BW45">
        <f ca="1"/>
        <v>0</v>
      </c>
      <c r="BX45">
        <f ca="1"/>
        <v>0</v>
      </c>
      <c r="BY45">
        <f ca="1"/>
        <v>0</v>
      </c>
      <c r="BZ45">
        <f ca="1"/>
        <v>0</v>
      </c>
      <c r="CA45">
        <f ca="1"/>
        <v>0</v>
      </c>
      <c r="CB45">
        <f ca="1"/>
        <v>0</v>
      </c>
      <c r="CC45">
        <f ca="1"/>
        <v>0</v>
      </c>
      <c r="CD45">
        <f ca="1"/>
        <v>0</v>
      </c>
      <c r="CE45">
        <f ca="1"/>
        <v>0</v>
      </c>
      <c r="CF45">
        <f ca="1"/>
        <v>0</v>
      </c>
      <c r="CG45">
        <f ca="1"/>
        <v>0</v>
      </c>
      <c r="CH45">
        <f ca="1"/>
        <v>0</v>
      </c>
      <c r="CI45">
        <f ca="1"/>
        <v>0</v>
      </c>
      <c r="CJ45">
        <f ca="1"/>
        <v>0</v>
      </c>
      <c r="CK45">
        <f ca="1"/>
        <v>0</v>
      </c>
      <c r="CL45">
        <f ca="1"/>
        <v>0</v>
      </c>
      <c r="CM45">
        <f ca="1"/>
        <v>0</v>
      </c>
      <c r="CN45">
        <f ca="1"/>
        <v>0</v>
      </c>
      <c r="CO45">
        <f ca="1"/>
        <v>0</v>
      </c>
      <c r="CP45">
        <f ca="1"/>
        <v>0</v>
      </c>
    </row>
    <row r="46" spans="3:94" x14ac:dyDescent="0.25">
      <c r="C46" cm="1">
        <f t="array" aca="1" ref="C46:CP46" ca="1">IFERROR(TRANSPOSE(INDEX(_xlfn._xlws.FILTER(INDIRECT("SubcategoriesTable[Subcategory name]"),INDIRECT("SubcategoriesTable[Category name]")=$B46),,)),_xlfn.CONCAT("No subcategories for"," ", $B46))</f>
        <v>0</v>
      </c>
      <c r="D46">
        <f ca="1"/>
        <v>0</v>
      </c>
      <c r="E46">
        <f ca="1"/>
        <v>0</v>
      </c>
      <c r="F46">
        <f ca="1"/>
        <v>0</v>
      </c>
      <c r="G46">
        <f ca="1"/>
        <v>0</v>
      </c>
      <c r="H46">
        <f ca="1"/>
        <v>0</v>
      </c>
      <c r="I46">
        <f ca="1"/>
        <v>0</v>
      </c>
      <c r="J46">
        <f ca="1"/>
        <v>0</v>
      </c>
      <c r="K46">
        <f ca="1"/>
        <v>0</v>
      </c>
      <c r="L46">
        <f ca="1"/>
        <v>0</v>
      </c>
      <c r="M46">
        <f ca="1"/>
        <v>0</v>
      </c>
      <c r="N46">
        <f ca="1"/>
        <v>0</v>
      </c>
      <c r="O46">
        <f ca="1"/>
        <v>0</v>
      </c>
      <c r="P46">
        <f ca="1"/>
        <v>0</v>
      </c>
      <c r="Q46">
        <f ca="1"/>
        <v>0</v>
      </c>
      <c r="R46">
        <f ca="1"/>
        <v>0</v>
      </c>
      <c r="S46">
        <f ca="1"/>
        <v>0</v>
      </c>
      <c r="T46">
        <f ca="1"/>
        <v>0</v>
      </c>
      <c r="U46">
        <f ca="1"/>
        <v>0</v>
      </c>
      <c r="V46">
        <f ca="1"/>
        <v>0</v>
      </c>
      <c r="W46">
        <f ca="1"/>
        <v>0</v>
      </c>
      <c r="X46">
        <f ca="1"/>
        <v>0</v>
      </c>
      <c r="Y46">
        <f ca="1"/>
        <v>0</v>
      </c>
      <c r="Z46">
        <f ca="1"/>
        <v>0</v>
      </c>
      <c r="AA46">
        <f ca="1"/>
        <v>0</v>
      </c>
      <c r="AB46">
        <f ca="1"/>
        <v>0</v>
      </c>
      <c r="AC46">
        <f ca="1"/>
        <v>0</v>
      </c>
      <c r="AD46">
        <f ca="1"/>
        <v>0</v>
      </c>
      <c r="AE46">
        <f ca="1"/>
        <v>0</v>
      </c>
      <c r="AF46">
        <f ca="1"/>
        <v>0</v>
      </c>
      <c r="AG46">
        <f ca="1"/>
        <v>0</v>
      </c>
      <c r="AH46">
        <f ca="1"/>
        <v>0</v>
      </c>
      <c r="AI46">
        <f ca="1"/>
        <v>0</v>
      </c>
      <c r="AJ46">
        <f ca="1"/>
        <v>0</v>
      </c>
      <c r="AK46">
        <f ca="1"/>
        <v>0</v>
      </c>
      <c r="AL46">
        <f ca="1"/>
        <v>0</v>
      </c>
      <c r="AM46">
        <f ca="1"/>
        <v>0</v>
      </c>
      <c r="AN46">
        <f ca="1"/>
        <v>0</v>
      </c>
      <c r="AO46">
        <f ca="1"/>
        <v>0</v>
      </c>
      <c r="AP46">
        <f ca="1"/>
        <v>0</v>
      </c>
      <c r="AQ46">
        <f ca="1"/>
        <v>0</v>
      </c>
      <c r="AR46">
        <f ca="1"/>
        <v>0</v>
      </c>
      <c r="AS46">
        <f ca="1"/>
        <v>0</v>
      </c>
      <c r="AT46">
        <f ca="1"/>
        <v>0</v>
      </c>
      <c r="AU46">
        <f ca="1"/>
        <v>0</v>
      </c>
      <c r="AV46">
        <f ca="1"/>
        <v>0</v>
      </c>
      <c r="AW46">
        <f ca="1"/>
        <v>0</v>
      </c>
      <c r="AX46">
        <f ca="1"/>
        <v>0</v>
      </c>
      <c r="AY46">
        <f ca="1"/>
        <v>0</v>
      </c>
      <c r="AZ46">
        <f ca="1"/>
        <v>0</v>
      </c>
      <c r="BA46">
        <f ca="1"/>
        <v>0</v>
      </c>
      <c r="BB46">
        <f ca="1"/>
        <v>0</v>
      </c>
      <c r="BC46">
        <f ca="1"/>
        <v>0</v>
      </c>
      <c r="BD46">
        <f ca="1"/>
        <v>0</v>
      </c>
      <c r="BE46">
        <f ca="1"/>
        <v>0</v>
      </c>
      <c r="BF46">
        <f ca="1"/>
        <v>0</v>
      </c>
      <c r="BG46">
        <f ca="1"/>
        <v>0</v>
      </c>
      <c r="BH46">
        <f ca="1"/>
        <v>0</v>
      </c>
      <c r="BI46">
        <f ca="1"/>
        <v>0</v>
      </c>
      <c r="BJ46">
        <f ca="1"/>
        <v>0</v>
      </c>
      <c r="BK46">
        <f ca="1"/>
        <v>0</v>
      </c>
      <c r="BL46">
        <f ca="1"/>
        <v>0</v>
      </c>
      <c r="BM46">
        <f ca="1"/>
        <v>0</v>
      </c>
      <c r="BN46">
        <f ca="1"/>
        <v>0</v>
      </c>
      <c r="BO46">
        <f ca="1"/>
        <v>0</v>
      </c>
      <c r="BP46">
        <f ca="1"/>
        <v>0</v>
      </c>
      <c r="BQ46">
        <f ca="1"/>
        <v>0</v>
      </c>
      <c r="BR46">
        <f ca="1"/>
        <v>0</v>
      </c>
      <c r="BS46">
        <f ca="1"/>
        <v>0</v>
      </c>
      <c r="BT46">
        <f ca="1"/>
        <v>0</v>
      </c>
      <c r="BU46">
        <f ca="1"/>
        <v>0</v>
      </c>
      <c r="BV46">
        <f ca="1"/>
        <v>0</v>
      </c>
      <c r="BW46">
        <f ca="1"/>
        <v>0</v>
      </c>
      <c r="BX46">
        <f ca="1"/>
        <v>0</v>
      </c>
      <c r="BY46">
        <f ca="1"/>
        <v>0</v>
      </c>
      <c r="BZ46">
        <f ca="1"/>
        <v>0</v>
      </c>
      <c r="CA46">
        <f ca="1"/>
        <v>0</v>
      </c>
      <c r="CB46">
        <f ca="1"/>
        <v>0</v>
      </c>
      <c r="CC46">
        <f ca="1"/>
        <v>0</v>
      </c>
      <c r="CD46">
        <f ca="1"/>
        <v>0</v>
      </c>
      <c r="CE46">
        <f ca="1"/>
        <v>0</v>
      </c>
      <c r="CF46">
        <f ca="1"/>
        <v>0</v>
      </c>
      <c r="CG46">
        <f ca="1"/>
        <v>0</v>
      </c>
      <c r="CH46">
        <f ca="1"/>
        <v>0</v>
      </c>
      <c r="CI46">
        <f ca="1"/>
        <v>0</v>
      </c>
      <c r="CJ46">
        <f ca="1"/>
        <v>0</v>
      </c>
      <c r="CK46">
        <f ca="1"/>
        <v>0</v>
      </c>
      <c r="CL46">
        <f ca="1"/>
        <v>0</v>
      </c>
      <c r="CM46">
        <f ca="1"/>
        <v>0</v>
      </c>
      <c r="CN46">
        <f ca="1"/>
        <v>0</v>
      </c>
      <c r="CO46">
        <f ca="1"/>
        <v>0</v>
      </c>
      <c r="CP46">
        <f ca="1"/>
        <v>0</v>
      </c>
    </row>
    <row r="47" spans="3:94" x14ac:dyDescent="0.25">
      <c r="C47" cm="1">
        <f t="array" aca="1" ref="C47:CP47" ca="1">IFERROR(TRANSPOSE(INDEX(_xlfn._xlws.FILTER(INDIRECT("SubcategoriesTable[Subcategory name]"),INDIRECT("SubcategoriesTable[Category name]")=$B47),,)),_xlfn.CONCAT("No subcategories for"," ", $B47))</f>
        <v>0</v>
      </c>
      <c r="D47">
        <f ca="1"/>
        <v>0</v>
      </c>
      <c r="E47">
        <f ca="1"/>
        <v>0</v>
      </c>
      <c r="F47">
        <f ca="1"/>
        <v>0</v>
      </c>
      <c r="G47">
        <f ca="1"/>
        <v>0</v>
      </c>
      <c r="H47">
        <f ca="1"/>
        <v>0</v>
      </c>
      <c r="I47">
        <f ca="1"/>
        <v>0</v>
      </c>
      <c r="J47">
        <f ca="1"/>
        <v>0</v>
      </c>
      <c r="K47">
        <f ca="1"/>
        <v>0</v>
      </c>
      <c r="L47">
        <f ca="1"/>
        <v>0</v>
      </c>
      <c r="M47">
        <f ca="1"/>
        <v>0</v>
      </c>
      <c r="N47">
        <f ca="1"/>
        <v>0</v>
      </c>
      <c r="O47">
        <f ca="1"/>
        <v>0</v>
      </c>
      <c r="P47">
        <f ca="1"/>
        <v>0</v>
      </c>
      <c r="Q47">
        <f ca="1"/>
        <v>0</v>
      </c>
      <c r="R47">
        <f ca="1"/>
        <v>0</v>
      </c>
      <c r="S47">
        <f ca="1"/>
        <v>0</v>
      </c>
      <c r="T47">
        <f ca="1"/>
        <v>0</v>
      </c>
      <c r="U47">
        <f ca="1"/>
        <v>0</v>
      </c>
      <c r="V47">
        <f ca="1"/>
        <v>0</v>
      </c>
      <c r="W47">
        <f ca="1"/>
        <v>0</v>
      </c>
      <c r="X47">
        <f ca="1"/>
        <v>0</v>
      </c>
      <c r="Y47">
        <f ca="1"/>
        <v>0</v>
      </c>
      <c r="Z47">
        <f ca="1"/>
        <v>0</v>
      </c>
      <c r="AA47">
        <f ca="1"/>
        <v>0</v>
      </c>
      <c r="AB47">
        <f ca="1"/>
        <v>0</v>
      </c>
      <c r="AC47">
        <f ca="1"/>
        <v>0</v>
      </c>
      <c r="AD47">
        <f ca="1"/>
        <v>0</v>
      </c>
      <c r="AE47">
        <f ca="1"/>
        <v>0</v>
      </c>
      <c r="AF47">
        <f ca="1"/>
        <v>0</v>
      </c>
      <c r="AG47">
        <f ca="1"/>
        <v>0</v>
      </c>
      <c r="AH47">
        <f ca="1"/>
        <v>0</v>
      </c>
      <c r="AI47">
        <f ca="1"/>
        <v>0</v>
      </c>
      <c r="AJ47">
        <f ca="1"/>
        <v>0</v>
      </c>
      <c r="AK47">
        <f ca="1"/>
        <v>0</v>
      </c>
      <c r="AL47">
        <f ca="1"/>
        <v>0</v>
      </c>
      <c r="AM47">
        <f ca="1"/>
        <v>0</v>
      </c>
      <c r="AN47">
        <f ca="1"/>
        <v>0</v>
      </c>
      <c r="AO47">
        <f ca="1"/>
        <v>0</v>
      </c>
      <c r="AP47">
        <f ca="1"/>
        <v>0</v>
      </c>
      <c r="AQ47">
        <f ca="1"/>
        <v>0</v>
      </c>
      <c r="AR47">
        <f ca="1"/>
        <v>0</v>
      </c>
      <c r="AS47">
        <f ca="1"/>
        <v>0</v>
      </c>
      <c r="AT47">
        <f ca="1"/>
        <v>0</v>
      </c>
      <c r="AU47">
        <f ca="1"/>
        <v>0</v>
      </c>
      <c r="AV47">
        <f ca="1"/>
        <v>0</v>
      </c>
      <c r="AW47">
        <f ca="1"/>
        <v>0</v>
      </c>
      <c r="AX47">
        <f ca="1"/>
        <v>0</v>
      </c>
      <c r="AY47">
        <f ca="1"/>
        <v>0</v>
      </c>
      <c r="AZ47">
        <f ca="1"/>
        <v>0</v>
      </c>
      <c r="BA47">
        <f ca="1"/>
        <v>0</v>
      </c>
      <c r="BB47">
        <f ca="1"/>
        <v>0</v>
      </c>
      <c r="BC47">
        <f ca="1"/>
        <v>0</v>
      </c>
      <c r="BD47">
        <f ca="1"/>
        <v>0</v>
      </c>
      <c r="BE47">
        <f ca="1"/>
        <v>0</v>
      </c>
      <c r="BF47">
        <f ca="1"/>
        <v>0</v>
      </c>
      <c r="BG47">
        <f ca="1"/>
        <v>0</v>
      </c>
      <c r="BH47">
        <f ca="1"/>
        <v>0</v>
      </c>
      <c r="BI47">
        <f ca="1"/>
        <v>0</v>
      </c>
      <c r="BJ47">
        <f ca="1"/>
        <v>0</v>
      </c>
      <c r="BK47">
        <f ca="1"/>
        <v>0</v>
      </c>
      <c r="BL47">
        <f ca="1"/>
        <v>0</v>
      </c>
      <c r="BM47">
        <f ca="1"/>
        <v>0</v>
      </c>
      <c r="BN47">
        <f ca="1"/>
        <v>0</v>
      </c>
      <c r="BO47">
        <f ca="1"/>
        <v>0</v>
      </c>
      <c r="BP47">
        <f ca="1"/>
        <v>0</v>
      </c>
      <c r="BQ47">
        <f ca="1"/>
        <v>0</v>
      </c>
      <c r="BR47">
        <f ca="1"/>
        <v>0</v>
      </c>
      <c r="BS47">
        <f ca="1"/>
        <v>0</v>
      </c>
      <c r="BT47">
        <f ca="1"/>
        <v>0</v>
      </c>
      <c r="BU47">
        <f ca="1"/>
        <v>0</v>
      </c>
      <c r="BV47">
        <f ca="1"/>
        <v>0</v>
      </c>
      <c r="BW47">
        <f ca="1"/>
        <v>0</v>
      </c>
      <c r="BX47">
        <f ca="1"/>
        <v>0</v>
      </c>
      <c r="BY47">
        <f ca="1"/>
        <v>0</v>
      </c>
      <c r="BZ47">
        <f ca="1"/>
        <v>0</v>
      </c>
      <c r="CA47">
        <f ca="1"/>
        <v>0</v>
      </c>
      <c r="CB47">
        <f ca="1"/>
        <v>0</v>
      </c>
      <c r="CC47">
        <f ca="1"/>
        <v>0</v>
      </c>
      <c r="CD47">
        <f ca="1"/>
        <v>0</v>
      </c>
      <c r="CE47">
        <f ca="1"/>
        <v>0</v>
      </c>
      <c r="CF47">
        <f ca="1"/>
        <v>0</v>
      </c>
      <c r="CG47">
        <f ca="1"/>
        <v>0</v>
      </c>
      <c r="CH47">
        <f ca="1"/>
        <v>0</v>
      </c>
      <c r="CI47">
        <f ca="1"/>
        <v>0</v>
      </c>
      <c r="CJ47">
        <f ca="1"/>
        <v>0</v>
      </c>
      <c r="CK47">
        <f ca="1"/>
        <v>0</v>
      </c>
      <c r="CL47">
        <f ca="1"/>
        <v>0</v>
      </c>
      <c r="CM47">
        <f ca="1"/>
        <v>0</v>
      </c>
      <c r="CN47">
        <f ca="1"/>
        <v>0</v>
      </c>
      <c r="CO47">
        <f ca="1"/>
        <v>0</v>
      </c>
      <c r="CP47">
        <f ca="1"/>
        <v>0</v>
      </c>
    </row>
    <row r="48" spans="3:94" x14ac:dyDescent="0.25">
      <c r="C48" cm="1">
        <f t="array" aca="1" ref="C48:CP48" ca="1">IFERROR(TRANSPOSE(INDEX(_xlfn._xlws.FILTER(INDIRECT("SubcategoriesTable[Subcategory name]"),INDIRECT("SubcategoriesTable[Category name]")=$B48),,)),_xlfn.CONCAT("No subcategories for"," ", $B48))</f>
        <v>0</v>
      </c>
      <c r="D48">
        <f ca="1"/>
        <v>0</v>
      </c>
      <c r="E48">
        <f ca="1"/>
        <v>0</v>
      </c>
      <c r="F48">
        <f ca="1"/>
        <v>0</v>
      </c>
      <c r="G48">
        <f ca="1"/>
        <v>0</v>
      </c>
      <c r="H48">
        <f ca="1"/>
        <v>0</v>
      </c>
      <c r="I48">
        <f ca="1"/>
        <v>0</v>
      </c>
      <c r="J48">
        <f ca="1"/>
        <v>0</v>
      </c>
      <c r="K48">
        <f ca="1"/>
        <v>0</v>
      </c>
      <c r="L48">
        <f ca="1"/>
        <v>0</v>
      </c>
      <c r="M48">
        <f ca="1"/>
        <v>0</v>
      </c>
      <c r="N48">
        <f ca="1"/>
        <v>0</v>
      </c>
      <c r="O48">
        <f ca="1"/>
        <v>0</v>
      </c>
      <c r="P48">
        <f ca="1"/>
        <v>0</v>
      </c>
      <c r="Q48">
        <f ca="1"/>
        <v>0</v>
      </c>
      <c r="R48">
        <f ca="1"/>
        <v>0</v>
      </c>
      <c r="S48">
        <f ca="1"/>
        <v>0</v>
      </c>
      <c r="T48">
        <f ca="1"/>
        <v>0</v>
      </c>
      <c r="U48">
        <f ca="1"/>
        <v>0</v>
      </c>
      <c r="V48">
        <f ca="1"/>
        <v>0</v>
      </c>
      <c r="W48">
        <f ca="1"/>
        <v>0</v>
      </c>
      <c r="X48">
        <f ca="1"/>
        <v>0</v>
      </c>
      <c r="Y48">
        <f ca="1"/>
        <v>0</v>
      </c>
      <c r="Z48">
        <f ca="1"/>
        <v>0</v>
      </c>
      <c r="AA48">
        <f ca="1"/>
        <v>0</v>
      </c>
      <c r="AB48">
        <f ca="1"/>
        <v>0</v>
      </c>
      <c r="AC48">
        <f ca="1"/>
        <v>0</v>
      </c>
      <c r="AD48">
        <f ca="1"/>
        <v>0</v>
      </c>
      <c r="AE48">
        <f ca="1"/>
        <v>0</v>
      </c>
      <c r="AF48">
        <f ca="1"/>
        <v>0</v>
      </c>
      <c r="AG48">
        <f ca="1"/>
        <v>0</v>
      </c>
      <c r="AH48">
        <f ca="1"/>
        <v>0</v>
      </c>
      <c r="AI48">
        <f ca="1"/>
        <v>0</v>
      </c>
      <c r="AJ48">
        <f ca="1"/>
        <v>0</v>
      </c>
      <c r="AK48">
        <f ca="1"/>
        <v>0</v>
      </c>
      <c r="AL48">
        <f ca="1"/>
        <v>0</v>
      </c>
      <c r="AM48">
        <f ca="1"/>
        <v>0</v>
      </c>
      <c r="AN48">
        <f ca="1"/>
        <v>0</v>
      </c>
      <c r="AO48">
        <f ca="1"/>
        <v>0</v>
      </c>
      <c r="AP48">
        <f ca="1"/>
        <v>0</v>
      </c>
      <c r="AQ48">
        <f ca="1"/>
        <v>0</v>
      </c>
      <c r="AR48">
        <f ca="1"/>
        <v>0</v>
      </c>
      <c r="AS48">
        <f ca="1"/>
        <v>0</v>
      </c>
      <c r="AT48">
        <f ca="1"/>
        <v>0</v>
      </c>
      <c r="AU48">
        <f ca="1"/>
        <v>0</v>
      </c>
      <c r="AV48">
        <f ca="1"/>
        <v>0</v>
      </c>
      <c r="AW48">
        <f ca="1"/>
        <v>0</v>
      </c>
      <c r="AX48">
        <f ca="1"/>
        <v>0</v>
      </c>
      <c r="AY48">
        <f ca="1"/>
        <v>0</v>
      </c>
      <c r="AZ48">
        <f ca="1"/>
        <v>0</v>
      </c>
      <c r="BA48">
        <f ca="1"/>
        <v>0</v>
      </c>
      <c r="BB48">
        <f ca="1"/>
        <v>0</v>
      </c>
      <c r="BC48">
        <f ca="1"/>
        <v>0</v>
      </c>
      <c r="BD48">
        <f ca="1"/>
        <v>0</v>
      </c>
      <c r="BE48">
        <f ca="1"/>
        <v>0</v>
      </c>
      <c r="BF48">
        <f ca="1"/>
        <v>0</v>
      </c>
      <c r="BG48">
        <f ca="1"/>
        <v>0</v>
      </c>
      <c r="BH48">
        <f ca="1"/>
        <v>0</v>
      </c>
      <c r="BI48">
        <f ca="1"/>
        <v>0</v>
      </c>
      <c r="BJ48">
        <f ca="1"/>
        <v>0</v>
      </c>
      <c r="BK48">
        <f ca="1"/>
        <v>0</v>
      </c>
      <c r="BL48">
        <f ca="1"/>
        <v>0</v>
      </c>
      <c r="BM48">
        <f ca="1"/>
        <v>0</v>
      </c>
      <c r="BN48">
        <f ca="1"/>
        <v>0</v>
      </c>
      <c r="BO48">
        <f ca="1"/>
        <v>0</v>
      </c>
      <c r="BP48">
        <f ca="1"/>
        <v>0</v>
      </c>
      <c r="BQ48">
        <f ca="1"/>
        <v>0</v>
      </c>
      <c r="BR48">
        <f ca="1"/>
        <v>0</v>
      </c>
      <c r="BS48">
        <f ca="1"/>
        <v>0</v>
      </c>
      <c r="BT48">
        <f ca="1"/>
        <v>0</v>
      </c>
      <c r="BU48">
        <f ca="1"/>
        <v>0</v>
      </c>
      <c r="BV48">
        <f ca="1"/>
        <v>0</v>
      </c>
      <c r="BW48">
        <f ca="1"/>
        <v>0</v>
      </c>
      <c r="BX48">
        <f ca="1"/>
        <v>0</v>
      </c>
      <c r="BY48">
        <f ca="1"/>
        <v>0</v>
      </c>
      <c r="BZ48">
        <f ca="1"/>
        <v>0</v>
      </c>
      <c r="CA48">
        <f ca="1"/>
        <v>0</v>
      </c>
      <c r="CB48">
        <f ca="1"/>
        <v>0</v>
      </c>
      <c r="CC48">
        <f ca="1"/>
        <v>0</v>
      </c>
      <c r="CD48">
        <f ca="1"/>
        <v>0</v>
      </c>
      <c r="CE48">
        <f ca="1"/>
        <v>0</v>
      </c>
      <c r="CF48">
        <f ca="1"/>
        <v>0</v>
      </c>
      <c r="CG48">
        <f ca="1"/>
        <v>0</v>
      </c>
      <c r="CH48">
        <f ca="1"/>
        <v>0</v>
      </c>
      <c r="CI48">
        <f ca="1"/>
        <v>0</v>
      </c>
      <c r="CJ48">
        <f ca="1"/>
        <v>0</v>
      </c>
      <c r="CK48">
        <f ca="1"/>
        <v>0</v>
      </c>
      <c r="CL48">
        <f ca="1"/>
        <v>0</v>
      </c>
      <c r="CM48">
        <f ca="1"/>
        <v>0</v>
      </c>
      <c r="CN48">
        <f ca="1"/>
        <v>0</v>
      </c>
      <c r="CO48">
        <f ca="1"/>
        <v>0</v>
      </c>
      <c r="CP48">
        <f ca="1"/>
        <v>0</v>
      </c>
    </row>
    <row r="49" spans="3:94" x14ac:dyDescent="0.25">
      <c r="C49" cm="1">
        <f t="array" aca="1" ref="C49:CP49" ca="1">IFERROR(TRANSPOSE(INDEX(_xlfn._xlws.FILTER(INDIRECT("SubcategoriesTable[Subcategory name]"),INDIRECT("SubcategoriesTable[Category name]")=$B49),,)),_xlfn.CONCAT("No subcategories for"," ", $B49))</f>
        <v>0</v>
      </c>
      <c r="D49">
        <f ca="1"/>
        <v>0</v>
      </c>
      <c r="E49">
        <f ca="1"/>
        <v>0</v>
      </c>
      <c r="F49">
        <f ca="1"/>
        <v>0</v>
      </c>
      <c r="G49">
        <f ca="1"/>
        <v>0</v>
      </c>
      <c r="H49">
        <f ca="1"/>
        <v>0</v>
      </c>
      <c r="I49">
        <f ca="1"/>
        <v>0</v>
      </c>
      <c r="J49">
        <f ca="1"/>
        <v>0</v>
      </c>
      <c r="K49">
        <f ca="1"/>
        <v>0</v>
      </c>
      <c r="L49">
        <f ca="1"/>
        <v>0</v>
      </c>
      <c r="M49">
        <f ca="1"/>
        <v>0</v>
      </c>
      <c r="N49">
        <f ca="1"/>
        <v>0</v>
      </c>
      <c r="O49">
        <f ca="1"/>
        <v>0</v>
      </c>
      <c r="P49">
        <f ca="1"/>
        <v>0</v>
      </c>
      <c r="Q49">
        <f ca="1"/>
        <v>0</v>
      </c>
      <c r="R49">
        <f ca="1"/>
        <v>0</v>
      </c>
      <c r="S49">
        <f ca="1"/>
        <v>0</v>
      </c>
      <c r="T49">
        <f ca="1"/>
        <v>0</v>
      </c>
      <c r="U49">
        <f ca="1"/>
        <v>0</v>
      </c>
      <c r="V49">
        <f ca="1"/>
        <v>0</v>
      </c>
      <c r="W49">
        <f ca="1"/>
        <v>0</v>
      </c>
      <c r="X49">
        <f ca="1"/>
        <v>0</v>
      </c>
      <c r="Y49">
        <f ca="1"/>
        <v>0</v>
      </c>
      <c r="Z49">
        <f ca="1"/>
        <v>0</v>
      </c>
      <c r="AA49">
        <f ca="1"/>
        <v>0</v>
      </c>
      <c r="AB49">
        <f ca="1"/>
        <v>0</v>
      </c>
      <c r="AC49">
        <f ca="1"/>
        <v>0</v>
      </c>
      <c r="AD49">
        <f ca="1"/>
        <v>0</v>
      </c>
      <c r="AE49">
        <f ca="1"/>
        <v>0</v>
      </c>
      <c r="AF49">
        <f ca="1"/>
        <v>0</v>
      </c>
      <c r="AG49">
        <f ca="1"/>
        <v>0</v>
      </c>
      <c r="AH49">
        <f ca="1"/>
        <v>0</v>
      </c>
      <c r="AI49">
        <f ca="1"/>
        <v>0</v>
      </c>
      <c r="AJ49">
        <f ca="1"/>
        <v>0</v>
      </c>
      <c r="AK49">
        <f ca="1"/>
        <v>0</v>
      </c>
      <c r="AL49">
        <f ca="1"/>
        <v>0</v>
      </c>
      <c r="AM49">
        <f ca="1"/>
        <v>0</v>
      </c>
      <c r="AN49">
        <f ca="1"/>
        <v>0</v>
      </c>
      <c r="AO49">
        <f ca="1"/>
        <v>0</v>
      </c>
      <c r="AP49">
        <f ca="1"/>
        <v>0</v>
      </c>
      <c r="AQ49">
        <f ca="1"/>
        <v>0</v>
      </c>
      <c r="AR49">
        <f ca="1"/>
        <v>0</v>
      </c>
      <c r="AS49">
        <f ca="1"/>
        <v>0</v>
      </c>
      <c r="AT49">
        <f ca="1"/>
        <v>0</v>
      </c>
      <c r="AU49">
        <f ca="1"/>
        <v>0</v>
      </c>
      <c r="AV49">
        <f ca="1"/>
        <v>0</v>
      </c>
      <c r="AW49">
        <f ca="1"/>
        <v>0</v>
      </c>
      <c r="AX49">
        <f ca="1"/>
        <v>0</v>
      </c>
      <c r="AY49">
        <f ca="1"/>
        <v>0</v>
      </c>
      <c r="AZ49">
        <f ca="1"/>
        <v>0</v>
      </c>
      <c r="BA49">
        <f ca="1"/>
        <v>0</v>
      </c>
      <c r="BB49">
        <f ca="1"/>
        <v>0</v>
      </c>
      <c r="BC49">
        <f ca="1"/>
        <v>0</v>
      </c>
      <c r="BD49">
        <f ca="1"/>
        <v>0</v>
      </c>
      <c r="BE49">
        <f ca="1"/>
        <v>0</v>
      </c>
      <c r="BF49">
        <f ca="1"/>
        <v>0</v>
      </c>
      <c r="BG49">
        <f ca="1"/>
        <v>0</v>
      </c>
      <c r="BH49">
        <f ca="1"/>
        <v>0</v>
      </c>
      <c r="BI49">
        <f ca="1"/>
        <v>0</v>
      </c>
      <c r="BJ49">
        <f ca="1"/>
        <v>0</v>
      </c>
      <c r="BK49">
        <f ca="1"/>
        <v>0</v>
      </c>
      <c r="BL49">
        <f ca="1"/>
        <v>0</v>
      </c>
      <c r="BM49">
        <f ca="1"/>
        <v>0</v>
      </c>
      <c r="BN49">
        <f ca="1"/>
        <v>0</v>
      </c>
      <c r="BO49">
        <f ca="1"/>
        <v>0</v>
      </c>
      <c r="BP49">
        <f ca="1"/>
        <v>0</v>
      </c>
      <c r="BQ49">
        <f ca="1"/>
        <v>0</v>
      </c>
      <c r="BR49">
        <f ca="1"/>
        <v>0</v>
      </c>
      <c r="BS49">
        <f ca="1"/>
        <v>0</v>
      </c>
      <c r="BT49">
        <f ca="1"/>
        <v>0</v>
      </c>
      <c r="BU49">
        <f ca="1"/>
        <v>0</v>
      </c>
      <c r="BV49">
        <f ca="1"/>
        <v>0</v>
      </c>
      <c r="BW49">
        <f ca="1"/>
        <v>0</v>
      </c>
      <c r="BX49">
        <f ca="1"/>
        <v>0</v>
      </c>
      <c r="BY49">
        <f ca="1"/>
        <v>0</v>
      </c>
      <c r="BZ49">
        <f ca="1"/>
        <v>0</v>
      </c>
      <c r="CA49">
        <f ca="1"/>
        <v>0</v>
      </c>
      <c r="CB49">
        <f ca="1"/>
        <v>0</v>
      </c>
      <c r="CC49">
        <f ca="1"/>
        <v>0</v>
      </c>
      <c r="CD49">
        <f ca="1"/>
        <v>0</v>
      </c>
      <c r="CE49">
        <f ca="1"/>
        <v>0</v>
      </c>
      <c r="CF49">
        <f ca="1"/>
        <v>0</v>
      </c>
      <c r="CG49">
        <f ca="1"/>
        <v>0</v>
      </c>
      <c r="CH49">
        <f ca="1"/>
        <v>0</v>
      </c>
      <c r="CI49">
        <f ca="1"/>
        <v>0</v>
      </c>
      <c r="CJ49">
        <f ca="1"/>
        <v>0</v>
      </c>
      <c r="CK49">
        <f ca="1"/>
        <v>0</v>
      </c>
      <c r="CL49">
        <f ca="1"/>
        <v>0</v>
      </c>
      <c r="CM49">
        <f ca="1"/>
        <v>0</v>
      </c>
      <c r="CN49">
        <f ca="1"/>
        <v>0</v>
      </c>
      <c r="CO49">
        <f ca="1"/>
        <v>0</v>
      </c>
      <c r="CP49">
        <f ca="1"/>
        <v>0</v>
      </c>
    </row>
    <row r="50" spans="3:94" x14ac:dyDescent="0.25">
      <c r="C50" cm="1">
        <f t="array" aca="1" ref="C50:CP50" ca="1">IFERROR(TRANSPOSE(INDEX(_xlfn._xlws.FILTER(INDIRECT("SubcategoriesTable[Subcategory name]"),INDIRECT("SubcategoriesTable[Category name]")=$B50),,)),_xlfn.CONCAT("No subcategories for"," ", $B50))</f>
        <v>0</v>
      </c>
      <c r="D50">
        <f ca="1"/>
        <v>0</v>
      </c>
      <c r="E50">
        <f ca="1"/>
        <v>0</v>
      </c>
      <c r="F50">
        <f ca="1"/>
        <v>0</v>
      </c>
      <c r="G50">
        <f ca="1"/>
        <v>0</v>
      </c>
      <c r="H50">
        <f ca="1"/>
        <v>0</v>
      </c>
      <c r="I50">
        <f ca="1"/>
        <v>0</v>
      </c>
      <c r="J50">
        <f ca="1"/>
        <v>0</v>
      </c>
      <c r="K50">
        <f ca="1"/>
        <v>0</v>
      </c>
      <c r="L50">
        <f ca="1"/>
        <v>0</v>
      </c>
      <c r="M50">
        <f ca="1"/>
        <v>0</v>
      </c>
      <c r="N50">
        <f ca="1"/>
        <v>0</v>
      </c>
      <c r="O50">
        <f ca="1"/>
        <v>0</v>
      </c>
      <c r="P50">
        <f ca="1"/>
        <v>0</v>
      </c>
      <c r="Q50">
        <f ca="1"/>
        <v>0</v>
      </c>
      <c r="R50">
        <f ca="1"/>
        <v>0</v>
      </c>
      <c r="S50">
        <f ca="1"/>
        <v>0</v>
      </c>
      <c r="T50">
        <f ca="1"/>
        <v>0</v>
      </c>
      <c r="U50">
        <f ca="1"/>
        <v>0</v>
      </c>
      <c r="V50">
        <f ca="1"/>
        <v>0</v>
      </c>
      <c r="W50">
        <f ca="1"/>
        <v>0</v>
      </c>
      <c r="X50">
        <f ca="1"/>
        <v>0</v>
      </c>
      <c r="Y50">
        <f ca="1"/>
        <v>0</v>
      </c>
      <c r="Z50">
        <f ca="1"/>
        <v>0</v>
      </c>
      <c r="AA50">
        <f ca="1"/>
        <v>0</v>
      </c>
      <c r="AB50">
        <f ca="1"/>
        <v>0</v>
      </c>
      <c r="AC50">
        <f ca="1"/>
        <v>0</v>
      </c>
      <c r="AD50">
        <f ca="1"/>
        <v>0</v>
      </c>
      <c r="AE50">
        <f ca="1"/>
        <v>0</v>
      </c>
      <c r="AF50">
        <f ca="1"/>
        <v>0</v>
      </c>
      <c r="AG50">
        <f ca="1"/>
        <v>0</v>
      </c>
      <c r="AH50">
        <f ca="1"/>
        <v>0</v>
      </c>
      <c r="AI50">
        <f ca="1"/>
        <v>0</v>
      </c>
      <c r="AJ50">
        <f ca="1"/>
        <v>0</v>
      </c>
      <c r="AK50">
        <f ca="1"/>
        <v>0</v>
      </c>
      <c r="AL50">
        <f ca="1"/>
        <v>0</v>
      </c>
      <c r="AM50">
        <f ca="1"/>
        <v>0</v>
      </c>
      <c r="AN50">
        <f ca="1"/>
        <v>0</v>
      </c>
      <c r="AO50">
        <f ca="1"/>
        <v>0</v>
      </c>
      <c r="AP50">
        <f ca="1"/>
        <v>0</v>
      </c>
      <c r="AQ50">
        <f ca="1"/>
        <v>0</v>
      </c>
      <c r="AR50">
        <f ca="1"/>
        <v>0</v>
      </c>
      <c r="AS50">
        <f ca="1"/>
        <v>0</v>
      </c>
      <c r="AT50">
        <f ca="1"/>
        <v>0</v>
      </c>
      <c r="AU50">
        <f ca="1"/>
        <v>0</v>
      </c>
      <c r="AV50">
        <f ca="1"/>
        <v>0</v>
      </c>
      <c r="AW50">
        <f ca="1"/>
        <v>0</v>
      </c>
      <c r="AX50">
        <f ca="1"/>
        <v>0</v>
      </c>
      <c r="AY50">
        <f ca="1"/>
        <v>0</v>
      </c>
      <c r="AZ50">
        <f ca="1"/>
        <v>0</v>
      </c>
      <c r="BA50">
        <f ca="1"/>
        <v>0</v>
      </c>
      <c r="BB50">
        <f ca="1"/>
        <v>0</v>
      </c>
      <c r="BC50">
        <f ca="1"/>
        <v>0</v>
      </c>
      <c r="BD50">
        <f ca="1"/>
        <v>0</v>
      </c>
      <c r="BE50">
        <f ca="1"/>
        <v>0</v>
      </c>
      <c r="BF50">
        <f ca="1"/>
        <v>0</v>
      </c>
      <c r="BG50">
        <f ca="1"/>
        <v>0</v>
      </c>
      <c r="BH50">
        <f ca="1"/>
        <v>0</v>
      </c>
      <c r="BI50">
        <f ca="1"/>
        <v>0</v>
      </c>
      <c r="BJ50">
        <f ca="1"/>
        <v>0</v>
      </c>
      <c r="BK50">
        <f ca="1"/>
        <v>0</v>
      </c>
      <c r="BL50">
        <f ca="1"/>
        <v>0</v>
      </c>
      <c r="BM50">
        <f ca="1"/>
        <v>0</v>
      </c>
      <c r="BN50">
        <f ca="1"/>
        <v>0</v>
      </c>
      <c r="BO50">
        <f ca="1"/>
        <v>0</v>
      </c>
      <c r="BP50">
        <f ca="1"/>
        <v>0</v>
      </c>
      <c r="BQ50">
        <f ca="1"/>
        <v>0</v>
      </c>
      <c r="BR50">
        <f ca="1"/>
        <v>0</v>
      </c>
      <c r="BS50">
        <f ca="1"/>
        <v>0</v>
      </c>
      <c r="BT50">
        <f ca="1"/>
        <v>0</v>
      </c>
      <c r="BU50">
        <f ca="1"/>
        <v>0</v>
      </c>
      <c r="BV50">
        <f ca="1"/>
        <v>0</v>
      </c>
      <c r="BW50">
        <f ca="1"/>
        <v>0</v>
      </c>
      <c r="BX50">
        <f ca="1"/>
        <v>0</v>
      </c>
      <c r="BY50">
        <f ca="1"/>
        <v>0</v>
      </c>
      <c r="BZ50">
        <f ca="1"/>
        <v>0</v>
      </c>
      <c r="CA50">
        <f ca="1"/>
        <v>0</v>
      </c>
      <c r="CB50">
        <f ca="1"/>
        <v>0</v>
      </c>
      <c r="CC50">
        <f ca="1"/>
        <v>0</v>
      </c>
      <c r="CD50">
        <f ca="1"/>
        <v>0</v>
      </c>
      <c r="CE50">
        <f ca="1"/>
        <v>0</v>
      </c>
      <c r="CF50">
        <f ca="1"/>
        <v>0</v>
      </c>
      <c r="CG50">
        <f ca="1"/>
        <v>0</v>
      </c>
      <c r="CH50">
        <f ca="1"/>
        <v>0</v>
      </c>
      <c r="CI50">
        <f ca="1"/>
        <v>0</v>
      </c>
      <c r="CJ50">
        <f ca="1"/>
        <v>0</v>
      </c>
      <c r="CK50">
        <f ca="1"/>
        <v>0</v>
      </c>
      <c r="CL50">
        <f ca="1"/>
        <v>0</v>
      </c>
      <c r="CM50">
        <f ca="1"/>
        <v>0</v>
      </c>
      <c r="CN50">
        <f ca="1"/>
        <v>0</v>
      </c>
      <c r="CO50">
        <f ca="1"/>
        <v>0</v>
      </c>
      <c r="CP50">
        <f ca="1"/>
        <v>0</v>
      </c>
    </row>
    <row r="51" spans="3:94" x14ac:dyDescent="0.25">
      <c r="C51" cm="1">
        <f t="array" aca="1" ref="C51:CP51" ca="1">IFERROR(TRANSPOSE(INDEX(_xlfn._xlws.FILTER(INDIRECT("SubcategoriesTable[Subcategory name]"),INDIRECT("SubcategoriesTable[Category name]")=$B51),,)),_xlfn.CONCAT("No subcategories for"," ", $B51))</f>
        <v>0</v>
      </c>
      <c r="D51">
        <f ca="1"/>
        <v>0</v>
      </c>
      <c r="E51">
        <f ca="1"/>
        <v>0</v>
      </c>
      <c r="F51">
        <f ca="1"/>
        <v>0</v>
      </c>
      <c r="G51">
        <f ca="1"/>
        <v>0</v>
      </c>
      <c r="H51">
        <f ca="1"/>
        <v>0</v>
      </c>
      <c r="I51">
        <f ca="1"/>
        <v>0</v>
      </c>
      <c r="J51">
        <f ca="1"/>
        <v>0</v>
      </c>
      <c r="K51">
        <f ca="1"/>
        <v>0</v>
      </c>
      <c r="L51">
        <f ca="1"/>
        <v>0</v>
      </c>
      <c r="M51">
        <f ca="1"/>
        <v>0</v>
      </c>
      <c r="N51">
        <f ca="1"/>
        <v>0</v>
      </c>
      <c r="O51">
        <f ca="1"/>
        <v>0</v>
      </c>
      <c r="P51">
        <f ca="1"/>
        <v>0</v>
      </c>
      <c r="Q51">
        <f ca="1"/>
        <v>0</v>
      </c>
      <c r="R51">
        <f ca="1"/>
        <v>0</v>
      </c>
      <c r="S51">
        <f ca="1"/>
        <v>0</v>
      </c>
      <c r="T51">
        <f ca="1"/>
        <v>0</v>
      </c>
      <c r="U51">
        <f ca="1"/>
        <v>0</v>
      </c>
      <c r="V51">
        <f ca="1"/>
        <v>0</v>
      </c>
      <c r="W51">
        <f ca="1"/>
        <v>0</v>
      </c>
      <c r="X51">
        <f ca="1"/>
        <v>0</v>
      </c>
      <c r="Y51">
        <f ca="1"/>
        <v>0</v>
      </c>
      <c r="Z51">
        <f ca="1"/>
        <v>0</v>
      </c>
      <c r="AA51">
        <f ca="1"/>
        <v>0</v>
      </c>
      <c r="AB51">
        <f ca="1"/>
        <v>0</v>
      </c>
      <c r="AC51">
        <f ca="1"/>
        <v>0</v>
      </c>
      <c r="AD51">
        <f ca="1"/>
        <v>0</v>
      </c>
      <c r="AE51">
        <f ca="1"/>
        <v>0</v>
      </c>
      <c r="AF51">
        <f ca="1"/>
        <v>0</v>
      </c>
      <c r="AG51">
        <f ca="1"/>
        <v>0</v>
      </c>
      <c r="AH51">
        <f ca="1"/>
        <v>0</v>
      </c>
      <c r="AI51">
        <f ca="1"/>
        <v>0</v>
      </c>
      <c r="AJ51">
        <f ca="1"/>
        <v>0</v>
      </c>
      <c r="AK51">
        <f ca="1"/>
        <v>0</v>
      </c>
      <c r="AL51">
        <f ca="1"/>
        <v>0</v>
      </c>
      <c r="AM51">
        <f ca="1"/>
        <v>0</v>
      </c>
      <c r="AN51">
        <f ca="1"/>
        <v>0</v>
      </c>
      <c r="AO51">
        <f ca="1"/>
        <v>0</v>
      </c>
      <c r="AP51">
        <f ca="1"/>
        <v>0</v>
      </c>
      <c r="AQ51">
        <f ca="1"/>
        <v>0</v>
      </c>
      <c r="AR51">
        <f ca="1"/>
        <v>0</v>
      </c>
      <c r="AS51">
        <f ca="1"/>
        <v>0</v>
      </c>
      <c r="AT51">
        <f ca="1"/>
        <v>0</v>
      </c>
      <c r="AU51">
        <f ca="1"/>
        <v>0</v>
      </c>
      <c r="AV51">
        <f ca="1"/>
        <v>0</v>
      </c>
      <c r="AW51">
        <f ca="1"/>
        <v>0</v>
      </c>
      <c r="AX51">
        <f ca="1"/>
        <v>0</v>
      </c>
      <c r="AY51">
        <f ca="1"/>
        <v>0</v>
      </c>
      <c r="AZ51">
        <f ca="1"/>
        <v>0</v>
      </c>
      <c r="BA51">
        <f ca="1"/>
        <v>0</v>
      </c>
      <c r="BB51">
        <f ca="1"/>
        <v>0</v>
      </c>
      <c r="BC51">
        <f ca="1"/>
        <v>0</v>
      </c>
      <c r="BD51">
        <f ca="1"/>
        <v>0</v>
      </c>
      <c r="BE51">
        <f ca="1"/>
        <v>0</v>
      </c>
      <c r="BF51">
        <f ca="1"/>
        <v>0</v>
      </c>
      <c r="BG51">
        <f ca="1"/>
        <v>0</v>
      </c>
      <c r="BH51">
        <f ca="1"/>
        <v>0</v>
      </c>
      <c r="BI51">
        <f ca="1"/>
        <v>0</v>
      </c>
      <c r="BJ51">
        <f ca="1"/>
        <v>0</v>
      </c>
      <c r="BK51">
        <f ca="1"/>
        <v>0</v>
      </c>
      <c r="BL51">
        <f ca="1"/>
        <v>0</v>
      </c>
      <c r="BM51">
        <f ca="1"/>
        <v>0</v>
      </c>
      <c r="BN51">
        <f ca="1"/>
        <v>0</v>
      </c>
      <c r="BO51">
        <f ca="1"/>
        <v>0</v>
      </c>
      <c r="BP51">
        <f ca="1"/>
        <v>0</v>
      </c>
      <c r="BQ51">
        <f ca="1"/>
        <v>0</v>
      </c>
      <c r="BR51">
        <f ca="1"/>
        <v>0</v>
      </c>
      <c r="BS51">
        <f ca="1"/>
        <v>0</v>
      </c>
      <c r="BT51">
        <f ca="1"/>
        <v>0</v>
      </c>
      <c r="BU51">
        <f ca="1"/>
        <v>0</v>
      </c>
      <c r="BV51">
        <f ca="1"/>
        <v>0</v>
      </c>
      <c r="BW51">
        <f ca="1"/>
        <v>0</v>
      </c>
      <c r="BX51">
        <f ca="1"/>
        <v>0</v>
      </c>
      <c r="BY51">
        <f ca="1"/>
        <v>0</v>
      </c>
      <c r="BZ51">
        <f ca="1"/>
        <v>0</v>
      </c>
      <c r="CA51">
        <f ca="1"/>
        <v>0</v>
      </c>
      <c r="CB51">
        <f ca="1"/>
        <v>0</v>
      </c>
      <c r="CC51">
        <f ca="1"/>
        <v>0</v>
      </c>
      <c r="CD51">
        <f ca="1"/>
        <v>0</v>
      </c>
      <c r="CE51">
        <f ca="1"/>
        <v>0</v>
      </c>
      <c r="CF51">
        <f ca="1"/>
        <v>0</v>
      </c>
      <c r="CG51">
        <f ca="1"/>
        <v>0</v>
      </c>
      <c r="CH51">
        <f ca="1"/>
        <v>0</v>
      </c>
      <c r="CI51">
        <f ca="1"/>
        <v>0</v>
      </c>
      <c r="CJ51">
        <f ca="1"/>
        <v>0</v>
      </c>
      <c r="CK51">
        <f ca="1"/>
        <v>0</v>
      </c>
      <c r="CL51">
        <f ca="1"/>
        <v>0</v>
      </c>
      <c r="CM51">
        <f ca="1"/>
        <v>0</v>
      </c>
      <c r="CN51">
        <f ca="1"/>
        <v>0</v>
      </c>
      <c r="CO51">
        <f ca="1"/>
        <v>0</v>
      </c>
      <c r="CP51">
        <f ca="1"/>
        <v>0</v>
      </c>
    </row>
    <row r="52" spans="3:94" x14ac:dyDescent="0.25">
      <c r="C52" cm="1">
        <f t="array" aca="1" ref="C52:CP52" ca="1">IFERROR(TRANSPOSE(INDEX(_xlfn._xlws.FILTER(INDIRECT("SubcategoriesTable[Subcategory name]"),INDIRECT("SubcategoriesTable[Category name]")=$B52),,)),_xlfn.CONCAT("No subcategories for"," ", $B52))</f>
        <v>0</v>
      </c>
      <c r="D52">
        <f ca="1"/>
        <v>0</v>
      </c>
      <c r="E52">
        <f ca="1"/>
        <v>0</v>
      </c>
      <c r="F52">
        <f ca="1"/>
        <v>0</v>
      </c>
      <c r="G52">
        <f ca="1"/>
        <v>0</v>
      </c>
      <c r="H52">
        <f ca="1"/>
        <v>0</v>
      </c>
      <c r="I52">
        <f ca="1"/>
        <v>0</v>
      </c>
      <c r="J52">
        <f ca="1"/>
        <v>0</v>
      </c>
      <c r="K52">
        <f ca="1"/>
        <v>0</v>
      </c>
      <c r="L52">
        <f ca="1"/>
        <v>0</v>
      </c>
      <c r="M52">
        <f ca="1"/>
        <v>0</v>
      </c>
      <c r="N52">
        <f ca="1"/>
        <v>0</v>
      </c>
      <c r="O52">
        <f ca="1"/>
        <v>0</v>
      </c>
      <c r="P52">
        <f ca="1"/>
        <v>0</v>
      </c>
      <c r="Q52">
        <f ca="1"/>
        <v>0</v>
      </c>
      <c r="R52">
        <f ca="1"/>
        <v>0</v>
      </c>
      <c r="S52">
        <f ca="1"/>
        <v>0</v>
      </c>
      <c r="T52">
        <f ca="1"/>
        <v>0</v>
      </c>
      <c r="U52">
        <f ca="1"/>
        <v>0</v>
      </c>
      <c r="V52">
        <f ca="1"/>
        <v>0</v>
      </c>
      <c r="W52">
        <f ca="1"/>
        <v>0</v>
      </c>
      <c r="X52">
        <f ca="1"/>
        <v>0</v>
      </c>
      <c r="Y52">
        <f ca="1"/>
        <v>0</v>
      </c>
      <c r="Z52">
        <f ca="1"/>
        <v>0</v>
      </c>
      <c r="AA52">
        <f ca="1"/>
        <v>0</v>
      </c>
      <c r="AB52">
        <f ca="1"/>
        <v>0</v>
      </c>
      <c r="AC52">
        <f ca="1"/>
        <v>0</v>
      </c>
      <c r="AD52">
        <f ca="1"/>
        <v>0</v>
      </c>
      <c r="AE52">
        <f ca="1"/>
        <v>0</v>
      </c>
      <c r="AF52">
        <f ca="1"/>
        <v>0</v>
      </c>
      <c r="AG52">
        <f ca="1"/>
        <v>0</v>
      </c>
      <c r="AH52">
        <f ca="1"/>
        <v>0</v>
      </c>
      <c r="AI52">
        <f ca="1"/>
        <v>0</v>
      </c>
      <c r="AJ52">
        <f ca="1"/>
        <v>0</v>
      </c>
      <c r="AK52">
        <f ca="1"/>
        <v>0</v>
      </c>
      <c r="AL52">
        <f ca="1"/>
        <v>0</v>
      </c>
      <c r="AM52">
        <f ca="1"/>
        <v>0</v>
      </c>
      <c r="AN52">
        <f ca="1"/>
        <v>0</v>
      </c>
      <c r="AO52">
        <f ca="1"/>
        <v>0</v>
      </c>
      <c r="AP52">
        <f ca="1"/>
        <v>0</v>
      </c>
      <c r="AQ52">
        <f ca="1"/>
        <v>0</v>
      </c>
      <c r="AR52">
        <f ca="1"/>
        <v>0</v>
      </c>
      <c r="AS52">
        <f ca="1"/>
        <v>0</v>
      </c>
      <c r="AT52">
        <f ca="1"/>
        <v>0</v>
      </c>
      <c r="AU52">
        <f ca="1"/>
        <v>0</v>
      </c>
      <c r="AV52">
        <f ca="1"/>
        <v>0</v>
      </c>
      <c r="AW52">
        <f ca="1"/>
        <v>0</v>
      </c>
      <c r="AX52">
        <f ca="1"/>
        <v>0</v>
      </c>
      <c r="AY52">
        <f ca="1"/>
        <v>0</v>
      </c>
      <c r="AZ52">
        <f ca="1"/>
        <v>0</v>
      </c>
      <c r="BA52">
        <f ca="1"/>
        <v>0</v>
      </c>
      <c r="BB52">
        <f ca="1"/>
        <v>0</v>
      </c>
      <c r="BC52">
        <f ca="1"/>
        <v>0</v>
      </c>
      <c r="BD52">
        <f ca="1"/>
        <v>0</v>
      </c>
      <c r="BE52">
        <f ca="1"/>
        <v>0</v>
      </c>
      <c r="BF52">
        <f ca="1"/>
        <v>0</v>
      </c>
      <c r="BG52">
        <f ca="1"/>
        <v>0</v>
      </c>
      <c r="BH52">
        <f ca="1"/>
        <v>0</v>
      </c>
      <c r="BI52">
        <f ca="1"/>
        <v>0</v>
      </c>
      <c r="BJ52">
        <f ca="1"/>
        <v>0</v>
      </c>
      <c r="BK52">
        <f ca="1"/>
        <v>0</v>
      </c>
      <c r="BL52">
        <f ca="1"/>
        <v>0</v>
      </c>
      <c r="BM52">
        <f ca="1"/>
        <v>0</v>
      </c>
      <c r="BN52">
        <f ca="1"/>
        <v>0</v>
      </c>
      <c r="BO52">
        <f ca="1"/>
        <v>0</v>
      </c>
      <c r="BP52">
        <f ca="1"/>
        <v>0</v>
      </c>
      <c r="BQ52">
        <f ca="1"/>
        <v>0</v>
      </c>
      <c r="BR52">
        <f ca="1"/>
        <v>0</v>
      </c>
      <c r="BS52">
        <f ca="1"/>
        <v>0</v>
      </c>
      <c r="BT52">
        <f ca="1"/>
        <v>0</v>
      </c>
      <c r="BU52">
        <f ca="1"/>
        <v>0</v>
      </c>
      <c r="BV52">
        <f ca="1"/>
        <v>0</v>
      </c>
      <c r="BW52">
        <f ca="1"/>
        <v>0</v>
      </c>
      <c r="BX52">
        <f ca="1"/>
        <v>0</v>
      </c>
      <c r="BY52">
        <f ca="1"/>
        <v>0</v>
      </c>
      <c r="BZ52">
        <f ca="1"/>
        <v>0</v>
      </c>
      <c r="CA52">
        <f ca="1"/>
        <v>0</v>
      </c>
      <c r="CB52">
        <f ca="1"/>
        <v>0</v>
      </c>
      <c r="CC52">
        <f ca="1"/>
        <v>0</v>
      </c>
      <c r="CD52">
        <f ca="1"/>
        <v>0</v>
      </c>
      <c r="CE52">
        <f ca="1"/>
        <v>0</v>
      </c>
      <c r="CF52">
        <f ca="1"/>
        <v>0</v>
      </c>
      <c r="CG52">
        <f ca="1"/>
        <v>0</v>
      </c>
      <c r="CH52">
        <f ca="1"/>
        <v>0</v>
      </c>
      <c r="CI52">
        <f ca="1"/>
        <v>0</v>
      </c>
      <c r="CJ52">
        <f ca="1"/>
        <v>0</v>
      </c>
      <c r="CK52">
        <f ca="1"/>
        <v>0</v>
      </c>
      <c r="CL52">
        <f ca="1"/>
        <v>0</v>
      </c>
      <c r="CM52">
        <f ca="1"/>
        <v>0</v>
      </c>
      <c r="CN52">
        <f ca="1"/>
        <v>0</v>
      </c>
      <c r="CO52">
        <f ca="1"/>
        <v>0</v>
      </c>
      <c r="CP52">
        <f ca="1"/>
        <v>0</v>
      </c>
    </row>
    <row r="53" spans="3:94" x14ac:dyDescent="0.25">
      <c r="C53" cm="1">
        <f t="array" aca="1" ref="C53:CP53" ca="1">IFERROR(TRANSPOSE(INDEX(_xlfn._xlws.FILTER(INDIRECT("SubcategoriesTable[Subcategory name]"),INDIRECT("SubcategoriesTable[Category name]")=$B53),,)),_xlfn.CONCAT("No subcategories for"," ", $B53))</f>
        <v>0</v>
      </c>
      <c r="D53">
        <f ca="1"/>
        <v>0</v>
      </c>
      <c r="E53">
        <f ca="1"/>
        <v>0</v>
      </c>
      <c r="F53">
        <f ca="1"/>
        <v>0</v>
      </c>
      <c r="G53">
        <f ca="1"/>
        <v>0</v>
      </c>
      <c r="H53">
        <f ca="1"/>
        <v>0</v>
      </c>
      <c r="I53">
        <f ca="1"/>
        <v>0</v>
      </c>
      <c r="J53">
        <f ca="1"/>
        <v>0</v>
      </c>
      <c r="K53">
        <f ca="1"/>
        <v>0</v>
      </c>
      <c r="L53">
        <f ca="1"/>
        <v>0</v>
      </c>
      <c r="M53">
        <f ca="1"/>
        <v>0</v>
      </c>
      <c r="N53">
        <f ca="1"/>
        <v>0</v>
      </c>
      <c r="O53">
        <f ca="1"/>
        <v>0</v>
      </c>
      <c r="P53">
        <f ca="1"/>
        <v>0</v>
      </c>
      <c r="Q53">
        <f ca="1"/>
        <v>0</v>
      </c>
      <c r="R53">
        <f ca="1"/>
        <v>0</v>
      </c>
      <c r="S53">
        <f ca="1"/>
        <v>0</v>
      </c>
      <c r="T53">
        <f ca="1"/>
        <v>0</v>
      </c>
      <c r="U53">
        <f ca="1"/>
        <v>0</v>
      </c>
      <c r="V53">
        <f ca="1"/>
        <v>0</v>
      </c>
      <c r="W53">
        <f ca="1"/>
        <v>0</v>
      </c>
      <c r="X53">
        <f ca="1"/>
        <v>0</v>
      </c>
      <c r="Y53">
        <f ca="1"/>
        <v>0</v>
      </c>
      <c r="Z53">
        <f ca="1"/>
        <v>0</v>
      </c>
      <c r="AA53">
        <f ca="1"/>
        <v>0</v>
      </c>
      <c r="AB53">
        <f ca="1"/>
        <v>0</v>
      </c>
      <c r="AC53">
        <f ca="1"/>
        <v>0</v>
      </c>
      <c r="AD53">
        <f ca="1"/>
        <v>0</v>
      </c>
      <c r="AE53">
        <f ca="1"/>
        <v>0</v>
      </c>
      <c r="AF53">
        <f ca="1"/>
        <v>0</v>
      </c>
      <c r="AG53">
        <f ca="1"/>
        <v>0</v>
      </c>
      <c r="AH53">
        <f ca="1"/>
        <v>0</v>
      </c>
      <c r="AI53">
        <f ca="1"/>
        <v>0</v>
      </c>
      <c r="AJ53">
        <f ca="1"/>
        <v>0</v>
      </c>
      <c r="AK53">
        <f ca="1"/>
        <v>0</v>
      </c>
      <c r="AL53">
        <f ca="1"/>
        <v>0</v>
      </c>
      <c r="AM53">
        <f ca="1"/>
        <v>0</v>
      </c>
      <c r="AN53">
        <f ca="1"/>
        <v>0</v>
      </c>
      <c r="AO53">
        <f ca="1"/>
        <v>0</v>
      </c>
      <c r="AP53">
        <f ca="1"/>
        <v>0</v>
      </c>
      <c r="AQ53">
        <f ca="1"/>
        <v>0</v>
      </c>
      <c r="AR53">
        <f ca="1"/>
        <v>0</v>
      </c>
      <c r="AS53">
        <f ca="1"/>
        <v>0</v>
      </c>
      <c r="AT53">
        <f ca="1"/>
        <v>0</v>
      </c>
      <c r="AU53">
        <f ca="1"/>
        <v>0</v>
      </c>
      <c r="AV53">
        <f ca="1"/>
        <v>0</v>
      </c>
      <c r="AW53">
        <f ca="1"/>
        <v>0</v>
      </c>
      <c r="AX53">
        <f ca="1"/>
        <v>0</v>
      </c>
      <c r="AY53">
        <f ca="1"/>
        <v>0</v>
      </c>
      <c r="AZ53">
        <f ca="1"/>
        <v>0</v>
      </c>
      <c r="BA53">
        <f ca="1"/>
        <v>0</v>
      </c>
      <c r="BB53">
        <f ca="1"/>
        <v>0</v>
      </c>
      <c r="BC53">
        <f ca="1"/>
        <v>0</v>
      </c>
      <c r="BD53">
        <f ca="1"/>
        <v>0</v>
      </c>
      <c r="BE53">
        <f ca="1"/>
        <v>0</v>
      </c>
      <c r="BF53">
        <f ca="1"/>
        <v>0</v>
      </c>
      <c r="BG53">
        <f ca="1"/>
        <v>0</v>
      </c>
      <c r="BH53">
        <f ca="1"/>
        <v>0</v>
      </c>
      <c r="BI53">
        <f ca="1"/>
        <v>0</v>
      </c>
      <c r="BJ53">
        <f ca="1"/>
        <v>0</v>
      </c>
      <c r="BK53">
        <f ca="1"/>
        <v>0</v>
      </c>
      <c r="BL53">
        <f ca="1"/>
        <v>0</v>
      </c>
      <c r="BM53">
        <f ca="1"/>
        <v>0</v>
      </c>
      <c r="BN53">
        <f ca="1"/>
        <v>0</v>
      </c>
      <c r="BO53">
        <f ca="1"/>
        <v>0</v>
      </c>
      <c r="BP53">
        <f ca="1"/>
        <v>0</v>
      </c>
      <c r="BQ53">
        <f ca="1"/>
        <v>0</v>
      </c>
      <c r="BR53">
        <f ca="1"/>
        <v>0</v>
      </c>
      <c r="BS53">
        <f ca="1"/>
        <v>0</v>
      </c>
      <c r="BT53">
        <f ca="1"/>
        <v>0</v>
      </c>
      <c r="BU53">
        <f ca="1"/>
        <v>0</v>
      </c>
      <c r="BV53">
        <f ca="1"/>
        <v>0</v>
      </c>
      <c r="BW53">
        <f ca="1"/>
        <v>0</v>
      </c>
      <c r="BX53">
        <f ca="1"/>
        <v>0</v>
      </c>
      <c r="BY53">
        <f ca="1"/>
        <v>0</v>
      </c>
      <c r="BZ53">
        <f ca="1"/>
        <v>0</v>
      </c>
      <c r="CA53">
        <f ca="1"/>
        <v>0</v>
      </c>
      <c r="CB53">
        <f ca="1"/>
        <v>0</v>
      </c>
      <c r="CC53">
        <f ca="1"/>
        <v>0</v>
      </c>
      <c r="CD53">
        <f ca="1"/>
        <v>0</v>
      </c>
      <c r="CE53">
        <f ca="1"/>
        <v>0</v>
      </c>
      <c r="CF53">
        <f ca="1"/>
        <v>0</v>
      </c>
      <c r="CG53">
        <f ca="1"/>
        <v>0</v>
      </c>
      <c r="CH53">
        <f ca="1"/>
        <v>0</v>
      </c>
      <c r="CI53">
        <f ca="1"/>
        <v>0</v>
      </c>
      <c r="CJ53">
        <f ca="1"/>
        <v>0</v>
      </c>
      <c r="CK53">
        <f ca="1"/>
        <v>0</v>
      </c>
      <c r="CL53">
        <f ca="1"/>
        <v>0</v>
      </c>
      <c r="CM53">
        <f ca="1"/>
        <v>0</v>
      </c>
      <c r="CN53">
        <f ca="1"/>
        <v>0</v>
      </c>
      <c r="CO53">
        <f ca="1"/>
        <v>0</v>
      </c>
      <c r="CP53">
        <f ca="1"/>
        <v>0</v>
      </c>
    </row>
    <row r="54" spans="3:94" x14ac:dyDescent="0.25">
      <c r="C54" cm="1">
        <f t="array" aca="1" ref="C54:CP54" ca="1">IFERROR(TRANSPOSE(INDEX(_xlfn._xlws.FILTER(INDIRECT("SubcategoriesTable[Subcategory name]"),INDIRECT("SubcategoriesTable[Category name]")=$B54),,)),_xlfn.CONCAT("No subcategories for"," ", $B54))</f>
        <v>0</v>
      </c>
      <c r="D54">
        <f ca="1"/>
        <v>0</v>
      </c>
      <c r="E54">
        <f ca="1"/>
        <v>0</v>
      </c>
      <c r="F54">
        <f ca="1"/>
        <v>0</v>
      </c>
      <c r="G54">
        <f ca="1"/>
        <v>0</v>
      </c>
      <c r="H54">
        <f ca="1"/>
        <v>0</v>
      </c>
      <c r="I54">
        <f ca="1"/>
        <v>0</v>
      </c>
      <c r="J54">
        <f ca="1"/>
        <v>0</v>
      </c>
      <c r="K54">
        <f ca="1"/>
        <v>0</v>
      </c>
      <c r="L54">
        <f ca="1"/>
        <v>0</v>
      </c>
      <c r="M54">
        <f ca="1"/>
        <v>0</v>
      </c>
      <c r="N54">
        <f ca="1"/>
        <v>0</v>
      </c>
      <c r="O54">
        <f ca="1"/>
        <v>0</v>
      </c>
      <c r="P54">
        <f ca="1"/>
        <v>0</v>
      </c>
      <c r="Q54">
        <f ca="1"/>
        <v>0</v>
      </c>
      <c r="R54">
        <f ca="1"/>
        <v>0</v>
      </c>
      <c r="S54">
        <f ca="1"/>
        <v>0</v>
      </c>
      <c r="T54">
        <f ca="1"/>
        <v>0</v>
      </c>
      <c r="U54">
        <f ca="1"/>
        <v>0</v>
      </c>
      <c r="V54">
        <f ca="1"/>
        <v>0</v>
      </c>
      <c r="W54">
        <f ca="1"/>
        <v>0</v>
      </c>
      <c r="X54">
        <f ca="1"/>
        <v>0</v>
      </c>
      <c r="Y54">
        <f ca="1"/>
        <v>0</v>
      </c>
      <c r="Z54">
        <f ca="1"/>
        <v>0</v>
      </c>
      <c r="AA54">
        <f ca="1"/>
        <v>0</v>
      </c>
      <c r="AB54">
        <f ca="1"/>
        <v>0</v>
      </c>
      <c r="AC54">
        <f ca="1"/>
        <v>0</v>
      </c>
      <c r="AD54">
        <f ca="1"/>
        <v>0</v>
      </c>
      <c r="AE54">
        <f ca="1"/>
        <v>0</v>
      </c>
      <c r="AF54">
        <f ca="1"/>
        <v>0</v>
      </c>
      <c r="AG54">
        <f ca="1"/>
        <v>0</v>
      </c>
      <c r="AH54">
        <f ca="1"/>
        <v>0</v>
      </c>
      <c r="AI54">
        <f ca="1"/>
        <v>0</v>
      </c>
      <c r="AJ54">
        <f ca="1"/>
        <v>0</v>
      </c>
      <c r="AK54">
        <f ca="1"/>
        <v>0</v>
      </c>
      <c r="AL54">
        <f ca="1"/>
        <v>0</v>
      </c>
      <c r="AM54">
        <f ca="1"/>
        <v>0</v>
      </c>
      <c r="AN54">
        <f ca="1"/>
        <v>0</v>
      </c>
      <c r="AO54">
        <f ca="1"/>
        <v>0</v>
      </c>
      <c r="AP54">
        <f ca="1"/>
        <v>0</v>
      </c>
      <c r="AQ54">
        <f ca="1"/>
        <v>0</v>
      </c>
      <c r="AR54">
        <f ca="1"/>
        <v>0</v>
      </c>
      <c r="AS54">
        <f ca="1"/>
        <v>0</v>
      </c>
      <c r="AT54">
        <f ca="1"/>
        <v>0</v>
      </c>
      <c r="AU54">
        <f ca="1"/>
        <v>0</v>
      </c>
      <c r="AV54">
        <f ca="1"/>
        <v>0</v>
      </c>
      <c r="AW54">
        <f ca="1"/>
        <v>0</v>
      </c>
      <c r="AX54">
        <f ca="1"/>
        <v>0</v>
      </c>
      <c r="AY54">
        <f ca="1"/>
        <v>0</v>
      </c>
      <c r="AZ54">
        <f ca="1"/>
        <v>0</v>
      </c>
      <c r="BA54">
        <f ca="1"/>
        <v>0</v>
      </c>
      <c r="BB54">
        <f ca="1"/>
        <v>0</v>
      </c>
      <c r="BC54">
        <f ca="1"/>
        <v>0</v>
      </c>
      <c r="BD54">
        <f ca="1"/>
        <v>0</v>
      </c>
      <c r="BE54">
        <f ca="1"/>
        <v>0</v>
      </c>
      <c r="BF54">
        <f ca="1"/>
        <v>0</v>
      </c>
      <c r="BG54">
        <f ca="1"/>
        <v>0</v>
      </c>
      <c r="BH54">
        <f ca="1"/>
        <v>0</v>
      </c>
      <c r="BI54">
        <f ca="1"/>
        <v>0</v>
      </c>
      <c r="BJ54">
        <f ca="1"/>
        <v>0</v>
      </c>
      <c r="BK54">
        <f ca="1"/>
        <v>0</v>
      </c>
      <c r="BL54">
        <f ca="1"/>
        <v>0</v>
      </c>
      <c r="BM54">
        <f ca="1"/>
        <v>0</v>
      </c>
      <c r="BN54">
        <f ca="1"/>
        <v>0</v>
      </c>
      <c r="BO54">
        <f ca="1"/>
        <v>0</v>
      </c>
      <c r="BP54">
        <f ca="1"/>
        <v>0</v>
      </c>
      <c r="BQ54">
        <f ca="1"/>
        <v>0</v>
      </c>
      <c r="BR54">
        <f ca="1"/>
        <v>0</v>
      </c>
      <c r="BS54">
        <f ca="1"/>
        <v>0</v>
      </c>
      <c r="BT54">
        <f ca="1"/>
        <v>0</v>
      </c>
      <c r="BU54">
        <f ca="1"/>
        <v>0</v>
      </c>
      <c r="BV54">
        <f ca="1"/>
        <v>0</v>
      </c>
      <c r="BW54">
        <f ca="1"/>
        <v>0</v>
      </c>
      <c r="BX54">
        <f ca="1"/>
        <v>0</v>
      </c>
      <c r="BY54">
        <f ca="1"/>
        <v>0</v>
      </c>
      <c r="BZ54">
        <f ca="1"/>
        <v>0</v>
      </c>
      <c r="CA54">
        <f ca="1"/>
        <v>0</v>
      </c>
      <c r="CB54">
        <f ca="1"/>
        <v>0</v>
      </c>
      <c r="CC54">
        <f ca="1"/>
        <v>0</v>
      </c>
      <c r="CD54">
        <f ca="1"/>
        <v>0</v>
      </c>
      <c r="CE54">
        <f ca="1"/>
        <v>0</v>
      </c>
      <c r="CF54">
        <f ca="1"/>
        <v>0</v>
      </c>
      <c r="CG54">
        <f ca="1"/>
        <v>0</v>
      </c>
      <c r="CH54">
        <f ca="1"/>
        <v>0</v>
      </c>
      <c r="CI54">
        <f ca="1"/>
        <v>0</v>
      </c>
      <c r="CJ54">
        <f ca="1"/>
        <v>0</v>
      </c>
      <c r="CK54">
        <f ca="1"/>
        <v>0</v>
      </c>
      <c r="CL54">
        <f ca="1"/>
        <v>0</v>
      </c>
      <c r="CM54">
        <f ca="1"/>
        <v>0</v>
      </c>
      <c r="CN54">
        <f ca="1"/>
        <v>0</v>
      </c>
      <c r="CO54">
        <f ca="1"/>
        <v>0</v>
      </c>
      <c r="CP54">
        <f ca="1"/>
        <v>0</v>
      </c>
    </row>
    <row r="55" spans="3:94" x14ac:dyDescent="0.25">
      <c r="C55" cm="1">
        <f t="array" aca="1" ref="C55:CP55" ca="1">IFERROR(TRANSPOSE(INDEX(_xlfn._xlws.FILTER(INDIRECT("SubcategoriesTable[Subcategory name]"),INDIRECT("SubcategoriesTable[Category name]")=$B55),,)),_xlfn.CONCAT("No subcategories for"," ", $B55))</f>
        <v>0</v>
      </c>
      <c r="D55">
        <f ca="1"/>
        <v>0</v>
      </c>
      <c r="E55">
        <f ca="1"/>
        <v>0</v>
      </c>
      <c r="F55">
        <f ca="1"/>
        <v>0</v>
      </c>
      <c r="G55">
        <f ca="1"/>
        <v>0</v>
      </c>
      <c r="H55">
        <f ca="1"/>
        <v>0</v>
      </c>
      <c r="I55">
        <f ca="1"/>
        <v>0</v>
      </c>
      <c r="J55">
        <f ca="1"/>
        <v>0</v>
      </c>
      <c r="K55">
        <f ca="1"/>
        <v>0</v>
      </c>
      <c r="L55">
        <f ca="1"/>
        <v>0</v>
      </c>
      <c r="M55">
        <f ca="1"/>
        <v>0</v>
      </c>
      <c r="N55">
        <f ca="1"/>
        <v>0</v>
      </c>
      <c r="O55">
        <f ca="1"/>
        <v>0</v>
      </c>
      <c r="P55">
        <f ca="1"/>
        <v>0</v>
      </c>
      <c r="Q55">
        <f ca="1"/>
        <v>0</v>
      </c>
      <c r="R55">
        <f ca="1"/>
        <v>0</v>
      </c>
      <c r="S55">
        <f ca="1"/>
        <v>0</v>
      </c>
      <c r="T55">
        <f ca="1"/>
        <v>0</v>
      </c>
      <c r="U55">
        <f ca="1"/>
        <v>0</v>
      </c>
      <c r="V55">
        <f ca="1"/>
        <v>0</v>
      </c>
      <c r="W55">
        <f ca="1"/>
        <v>0</v>
      </c>
      <c r="X55">
        <f ca="1"/>
        <v>0</v>
      </c>
      <c r="Y55">
        <f ca="1"/>
        <v>0</v>
      </c>
      <c r="Z55">
        <f ca="1"/>
        <v>0</v>
      </c>
      <c r="AA55">
        <f ca="1"/>
        <v>0</v>
      </c>
      <c r="AB55">
        <f ca="1"/>
        <v>0</v>
      </c>
      <c r="AC55">
        <f ca="1"/>
        <v>0</v>
      </c>
      <c r="AD55">
        <f ca="1"/>
        <v>0</v>
      </c>
      <c r="AE55">
        <f ca="1"/>
        <v>0</v>
      </c>
      <c r="AF55">
        <f ca="1"/>
        <v>0</v>
      </c>
      <c r="AG55">
        <f ca="1"/>
        <v>0</v>
      </c>
      <c r="AH55">
        <f ca="1"/>
        <v>0</v>
      </c>
      <c r="AI55">
        <f ca="1"/>
        <v>0</v>
      </c>
      <c r="AJ55">
        <f ca="1"/>
        <v>0</v>
      </c>
      <c r="AK55">
        <f ca="1"/>
        <v>0</v>
      </c>
      <c r="AL55">
        <f ca="1"/>
        <v>0</v>
      </c>
      <c r="AM55">
        <f ca="1"/>
        <v>0</v>
      </c>
      <c r="AN55">
        <f ca="1"/>
        <v>0</v>
      </c>
      <c r="AO55">
        <f ca="1"/>
        <v>0</v>
      </c>
      <c r="AP55">
        <f ca="1"/>
        <v>0</v>
      </c>
      <c r="AQ55">
        <f ca="1"/>
        <v>0</v>
      </c>
      <c r="AR55">
        <f ca="1"/>
        <v>0</v>
      </c>
      <c r="AS55">
        <f ca="1"/>
        <v>0</v>
      </c>
      <c r="AT55">
        <f ca="1"/>
        <v>0</v>
      </c>
      <c r="AU55">
        <f ca="1"/>
        <v>0</v>
      </c>
      <c r="AV55">
        <f ca="1"/>
        <v>0</v>
      </c>
      <c r="AW55">
        <f ca="1"/>
        <v>0</v>
      </c>
      <c r="AX55">
        <f ca="1"/>
        <v>0</v>
      </c>
      <c r="AY55">
        <f ca="1"/>
        <v>0</v>
      </c>
      <c r="AZ55">
        <f ca="1"/>
        <v>0</v>
      </c>
      <c r="BA55">
        <f ca="1"/>
        <v>0</v>
      </c>
      <c r="BB55">
        <f ca="1"/>
        <v>0</v>
      </c>
      <c r="BC55">
        <f ca="1"/>
        <v>0</v>
      </c>
      <c r="BD55">
        <f ca="1"/>
        <v>0</v>
      </c>
      <c r="BE55">
        <f ca="1"/>
        <v>0</v>
      </c>
      <c r="BF55">
        <f ca="1"/>
        <v>0</v>
      </c>
      <c r="BG55">
        <f ca="1"/>
        <v>0</v>
      </c>
      <c r="BH55">
        <f ca="1"/>
        <v>0</v>
      </c>
      <c r="BI55">
        <f ca="1"/>
        <v>0</v>
      </c>
      <c r="BJ55">
        <f ca="1"/>
        <v>0</v>
      </c>
      <c r="BK55">
        <f ca="1"/>
        <v>0</v>
      </c>
      <c r="BL55">
        <f ca="1"/>
        <v>0</v>
      </c>
      <c r="BM55">
        <f ca="1"/>
        <v>0</v>
      </c>
      <c r="BN55">
        <f ca="1"/>
        <v>0</v>
      </c>
      <c r="BO55">
        <f ca="1"/>
        <v>0</v>
      </c>
      <c r="BP55">
        <f ca="1"/>
        <v>0</v>
      </c>
      <c r="BQ55">
        <f ca="1"/>
        <v>0</v>
      </c>
      <c r="BR55">
        <f ca="1"/>
        <v>0</v>
      </c>
      <c r="BS55">
        <f ca="1"/>
        <v>0</v>
      </c>
      <c r="BT55">
        <f ca="1"/>
        <v>0</v>
      </c>
      <c r="BU55">
        <f ca="1"/>
        <v>0</v>
      </c>
      <c r="BV55">
        <f ca="1"/>
        <v>0</v>
      </c>
      <c r="BW55">
        <f ca="1"/>
        <v>0</v>
      </c>
      <c r="BX55">
        <f ca="1"/>
        <v>0</v>
      </c>
      <c r="BY55">
        <f ca="1"/>
        <v>0</v>
      </c>
      <c r="BZ55">
        <f ca="1"/>
        <v>0</v>
      </c>
      <c r="CA55">
        <f ca="1"/>
        <v>0</v>
      </c>
      <c r="CB55">
        <f ca="1"/>
        <v>0</v>
      </c>
      <c r="CC55">
        <f ca="1"/>
        <v>0</v>
      </c>
      <c r="CD55">
        <f ca="1"/>
        <v>0</v>
      </c>
      <c r="CE55">
        <f ca="1"/>
        <v>0</v>
      </c>
      <c r="CF55">
        <f ca="1"/>
        <v>0</v>
      </c>
      <c r="CG55">
        <f ca="1"/>
        <v>0</v>
      </c>
      <c r="CH55">
        <f ca="1"/>
        <v>0</v>
      </c>
      <c r="CI55">
        <f ca="1"/>
        <v>0</v>
      </c>
      <c r="CJ55">
        <f ca="1"/>
        <v>0</v>
      </c>
      <c r="CK55">
        <f ca="1"/>
        <v>0</v>
      </c>
      <c r="CL55">
        <f ca="1"/>
        <v>0</v>
      </c>
      <c r="CM55">
        <f ca="1"/>
        <v>0</v>
      </c>
      <c r="CN55">
        <f ca="1"/>
        <v>0</v>
      </c>
      <c r="CO55">
        <f ca="1"/>
        <v>0</v>
      </c>
      <c r="CP55">
        <f ca="1"/>
        <v>0</v>
      </c>
    </row>
    <row r="56" spans="3:94" x14ac:dyDescent="0.25">
      <c r="C56" cm="1">
        <f t="array" aca="1" ref="C56:CP56" ca="1">IFERROR(TRANSPOSE(INDEX(_xlfn._xlws.FILTER(INDIRECT("SubcategoriesTable[Subcategory name]"),INDIRECT("SubcategoriesTable[Category name]")=$B56),,)),_xlfn.CONCAT("No subcategories for"," ", $B56))</f>
        <v>0</v>
      </c>
      <c r="D56">
        <f ca="1"/>
        <v>0</v>
      </c>
      <c r="E56">
        <f ca="1"/>
        <v>0</v>
      </c>
      <c r="F56">
        <f ca="1"/>
        <v>0</v>
      </c>
      <c r="G56">
        <f ca="1"/>
        <v>0</v>
      </c>
      <c r="H56">
        <f ca="1"/>
        <v>0</v>
      </c>
      <c r="I56">
        <f ca="1"/>
        <v>0</v>
      </c>
      <c r="J56">
        <f ca="1"/>
        <v>0</v>
      </c>
      <c r="K56">
        <f ca="1"/>
        <v>0</v>
      </c>
      <c r="L56">
        <f ca="1"/>
        <v>0</v>
      </c>
      <c r="M56">
        <f ca="1"/>
        <v>0</v>
      </c>
      <c r="N56">
        <f ca="1"/>
        <v>0</v>
      </c>
      <c r="O56">
        <f ca="1"/>
        <v>0</v>
      </c>
      <c r="P56">
        <f ca="1"/>
        <v>0</v>
      </c>
      <c r="Q56">
        <f ca="1"/>
        <v>0</v>
      </c>
      <c r="R56">
        <f ca="1"/>
        <v>0</v>
      </c>
      <c r="S56">
        <f ca="1"/>
        <v>0</v>
      </c>
      <c r="T56">
        <f ca="1"/>
        <v>0</v>
      </c>
      <c r="U56">
        <f ca="1"/>
        <v>0</v>
      </c>
      <c r="V56">
        <f ca="1"/>
        <v>0</v>
      </c>
      <c r="W56">
        <f ca="1"/>
        <v>0</v>
      </c>
      <c r="X56">
        <f ca="1"/>
        <v>0</v>
      </c>
      <c r="Y56">
        <f ca="1"/>
        <v>0</v>
      </c>
      <c r="Z56">
        <f ca="1"/>
        <v>0</v>
      </c>
      <c r="AA56">
        <f ca="1"/>
        <v>0</v>
      </c>
      <c r="AB56">
        <f ca="1"/>
        <v>0</v>
      </c>
      <c r="AC56">
        <f ca="1"/>
        <v>0</v>
      </c>
      <c r="AD56">
        <f ca="1"/>
        <v>0</v>
      </c>
      <c r="AE56">
        <f ca="1"/>
        <v>0</v>
      </c>
      <c r="AF56">
        <f ca="1"/>
        <v>0</v>
      </c>
      <c r="AG56">
        <f ca="1"/>
        <v>0</v>
      </c>
      <c r="AH56">
        <f ca="1"/>
        <v>0</v>
      </c>
      <c r="AI56">
        <f ca="1"/>
        <v>0</v>
      </c>
      <c r="AJ56">
        <f ca="1"/>
        <v>0</v>
      </c>
      <c r="AK56">
        <f ca="1"/>
        <v>0</v>
      </c>
      <c r="AL56">
        <f ca="1"/>
        <v>0</v>
      </c>
      <c r="AM56">
        <f ca="1"/>
        <v>0</v>
      </c>
      <c r="AN56">
        <f ca="1"/>
        <v>0</v>
      </c>
      <c r="AO56">
        <f ca="1"/>
        <v>0</v>
      </c>
      <c r="AP56">
        <f ca="1"/>
        <v>0</v>
      </c>
      <c r="AQ56">
        <f ca="1"/>
        <v>0</v>
      </c>
      <c r="AR56">
        <f ca="1"/>
        <v>0</v>
      </c>
      <c r="AS56">
        <f ca="1"/>
        <v>0</v>
      </c>
      <c r="AT56">
        <f ca="1"/>
        <v>0</v>
      </c>
      <c r="AU56">
        <f ca="1"/>
        <v>0</v>
      </c>
      <c r="AV56">
        <f ca="1"/>
        <v>0</v>
      </c>
      <c r="AW56">
        <f ca="1"/>
        <v>0</v>
      </c>
      <c r="AX56">
        <f ca="1"/>
        <v>0</v>
      </c>
      <c r="AY56">
        <f ca="1"/>
        <v>0</v>
      </c>
      <c r="AZ56">
        <f ca="1"/>
        <v>0</v>
      </c>
      <c r="BA56">
        <f ca="1"/>
        <v>0</v>
      </c>
      <c r="BB56">
        <f ca="1"/>
        <v>0</v>
      </c>
      <c r="BC56">
        <f ca="1"/>
        <v>0</v>
      </c>
      <c r="BD56">
        <f ca="1"/>
        <v>0</v>
      </c>
      <c r="BE56">
        <f ca="1"/>
        <v>0</v>
      </c>
      <c r="BF56">
        <f ca="1"/>
        <v>0</v>
      </c>
      <c r="BG56">
        <f ca="1"/>
        <v>0</v>
      </c>
      <c r="BH56">
        <f ca="1"/>
        <v>0</v>
      </c>
      <c r="BI56">
        <f ca="1"/>
        <v>0</v>
      </c>
      <c r="BJ56">
        <f ca="1"/>
        <v>0</v>
      </c>
      <c r="BK56">
        <f ca="1"/>
        <v>0</v>
      </c>
      <c r="BL56">
        <f ca="1"/>
        <v>0</v>
      </c>
      <c r="BM56">
        <f ca="1"/>
        <v>0</v>
      </c>
      <c r="BN56">
        <f ca="1"/>
        <v>0</v>
      </c>
      <c r="BO56">
        <f ca="1"/>
        <v>0</v>
      </c>
      <c r="BP56">
        <f ca="1"/>
        <v>0</v>
      </c>
      <c r="BQ56">
        <f ca="1"/>
        <v>0</v>
      </c>
      <c r="BR56">
        <f ca="1"/>
        <v>0</v>
      </c>
      <c r="BS56">
        <f ca="1"/>
        <v>0</v>
      </c>
      <c r="BT56">
        <f ca="1"/>
        <v>0</v>
      </c>
      <c r="BU56">
        <f ca="1"/>
        <v>0</v>
      </c>
      <c r="BV56">
        <f ca="1"/>
        <v>0</v>
      </c>
      <c r="BW56">
        <f ca="1"/>
        <v>0</v>
      </c>
      <c r="BX56">
        <f ca="1"/>
        <v>0</v>
      </c>
      <c r="BY56">
        <f ca="1"/>
        <v>0</v>
      </c>
      <c r="BZ56">
        <f ca="1"/>
        <v>0</v>
      </c>
      <c r="CA56">
        <f ca="1"/>
        <v>0</v>
      </c>
      <c r="CB56">
        <f ca="1"/>
        <v>0</v>
      </c>
      <c r="CC56">
        <f ca="1"/>
        <v>0</v>
      </c>
      <c r="CD56">
        <f ca="1"/>
        <v>0</v>
      </c>
      <c r="CE56">
        <f ca="1"/>
        <v>0</v>
      </c>
      <c r="CF56">
        <f ca="1"/>
        <v>0</v>
      </c>
      <c r="CG56">
        <f ca="1"/>
        <v>0</v>
      </c>
      <c r="CH56">
        <f ca="1"/>
        <v>0</v>
      </c>
      <c r="CI56">
        <f ca="1"/>
        <v>0</v>
      </c>
      <c r="CJ56">
        <f ca="1"/>
        <v>0</v>
      </c>
      <c r="CK56">
        <f ca="1"/>
        <v>0</v>
      </c>
      <c r="CL56">
        <f ca="1"/>
        <v>0</v>
      </c>
      <c r="CM56">
        <f ca="1"/>
        <v>0</v>
      </c>
      <c r="CN56">
        <f ca="1"/>
        <v>0</v>
      </c>
      <c r="CO56">
        <f ca="1"/>
        <v>0</v>
      </c>
      <c r="CP56">
        <f ca="1"/>
        <v>0</v>
      </c>
    </row>
    <row r="57" spans="3:94" x14ac:dyDescent="0.25">
      <c r="C57" cm="1">
        <f t="array" aca="1" ref="C57:CP57" ca="1">IFERROR(TRANSPOSE(INDEX(_xlfn._xlws.FILTER(INDIRECT("SubcategoriesTable[Subcategory name]"),INDIRECT("SubcategoriesTable[Category name]")=$B57),,)),_xlfn.CONCAT("No subcategories for"," ", $B57))</f>
        <v>0</v>
      </c>
      <c r="D57">
        <f ca="1"/>
        <v>0</v>
      </c>
      <c r="E57">
        <f ca="1"/>
        <v>0</v>
      </c>
      <c r="F57">
        <f ca="1"/>
        <v>0</v>
      </c>
      <c r="G57">
        <f ca="1"/>
        <v>0</v>
      </c>
      <c r="H57">
        <f ca="1"/>
        <v>0</v>
      </c>
      <c r="I57">
        <f ca="1"/>
        <v>0</v>
      </c>
      <c r="J57">
        <f ca="1"/>
        <v>0</v>
      </c>
      <c r="K57">
        <f ca="1"/>
        <v>0</v>
      </c>
      <c r="L57">
        <f ca="1"/>
        <v>0</v>
      </c>
      <c r="M57">
        <f ca="1"/>
        <v>0</v>
      </c>
      <c r="N57">
        <f ca="1"/>
        <v>0</v>
      </c>
      <c r="O57">
        <f ca="1"/>
        <v>0</v>
      </c>
      <c r="P57">
        <f ca="1"/>
        <v>0</v>
      </c>
      <c r="Q57">
        <f ca="1"/>
        <v>0</v>
      </c>
      <c r="R57">
        <f ca="1"/>
        <v>0</v>
      </c>
      <c r="S57">
        <f ca="1"/>
        <v>0</v>
      </c>
      <c r="T57">
        <f ca="1"/>
        <v>0</v>
      </c>
      <c r="U57">
        <f ca="1"/>
        <v>0</v>
      </c>
      <c r="V57">
        <f ca="1"/>
        <v>0</v>
      </c>
      <c r="W57">
        <f ca="1"/>
        <v>0</v>
      </c>
      <c r="X57">
        <f ca="1"/>
        <v>0</v>
      </c>
      <c r="Y57">
        <f ca="1"/>
        <v>0</v>
      </c>
      <c r="Z57">
        <f ca="1"/>
        <v>0</v>
      </c>
      <c r="AA57">
        <f ca="1"/>
        <v>0</v>
      </c>
      <c r="AB57">
        <f ca="1"/>
        <v>0</v>
      </c>
      <c r="AC57">
        <f ca="1"/>
        <v>0</v>
      </c>
      <c r="AD57">
        <f ca="1"/>
        <v>0</v>
      </c>
      <c r="AE57">
        <f ca="1"/>
        <v>0</v>
      </c>
      <c r="AF57">
        <f ca="1"/>
        <v>0</v>
      </c>
      <c r="AG57">
        <f ca="1"/>
        <v>0</v>
      </c>
      <c r="AH57">
        <f ca="1"/>
        <v>0</v>
      </c>
      <c r="AI57">
        <f ca="1"/>
        <v>0</v>
      </c>
      <c r="AJ57">
        <f ca="1"/>
        <v>0</v>
      </c>
      <c r="AK57">
        <f ca="1"/>
        <v>0</v>
      </c>
      <c r="AL57">
        <f ca="1"/>
        <v>0</v>
      </c>
      <c r="AM57">
        <f ca="1"/>
        <v>0</v>
      </c>
      <c r="AN57">
        <f ca="1"/>
        <v>0</v>
      </c>
      <c r="AO57">
        <f ca="1"/>
        <v>0</v>
      </c>
      <c r="AP57">
        <f ca="1"/>
        <v>0</v>
      </c>
      <c r="AQ57">
        <f ca="1"/>
        <v>0</v>
      </c>
      <c r="AR57">
        <f ca="1"/>
        <v>0</v>
      </c>
      <c r="AS57">
        <f ca="1"/>
        <v>0</v>
      </c>
      <c r="AT57">
        <f ca="1"/>
        <v>0</v>
      </c>
      <c r="AU57">
        <f ca="1"/>
        <v>0</v>
      </c>
      <c r="AV57">
        <f ca="1"/>
        <v>0</v>
      </c>
      <c r="AW57">
        <f ca="1"/>
        <v>0</v>
      </c>
      <c r="AX57">
        <f ca="1"/>
        <v>0</v>
      </c>
      <c r="AY57">
        <f ca="1"/>
        <v>0</v>
      </c>
      <c r="AZ57">
        <f ca="1"/>
        <v>0</v>
      </c>
      <c r="BA57">
        <f ca="1"/>
        <v>0</v>
      </c>
      <c r="BB57">
        <f ca="1"/>
        <v>0</v>
      </c>
      <c r="BC57">
        <f ca="1"/>
        <v>0</v>
      </c>
      <c r="BD57">
        <f ca="1"/>
        <v>0</v>
      </c>
      <c r="BE57">
        <f ca="1"/>
        <v>0</v>
      </c>
      <c r="BF57">
        <f ca="1"/>
        <v>0</v>
      </c>
      <c r="BG57">
        <f ca="1"/>
        <v>0</v>
      </c>
      <c r="BH57">
        <f ca="1"/>
        <v>0</v>
      </c>
      <c r="BI57">
        <f ca="1"/>
        <v>0</v>
      </c>
      <c r="BJ57">
        <f ca="1"/>
        <v>0</v>
      </c>
      <c r="BK57">
        <f ca="1"/>
        <v>0</v>
      </c>
      <c r="BL57">
        <f ca="1"/>
        <v>0</v>
      </c>
      <c r="BM57">
        <f ca="1"/>
        <v>0</v>
      </c>
      <c r="BN57">
        <f ca="1"/>
        <v>0</v>
      </c>
      <c r="BO57">
        <f ca="1"/>
        <v>0</v>
      </c>
      <c r="BP57">
        <f ca="1"/>
        <v>0</v>
      </c>
      <c r="BQ57">
        <f ca="1"/>
        <v>0</v>
      </c>
      <c r="BR57">
        <f ca="1"/>
        <v>0</v>
      </c>
      <c r="BS57">
        <f ca="1"/>
        <v>0</v>
      </c>
      <c r="BT57">
        <f ca="1"/>
        <v>0</v>
      </c>
      <c r="BU57">
        <f ca="1"/>
        <v>0</v>
      </c>
      <c r="BV57">
        <f ca="1"/>
        <v>0</v>
      </c>
      <c r="BW57">
        <f ca="1"/>
        <v>0</v>
      </c>
      <c r="BX57">
        <f ca="1"/>
        <v>0</v>
      </c>
      <c r="BY57">
        <f ca="1"/>
        <v>0</v>
      </c>
      <c r="BZ57">
        <f ca="1"/>
        <v>0</v>
      </c>
      <c r="CA57">
        <f ca="1"/>
        <v>0</v>
      </c>
      <c r="CB57">
        <f ca="1"/>
        <v>0</v>
      </c>
      <c r="CC57">
        <f ca="1"/>
        <v>0</v>
      </c>
      <c r="CD57">
        <f ca="1"/>
        <v>0</v>
      </c>
      <c r="CE57">
        <f ca="1"/>
        <v>0</v>
      </c>
      <c r="CF57">
        <f ca="1"/>
        <v>0</v>
      </c>
      <c r="CG57">
        <f ca="1"/>
        <v>0</v>
      </c>
      <c r="CH57">
        <f ca="1"/>
        <v>0</v>
      </c>
      <c r="CI57">
        <f ca="1"/>
        <v>0</v>
      </c>
      <c r="CJ57">
        <f ca="1"/>
        <v>0</v>
      </c>
      <c r="CK57">
        <f ca="1"/>
        <v>0</v>
      </c>
      <c r="CL57">
        <f ca="1"/>
        <v>0</v>
      </c>
      <c r="CM57">
        <f ca="1"/>
        <v>0</v>
      </c>
      <c r="CN57">
        <f ca="1"/>
        <v>0</v>
      </c>
      <c r="CO57">
        <f ca="1"/>
        <v>0</v>
      </c>
      <c r="CP57">
        <f ca="1"/>
        <v>0</v>
      </c>
    </row>
    <row r="58" spans="3:94" x14ac:dyDescent="0.25">
      <c r="C58" cm="1">
        <f t="array" aca="1" ref="C58:CP58" ca="1">IFERROR(TRANSPOSE(INDEX(_xlfn._xlws.FILTER(INDIRECT("SubcategoriesTable[Subcategory name]"),INDIRECT("SubcategoriesTable[Category name]")=$B58),,)),_xlfn.CONCAT("No subcategories for"," ", $B58))</f>
        <v>0</v>
      </c>
      <c r="D58">
        <f ca="1"/>
        <v>0</v>
      </c>
      <c r="E58">
        <f ca="1"/>
        <v>0</v>
      </c>
      <c r="F58">
        <f ca="1"/>
        <v>0</v>
      </c>
      <c r="G58">
        <f ca="1"/>
        <v>0</v>
      </c>
      <c r="H58">
        <f ca="1"/>
        <v>0</v>
      </c>
      <c r="I58">
        <f ca="1"/>
        <v>0</v>
      </c>
      <c r="J58">
        <f ca="1"/>
        <v>0</v>
      </c>
      <c r="K58">
        <f ca="1"/>
        <v>0</v>
      </c>
      <c r="L58">
        <f ca="1"/>
        <v>0</v>
      </c>
      <c r="M58">
        <f ca="1"/>
        <v>0</v>
      </c>
      <c r="N58">
        <f ca="1"/>
        <v>0</v>
      </c>
      <c r="O58">
        <f ca="1"/>
        <v>0</v>
      </c>
      <c r="P58">
        <f ca="1"/>
        <v>0</v>
      </c>
      <c r="Q58">
        <f ca="1"/>
        <v>0</v>
      </c>
      <c r="R58">
        <f ca="1"/>
        <v>0</v>
      </c>
      <c r="S58">
        <f ca="1"/>
        <v>0</v>
      </c>
      <c r="T58">
        <f ca="1"/>
        <v>0</v>
      </c>
      <c r="U58">
        <f ca="1"/>
        <v>0</v>
      </c>
      <c r="V58">
        <f ca="1"/>
        <v>0</v>
      </c>
      <c r="W58">
        <f ca="1"/>
        <v>0</v>
      </c>
      <c r="X58">
        <f ca="1"/>
        <v>0</v>
      </c>
      <c r="Y58">
        <f ca="1"/>
        <v>0</v>
      </c>
      <c r="Z58">
        <f ca="1"/>
        <v>0</v>
      </c>
      <c r="AA58">
        <f ca="1"/>
        <v>0</v>
      </c>
      <c r="AB58">
        <f ca="1"/>
        <v>0</v>
      </c>
      <c r="AC58">
        <f ca="1"/>
        <v>0</v>
      </c>
      <c r="AD58">
        <f ca="1"/>
        <v>0</v>
      </c>
      <c r="AE58">
        <f ca="1"/>
        <v>0</v>
      </c>
      <c r="AF58">
        <f ca="1"/>
        <v>0</v>
      </c>
      <c r="AG58">
        <f ca="1"/>
        <v>0</v>
      </c>
      <c r="AH58">
        <f ca="1"/>
        <v>0</v>
      </c>
      <c r="AI58">
        <f ca="1"/>
        <v>0</v>
      </c>
      <c r="AJ58">
        <f ca="1"/>
        <v>0</v>
      </c>
      <c r="AK58">
        <f ca="1"/>
        <v>0</v>
      </c>
      <c r="AL58">
        <f ca="1"/>
        <v>0</v>
      </c>
      <c r="AM58">
        <f ca="1"/>
        <v>0</v>
      </c>
      <c r="AN58">
        <f ca="1"/>
        <v>0</v>
      </c>
      <c r="AO58">
        <f ca="1"/>
        <v>0</v>
      </c>
      <c r="AP58">
        <f ca="1"/>
        <v>0</v>
      </c>
      <c r="AQ58">
        <f ca="1"/>
        <v>0</v>
      </c>
      <c r="AR58">
        <f ca="1"/>
        <v>0</v>
      </c>
      <c r="AS58">
        <f ca="1"/>
        <v>0</v>
      </c>
      <c r="AT58">
        <f ca="1"/>
        <v>0</v>
      </c>
      <c r="AU58">
        <f ca="1"/>
        <v>0</v>
      </c>
      <c r="AV58">
        <f ca="1"/>
        <v>0</v>
      </c>
      <c r="AW58">
        <f ca="1"/>
        <v>0</v>
      </c>
      <c r="AX58">
        <f ca="1"/>
        <v>0</v>
      </c>
      <c r="AY58">
        <f ca="1"/>
        <v>0</v>
      </c>
      <c r="AZ58">
        <f ca="1"/>
        <v>0</v>
      </c>
      <c r="BA58">
        <f ca="1"/>
        <v>0</v>
      </c>
      <c r="BB58">
        <f ca="1"/>
        <v>0</v>
      </c>
      <c r="BC58">
        <f ca="1"/>
        <v>0</v>
      </c>
      <c r="BD58">
        <f ca="1"/>
        <v>0</v>
      </c>
      <c r="BE58">
        <f ca="1"/>
        <v>0</v>
      </c>
      <c r="BF58">
        <f ca="1"/>
        <v>0</v>
      </c>
      <c r="BG58">
        <f ca="1"/>
        <v>0</v>
      </c>
      <c r="BH58">
        <f ca="1"/>
        <v>0</v>
      </c>
      <c r="BI58">
        <f ca="1"/>
        <v>0</v>
      </c>
      <c r="BJ58">
        <f ca="1"/>
        <v>0</v>
      </c>
      <c r="BK58">
        <f ca="1"/>
        <v>0</v>
      </c>
      <c r="BL58">
        <f ca="1"/>
        <v>0</v>
      </c>
      <c r="BM58">
        <f ca="1"/>
        <v>0</v>
      </c>
      <c r="BN58">
        <f ca="1"/>
        <v>0</v>
      </c>
      <c r="BO58">
        <f ca="1"/>
        <v>0</v>
      </c>
      <c r="BP58">
        <f ca="1"/>
        <v>0</v>
      </c>
      <c r="BQ58">
        <f ca="1"/>
        <v>0</v>
      </c>
      <c r="BR58">
        <f ca="1"/>
        <v>0</v>
      </c>
      <c r="BS58">
        <f ca="1"/>
        <v>0</v>
      </c>
      <c r="BT58">
        <f ca="1"/>
        <v>0</v>
      </c>
      <c r="BU58">
        <f ca="1"/>
        <v>0</v>
      </c>
      <c r="BV58">
        <f ca="1"/>
        <v>0</v>
      </c>
      <c r="BW58">
        <f ca="1"/>
        <v>0</v>
      </c>
      <c r="BX58">
        <f ca="1"/>
        <v>0</v>
      </c>
      <c r="BY58">
        <f ca="1"/>
        <v>0</v>
      </c>
      <c r="BZ58">
        <f ca="1"/>
        <v>0</v>
      </c>
      <c r="CA58">
        <f ca="1"/>
        <v>0</v>
      </c>
      <c r="CB58">
        <f ca="1"/>
        <v>0</v>
      </c>
      <c r="CC58">
        <f ca="1"/>
        <v>0</v>
      </c>
      <c r="CD58">
        <f ca="1"/>
        <v>0</v>
      </c>
      <c r="CE58">
        <f ca="1"/>
        <v>0</v>
      </c>
      <c r="CF58">
        <f ca="1"/>
        <v>0</v>
      </c>
      <c r="CG58">
        <f ca="1"/>
        <v>0</v>
      </c>
      <c r="CH58">
        <f ca="1"/>
        <v>0</v>
      </c>
      <c r="CI58">
        <f ca="1"/>
        <v>0</v>
      </c>
      <c r="CJ58">
        <f ca="1"/>
        <v>0</v>
      </c>
      <c r="CK58">
        <f ca="1"/>
        <v>0</v>
      </c>
      <c r="CL58">
        <f ca="1"/>
        <v>0</v>
      </c>
      <c r="CM58">
        <f ca="1"/>
        <v>0</v>
      </c>
      <c r="CN58">
        <f ca="1"/>
        <v>0</v>
      </c>
      <c r="CO58">
        <f ca="1"/>
        <v>0</v>
      </c>
      <c r="CP58">
        <f ca="1"/>
        <v>0</v>
      </c>
    </row>
    <row r="59" spans="3:94" x14ac:dyDescent="0.25">
      <c r="C59" cm="1">
        <f t="array" aca="1" ref="C59:CP59" ca="1">IFERROR(TRANSPOSE(INDEX(_xlfn._xlws.FILTER(INDIRECT("SubcategoriesTable[Subcategory name]"),INDIRECT("SubcategoriesTable[Category name]")=$B59),,)),_xlfn.CONCAT("No subcategories for"," ", $B59))</f>
        <v>0</v>
      </c>
      <c r="D59">
        <f ca="1"/>
        <v>0</v>
      </c>
      <c r="E59">
        <f ca="1"/>
        <v>0</v>
      </c>
      <c r="F59">
        <f ca="1"/>
        <v>0</v>
      </c>
      <c r="G59">
        <f ca="1"/>
        <v>0</v>
      </c>
      <c r="H59">
        <f ca="1"/>
        <v>0</v>
      </c>
      <c r="I59">
        <f ca="1"/>
        <v>0</v>
      </c>
      <c r="J59">
        <f ca="1"/>
        <v>0</v>
      </c>
      <c r="K59">
        <f ca="1"/>
        <v>0</v>
      </c>
      <c r="L59">
        <f ca="1"/>
        <v>0</v>
      </c>
      <c r="M59">
        <f ca="1"/>
        <v>0</v>
      </c>
      <c r="N59">
        <f ca="1"/>
        <v>0</v>
      </c>
      <c r="O59">
        <f ca="1"/>
        <v>0</v>
      </c>
      <c r="P59">
        <f ca="1"/>
        <v>0</v>
      </c>
      <c r="Q59">
        <f ca="1"/>
        <v>0</v>
      </c>
      <c r="R59">
        <f ca="1"/>
        <v>0</v>
      </c>
      <c r="S59">
        <f ca="1"/>
        <v>0</v>
      </c>
      <c r="T59">
        <f ca="1"/>
        <v>0</v>
      </c>
      <c r="U59">
        <f ca="1"/>
        <v>0</v>
      </c>
      <c r="V59">
        <f ca="1"/>
        <v>0</v>
      </c>
      <c r="W59">
        <f ca="1"/>
        <v>0</v>
      </c>
      <c r="X59">
        <f ca="1"/>
        <v>0</v>
      </c>
      <c r="Y59">
        <f ca="1"/>
        <v>0</v>
      </c>
      <c r="Z59">
        <f ca="1"/>
        <v>0</v>
      </c>
      <c r="AA59">
        <f ca="1"/>
        <v>0</v>
      </c>
      <c r="AB59">
        <f ca="1"/>
        <v>0</v>
      </c>
      <c r="AC59">
        <f ca="1"/>
        <v>0</v>
      </c>
      <c r="AD59">
        <f ca="1"/>
        <v>0</v>
      </c>
      <c r="AE59">
        <f ca="1"/>
        <v>0</v>
      </c>
      <c r="AF59">
        <f ca="1"/>
        <v>0</v>
      </c>
      <c r="AG59">
        <f ca="1"/>
        <v>0</v>
      </c>
      <c r="AH59">
        <f ca="1"/>
        <v>0</v>
      </c>
      <c r="AI59">
        <f ca="1"/>
        <v>0</v>
      </c>
      <c r="AJ59">
        <f ca="1"/>
        <v>0</v>
      </c>
      <c r="AK59">
        <f ca="1"/>
        <v>0</v>
      </c>
      <c r="AL59">
        <f ca="1"/>
        <v>0</v>
      </c>
      <c r="AM59">
        <f ca="1"/>
        <v>0</v>
      </c>
      <c r="AN59">
        <f ca="1"/>
        <v>0</v>
      </c>
      <c r="AO59">
        <f ca="1"/>
        <v>0</v>
      </c>
      <c r="AP59">
        <f ca="1"/>
        <v>0</v>
      </c>
      <c r="AQ59">
        <f ca="1"/>
        <v>0</v>
      </c>
      <c r="AR59">
        <f ca="1"/>
        <v>0</v>
      </c>
      <c r="AS59">
        <f ca="1"/>
        <v>0</v>
      </c>
      <c r="AT59">
        <f ca="1"/>
        <v>0</v>
      </c>
      <c r="AU59">
        <f ca="1"/>
        <v>0</v>
      </c>
      <c r="AV59">
        <f ca="1"/>
        <v>0</v>
      </c>
      <c r="AW59">
        <f ca="1"/>
        <v>0</v>
      </c>
      <c r="AX59">
        <f ca="1"/>
        <v>0</v>
      </c>
      <c r="AY59">
        <f ca="1"/>
        <v>0</v>
      </c>
      <c r="AZ59">
        <f ca="1"/>
        <v>0</v>
      </c>
      <c r="BA59">
        <f ca="1"/>
        <v>0</v>
      </c>
      <c r="BB59">
        <f ca="1"/>
        <v>0</v>
      </c>
      <c r="BC59">
        <f ca="1"/>
        <v>0</v>
      </c>
      <c r="BD59">
        <f ca="1"/>
        <v>0</v>
      </c>
      <c r="BE59">
        <f ca="1"/>
        <v>0</v>
      </c>
      <c r="BF59">
        <f ca="1"/>
        <v>0</v>
      </c>
      <c r="BG59">
        <f ca="1"/>
        <v>0</v>
      </c>
      <c r="BH59">
        <f ca="1"/>
        <v>0</v>
      </c>
      <c r="BI59">
        <f ca="1"/>
        <v>0</v>
      </c>
      <c r="BJ59">
        <f ca="1"/>
        <v>0</v>
      </c>
      <c r="BK59">
        <f ca="1"/>
        <v>0</v>
      </c>
      <c r="BL59">
        <f ca="1"/>
        <v>0</v>
      </c>
      <c r="BM59">
        <f ca="1"/>
        <v>0</v>
      </c>
      <c r="BN59">
        <f ca="1"/>
        <v>0</v>
      </c>
      <c r="BO59">
        <f ca="1"/>
        <v>0</v>
      </c>
      <c r="BP59">
        <f ca="1"/>
        <v>0</v>
      </c>
      <c r="BQ59">
        <f ca="1"/>
        <v>0</v>
      </c>
      <c r="BR59">
        <f ca="1"/>
        <v>0</v>
      </c>
      <c r="BS59">
        <f ca="1"/>
        <v>0</v>
      </c>
      <c r="BT59">
        <f ca="1"/>
        <v>0</v>
      </c>
      <c r="BU59">
        <f ca="1"/>
        <v>0</v>
      </c>
      <c r="BV59">
        <f ca="1"/>
        <v>0</v>
      </c>
      <c r="BW59">
        <f ca="1"/>
        <v>0</v>
      </c>
      <c r="BX59">
        <f ca="1"/>
        <v>0</v>
      </c>
      <c r="BY59">
        <f ca="1"/>
        <v>0</v>
      </c>
      <c r="BZ59">
        <f ca="1"/>
        <v>0</v>
      </c>
      <c r="CA59">
        <f ca="1"/>
        <v>0</v>
      </c>
      <c r="CB59">
        <f ca="1"/>
        <v>0</v>
      </c>
      <c r="CC59">
        <f ca="1"/>
        <v>0</v>
      </c>
      <c r="CD59">
        <f ca="1"/>
        <v>0</v>
      </c>
      <c r="CE59">
        <f ca="1"/>
        <v>0</v>
      </c>
      <c r="CF59">
        <f ca="1"/>
        <v>0</v>
      </c>
      <c r="CG59">
        <f ca="1"/>
        <v>0</v>
      </c>
      <c r="CH59">
        <f ca="1"/>
        <v>0</v>
      </c>
      <c r="CI59">
        <f ca="1"/>
        <v>0</v>
      </c>
      <c r="CJ59">
        <f ca="1"/>
        <v>0</v>
      </c>
      <c r="CK59">
        <f ca="1"/>
        <v>0</v>
      </c>
      <c r="CL59">
        <f ca="1"/>
        <v>0</v>
      </c>
      <c r="CM59">
        <f ca="1"/>
        <v>0</v>
      </c>
      <c r="CN59">
        <f ca="1"/>
        <v>0</v>
      </c>
      <c r="CO59">
        <f ca="1"/>
        <v>0</v>
      </c>
      <c r="CP59">
        <f ca="1"/>
        <v>0</v>
      </c>
    </row>
    <row r="60" spans="3:94" x14ac:dyDescent="0.25">
      <c r="C60" cm="1">
        <f t="array" aca="1" ref="C60:CP60" ca="1">IFERROR(TRANSPOSE(INDEX(_xlfn._xlws.FILTER(INDIRECT("SubcategoriesTable[Subcategory name]"),INDIRECT("SubcategoriesTable[Category name]")=$B60),,)),_xlfn.CONCAT("No subcategories for"," ", $B60))</f>
        <v>0</v>
      </c>
      <c r="D60">
        <f ca="1"/>
        <v>0</v>
      </c>
      <c r="E60">
        <f ca="1"/>
        <v>0</v>
      </c>
      <c r="F60">
        <f ca="1"/>
        <v>0</v>
      </c>
      <c r="G60">
        <f ca="1"/>
        <v>0</v>
      </c>
      <c r="H60">
        <f ca="1"/>
        <v>0</v>
      </c>
      <c r="I60">
        <f ca="1"/>
        <v>0</v>
      </c>
      <c r="J60">
        <f ca="1"/>
        <v>0</v>
      </c>
      <c r="K60">
        <f ca="1"/>
        <v>0</v>
      </c>
      <c r="L60">
        <f ca="1"/>
        <v>0</v>
      </c>
      <c r="M60">
        <f ca="1"/>
        <v>0</v>
      </c>
      <c r="N60">
        <f ca="1"/>
        <v>0</v>
      </c>
      <c r="O60">
        <f ca="1"/>
        <v>0</v>
      </c>
      <c r="P60">
        <f ca="1"/>
        <v>0</v>
      </c>
      <c r="Q60">
        <f ca="1"/>
        <v>0</v>
      </c>
      <c r="R60">
        <f ca="1"/>
        <v>0</v>
      </c>
      <c r="S60">
        <f ca="1"/>
        <v>0</v>
      </c>
      <c r="T60">
        <f ca="1"/>
        <v>0</v>
      </c>
      <c r="U60">
        <f ca="1"/>
        <v>0</v>
      </c>
      <c r="V60">
        <f ca="1"/>
        <v>0</v>
      </c>
      <c r="W60">
        <f ca="1"/>
        <v>0</v>
      </c>
      <c r="X60">
        <f ca="1"/>
        <v>0</v>
      </c>
      <c r="Y60">
        <f ca="1"/>
        <v>0</v>
      </c>
      <c r="Z60">
        <f ca="1"/>
        <v>0</v>
      </c>
      <c r="AA60">
        <f ca="1"/>
        <v>0</v>
      </c>
      <c r="AB60">
        <f ca="1"/>
        <v>0</v>
      </c>
      <c r="AC60">
        <f ca="1"/>
        <v>0</v>
      </c>
      <c r="AD60">
        <f ca="1"/>
        <v>0</v>
      </c>
      <c r="AE60">
        <f ca="1"/>
        <v>0</v>
      </c>
      <c r="AF60">
        <f ca="1"/>
        <v>0</v>
      </c>
      <c r="AG60">
        <f ca="1"/>
        <v>0</v>
      </c>
      <c r="AH60">
        <f ca="1"/>
        <v>0</v>
      </c>
      <c r="AI60">
        <f ca="1"/>
        <v>0</v>
      </c>
      <c r="AJ60">
        <f ca="1"/>
        <v>0</v>
      </c>
      <c r="AK60">
        <f ca="1"/>
        <v>0</v>
      </c>
      <c r="AL60">
        <f ca="1"/>
        <v>0</v>
      </c>
      <c r="AM60">
        <f ca="1"/>
        <v>0</v>
      </c>
      <c r="AN60">
        <f ca="1"/>
        <v>0</v>
      </c>
      <c r="AO60">
        <f ca="1"/>
        <v>0</v>
      </c>
      <c r="AP60">
        <f ca="1"/>
        <v>0</v>
      </c>
      <c r="AQ60">
        <f ca="1"/>
        <v>0</v>
      </c>
      <c r="AR60">
        <f ca="1"/>
        <v>0</v>
      </c>
      <c r="AS60">
        <f ca="1"/>
        <v>0</v>
      </c>
      <c r="AT60">
        <f ca="1"/>
        <v>0</v>
      </c>
      <c r="AU60">
        <f ca="1"/>
        <v>0</v>
      </c>
      <c r="AV60">
        <f ca="1"/>
        <v>0</v>
      </c>
      <c r="AW60">
        <f ca="1"/>
        <v>0</v>
      </c>
      <c r="AX60">
        <f ca="1"/>
        <v>0</v>
      </c>
      <c r="AY60">
        <f ca="1"/>
        <v>0</v>
      </c>
      <c r="AZ60">
        <f ca="1"/>
        <v>0</v>
      </c>
      <c r="BA60">
        <f ca="1"/>
        <v>0</v>
      </c>
      <c r="BB60">
        <f ca="1"/>
        <v>0</v>
      </c>
      <c r="BC60">
        <f ca="1"/>
        <v>0</v>
      </c>
      <c r="BD60">
        <f ca="1"/>
        <v>0</v>
      </c>
      <c r="BE60">
        <f ca="1"/>
        <v>0</v>
      </c>
      <c r="BF60">
        <f ca="1"/>
        <v>0</v>
      </c>
      <c r="BG60">
        <f ca="1"/>
        <v>0</v>
      </c>
      <c r="BH60">
        <f ca="1"/>
        <v>0</v>
      </c>
      <c r="BI60">
        <f ca="1"/>
        <v>0</v>
      </c>
      <c r="BJ60">
        <f ca="1"/>
        <v>0</v>
      </c>
      <c r="BK60">
        <f ca="1"/>
        <v>0</v>
      </c>
      <c r="BL60">
        <f ca="1"/>
        <v>0</v>
      </c>
      <c r="BM60">
        <f ca="1"/>
        <v>0</v>
      </c>
      <c r="BN60">
        <f ca="1"/>
        <v>0</v>
      </c>
      <c r="BO60">
        <f ca="1"/>
        <v>0</v>
      </c>
      <c r="BP60">
        <f ca="1"/>
        <v>0</v>
      </c>
      <c r="BQ60">
        <f ca="1"/>
        <v>0</v>
      </c>
      <c r="BR60">
        <f ca="1"/>
        <v>0</v>
      </c>
      <c r="BS60">
        <f ca="1"/>
        <v>0</v>
      </c>
      <c r="BT60">
        <f ca="1"/>
        <v>0</v>
      </c>
      <c r="BU60">
        <f ca="1"/>
        <v>0</v>
      </c>
      <c r="BV60">
        <f ca="1"/>
        <v>0</v>
      </c>
      <c r="BW60">
        <f ca="1"/>
        <v>0</v>
      </c>
      <c r="BX60">
        <f ca="1"/>
        <v>0</v>
      </c>
      <c r="BY60">
        <f ca="1"/>
        <v>0</v>
      </c>
      <c r="BZ60">
        <f ca="1"/>
        <v>0</v>
      </c>
      <c r="CA60">
        <f ca="1"/>
        <v>0</v>
      </c>
      <c r="CB60">
        <f ca="1"/>
        <v>0</v>
      </c>
      <c r="CC60">
        <f ca="1"/>
        <v>0</v>
      </c>
      <c r="CD60">
        <f ca="1"/>
        <v>0</v>
      </c>
      <c r="CE60">
        <f ca="1"/>
        <v>0</v>
      </c>
      <c r="CF60">
        <f ca="1"/>
        <v>0</v>
      </c>
      <c r="CG60">
        <f ca="1"/>
        <v>0</v>
      </c>
      <c r="CH60">
        <f ca="1"/>
        <v>0</v>
      </c>
      <c r="CI60">
        <f ca="1"/>
        <v>0</v>
      </c>
      <c r="CJ60">
        <f ca="1"/>
        <v>0</v>
      </c>
      <c r="CK60">
        <f ca="1"/>
        <v>0</v>
      </c>
      <c r="CL60">
        <f ca="1"/>
        <v>0</v>
      </c>
      <c r="CM60">
        <f ca="1"/>
        <v>0</v>
      </c>
      <c r="CN60">
        <f ca="1"/>
        <v>0</v>
      </c>
      <c r="CO60">
        <f ca="1"/>
        <v>0</v>
      </c>
      <c r="CP60">
        <f ca="1"/>
        <v>0</v>
      </c>
    </row>
    <row r="61" spans="3:94" x14ac:dyDescent="0.25">
      <c r="C61" cm="1">
        <f t="array" aca="1" ref="C61:CP61" ca="1">IFERROR(TRANSPOSE(INDEX(_xlfn._xlws.FILTER(INDIRECT("SubcategoriesTable[Subcategory name]"),INDIRECT("SubcategoriesTable[Category name]")=$B61),,)),_xlfn.CONCAT("No subcategories for"," ", $B61))</f>
        <v>0</v>
      </c>
      <c r="D61">
        <f ca="1"/>
        <v>0</v>
      </c>
      <c r="E61">
        <f ca="1"/>
        <v>0</v>
      </c>
      <c r="F61">
        <f ca="1"/>
        <v>0</v>
      </c>
      <c r="G61">
        <f ca="1"/>
        <v>0</v>
      </c>
      <c r="H61">
        <f ca="1"/>
        <v>0</v>
      </c>
      <c r="I61">
        <f ca="1"/>
        <v>0</v>
      </c>
      <c r="J61">
        <f ca="1"/>
        <v>0</v>
      </c>
      <c r="K61">
        <f ca="1"/>
        <v>0</v>
      </c>
      <c r="L61">
        <f ca="1"/>
        <v>0</v>
      </c>
      <c r="M61">
        <f ca="1"/>
        <v>0</v>
      </c>
      <c r="N61">
        <f ca="1"/>
        <v>0</v>
      </c>
      <c r="O61">
        <f ca="1"/>
        <v>0</v>
      </c>
      <c r="P61">
        <f ca="1"/>
        <v>0</v>
      </c>
      <c r="Q61">
        <f ca="1"/>
        <v>0</v>
      </c>
      <c r="R61">
        <f ca="1"/>
        <v>0</v>
      </c>
      <c r="S61">
        <f ca="1"/>
        <v>0</v>
      </c>
      <c r="T61">
        <f ca="1"/>
        <v>0</v>
      </c>
      <c r="U61">
        <f ca="1"/>
        <v>0</v>
      </c>
      <c r="V61">
        <f ca="1"/>
        <v>0</v>
      </c>
      <c r="W61">
        <f ca="1"/>
        <v>0</v>
      </c>
      <c r="X61">
        <f ca="1"/>
        <v>0</v>
      </c>
      <c r="Y61">
        <f ca="1"/>
        <v>0</v>
      </c>
      <c r="Z61">
        <f ca="1"/>
        <v>0</v>
      </c>
      <c r="AA61">
        <f ca="1"/>
        <v>0</v>
      </c>
      <c r="AB61">
        <f ca="1"/>
        <v>0</v>
      </c>
      <c r="AC61">
        <f ca="1"/>
        <v>0</v>
      </c>
      <c r="AD61">
        <f ca="1"/>
        <v>0</v>
      </c>
      <c r="AE61">
        <f ca="1"/>
        <v>0</v>
      </c>
      <c r="AF61">
        <f ca="1"/>
        <v>0</v>
      </c>
      <c r="AG61">
        <f ca="1"/>
        <v>0</v>
      </c>
      <c r="AH61">
        <f ca="1"/>
        <v>0</v>
      </c>
      <c r="AI61">
        <f ca="1"/>
        <v>0</v>
      </c>
      <c r="AJ61">
        <f ca="1"/>
        <v>0</v>
      </c>
      <c r="AK61">
        <f ca="1"/>
        <v>0</v>
      </c>
      <c r="AL61">
        <f ca="1"/>
        <v>0</v>
      </c>
      <c r="AM61">
        <f ca="1"/>
        <v>0</v>
      </c>
      <c r="AN61">
        <f ca="1"/>
        <v>0</v>
      </c>
      <c r="AO61">
        <f ca="1"/>
        <v>0</v>
      </c>
      <c r="AP61">
        <f ca="1"/>
        <v>0</v>
      </c>
      <c r="AQ61">
        <f ca="1"/>
        <v>0</v>
      </c>
      <c r="AR61">
        <f ca="1"/>
        <v>0</v>
      </c>
      <c r="AS61">
        <f ca="1"/>
        <v>0</v>
      </c>
      <c r="AT61">
        <f ca="1"/>
        <v>0</v>
      </c>
      <c r="AU61">
        <f ca="1"/>
        <v>0</v>
      </c>
      <c r="AV61">
        <f ca="1"/>
        <v>0</v>
      </c>
      <c r="AW61">
        <f ca="1"/>
        <v>0</v>
      </c>
      <c r="AX61">
        <f ca="1"/>
        <v>0</v>
      </c>
      <c r="AY61">
        <f ca="1"/>
        <v>0</v>
      </c>
      <c r="AZ61">
        <f ca="1"/>
        <v>0</v>
      </c>
      <c r="BA61">
        <f ca="1"/>
        <v>0</v>
      </c>
      <c r="BB61">
        <f ca="1"/>
        <v>0</v>
      </c>
      <c r="BC61">
        <f ca="1"/>
        <v>0</v>
      </c>
      <c r="BD61">
        <f ca="1"/>
        <v>0</v>
      </c>
      <c r="BE61">
        <f ca="1"/>
        <v>0</v>
      </c>
      <c r="BF61">
        <f ca="1"/>
        <v>0</v>
      </c>
      <c r="BG61">
        <f ca="1"/>
        <v>0</v>
      </c>
      <c r="BH61">
        <f ca="1"/>
        <v>0</v>
      </c>
      <c r="BI61">
        <f ca="1"/>
        <v>0</v>
      </c>
      <c r="BJ61">
        <f ca="1"/>
        <v>0</v>
      </c>
      <c r="BK61">
        <f ca="1"/>
        <v>0</v>
      </c>
      <c r="BL61">
        <f ca="1"/>
        <v>0</v>
      </c>
      <c r="BM61">
        <f ca="1"/>
        <v>0</v>
      </c>
      <c r="BN61">
        <f ca="1"/>
        <v>0</v>
      </c>
      <c r="BO61">
        <f ca="1"/>
        <v>0</v>
      </c>
      <c r="BP61">
        <f ca="1"/>
        <v>0</v>
      </c>
      <c r="BQ61">
        <f ca="1"/>
        <v>0</v>
      </c>
      <c r="BR61">
        <f ca="1"/>
        <v>0</v>
      </c>
      <c r="BS61">
        <f ca="1"/>
        <v>0</v>
      </c>
      <c r="BT61">
        <f ca="1"/>
        <v>0</v>
      </c>
      <c r="BU61">
        <f ca="1"/>
        <v>0</v>
      </c>
      <c r="BV61">
        <f ca="1"/>
        <v>0</v>
      </c>
      <c r="BW61">
        <f ca="1"/>
        <v>0</v>
      </c>
      <c r="BX61">
        <f ca="1"/>
        <v>0</v>
      </c>
      <c r="BY61">
        <f ca="1"/>
        <v>0</v>
      </c>
      <c r="BZ61">
        <f ca="1"/>
        <v>0</v>
      </c>
      <c r="CA61">
        <f ca="1"/>
        <v>0</v>
      </c>
      <c r="CB61">
        <f ca="1"/>
        <v>0</v>
      </c>
      <c r="CC61">
        <f ca="1"/>
        <v>0</v>
      </c>
      <c r="CD61">
        <f ca="1"/>
        <v>0</v>
      </c>
      <c r="CE61">
        <f ca="1"/>
        <v>0</v>
      </c>
      <c r="CF61">
        <f ca="1"/>
        <v>0</v>
      </c>
      <c r="CG61">
        <f ca="1"/>
        <v>0</v>
      </c>
      <c r="CH61">
        <f ca="1"/>
        <v>0</v>
      </c>
      <c r="CI61">
        <f ca="1"/>
        <v>0</v>
      </c>
      <c r="CJ61">
        <f ca="1"/>
        <v>0</v>
      </c>
      <c r="CK61">
        <f ca="1"/>
        <v>0</v>
      </c>
      <c r="CL61">
        <f ca="1"/>
        <v>0</v>
      </c>
      <c r="CM61">
        <f ca="1"/>
        <v>0</v>
      </c>
      <c r="CN61">
        <f ca="1"/>
        <v>0</v>
      </c>
      <c r="CO61">
        <f ca="1"/>
        <v>0</v>
      </c>
      <c r="CP61">
        <f ca="1"/>
        <v>0</v>
      </c>
    </row>
    <row r="62" spans="3:94" x14ac:dyDescent="0.25">
      <c r="C62" cm="1">
        <f t="array" aca="1" ref="C62:CP62" ca="1">IFERROR(TRANSPOSE(INDEX(_xlfn._xlws.FILTER(INDIRECT("SubcategoriesTable[Subcategory name]"),INDIRECT("SubcategoriesTable[Category name]")=$B62),,)),_xlfn.CONCAT("No subcategories for"," ", $B62))</f>
        <v>0</v>
      </c>
      <c r="D62">
        <f ca="1"/>
        <v>0</v>
      </c>
      <c r="E62">
        <f ca="1"/>
        <v>0</v>
      </c>
      <c r="F62">
        <f ca="1"/>
        <v>0</v>
      </c>
      <c r="G62">
        <f ca="1"/>
        <v>0</v>
      </c>
      <c r="H62">
        <f ca="1"/>
        <v>0</v>
      </c>
      <c r="I62">
        <f ca="1"/>
        <v>0</v>
      </c>
      <c r="J62">
        <f ca="1"/>
        <v>0</v>
      </c>
      <c r="K62">
        <f ca="1"/>
        <v>0</v>
      </c>
      <c r="L62">
        <f ca="1"/>
        <v>0</v>
      </c>
      <c r="M62">
        <f ca="1"/>
        <v>0</v>
      </c>
      <c r="N62">
        <f ca="1"/>
        <v>0</v>
      </c>
      <c r="O62">
        <f ca="1"/>
        <v>0</v>
      </c>
      <c r="P62">
        <f ca="1"/>
        <v>0</v>
      </c>
      <c r="Q62">
        <f ca="1"/>
        <v>0</v>
      </c>
      <c r="R62">
        <f ca="1"/>
        <v>0</v>
      </c>
      <c r="S62">
        <f ca="1"/>
        <v>0</v>
      </c>
      <c r="T62">
        <f ca="1"/>
        <v>0</v>
      </c>
      <c r="U62">
        <f ca="1"/>
        <v>0</v>
      </c>
      <c r="V62">
        <f ca="1"/>
        <v>0</v>
      </c>
      <c r="W62">
        <f ca="1"/>
        <v>0</v>
      </c>
      <c r="X62">
        <f ca="1"/>
        <v>0</v>
      </c>
      <c r="Y62">
        <f ca="1"/>
        <v>0</v>
      </c>
      <c r="Z62">
        <f ca="1"/>
        <v>0</v>
      </c>
      <c r="AA62">
        <f ca="1"/>
        <v>0</v>
      </c>
      <c r="AB62">
        <f ca="1"/>
        <v>0</v>
      </c>
      <c r="AC62">
        <f ca="1"/>
        <v>0</v>
      </c>
      <c r="AD62">
        <f ca="1"/>
        <v>0</v>
      </c>
      <c r="AE62">
        <f ca="1"/>
        <v>0</v>
      </c>
      <c r="AF62">
        <f ca="1"/>
        <v>0</v>
      </c>
      <c r="AG62">
        <f ca="1"/>
        <v>0</v>
      </c>
      <c r="AH62">
        <f ca="1"/>
        <v>0</v>
      </c>
      <c r="AI62">
        <f ca="1"/>
        <v>0</v>
      </c>
      <c r="AJ62">
        <f ca="1"/>
        <v>0</v>
      </c>
      <c r="AK62">
        <f ca="1"/>
        <v>0</v>
      </c>
      <c r="AL62">
        <f ca="1"/>
        <v>0</v>
      </c>
      <c r="AM62">
        <f ca="1"/>
        <v>0</v>
      </c>
      <c r="AN62">
        <f ca="1"/>
        <v>0</v>
      </c>
      <c r="AO62">
        <f ca="1"/>
        <v>0</v>
      </c>
      <c r="AP62">
        <f ca="1"/>
        <v>0</v>
      </c>
      <c r="AQ62">
        <f ca="1"/>
        <v>0</v>
      </c>
      <c r="AR62">
        <f ca="1"/>
        <v>0</v>
      </c>
      <c r="AS62">
        <f ca="1"/>
        <v>0</v>
      </c>
      <c r="AT62">
        <f ca="1"/>
        <v>0</v>
      </c>
      <c r="AU62">
        <f ca="1"/>
        <v>0</v>
      </c>
      <c r="AV62">
        <f ca="1"/>
        <v>0</v>
      </c>
      <c r="AW62">
        <f ca="1"/>
        <v>0</v>
      </c>
      <c r="AX62">
        <f ca="1"/>
        <v>0</v>
      </c>
      <c r="AY62">
        <f ca="1"/>
        <v>0</v>
      </c>
      <c r="AZ62">
        <f ca="1"/>
        <v>0</v>
      </c>
      <c r="BA62">
        <f ca="1"/>
        <v>0</v>
      </c>
      <c r="BB62">
        <f ca="1"/>
        <v>0</v>
      </c>
      <c r="BC62">
        <f ca="1"/>
        <v>0</v>
      </c>
      <c r="BD62">
        <f ca="1"/>
        <v>0</v>
      </c>
      <c r="BE62">
        <f ca="1"/>
        <v>0</v>
      </c>
      <c r="BF62">
        <f ca="1"/>
        <v>0</v>
      </c>
      <c r="BG62">
        <f ca="1"/>
        <v>0</v>
      </c>
      <c r="BH62">
        <f ca="1"/>
        <v>0</v>
      </c>
      <c r="BI62">
        <f ca="1"/>
        <v>0</v>
      </c>
      <c r="BJ62">
        <f ca="1"/>
        <v>0</v>
      </c>
      <c r="BK62">
        <f ca="1"/>
        <v>0</v>
      </c>
      <c r="BL62">
        <f ca="1"/>
        <v>0</v>
      </c>
      <c r="BM62">
        <f ca="1"/>
        <v>0</v>
      </c>
      <c r="BN62">
        <f ca="1"/>
        <v>0</v>
      </c>
      <c r="BO62">
        <f ca="1"/>
        <v>0</v>
      </c>
      <c r="BP62">
        <f ca="1"/>
        <v>0</v>
      </c>
      <c r="BQ62">
        <f ca="1"/>
        <v>0</v>
      </c>
      <c r="BR62">
        <f ca="1"/>
        <v>0</v>
      </c>
      <c r="BS62">
        <f ca="1"/>
        <v>0</v>
      </c>
      <c r="BT62">
        <f ca="1"/>
        <v>0</v>
      </c>
      <c r="BU62">
        <f ca="1"/>
        <v>0</v>
      </c>
      <c r="BV62">
        <f ca="1"/>
        <v>0</v>
      </c>
      <c r="BW62">
        <f ca="1"/>
        <v>0</v>
      </c>
      <c r="BX62">
        <f ca="1"/>
        <v>0</v>
      </c>
      <c r="BY62">
        <f ca="1"/>
        <v>0</v>
      </c>
      <c r="BZ62">
        <f ca="1"/>
        <v>0</v>
      </c>
      <c r="CA62">
        <f ca="1"/>
        <v>0</v>
      </c>
      <c r="CB62">
        <f ca="1"/>
        <v>0</v>
      </c>
      <c r="CC62">
        <f ca="1"/>
        <v>0</v>
      </c>
      <c r="CD62">
        <f ca="1"/>
        <v>0</v>
      </c>
      <c r="CE62">
        <f ca="1"/>
        <v>0</v>
      </c>
      <c r="CF62">
        <f ca="1"/>
        <v>0</v>
      </c>
      <c r="CG62">
        <f ca="1"/>
        <v>0</v>
      </c>
      <c r="CH62">
        <f ca="1"/>
        <v>0</v>
      </c>
      <c r="CI62">
        <f ca="1"/>
        <v>0</v>
      </c>
      <c r="CJ62">
        <f ca="1"/>
        <v>0</v>
      </c>
      <c r="CK62">
        <f ca="1"/>
        <v>0</v>
      </c>
      <c r="CL62">
        <f ca="1"/>
        <v>0</v>
      </c>
      <c r="CM62">
        <f ca="1"/>
        <v>0</v>
      </c>
      <c r="CN62">
        <f ca="1"/>
        <v>0</v>
      </c>
      <c r="CO62">
        <f ca="1"/>
        <v>0</v>
      </c>
      <c r="CP62">
        <f ca="1"/>
        <v>0</v>
      </c>
    </row>
    <row r="63" spans="3:94" x14ac:dyDescent="0.25">
      <c r="C63" cm="1">
        <f t="array" aca="1" ref="C63:CP63" ca="1">IFERROR(TRANSPOSE(INDEX(_xlfn._xlws.FILTER(INDIRECT("SubcategoriesTable[Subcategory name]"),INDIRECT("SubcategoriesTable[Category name]")=$B63),,)),_xlfn.CONCAT("No subcategories for"," ", $B63))</f>
        <v>0</v>
      </c>
      <c r="D63">
        <f ca="1"/>
        <v>0</v>
      </c>
      <c r="E63">
        <f ca="1"/>
        <v>0</v>
      </c>
      <c r="F63">
        <f ca="1"/>
        <v>0</v>
      </c>
      <c r="G63">
        <f ca="1"/>
        <v>0</v>
      </c>
      <c r="H63">
        <f ca="1"/>
        <v>0</v>
      </c>
      <c r="I63">
        <f ca="1"/>
        <v>0</v>
      </c>
      <c r="J63">
        <f ca="1"/>
        <v>0</v>
      </c>
      <c r="K63">
        <f ca="1"/>
        <v>0</v>
      </c>
      <c r="L63">
        <f ca="1"/>
        <v>0</v>
      </c>
      <c r="M63">
        <f ca="1"/>
        <v>0</v>
      </c>
      <c r="N63">
        <f ca="1"/>
        <v>0</v>
      </c>
      <c r="O63">
        <f ca="1"/>
        <v>0</v>
      </c>
      <c r="P63">
        <f ca="1"/>
        <v>0</v>
      </c>
      <c r="Q63">
        <f ca="1"/>
        <v>0</v>
      </c>
      <c r="R63">
        <f ca="1"/>
        <v>0</v>
      </c>
      <c r="S63">
        <f ca="1"/>
        <v>0</v>
      </c>
      <c r="T63">
        <f ca="1"/>
        <v>0</v>
      </c>
      <c r="U63">
        <f ca="1"/>
        <v>0</v>
      </c>
      <c r="V63">
        <f ca="1"/>
        <v>0</v>
      </c>
      <c r="W63">
        <f ca="1"/>
        <v>0</v>
      </c>
      <c r="X63">
        <f ca="1"/>
        <v>0</v>
      </c>
      <c r="Y63">
        <f ca="1"/>
        <v>0</v>
      </c>
      <c r="Z63">
        <f ca="1"/>
        <v>0</v>
      </c>
      <c r="AA63">
        <f ca="1"/>
        <v>0</v>
      </c>
      <c r="AB63">
        <f ca="1"/>
        <v>0</v>
      </c>
      <c r="AC63">
        <f ca="1"/>
        <v>0</v>
      </c>
      <c r="AD63">
        <f ca="1"/>
        <v>0</v>
      </c>
      <c r="AE63">
        <f ca="1"/>
        <v>0</v>
      </c>
      <c r="AF63">
        <f ca="1"/>
        <v>0</v>
      </c>
      <c r="AG63">
        <f ca="1"/>
        <v>0</v>
      </c>
      <c r="AH63">
        <f ca="1"/>
        <v>0</v>
      </c>
      <c r="AI63">
        <f ca="1"/>
        <v>0</v>
      </c>
      <c r="AJ63">
        <f ca="1"/>
        <v>0</v>
      </c>
      <c r="AK63">
        <f ca="1"/>
        <v>0</v>
      </c>
      <c r="AL63">
        <f ca="1"/>
        <v>0</v>
      </c>
      <c r="AM63">
        <f ca="1"/>
        <v>0</v>
      </c>
      <c r="AN63">
        <f ca="1"/>
        <v>0</v>
      </c>
      <c r="AO63">
        <f ca="1"/>
        <v>0</v>
      </c>
      <c r="AP63">
        <f ca="1"/>
        <v>0</v>
      </c>
      <c r="AQ63">
        <f ca="1"/>
        <v>0</v>
      </c>
      <c r="AR63">
        <f ca="1"/>
        <v>0</v>
      </c>
      <c r="AS63">
        <f ca="1"/>
        <v>0</v>
      </c>
      <c r="AT63">
        <f ca="1"/>
        <v>0</v>
      </c>
      <c r="AU63">
        <f ca="1"/>
        <v>0</v>
      </c>
      <c r="AV63">
        <f ca="1"/>
        <v>0</v>
      </c>
      <c r="AW63">
        <f ca="1"/>
        <v>0</v>
      </c>
      <c r="AX63">
        <f ca="1"/>
        <v>0</v>
      </c>
      <c r="AY63">
        <f ca="1"/>
        <v>0</v>
      </c>
      <c r="AZ63">
        <f ca="1"/>
        <v>0</v>
      </c>
      <c r="BA63">
        <f ca="1"/>
        <v>0</v>
      </c>
      <c r="BB63">
        <f ca="1"/>
        <v>0</v>
      </c>
      <c r="BC63">
        <f ca="1"/>
        <v>0</v>
      </c>
      <c r="BD63">
        <f ca="1"/>
        <v>0</v>
      </c>
      <c r="BE63">
        <f ca="1"/>
        <v>0</v>
      </c>
      <c r="BF63">
        <f ca="1"/>
        <v>0</v>
      </c>
      <c r="BG63">
        <f ca="1"/>
        <v>0</v>
      </c>
      <c r="BH63">
        <f ca="1"/>
        <v>0</v>
      </c>
      <c r="BI63">
        <f ca="1"/>
        <v>0</v>
      </c>
      <c r="BJ63">
        <f ca="1"/>
        <v>0</v>
      </c>
      <c r="BK63">
        <f ca="1"/>
        <v>0</v>
      </c>
      <c r="BL63">
        <f ca="1"/>
        <v>0</v>
      </c>
      <c r="BM63">
        <f ca="1"/>
        <v>0</v>
      </c>
      <c r="BN63">
        <f ca="1"/>
        <v>0</v>
      </c>
      <c r="BO63">
        <f ca="1"/>
        <v>0</v>
      </c>
      <c r="BP63">
        <f ca="1"/>
        <v>0</v>
      </c>
      <c r="BQ63">
        <f ca="1"/>
        <v>0</v>
      </c>
      <c r="BR63">
        <f ca="1"/>
        <v>0</v>
      </c>
      <c r="BS63">
        <f ca="1"/>
        <v>0</v>
      </c>
      <c r="BT63">
        <f ca="1"/>
        <v>0</v>
      </c>
      <c r="BU63">
        <f ca="1"/>
        <v>0</v>
      </c>
      <c r="BV63">
        <f ca="1"/>
        <v>0</v>
      </c>
      <c r="BW63">
        <f ca="1"/>
        <v>0</v>
      </c>
      <c r="BX63">
        <f ca="1"/>
        <v>0</v>
      </c>
      <c r="BY63">
        <f ca="1"/>
        <v>0</v>
      </c>
      <c r="BZ63">
        <f ca="1"/>
        <v>0</v>
      </c>
      <c r="CA63">
        <f ca="1"/>
        <v>0</v>
      </c>
      <c r="CB63">
        <f ca="1"/>
        <v>0</v>
      </c>
      <c r="CC63">
        <f ca="1"/>
        <v>0</v>
      </c>
      <c r="CD63">
        <f ca="1"/>
        <v>0</v>
      </c>
      <c r="CE63">
        <f ca="1"/>
        <v>0</v>
      </c>
      <c r="CF63">
        <f ca="1"/>
        <v>0</v>
      </c>
      <c r="CG63">
        <f ca="1"/>
        <v>0</v>
      </c>
      <c r="CH63">
        <f ca="1"/>
        <v>0</v>
      </c>
      <c r="CI63">
        <f ca="1"/>
        <v>0</v>
      </c>
      <c r="CJ63">
        <f ca="1"/>
        <v>0</v>
      </c>
      <c r="CK63">
        <f ca="1"/>
        <v>0</v>
      </c>
      <c r="CL63">
        <f ca="1"/>
        <v>0</v>
      </c>
      <c r="CM63">
        <f ca="1"/>
        <v>0</v>
      </c>
      <c r="CN63">
        <f ca="1"/>
        <v>0</v>
      </c>
      <c r="CO63">
        <f ca="1"/>
        <v>0</v>
      </c>
      <c r="CP63">
        <f ca="1"/>
        <v>0</v>
      </c>
    </row>
    <row r="64" spans="3:94" x14ac:dyDescent="0.25">
      <c r="C64" cm="1">
        <f t="array" aca="1" ref="C64:CP64" ca="1">IFERROR(TRANSPOSE(INDEX(_xlfn._xlws.FILTER(INDIRECT("SubcategoriesTable[Subcategory name]"),INDIRECT("SubcategoriesTable[Category name]")=$B64),,)),_xlfn.CONCAT("No subcategories for"," ", $B64))</f>
        <v>0</v>
      </c>
      <c r="D64">
        <f ca="1"/>
        <v>0</v>
      </c>
      <c r="E64">
        <f ca="1"/>
        <v>0</v>
      </c>
      <c r="F64">
        <f ca="1"/>
        <v>0</v>
      </c>
      <c r="G64">
        <f ca="1"/>
        <v>0</v>
      </c>
      <c r="H64">
        <f ca="1"/>
        <v>0</v>
      </c>
      <c r="I64">
        <f ca="1"/>
        <v>0</v>
      </c>
      <c r="J64">
        <f ca="1"/>
        <v>0</v>
      </c>
      <c r="K64">
        <f ca="1"/>
        <v>0</v>
      </c>
      <c r="L64">
        <f ca="1"/>
        <v>0</v>
      </c>
      <c r="M64">
        <f ca="1"/>
        <v>0</v>
      </c>
      <c r="N64">
        <f ca="1"/>
        <v>0</v>
      </c>
      <c r="O64">
        <f ca="1"/>
        <v>0</v>
      </c>
      <c r="P64">
        <f ca="1"/>
        <v>0</v>
      </c>
      <c r="Q64">
        <f ca="1"/>
        <v>0</v>
      </c>
      <c r="R64">
        <f ca="1"/>
        <v>0</v>
      </c>
      <c r="S64">
        <f ca="1"/>
        <v>0</v>
      </c>
      <c r="T64">
        <f ca="1"/>
        <v>0</v>
      </c>
      <c r="U64">
        <f ca="1"/>
        <v>0</v>
      </c>
      <c r="V64">
        <f ca="1"/>
        <v>0</v>
      </c>
      <c r="W64">
        <f ca="1"/>
        <v>0</v>
      </c>
      <c r="X64">
        <f ca="1"/>
        <v>0</v>
      </c>
      <c r="Y64">
        <f ca="1"/>
        <v>0</v>
      </c>
      <c r="Z64">
        <f ca="1"/>
        <v>0</v>
      </c>
      <c r="AA64">
        <f ca="1"/>
        <v>0</v>
      </c>
      <c r="AB64">
        <f ca="1"/>
        <v>0</v>
      </c>
      <c r="AC64">
        <f ca="1"/>
        <v>0</v>
      </c>
      <c r="AD64">
        <f ca="1"/>
        <v>0</v>
      </c>
      <c r="AE64">
        <f ca="1"/>
        <v>0</v>
      </c>
      <c r="AF64">
        <f ca="1"/>
        <v>0</v>
      </c>
      <c r="AG64">
        <f ca="1"/>
        <v>0</v>
      </c>
      <c r="AH64">
        <f ca="1"/>
        <v>0</v>
      </c>
      <c r="AI64">
        <f ca="1"/>
        <v>0</v>
      </c>
      <c r="AJ64">
        <f ca="1"/>
        <v>0</v>
      </c>
      <c r="AK64">
        <f ca="1"/>
        <v>0</v>
      </c>
      <c r="AL64">
        <f ca="1"/>
        <v>0</v>
      </c>
      <c r="AM64">
        <f ca="1"/>
        <v>0</v>
      </c>
      <c r="AN64">
        <f ca="1"/>
        <v>0</v>
      </c>
      <c r="AO64">
        <f ca="1"/>
        <v>0</v>
      </c>
      <c r="AP64">
        <f ca="1"/>
        <v>0</v>
      </c>
      <c r="AQ64">
        <f ca="1"/>
        <v>0</v>
      </c>
      <c r="AR64">
        <f ca="1"/>
        <v>0</v>
      </c>
      <c r="AS64">
        <f ca="1"/>
        <v>0</v>
      </c>
      <c r="AT64">
        <f ca="1"/>
        <v>0</v>
      </c>
      <c r="AU64">
        <f ca="1"/>
        <v>0</v>
      </c>
      <c r="AV64">
        <f ca="1"/>
        <v>0</v>
      </c>
      <c r="AW64">
        <f ca="1"/>
        <v>0</v>
      </c>
      <c r="AX64">
        <f ca="1"/>
        <v>0</v>
      </c>
      <c r="AY64">
        <f ca="1"/>
        <v>0</v>
      </c>
      <c r="AZ64">
        <f ca="1"/>
        <v>0</v>
      </c>
      <c r="BA64">
        <f ca="1"/>
        <v>0</v>
      </c>
      <c r="BB64">
        <f ca="1"/>
        <v>0</v>
      </c>
      <c r="BC64">
        <f ca="1"/>
        <v>0</v>
      </c>
      <c r="BD64">
        <f ca="1"/>
        <v>0</v>
      </c>
      <c r="BE64">
        <f ca="1"/>
        <v>0</v>
      </c>
      <c r="BF64">
        <f ca="1"/>
        <v>0</v>
      </c>
      <c r="BG64">
        <f ca="1"/>
        <v>0</v>
      </c>
      <c r="BH64">
        <f ca="1"/>
        <v>0</v>
      </c>
      <c r="BI64">
        <f ca="1"/>
        <v>0</v>
      </c>
      <c r="BJ64">
        <f ca="1"/>
        <v>0</v>
      </c>
      <c r="BK64">
        <f ca="1"/>
        <v>0</v>
      </c>
      <c r="BL64">
        <f ca="1"/>
        <v>0</v>
      </c>
      <c r="BM64">
        <f ca="1"/>
        <v>0</v>
      </c>
      <c r="BN64">
        <f ca="1"/>
        <v>0</v>
      </c>
      <c r="BO64">
        <f ca="1"/>
        <v>0</v>
      </c>
      <c r="BP64">
        <f ca="1"/>
        <v>0</v>
      </c>
      <c r="BQ64">
        <f ca="1"/>
        <v>0</v>
      </c>
      <c r="BR64">
        <f ca="1"/>
        <v>0</v>
      </c>
      <c r="BS64">
        <f ca="1"/>
        <v>0</v>
      </c>
      <c r="BT64">
        <f ca="1"/>
        <v>0</v>
      </c>
      <c r="BU64">
        <f ca="1"/>
        <v>0</v>
      </c>
      <c r="BV64">
        <f ca="1"/>
        <v>0</v>
      </c>
      <c r="BW64">
        <f ca="1"/>
        <v>0</v>
      </c>
      <c r="BX64">
        <f ca="1"/>
        <v>0</v>
      </c>
      <c r="BY64">
        <f ca="1"/>
        <v>0</v>
      </c>
      <c r="BZ64">
        <f ca="1"/>
        <v>0</v>
      </c>
      <c r="CA64">
        <f ca="1"/>
        <v>0</v>
      </c>
      <c r="CB64">
        <f ca="1"/>
        <v>0</v>
      </c>
      <c r="CC64">
        <f ca="1"/>
        <v>0</v>
      </c>
      <c r="CD64">
        <f ca="1"/>
        <v>0</v>
      </c>
      <c r="CE64">
        <f ca="1"/>
        <v>0</v>
      </c>
      <c r="CF64">
        <f ca="1"/>
        <v>0</v>
      </c>
      <c r="CG64">
        <f ca="1"/>
        <v>0</v>
      </c>
      <c r="CH64">
        <f ca="1"/>
        <v>0</v>
      </c>
      <c r="CI64">
        <f ca="1"/>
        <v>0</v>
      </c>
      <c r="CJ64">
        <f ca="1"/>
        <v>0</v>
      </c>
      <c r="CK64">
        <f ca="1"/>
        <v>0</v>
      </c>
      <c r="CL64">
        <f ca="1"/>
        <v>0</v>
      </c>
      <c r="CM64">
        <f ca="1"/>
        <v>0</v>
      </c>
      <c r="CN64">
        <f ca="1"/>
        <v>0</v>
      </c>
      <c r="CO64">
        <f ca="1"/>
        <v>0</v>
      </c>
      <c r="CP64">
        <f ca="1"/>
        <v>0</v>
      </c>
    </row>
    <row r="65" spans="3:94" x14ac:dyDescent="0.25">
      <c r="C65" cm="1">
        <f t="array" aca="1" ref="C65:CP65" ca="1">IFERROR(TRANSPOSE(INDEX(_xlfn._xlws.FILTER(INDIRECT("SubcategoriesTable[Subcategory name]"),INDIRECT("SubcategoriesTable[Category name]")=$B65),,)),_xlfn.CONCAT("No subcategories for"," ", $B65))</f>
        <v>0</v>
      </c>
      <c r="D65">
        <f ca="1"/>
        <v>0</v>
      </c>
      <c r="E65">
        <f ca="1"/>
        <v>0</v>
      </c>
      <c r="F65">
        <f ca="1"/>
        <v>0</v>
      </c>
      <c r="G65">
        <f ca="1"/>
        <v>0</v>
      </c>
      <c r="H65">
        <f ca="1"/>
        <v>0</v>
      </c>
      <c r="I65">
        <f ca="1"/>
        <v>0</v>
      </c>
      <c r="J65">
        <f ca="1"/>
        <v>0</v>
      </c>
      <c r="K65">
        <f ca="1"/>
        <v>0</v>
      </c>
      <c r="L65">
        <f ca="1"/>
        <v>0</v>
      </c>
      <c r="M65">
        <f ca="1"/>
        <v>0</v>
      </c>
      <c r="N65">
        <f ca="1"/>
        <v>0</v>
      </c>
      <c r="O65">
        <f ca="1"/>
        <v>0</v>
      </c>
      <c r="P65">
        <f ca="1"/>
        <v>0</v>
      </c>
      <c r="Q65">
        <f ca="1"/>
        <v>0</v>
      </c>
      <c r="R65">
        <f ca="1"/>
        <v>0</v>
      </c>
      <c r="S65">
        <f ca="1"/>
        <v>0</v>
      </c>
      <c r="T65">
        <f ca="1"/>
        <v>0</v>
      </c>
      <c r="U65">
        <f ca="1"/>
        <v>0</v>
      </c>
      <c r="V65">
        <f ca="1"/>
        <v>0</v>
      </c>
      <c r="W65">
        <f ca="1"/>
        <v>0</v>
      </c>
      <c r="X65">
        <f ca="1"/>
        <v>0</v>
      </c>
      <c r="Y65">
        <f ca="1"/>
        <v>0</v>
      </c>
      <c r="Z65">
        <f ca="1"/>
        <v>0</v>
      </c>
      <c r="AA65">
        <f ca="1"/>
        <v>0</v>
      </c>
      <c r="AB65">
        <f ca="1"/>
        <v>0</v>
      </c>
      <c r="AC65">
        <f ca="1"/>
        <v>0</v>
      </c>
      <c r="AD65">
        <f ca="1"/>
        <v>0</v>
      </c>
      <c r="AE65">
        <f ca="1"/>
        <v>0</v>
      </c>
      <c r="AF65">
        <f ca="1"/>
        <v>0</v>
      </c>
      <c r="AG65">
        <f ca="1"/>
        <v>0</v>
      </c>
      <c r="AH65">
        <f ca="1"/>
        <v>0</v>
      </c>
      <c r="AI65">
        <f ca="1"/>
        <v>0</v>
      </c>
      <c r="AJ65">
        <f ca="1"/>
        <v>0</v>
      </c>
      <c r="AK65">
        <f ca="1"/>
        <v>0</v>
      </c>
      <c r="AL65">
        <f ca="1"/>
        <v>0</v>
      </c>
      <c r="AM65">
        <f ca="1"/>
        <v>0</v>
      </c>
      <c r="AN65">
        <f ca="1"/>
        <v>0</v>
      </c>
      <c r="AO65">
        <f ca="1"/>
        <v>0</v>
      </c>
      <c r="AP65">
        <f ca="1"/>
        <v>0</v>
      </c>
      <c r="AQ65">
        <f ca="1"/>
        <v>0</v>
      </c>
      <c r="AR65">
        <f ca="1"/>
        <v>0</v>
      </c>
      <c r="AS65">
        <f ca="1"/>
        <v>0</v>
      </c>
      <c r="AT65">
        <f ca="1"/>
        <v>0</v>
      </c>
      <c r="AU65">
        <f ca="1"/>
        <v>0</v>
      </c>
      <c r="AV65">
        <f ca="1"/>
        <v>0</v>
      </c>
      <c r="AW65">
        <f ca="1"/>
        <v>0</v>
      </c>
      <c r="AX65">
        <f ca="1"/>
        <v>0</v>
      </c>
      <c r="AY65">
        <f ca="1"/>
        <v>0</v>
      </c>
      <c r="AZ65">
        <f ca="1"/>
        <v>0</v>
      </c>
      <c r="BA65">
        <f ca="1"/>
        <v>0</v>
      </c>
      <c r="BB65">
        <f ca="1"/>
        <v>0</v>
      </c>
      <c r="BC65">
        <f ca="1"/>
        <v>0</v>
      </c>
      <c r="BD65">
        <f ca="1"/>
        <v>0</v>
      </c>
      <c r="BE65">
        <f ca="1"/>
        <v>0</v>
      </c>
      <c r="BF65">
        <f ca="1"/>
        <v>0</v>
      </c>
      <c r="BG65">
        <f ca="1"/>
        <v>0</v>
      </c>
      <c r="BH65">
        <f ca="1"/>
        <v>0</v>
      </c>
      <c r="BI65">
        <f ca="1"/>
        <v>0</v>
      </c>
      <c r="BJ65">
        <f ca="1"/>
        <v>0</v>
      </c>
      <c r="BK65">
        <f ca="1"/>
        <v>0</v>
      </c>
      <c r="BL65">
        <f ca="1"/>
        <v>0</v>
      </c>
      <c r="BM65">
        <f ca="1"/>
        <v>0</v>
      </c>
      <c r="BN65">
        <f ca="1"/>
        <v>0</v>
      </c>
      <c r="BO65">
        <f ca="1"/>
        <v>0</v>
      </c>
      <c r="BP65">
        <f ca="1"/>
        <v>0</v>
      </c>
      <c r="BQ65">
        <f ca="1"/>
        <v>0</v>
      </c>
      <c r="BR65">
        <f ca="1"/>
        <v>0</v>
      </c>
      <c r="BS65">
        <f ca="1"/>
        <v>0</v>
      </c>
      <c r="BT65">
        <f ca="1"/>
        <v>0</v>
      </c>
      <c r="BU65">
        <f ca="1"/>
        <v>0</v>
      </c>
      <c r="BV65">
        <f ca="1"/>
        <v>0</v>
      </c>
      <c r="BW65">
        <f ca="1"/>
        <v>0</v>
      </c>
      <c r="BX65">
        <f ca="1"/>
        <v>0</v>
      </c>
      <c r="BY65">
        <f ca="1"/>
        <v>0</v>
      </c>
      <c r="BZ65">
        <f ca="1"/>
        <v>0</v>
      </c>
      <c r="CA65">
        <f ca="1"/>
        <v>0</v>
      </c>
      <c r="CB65">
        <f ca="1"/>
        <v>0</v>
      </c>
      <c r="CC65">
        <f ca="1"/>
        <v>0</v>
      </c>
      <c r="CD65">
        <f ca="1"/>
        <v>0</v>
      </c>
      <c r="CE65">
        <f ca="1"/>
        <v>0</v>
      </c>
      <c r="CF65">
        <f ca="1"/>
        <v>0</v>
      </c>
      <c r="CG65">
        <f ca="1"/>
        <v>0</v>
      </c>
      <c r="CH65">
        <f ca="1"/>
        <v>0</v>
      </c>
      <c r="CI65">
        <f ca="1"/>
        <v>0</v>
      </c>
      <c r="CJ65">
        <f ca="1"/>
        <v>0</v>
      </c>
      <c r="CK65">
        <f ca="1"/>
        <v>0</v>
      </c>
      <c r="CL65">
        <f ca="1"/>
        <v>0</v>
      </c>
      <c r="CM65">
        <f ca="1"/>
        <v>0</v>
      </c>
      <c r="CN65">
        <f ca="1"/>
        <v>0</v>
      </c>
      <c r="CO65">
        <f ca="1"/>
        <v>0</v>
      </c>
      <c r="CP65">
        <f ca="1"/>
        <v>0</v>
      </c>
    </row>
    <row r="66" spans="3:94" x14ac:dyDescent="0.25">
      <c r="C66" cm="1">
        <f t="array" aca="1" ref="C66:CP66" ca="1">IFERROR(TRANSPOSE(INDEX(_xlfn._xlws.FILTER(INDIRECT("SubcategoriesTable[Subcategory name]"),INDIRECT("SubcategoriesTable[Category name]")=$B66),,)),_xlfn.CONCAT("No subcategories for"," ", $B66))</f>
        <v>0</v>
      </c>
      <c r="D66">
        <f ca="1"/>
        <v>0</v>
      </c>
      <c r="E66">
        <f ca="1"/>
        <v>0</v>
      </c>
      <c r="F66">
        <f ca="1"/>
        <v>0</v>
      </c>
      <c r="G66">
        <f ca="1"/>
        <v>0</v>
      </c>
      <c r="H66">
        <f ca="1"/>
        <v>0</v>
      </c>
      <c r="I66">
        <f ca="1"/>
        <v>0</v>
      </c>
      <c r="J66">
        <f ca="1"/>
        <v>0</v>
      </c>
      <c r="K66">
        <f ca="1"/>
        <v>0</v>
      </c>
      <c r="L66">
        <f ca="1"/>
        <v>0</v>
      </c>
      <c r="M66">
        <f ca="1"/>
        <v>0</v>
      </c>
      <c r="N66">
        <f ca="1"/>
        <v>0</v>
      </c>
      <c r="O66">
        <f ca="1"/>
        <v>0</v>
      </c>
      <c r="P66">
        <f ca="1"/>
        <v>0</v>
      </c>
      <c r="Q66">
        <f ca="1"/>
        <v>0</v>
      </c>
      <c r="R66">
        <f ca="1"/>
        <v>0</v>
      </c>
      <c r="S66">
        <f ca="1"/>
        <v>0</v>
      </c>
      <c r="T66">
        <f ca="1"/>
        <v>0</v>
      </c>
      <c r="U66">
        <f ca="1"/>
        <v>0</v>
      </c>
      <c r="V66">
        <f ca="1"/>
        <v>0</v>
      </c>
      <c r="W66">
        <f ca="1"/>
        <v>0</v>
      </c>
      <c r="X66">
        <f ca="1"/>
        <v>0</v>
      </c>
      <c r="Y66">
        <f ca="1"/>
        <v>0</v>
      </c>
      <c r="Z66">
        <f ca="1"/>
        <v>0</v>
      </c>
      <c r="AA66">
        <f ca="1"/>
        <v>0</v>
      </c>
      <c r="AB66">
        <f ca="1"/>
        <v>0</v>
      </c>
      <c r="AC66">
        <f ca="1"/>
        <v>0</v>
      </c>
      <c r="AD66">
        <f ca="1"/>
        <v>0</v>
      </c>
      <c r="AE66">
        <f ca="1"/>
        <v>0</v>
      </c>
      <c r="AF66">
        <f ca="1"/>
        <v>0</v>
      </c>
      <c r="AG66">
        <f ca="1"/>
        <v>0</v>
      </c>
      <c r="AH66">
        <f ca="1"/>
        <v>0</v>
      </c>
      <c r="AI66">
        <f ca="1"/>
        <v>0</v>
      </c>
      <c r="AJ66">
        <f ca="1"/>
        <v>0</v>
      </c>
      <c r="AK66">
        <f ca="1"/>
        <v>0</v>
      </c>
      <c r="AL66">
        <f ca="1"/>
        <v>0</v>
      </c>
      <c r="AM66">
        <f ca="1"/>
        <v>0</v>
      </c>
      <c r="AN66">
        <f ca="1"/>
        <v>0</v>
      </c>
      <c r="AO66">
        <f ca="1"/>
        <v>0</v>
      </c>
      <c r="AP66">
        <f ca="1"/>
        <v>0</v>
      </c>
      <c r="AQ66">
        <f ca="1"/>
        <v>0</v>
      </c>
      <c r="AR66">
        <f ca="1"/>
        <v>0</v>
      </c>
      <c r="AS66">
        <f ca="1"/>
        <v>0</v>
      </c>
      <c r="AT66">
        <f ca="1"/>
        <v>0</v>
      </c>
      <c r="AU66">
        <f ca="1"/>
        <v>0</v>
      </c>
      <c r="AV66">
        <f ca="1"/>
        <v>0</v>
      </c>
      <c r="AW66">
        <f ca="1"/>
        <v>0</v>
      </c>
      <c r="AX66">
        <f ca="1"/>
        <v>0</v>
      </c>
      <c r="AY66">
        <f ca="1"/>
        <v>0</v>
      </c>
      <c r="AZ66">
        <f ca="1"/>
        <v>0</v>
      </c>
      <c r="BA66">
        <f ca="1"/>
        <v>0</v>
      </c>
      <c r="BB66">
        <f ca="1"/>
        <v>0</v>
      </c>
      <c r="BC66">
        <f ca="1"/>
        <v>0</v>
      </c>
      <c r="BD66">
        <f ca="1"/>
        <v>0</v>
      </c>
      <c r="BE66">
        <f ca="1"/>
        <v>0</v>
      </c>
      <c r="BF66">
        <f ca="1"/>
        <v>0</v>
      </c>
      <c r="BG66">
        <f ca="1"/>
        <v>0</v>
      </c>
      <c r="BH66">
        <f ca="1"/>
        <v>0</v>
      </c>
      <c r="BI66">
        <f ca="1"/>
        <v>0</v>
      </c>
      <c r="BJ66">
        <f ca="1"/>
        <v>0</v>
      </c>
      <c r="BK66">
        <f ca="1"/>
        <v>0</v>
      </c>
      <c r="BL66">
        <f ca="1"/>
        <v>0</v>
      </c>
      <c r="BM66">
        <f ca="1"/>
        <v>0</v>
      </c>
      <c r="BN66">
        <f ca="1"/>
        <v>0</v>
      </c>
      <c r="BO66">
        <f ca="1"/>
        <v>0</v>
      </c>
      <c r="BP66">
        <f ca="1"/>
        <v>0</v>
      </c>
      <c r="BQ66">
        <f ca="1"/>
        <v>0</v>
      </c>
      <c r="BR66">
        <f ca="1"/>
        <v>0</v>
      </c>
      <c r="BS66">
        <f ca="1"/>
        <v>0</v>
      </c>
      <c r="BT66">
        <f ca="1"/>
        <v>0</v>
      </c>
      <c r="BU66">
        <f ca="1"/>
        <v>0</v>
      </c>
      <c r="BV66">
        <f ca="1"/>
        <v>0</v>
      </c>
      <c r="BW66">
        <f ca="1"/>
        <v>0</v>
      </c>
      <c r="BX66">
        <f ca="1"/>
        <v>0</v>
      </c>
      <c r="BY66">
        <f ca="1"/>
        <v>0</v>
      </c>
      <c r="BZ66">
        <f ca="1"/>
        <v>0</v>
      </c>
      <c r="CA66">
        <f ca="1"/>
        <v>0</v>
      </c>
      <c r="CB66">
        <f ca="1"/>
        <v>0</v>
      </c>
      <c r="CC66">
        <f ca="1"/>
        <v>0</v>
      </c>
      <c r="CD66">
        <f ca="1"/>
        <v>0</v>
      </c>
      <c r="CE66">
        <f ca="1"/>
        <v>0</v>
      </c>
      <c r="CF66">
        <f ca="1"/>
        <v>0</v>
      </c>
      <c r="CG66">
        <f ca="1"/>
        <v>0</v>
      </c>
      <c r="CH66">
        <f ca="1"/>
        <v>0</v>
      </c>
      <c r="CI66">
        <f ca="1"/>
        <v>0</v>
      </c>
      <c r="CJ66">
        <f ca="1"/>
        <v>0</v>
      </c>
      <c r="CK66">
        <f ca="1"/>
        <v>0</v>
      </c>
      <c r="CL66">
        <f ca="1"/>
        <v>0</v>
      </c>
      <c r="CM66">
        <f ca="1"/>
        <v>0</v>
      </c>
      <c r="CN66">
        <f ca="1"/>
        <v>0</v>
      </c>
      <c r="CO66">
        <f ca="1"/>
        <v>0</v>
      </c>
      <c r="CP66">
        <f ca="1"/>
        <v>0</v>
      </c>
    </row>
    <row r="67" spans="3:94" x14ac:dyDescent="0.25">
      <c r="C67" cm="1">
        <f t="array" aca="1" ref="C67:CP67" ca="1">IFERROR(TRANSPOSE(INDEX(_xlfn._xlws.FILTER(INDIRECT("SubcategoriesTable[Subcategory name]"),INDIRECT("SubcategoriesTable[Category name]")=$B67),,)),_xlfn.CONCAT("No subcategories for"," ", $B67))</f>
        <v>0</v>
      </c>
      <c r="D67">
        <f ca="1"/>
        <v>0</v>
      </c>
      <c r="E67">
        <f ca="1"/>
        <v>0</v>
      </c>
      <c r="F67">
        <f ca="1"/>
        <v>0</v>
      </c>
      <c r="G67">
        <f ca="1"/>
        <v>0</v>
      </c>
      <c r="H67">
        <f ca="1"/>
        <v>0</v>
      </c>
      <c r="I67">
        <f ca="1"/>
        <v>0</v>
      </c>
      <c r="J67">
        <f ca="1"/>
        <v>0</v>
      </c>
      <c r="K67">
        <f ca="1"/>
        <v>0</v>
      </c>
      <c r="L67">
        <f ca="1"/>
        <v>0</v>
      </c>
      <c r="M67">
        <f ca="1"/>
        <v>0</v>
      </c>
      <c r="N67">
        <f ca="1"/>
        <v>0</v>
      </c>
      <c r="O67">
        <f ca="1"/>
        <v>0</v>
      </c>
      <c r="P67">
        <f ca="1"/>
        <v>0</v>
      </c>
      <c r="Q67">
        <f ca="1"/>
        <v>0</v>
      </c>
      <c r="R67">
        <f ca="1"/>
        <v>0</v>
      </c>
      <c r="S67">
        <f ca="1"/>
        <v>0</v>
      </c>
      <c r="T67">
        <f ca="1"/>
        <v>0</v>
      </c>
      <c r="U67">
        <f ca="1"/>
        <v>0</v>
      </c>
      <c r="V67">
        <f ca="1"/>
        <v>0</v>
      </c>
      <c r="W67">
        <f ca="1"/>
        <v>0</v>
      </c>
      <c r="X67">
        <f ca="1"/>
        <v>0</v>
      </c>
      <c r="Y67">
        <f ca="1"/>
        <v>0</v>
      </c>
      <c r="Z67">
        <f ca="1"/>
        <v>0</v>
      </c>
      <c r="AA67">
        <f ca="1"/>
        <v>0</v>
      </c>
      <c r="AB67">
        <f ca="1"/>
        <v>0</v>
      </c>
      <c r="AC67">
        <f ca="1"/>
        <v>0</v>
      </c>
      <c r="AD67">
        <f ca="1"/>
        <v>0</v>
      </c>
      <c r="AE67">
        <f ca="1"/>
        <v>0</v>
      </c>
      <c r="AF67">
        <f ca="1"/>
        <v>0</v>
      </c>
      <c r="AG67">
        <f ca="1"/>
        <v>0</v>
      </c>
      <c r="AH67">
        <f ca="1"/>
        <v>0</v>
      </c>
      <c r="AI67">
        <f ca="1"/>
        <v>0</v>
      </c>
      <c r="AJ67">
        <f ca="1"/>
        <v>0</v>
      </c>
      <c r="AK67">
        <f ca="1"/>
        <v>0</v>
      </c>
      <c r="AL67">
        <f ca="1"/>
        <v>0</v>
      </c>
      <c r="AM67">
        <f ca="1"/>
        <v>0</v>
      </c>
      <c r="AN67">
        <f ca="1"/>
        <v>0</v>
      </c>
      <c r="AO67">
        <f ca="1"/>
        <v>0</v>
      </c>
      <c r="AP67">
        <f ca="1"/>
        <v>0</v>
      </c>
      <c r="AQ67">
        <f ca="1"/>
        <v>0</v>
      </c>
      <c r="AR67">
        <f ca="1"/>
        <v>0</v>
      </c>
      <c r="AS67">
        <f ca="1"/>
        <v>0</v>
      </c>
      <c r="AT67">
        <f ca="1"/>
        <v>0</v>
      </c>
      <c r="AU67">
        <f ca="1"/>
        <v>0</v>
      </c>
      <c r="AV67">
        <f ca="1"/>
        <v>0</v>
      </c>
      <c r="AW67">
        <f ca="1"/>
        <v>0</v>
      </c>
      <c r="AX67">
        <f ca="1"/>
        <v>0</v>
      </c>
      <c r="AY67">
        <f ca="1"/>
        <v>0</v>
      </c>
      <c r="AZ67">
        <f ca="1"/>
        <v>0</v>
      </c>
      <c r="BA67">
        <f ca="1"/>
        <v>0</v>
      </c>
      <c r="BB67">
        <f ca="1"/>
        <v>0</v>
      </c>
      <c r="BC67">
        <f ca="1"/>
        <v>0</v>
      </c>
      <c r="BD67">
        <f ca="1"/>
        <v>0</v>
      </c>
      <c r="BE67">
        <f ca="1"/>
        <v>0</v>
      </c>
      <c r="BF67">
        <f ca="1"/>
        <v>0</v>
      </c>
      <c r="BG67">
        <f ca="1"/>
        <v>0</v>
      </c>
      <c r="BH67">
        <f ca="1"/>
        <v>0</v>
      </c>
      <c r="BI67">
        <f ca="1"/>
        <v>0</v>
      </c>
      <c r="BJ67">
        <f ca="1"/>
        <v>0</v>
      </c>
      <c r="BK67">
        <f ca="1"/>
        <v>0</v>
      </c>
      <c r="BL67">
        <f ca="1"/>
        <v>0</v>
      </c>
      <c r="BM67">
        <f ca="1"/>
        <v>0</v>
      </c>
      <c r="BN67">
        <f ca="1"/>
        <v>0</v>
      </c>
      <c r="BO67">
        <f ca="1"/>
        <v>0</v>
      </c>
      <c r="BP67">
        <f ca="1"/>
        <v>0</v>
      </c>
      <c r="BQ67">
        <f ca="1"/>
        <v>0</v>
      </c>
      <c r="BR67">
        <f ca="1"/>
        <v>0</v>
      </c>
      <c r="BS67">
        <f ca="1"/>
        <v>0</v>
      </c>
      <c r="BT67">
        <f ca="1"/>
        <v>0</v>
      </c>
      <c r="BU67">
        <f ca="1"/>
        <v>0</v>
      </c>
      <c r="BV67">
        <f ca="1"/>
        <v>0</v>
      </c>
      <c r="BW67">
        <f ca="1"/>
        <v>0</v>
      </c>
      <c r="BX67">
        <f ca="1"/>
        <v>0</v>
      </c>
      <c r="BY67">
        <f ca="1"/>
        <v>0</v>
      </c>
      <c r="BZ67">
        <f ca="1"/>
        <v>0</v>
      </c>
      <c r="CA67">
        <f ca="1"/>
        <v>0</v>
      </c>
      <c r="CB67">
        <f ca="1"/>
        <v>0</v>
      </c>
      <c r="CC67">
        <f ca="1"/>
        <v>0</v>
      </c>
      <c r="CD67">
        <f ca="1"/>
        <v>0</v>
      </c>
      <c r="CE67">
        <f ca="1"/>
        <v>0</v>
      </c>
      <c r="CF67">
        <f ca="1"/>
        <v>0</v>
      </c>
      <c r="CG67">
        <f ca="1"/>
        <v>0</v>
      </c>
      <c r="CH67">
        <f ca="1"/>
        <v>0</v>
      </c>
      <c r="CI67">
        <f ca="1"/>
        <v>0</v>
      </c>
      <c r="CJ67">
        <f ca="1"/>
        <v>0</v>
      </c>
      <c r="CK67">
        <f ca="1"/>
        <v>0</v>
      </c>
      <c r="CL67">
        <f ca="1"/>
        <v>0</v>
      </c>
      <c r="CM67">
        <f ca="1"/>
        <v>0</v>
      </c>
      <c r="CN67">
        <f ca="1"/>
        <v>0</v>
      </c>
      <c r="CO67">
        <f ca="1"/>
        <v>0</v>
      </c>
      <c r="CP67">
        <f ca="1"/>
        <v>0</v>
      </c>
    </row>
    <row r="68" spans="3:94" x14ac:dyDescent="0.25">
      <c r="C68" cm="1">
        <f t="array" aca="1" ref="C68:CP68" ca="1">IFERROR(TRANSPOSE(INDEX(_xlfn._xlws.FILTER(INDIRECT("SubcategoriesTable[Subcategory name]"),INDIRECT("SubcategoriesTable[Category name]")=$B68),,)),_xlfn.CONCAT("No subcategories for"," ", $B68))</f>
        <v>0</v>
      </c>
      <c r="D68">
        <f ca="1"/>
        <v>0</v>
      </c>
      <c r="E68">
        <f ca="1"/>
        <v>0</v>
      </c>
      <c r="F68">
        <f ca="1"/>
        <v>0</v>
      </c>
      <c r="G68">
        <f ca="1"/>
        <v>0</v>
      </c>
      <c r="H68">
        <f ca="1"/>
        <v>0</v>
      </c>
      <c r="I68">
        <f ca="1"/>
        <v>0</v>
      </c>
      <c r="J68">
        <f ca="1"/>
        <v>0</v>
      </c>
      <c r="K68">
        <f ca="1"/>
        <v>0</v>
      </c>
      <c r="L68">
        <f ca="1"/>
        <v>0</v>
      </c>
      <c r="M68">
        <f ca="1"/>
        <v>0</v>
      </c>
      <c r="N68">
        <f ca="1"/>
        <v>0</v>
      </c>
      <c r="O68">
        <f ca="1"/>
        <v>0</v>
      </c>
      <c r="P68">
        <f ca="1"/>
        <v>0</v>
      </c>
      <c r="Q68">
        <f ca="1"/>
        <v>0</v>
      </c>
      <c r="R68">
        <f ca="1"/>
        <v>0</v>
      </c>
      <c r="S68">
        <f ca="1"/>
        <v>0</v>
      </c>
      <c r="T68">
        <f ca="1"/>
        <v>0</v>
      </c>
      <c r="U68">
        <f ca="1"/>
        <v>0</v>
      </c>
      <c r="V68">
        <f ca="1"/>
        <v>0</v>
      </c>
      <c r="W68">
        <f ca="1"/>
        <v>0</v>
      </c>
      <c r="X68">
        <f ca="1"/>
        <v>0</v>
      </c>
      <c r="Y68">
        <f ca="1"/>
        <v>0</v>
      </c>
      <c r="Z68">
        <f ca="1"/>
        <v>0</v>
      </c>
      <c r="AA68">
        <f ca="1"/>
        <v>0</v>
      </c>
      <c r="AB68">
        <f ca="1"/>
        <v>0</v>
      </c>
      <c r="AC68">
        <f ca="1"/>
        <v>0</v>
      </c>
      <c r="AD68">
        <f ca="1"/>
        <v>0</v>
      </c>
      <c r="AE68">
        <f ca="1"/>
        <v>0</v>
      </c>
      <c r="AF68">
        <f ca="1"/>
        <v>0</v>
      </c>
      <c r="AG68">
        <f ca="1"/>
        <v>0</v>
      </c>
      <c r="AH68">
        <f ca="1"/>
        <v>0</v>
      </c>
      <c r="AI68">
        <f ca="1"/>
        <v>0</v>
      </c>
      <c r="AJ68">
        <f ca="1"/>
        <v>0</v>
      </c>
      <c r="AK68">
        <f ca="1"/>
        <v>0</v>
      </c>
      <c r="AL68">
        <f ca="1"/>
        <v>0</v>
      </c>
      <c r="AM68">
        <f ca="1"/>
        <v>0</v>
      </c>
      <c r="AN68">
        <f ca="1"/>
        <v>0</v>
      </c>
      <c r="AO68">
        <f ca="1"/>
        <v>0</v>
      </c>
      <c r="AP68">
        <f ca="1"/>
        <v>0</v>
      </c>
      <c r="AQ68">
        <f ca="1"/>
        <v>0</v>
      </c>
      <c r="AR68">
        <f ca="1"/>
        <v>0</v>
      </c>
      <c r="AS68">
        <f ca="1"/>
        <v>0</v>
      </c>
      <c r="AT68">
        <f ca="1"/>
        <v>0</v>
      </c>
      <c r="AU68">
        <f ca="1"/>
        <v>0</v>
      </c>
      <c r="AV68">
        <f ca="1"/>
        <v>0</v>
      </c>
      <c r="AW68">
        <f ca="1"/>
        <v>0</v>
      </c>
      <c r="AX68">
        <f ca="1"/>
        <v>0</v>
      </c>
      <c r="AY68">
        <f ca="1"/>
        <v>0</v>
      </c>
      <c r="AZ68">
        <f ca="1"/>
        <v>0</v>
      </c>
      <c r="BA68">
        <f ca="1"/>
        <v>0</v>
      </c>
      <c r="BB68">
        <f ca="1"/>
        <v>0</v>
      </c>
      <c r="BC68">
        <f ca="1"/>
        <v>0</v>
      </c>
      <c r="BD68">
        <f ca="1"/>
        <v>0</v>
      </c>
      <c r="BE68">
        <f ca="1"/>
        <v>0</v>
      </c>
      <c r="BF68">
        <f ca="1"/>
        <v>0</v>
      </c>
      <c r="BG68">
        <f ca="1"/>
        <v>0</v>
      </c>
      <c r="BH68">
        <f ca="1"/>
        <v>0</v>
      </c>
      <c r="BI68">
        <f ca="1"/>
        <v>0</v>
      </c>
      <c r="BJ68">
        <f ca="1"/>
        <v>0</v>
      </c>
      <c r="BK68">
        <f ca="1"/>
        <v>0</v>
      </c>
      <c r="BL68">
        <f ca="1"/>
        <v>0</v>
      </c>
      <c r="BM68">
        <f ca="1"/>
        <v>0</v>
      </c>
      <c r="BN68">
        <f ca="1"/>
        <v>0</v>
      </c>
      <c r="BO68">
        <f ca="1"/>
        <v>0</v>
      </c>
      <c r="BP68">
        <f ca="1"/>
        <v>0</v>
      </c>
      <c r="BQ68">
        <f ca="1"/>
        <v>0</v>
      </c>
      <c r="BR68">
        <f ca="1"/>
        <v>0</v>
      </c>
      <c r="BS68">
        <f ca="1"/>
        <v>0</v>
      </c>
      <c r="BT68">
        <f ca="1"/>
        <v>0</v>
      </c>
      <c r="BU68">
        <f ca="1"/>
        <v>0</v>
      </c>
      <c r="BV68">
        <f ca="1"/>
        <v>0</v>
      </c>
      <c r="BW68">
        <f ca="1"/>
        <v>0</v>
      </c>
      <c r="BX68">
        <f ca="1"/>
        <v>0</v>
      </c>
      <c r="BY68">
        <f ca="1"/>
        <v>0</v>
      </c>
      <c r="BZ68">
        <f ca="1"/>
        <v>0</v>
      </c>
      <c r="CA68">
        <f ca="1"/>
        <v>0</v>
      </c>
      <c r="CB68">
        <f ca="1"/>
        <v>0</v>
      </c>
      <c r="CC68">
        <f ca="1"/>
        <v>0</v>
      </c>
      <c r="CD68">
        <f ca="1"/>
        <v>0</v>
      </c>
      <c r="CE68">
        <f ca="1"/>
        <v>0</v>
      </c>
      <c r="CF68">
        <f ca="1"/>
        <v>0</v>
      </c>
      <c r="CG68">
        <f ca="1"/>
        <v>0</v>
      </c>
      <c r="CH68">
        <f ca="1"/>
        <v>0</v>
      </c>
      <c r="CI68">
        <f ca="1"/>
        <v>0</v>
      </c>
      <c r="CJ68">
        <f ca="1"/>
        <v>0</v>
      </c>
      <c r="CK68">
        <f ca="1"/>
        <v>0</v>
      </c>
      <c r="CL68">
        <f ca="1"/>
        <v>0</v>
      </c>
      <c r="CM68">
        <f ca="1"/>
        <v>0</v>
      </c>
      <c r="CN68">
        <f ca="1"/>
        <v>0</v>
      </c>
      <c r="CO68">
        <f ca="1"/>
        <v>0</v>
      </c>
      <c r="CP68">
        <f ca="1"/>
        <v>0</v>
      </c>
    </row>
    <row r="69" spans="3:94" x14ac:dyDescent="0.25">
      <c r="C69" cm="1">
        <f t="array" aca="1" ref="C69:CP69" ca="1">IFERROR(TRANSPOSE(INDEX(_xlfn._xlws.FILTER(INDIRECT("SubcategoriesTable[Subcategory name]"),INDIRECT("SubcategoriesTable[Category name]")=$B69),,)),_xlfn.CONCAT("No subcategories for"," ", $B69))</f>
        <v>0</v>
      </c>
      <c r="D69">
        <f ca="1"/>
        <v>0</v>
      </c>
      <c r="E69">
        <f ca="1"/>
        <v>0</v>
      </c>
      <c r="F69">
        <f ca="1"/>
        <v>0</v>
      </c>
      <c r="G69">
        <f ca="1"/>
        <v>0</v>
      </c>
      <c r="H69">
        <f ca="1"/>
        <v>0</v>
      </c>
      <c r="I69">
        <f ca="1"/>
        <v>0</v>
      </c>
      <c r="J69">
        <f ca="1"/>
        <v>0</v>
      </c>
      <c r="K69">
        <f ca="1"/>
        <v>0</v>
      </c>
      <c r="L69">
        <f ca="1"/>
        <v>0</v>
      </c>
      <c r="M69">
        <f ca="1"/>
        <v>0</v>
      </c>
      <c r="N69">
        <f ca="1"/>
        <v>0</v>
      </c>
      <c r="O69">
        <f ca="1"/>
        <v>0</v>
      </c>
      <c r="P69">
        <f ca="1"/>
        <v>0</v>
      </c>
      <c r="Q69">
        <f ca="1"/>
        <v>0</v>
      </c>
      <c r="R69">
        <f ca="1"/>
        <v>0</v>
      </c>
      <c r="S69">
        <f ca="1"/>
        <v>0</v>
      </c>
      <c r="T69">
        <f ca="1"/>
        <v>0</v>
      </c>
      <c r="U69">
        <f ca="1"/>
        <v>0</v>
      </c>
      <c r="V69">
        <f ca="1"/>
        <v>0</v>
      </c>
      <c r="W69">
        <f ca="1"/>
        <v>0</v>
      </c>
      <c r="X69">
        <f ca="1"/>
        <v>0</v>
      </c>
      <c r="Y69">
        <f ca="1"/>
        <v>0</v>
      </c>
      <c r="Z69">
        <f ca="1"/>
        <v>0</v>
      </c>
      <c r="AA69">
        <f ca="1"/>
        <v>0</v>
      </c>
      <c r="AB69">
        <f ca="1"/>
        <v>0</v>
      </c>
      <c r="AC69">
        <f ca="1"/>
        <v>0</v>
      </c>
      <c r="AD69">
        <f ca="1"/>
        <v>0</v>
      </c>
      <c r="AE69">
        <f ca="1"/>
        <v>0</v>
      </c>
      <c r="AF69">
        <f ca="1"/>
        <v>0</v>
      </c>
      <c r="AG69">
        <f ca="1"/>
        <v>0</v>
      </c>
      <c r="AH69">
        <f ca="1"/>
        <v>0</v>
      </c>
      <c r="AI69">
        <f ca="1"/>
        <v>0</v>
      </c>
      <c r="AJ69">
        <f ca="1"/>
        <v>0</v>
      </c>
      <c r="AK69">
        <f ca="1"/>
        <v>0</v>
      </c>
      <c r="AL69">
        <f ca="1"/>
        <v>0</v>
      </c>
      <c r="AM69">
        <f ca="1"/>
        <v>0</v>
      </c>
      <c r="AN69">
        <f ca="1"/>
        <v>0</v>
      </c>
      <c r="AO69">
        <f ca="1"/>
        <v>0</v>
      </c>
      <c r="AP69">
        <f ca="1"/>
        <v>0</v>
      </c>
      <c r="AQ69">
        <f ca="1"/>
        <v>0</v>
      </c>
      <c r="AR69">
        <f ca="1"/>
        <v>0</v>
      </c>
      <c r="AS69">
        <f ca="1"/>
        <v>0</v>
      </c>
      <c r="AT69">
        <f ca="1"/>
        <v>0</v>
      </c>
      <c r="AU69">
        <f ca="1"/>
        <v>0</v>
      </c>
      <c r="AV69">
        <f ca="1"/>
        <v>0</v>
      </c>
      <c r="AW69">
        <f ca="1"/>
        <v>0</v>
      </c>
      <c r="AX69">
        <f ca="1"/>
        <v>0</v>
      </c>
      <c r="AY69">
        <f ca="1"/>
        <v>0</v>
      </c>
      <c r="AZ69">
        <f ca="1"/>
        <v>0</v>
      </c>
      <c r="BA69">
        <f ca="1"/>
        <v>0</v>
      </c>
      <c r="BB69">
        <f ca="1"/>
        <v>0</v>
      </c>
      <c r="BC69">
        <f ca="1"/>
        <v>0</v>
      </c>
      <c r="BD69">
        <f ca="1"/>
        <v>0</v>
      </c>
      <c r="BE69">
        <f ca="1"/>
        <v>0</v>
      </c>
      <c r="BF69">
        <f ca="1"/>
        <v>0</v>
      </c>
      <c r="BG69">
        <f ca="1"/>
        <v>0</v>
      </c>
      <c r="BH69">
        <f ca="1"/>
        <v>0</v>
      </c>
      <c r="BI69">
        <f ca="1"/>
        <v>0</v>
      </c>
      <c r="BJ69">
        <f ca="1"/>
        <v>0</v>
      </c>
      <c r="BK69">
        <f ca="1"/>
        <v>0</v>
      </c>
      <c r="BL69">
        <f ca="1"/>
        <v>0</v>
      </c>
      <c r="BM69">
        <f ca="1"/>
        <v>0</v>
      </c>
      <c r="BN69">
        <f ca="1"/>
        <v>0</v>
      </c>
      <c r="BO69">
        <f ca="1"/>
        <v>0</v>
      </c>
      <c r="BP69">
        <f ca="1"/>
        <v>0</v>
      </c>
      <c r="BQ69">
        <f ca="1"/>
        <v>0</v>
      </c>
      <c r="BR69">
        <f ca="1"/>
        <v>0</v>
      </c>
      <c r="BS69">
        <f ca="1"/>
        <v>0</v>
      </c>
      <c r="BT69">
        <f ca="1"/>
        <v>0</v>
      </c>
      <c r="BU69">
        <f ca="1"/>
        <v>0</v>
      </c>
      <c r="BV69">
        <f ca="1"/>
        <v>0</v>
      </c>
      <c r="BW69">
        <f ca="1"/>
        <v>0</v>
      </c>
      <c r="BX69">
        <f ca="1"/>
        <v>0</v>
      </c>
      <c r="BY69">
        <f ca="1"/>
        <v>0</v>
      </c>
      <c r="BZ69">
        <f ca="1"/>
        <v>0</v>
      </c>
      <c r="CA69">
        <f ca="1"/>
        <v>0</v>
      </c>
      <c r="CB69">
        <f ca="1"/>
        <v>0</v>
      </c>
      <c r="CC69">
        <f ca="1"/>
        <v>0</v>
      </c>
      <c r="CD69">
        <f ca="1"/>
        <v>0</v>
      </c>
      <c r="CE69">
        <f ca="1"/>
        <v>0</v>
      </c>
      <c r="CF69">
        <f ca="1"/>
        <v>0</v>
      </c>
      <c r="CG69">
        <f ca="1"/>
        <v>0</v>
      </c>
      <c r="CH69">
        <f ca="1"/>
        <v>0</v>
      </c>
      <c r="CI69">
        <f ca="1"/>
        <v>0</v>
      </c>
      <c r="CJ69">
        <f ca="1"/>
        <v>0</v>
      </c>
      <c r="CK69">
        <f ca="1"/>
        <v>0</v>
      </c>
      <c r="CL69">
        <f ca="1"/>
        <v>0</v>
      </c>
      <c r="CM69">
        <f ca="1"/>
        <v>0</v>
      </c>
      <c r="CN69">
        <f ca="1"/>
        <v>0</v>
      </c>
      <c r="CO69">
        <f ca="1"/>
        <v>0</v>
      </c>
      <c r="CP69">
        <f ca="1"/>
        <v>0</v>
      </c>
    </row>
    <row r="70" spans="3:94" x14ac:dyDescent="0.25">
      <c r="C70" cm="1">
        <f t="array" aca="1" ref="C70:CP70" ca="1">IFERROR(TRANSPOSE(INDEX(_xlfn._xlws.FILTER(INDIRECT("SubcategoriesTable[Subcategory name]"),INDIRECT("SubcategoriesTable[Category name]")=$B70),,)),_xlfn.CONCAT("No subcategories for"," ", $B70))</f>
        <v>0</v>
      </c>
      <c r="D70">
        <f ca="1"/>
        <v>0</v>
      </c>
      <c r="E70">
        <f ca="1"/>
        <v>0</v>
      </c>
      <c r="F70">
        <f ca="1"/>
        <v>0</v>
      </c>
      <c r="G70">
        <f ca="1"/>
        <v>0</v>
      </c>
      <c r="H70">
        <f ca="1"/>
        <v>0</v>
      </c>
      <c r="I70">
        <f ca="1"/>
        <v>0</v>
      </c>
      <c r="J70">
        <f ca="1"/>
        <v>0</v>
      </c>
      <c r="K70">
        <f ca="1"/>
        <v>0</v>
      </c>
      <c r="L70">
        <f ca="1"/>
        <v>0</v>
      </c>
      <c r="M70">
        <f ca="1"/>
        <v>0</v>
      </c>
      <c r="N70">
        <f ca="1"/>
        <v>0</v>
      </c>
      <c r="O70">
        <f ca="1"/>
        <v>0</v>
      </c>
      <c r="P70">
        <f ca="1"/>
        <v>0</v>
      </c>
      <c r="Q70">
        <f ca="1"/>
        <v>0</v>
      </c>
      <c r="R70">
        <f ca="1"/>
        <v>0</v>
      </c>
      <c r="S70">
        <f ca="1"/>
        <v>0</v>
      </c>
      <c r="T70">
        <f ca="1"/>
        <v>0</v>
      </c>
      <c r="U70">
        <f ca="1"/>
        <v>0</v>
      </c>
      <c r="V70">
        <f ca="1"/>
        <v>0</v>
      </c>
      <c r="W70">
        <f ca="1"/>
        <v>0</v>
      </c>
      <c r="X70">
        <f ca="1"/>
        <v>0</v>
      </c>
      <c r="Y70">
        <f ca="1"/>
        <v>0</v>
      </c>
      <c r="Z70">
        <f ca="1"/>
        <v>0</v>
      </c>
      <c r="AA70">
        <f ca="1"/>
        <v>0</v>
      </c>
      <c r="AB70">
        <f ca="1"/>
        <v>0</v>
      </c>
      <c r="AC70">
        <f ca="1"/>
        <v>0</v>
      </c>
      <c r="AD70">
        <f ca="1"/>
        <v>0</v>
      </c>
      <c r="AE70">
        <f ca="1"/>
        <v>0</v>
      </c>
      <c r="AF70">
        <f ca="1"/>
        <v>0</v>
      </c>
      <c r="AG70">
        <f ca="1"/>
        <v>0</v>
      </c>
      <c r="AH70">
        <f ca="1"/>
        <v>0</v>
      </c>
      <c r="AI70">
        <f ca="1"/>
        <v>0</v>
      </c>
      <c r="AJ70">
        <f ca="1"/>
        <v>0</v>
      </c>
      <c r="AK70">
        <f ca="1"/>
        <v>0</v>
      </c>
      <c r="AL70">
        <f ca="1"/>
        <v>0</v>
      </c>
      <c r="AM70">
        <f ca="1"/>
        <v>0</v>
      </c>
      <c r="AN70">
        <f ca="1"/>
        <v>0</v>
      </c>
      <c r="AO70">
        <f ca="1"/>
        <v>0</v>
      </c>
      <c r="AP70">
        <f ca="1"/>
        <v>0</v>
      </c>
      <c r="AQ70">
        <f ca="1"/>
        <v>0</v>
      </c>
      <c r="AR70">
        <f ca="1"/>
        <v>0</v>
      </c>
      <c r="AS70">
        <f ca="1"/>
        <v>0</v>
      </c>
      <c r="AT70">
        <f ca="1"/>
        <v>0</v>
      </c>
      <c r="AU70">
        <f ca="1"/>
        <v>0</v>
      </c>
      <c r="AV70">
        <f ca="1"/>
        <v>0</v>
      </c>
      <c r="AW70">
        <f ca="1"/>
        <v>0</v>
      </c>
      <c r="AX70">
        <f ca="1"/>
        <v>0</v>
      </c>
      <c r="AY70">
        <f ca="1"/>
        <v>0</v>
      </c>
      <c r="AZ70">
        <f ca="1"/>
        <v>0</v>
      </c>
      <c r="BA70">
        <f ca="1"/>
        <v>0</v>
      </c>
      <c r="BB70">
        <f ca="1"/>
        <v>0</v>
      </c>
      <c r="BC70">
        <f ca="1"/>
        <v>0</v>
      </c>
      <c r="BD70">
        <f ca="1"/>
        <v>0</v>
      </c>
      <c r="BE70">
        <f ca="1"/>
        <v>0</v>
      </c>
      <c r="BF70">
        <f ca="1"/>
        <v>0</v>
      </c>
      <c r="BG70">
        <f ca="1"/>
        <v>0</v>
      </c>
      <c r="BH70">
        <f ca="1"/>
        <v>0</v>
      </c>
      <c r="BI70">
        <f ca="1"/>
        <v>0</v>
      </c>
      <c r="BJ70">
        <f ca="1"/>
        <v>0</v>
      </c>
      <c r="BK70">
        <f ca="1"/>
        <v>0</v>
      </c>
      <c r="BL70">
        <f ca="1"/>
        <v>0</v>
      </c>
      <c r="BM70">
        <f ca="1"/>
        <v>0</v>
      </c>
      <c r="BN70">
        <f ca="1"/>
        <v>0</v>
      </c>
      <c r="BO70">
        <f ca="1"/>
        <v>0</v>
      </c>
      <c r="BP70">
        <f ca="1"/>
        <v>0</v>
      </c>
      <c r="BQ70">
        <f ca="1"/>
        <v>0</v>
      </c>
      <c r="BR70">
        <f ca="1"/>
        <v>0</v>
      </c>
      <c r="BS70">
        <f ca="1"/>
        <v>0</v>
      </c>
      <c r="BT70">
        <f ca="1"/>
        <v>0</v>
      </c>
      <c r="BU70">
        <f ca="1"/>
        <v>0</v>
      </c>
      <c r="BV70">
        <f ca="1"/>
        <v>0</v>
      </c>
      <c r="BW70">
        <f ca="1"/>
        <v>0</v>
      </c>
      <c r="BX70">
        <f ca="1"/>
        <v>0</v>
      </c>
      <c r="BY70">
        <f ca="1"/>
        <v>0</v>
      </c>
      <c r="BZ70">
        <f ca="1"/>
        <v>0</v>
      </c>
      <c r="CA70">
        <f ca="1"/>
        <v>0</v>
      </c>
      <c r="CB70">
        <f ca="1"/>
        <v>0</v>
      </c>
      <c r="CC70">
        <f ca="1"/>
        <v>0</v>
      </c>
      <c r="CD70">
        <f ca="1"/>
        <v>0</v>
      </c>
      <c r="CE70">
        <f ca="1"/>
        <v>0</v>
      </c>
      <c r="CF70">
        <f ca="1"/>
        <v>0</v>
      </c>
      <c r="CG70">
        <f ca="1"/>
        <v>0</v>
      </c>
      <c r="CH70">
        <f ca="1"/>
        <v>0</v>
      </c>
      <c r="CI70">
        <f ca="1"/>
        <v>0</v>
      </c>
      <c r="CJ70">
        <f ca="1"/>
        <v>0</v>
      </c>
      <c r="CK70">
        <f ca="1"/>
        <v>0</v>
      </c>
      <c r="CL70">
        <f ca="1"/>
        <v>0</v>
      </c>
      <c r="CM70">
        <f ca="1"/>
        <v>0</v>
      </c>
      <c r="CN70">
        <f ca="1"/>
        <v>0</v>
      </c>
      <c r="CO70">
        <f ca="1"/>
        <v>0</v>
      </c>
      <c r="CP70">
        <f ca="1"/>
        <v>0</v>
      </c>
    </row>
    <row r="71" spans="3:94" x14ac:dyDescent="0.25">
      <c r="C71" cm="1">
        <f t="array" aca="1" ref="C71:CP71" ca="1">IFERROR(TRANSPOSE(INDEX(_xlfn._xlws.FILTER(INDIRECT("SubcategoriesTable[Subcategory name]"),INDIRECT("SubcategoriesTable[Category name]")=$B71),,)),_xlfn.CONCAT("No subcategories for"," ", $B71))</f>
        <v>0</v>
      </c>
      <c r="D71">
        <f ca="1"/>
        <v>0</v>
      </c>
      <c r="E71">
        <f ca="1"/>
        <v>0</v>
      </c>
      <c r="F71">
        <f ca="1"/>
        <v>0</v>
      </c>
      <c r="G71">
        <f ca="1"/>
        <v>0</v>
      </c>
      <c r="H71">
        <f ca="1"/>
        <v>0</v>
      </c>
      <c r="I71">
        <f ca="1"/>
        <v>0</v>
      </c>
      <c r="J71">
        <f ca="1"/>
        <v>0</v>
      </c>
      <c r="K71">
        <f ca="1"/>
        <v>0</v>
      </c>
      <c r="L71">
        <f ca="1"/>
        <v>0</v>
      </c>
      <c r="M71">
        <f ca="1"/>
        <v>0</v>
      </c>
      <c r="N71">
        <f ca="1"/>
        <v>0</v>
      </c>
      <c r="O71">
        <f ca="1"/>
        <v>0</v>
      </c>
      <c r="P71">
        <f ca="1"/>
        <v>0</v>
      </c>
      <c r="Q71">
        <f ca="1"/>
        <v>0</v>
      </c>
      <c r="R71">
        <f ca="1"/>
        <v>0</v>
      </c>
      <c r="S71">
        <f ca="1"/>
        <v>0</v>
      </c>
      <c r="T71">
        <f ca="1"/>
        <v>0</v>
      </c>
      <c r="U71">
        <f ca="1"/>
        <v>0</v>
      </c>
      <c r="V71">
        <f ca="1"/>
        <v>0</v>
      </c>
      <c r="W71">
        <f ca="1"/>
        <v>0</v>
      </c>
      <c r="X71">
        <f ca="1"/>
        <v>0</v>
      </c>
      <c r="Y71">
        <f ca="1"/>
        <v>0</v>
      </c>
      <c r="Z71">
        <f ca="1"/>
        <v>0</v>
      </c>
      <c r="AA71">
        <f ca="1"/>
        <v>0</v>
      </c>
      <c r="AB71">
        <f ca="1"/>
        <v>0</v>
      </c>
      <c r="AC71">
        <f ca="1"/>
        <v>0</v>
      </c>
      <c r="AD71">
        <f ca="1"/>
        <v>0</v>
      </c>
      <c r="AE71">
        <f ca="1"/>
        <v>0</v>
      </c>
      <c r="AF71">
        <f ca="1"/>
        <v>0</v>
      </c>
      <c r="AG71">
        <f ca="1"/>
        <v>0</v>
      </c>
      <c r="AH71">
        <f ca="1"/>
        <v>0</v>
      </c>
      <c r="AI71">
        <f ca="1"/>
        <v>0</v>
      </c>
      <c r="AJ71">
        <f ca="1"/>
        <v>0</v>
      </c>
      <c r="AK71">
        <f ca="1"/>
        <v>0</v>
      </c>
      <c r="AL71">
        <f ca="1"/>
        <v>0</v>
      </c>
      <c r="AM71">
        <f ca="1"/>
        <v>0</v>
      </c>
      <c r="AN71">
        <f ca="1"/>
        <v>0</v>
      </c>
      <c r="AO71">
        <f ca="1"/>
        <v>0</v>
      </c>
      <c r="AP71">
        <f ca="1"/>
        <v>0</v>
      </c>
      <c r="AQ71">
        <f ca="1"/>
        <v>0</v>
      </c>
      <c r="AR71">
        <f ca="1"/>
        <v>0</v>
      </c>
      <c r="AS71">
        <f ca="1"/>
        <v>0</v>
      </c>
      <c r="AT71">
        <f ca="1"/>
        <v>0</v>
      </c>
      <c r="AU71">
        <f ca="1"/>
        <v>0</v>
      </c>
      <c r="AV71">
        <f ca="1"/>
        <v>0</v>
      </c>
      <c r="AW71">
        <f ca="1"/>
        <v>0</v>
      </c>
      <c r="AX71">
        <f ca="1"/>
        <v>0</v>
      </c>
      <c r="AY71">
        <f ca="1"/>
        <v>0</v>
      </c>
      <c r="AZ71">
        <f ca="1"/>
        <v>0</v>
      </c>
      <c r="BA71">
        <f ca="1"/>
        <v>0</v>
      </c>
      <c r="BB71">
        <f ca="1"/>
        <v>0</v>
      </c>
      <c r="BC71">
        <f ca="1"/>
        <v>0</v>
      </c>
      <c r="BD71">
        <f ca="1"/>
        <v>0</v>
      </c>
      <c r="BE71">
        <f ca="1"/>
        <v>0</v>
      </c>
      <c r="BF71">
        <f ca="1"/>
        <v>0</v>
      </c>
      <c r="BG71">
        <f ca="1"/>
        <v>0</v>
      </c>
      <c r="BH71">
        <f ca="1"/>
        <v>0</v>
      </c>
      <c r="BI71">
        <f ca="1"/>
        <v>0</v>
      </c>
      <c r="BJ71">
        <f ca="1"/>
        <v>0</v>
      </c>
      <c r="BK71">
        <f ca="1"/>
        <v>0</v>
      </c>
      <c r="BL71">
        <f ca="1"/>
        <v>0</v>
      </c>
      <c r="BM71">
        <f ca="1"/>
        <v>0</v>
      </c>
      <c r="BN71">
        <f ca="1"/>
        <v>0</v>
      </c>
      <c r="BO71">
        <f ca="1"/>
        <v>0</v>
      </c>
      <c r="BP71">
        <f ca="1"/>
        <v>0</v>
      </c>
      <c r="BQ71">
        <f ca="1"/>
        <v>0</v>
      </c>
      <c r="BR71">
        <f ca="1"/>
        <v>0</v>
      </c>
      <c r="BS71">
        <f ca="1"/>
        <v>0</v>
      </c>
      <c r="BT71">
        <f ca="1"/>
        <v>0</v>
      </c>
      <c r="BU71">
        <f ca="1"/>
        <v>0</v>
      </c>
      <c r="BV71">
        <f ca="1"/>
        <v>0</v>
      </c>
      <c r="BW71">
        <f ca="1"/>
        <v>0</v>
      </c>
      <c r="BX71">
        <f ca="1"/>
        <v>0</v>
      </c>
      <c r="BY71">
        <f ca="1"/>
        <v>0</v>
      </c>
      <c r="BZ71">
        <f ca="1"/>
        <v>0</v>
      </c>
      <c r="CA71">
        <f ca="1"/>
        <v>0</v>
      </c>
      <c r="CB71">
        <f ca="1"/>
        <v>0</v>
      </c>
      <c r="CC71">
        <f ca="1"/>
        <v>0</v>
      </c>
      <c r="CD71">
        <f ca="1"/>
        <v>0</v>
      </c>
      <c r="CE71">
        <f ca="1"/>
        <v>0</v>
      </c>
      <c r="CF71">
        <f ca="1"/>
        <v>0</v>
      </c>
      <c r="CG71">
        <f ca="1"/>
        <v>0</v>
      </c>
      <c r="CH71">
        <f ca="1"/>
        <v>0</v>
      </c>
      <c r="CI71">
        <f ca="1"/>
        <v>0</v>
      </c>
      <c r="CJ71">
        <f ca="1"/>
        <v>0</v>
      </c>
      <c r="CK71">
        <f ca="1"/>
        <v>0</v>
      </c>
      <c r="CL71">
        <f ca="1"/>
        <v>0</v>
      </c>
      <c r="CM71">
        <f ca="1"/>
        <v>0</v>
      </c>
      <c r="CN71">
        <f ca="1"/>
        <v>0</v>
      </c>
      <c r="CO71">
        <f ca="1"/>
        <v>0</v>
      </c>
      <c r="CP71">
        <f ca="1"/>
        <v>0</v>
      </c>
    </row>
    <row r="72" spans="3:94" x14ac:dyDescent="0.25">
      <c r="C72" cm="1">
        <f t="array" aca="1" ref="C72:CP72" ca="1">IFERROR(TRANSPOSE(INDEX(_xlfn._xlws.FILTER(INDIRECT("SubcategoriesTable[Subcategory name]"),INDIRECT("SubcategoriesTable[Category name]")=$B72),,)),_xlfn.CONCAT("No subcategories for"," ", $B72))</f>
        <v>0</v>
      </c>
      <c r="D72">
        <f ca="1"/>
        <v>0</v>
      </c>
      <c r="E72">
        <f ca="1"/>
        <v>0</v>
      </c>
      <c r="F72">
        <f ca="1"/>
        <v>0</v>
      </c>
      <c r="G72">
        <f ca="1"/>
        <v>0</v>
      </c>
      <c r="H72">
        <f ca="1"/>
        <v>0</v>
      </c>
      <c r="I72">
        <f ca="1"/>
        <v>0</v>
      </c>
      <c r="J72">
        <f ca="1"/>
        <v>0</v>
      </c>
      <c r="K72">
        <f ca="1"/>
        <v>0</v>
      </c>
      <c r="L72">
        <f ca="1"/>
        <v>0</v>
      </c>
      <c r="M72">
        <f ca="1"/>
        <v>0</v>
      </c>
      <c r="N72">
        <f ca="1"/>
        <v>0</v>
      </c>
      <c r="O72">
        <f ca="1"/>
        <v>0</v>
      </c>
      <c r="P72">
        <f ca="1"/>
        <v>0</v>
      </c>
      <c r="Q72">
        <f ca="1"/>
        <v>0</v>
      </c>
      <c r="R72">
        <f ca="1"/>
        <v>0</v>
      </c>
      <c r="S72">
        <f ca="1"/>
        <v>0</v>
      </c>
      <c r="T72">
        <f ca="1"/>
        <v>0</v>
      </c>
      <c r="U72">
        <f ca="1"/>
        <v>0</v>
      </c>
      <c r="V72">
        <f ca="1"/>
        <v>0</v>
      </c>
      <c r="W72">
        <f ca="1"/>
        <v>0</v>
      </c>
      <c r="X72">
        <f ca="1"/>
        <v>0</v>
      </c>
      <c r="Y72">
        <f ca="1"/>
        <v>0</v>
      </c>
      <c r="Z72">
        <f ca="1"/>
        <v>0</v>
      </c>
      <c r="AA72">
        <f ca="1"/>
        <v>0</v>
      </c>
      <c r="AB72">
        <f ca="1"/>
        <v>0</v>
      </c>
      <c r="AC72">
        <f ca="1"/>
        <v>0</v>
      </c>
      <c r="AD72">
        <f ca="1"/>
        <v>0</v>
      </c>
      <c r="AE72">
        <f ca="1"/>
        <v>0</v>
      </c>
      <c r="AF72">
        <f ca="1"/>
        <v>0</v>
      </c>
      <c r="AG72">
        <f ca="1"/>
        <v>0</v>
      </c>
      <c r="AH72">
        <f ca="1"/>
        <v>0</v>
      </c>
      <c r="AI72">
        <f ca="1"/>
        <v>0</v>
      </c>
      <c r="AJ72">
        <f ca="1"/>
        <v>0</v>
      </c>
      <c r="AK72">
        <f ca="1"/>
        <v>0</v>
      </c>
      <c r="AL72">
        <f ca="1"/>
        <v>0</v>
      </c>
      <c r="AM72">
        <f ca="1"/>
        <v>0</v>
      </c>
      <c r="AN72">
        <f ca="1"/>
        <v>0</v>
      </c>
      <c r="AO72">
        <f ca="1"/>
        <v>0</v>
      </c>
      <c r="AP72">
        <f ca="1"/>
        <v>0</v>
      </c>
      <c r="AQ72">
        <f ca="1"/>
        <v>0</v>
      </c>
      <c r="AR72">
        <f ca="1"/>
        <v>0</v>
      </c>
      <c r="AS72">
        <f ca="1"/>
        <v>0</v>
      </c>
      <c r="AT72">
        <f ca="1"/>
        <v>0</v>
      </c>
      <c r="AU72">
        <f ca="1"/>
        <v>0</v>
      </c>
      <c r="AV72">
        <f ca="1"/>
        <v>0</v>
      </c>
      <c r="AW72">
        <f ca="1"/>
        <v>0</v>
      </c>
      <c r="AX72">
        <f ca="1"/>
        <v>0</v>
      </c>
      <c r="AY72">
        <f ca="1"/>
        <v>0</v>
      </c>
      <c r="AZ72">
        <f ca="1"/>
        <v>0</v>
      </c>
      <c r="BA72">
        <f ca="1"/>
        <v>0</v>
      </c>
      <c r="BB72">
        <f ca="1"/>
        <v>0</v>
      </c>
      <c r="BC72">
        <f ca="1"/>
        <v>0</v>
      </c>
      <c r="BD72">
        <f ca="1"/>
        <v>0</v>
      </c>
      <c r="BE72">
        <f ca="1"/>
        <v>0</v>
      </c>
      <c r="BF72">
        <f ca="1"/>
        <v>0</v>
      </c>
      <c r="BG72">
        <f ca="1"/>
        <v>0</v>
      </c>
      <c r="BH72">
        <f ca="1"/>
        <v>0</v>
      </c>
      <c r="BI72">
        <f ca="1"/>
        <v>0</v>
      </c>
      <c r="BJ72">
        <f ca="1"/>
        <v>0</v>
      </c>
      <c r="BK72">
        <f ca="1"/>
        <v>0</v>
      </c>
      <c r="BL72">
        <f ca="1"/>
        <v>0</v>
      </c>
      <c r="BM72">
        <f ca="1"/>
        <v>0</v>
      </c>
      <c r="BN72">
        <f ca="1"/>
        <v>0</v>
      </c>
      <c r="BO72">
        <f ca="1"/>
        <v>0</v>
      </c>
      <c r="BP72">
        <f ca="1"/>
        <v>0</v>
      </c>
      <c r="BQ72">
        <f ca="1"/>
        <v>0</v>
      </c>
      <c r="BR72">
        <f ca="1"/>
        <v>0</v>
      </c>
      <c r="BS72">
        <f ca="1"/>
        <v>0</v>
      </c>
      <c r="BT72">
        <f ca="1"/>
        <v>0</v>
      </c>
      <c r="BU72">
        <f ca="1"/>
        <v>0</v>
      </c>
      <c r="BV72">
        <f ca="1"/>
        <v>0</v>
      </c>
      <c r="BW72">
        <f ca="1"/>
        <v>0</v>
      </c>
      <c r="BX72">
        <f ca="1"/>
        <v>0</v>
      </c>
      <c r="BY72">
        <f ca="1"/>
        <v>0</v>
      </c>
      <c r="BZ72">
        <f ca="1"/>
        <v>0</v>
      </c>
      <c r="CA72">
        <f ca="1"/>
        <v>0</v>
      </c>
      <c r="CB72">
        <f ca="1"/>
        <v>0</v>
      </c>
      <c r="CC72">
        <f ca="1"/>
        <v>0</v>
      </c>
      <c r="CD72">
        <f ca="1"/>
        <v>0</v>
      </c>
      <c r="CE72">
        <f ca="1"/>
        <v>0</v>
      </c>
      <c r="CF72">
        <f ca="1"/>
        <v>0</v>
      </c>
      <c r="CG72">
        <f ca="1"/>
        <v>0</v>
      </c>
      <c r="CH72">
        <f ca="1"/>
        <v>0</v>
      </c>
      <c r="CI72">
        <f ca="1"/>
        <v>0</v>
      </c>
      <c r="CJ72">
        <f ca="1"/>
        <v>0</v>
      </c>
      <c r="CK72">
        <f ca="1"/>
        <v>0</v>
      </c>
      <c r="CL72">
        <f ca="1"/>
        <v>0</v>
      </c>
      <c r="CM72">
        <f ca="1"/>
        <v>0</v>
      </c>
      <c r="CN72">
        <f ca="1"/>
        <v>0</v>
      </c>
      <c r="CO72">
        <f ca="1"/>
        <v>0</v>
      </c>
      <c r="CP72">
        <f ca="1"/>
        <v>0</v>
      </c>
    </row>
    <row r="73" spans="3:94" x14ac:dyDescent="0.25">
      <c r="C73" cm="1">
        <f t="array" aca="1" ref="C73:CP73" ca="1">IFERROR(TRANSPOSE(INDEX(_xlfn._xlws.FILTER(INDIRECT("SubcategoriesTable[Subcategory name]"),INDIRECT("SubcategoriesTable[Category name]")=$B73),,)),_xlfn.CONCAT("No subcategories for"," ", $B73))</f>
        <v>0</v>
      </c>
      <c r="D73">
        <f ca="1"/>
        <v>0</v>
      </c>
      <c r="E73">
        <f ca="1"/>
        <v>0</v>
      </c>
      <c r="F73">
        <f ca="1"/>
        <v>0</v>
      </c>
      <c r="G73">
        <f ca="1"/>
        <v>0</v>
      </c>
      <c r="H73">
        <f ca="1"/>
        <v>0</v>
      </c>
      <c r="I73">
        <f ca="1"/>
        <v>0</v>
      </c>
      <c r="J73">
        <f ca="1"/>
        <v>0</v>
      </c>
      <c r="K73">
        <f ca="1"/>
        <v>0</v>
      </c>
      <c r="L73">
        <f ca="1"/>
        <v>0</v>
      </c>
      <c r="M73">
        <f ca="1"/>
        <v>0</v>
      </c>
      <c r="N73">
        <f ca="1"/>
        <v>0</v>
      </c>
      <c r="O73">
        <f ca="1"/>
        <v>0</v>
      </c>
      <c r="P73">
        <f ca="1"/>
        <v>0</v>
      </c>
      <c r="Q73">
        <f ca="1"/>
        <v>0</v>
      </c>
      <c r="R73">
        <f ca="1"/>
        <v>0</v>
      </c>
      <c r="S73">
        <f ca="1"/>
        <v>0</v>
      </c>
      <c r="T73">
        <f ca="1"/>
        <v>0</v>
      </c>
      <c r="U73">
        <f ca="1"/>
        <v>0</v>
      </c>
      <c r="V73">
        <f ca="1"/>
        <v>0</v>
      </c>
      <c r="W73">
        <f ca="1"/>
        <v>0</v>
      </c>
      <c r="X73">
        <f ca="1"/>
        <v>0</v>
      </c>
      <c r="Y73">
        <f ca="1"/>
        <v>0</v>
      </c>
      <c r="Z73">
        <f ca="1"/>
        <v>0</v>
      </c>
      <c r="AA73">
        <f ca="1"/>
        <v>0</v>
      </c>
      <c r="AB73">
        <f ca="1"/>
        <v>0</v>
      </c>
      <c r="AC73">
        <f ca="1"/>
        <v>0</v>
      </c>
      <c r="AD73">
        <f ca="1"/>
        <v>0</v>
      </c>
      <c r="AE73">
        <f ca="1"/>
        <v>0</v>
      </c>
      <c r="AF73">
        <f ca="1"/>
        <v>0</v>
      </c>
      <c r="AG73">
        <f ca="1"/>
        <v>0</v>
      </c>
      <c r="AH73">
        <f ca="1"/>
        <v>0</v>
      </c>
      <c r="AI73">
        <f ca="1"/>
        <v>0</v>
      </c>
      <c r="AJ73">
        <f ca="1"/>
        <v>0</v>
      </c>
      <c r="AK73">
        <f ca="1"/>
        <v>0</v>
      </c>
      <c r="AL73">
        <f ca="1"/>
        <v>0</v>
      </c>
      <c r="AM73">
        <f ca="1"/>
        <v>0</v>
      </c>
      <c r="AN73">
        <f ca="1"/>
        <v>0</v>
      </c>
      <c r="AO73">
        <f ca="1"/>
        <v>0</v>
      </c>
      <c r="AP73">
        <f ca="1"/>
        <v>0</v>
      </c>
      <c r="AQ73">
        <f ca="1"/>
        <v>0</v>
      </c>
      <c r="AR73">
        <f ca="1"/>
        <v>0</v>
      </c>
      <c r="AS73">
        <f ca="1"/>
        <v>0</v>
      </c>
      <c r="AT73">
        <f ca="1"/>
        <v>0</v>
      </c>
      <c r="AU73">
        <f ca="1"/>
        <v>0</v>
      </c>
      <c r="AV73">
        <f ca="1"/>
        <v>0</v>
      </c>
      <c r="AW73">
        <f ca="1"/>
        <v>0</v>
      </c>
      <c r="AX73">
        <f ca="1"/>
        <v>0</v>
      </c>
      <c r="AY73">
        <f ca="1"/>
        <v>0</v>
      </c>
      <c r="AZ73">
        <f ca="1"/>
        <v>0</v>
      </c>
      <c r="BA73">
        <f ca="1"/>
        <v>0</v>
      </c>
      <c r="BB73">
        <f ca="1"/>
        <v>0</v>
      </c>
      <c r="BC73">
        <f ca="1"/>
        <v>0</v>
      </c>
      <c r="BD73">
        <f ca="1"/>
        <v>0</v>
      </c>
      <c r="BE73">
        <f ca="1"/>
        <v>0</v>
      </c>
      <c r="BF73">
        <f ca="1"/>
        <v>0</v>
      </c>
      <c r="BG73">
        <f ca="1"/>
        <v>0</v>
      </c>
      <c r="BH73">
        <f ca="1"/>
        <v>0</v>
      </c>
      <c r="BI73">
        <f ca="1"/>
        <v>0</v>
      </c>
      <c r="BJ73">
        <f ca="1"/>
        <v>0</v>
      </c>
      <c r="BK73">
        <f ca="1"/>
        <v>0</v>
      </c>
      <c r="BL73">
        <f ca="1"/>
        <v>0</v>
      </c>
      <c r="BM73">
        <f ca="1"/>
        <v>0</v>
      </c>
      <c r="BN73">
        <f ca="1"/>
        <v>0</v>
      </c>
      <c r="BO73">
        <f ca="1"/>
        <v>0</v>
      </c>
      <c r="BP73">
        <f ca="1"/>
        <v>0</v>
      </c>
      <c r="BQ73">
        <f ca="1"/>
        <v>0</v>
      </c>
      <c r="BR73">
        <f ca="1"/>
        <v>0</v>
      </c>
      <c r="BS73">
        <f ca="1"/>
        <v>0</v>
      </c>
      <c r="BT73">
        <f ca="1"/>
        <v>0</v>
      </c>
      <c r="BU73">
        <f ca="1"/>
        <v>0</v>
      </c>
      <c r="BV73">
        <f ca="1"/>
        <v>0</v>
      </c>
      <c r="BW73">
        <f ca="1"/>
        <v>0</v>
      </c>
      <c r="BX73">
        <f ca="1"/>
        <v>0</v>
      </c>
      <c r="BY73">
        <f ca="1"/>
        <v>0</v>
      </c>
      <c r="BZ73">
        <f ca="1"/>
        <v>0</v>
      </c>
      <c r="CA73">
        <f ca="1"/>
        <v>0</v>
      </c>
      <c r="CB73">
        <f ca="1"/>
        <v>0</v>
      </c>
      <c r="CC73">
        <f ca="1"/>
        <v>0</v>
      </c>
      <c r="CD73">
        <f ca="1"/>
        <v>0</v>
      </c>
      <c r="CE73">
        <f ca="1"/>
        <v>0</v>
      </c>
      <c r="CF73">
        <f ca="1"/>
        <v>0</v>
      </c>
      <c r="CG73">
        <f ca="1"/>
        <v>0</v>
      </c>
      <c r="CH73">
        <f ca="1"/>
        <v>0</v>
      </c>
      <c r="CI73">
        <f ca="1"/>
        <v>0</v>
      </c>
      <c r="CJ73">
        <f ca="1"/>
        <v>0</v>
      </c>
      <c r="CK73">
        <f ca="1"/>
        <v>0</v>
      </c>
      <c r="CL73">
        <f ca="1"/>
        <v>0</v>
      </c>
      <c r="CM73">
        <f ca="1"/>
        <v>0</v>
      </c>
      <c r="CN73">
        <f ca="1"/>
        <v>0</v>
      </c>
      <c r="CO73">
        <f ca="1"/>
        <v>0</v>
      </c>
      <c r="CP73">
        <f ca="1"/>
        <v>0</v>
      </c>
    </row>
    <row r="74" spans="3:94" x14ac:dyDescent="0.25">
      <c r="C74" cm="1">
        <f t="array" aca="1" ref="C74:CP74" ca="1">IFERROR(TRANSPOSE(INDEX(_xlfn._xlws.FILTER(INDIRECT("SubcategoriesTable[Subcategory name]"),INDIRECT("SubcategoriesTable[Category name]")=$B74),,)),_xlfn.CONCAT("No subcategories for"," ", $B74))</f>
        <v>0</v>
      </c>
      <c r="D74">
        <f ca="1"/>
        <v>0</v>
      </c>
      <c r="E74">
        <f ca="1"/>
        <v>0</v>
      </c>
      <c r="F74">
        <f ca="1"/>
        <v>0</v>
      </c>
      <c r="G74">
        <f ca="1"/>
        <v>0</v>
      </c>
      <c r="H74">
        <f ca="1"/>
        <v>0</v>
      </c>
      <c r="I74">
        <f ca="1"/>
        <v>0</v>
      </c>
      <c r="J74">
        <f ca="1"/>
        <v>0</v>
      </c>
      <c r="K74">
        <f ca="1"/>
        <v>0</v>
      </c>
      <c r="L74">
        <f ca="1"/>
        <v>0</v>
      </c>
      <c r="M74">
        <f ca="1"/>
        <v>0</v>
      </c>
      <c r="N74">
        <f ca="1"/>
        <v>0</v>
      </c>
      <c r="O74">
        <f ca="1"/>
        <v>0</v>
      </c>
      <c r="P74">
        <f ca="1"/>
        <v>0</v>
      </c>
      <c r="Q74">
        <f ca="1"/>
        <v>0</v>
      </c>
      <c r="R74">
        <f ca="1"/>
        <v>0</v>
      </c>
      <c r="S74">
        <f ca="1"/>
        <v>0</v>
      </c>
      <c r="T74">
        <f ca="1"/>
        <v>0</v>
      </c>
      <c r="U74">
        <f ca="1"/>
        <v>0</v>
      </c>
      <c r="V74">
        <f ca="1"/>
        <v>0</v>
      </c>
      <c r="W74">
        <f ca="1"/>
        <v>0</v>
      </c>
      <c r="X74">
        <f ca="1"/>
        <v>0</v>
      </c>
      <c r="Y74">
        <f ca="1"/>
        <v>0</v>
      </c>
      <c r="Z74">
        <f ca="1"/>
        <v>0</v>
      </c>
      <c r="AA74">
        <f ca="1"/>
        <v>0</v>
      </c>
      <c r="AB74">
        <f ca="1"/>
        <v>0</v>
      </c>
      <c r="AC74">
        <f ca="1"/>
        <v>0</v>
      </c>
      <c r="AD74">
        <f ca="1"/>
        <v>0</v>
      </c>
      <c r="AE74">
        <f ca="1"/>
        <v>0</v>
      </c>
      <c r="AF74">
        <f ca="1"/>
        <v>0</v>
      </c>
      <c r="AG74">
        <f ca="1"/>
        <v>0</v>
      </c>
      <c r="AH74">
        <f ca="1"/>
        <v>0</v>
      </c>
      <c r="AI74">
        <f ca="1"/>
        <v>0</v>
      </c>
      <c r="AJ74">
        <f ca="1"/>
        <v>0</v>
      </c>
      <c r="AK74">
        <f ca="1"/>
        <v>0</v>
      </c>
      <c r="AL74">
        <f ca="1"/>
        <v>0</v>
      </c>
      <c r="AM74">
        <f ca="1"/>
        <v>0</v>
      </c>
      <c r="AN74">
        <f ca="1"/>
        <v>0</v>
      </c>
      <c r="AO74">
        <f ca="1"/>
        <v>0</v>
      </c>
      <c r="AP74">
        <f ca="1"/>
        <v>0</v>
      </c>
      <c r="AQ74">
        <f ca="1"/>
        <v>0</v>
      </c>
      <c r="AR74">
        <f ca="1"/>
        <v>0</v>
      </c>
      <c r="AS74">
        <f ca="1"/>
        <v>0</v>
      </c>
      <c r="AT74">
        <f ca="1"/>
        <v>0</v>
      </c>
      <c r="AU74">
        <f ca="1"/>
        <v>0</v>
      </c>
      <c r="AV74">
        <f ca="1"/>
        <v>0</v>
      </c>
      <c r="AW74">
        <f ca="1"/>
        <v>0</v>
      </c>
      <c r="AX74">
        <f ca="1"/>
        <v>0</v>
      </c>
      <c r="AY74">
        <f ca="1"/>
        <v>0</v>
      </c>
      <c r="AZ74">
        <f ca="1"/>
        <v>0</v>
      </c>
      <c r="BA74">
        <f ca="1"/>
        <v>0</v>
      </c>
      <c r="BB74">
        <f ca="1"/>
        <v>0</v>
      </c>
      <c r="BC74">
        <f ca="1"/>
        <v>0</v>
      </c>
      <c r="BD74">
        <f ca="1"/>
        <v>0</v>
      </c>
      <c r="BE74">
        <f ca="1"/>
        <v>0</v>
      </c>
      <c r="BF74">
        <f ca="1"/>
        <v>0</v>
      </c>
      <c r="BG74">
        <f ca="1"/>
        <v>0</v>
      </c>
      <c r="BH74">
        <f ca="1"/>
        <v>0</v>
      </c>
      <c r="BI74">
        <f ca="1"/>
        <v>0</v>
      </c>
      <c r="BJ74">
        <f ca="1"/>
        <v>0</v>
      </c>
      <c r="BK74">
        <f ca="1"/>
        <v>0</v>
      </c>
      <c r="BL74">
        <f ca="1"/>
        <v>0</v>
      </c>
      <c r="BM74">
        <f ca="1"/>
        <v>0</v>
      </c>
      <c r="BN74">
        <f ca="1"/>
        <v>0</v>
      </c>
      <c r="BO74">
        <f ca="1"/>
        <v>0</v>
      </c>
      <c r="BP74">
        <f ca="1"/>
        <v>0</v>
      </c>
      <c r="BQ74">
        <f ca="1"/>
        <v>0</v>
      </c>
      <c r="BR74">
        <f ca="1"/>
        <v>0</v>
      </c>
      <c r="BS74">
        <f ca="1"/>
        <v>0</v>
      </c>
      <c r="BT74">
        <f ca="1"/>
        <v>0</v>
      </c>
      <c r="BU74">
        <f ca="1"/>
        <v>0</v>
      </c>
      <c r="BV74">
        <f ca="1"/>
        <v>0</v>
      </c>
      <c r="BW74">
        <f ca="1"/>
        <v>0</v>
      </c>
      <c r="BX74">
        <f ca="1"/>
        <v>0</v>
      </c>
      <c r="BY74">
        <f ca="1"/>
        <v>0</v>
      </c>
      <c r="BZ74">
        <f ca="1"/>
        <v>0</v>
      </c>
      <c r="CA74">
        <f ca="1"/>
        <v>0</v>
      </c>
      <c r="CB74">
        <f ca="1"/>
        <v>0</v>
      </c>
      <c r="CC74">
        <f ca="1"/>
        <v>0</v>
      </c>
      <c r="CD74">
        <f ca="1"/>
        <v>0</v>
      </c>
      <c r="CE74">
        <f ca="1"/>
        <v>0</v>
      </c>
      <c r="CF74">
        <f ca="1"/>
        <v>0</v>
      </c>
      <c r="CG74">
        <f ca="1"/>
        <v>0</v>
      </c>
      <c r="CH74">
        <f ca="1"/>
        <v>0</v>
      </c>
      <c r="CI74">
        <f ca="1"/>
        <v>0</v>
      </c>
      <c r="CJ74">
        <f ca="1"/>
        <v>0</v>
      </c>
      <c r="CK74">
        <f ca="1"/>
        <v>0</v>
      </c>
      <c r="CL74">
        <f ca="1"/>
        <v>0</v>
      </c>
      <c r="CM74">
        <f ca="1"/>
        <v>0</v>
      </c>
      <c r="CN74">
        <f ca="1"/>
        <v>0</v>
      </c>
      <c r="CO74">
        <f ca="1"/>
        <v>0</v>
      </c>
      <c r="CP74">
        <f ca="1"/>
        <v>0</v>
      </c>
    </row>
    <row r="75" spans="3:94" x14ac:dyDescent="0.25">
      <c r="C75" cm="1">
        <f t="array" aca="1" ref="C75:CP75" ca="1">IFERROR(TRANSPOSE(INDEX(_xlfn._xlws.FILTER(INDIRECT("SubcategoriesTable[Subcategory name]"),INDIRECT("SubcategoriesTable[Category name]")=$B75),,)),_xlfn.CONCAT("No subcategories for"," ", $B75))</f>
        <v>0</v>
      </c>
      <c r="D75">
        <f ca="1"/>
        <v>0</v>
      </c>
      <c r="E75">
        <f ca="1"/>
        <v>0</v>
      </c>
      <c r="F75">
        <f ca="1"/>
        <v>0</v>
      </c>
      <c r="G75">
        <f ca="1"/>
        <v>0</v>
      </c>
      <c r="H75">
        <f ca="1"/>
        <v>0</v>
      </c>
      <c r="I75">
        <f ca="1"/>
        <v>0</v>
      </c>
      <c r="J75">
        <f ca="1"/>
        <v>0</v>
      </c>
      <c r="K75">
        <f ca="1"/>
        <v>0</v>
      </c>
      <c r="L75">
        <f ca="1"/>
        <v>0</v>
      </c>
      <c r="M75">
        <f ca="1"/>
        <v>0</v>
      </c>
      <c r="N75">
        <f ca="1"/>
        <v>0</v>
      </c>
      <c r="O75">
        <f ca="1"/>
        <v>0</v>
      </c>
      <c r="P75">
        <f ca="1"/>
        <v>0</v>
      </c>
      <c r="Q75">
        <f ca="1"/>
        <v>0</v>
      </c>
      <c r="R75">
        <f ca="1"/>
        <v>0</v>
      </c>
      <c r="S75">
        <f ca="1"/>
        <v>0</v>
      </c>
      <c r="T75">
        <f ca="1"/>
        <v>0</v>
      </c>
      <c r="U75">
        <f ca="1"/>
        <v>0</v>
      </c>
      <c r="V75">
        <f ca="1"/>
        <v>0</v>
      </c>
      <c r="W75">
        <f ca="1"/>
        <v>0</v>
      </c>
      <c r="X75">
        <f ca="1"/>
        <v>0</v>
      </c>
      <c r="Y75">
        <f ca="1"/>
        <v>0</v>
      </c>
      <c r="Z75">
        <f ca="1"/>
        <v>0</v>
      </c>
      <c r="AA75">
        <f ca="1"/>
        <v>0</v>
      </c>
      <c r="AB75">
        <f ca="1"/>
        <v>0</v>
      </c>
      <c r="AC75">
        <f ca="1"/>
        <v>0</v>
      </c>
      <c r="AD75">
        <f ca="1"/>
        <v>0</v>
      </c>
      <c r="AE75">
        <f ca="1"/>
        <v>0</v>
      </c>
      <c r="AF75">
        <f ca="1"/>
        <v>0</v>
      </c>
      <c r="AG75">
        <f ca="1"/>
        <v>0</v>
      </c>
      <c r="AH75">
        <f ca="1"/>
        <v>0</v>
      </c>
      <c r="AI75">
        <f ca="1"/>
        <v>0</v>
      </c>
      <c r="AJ75">
        <f ca="1"/>
        <v>0</v>
      </c>
      <c r="AK75">
        <f ca="1"/>
        <v>0</v>
      </c>
      <c r="AL75">
        <f ca="1"/>
        <v>0</v>
      </c>
      <c r="AM75">
        <f ca="1"/>
        <v>0</v>
      </c>
      <c r="AN75">
        <f ca="1"/>
        <v>0</v>
      </c>
      <c r="AO75">
        <f ca="1"/>
        <v>0</v>
      </c>
      <c r="AP75">
        <f ca="1"/>
        <v>0</v>
      </c>
      <c r="AQ75">
        <f ca="1"/>
        <v>0</v>
      </c>
      <c r="AR75">
        <f ca="1"/>
        <v>0</v>
      </c>
      <c r="AS75">
        <f ca="1"/>
        <v>0</v>
      </c>
      <c r="AT75">
        <f ca="1"/>
        <v>0</v>
      </c>
      <c r="AU75">
        <f ca="1"/>
        <v>0</v>
      </c>
      <c r="AV75">
        <f ca="1"/>
        <v>0</v>
      </c>
      <c r="AW75">
        <f ca="1"/>
        <v>0</v>
      </c>
      <c r="AX75">
        <f ca="1"/>
        <v>0</v>
      </c>
      <c r="AY75">
        <f ca="1"/>
        <v>0</v>
      </c>
      <c r="AZ75">
        <f ca="1"/>
        <v>0</v>
      </c>
      <c r="BA75">
        <f ca="1"/>
        <v>0</v>
      </c>
      <c r="BB75">
        <f ca="1"/>
        <v>0</v>
      </c>
      <c r="BC75">
        <f ca="1"/>
        <v>0</v>
      </c>
      <c r="BD75">
        <f ca="1"/>
        <v>0</v>
      </c>
      <c r="BE75">
        <f ca="1"/>
        <v>0</v>
      </c>
      <c r="BF75">
        <f ca="1"/>
        <v>0</v>
      </c>
      <c r="BG75">
        <f ca="1"/>
        <v>0</v>
      </c>
      <c r="BH75">
        <f ca="1"/>
        <v>0</v>
      </c>
      <c r="BI75">
        <f ca="1"/>
        <v>0</v>
      </c>
      <c r="BJ75">
        <f ca="1"/>
        <v>0</v>
      </c>
      <c r="BK75">
        <f ca="1"/>
        <v>0</v>
      </c>
      <c r="BL75">
        <f ca="1"/>
        <v>0</v>
      </c>
      <c r="BM75">
        <f ca="1"/>
        <v>0</v>
      </c>
      <c r="BN75">
        <f ca="1"/>
        <v>0</v>
      </c>
      <c r="BO75">
        <f ca="1"/>
        <v>0</v>
      </c>
      <c r="BP75">
        <f ca="1"/>
        <v>0</v>
      </c>
      <c r="BQ75">
        <f ca="1"/>
        <v>0</v>
      </c>
      <c r="BR75">
        <f ca="1"/>
        <v>0</v>
      </c>
      <c r="BS75">
        <f ca="1"/>
        <v>0</v>
      </c>
      <c r="BT75">
        <f ca="1"/>
        <v>0</v>
      </c>
      <c r="BU75">
        <f ca="1"/>
        <v>0</v>
      </c>
      <c r="BV75">
        <f ca="1"/>
        <v>0</v>
      </c>
      <c r="BW75">
        <f ca="1"/>
        <v>0</v>
      </c>
      <c r="BX75">
        <f ca="1"/>
        <v>0</v>
      </c>
      <c r="BY75">
        <f ca="1"/>
        <v>0</v>
      </c>
      <c r="BZ75">
        <f ca="1"/>
        <v>0</v>
      </c>
      <c r="CA75">
        <f ca="1"/>
        <v>0</v>
      </c>
      <c r="CB75">
        <f ca="1"/>
        <v>0</v>
      </c>
      <c r="CC75">
        <f ca="1"/>
        <v>0</v>
      </c>
      <c r="CD75">
        <f ca="1"/>
        <v>0</v>
      </c>
      <c r="CE75">
        <f ca="1"/>
        <v>0</v>
      </c>
      <c r="CF75">
        <f ca="1"/>
        <v>0</v>
      </c>
      <c r="CG75">
        <f ca="1"/>
        <v>0</v>
      </c>
      <c r="CH75">
        <f ca="1"/>
        <v>0</v>
      </c>
      <c r="CI75">
        <f ca="1"/>
        <v>0</v>
      </c>
      <c r="CJ75">
        <f ca="1"/>
        <v>0</v>
      </c>
      <c r="CK75">
        <f ca="1"/>
        <v>0</v>
      </c>
      <c r="CL75">
        <f ca="1"/>
        <v>0</v>
      </c>
      <c r="CM75">
        <f ca="1"/>
        <v>0</v>
      </c>
      <c r="CN75">
        <f ca="1"/>
        <v>0</v>
      </c>
      <c r="CO75">
        <f ca="1"/>
        <v>0</v>
      </c>
      <c r="CP75">
        <f ca="1"/>
        <v>0</v>
      </c>
    </row>
    <row r="76" spans="3:94" x14ac:dyDescent="0.25">
      <c r="C76" cm="1">
        <f t="array" aca="1" ref="C76:CP76" ca="1">IFERROR(TRANSPOSE(INDEX(_xlfn._xlws.FILTER(INDIRECT("SubcategoriesTable[Subcategory name]"),INDIRECT("SubcategoriesTable[Category name]")=$B76),,)),_xlfn.CONCAT("No subcategories for"," ", $B76))</f>
        <v>0</v>
      </c>
      <c r="D76">
        <f ca="1"/>
        <v>0</v>
      </c>
      <c r="E76">
        <f ca="1"/>
        <v>0</v>
      </c>
      <c r="F76">
        <f ca="1"/>
        <v>0</v>
      </c>
      <c r="G76">
        <f ca="1"/>
        <v>0</v>
      </c>
      <c r="H76">
        <f ca="1"/>
        <v>0</v>
      </c>
      <c r="I76">
        <f ca="1"/>
        <v>0</v>
      </c>
      <c r="J76">
        <f ca="1"/>
        <v>0</v>
      </c>
      <c r="K76">
        <f ca="1"/>
        <v>0</v>
      </c>
      <c r="L76">
        <f ca="1"/>
        <v>0</v>
      </c>
      <c r="M76">
        <f ca="1"/>
        <v>0</v>
      </c>
      <c r="N76">
        <f ca="1"/>
        <v>0</v>
      </c>
      <c r="O76">
        <f ca="1"/>
        <v>0</v>
      </c>
      <c r="P76">
        <f ca="1"/>
        <v>0</v>
      </c>
      <c r="Q76">
        <f ca="1"/>
        <v>0</v>
      </c>
      <c r="R76">
        <f ca="1"/>
        <v>0</v>
      </c>
      <c r="S76">
        <f ca="1"/>
        <v>0</v>
      </c>
      <c r="T76">
        <f ca="1"/>
        <v>0</v>
      </c>
      <c r="U76">
        <f ca="1"/>
        <v>0</v>
      </c>
      <c r="V76">
        <f ca="1"/>
        <v>0</v>
      </c>
      <c r="W76">
        <f ca="1"/>
        <v>0</v>
      </c>
      <c r="X76">
        <f ca="1"/>
        <v>0</v>
      </c>
      <c r="Y76">
        <f ca="1"/>
        <v>0</v>
      </c>
      <c r="Z76">
        <f ca="1"/>
        <v>0</v>
      </c>
      <c r="AA76">
        <f ca="1"/>
        <v>0</v>
      </c>
      <c r="AB76">
        <f ca="1"/>
        <v>0</v>
      </c>
      <c r="AC76">
        <f ca="1"/>
        <v>0</v>
      </c>
      <c r="AD76">
        <f ca="1"/>
        <v>0</v>
      </c>
      <c r="AE76">
        <f ca="1"/>
        <v>0</v>
      </c>
      <c r="AF76">
        <f ca="1"/>
        <v>0</v>
      </c>
      <c r="AG76">
        <f ca="1"/>
        <v>0</v>
      </c>
      <c r="AH76">
        <f ca="1"/>
        <v>0</v>
      </c>
      <c r="AI76">
        <f ca="1"/>
        <v>0</v>
      </c>
      <c r="AJ76">
        <f ca="1"/>
        <v>0</v>
      </c>
      <c r="AK76">
        <f ca="1"/>
        <v>0</v>
      </c>
      <c r="AL76">
        <f ca="1"/>
        <v>0</v>
      </c>
      <c r="AM76">
        <f ca="1"/>
        <v>0</v>
      </c>
      <c r="AN76">
        <f ca="1"/>
        <v>0</v>
      </c>
      <c r="AO76">
        <f ca="1"/>
        <v>0</v>
      </c>
      <c r="AP76">
        <f ca="1"/>
        <v>0</v>
      </c>
      <c r="AQ76">
        <f ca="1"/>
        <v>0</v>
      </c>
      <c r="AR76">
        <f ca="1"/>
        <v>0</v>
      </c>
      <c r="AS76">
        <f ca="1"/>
        <v>0</v>
      </c>
      <c r="AT76">
        <f ca="1"/>
        <v>0</v>
      </c>
      <c r="AU76">
        <f ca="1"/>
        <v>0</v>
      </c>
      <c r="AV76">
        <f ca="1"/>
        <v>0</v>
      </c>
      <c r="AW76">
        <f ca="1"/>
        <v>0</v>
      </c>
      <c r="AX76">
        <f ca="1"/>
        <v>0</v>
      </c>
      <c r="AY76">
        <f ca="1"/>
        <v>0</v>
      </c>
      <c r="AZ76">
        <f ca="1"/>
        <v>0</v>
      </c>
      <c r="BA76">
        <f ca="1"/>
        <v>0</v>
      </c>
      <c r="BB76">
        <f ca="1"/>
        <v>0</v>
      </c>
      <c r="BC76">
        <f ca="1"/>
        <v>0</v>
      </c>
      <c r="BD76">
        <f ca="1"/>
        <v>0</v>
      </c>
      <c r="BE76">
        <f ca="1"/>
        <v>0</v>
      </c>
      <c r="BF76">
        <f ca="1"/>
        <v>0</v>
      </c>
      <c r="BG76">
        <f ca="1"/>
        <v>0</v>
      </c>
      <c r="BH76">
        <f ca="1"/>
        <v>0</v>
      </c>
      <c r="BI76">
        <f ca="1"/>
        <v>0</v>
      </c>
      <c r="BJ76">
        <f ca="1"/>
        <v>0</v>
      </c>
      <c r="BK76">
        <f ca="1"/>
        <v>0</v>
      </c>
      <c r="BL76">
        <f ca="1"/>
        <v>0</v>
      </c>
      <c r="BM76">
        <f ca="1"/>
        <v>0</v>
      </c>
      <c r="BN76">
        <f ca="1"/>
        <v>0</v>
      </c>
      <c r="BO76">
        <f ca="1"/>
        <v>0</v>
      </c>
      <c r="BP76">
        <f ca="1"/>
        <v>0</v>
      </c>
      <c r="BQ76">
        <f ca="1"/>
        <v>0</v>
      </c>
      <c r="BR76">
        <f ca="1"/>
        <v>0</v>
      </c>
      <c r="BS76">
        <f ca="1"/>
        <v>0</v>
      </c>
      <c r="BT76">
        <f ca="1"/>
        <v>0</v>
      </c>
      <c r="BU76">
        <f ca="1"/>
        <v>0</v>
      </c>
      <c r="BV76">
        <f ca="1"/>
        <v>0</v>
      </c>
      <c r="BW76">
        <f ca="1"/>
        <v>0</v>
      </c>
      <c r="BX76">
        <f ca="1"/>
        <v>0</v>
      </c>
      <c r="BY76">
        <f ca="1"/>
        <v>0</v>
      </c>
      <c r="BZ76">
        <f ca="1"/>
        <v>0</v>
      </c>
      <c r="CA76">
        <f ca="1"/>
        <v>0</v>
      </c>
      <c r="CB76">
        <f ca="1"/>
        <v>0</v>
      </c>
      <c r="CC76">
        <f ca="1"/>
        <v>0</v>
      </c>
      <c r="CD76">
        <f ca="1"/>
        <v>0</v>
      </c>
      <c r="CE76">
        <f ca="1"/>
        <v>0</v>
      </c>
      <c r="CF76">
        <f ca="1"/>
        <v>0</v>
      </c>
      <c r="CG76">
        <f ca="1"/>
        <v>0</v>
      </c>
      <c r="CH76">
        <f ca="1"/>
        <v>0</v>
      </c>
      <c r="CI76">
        <f ca="1"/>
        <v>0</v>
      </c>
      <c r="CJ76">
        <f ca="1"/>
        <v>0</v>
      </c>
      <c r="CK76">
        <f ca="1"/>
        <v>0</v>
      </c>
      <c r="CL76">
        <f ca="1"/>
        <v>0</v>
      </c>
      <c r="CM76">
        <f ca="1"/>
        <v>0</v>
      </c>
      <c r="CN76">
        <f ca="1"/>
        <v>0</v>
      </c>
      <c r="CO76">
        <f ca="1"/>
        <v>0</v>
      </c>
      <c r="CP76">
        <f ca="1"/>
        <v>0</v>
      </c>
    </row>
    <row r="77" spans="3:94" x14ac:dyDescent="0.25">
      <c r="C77" cm="1">
        <f t="array" aca="1" ref="C77:CP77" ca="1">IFERROR(TRANSPOSE(INDEX(_xlfn._xlws.FILTER(INDIRECT("SubcategoriesTable[Subcategory name]"),INDIRECT("SubcategoriesTable[Category name]")=$B77),,)),_xlfn.CONCAT("No subcategories for"," ", $B77))</f>
        <v>0</v>
      </c>
      <c r="D77">
        <f ca="1"/>
        <v>0</v>
      </c>
      <c r="E77">
        <f ca="1"/>
        <v>0</v>
      </c>
      <c r="F77">
        <f ca="1"/>
        <v>0</v>
      </c>
      <c r="G77">
        <f ca="1"/>
        <v>0</v>
      </c>
      <c r="H77">
        <f ca="1"/>
        <v>0</v>
      </c>
      <c r="I77">
        <f ca="1"/>
        <v>0</v>
      </c>
      <c r="J77">
        <f ca="1"/>
        <v>0</v>
      </c>
      <c r="K77">
        <f ca="1"/>
        <v>0</v>
      </c>
      <c r="L77">
        <f ca="1"/>
        <v>0</v>
      </c>
      <c r="M77">
        <f ca="1"/>
        <v>0</v>
      </c>
      <c r="N77">
        <f ca="1"/>
        <v>0</v>
      </c>
      <c r="O77">
        <f ca="1"/>
        <v>0</v>
      </c>
      <c r="P77">
        <f ca="1"/>
        <v>0</v>
      </c>
      <c r="Q77">
        <f ca="1"/>
        <v>0</v>
      </c>
      <c r="R77">
        <f ca="1"/>
        <v>0</v>
      </c>
      <c r="S77">
        <f ca="1"/>
        <v>0</v>
      </c>
      <c r="T77">
        <f ca="1"/>
        <v>0</v>
      </c>
      <c r="U77">
        <f ca="1"/>
        <v>0</v>
      </c>
      <c r="V77">
        <f ca="1"/>
        <v>0</v>
      </c>
      <c r="W77">
        <f ca="1"/>
        <v>0</v>
      </c>
      <c r="X77">
        <f ca="1"/>
        <v>0</v>
      </c>
      <c r="Y77">
        <f ca="1"/>
        <v>0</v>
      </c>
      <c r="Z77">
        <f ca="1"/>
        <v>0</v>
      </c>
      <c r="AA77">
        <f ca="1"/>
        <v>0</v>
      </c>
      <c r="AB77">
        <f ca="1"/>
        <v>0</v>
      </c>
      <c r="AC77">
        <f ca="1"/>
        <v>0</v>
      </c>
      <c r="AD77">
        <f ca="1"/>
        <v>0</v>
      </c>
      <c r="AE77">
        <f ca="1"/>
        <v>0</v>
      </c>
      <c r="AF77">
        <f ca="1"/>
        <v>0</v>
      </c>
      <c r="AG77">
        <f ca="1"/>
        <v>0</v>
      </c>
      <c r="AH77">
        <f ca="1"/>
        <v>0</v>
      </c>
      <c r="AI77">
        <f ca="1"/>
        <v>0</v>
      </c>
      <c r="AJ77">
        <f ca="1"/>
        <v>0</v>
      </c>
      <c r="AK77">
        <f ca="1"/>
        <v>0</v>
      </c>
      <c r="AL77">
        <f ca="1"/>
        <v>0</v>
      </c>
      <c r="AM77">
        <f ca="1"/>
        <v>0</v>
      </c>
      <c r="AN77">
        <f ca="1"/>
        <v>0</v>
      </c>
      <c r="AO77">
        <f ca="1"/>
        <v>0</v>
      </c>
      <c r="AP77">
        <f ca="1"/>
        <v>0</v>
      </c>
      <c r="AQ77">
        <f ca="1"/>
        <v>0</v>
      </c>
      <c r="AR77">
        <f ca="1"/>
        <v>0</v>
      </c>
      <c r="AS77">
        <f ca="1"/>
        <v>0</v>
      </c>
      <c r="AT77">
        <f ca="1"/>
        <v>0</v>
      </c>
      <c r="AU77">
        <f ca="1"/>
        <v>0</v>
      </c>
      <c r="AV77">
        <f ca="1"/>
        <v>0</v>
      </c>
      <c r="AW77">
        <f ca="1"/>
        <v>0</v>
      </c>
      <c r="AX77">
        <f ca="1"/>
        <v>0</v>
      </c>
      <c r="AY77">
        <f ca="1"/>
        <v>0</v>
      </c>
      <c r="AZ77">
        <f ca="1"/>
        <v>0</v>
      </c>
      <c r="BA77">
        <f ca="1"/>
        <v>0</v>
      </c>
      <c r="BB77">
        <f ca="1"/>
        <v>0</v>
      </c>
      <c r="BC77">
        <f ca="1"/>
        <v>0</v>
      </c>
      <c r="BD77">
        <f ca="1"/>
        <v>0</v>
      </c>
      <c r="BE77">
        <f ca="1"/>
        <v>0</v>
      </c>
      <c r="BF77">
        <f ca="1"/>
        <v>0</v>
      </c>
      <c r="BG77">
        <f ca="1"/>
        <v>0</v>
      </c>
      <c r="BH77">
        <f ca="1"/>
        <v>0</v>
      </c>
      <c r="BI77">
        <f ca="1"/>
        <v>0</v>
      </c>
      <c r="BJ77">
        <f ca="1"/>
        <v>0</v>
      </c>
      <c r="BK77">
        <f ca="1"/>
        <v>0</v>
      </c>
      <c r="BL77">
        <f ca="1"/>
        <v>0</v>
      </c>
      <c r="BM77">
        <f ca="1"/>
        <v>0</v>
      </c>
      <c r="BN77">
        <f ca="1"/>
        <v>0</v>
      </c>
      <c r="BO77">
        <f ca="1"/>
        <v>0</v>
      </c>
      <c r="BP77">
        <f ca="1"/>
        <v>0</v>
      </c>
      <c r="BQ77">
        <f ca="1"/>
        <v>0</v>
      </c>
      <c r="BR77">
        <f ca="1"/>
        <v>0</v>
      </c>
      <c r="BS77">
        <f ca="1"/>
        <v>0</v>
      </c>
      <c r="BT77">
        <f ca="1"/>
        <v>0</v>
      </c>
      <c r="BU77">
        <f ca="1"/>
        <v>0</v>
      </c>
      <c r="BV77">
        <f ca="1"/>
        <v>0</v>
      </c>
      <c r="BW77">
        <f ca="1"/>
        <v>0</v>
      </c>
      <c r="BX77">
        <f ca="1"/>
        <v>0</v>
      </c>
      <c r="BY77">
        <f ca="1"/>
        <v>0</v>
      </c>
      <c r="BZ77">
        <f ca="1"/>
        <v>0</v>
      </c>
      <c r="CA77">
        <f ca="1"/>
        <v>0</v>
      </c>
      <c r="CB77">
        <f ca="1"/>
        <v>0</v>
      </c>
      <c r="CC77">
        <f ca="1"/>
        <v>0</v>
      </c>
      <c r="CD77">
        <f ca="1"/>
        <v>0</v>
      </c>
      <c r="CE77">
        <f ca="1"/>
        <v>0</v>
      </c>
      <c r="CF77">
        <f ca="1"/>
        <v>0</v>
      </c>
      <c r="CG77">
        <f ca="1"/>
        <v>0</v>
      </c>
      <c r="CH77">
        <f ca="1"/>
        <v>0</v>
      </c>
      <c r="CI77">
        <f ca="1"/>
        <v>0</v>
      </c>
      <c r="CJ77">
        <f ca="1"/>
        <v>0</v>
      </c>
      <c r="CK77">
        <f ca="1"/>
        <v>0</v>
      </c>
      <c r="CL77">
        <f ca="1"/>
        <v>0</v>
      </c>
      <c r="CM77">
        <f ca="1"/>
        <v>0</v>
      </c>
      <c r="CN77">
        <f ca="1"/>
        <v>0</v>
      </c>
      <c r="CO77">
        <f ca="1"/>
        <v>0</v>
      </c>
      <c r="CP77">
        <f ca="1"/>
        <v>0</v>
      </c>
    </row>
    <row r="78" spans="3:94" x14ac:dyDescent="0.25">
      <c r="C78" cm="1">
        <f t="array" aca="1" ref="C78:CP78" ca="1">IFERROR(TRANSPOSE(INDEX(_xlfn._xlws.FILTER(INDIRECT("SubcategoriesTable[Subcategory name]"),INDIRECT("SubcategoriesTable[Category name]")=$B78),,)),_xlfn.CONCAT("No subcategories for"," ", $B78))</f>
        <v>0</v>
      </c>
      <c r="D78">
        <f ca="1"/>
        <v>0</v>
      </c>
      <c r="E78">
        <f ca="1"/>
        <v>0</v>
      </c>
      <c r="F78">
        <f ca="1"/>
        <v>0</v>
      </c>
      <c r="G78">
        <f ca="1"/>
        <v>0</v>
      </c>
      <c r="H78">
        <f ca="1"/>
        <v>0</v>
      </c>
      <c r="I78">
        <f ca="1"/>
        <v>0</v>
      </c>
      <c r="J78">
        <f ca="1"/>
        <v>0</v>
      </c>
      <c r="K78">
        <f ca="1"/>
        <v>0</v>
      </c>
      <c r="L78">
        <f ca="1"/>
        <v>0</v>
      </c>
      <c r="M78">
        <f ca="1"/>
        <v>0</v>
      </c>
      <c r="N78">
        <f ca="1"/>
        <v>0</v>
      </c>
      <c r="O78">
        <f ca="1"/>
        <v>0</v>
      </c>
      <c r="P78">
        <f ca="1"/>
        <v>0</v>
      </c>
      <c r="Q78">
        <f ca="1"/>
        <v>0</v>
      </c>
      <c r="R78">
        <f ca="1"/>
        <v>0</v>
      </c>
      <c r="S78">
        <f ca="1"/>
        <v>0</v>
      </c>
      <c r="T78">
        <f ca="1"/>
        <v>0</v>
      </c>
      <c r="U78">
        <f ca="1"/>
        <v>0</v>
      </c>
      <c r="V78">
        <f ca="1"/>
        <v>0</v>
      </c>
      <c r="W78">
        <f ca="1"/>
        <v>0</v>
      </c>
      <c r="X78">
        <f ca="1"/>
        <v>0</v>
      </c>
      <c r="Y78">
        <f ca="1"/>
        <v>0</v>
      </c>
      <c r="Z78">
        <f ca="1"/>
        <v>0</v>
      </c>
      <c r="AA78">
        <f ca="1"/>
        <v>0</v>
      </c>
      <c r="AB78">
        <f ca="1"/>
        <v>0</v>
      </c>
      <c r="AC78">
        <f ca="1"/>
        <v>0</v>
      </c>
      <c r="AD78">
        <f ca="1"/>
        <v>0</v>
      </c>
      <c r="AE78">
        <f ca="1"/>
        <v>0</v>
      </c>
      <c r="AF78">
        <f ca="1"/>
        <v>0</v>
      </c>
      <c r="AG78">
        <f ca="1"/>
        <v>0</v>
      </c>
      <c r="AH78">
        <f ca="1"/>
        <v>0</v>
      </c>
      <c r="AI78">
        <f ca="1"/>
        <v>0</v>
      </c>
      <c r="AJ78">
        <f ca="1"/>
        <v>0</v>
      </c>
      <c r="AK78">
        <f ca="1"/>
        <v>0</v>
      </c>
      <c r="AL78">
        <f ca="1"/>
        <v>0</v>
      </c>
      <c r="AM78">
        <f ca="1"/>
        <v>0</v>
      </c>
      <c r="AN78">
        <f ca="1"/>
        <v>0</v>
      </c>
      <c r="AO78">
        <f ca="1"/>
        <v>0</v>
      </c>
      <c r="AP78">
        <f ca="1"/>
        <v>0</v>
      </c>
      <c r="AQ78">
        <f ca="1"/>
        <v>0</v>
      </c>
      <c r="AR78">
        <f ca="1"/>
        <v>0</v>
      </c>
      <c r="AS78">
        <f ca="1"/>
        <v>0</v>
      </c>
      <c r="AT78">
        <f ca="1"/>
        <v>0</v>
      </c>
      <c r="AU78">
        <f ca="1"/>
        <v>0</v>
      </c>
      <c r="AV78">
        <f ca="1"/>
        <v>0</v>
      </c>
      <c r="AW78">
        <f ca="1"/>
        <v>0</v>
      </c>
      <c r="AX78">
        <f ca="1"/>
        <v>0</v>
      </c>
      <c r="AY78">
        <f ca="1"/>
        <v>0</v>
      </c>
      <c r="AZ78">
        <f ca="1"/>
        <v>0</v>
      </c>
      <c r="BA78">
        <f ca="1"/>
        <v>0</v>
      </c>
      <c r="BB78">
        <f ca="1"/>
        <v>0</v>
      </c>
      <c r="BC78">
        <f ca="1"/>
        <v>0</v>
      </c>
      <c r="BD78">
        <f ca="1"/>
        <v>0</v>
      </c>
      <c r="BE78">
        <f ca="1"/>
        <v>0</v>
      </c>
      <c r="BF78">
        <f ca="1"/>
        <v>0</v>
      </c>
      <c r="BG78">
        <f ca="1"/>
        <v>0</v>
      </c>
      <c r="BH78">
        <f ca="1"/>
        <v>0</v>
      </c>
      <c r="BI78">
        <f ca="1"/>
        <v>0</v>
      </c>
      <c r="BJ78">
        <f ca="1"/>
        <v>0</v>
      </c>
      <c r="BK78">
        <f ca="1"/>
        <v>0</v>
      </c>
      <c r="BL78">
        <f ca="1"/>
        <v>0</v>
      </c>
      <c r="BM78">
        <f ca="1"/>
        <v>0</v>
      </c>
      <c r="BN78">
        <f ca="1"/>
        <v>0</v>
      </c>
      <c r="BO78">
        <f ca="1"/>
        <v>0</v>
      </c>
      <c r="BP78">
        <f ca="1"/>
        <v>0</v>
      </c>
      <c r="BQ78">
        <f ca="1"/>
        <v>0</v>
      </c>
      <c r="BR78">
        <f ca="1"/>
        <v>0</v>
      </c>
      <c r="BS78">
        <f ca="1"/>
        <v>0</v>
      </c>
      <c r="BT78">
        <f ca="1"/>
        <v>0</v>
      </c>
      <c r="BU78">
        <f ca="1"/>
        <v>0</v>
      </c>
      <c r="BV78">
        <f ca="1"/>
        <v>0</v>
      </c>
      <c r="BW78">
        <f ca="1"/>
        <v>0</v>
      </c>
      <c r="BX78">
        <f ca="1"/>
        <v>0</v>
      </c>
      <c r="BY78">
        <f ca="1"/>
        <v>0</v>
      </c>
      <c r="BZ78">
        <f ca="1"/>
        <v>0</v>
      </c>
      <c r="CA78">
        <f ca="1"/>
        <v>0</v>
      </c>
      <c r="CB78">
        <f ca="1"/>
        <v>0</v>
      </c>
      <c r="CC78">
        <f ca="1"/>
        <v>0</v>
      </c>
      <c r="CD78">
        <f ca="1"/>
        <v>0</v>
      </c>
      <c r="CE78">
        <f ca="1"/>
        <v>0</v>
      </c>
      <c r="CF78">
        <f ca="1"/>
        <v>0</v>
      </c>
      <c r="CG78">
        <f ca="1"/>
        <v>0</v>
      </c>
      <c r="CH78">
        <f ca="1"/>
        <v>0</v>
      </c>
      <c r="CI78">
        <f ca="1"/>
        <v>0</v>
      </c>
      <c r="CJ78">
        <f ca="1"/>
        <v>0</v>
      </c>
      <c r="CK78">
        <f ca="1"/>
        <v>0</v>
      </c>
      <c r="CL78">
        <f ca="1"/>
        <v>0</v>
      </c>
      <c r="CM78">
        <f ca="1"/>
        <v>0</v>
      </c>
      <c r="CN78">
        <f ca="1"/>
        <v>0</v>
      </c>
      <c r="CO78">
        <f ca="1"/>
        <v>0</v>
      </c>
      <c r="CP78">
        <f ca="1"/>
        <v>0</v>
      </c>
    </row>
    <row r="79" spans="3:94" x14ac:dyDescent="0.25">
      <c r="C79" cm="1">
        <f t="array" aca="1" ref="C79:CP79" ca="1">IFERROR(TRANSPOSE(INDEX(_xlfn._xlws.FILTER(INDIRECT("SubcategoriesTable[Subcategory name]"),INDIRECT("SubcategoriesTable[Category name]")=$B79),,)),_xlfn.CONCAT("No subcategories for"," ", $B79))</f>
        <v>0</v>
      </c>
      <c r="D79">
        <f ca="1"/>
        <v>0</v>
      </c>
      <c r="E79">
        <f ca="1"/>
        <v>0</v>
      </c>
      <c r="F79">
        <f ca="1"/>
        <v>0</v>
      </c>
      <c r="G79">
        <f ca="1"/>
        <v>0</v>
      </c>
      <c r="H79">
        <f ca="1"/>
        <v>0</v>
      </c>
      <c r="I79">
        <f ca="1"/>
        <v>0</v>
      </c>
      <c r="J79">
        <f ca="1"/>
        <v>0</v>
      </c>
      <c r="K79">
        <f ca="1"/>
        <v>0</v>
      </c>
      <c r="L79">
        <f ca="1"/>
        <v>0</v>
      </c>
      <c r="M79">
        <f ca="1"/>
        <v>0</v>
      </c>
      <c r="N79">
        <f ca="1"/>
        <v>0</v>
      </c>
      <c r="O79">
        <f ca="1"/>
        <v>0</v>
      </c>
      <c r="P79">
        <f ca="1"/>
        <v>0</v>
      </c>
      <c r="Q79">
        <f ca="1"/>
        <v>0</v>
      </c>
      <c r="R79">
        <f ca="1"/>
        <v>0</v>
      </c>
      <c r="S79">
        <f ca="1"/>
        <v>0</v>
      </c>
      <c r="T79">
        <f ca="1"/>
        <v>0</v>
      </c>
      <c r="U79">
        <f ca="1"/>
        <v>0</v>
      </c>
      <c r="V79">
        <f ca="1"/>
        <v>0</v>
      </c>
      <c r="W79">
        <f ca="1"/>
        <v>0</v>
      </c>
      <c r="X79">
        <f ca="1"/>
        <v>0</v>
      </c>
      <c r="Y79">
        <f ca="1"/>
        <v>0</v>
      </c>
      <c r="Z79">
        <f ca="1"/>
        <v>0</v>
      </c>
      <c r="AA79">
        <f ca="1"/>
        <v>0</v>
      </c>
      <c r="AB79">
        <f ca="1"/>
        <v>0</v>
      </c>
      <c r="AC79">
        <f ca="1"/>
        <v>0</v>
      </c>
      <c r="AD79">
        <f ca="1"/>
        <v>0</v>
      </c>
      <c r="AE79">
        <f ca="1"/>
        <v>0</v>
      </c>
      <c r="AF79">
        <f ca="1"/>
        <v>0</v>
      </c>
      <c r="AG79">
        <f ca="1"/>
        <v>0</v>
      </c>
      <c r="AH79">
        <f ca="1"/>
        <v>0</v>
      </c>
      <c r="AI79">
        <f ca="1"/>
        <v>0</v>
      </c>
      <c r="AJ79">
        <f ca="1"/>
        <v>0</v>
      </c>
      <c r="AK79">
        <f ca="1"/>
        <v>0</v>
      </c>
      <c r="AL79">
        <f ca="1"/>
        <v>0</v>
      </c>
      <c r="AM79">
        <f ca="1"/>
        <v>0</v>
      </c>
      <c r="AN79">
        <f ca="1"/>
        <v>0</v>
      </c>
      <c r="AO79">
        <f ca="1"/>
        <v>0</v>
      </c>
      <c r="AP79">
        <f ca="1"/>
        <v>0</v>
      </c>
      <c r="AQ79">
        <f ca="1"/>
        <v>0</v>
      </c>
      <c r="AR79">
        <f ca="1"/>
        <v>0</v>
      </c>
      <c r="AS79">
        <f ca="1"/>
        <v>0</v>
      </c>
      <c r="AT79">
        <f ca="1"/>
        <v>0</v>
      </c>
      <c r="AU79">
        <f ca="1"/>
        <v>0</v>
      </c>
      <c r="AV79">
        <f ca="1"/>
        <v>0</v>
      </c>
      <c r="AW79">
        <f ca="1"/>
        <v>0</v>
      </c>
      <c r="AX79">
        <f ca="1"/>
        <v>0</v>
      </c>
      <c r="AY79">
        <f ca="1"/>
        <v>0</v>
      </c>
      <c r="AZ79">
        <f ca="1"/>
        <v>0</v>
      </c>
      <c r="BA79">
        <f ca="1"/>
        <v>0</v>
      </c>
      <c r="BB79">
        <f ca="1"/>
        <v>0</v>
      </c>
      <c r="BC79">
        <f ca="1"/>
        <v>0</v>
      </c>
      <c r="BD79">
        <f ca="1"/>
        <v>0</v>
      </c>
      <c r="BE79">
        <f ca="1"/>
        <v>0</v>
      </c>
      <c r="BF79">
        <f ca="1"/>
        <v>0</v>
      </c>
      <c r="BG79">
        <f ca="1"/>
        <v>0</v>
      </c>
      <c r="BH79">
        <f ca="1"/>
        <v>0</v>
      </c>
      <c r="BI79">
        <f ca="1"/>
        <v>0</v>
      </c>
      <c r="BJ79">
        <f ca="1"/>
        <v>0</v>
      </c>
      <c r="BK79">
        <f ca="1"/>
        <v>0</v>
      </c>
      <c r="BL79">
        <f ca="1"/>
        <v>0</v>
      </c>
      <c r="BM79">
        <f ca="1"/>
        <v>0</v>
      </c>
      <c r="BN79">
        <f ca="1"/>
        <v>0</v>
      </c>
      <c r="BO79">
        <f ca="1"/>
        <v>0</v>
      </c>
      <c r="BP79">
        <f ca="1"/>
        <v>0</v>
      </c>
      <c r="BQ79">
        <f ca="1"/>
        <v>0</v>
      </c>
      <c r="BR79">
        <f ca="1"/>
        <v>0</v>
      </c>
      <c r="BS79">
        <f ca="1"/>
        <v>0</v>
      </c>
      <c r="BT79">
        <f ca="1"/>
        <v>0</v>
      </c>
      <c r="BU79">
        <f ca="1"/>
        <v>0</v>
      </c>
      <c r="BV79">
        <f ca="1"/>
        <v>0</v>
      </c>
      <c r="BW79">
        <f ca="1"/>
        <v>0</v>
      </c>
      <c r="BX79">
        <f ca="1"/>
        <v>0</v>
      </c>
      <c r="BY79">
        <f ca="1"/>
        <v>0</v>
      </c>
      <c r="BZ79">
        <f ca="1"/>
        <v>0</v>
      </c>
      <c r="CA79">
        <f ca="1"/>
        <v>0</v>
      </c>
      <c r="CB79">
        <f ca="1"/>
        <v>0</v>
      </c>
      <c r="CC79">
        <f ca="1"/>
        <v>0</v>
      </c>
      <c r="CD79">
        <f ca="1"/>
        <v>0</v>
      </c>
      <c r="CE79">
        <f ca="1"/>
        <v>0</v>
      </c>
      <c r="CF79">
        <f ca="1"/>
        <v>0</v>
      </c>
      <c r="CG79">
        <f ca="1"/>
        <v>0</v>
      </c>
      <c r="CH79">
        <f ca="1"/>
        <v>0</v>
      </c>
      <c r="CI79">
        <f ca="1"/>
        <v>0</v>
      </c>
      <c r="CJ79">
        <f ca="1"/>
        <v>0</v>
      </c>
      <c r="CK79">
        <f ca="1"/>
        <v>0</v>
      </c>
      <c r="CL79">
        <f ca="1"/>
        <v>0</v>
      </c>
      <c r="CM79">
        <f ca="1"/>
        <v>0</v>
      </c>
      <c r="CN79">
        <f ca="1"/>
        <v>0</v>
      </c>
      <c r="CO79">
        <f ca="1"/>
        <v>0</v>
      </c>
      <c r="CP79">
        <f ca="1"/>
        <v>0</v>
      </c>
    </row>
    <row r="80" spans="3:94" x14ac:dyDescent="0.25">
      <c r="C80" cm="1">
        <f t="array" aca="1" ref="C80:CP80" ca="1">IFERROR(TRANSPOSE(INDEX(_xlfn._xlws.FILTER(INDIRECT("SubcategoriesTable[Subcategory name]"),INDIRECT("SubcategoriesTable[Category name]")=$B80),,)),_xlfn.CONCAT("No subcategories for"," ", $B80))</f>
        <v>0</v>
      </c>
      <c r="D80">
        <f ca="1"/>
        <v>0</v>
      </c>
      <c r="E80">
        <f ca="1"/>
        <v>0</v>
      </c>
      <c r="F80">
        <f ca="1"/>
        <v>0</v>
      </c>
      <c r="G80">
        <f ca="1"/>
        <v>0</v>
      </c>
      <c r="H80">
        <f ca="1"/>
        <v>0</v>
      </c>
      <c r="I80">
        <f ca="1"/>
        <v>0</v>
      </c>
      <c r="J80">
        <f ca="1"/>
        <v>0</v>
      </c>
      <c r="K80">
        <f ca="1"/>
        <v>0</v>
      </c>
      <c r="L80">
        <f ca="1"/>
        <v>0</v>
      </c>
      <c r="M80">
        <f ca="1"/>
        <v>0</v>
      </c>
      <c r="N80">
        <f ca="1"/>
        <v>0</v>
      </c>
      <c r="O80">
        <f ca="1"/>
        <v>0</v>
      </c>
      <c r="P80">
        <f ca="1"/>
        <v>0</v>
      </c>
      <c r="Q80">
        <f ca="1"/>
        <v>0</v>
      </c>
      <c r="R80">
        <f ca="1"/>
        <v>0</v>
      </c>
      <c r="S80">
        <f ca="1"/>
        <v>0</v>
      </c>
      <c r="T80">
        <f ca="1"/>
        <v>0</v>
      </c>
      <c r="U80">
        <f ca="1"/>
        <v>0</v>
      </c>
      <c r="V80">
        <f ca="1"/>
        <v>0</v>
      </c>
      <c r="W80">
        <f ca="1"/>
        <v>0</v>
      </c>
      <c r="X80">
        <f ca="1"/>
        <v>0</v>
      </c>
      <c r="Y80">
        <f ca="1"/>
        <v>0</v>
      </c>
      <c r="Z80">
        <f ca="1"/>
        <v>0</v>
      </c>
      <c r="AA80">
        <f ca="1"/>
        <v>0</v>
      </c>
      <c r="AB80">
        <f ca="1"/>
        <v>0</v>
      </c>
      <c r="AC80">
        <f ca="1"/>
        <v>0</v>
      </c>
      <c r="AD80">
        <f ca="1"/>
        <v>0</v>
      </c>
      <c r="AE80">
        <f ca="1"/>
        <v>0</v>
      </c>
      <c r="AF80">
        <f ca="1"/>
        <v>0</v>
      </c>
      <c r="AG80">
        <f ca="1"/>
        <v>0</v>
      </c>
      <c r="AH80">
        <f ca="1"/>
        <v>0</v>
      </c>
      <c r="AI80">
        <f ca="1"/>
        <v>0</v>
      </c>
      <c r="AJ80">
        <f ca="1"/>
        <v>0</v>
      </c>
      <c r="AK80">
        <f ca="1"/>
        <v>0</v>
      </c>
      <c r="AL80">
        <f ca="1"/>
        <v>0</v>
      </c>
      <c r="AM80">
        <f ca="1"/>
        <v>0</v>
      </c>
      <c r="AN80">
        <f ca="1"/>
        <v>0</v>
      </c>
      <c r="AO80">
        <f ca="1"/>
        <v>0</v>
      </c>
      <c r="AP80">
        <f ca="1"/>
        <v>0</v>
      </c>
      <c r="AQ80">
        <f ca="1"/>
        <v>0</v>
      </c>
      <c r="AR80">
        <f ca="1"/>
        <v>0</v>
      </c>
      <c r="AS80">
        <f ca="1"/>
        <v>0</v>
      </c>
      <c r="AT80">
        <f ca="1"/>
        <v>0</v>
      </c>
      <c r="AU80">
        <f ca="1"/>
        <v>0</v>
      </c>
      <c r="AV80">
        <f ca="1"/>
        <v>0</v>
      </c>
      <c r="AW80">
        <f ca="1"/>
        <v>0</v>
      </c>
      <c r="AX80">
        <f ca="1"/>
        <v>0</v>
      </c>
      <c r="AY80">
        <f ca="1"/>
        <v>0</v>
      </c>
      <c r="AZ80">
        <f ca="1"/>
        <v>0</v>
      </c>
      <c r="BA80">
        <f ca="1"/>
        <v>0</v>
      </c>
      <c r="BB80">
        <f ca="1"/>
        <v>0</v>
      </c>
      <c r="BC80">
        <f ca="1"/>
        <v>0</v>
      </c>
      <c r="BD80">
        <f ca="1"/>
        <v>0</v>
      </c>
      <c r="BE80">
        <f ca="1"/>
        <v>0</v>
      </c>
      <c r="BF80">
        <f ca="1"/>
        <v>0</v>
      </c>
      <c r="BG80">
        <f ca="1"/>
        <v>0</v>
      </c>
      <c r="BH80">
        <f ca="1"/>
        <v>0</v>
      </c>
      <c r="BI80">
        <f ca="1"/>
        <v>0</v>
      </c>
      <c r="BJ80">
        <f ca="1"/>
        <v>0</v>
      </c>
      <c r="BK80">
        <f ca="1"/>
        <v>0</v>
      </c>
      <c r="BL80">
        <f ca="1"/>
        <v>0</v>
      </c>
      <c r="BM80">
        <f ca="1"/>
        <v>0</v>
      </c>
      <c r="BN80">
        <f ca="1"/>
        <v>0</v>
      </c>
      <c r="BO80">
        <f ca="1"/>
        <v>0</v>
      </c>
      <c r="BP80">
        <f ca="1"/>
        <v>0</v>
      </c>
      <c r="BQ80">
        <f ca="1"/>
        <v>0</v>
      </c>
      <c r="BR80">
        <f ca="1"/>
        <v>0</v>
      </c>
      <c r="BS80">
        <f ca="1"/>
        <v>0</v>
      </c>
      <c r="BT80">
        <f ca="1"/>
        <v>0</v>
      </c>
      <c r="BU80">
        <f ca="1"/>
        <v>0</v>
      </c>
      <c r="BV80">
        <f ca="1"/>
        <v>0</v>
      </c>
      <c r="BW80">
        <f ca="1"/>
        <v>0</v>
      </c>
      <c r="BX80">
        <f ca="1"/>
        <v>0</v>
      </c>
      <c r="BY80">
        <f ca="1"/>
        <v>0</v>
      </c>
      <c r="BZ80">
        <f ca="1"/>
        <v>0</v>
      </c>
      <c r="CA80">
        <f ca="1"/>
        <v>0</v>
      </c>
      <c r="CB80">
        <f ca="1"/>
        <v>0</v>
      </c>
      <c r="CC80">
        <f ca="1"/>
        <v>0</v>
      </c>
      <c r="CD80">
        <f ca="1"/>
        <v>0</v>
      </c>
      <c r="CE80">
        <f ca="1"/>
        <v>0</v>
      </c>
      <c r="CF80">
        <f ca="1"/>
        <v>0</v>
      </c>
      <c r="CG80">
        <f ca="1"/>
        <v>0</v>
      </c>
      <c r="CH80">
        <f ca="1"/>
        <v>0</v>
      </c>
      <c r="CI80">
        <f ca="1"/>
        <v>0</v>
      </c>
      <c r="CJ80">
        <f ca="1"/>
        <v>0</v>
      </c>
      <c r="CK80">
        <f ca="1"/>
        <v>0</v>
      </c>
      <c r="CL80">
        <f ca="1"/>
        <v>0</v>
      </c>
      <c r="CM80">
        <f ca="1"/>
        <v>0</v>
      </c>
      <c r="CN80">
        <f ca="1"/>
        <v>0</v>
      </c>
      <c r="CO80">
        <f ca="1"/>
        <v>0</v>
      </c>
      <c r="CP80">
        <f ca="1"/>
        <v>0</v>
      </c>
    </row>
    <row r="81" spans="3:94" x14ac:dyDescent="0.25">
      <c r="C81" cm="1">
        <f t="array" aca="1" ref="C81:CP81" ca="1">IFERROR(TRANSPOSE(INDEX(_xlfn._xlws.FILTER(INDIRECT("SubcategoriesTable[Subcategory name]"),INDIRECT("SubcategoriesTable[Category name]")=$B81),,)),_xlfn.CONCAT("No subcategories for"," ", $B81))</f>
        <v>0</v>
      </c>
      <c r="D81">
        <f ca="1"/>
        <v>0</v>
      </c>
      <c r="E81">
        <f ca="1"/>
        <v>0</v>
      </c>
      <c r="F81">
        <f ca="1"/>
        <v>0</v>
      </c>
      <c r="G81">
        <f ca="1"/>
        <v>0</v>
      </c>
      <c r="H81">
        <f ca="1"/>
        <v>0</v>
      </c>
      <c r="I81">
        <f ca="1"/>
        <v>0</v>
      </c>
      <c r="J81">
        <f ca="1"/>
        <v>0</v>
      </c>
      <c r="K81">
        <f ca="1"/>
        <v>0</v>
      </c>
      <c r="L81">
        <f ca="1"/>
        <v>0</v>
      </c>
      <c r="M81">
        <f ca="1"/>
        <v>0</v>
      </c>
      <c r="N81">
        <f ca="1"/>
        <v>0</v>
      </c>
      <c r="O81">
        <f ca="1"/>
        <v>0</v>
      </c>
      <c r="P81">
        <f ca="1"/>
        <v>0</v>
      </c>
      <c r="Q81">
        <f ca="1"/>
        <v>0</v>
      </c>
      <c r="R81">
        <f ca="1"/>
        <v>0</v>
      </c>
      <c r="S81">
        <f ca="1"/>
        <v>0</v>
      </c>
      <c r="T81">
        <f ca="1"/>
        <v>0</v>
      </c>
      <c r="U81">
        <f ca="1"/>
        <v>0</v>
      </c>
      <c r="V81">
        <f ca="1"/>
        <v>0</v>
      </c>
      <c r="W81">
        <f ca="1"/>
        <v>0</v>
      </c>
      <c r="X81">
        <f ca="1"/>
        <v>0</v>
      </c>
      <c r="Y81">
        <f ca="1"/>
        <v>0</v>
      </c>
      <c r="Z81">
        <f ca="1"/>
        <v>0</v>
      </c>
      <c r="AA81">
        <f ca="1"/>
        <v>0</v>
      </c>
      <c r="AB81">
        <f ca="1"/>
        <v>0</v>
      </c>
      <c r="AC81">
        <f ca="1"/>
        <v>0</v>
      </c>
      <c r="AD81">
        <f ca="1"/>
        <v>0</v>
      </c>
      <c r="AE81">
        <f ca="1"/>
        <v>0</v>
      </c>
      <c r="AF81">
        <f ca="1"/>
        <v>0</v>
      </c>
      <c r="AG81">
        <f ca="1"/>
        <v>0</v>
      </c>
      <c r="AH81">
        <f ca="1"/>
        <v>0</v>
      </c>
      <c r="AI81">
        <f ca="1"/>
        <v>0</v>
      </c>
      <c r="AJ81">
        <f ca="1"/>
        <v>0</v>
      </c>
      <c r="AK81">
        <f ca="1"/>
        <v>0</v>
      </c>
      <c r="AL81">
        <f ca="1"/>
        <v>0</v>
      </c>
      <c r="AM81">
        <f ca="1"/>
        <v>0</v>
      </c>
      <c r="AN81">
        <f ca="1"/>
        <v>0</v>
      </c>
      <c r="AO81">
        <f ca="1"/>
        <v>0</v>
      </c>
      <c r="AP81">
        <f ca="1"/>
        <v>0</v>
      </c>
      <c r="AQ81">
        <f ca="1"/>
        <v>0</v>
      </c>
      <c r="AR81">
        <f ca="1"/>
        <v>0</v>
      </c>
      <c r="AS81">
        <f ca="1"/>
        <v>0</v>
      </c>
      <c r="AT81">
        <f ca="1"/>
        <v>0</v>
      </c>
      <c r="AU81">
        <f ca="1"/>
        <v>0</v>
      </c>
      <c r="AV81">
        <f ca="1"/>
        <v>0</v>
      </c>
      <c r="AW81">
        <f ca="1"/>
        <v>0</v>
      </c>
      <c r="AX81">
        <f ca="1"/>
        <v>0</v>
      </c>
      <c r="AY81">
        <f ca="1"/>
        <v>0</v>
      </c>
      <c r="AZ81">
        <f ca="1"/>
        <v>0</v>
      </c>
      <c r="BA81">
        <f ca="1"/>
        <v>0</v>
      </c>
      <c r="BB81">
        <f ca="1"/>
        <v>0</v>
      </c>
      <c r="BC81">
        <f ca="1"/>
        <v>0</v>
      </c>
      <c r="BD81">
        <f ca="1"/>
        <v>0</v>
      </c>
      <c r="BE81">
        <f ca="1"/>
        <v>0</v>
      </c>
      <c r="BF81">
        <f ca="1"/>
        <v>0</v>
      </c>
      <c r="BG81">
        <f ca="1"/>
        <v>0</v>
      </c>
      <c r="BH81">
        <f ca="1"/>
        <v>0</v>
      </c>
      <c r="BI81">
        <f ca="1"/>
        <v>0</v>
      </c>
      <c r="BJ81">
        <f ca="1"/>
        <v>0</v>
      </c>
      <c r="BK81">
        <f ca="1"/>
        <v>0</v>
      </c>
      <c r="BL81">
        <f ca="1"/>
        <v>0</v>
      </c>
      <c r="BM81">
        <f ca="1"/>
        <v>0</v>
      </c>
      <c r="BN81">
        <f ca="1"/>
        <v>0</v>
      </c>
      <c r="BO81">
        <f ca="1"/>
        <v>0</v>
      </c>
      <c r="BP81">
        <f ca="1"/>
        <v>0</v>
      </c>
      <c r="BQ81">
        <f ca="1"/>
        <v>0</v>
      </c>
      <c r="BR81">
        <f ca="1"/>
        <v>0</v>
      </c>
      <c r="BS81">
        <f ca="1"/>
        <v>0</v>
      </c>
      <c r="BT81">
        <f ca="1"/>
        <v>0</v>
      </c>
      <c r="BU81">
        <f ca="1"/>
        <v>0</v>
      </c>
      <c r="BV81">
        <f ca="1"/>
        <v>0</v>
      </c>
      <c r="BW81">
        <f ca="1"/>
        <v>0</v>
      </c>
      <c r="BX81">
        <f ca="1"/>
        <v>0</v>
      </c>
      <c r="BY81">
        <f ca="1"/>
        <v>0</v>
      </c>
      <c r="BZ81">
        <f ca="1"/>
        <v>0</v>
      </c>
      <c r="CA81">
        <f ca="1"/>
        <v>0</v>
      </c>
      <c r="CB81">
        <f ca="1"/>
        <v>0</v>
      </c>
      <c r="CC81">
        <f ca="1"/>
        <v>0</v>
      </c>
      <c r="CD81">
        <f ca="1"/>
        <v>0</v>
      </c>
      <c r="CE81">
        <f ca="1"/>
        <v>0</v>
      </c>
      <c r="CF81">
        <f ca="1"/>
        <v>0</v>
      </c>
      <c r="CG81">
        <f ca="1"/>
        <v>0</v>
      </c>
      <c r="CH81">
        <f ca="1"/>
        <v>0</v>
      </c>
      <c r="CI81">
        <f ca="1"/>
        <v>0</v>
      </c>
      <c r="CJ81">
        <f ca="1"/>
        <v>0</v>
      </c>
      <c r="CK81">
        <f ca="1"/>
        <v>0</v>
      </c>
      <c r="CL81">
        <f ca="1"/>
        <v>0</v>
      </c>
      <c r="CM81">
        <f ca="1"/>
        <v>0</v>
      </c>
      <c r="CN81">
        <f ca="1"/>
        <v>0</v>
      </c>
      <c r="CO81">
        <f ca="1"/>
        <v>0</v>
      </c>
      <c r="CP81">
        <f ca="1"/>
        <v>0</v>
      </c>
    </row>
    <row r="82" spans="3:94" x14ac:dyDescent="0.25">
      <c r="C82" cm="1">
        <f t="array" aca="1" ref="C82:CP82" ca="1">IFERROR(TRANSPOSE(INDEX(_xlfn._xlws.FILTER(INDIRECT("SubcategoriesTable[Subcategory name]"),INDIRECT("SubcategoriesTable[Category name]")=$B82),,)),_xlfn.CONCAT("No subcategories for"," ", $B82))</f>
        <v>0</v>
      </c>
      <c r="D82">
        <f ca="1"/>
        <v>0</v>
      </c>
      <c r="E82">
        <f ca="1"/>
        <v>0</v>
      </c>
      <c r="F82">
        <f ca="1"/>
        <v>0</v>
      </c>
      <c r="G82">
        <f ca="1"/>
        <v>0</v>
      </c>
      <c r="H82">
        <f ca="1"/>
        <v>0</v>
      </c>
      <c r="I82">
        <f ca="1"/>
        <v>0</v>
      </c>
      <c r="J82">
        <f ca="1"/>
        <v>0</v>
      </c>
      <c r="K82">
        <f ca="1"/>
        <v>0</v>
      </c>
      <c r="L82">
        <f ca="1"/>
        <v>0</v>
      </c>
      <c r="M82">
        <f ca="1"/>
        <v>0</v>
      </c>
      <c r="N82">
        <f ca="1"/>
        <v>0</v>
      </c>
      <c r="O82">
        <f ca="1"/>
        <v>0</v>
      </c>
      <c r="P82">
        <f ca="1"/>
        <v>0</v>
      </c>
      <c r="Q82">
        <f ca="1"/>
        <v>0</v>
      </c>
      <c r="R82">
        <f ca="1"/>
        <v>0</v>
      </c>
      <c r="S82">
        <f ca="1"/>
        <v>0</v>
      </c>
      <c r="T82">
        <f ca="1"/>
        <v>0</v>
      </c>
      <c r="U82">
        <f ca="1"/>
        <v>0</v>
      </c>
      <c r="V82">
        <f ca="1"/>
        <v>0</v>
      </c>
      <c r="W82">
        <f ca="1"/>
        <v>0</v>
      </c>
      <c r="X82">
        <f ca="1"/>
        <v>0</v>
      </c>
      <c r="Y82">
        <f ca="1"/>
        <v>0</v>
      </c>
      <c r="Z82">
        <f ca="1"/>
        <v>0</v>
      </c>
      <c r="AA82">
        <f ca="1"/>
        <v>0</v>
      </c>
      <c r="AB82">
        <f ca="1"/>
        <v>0</v>
      </c>
      <c r="AC82">
        <f ca="1"/>
        <v>0</v>
      </c>
      <c r="AD82">
        <f ca="1"/>
        <v>0</v>
      </c>
      <c r="AE82">
        <f ca="1"/>
        <v>0</v>
      </c>
      <c r="AF82">
        <f ca="1"/>
        <v>0</v>
      </c>
      <c r="AG82">
        <f ca="1"/>
        <v>0</v>
      </c>
      <c r="AH82">
        <f ca="1"/>
        <v>0</v>
      </c>
      <c r="AI82">
        <f ca="1"/>
        <v>0</v>
      </c>
      <c r="AJ82">
        <f ca="1"/>
        <v>0</v>
      </c>
      <c r="AK82">
        <f ca="1"/>
        <v>0</v>
      </c>
      <c r="AL82">
        <f ca="1"/>
        <v>0</v>
      </c>
      <c r="AM82">
        <f ca="1"/>
        <v>0</v>
      </c>
      <c r="AN82">
        <f ca="1"/>
        <v>0</v>
      </c>
      <c r="AO82">
        <f ca="1"/>
        <v>0</v>
      </c>
      <c r="AP82">
        <f ca="1"/>
        <v>0</v>
      </c>
      <c r="AQ82">
        <f ca="1"/>
        <v>0</v>
      </c>
      <c r="AR82">
        <f ca="1"/>
        <v>0</v>
      </c>
      <c r="AS82">
        <f ca="1"/>
        <v>0</v>
      </c>
      <c r="AT82">
        <f ca="1"/>
        <v>0</v>
      </c>
      <c r="AU82">
        <f ca="1"/>
        <v>0</v>
      </c>
      <c r="AV82">
        <f ca="1"/>
        <v>0</v>
      </c>
      <c r="AW82">
        <f ca="1"/>
        <v>0</v>
      </c>
      <c r="AX82">
        <f ca="1"/>
        <v>0</v>
      </c>
      <c r="AY82">
        <f ca="1"/>
        <v>0</v>
      </c>
      <c r="AZ82">
        <f ca="1"/>
        <v>0</v>
      </c>
      <c r="BA82">
        <f ca="1"/>
        <v>0</v>
      </c>
      <c r="BB82">
        <f ca="1"/>
        <v>0</v>
      </c>
      <c r="BC82">
        <f ca="1"/>
        <v>0</v>
      </c>
      <c r="BD82">
        <f ca="1"/>
        <v>0</v>
      </c>
      <c r="BE82">
        <f ca="1"/>
        <v>0</v>
      </c>
      <c r="BF82">
        <f ca="1"/>
        <v>0</v>
      </c>
      <c r="BG82">
        <f ca="1"/>
        <v>0</v>
      </c>
      <c r="BH82">
        <f ca="1"/>
        <v>0</v>
      </c>
      <c r="BI82">
        <f ca="1"/>
        <v>0</v>
      </c>
      <c r="BJ82">
        <f ca="1"/>
        <v>0</v>
      </c>
      <c r="BK82">
        <f ca="1"/>
        <v>0</v>
      </c>
      <c r="BL82">
        <f ca="1"/>
        <v>0</v>
      </c>
      <c r="BM82">
        <f ca="1"/>
        <v>0</v>
      </c>
      <c r="BN82">
        <f ca="1"/>
        <v>0</v>
      </c>
      <c r="BO82">
        <f ca="1"/>
        <v>0</v>
      </c>
      <c r="BP82">
        <f ca="1"/>
        <v>0</v>
      </c>
      <c r="BQ82">
        <f ca="1"/>
        <v>0</v>
      </c>
      <c r="BR82">
        <f ca="1"/>
        <v>0</v>
      </c>
      <c r="BS82">
        <f ca="1"/>
        <v>0</v>
      </c>
      <c r="BT82">
        <f ca="1"/>
        <v>0</v>
      </c>
      <c r="BU82">
        <f ca="1"/>
        <v>0</v>
      </c>
      <c r="BV82">
        <f ca="1"/>
        <v>0</v>
      </c>
      <c r="BW82">
        <f ca="1"/>
        <v>0</v>
      </c>
      <c r="BX82">
        <f ca="1"/>
        <v>0</v>
      </c>
      <c r="BY82">
        <f ca="1"/>
        <v>0</v>
      </c>
      <c r="BZ82">
        <f ca="1"/>
        <v>0</v>
      </c>
      <c r="CA82">
        <f ca="1"/>
        <v>0</v>
      </c>
      <c r="CB82">
        <f ca="1"/>
        <v>0</v>
      </c>
      <c r="CC82">
        <f ca="1"/>
        <v>0</v>
      </c>
      <c r="CD82">
        <f ca="1"/>
        <v>0</v>
      </c>
      <c r="CE82">
        <f ca="1"/>
        <v>0</v>
      </c>
      <c r="CF82">
        <f ca="1"/>
        <v>0</v>
      </c>
      <c r="CG82">
        <f ca="1"/>
        <v>0</v>
      </c>
      <c r="CH82">
        <f ca="1"/>
        <v>0</v>
      </c>
      <c r="CI82">
        <f ca="1"/>
        <v>0</v>
      </c>
      <c r="CJ82">
        <f ca="1"/>
        <v>0</v>
      </c>
      <c r="CK82">
        <f ca="1"/>
        <v>0</v>
      </c>
      <c r="CL82">
        <f ca="1"/>
        <v>0</v>
      </c>
      <c r="CM82">
        <f ca="1"/>
        <v>0</v>
      </c>
      <c r="CN82">
        <f ca="1"/>
        <v>0</v>
      </c>
      <c r="CO82">
        <f ca="1"/>
        <v>0</v>
      </c>
      <c r="CP82">
        <f ca="1"/>
        <v>0</v>
      </c>
    </row>
    <row r="83" spans="3:94" x14ac:dyDescent="0.25">
      <c r="C83" cm="1">
        <f t="array" aca="1" ref="C83:CP83" ca="1">IFERROR(TRANSPOSE(INDEX(_xlfn._xlws.FILTER(INDIRECT("SubcategoriesTable[Subcategory name]"),INDIRECT("SubcategoriesTable[Category name]")=$B83),,)),_xlfn.CONCAT("No subcategories for"," ", $B83))</f>
        <v>0</v>
      </c>
      <c r="D83">
        <f ca="1"/>
        <v>0</v>
      </c>
      <c r="E83">
        <f ca="1"/>
        <v>0</v>
      </c>
      <c r="F83">
        <f ca="1"/>
        <v>0</v>
      </c>
      <c r="G83">
        <f ca="1"/>
        <v>0</v>
      </c>
      <c r="H83">
        <f ca="1"/>
        <v>0</v>
      </c>
      <c r="I83">
        <f ca="1"/>
        <v>0</v>
      </c>
      <c r="J83">
        <f ca="1"/>
        <v>0</v>
      </c>
      <c r="K83">
        <f ca="1"/>
        <v>0</v>
      </c>
      <c r="L83">
        <f ca="1"/>
        <v>0</v>
      </c>
      <c r="M83">
        <f ca="1"/>
        <v>0</v>
      </c>
      <c r="N83">
        <f ca="1"/>
        <v>0</v>
      </c>
      <c r="O83">
        <f ca="1"/>
        <v>0</v>
      </c>
      <c r="P83">
        <f ca="1"/>
        <v>0</v>
      </c>
      <c r="Q83">
        <f ca="1"/>
        <v>0</v>
      </c>
      <c r="R83">
        <f ca="1"/>
        <v>0</v>
      </c>
      <c r="S83">
        <f ca="1"/>
        <v>0</v>
      </c>
      <c r="T83">
        <f ca="1"/>
        <v>0</v>
      </c>
      <c r="U83">
        <f ca="1"/>
        <v>0</v>
      </c>
      <c r="V83">
        <f ca="1"/>
        <v>0</v>
      </c>
      <c r="W83">
        <f ca="1"/>
        <v>0</v>
      </c>
      <c r="X83">
        <f ca="1"/>
        <v>0</v>
      </c>
      <c r="Y83">
        <f ca="1"/>
        <v>0</v>
      </c>
      <c r="Z83">
        <f ca="1"/>
        <v>0</v>
      </c>
      <c r="AA83">
        <f ca="1"/>
        <v>0</v>
      </c>
      <c r="AB83">
        <f ca="1"/>
        <v>0</v>
      </c>
      <c r="AC83">
        <f ca="1"/>
        <v>0</v>
      </c>
      <c r="AD83">
        <f ca="1"/>
        <v>0</v>
      </c>
      <c r="AE83">
        <f ca="1"/>
        <v>0</v>
      </c>
      <c r="AF83">
        <f ca="1"/>
        <v>0</v>
      </c>
      <c r="AG83">
        <f ca="1"/>
        <v>0</v>
      </c>
      <c r="AH83">
        <f ca="1"/>
        <v>0</v>
      </c>
      <c r="AI83">
        <f ca="1"/>
        <v>0</v>
      </c>
      <c r="AJ83">
        <f ca="1"/>
        <v>0</v>
      </c>
      <c r="AK83">
        <f ca="1"/>
        <v>0</v>
      </c>
      <c r="AL83">
        <f ca="1"/>
        <v>0</v>
      </c>
      <c r="AM83">
        <f ca="1"/>
        <v>0</v>
      </c>
      <c r="AN83">
        <f ca="1"/>
        <v>0</v>
      </c>
      <c r="AO83">
        <f ca="1"/>
        <v>0</v>
      </c>
      <c r="AP83">
        <f ca="1"/>
        <v>0</v>
      </c>
      <c r="AQ83">
        <f ca="1"/>
        <v>0</v>
      </c>
      <c r="AR83">
        <f ca="1"/>
        <v>0</v>
      </c>
      <c r="AS83">
        <f ca="1"/>
        <v>0</v>
      </c>
      <c r="AT83">
        <f ca="1"/>
        <v>0</v>
      </c>
      <c r="AU83">
        <f ca="1"/>
        <v>0</v>
      </c>
      <c r="AV83">
        <f ca="1"/>
        <v>0</v>
      </c>
      <c r="AW83">
        <f ca="1"/>
        <v>0</v>
      </c>
      <c r="AX83">
        <f ca="1"/>
        <v>0</v>
      </c>
      <c r="AY83">
        <f ca="1"/>
        <v>0</v>
      </c>
      <c r="AZ83">
        <f ca="1"/>
        <v>0</v>
      </c>
      <c r="BA83">
        <f ca="1"/>
        <v>0</v>
      </c>
      <c r="BB83">
        <f ca="1"/>
        <v>0</v>
      </c>
      <c r="BC83">
        <f ca="1"/>
        <v>0</v>
      </c>
      <c r="BD83">
        <f ca="1"/>
        <v>0</v>
      </c>
      <c r="BE83">
        <f ca="1"/>
        <v>0</v>
      </c>
      <c r="BF83">
        <f ca="1"/>
        <v>0</v>
      </c>
      <c r="BG83">
        <f ca="1"/>
        <v>0</v>
      </c>
      <c r="BH83">
        <f ca="1"/>
        <v>0</v>
      </c>
      <c r="BI83">
        <f ca="1"/>
        <v>0</v>
      </c>
      <c r="BJ83">
        <f ca="1"/>
        <v>0</v>
      </c>
      <c r="BK83">
        <f ca="1"/>
        <v>0</v>
      </c>
      <c r="BL83">
        <f ca="1"/>
        <v>0</v>
      </c>
      <c r="BM83">
        <f ca="1"/>
        <v>0</v>
      </c>
      <c r="BN83">
        <f ca="1"/>
        <v>0</v>
      </c>
      <c r="BO83">
        <f ca="1"/>
        <v>0</v>
      </c>
      <c r="BP83">
        <f ca="1"/>
        <v>0</v>
      </c>
      <c r="BQ83">
        <f ca="1"/>
        <v>0</v>
      </c>
      <c r="BR83">
        <f ca="1"/>
        <v>0</v>
      </c>
      <c r="BS83">
        <f ca="1"/>
        <v>0</v>
      </c>
      <c r="BT83">
        <f ca="1"/>
        <v>0</v>
      </c>
      <c r="BU83">
        <f ca="1"/>
        <v>0</v>
      </c>
      <c r="BV83">
        <f ca="1"/>
        <v>0</v>
      </c>
      <c r="BW83">
        <f ca="1"/>
        <v>0</v>
      </c>
      <c r="BX83">
        <f ca="1"/>
        <v>0</v>
      </c>
      <c r="BY83">
        <f ca="1"/>
        <v>0</v>
      </c>
      <c r="BZ83">
        <f ca="1"/>
        <v>0</v>
      </c>
      <c r="CA83">
        <f ca="1"/>
        <v>0</v>
      </c>
      <c r="CB83">
        <f ca="1"/>
        <v>0</v>
      </c>
      <c r="CC83">
        <f ca="1"/>
        <v>0</v>
      </c>
      <c r="CD83">
        <f ca="1"/>
        <v>0</v>
      </c>
      <c r="CE83">
        <f ca="1"/>
        <v>0</v>
      </c>
      <c r="CF83">
        <f ca="1"/>
        <v>0</v>
      </c>
      <c r="CG83">
        <f ca="1"/>
        <v>0</v>
      </c>
      <c r="CH83">
        <f ca="1"/>
        <v>0</v>
      </c>
      <c r="CI83">
        <f ca="1"/>
        <v>0</v>
      </c>
      <c r="CJ83">
        <f ca="1"/>
        <v>0</v>
      </c>
      <c r="CK83">
        <f ca="1"/>
        <v>0</v>
      </c>
      <c r="CL83">
        <f ca="1"/>
        <v>0</v>
      </c>
      <c r="CM83">
        <f ca="1"/>
        <v>0</v>
      </c>
      <c r="CN83">
        <f ca="1"/>
        <v>0</v>
      </c>
      <c r="CO83">
        <f ca="1"/>
        <v>0</v>
      </c>
      <c r="CP83">
        <f ca="1"/>
        <v>0</v>
      </c>
    </row>
    <row r="84" spans="3:94" x14ac:dyDescent="0.25">
      <c r="C84" cm="1">
        <f t="array" aca="1" ref="C84:CP84" ca="1">IFERROR(TRANSPOSE(INDEX(_xlfn._xlws.FILTER(INDIRECT("SubcategoriesTable[Subcategory name]"),INDIRECT("SubcategoriesTable[Category name]")=$B84),,)),_xlfn.CONCAT("No subcategories for"," ", $B84))</f>
        <v>0</v>
      </c>
      <c r="D84">
        <f ca="1"/>
        <v>0</v>
      </c>
      <c r="E84">
        <f ca="1"/>
        <v>0</v>
      </c>
      <c r="F84">
        <f ca="1"/>
        <v>0</v>
      </c>
      <c r="G84">
        <f ca="1"/>
        <v>0</v>
      </c>
      <c r="H84">
        <f ca="1"/>
        <v>0</v>
      </c>
      <c r="I84">
        <f ca="1"/>
        <v>0</v>
      </c>
      <c r="J84">
        <f ca="1"/>
        <v>0</v>
      </c>
      <c r="K84">
        <f ca="1"/>
        <v>0</v>
      </c>
      <c r="L84">
        <f ca="1"/>
        <v>0</v>
      </c>
      <c r="M84">
        <f ca="1"/>
        <v>0</v>
      </c>
      <c r="N84">
        <f ca="1"/>
        <v>0</v>
      </c>
      <c r="O84">
        <f ca="1"/>
        <v>0</v>
      </c>
      <c r="P84">
        <f ca="1"/>
        <v>0</v>
      </c>
      <c r="Q84">
        <f ca="1"/>
        <v>0</v>
      </c>
      <c r="R84">
        <f ca="1"/>
        <v>0</v>
      </c>
      <c r="S84">
        <f ca="1"/>
        <v>0</v>
      </c>
      <c r="T84">
        <f ca="1"/>
        <v>0</v>
      </c>
      <c r="U84">
        <f ca="1"/>
        <v>0</v>
      </c>
      <c r="V84">
        <f ca="1"/>
        <v>0</v>
      </c>
      <c r="W84">
        <f ca="1"/>
        <v>0</v>
      </c>
      <c r="X84">
        <f ca="1"/>
        <v>0</v>
      </c>
      <c r="Y84">
        <f ca="1"/>
        <v>0</v>
      </c>
      <c r="Z84">
        <f ca="1"/>
        <v>0</v>
      </c>
      <c r="AA84">
        <f ca="1"/>
        <v>0</v>
      </c>
      <c r="AB84">
        <f ca="1"/>
        <v>0</v>
      </c>
      <c r="AC84">
        <f ca="1"/>
        <v>0</v>
      </c>
      <c r="AD84">
        <f ca="1"/>
        <v>0</v>
      </c>
      <c r="AE84">
        <f ca="1"/>
        <v>0</v>
      </c>
      <c r="AF84">
        <f ca="1"/>
        <v>0</v>
      </c>
      <c r="AG84">
        <f ca="1"/>
        <v>0</v>
      </c>
      <c r="AH84">
        <f ca="1"/>
        <v>0</v>
      </c>
      <c r="AI84">
        <f ca="1"/>
        <v>0</v>
      </c>
      <c r="AJ84">
        <f ca="1"/>
        <v>0</v>
      </c>
      <c r="AK84">
        <f ca="1"/>
        <v>0</v>
      </c>
      <c r="AL84">
        <f ca="1"/>
        <v>0</v>
      </c>
      <c r="AM84">
        <f ca="1"/>
        <v>0</v>
      </c>
      <c r="AN84">
        <f ca="1"/>
        <v>0</v>
      </c>
      <c r="AO84">
        <f ca="1"/>
        <v>0</v>
      </c>
      <c r="AP84">
        <f ca="1"/>
        <v>0</v>
      </c>
      <c r="AQ84">
        <f ca="1"/>
        <v>0</v>
      </c>
      <c r="AR84">
        <f ca="1"/>
        <v>0</v>
      </c>
      <c r="AS84">
        <f ca="1"/>
        <v>0</v>
      </c>
      <c r="AT84">
        <f ca="1"/>
        <v>0</v>
      </c>
      <c r="AU84">
        <f ca="1"/>
        <v>0</v>
      </c>
      <c r="AV84">
        <f ca="1"/>
        <v>0</v>
      </c>
      <c r="AW84">
        <f ca="1"/>
        <v>0</v>
      </c>
      <c r="AX84">
        <f ca="1"/>
        <v>0</v>
      </c>
      <c r="AY84">
        <f ca="1"/>
        <v>0</v>
      </c>
      <c r="AZ84">
        <f ca="1"/>
        <v>0</v>
      </c>
      <c r="BA84">
        <f ca="1"/>
        <v>0</v>
      </c>
      <c r="BB84">
        <f ca="1"/>
        <v>0</v>
      </c>
      <c r="BC84">
        <f ca="1"/>
        <v>0</v>
      </c>
      <c r="BD84">
        <f ca="1"/>
        <v>0</v>
      </c>
      <c r="BE84">
        <f ca="1"/>
        <v>0</v>
      </c>
      <c r="BF84">
        <f ca="1"/>
        <v>0</v>
      </c>
      <c r="BG84">
        <f ca="1"/>
        <v>0</v>
      </c>
      <c r="BH84">
        <f ca="1"/>
        <v>0</v>
      </c>
      <c r="BI84">
        <f ca="1"/>
        <v>0</v>
      </c>
      <c r="BJ84">
        <f ca="1"/>
        <v>0</v>
      </c>
      <c r="BK84">
        <f ca="1"/>
        <v>0</v>
      </c>
      <c r="BL84">
        <f ca="1"/>
        <v>0</v>
      </c>
      <c r="BM84">
        <f ca="1"/>
        <v>0</v>
      </c>
      <c r="BN84">
        <f ca="1"/>
        <v>0</v>
      </c>
      <c r="BO84">
        <f ca="1"/>
        <v>0</v>
      </c>
      <c r="BP84">
        <f ca="1"/>
        <v>0</v>
      </c>
      <c r="BQ84">
        <f ca="1"/>
        <v>0</v>
      </c>
      <c r="BR84">
        <f ca="1"/>
        <v>0</v>
      </c>
      <c r="BS84">
        <f ca="1"/>
        <v>0</v>
      </c>
      <c r="BT84">
        <f ca="1"/>
        <v>0</v>
      </c>
      <c r="BU84">
        <f ca="1"/>
        <v>0</v>
      </c>
      <c r="BV84">
        <f ca="1"/>
        <v>0</v>
      </c>
      <c r="BW84">
        <f ca="1"/>
        <v>0</v>
      </c>
      <c r="BX84">
        <f ca="1"/>
        <v>0</v>
      </c>
      <c r="BY84">
        <f ca="1"/>
        <v>0</v>
      </c>
      <c r="BZ84">
        <f ca="1"/>
        <v>0</v>
      </c>
      <c r="CA84">
        <f ca="1"/>
        <v>0</v>
      </c>
      <c r="CB84">
        <f ca="1"/>
        <v>0</v>
      </c>
      <c r="CC84">
        <f ca="1"/>
        <v>0</v>
      </c>
      <c r="CD84">
        <f ca="1"/>
        <v>0</v>
      </c>
      <c r="CE84">
        <f ca="1"/>
        <v>0</v>
      </c>
      <c r="CF84">
        <f ca="1"/>
        <v>0</v>
      </c>
      <c r="CG84">
        <f ca="1"/>
        <v>0</v>
      </c>
      <c r="CH84">
        <f ca="1"/>
        <v>0</v>
      </c>
      <c r="CI84">
        <f ca="1"/>
        <v>0</v>
      </c>
      <c r="CJ84">
        <f ca="1"/>
        <v>0</v>
      </c>
      <c r="CK84">
        <f ca="1"/>
        <v>0</v>
      </c>
      <c r="CL84">
        <f ca="1"/>
        <v>0</v>
      </c>
      <c r="CM84">
        <f ca="1"/>
        <v>0</v>
      </c>
      <c r="CN84">
        <f ca="1"/>
        <v>0</v>
      </c>
      <c r="CO84">
        <f ca="1"/>
        <v>0</v>
      </c>
      <c r="CP84">
        <f ca="1"/>
        <v>0</v>
      </c>
    </row>
    <row r="85" spans="3:94" x14ac:dyDescent="0.25">
      <c r="C85" cm="1">
        <f t="array" aca="1" ref="C85:CP85" ca="1">IFERROR(TRANSPOSE(INDEX(_xlfn._xlws.FILTER(INDIRECT("SubcategoriesTable[Subcategory name]"),INDIRECT("SubcategoriesTable[Category name]")=$B85),,)),_xlfn.CONCAT("No subcategories for"," ", $B85))</f>
        <v>0</v>
      </c>
      <c r="D85">
        <f ca="1"/>
        <v>0</v>
      </c>
      <c r="E85">
        <f ca="1"/>
        <v>0</v>
      </c>
      <c r="F85">
        <f ca="1"/>
        <v>0</v>
      </c>
      <c r="G85">
        <f ca="1"/>
        <v>0</v>
      </c>
      <c r="H85">
        <f ca="1"/>
        <v>0</v>
      </c>
      <c r="I85">
        <f ca="1"/>
        <v>0</v>
      </c>
      <c r="J85">
        <f ca="1"/>
        <v>0</v>
      </c>
      <c r="K85">
        <f ca="1"/>
        <v>0</v>
      </c>
      <c r="L85">
        <f ca="1"/>
        <v>0</v>
      </c>
      <c r="M85">
        <f ca="1"/>
        <v>0</v>
      </c>
      <c r="N85">
        <f ca="1"/>
        <v>0</v>
      </c>
      <c r="O85">
        <f ca="1"/>
        <v>0</v>
      </c>
      <c r="P85">
        <f ca="1"/>
        <v>0</v>
      </c>
      <c r="Q85">
        <f ca="1"/>
        <v>0</v>
      </c>
      <c r="R85">
        <f ca="1"/>
        <v>0</v>
      </c>
      <c r="S85">
        <f ca="1"/>
        <v>0</v>
      </c>
      <c r="T85">
        <f ca="1"/>
        <v>0</v>
      </c>
      <c r="U85">
        <f ca="1"/>
        <v>0</v>
      </c>
      <c r="V85">
        <f ca="1"/>
        <v>0</v>
      </c>
      <c r="W85">
        <f ca="1"/>
        <v>0</v>
      </c>
      <c r="X85">
        <f ca="1"/>
        <v>0</v>
      </c>
      <c r="Y85">
        <f ca="1"/>
        <v>0</v>
      </c>
      <c r="Z85">
        <f ca="1"/>
        <v>0</v>
      </c>
      <c r="AA85">
        <f ca="1"/>
        <v>0</v>
      </c>
      <c r="AB85">
        <f ca="1"/>
        <v>0</v>
      </c>
      <c r="AC85">
        <f ca="1"/>
        <v>0</v>
      </c>
      <c r="AD85">
        <f ca="1"/>
        <v>0</v>
      </c>
      <c r="AE85">
        <f ca="1"/>
        <v>0</v>
      </c>
      <c r="AF85">
        <f ca="1"/>
        <v>0</v>
      </c>
      <c r="AG85">
        <f ca="1"/>
        <v>0</v>
      </c>
      <c r="AH85">
        <f ca="1"/>
        <v>0</v>
      </c>
      <c r="AI85">
        <f ca="1"/>
        <v>0</v>
      </c>
      <c r="AJ85">
        <f ca="1"/>
        <v>0</v>
      </c>
      <c r="AK85">
        <f ca="1"/>
        <v>0</v>
      </c>
      <c r="AL85">
        <f ca="1"/>
        <v>0</v>
      </c>
      <c r="AM85">
        <f ca="1"/>
        <v>0</v>
      </c>
      <c r="AN85">
        <f ca="1"/>
        <v>0</v>
      </c>
      <c r="AO85">
        <f ca="1"/>
        <v>0</v>
      </c>
      <c r="AP85">
        <f ca="1"/>
        <v>0</v>
      </c>
      <c r="AQ85">
        <f ca="1"/>
        <v>0</v>
      </c>
      <c r="AR85">
        <f ca="1"/>
        <v>0</v>
      </c>
      <c r="AS85">
        <f ca="1"/>
        <v>0</v>
      </c>
      <c r="AT85">
        <f ca="1"/>
        <v>0</v>
      </c>
      <c r="AU85">
        <f ca="1"/>
        <v>0</v>
      </c>
      <c r="AV85">
        <f ca="1"/>
        <v>0</v>
      </c>
      <c r="AW85">
        <f ca="1"/>
        <v>0</v>
      </c>
      <c r="AX85">
        <f ca="1"/>
        <v>0</v>
      </c>
      <c r="AY85">
        <f ca="1"/>
        <v>0</v>
      </c>
      <c r="AZ85">
        <f ca="1"/>
        <v>0</v>
      </c>
      <c r="BA85">
        <f ca="1"/>
        <v>0</v>
      </c>
      <c r="BB85">
        <f ca="1"/>
        <v>0</v>
      </c>
      <c r="BC85">
        <f ca="1"/>
        <v>0</v>
      </c>
      <c r="BD85">
        <f ca="1"/>
        <v>0</v>
      </c>
      <c r="BE85">
        <f ca="1"/>
        <v>0</v>
      </c>
      <c r="BF85">
        <f ca="1"/>
        <v>0</v>
      </c>
      <c r="BG85">
        <f ca="1"/>
        <v>0</v>
      </c>
      <c r="BH85">
        <f ca="1"/>
        <v>0</v>
      </c>
      <c r="BI85">
        <f ca="1"/>
        <v>0</v>
      </c>
      <c r="BJ85">
        <f ca="1"/>
        <v>0</v>
      </c>
      <c r="BK85">
        <f ca="1"/>
        <v>0</v>
      </c>
      <c r="BL85">
        <f ca="1"/>
        <v>0</v>
      </c>
      <c r="BM85">
        <f ca="1"/>
        <v>0</v>
      </c>
      <c r="BN85">
        <f ca="1"/>
        <v>0</v>
      </c>
      <c r="BO85">
        <f ca="1"/>
        <v>0</v>
      </c>
      <c r="BP85">
        <f ca="1"/>
        <v>0</v>
      </c>
      <c r="BQ85">
        <f ca="1"/>
        <v>0</v>
      </c>
      <c r="BR85">
        <f ca="1"/>
        <v>0</v>
      </c>
      <c r="BS85">
        <f ca="1"/>
        <v>0</v>
      </c>
      <c r="BT85">
        <f ca="1"/>
        <v>0</v>
      </c>
      <c r="BU85">
        <f ca="1"/>
        <v>0</v>
      </c>
      <c r="BV85">
        <f ca="1"/>
        <v>0</v>
      </c>
      <c r="BW85">
        <f ca="1"/>
        <v>0</v>
      </c>
      <c r="BX85">
        <f ca="1"/>
        <v>0</v>
      </c>
      <c r="BY85">
        <f ca="1"/>
        <v>0</v>
      </c>
      <c r="BZ85">
        <f ca="1"/>
        <v>0</v>
      </c>
      <c r="CA85">
        <f ca="1"/>
        <v>0</v>
      </c>
      <c r="CB85">
        <f ca="1"/>
        <v>0</v>
      </c>
      <c r="CC85">
        <f ca="1"/>
        <v>0</v>
      </c>
      <c r="CD85">
        <f ca="1"/>
        <v>0</v>
      </c>
      <c r="CE85">
        <f ca="1"/>
        <v>0</v>
      </c>
      <c r="CF85">
        <f ca="1"/>
        <v>0</v>
      </c>
      <c r="CG85">
        <f ca="1"/>
        <v>0</v>
      </c>
      <c r="CH85">
        <f ca="1"/>
        <v>0</v>
      </c>
      <c r="CI85">
        <f ca="1"/>
        <v>0</v>
      </c>
      <c r="CJ85">
        <f ca="1"/>
        <v>0</v>
      </c>
      <c r="CK85">
        <f ca="1"/>
        <v>0</v>
      </c>
      <c r="CL85">
        <f ca="1"/>
        <v>0</v>
      </c>
      <c r="CM85">
        <f ca="1"/>
        <v>0</v>
      </c>
      <c r="CN85">
        <f ca="1"/>
        <v>0</v>
      </c>
      <c r="CO85">
        <f ca="1"/>
        <v>0</v>
      </c>
      <c r="CP85">
        <f ca="1"/>
        <v>0</v>
      </c>
    </row>
    <row r="86" spans="3:94" x14ac:dyDescent="0.25">
      <c r="C86" cm="1">
        <f t="array" aca="1" ref="C86:CP86" ca="1">IFERROR(TRANSPOSE(INDEX(_xlfn._xlws.FILTER(INDIRECT("SubcategoriesTable[Subcategory name]"),INDIRECT("SubcategoriesTable[Category name]")=$B86),,)),_xlfn.CONCAT("No subcategories for"," ", $B86))</f>
        <v>0</v>
      </c>
      <c r="D86">
        <f ca="1"/>
        <v>0</v>
      </c>
      <c r="E86">
        <f ca="1"/>
        <v>0</v>
      </c>
      <c r="F86">
        <f ca="1"/>
        <v>0</v>
      </c>
      <c r="G86">
        <f ca="1"/>
        <v>0</v>
      </c>
      <c r="H86">
        <f ca="1"/>
        <v>0</v>
      </c>
      <c r="I86">
        <f ca="1"/>
        <v>0</v>
      </c>
      <c r="J86">
        <f ca="1"/>
        <v>0</v>
      </c>
      <c r="K86">
        <f ca="1"/>
        <v>0</v>
      </c>
      <c r="L86">
        <f ca="1"/>
        <v>0</v>
      </c>
      <c r="M86">
        <f ca="1"/>
        <v>0</v>
      </c>
      <c r="N86">
        <f ca="1"/>
        <v>0</v>
      </c>
      <c r="O86">
        <f ca="1"/>
        <v>0</v>
      </c>
      <c r="P86">
        <f ca="1"/>
        <v>0</v>
      </c>
      <c r="Q86">
        <f ca="1"/>
        <v>0</v>
      </c>
      <c r="R86">
        <f ca="1"/>
        <v>0</v>
      </c>
      <c r="S86">
        <f ca="1"/>
        <v>0</v>
      </c>
      <c r="T86">
        <f ca="1"/>
        <v>0</v>
      </c>
      <c r="U86">
        <f ca="1"/>
        <v>0</v>
      </c>
      <c r="V86">
        <f ca="1"/>
        <v>0</v>
      </c>
      <c r="W86">
        <f ca="1"/>
        <v>0</v>
      </c>
      <c r="X86">
        <f ca="1"/>
        <v>0</v>
      </c>
      <c r="Y86">
        <f ca="1"/>
        <v>0</v>
      </c>
      <c r="Z86">
        <f ca="1"/>
        <v>0</v>
      </c>
      <c r="AA86">
        <f ca="1"/>
        <v>0</v>
      </c>
      <c r="AB86">
        <f ca="1"/>
        <v>0</v>
      </c>
      <c r="AC86">
        <f ca="1"/>
        <v>0</v>
      </c>
      <c r="AD86">
        <f ca="1"/>
        <v>0</v>
      </c>
      <c r="AE86">
        <f ca="1"/>
        <v>0</v>
      </c>
      <c r="AF86">
        <f ca="1"/>
        <v>0</v>
      </c>
      <c r="AG86">
        <f ca="1"/>
        <v>0</v>
      </c>
      <c r="AH86">
        <f ca="1"/>
        <v>0</v>
      </c>
      <c r="AI86">
        <f ca="1"/>
        <v>0</v>
      </c>
      <c r="AJ86">
        <f ca="1"/>
        <v>0</v>
      </c>
      <c r="AK86">
        <f ca="1"/>
        <v>0</v>
      </c>
      <c r="AL86">
        <f ca="1"/>
        <v>0</v>
      </c>
      <c r="AM86">
        <f ca="1"/>
        <v>0</v>
      </c>
      <c r="AN86">
        <f ca="1"/>
        <v>0</v>
      </c>
      <c r="AO86">
        <f ca="1"/>
        <v>0</v>
      </c>
      <c r="AP86">
        <f ca="1"/>
        <v>0</v>
      </c>
      <c r="AQ86">
        <f ca="1"/>
        <v>0</v>
      </c>
      <c r="AR86">
        <f ca="1"/>
        <v>0</v>
      </c>
      <c r="AS86">
        <f ca="1"/>
        <v>0</v>
      </c>
      <c r="AT86">
        <f ca="1"/>
        <v>0</v>
      </c>
      <c r="AU86">
        <f ca="1"/>
        <v>0</v>
      </c>
      <c r="AV86">
        <f ca="1"/>
        <v>0</v>
      </c>
      <c r="AW86">
        <f ca="1"/>
        <v>0</v>
      </c>
      <c r="AX86">
        <f ca="1"/>
        <v>0</v>
      </c>
      <c r="AY86">
        <f ca="1"/>
        <v>0</v>
      </c>
      <c r="AZ86">
        <f ca="1"/>
        <v>0</v>
      </c>
      <c r="BA86">
        <f ca="1"/>
        <v>0</v>
      </c>
      <c r="BB86">
        <f ca="1"/>
        <v>0</v>
      </c>
      <c r="BC86">
        <f ca="1"/>
        <v>0</v>
      </c>
      <c r="BD86">
        <f ca="1"/>
        <v>0</v>
      </c>
      <c r="BE86">
        <f ca="1"/>
        <v>0</v>
      </c>
      <c r="BF86">
        <f ca="1"/>
        <v>0</v>
      </c>
      <c r="BG86">
        <f ca="1"/>
        <v>0</v>
      </c>
      <c r="BH86">
        <f ca="1"/>
        <v>0</v>
      </c>
      <c r="BI86">
        <f ca="1"/>
        <v>0</v>
      </c>
      <c r="BJ86">
        <f ca="1"/>
        <v>0</v>
      </c>
      <c r="BK86">
        <f ca="1"/>
        <v>0</v>
      </c>
      <c r="BL86">
        <f ca="1"/>
        <v>0</v>
      </c>
      <c r="BM86">
        <f ca="1"/>
        <v>0</v>
      </c>
      <c r="BN86">
        <f ca="1"/>
        <v>0</v>
      </c>
      <c r="BO86">
        <f ca="1"/>
        <v>0</v>
      </c>
      <c r="BP86">
        <f ca="1"/>
        <v>0</v>
      </c>
      <c r="BQ86">
        <f ca="1"/>
        <v>0</v>
      </c>
      <c r="BR86">
        <f ca="1"/>
        <v>0</v>
      </c>
      <c r="BS86">
        <f ca="1"/>
        <v>0</v>
      </c>
      <c r="BT86">
        <f ca="1"/>
        <v>0</v>
      </c>
      <c r="BU86">
        <f ca="1"/>
        <v>0</v>
      </c>
      <c r="BV86">
        <f ca="1"/>
        <v>0</v>
      </c>
      <c r="BW86">
        <f ca="1"/>
        <v>0</v>
      </c>
      <c r="BX86">
        <f ca="1"/>
        <v>0</v>
      </c>
      <c r="BY86">
        <f ca="1"/>
        <v>0</v>
      </c>
      <c r="BZ86">
        <f ca="1"/>
        <v>0</v>
      </c>
      <c r="CA86">
        <f ca="1"/>
        <v>0</v>
      </c>
      <c r="CB86">
        <f ca="1"/>
        <v>0</v>
      </c>
      <c r="CC86">
        <f ca="1"/>
        <v>0</v>
      </c>
      <c r="CD86">
        <f ca="1"/>
        <v>0</v>
      </c>
      <c r="CE86">
        <f ca="1"/>
        <v>0</v>
      </c>
      <c r="CF86">
        <f ca="1"/>
        <v>0</v>
      </c>
      <c r="CG86">
        <f ca="1"/>
        <v>0</v>
      </c>
      <c r="CH86">
        <f ca="1"/>
        <v>0</v>
      </c>
      <c r="CI86">
        <f ca="1"/>
        <v>0</v>
      </c>
      <c r="CJ86">
        <f ca="1"/>
        <v>0</v>
      </c>
      <c r="CK86">
        <f ca="1"/>
        <v>0</v>
      </c>
      <c r="CL86">
        <f ca="1"/>
        <v>0</v>
      </c>
      <c r="CM86">
        <f ca="1"/>
        <v>0</v>
      </c>
      <c r="CN86">
        <f ca="1"/>
        <v>0</v>
      </c>
      <c r="CO86">
        <f ca="1"/>
        <v>0</v>
      </c>
      <c r="CP86">
        <f ca="1"/>
        <v>0</v>
      </c>
    </row>
    <row r="87" spans="3:94" x14ac:dyDescent="0.25">
      <c r="C87" cm="1">
        <f t="array" aca="1" ref="C87:CP87" ca="1">IFERROR(TRANSPOSE(INDEX(_xlfn._xlws.FILTER(INDIRECT("SubcategoriesTable[Subcategory name]"),INDIRECT("SubcategoriesTable[Category name]")=$B87),,)),_xlfn.CONCAT("No subcategories for"," ", $B87))</f>
        <v>0</v>
      </c>
      <c r="D87">
        <f ca="1"/>
        <v>0</v>
      </c>
      <c r="E87">
        <f ca="1"/>
        <v>0</v>
      </c>
      <c r="F87">
        <f ca="1"/>
        <v>0</v>
      </c>
      <c r="G87">
        <f ca="1"/>
        <v>0</v>
      </c>
      <c r="H87">
        <f ca="1"/>
        <v>0</v>
      </c>
      <c r="I87">
        <f ca="1"/>
        <v>0</v>
      </c>
      <c r="J87">
        <f ca="1"/>
        <v>0</v>
      </c>
      <c r="K87">
        <f ca="1"/>
        <v>0</v>
      </c>
      <c r="L87">
        <f ca="1"/>
        <v>0</v>
      </c>
      <c r="M87">
        <f ca="1"/>
        <v>0</v>
      </c>
      <c r="N87">
        <f ca="1"/>
        <v>0</v>
      </c>
      <c r="O87">
        <f ca="1"/>
        <v>0</v>
      </c>
      <c r="P87">
        <f ca="1"/>
        <v>0</v>
      </c>
      <c r="Q87">
        <f ca="1"/>
        <v>0</v>
      </c>
      <c r="R87">
        <f ca="1"/>
        <v>0</v>
      </c>
      <c r="S87">
        <f ca="1"/>
        <v>0</v>
      </c>
      <c r="T87">
        <f ca="1"/>
        <v>0</v>
      </c>
      <c r="U87">
        <f ca="1"/>
        <v>0</v>
      </c>
      <c r="V87">
        <f ca="1"/>
        <v>0</v>
      </c>
      <c r="W87">
        <f ca="1"/>
        <v>0</v>
      </c>
      <c r="X87">
        <f ca="1"/>
        <v>0</v>
      </c>
      <c r="Y87">
        <f ca="1"/>
        <v>0</v>
      </c>
      <c r="Z87">
        <f ca="1"/>
        <v>0</v>
      </c>
      <c r="AA87">
        <f ca="1"/>
        <v>0</v>
      </c>
      <c r="AB87">
        <f ca="1"/>
        <v>0</v>
      </c>
      <c r="AC87">
        <f ca="1"/>
        <v>0</v>
      </c>
      <c r="AD87">
        <f ca="1"/>
        <v>0</v>
      </c>
      <c r="AE87">
        <f ca="1"/>
        <v>0</v>
      </c>
      <c r="AF87">
        <f ca="1"/>
        <v>0</v>
      </c>
      <c r="AG87">
        <f ca="1"/>
        <v>0</v>
      </c>
      <c r="AH87">
        <f ca="1"/>
        <v>0</v>
      </c>
      <c r="AI87">
        <f ca="1"/>
        <v>0</v>
      </c>
      <c r="AJ87">
        <f ca="1"/>
        <v>0</v>
      </c>
      <c r="AK87">
        <f ca="1"/>
        <v>0</v>
      </c>
      <c r="AL87">
        <f ca="1"/>
        <v>0</v>
      </c>
      <c r="AM87">
        <f ca="1"/>
        <v>0</v>
      </c>
      <c r="AN87">
        <f ca="1"/>
        <v>0</v>
      </c>
      <c r="AO87">
        <f ca="1"/>
        <v>0</v>
      </c>
      <c r="AP87">
        <f ca="1"/>
        <v>0</v>
      </c>
      <c r="AQ87">
        <f ca="1"/>
        <v>0</v>
      </c>
      <c r="AR87">
        <f ca="1"/>
        <v>0</v>
      </c>
      <c r="AS87">
        <f ca="1"/>
        <v>0</v>
      </c>
      <c r="AT87">
        <f ca="1"/>
        <v>0</v>
      </c>
      <c r="AU87">
        <f ca="1"/>
        <v>0</v>
      </c>
      <c r="AV87">
        <f ca="1"/>
        <v>0</v>
      </c>
      <c r="AW87">
        <f ca="1"/>
        <v>0</v>
      </c>
      <c r="AX87">
        <f ca="1"/>
        <v>0</v>
      </c>
      <c r="AY87">
        <f ca="1"/>
        <v>0</v>
      </c>
      <c r="AZ87">
        <f ca="1"/>
        <v>0</v>
      </c>
      <c r="BA87">
        <f ca="1"/>
        <v>0</v>
      </c>
      <c r="BB87">
        <f ca="1"/>
        <v>0</v>
      </c>
      <c r="BC87">
        <f ca="1"/>
        <v>0</v>
      </c>
      <c r="BD87">
        <f ca="1"/>
        <v>0</v>
      </c>
      <c r="BE87">
        <f ca="1"/>
        <v>0</v>
      </c>
      <c r="BF87">
        <f ca="1"/>
        <v>0</v>
      </c>
      <c r="BG87">
        <f ca="1"/>
        <v>0</v>
      </c>
      <c r="BH87">
        <f ca="1"/>
        <v>0</v>
      </c>
      <c r="BI87">
        <f ca="1"/>
        <v>0</v>
      </c>
      <c r="BJ87">
        <f ca="1"/>
        <v>0</v>
      </c>
      <c r="BK87">
        <f ca="1"/>
        <v>0</v>
      </c>
      <c r="BL87">
        <f ca="1"/>
        <v>0</v>
      </c>
      <c r="BM87">
        <f ca="1"/>
        <v>0</v>
      </c>
      <c r="BN87">
        <f ca="1"/>
        <v>0</v>
      </c>
      <c r="BO87">
        <f ca="1"/>
        <v>0</v>
      </c>
      <c r="BP87">
        <f ca="1"/>
        <v>0</v>
      </c>
      <c r="BQ87">
        <f ca="1"/>
        <v>0</v>
      </c>
      <c r="BR87">
        <f ca="1"/>
        <v>0</v>
      </c>
      <c r="BS87">
        <f ca="1"/>
        <v>0</v>
      </c>
      <c r="BT87">
        <f ca="1"/>
        <v>0</v>
      </c>
      <c r="BU87">
        <f ca="1"/>
        <v>0</v>
      </c>
      <c r="BV87">
        <f ca="1"/>
        <v>0</v>
      </c>
      <c r="BW87">
        <f ca="1"/>
        <v>0</v>
      </c>
      <c r="BX87">
        <f ca="1"/>
        <v>0</v>
      </c>
      <c r="BY87">
        <f ca="1"/>
        <v>0</v>
      </c>
      <c r="BZ87">
        <f ca="1"/>
        <v>0</v>
      </c>
      <c r="CA87">
        <f ca="1"/>
        <v>0</v>
      </c>
      <c r="CB87">
        <f ca="1"/>
        <v>0</v>
      </c>
      <c r="CC87">
        <f ca="1"/>
        <v>0</v>
      </c>
      <c r="CD87">
        <f ca="1"/>
        <v>0</v>
      </c>
      <c r="CE87">
        <f ca="1"/>
        <v>0</v>
      </c>
      <c r="CF87">
        <f ca="1"/>
        <v>0</v>
      </c>
      <c r="CG87">
        <f ca="1"/>
        <v>0</v>
      </c>
      <c r="CH87">
        <f ca="1"/>
        <v>0</v>
      </c>
      <c r="CI87">
        <f ca="1"/>
        <v>0</v>
      </c>
      <c r="CJ87">
        <f ca="1"/>
        <v>0</v>
      </c>
      <c r="CK87">
        <f ca="1"/>
        <v>0</v>
      </c>
      <c r="CL87">
        <f ca="1"/>
        <v>0</v>
      </c>
      <c r="CM87">
        <f ca="1"/>
        <v>0</v>
      </c>
      <c r="CN87">
        <f ca="1"/>
        <v>0</v>
      </c>
      <c r="CO87">
        <f ca="1"/>
        <v>0</v>
      </c>
      <c r="CP87">
        <f ca="1"/>
        <v>0</v>
      </c>
    </row>
    <row r="88" spans="3:94" x14ac:dyDescent="0.25">
      <c r="C88" cm="1">
        <f t="array" aca="1" ref="C88:CP88" ca="1">IFERROR(TRANSPOSE(INDEX(_xlfn._xlws.FILTER(INDIRECT("SubcategoriesTable[Subcategory name]"),INDIRECT("SubcategoriesTable[Category name]")=$B88),,)),_xlfn.CONCAT("No subcategories for"," ", $B88))</f>
        <v>0</v>
      </c>
      <c r="D88">
        <f ca="1"/>
        <v>0</v>
      </c>
      <c r="E88">
        <f ca="1"/>
        <v>0</v>
      </c>
      <c r="F88">
        <f ca="1"/>
        <v>0</v>
      </c>
      <c r="G88">
        <f ca="1"/>
        <v>0</v>
      </c>
      <c r="H88">
        <f ca="1"/>
        <v>0</v>
      </c>
      <c r="I88">
        <f ca="1"/>
        <v>0</v>
      </c>
      <c r="J88">
        <f ca="1"/>
        <v>0</v>
      </c>
      <c r="K88">
        <f ca="1"/>
        <v>0</v>
      </c>
      <c r="L88">
        <f ca="1"/>
        <v>0</v>
      </c>
      <c r="M88">
        <f ca="1"/>
        <v>0</v>
      </c>
      <c r="N88">
        <f ca="1"/>
        <v>0</v>
      </c>
      <c r="O88">
        <f ca="1"/>
        <v>0</v>
      </c>
      <c r="P88">
        <f ca="1"/>
        <v>0</v>
      </c>
      <c r="Q88">
        <f ca="1"/>
        <v>0</v>
      </c>
      <c r="R88">
        <f ca="1"/>
        <v>0</v>
      </c>
      <c r="S88">
        <f ca="1"/>
        <v>0</v>
      </c>
      <c r="T88">
        <f ca="1"/>
        <v>0</v>
      </c>
      <c r="U88">
        <f ca="1"/>
        <v>0</v>
      </c>
      <c r="V88">
        <f ca="1"/>
        <v>0</v>
      </c>
      <c r="W88">
        <f ca="1"/>
        <v>0</v>
      </c>
      <c r="X88">
        <f ca="1"/>
        <v>0</v>
      </c>
      <c r="Y88">
        <f ca="1"/>
        <v>0</v>
      </c>
      <c r="Z88">
        <f ca="1"/>
        <v>0</v>
      </c>
      <c r="AA88">
        <f ca="1"/>
        <v>0</v>
      </c>
      <c r="AB88">
        <f ca="1"/>
        <v>0</v>
      </c>
      <c r="AC88">
        <f ca="1"/>
        <v>0</v>
      </c>
      <c r="AD88">
        <f ca="1"/>
        <v>0</v>
      </c>
      <c r="AE88">
        <f ca="1"/>
        <v>0</v>
      </c>
      <c r="AF88">
        <f ca="1"/>
        <v>0</v>
      </c>
      <c r="AG88">
        <f ca="1"/>
        <v>0</v>
      </c>
      <c r="AH88">
        <f ca="1"/>
        <v>0</v>
      </c>
      <c r="AI88">
        <f ca="1"/>
        <v>0</v>
      </c>
      <c r="AJ88">
        <f ca="1"/>
        <v>0</v>
      </c>
      <c r="AK88">
        <f ca="1"/>
        <v>0</v>
      </c>
      <c r="AL88">
        <f ca="1"/>
        <v>0</v>
      </c>
      <c r="AM88">
        <f ca="1"/>
        <v>0</v>
      </c>
      <c r="AN88">
        <f ca="1"/>
        <v>0</v>
      </c>
      <c r="AO88">
        <f ca="1"/>
        <v>0</v>
      </c>
      <c r="AP88">
        <f ca="1"/>
        <v>0</v>
      </c>
      <c r="AQ88">
        <f ca="1"/>
        <v>0</v>
      </c>
      <c r="AR88">
        <f ca="1"/>
        <v>0</v>
      </c>
      <c r="AS88">
        <f ca="1"/>
        <v>0</v>
      </c>
      <c r="AT88">
        <f ca="1"/>
        <v>0</v>
      </c>
      <c r="AU88">
        <f ca="1"/>
        <v>0</v>
      </c>
      <c r="AV88">
        <f ca="1"/>
        <v>0</v>
      </c>
      <c r="AW88">
        <f ca="1"/>
        <v>0</v>
      </c>
      <c r="AX88">
        <f ca="1"/>
        <v>0</v>
      </c>
      <c r="AY88">
        <f ca="1"/>
        <v>0</v>
      </c>
      <c r="AZ88">
        <f ca="1"/>
        <v>0</v>
      </c>
      <c r="BA88">
        <f ca="1"/>
        <v>0</v>
      </c>
      <c r="BB88">
        <f ca="1"/>
        <v>0</v>
      </c>
      <c r="BC88">
        <f ca="1"/>
        <v>0</v>
      </c>
      <c r="BD88">
        <f ca="1"/>
        <v>0</v>
      </c>
      <c r="BE88">
        <f ca="1"/>
        <v>0</v>
      </c>
      <c r="BF88">
        <f ca="1"/>
        <v>0</v>
      </c>
      <c r="BG88">
        <f ca="1"/>
        <v>0</v>
      </c>
      <c r="BH88">
        <f ca="1"/>
        <v>0</v>
      </c>
      <c r="BI88">
        <f ca="1"/>
        <v>0</v>
      </c>
      <c r="BJ88">
        <f ca="1"/>
        <v>0</v>
      </c>
      <c r="BK88">
        <f ca="1"/>
        <v>0</v>
      </c>
      <c r="BL88">
        <f ca="1"/>
        <v>0</v>
      </c>
      <c r="BM88">
        <f ca="1"/>
        <v>0</v>
      </c>
      <c r="BN88">
        <f ca="1"/>
        <v>0</v>
      </c>
      <c r="BO88">
        <f ca="1"/>
        <v>0</v>
      </c>
      <c r="BP88">
        <f ca="1"/>
        <v>0</v>
      </c>
      <c r="BQ88">
        <f ca="1"/>
        <v>0</v>
      </c>
      <c r="BR88">
        <f ca="1"/>
        <v>0</v>
      </c>
      <c r="BS88">
        <f ca="1"/>
        <v>0</v>
      </c>
      <c r="BT88">
        <f ca="1"/>
        <v>0</v>
      </c>
      <c r="BU88">
        <f ca="1"/>
        <v>0</v>
      </c>
      <c r="BV88">
        <f ca="1"/>
        <v>0</v>
      </c>
      <c r="BW88">
        <f ca="1"/>
        <v>0</v>
      </c>
      <c r="BX88">
        <f ca="1"/>
        <v>0</v>
      </c>
      <c r="BY88">
        <f ca="1"/>
        <v>0</v>
      </c>
      <c r="BZ88">
        <f ca="1"/>
        <v>0</v>
      </c>
      <c r="CA88">
        <f ca="1"/>
        <v>0</v>
      </c>
      <c r="CB88">
        <f ca="1"/>
        <v>0</v>
      </c>
      <c r="CC88">
        <f ca="1"/>
        <v>0</v>
      </c>
      <c r="CD88">
        <f ca="1"/>
        <v>0</v>
      </c>
      <c r="CE88">
        <f ca="1"/>
        <v>0</v>
      </c>
      <c r="CF88">
        <f ca="1"/>
        <v>0</v>
      </c>
      <c r="CG88">
        <f ca="1"/>
        <v>0</v>
      </c>
      <c r="CH88">
        <f ca="1"/>
        <v>0</v>
      </c>
      <c r="CI88">
        <f ca="1"/>
        <v>0</v>
      </c>
      <c r="CJ88">
        <f ca="1"/>
        <v>0</v>
      </c>
      <c r="CK88">
        <f ca="1"/>
        <v>0</v>
      </c>
      <c r="CL88">
        <f ca="1"/>
        <v>0</v>
      </c>
      <c r="CM88">
        <f ca="1"/>
        <v>0</v>
      </c>
      <c r="CN88">
        <f ca="1"/>
        <v>0</v>
      </c>
      <c r="CO88">
        <f ca="1"/>
        <v>0</v>
      </c>
      <c r="CP88">
        <f ca="1"/>
        <v>0</v>
      </c>
    </row>
    <row r="89" spans="3:94" x14ac:dyDescent="0.25">
      <c r="C89" cm="1">
        <f t="array" aca="1" ref="C89:CP89" ca="1">IFERROR(TRANSPOSE(INDEX(_xlfn._xlws.FILTER(INDIRECT("SubcategoriesTable[Subcategory name]"),INDIRECT("SubcategoriesTable[Category name]")=$B89),,)),_xlfn.CONCAT("No subcategories for"," ", $B89))</f>
        <v>0</v>
      </c>
      <c r="D89">
        <f ca="1"/>
        <v>0</v>
      </c>
      <c r="E89">
        <f ca="1"/>
        <v>0</v>
      </c>
      <c r="F89">
        <f ca="1"/>
        <v>0</v>
      </c>
      <c r="G89">
        <f ca="1"/>
        <v>0</v>
      </c>
      <c r="H89">
        <f ca="1"/>
        <v>0</v>
      </c>
      <c r="I89">
        <f ca="1"/>
        <v>0</v>
      </c>
      <c r="J89">
        <f ca="1"/>
        <v>0</v>
      </c>
      <c r="K89">
        <f ca="1"/>
        <v>0</v>
      </c>
      <c r="L89">
        <f ca="1"/>
        <v>0</v>
      </c>
      <c r="M89">
        <f ca="1"/>
        <v>0</v>
      </c>
      <c r="N89">
        <f ca="1"/>
        <v>0</v>
      </c>
      <c r="O89">
        <f ca="1"/>
        <v>0</v>
      </c>
      <c r="P89">
        <f ca="1"/>
        <v>0</v>
      </c>
      <c r="Q89">
        <f ca="1"/>
        <v>0</v>
      </c>
      <c r="R89">
        <f ca="1"/>
        <v>0</v>
      </c>
      <c r="S89">
        <f ca="1"/>
        <v>0</v>
      </c>
      <c r="T89">
        <f ca="1"/>
        <v>0</v>
      </c>
      <c r="U89">
        <f ca="1"/>
        <v>0</v>
      </c>
      <c r="V89">
        <f ca="1"/>
        <v>0</v>
      </c>
      <c r="W89">
        <f ca="1"/>
        <v>0</v>
      </c>
      <c r="X89">
        <f ca="1"/>
        <v>0</v>
      </c>
      <c r="Y89">
        <f ca="1"/>
        <v>0</v>
      </c>
      <c r="Z89">
        <f ca="1"/>
        <v>0</v>
      </c>
      <c r="AA89">
        <f ca="1"/>
        <v>0</v>
      </c>
      <c r="AB89">
        <f ca="1"/>
        <v>0</v>
      </c>
      <c r="AC89">
        <f ca="1"/>
        <v>0</v>
      </c>
      <c r="AD89">
        <f ca="1"/>
        <v>0</v>
      </c>
      <c r="AE89">
        <f ca="1"/>
        <v>0</v>
      </c>
      <c r="AF89">
        <f ca="1"/>
        <v>0</v>
      </c>
      <c r="AG89">
        <f ca="1"/>
        <v>0</v>
      </c>
      <c r="AH89">
        <f ca="1"/>
        <v>0</v>
      </c>
      <c r="AI89">
        <f ca="1"/>
        <v>0</v>
      </c>
      <c r="AJ89">
        <f ca="1"/>
        <v>0</v>
      </c>
      <c r="AK89">
        <f ca="1"/>
        <v>0</v>
      </c>
      <c r="AL89">
        <f ca="1"/>
        <v>0</v>
      </c>
      <c r="AM89">
        <f ca="1"/>
        <v>0</v>
      </c>
      <c r="AN89">
        <f ca="1"/>
        <v>0</v>
      </c>
      <c r="AO89">
        <f ca="1"/>
        <v>0</v>
      </c>
      <c r="AP89">
        <f ca="1"/>
        <v>0</v>
      </c>
      <c r="AQ89">
        <f ca="1"/>
        <v>0</v>
      </c>
      <c r="AR89">
        <f ca="1"/>
        <v>0</v>
      </c>
      <c r="AS89">
        <f ca="1"/>
        <v>0</v>
      </c>
      <c r="AT89">
        <f ca="1"/>
        <v>0</v>
      </c>
      <c r="AU89">
        <f ca="1"/>
        <v>0</v>
      </c>
      <c r="AV89">
        <f ca="1"/>
        <v>0</v>
      </c>
      <c r="AW89">
        <f ca="1"/>
        <v>0</v>
      </c>
      <c r="AX89">
        <f ca="1"/>
        <v>0</v>
      </c>
      <c r="AY89">
        <f ca="1"/>
        <v>0</v>
      </c>
      <c r="AZ89">
        <f ca="1"/>
        <v>0</v>
      </c>
      <c r="BA89">
        <f ca="1"/>
        <v>0</v>
      </c>
      <c r="BB89">
        <f ca="1"/>
        <v>0</v>
      </c>
      <c r="BC89">
        <f ca="1"/>
        <v>0</v>
      </c>
      <c r="BD89">
        <f ca="1"/>
        <v>0</v>
      </c>
      <c r="BE89">
        <f ca="1"/>
        <v>0</v>
      </c>
      <c r="BF89">
        <f ca="1"/>
        <v>0</v>
      </c>
      <c r="BG89">
        <f ca="1"/>
        <v>0</v>
      </c>
      <c r="BH89">
        <f ca="1"/>
        <v>0</v>
      </c>
      <c r="BI89">
        <f ca="1"/>
        <v>0</v>
      </c>
      <c r="BJ89">
        <f ca="1"/>
        <v>0</v>
      </c>
      <c r="BK89">
        <f ca="1"/>
        <v>0</v>
      </c>
      <c r="BL89">
        <f ca="1"/>
        <v>0</v>
      </c>
      <c r="BM89">
        <f ca="1"/>
        <v>0</v>
      </c>
      <c r="BN89">
        <f ca="1"/>
        <v>0</v>
      </c>
      <c r="BO89">
        <f ca="1"/>
        <v>0</v>
      </c>
      <c r="BP89">
        <f ca="1"/>
        <v>0</v>
      </c>
      <c r="BQ89">
        <f ca="1"/>
        <v>0</v>
      </c>
      <c r="BR89">
        <f ca="1"/>
        <v>0</v>
      </c>
      <c r="BS89">
        <f ca="1"/>
        <v>0</v>
      </c>
      <c r="BT89">
        <f ca="1"/>
        <v>0</v>
      </c>
      <c r="BU89">
        <f ca="1"/>
        <v>0</v>
      </c>
      <c r="BV89">
        <f ca="1"/>
        <v>0</v>
      </c>
      <c r="BW89">
        <f ca="1"/>
        <v>0</v>
      </c>
      <c r="BX89">
        <f ca="1"/>
        <v>0</v>
      </c>
      <c r="BY89">
        <f ca="1"/>
        <v>0</v>
      </c>
      <c r="BZ89">
        <f ca="1"/>
        <v>0</v>
      </c>
      <c r="CA89">
        <f ca="1"/>
        <v>0</v>
      </c>
      <c r="CB89">
        <f ca="1"/>
        <v>0</v>
      </c>
      <c r="CC89">
        <f ca="1"/>
        <v>0</v>
      </c>
      <c r="CD89">
        <f ca="1"/>
        <v>0</v>
      </c>
      <c r="CE89">
        <f ca="1"/>
        <v>0</v>
      </c>
      <c r="CF89">
        <f ca="1"/>
        <v>0</v>
      </c>
      <c r="CG89">
        <f ca="1"/>
        <v>0</v>
      </c>
      <c r="CH89">
        <f ca="1"/>
        <v>0</v>
      </c>
      <c r="CI89">
        <f ca="1"/>
        <v>0</v>
      </c>
      <c r="CJ89">
        <f ca="1"/>
        <v>0</v>
      </c>
      <c r="CK89">
        <f ca="1"/>
        <v>0</v>
      </c>
      <c r="CL89">
        <f ca="1"/>
        <v>0</v>
      </c>
      <c r="CM89">
        <f ca="1"/>
        <v>0</v>
      </c>
      <c r="CN89">
        <f ca="1"/>
        <v>0</v>
      </c>
      <c r="CO89">
        <f ca="1"/>
        <v>0</v>
      </c>
      <c r="CP89">
        <f ca="1"/>
        <v>0</v>
      </c>
    </row>
    <row r="90" spans="3:94" x14ac:dyDescent="0.25">
      <c r="C90" cm="1">
        <f t="array" aca="1" ref="C90:CP90" ca="1">IFERROR(TRANSPOSE(INDEX(_xlfn._xlws.FILTER(INDIRECT("SubcategoriesTable[Subcategory name]"),INDIRECT("SubcategoriesTable[Category name]")=$B90),,)),_xlfn.CONCAT("No subcategories for"," ", $B90))</f>
        <v>0</v>
      </c>
      <c r="D90">
        <f ca="1"/>
        <v>0</v>
      </c>
      <c r="E90">
        <f ca="1"/>
        <v>0</v>
      </c>
      <c r="F90">
        <f ca="1"/>
        <v>0</v>
      </c>
      <c r="G90">
        <f ca="1"/>
        <v>0</v>
      </c>
      <c r="H90">
        <f ca="1"/>
        <v>0</v>
      </c>
      <c r="I90">
        <f ca="1"/>
        <v>0</v>
      </c>
      <c r="J90">
        <f ca="1"/>
        <v>0</v>
      </c>
      <c r="K90">
        <f ca="1"/>
        <v>0</v>
      </c>
      <c r="L90">
        <f ca="1"/>
        <v>0</v>
      </c>
      <c r="M90">
        <f ca="1"/>
        <v>0</v>
      </c>
      <c r="N90">
        <f ca="1"/>
        <v>0</v>
      </c>
      <c r="O90">
        <f ca="1"/>
        <v>0</v>
      </c>
      <c r="P90">
        <f ca="1"/>
        <v>0</v>
      </c>
      <c r="Q90">
        <f ca="1"/>
        <v>0</v>
      </c>
      <c r="R90">
        <f ca="1"/>
        <v>0</v>
      </c>
      <c r="S90">
        <f ca="1"/>
        <v>0</v>
      </c>
      <c r="T90">
        <f ca="1"/>
        <v>0</v>
      </c>
      <c r="U90">
        <f ca="1"/>
        <v>0</v>
      </c>
      <c r="V90">
        <f ca="1"/>
        <v>0</v>
      </c>
      <c r="W90">
        <f ca="1"/>
        <v>0</v>
      </c>
      <c r="X90">
        <f ca="1"/>
        <v>0</v>
      </c>
      <c r="Y90">
        <f ca="1"/>
        <v>0</v>
      </c>
      <c r="Z90">
        <f ca="1"/>
        <v>0</v>
      </c>
      <c r="AA90">
        <f ca="1"/>
        <v>0</v>
      </c>
      <c r="AB90">
        <f ca="1"/>
        <v>0</v>
      </c>
      <c r="AC90">
        <f ca="1"/>
        <v>0</v>
      </c>
      <c r="AD90">
        <f ca="1"/>
        <v>0</v>
      </c>
      <c r="AE90">
        <f ca="1"/>
        <v>0</v>
      </c>
      <c r="AF90">
        <f ca="1"/>
        <v>0</v>
      </c>
      <c r="AG90">
        <f ca="1"/>
        <v>0</v>
      </c>
      <c r="AH90">
        <f ca="1"/>
        <v>0</v>
      </c>
      <c r="AI90">
        <f ca="1"/>
        <v>0</v>
      </c>
      <c r="AJ90">
        <f ca="1"/>
        <v>0</v>
      </c>
      <c r="AK90">
        <f ca="1"/>
        <v>0</v>
      </c>
      <c r="AL90">
        <f ca="1"/>
        <v>0</v>
      </c>
      <c r="AM90">
        <f ca="1"/>
        <v>0</v>
      </c>
      <c r="AN90">
        <f ca="1"/>
        <v>0</v>
      </c>
      <c r="AO90">
        <f ca="1"/>
        <v>0</v>
      </c>
      <c r="AP90">
        <f ca="1"/>
        <v>0</v>
      </c>
      <c r="AQ90">
        <f ca="1"/>
        <v>0</v>
      </c>
      <c r="AR90">
        <f ca="1"/>
        <v>0</v>
      </c>
      <c r="AS90">
        <f ca="1"/>
        <v>0</v>
      </c>
      <c r="AT90">
        <f ca="1"/>
        <v>0</v>
      </c>
      <c r="AU90">
        <f ca="1"/>
        <v>0</v>
      </c>
      <c r="AV90">
        <f ca="1"/>
        <v>0</v>
      </c>
      <c r="AW90">
        <f ca="1"/>
        <v>0</v>
      </c>
      <c r="AX90">
        <f ca="1"/>
        <v>0</v>
      </c>
      <c r="AY90">
        <f ca="1"/>
        <v>0</v>
      </c>
      <c r="AZ90">
        <f ca="1"/>
        <v>0</v>
      </c>
      <c r="BA90">
        <f ca="1"/>
        <v>0</v>
      </c>
      <c r="BB90">
        <f ca="1"/>
        <v>0</v>
      </c>
      <c r="BC90">
        <f ca="1"/>
        <v>0</v>
      </c>
      <c r="BD90">
        <f ca="1"/>
        <v>0</v>
      </c>
      <c r="BE90">
        <f ca="1"/>
        <v>0</v>
      </c>
      <c r="BF90">
        <f ca="1"/>
        <v>0</v>
      </c>
      <c r="BG90">
        <f ca="1"/>
        <v>0</v>
      </c>
      <c r="BH90">
        <f ca="1"/>
        <v>0</v>
      </c>
      <c r="BI90">
        <f ca="1"/>
        <v>0</v>
      </c>
      <c r="BJ90">
        <f ca="1"/>
        <v>0</v>
      </c>
      <c r="BK90">
        <f ca="1"/>
        <v>0</v>
      </c>
      <c r="BL90">
        <f ca="1"/>
        <v>0</v>
      </c>
      <c r="BM90">
        <f ca="1"/>
        <v>0</v>
      </c>
      <c r="BN90">
        <f ca="1"/>
        <v>0</v>
      </c>
      <c r="BO90">
        <f ca="1"/>
        <v>0</v>
      </c>
      <c r="BP90">
        <f ca="1"/>
        <v>0</v>
      </c>
      <c r="BQ90">
        <f ca="1"/>
        <v>0</v>
      </c>
      <c r="BR90">
        <f ca="1"/>
        <v>0</v>
      </c>
      <c r="BS90">
        <f ca="1"/>
        <v>0</v>
      </c>
      <c r="BT90">
        <f ca="1"/>
        <v>0</v>
      </c>
      <c r="BU90">
        <f ca="1"/>
        <v>0</v>
      </c>
      <c r="BV90">
        <f ca="1"/>
        <v>0</v>
      </c>
      <c r="BW90">
        <f ca="1"/>
        <v>0</v>
      </c>
      <c r="BX90">
        <f ca="1"/>
        <v>0</v>
      </c>
      <c r="BY90">
        <f ca="1"/>
        <v>0</v>
      </c>
      <c r="BZ90">
        <f ca="1"/>
        <v>0</v>
      </c>
      <c r="CA90">
        <f ca="1"/>
        <v>0</v>
      </c>
      <c r="CB90">
        <f ca="1"/>
        <v>0</v>
      </c>
      <c r="CC90">
        <f ca="1"/>
        <v>0</v>
      </c>
      <c r="CD90">
        <f ca="1"/>
        <v>0</v>
      </c>
      <c r="CE90">
        <f ca="1"/>
        <v>0</v>
      </c>
      <c r="CF90">
        <f ca="1"/>
        <v>0</v>
      </c>
      <c r="CG90">
        <f ca="1"/>
        <v>0</v>
      </c>
      <c r="CH90">
        <f ca="1"/>
        <v>0</v>
      </c>
      <c r="CI90">
        <f ca="1"/>
        <v>0</v>
      </c>
      <c r="CJ90">
        <f ca="1"/>
        <v>0</v>
      </c>
      <c r="CK90">
        <f ca="1"/>
        <v>0</v>
      </c>
      <c r="CL90">
        <f ca="1"/>
        <v>0</v>
      </c>
      <c r="CM90">
        <f ca="1"/>
        <v>0</v>
      </c>
      <c r="CN90">
        <f ca="1"/>
        <v>0</v>
      </c>
      <c r="CO90">
        <f ca="1"/>
        <v>0</v>
      </c>
      <c r="CP90">
        <f ca="1"/>
        <v>0</v>
      </c>
    </row>
    <row r="91" spans="3:94" x14ac:dyDescent="0.25">
      <c r="C91" cm="1">
        <f t="array" aca="1" ref="C91:CP91" ca="1">IFERROR(TRANSPOSE(INDEX(_xlfn._xlws.FILTER(INDIRECT("SubcategoriesTable[Subcategory name]"),INDIRECT("SubcategoriesTable[Category name]")=$B91),,)),_xlfn.CONCAT("No subcategories for"," ", $B91))</f>
        <v>0</v>
      </c>
      <c r="D91">
        <f ca="1"/>
        <v>0</v>
      </c>
      <c r="E91">
        <f ca="1"/>
        <v>0</v>
      </c>
      <c r="F91">
        <f ca="1"/>
        <v>0</v>
      </c>
      <c r="G91">
        <f ca="1"/>
        <v>0</v>
      </c>
      <c r="H91">
        <f ca="1"/>
        <v>0</v>
      </c>
      <c r="I91">
        <f ca="1"/>
        <v>0</v>
      </c>
      <c r="J91">
        <f ca="1"/>
        <v>0</v>
      </c>
      <c r="K91">
        <f ca="1"/>
        <v>0</v>
      </c>
      <c r="L91">
        <f ca="1"/>
        <v>0</v>
      </c>
      <c r="M91">
        <f ca="1"/>
        <v>0</v>
      </c>
      <c r="N91">
        <f ca="1"/>
        <v>0</v>
      </c>
      <c r="O91">
        <f ca="1"/>
        <v>0</v>
      </c>
      <c r="P91">
        <f ca="1"/>
        <v>0</v>
      </c>
      <c r="Q91">
        <f ca="1"/>
        <v>0</v>
      </c>
      <c r="R91">
        <f ca="1"/>
        <v>0</v>
      </c>
      <c r="S91">
        <f ca="1"/>
        <v>0</v>
      </c>
      <c r="T91">
        <f ca="1"/>
        <v>0</v>
      </c>
      <c r="U91">
        <f ca="1"/>
        <v>0</v>
      </c>
      <c r="V91">
        <f ca="1"/>
        <v>0</v>
      </c>
      <c r="W91">
        <f ca="1"/>
        <v>0</v>
      </c>
      <c r="X91">
        <f ca="1"/>
        <v>0</v>
      </c>
      <c r="Y91">
        <f ca="1"/>
        <v>0</v>
      </c>
      <c r="Z91">
        <f ca="1"/>
        <v>0</v>
      </c>
      <c r="AA91">
        <f ca="1"/>
        <v>0</v>
      </c>
      <c r="AB91">
        <f ca="1"/>
        <v>0</v>
      </c>
      <c r="AC91">
        <f ca="1"/>
        <v>0</v>
      </c>
      <c r="AD91">
        <f ca="1"/>
        <v>0</v>
      </c>
      <c r="AE91">
        <f ca="1"/>
        <v>0</v>
      </c>
      <c r="AF91">
        <f ca="1"/>
        <v>0</v>
      </c>
      <c r="AG91">
        <f ca="1"/>
        <v>0</v>
      </c>
      <c r="AH91">
        <f ca="1"/>
        <v>0</v>
      </c>
      <c r="AI91">
        <f ca="1"/>
        <v>0</v>
      </c>
      <c r="AJ91">
        <f ca="1"/>
        <v>0</v>
      </c>
      <c r="AK91">
        <f ca="1"/>
        <v>0</v>
      </c>
      <c r="AL91">
        <f ca="1"/>
        <v>0</v>
      </c>
      <c r="AM91">
        <f ca="1"/>
        <v>0</v>
      </c>
      <c r="AN91">
        <f ca="1"/>
        <v>0</v>
      </c>
      <c r="AO91">
        <f ca="1"/>
        <v>0</v>
      </c>
      <c r="AP91">
        <f ca="1"/>
        <v>0</v>
      </c>
      <c r="AQ91">
        <f ca="1"/>
        <v>0</v>
      </c>
      <c r="AR91">
        <f ca="1"/>
        <v>0</v>
      </c>
      <c r="AS91">
        <f ca="1"/>
        <v>0</v>
      </c>
      <c r="AT91">
        <f ca="1"/>
        <v>0</v>
      </c>
      <c r="AU91">
        <f ca="1"/>
        <v>0</v>
      </c>
      <c r="AV91">
        <f ca="1"/>
        <v>0</v>
      </c>
      <c r="AW91">
        <f ca="1"/>
        <v>0</v>
      </c>
      <c r="AX91">
        <f ca="1"/>
        <v>0</v>
      </c>
      <c r="AY91">
        <f ca="1"/>
        <v>0</v>
      </c>
      <c r="AZ91">
        <f ca="1"/>
        <v>0</v>
      </c>
      <c r="BA91">
        <f ca="1"/>
        <v>0</v>
      </c>
      <c r="BB91">
        <f ca="1"/>
        <v>0</v>
      </c>
      <c r="BC91">
        <f ca="1"/>
        <v>0</v>
      </c>
      <c r="BD91">
        <f ca="1"/>
        <v>0</v>
      </c>
      <c r="BE91">
        <f ca="1"/>
        <v>0</v>
      </c>
      <c r="BF91">
        <f ca="1"/>
        <v>0</v>
      </c>
      <c r="BG91">
        <f ca="1"/>
        <v>0</v>
      </c>
      <c r="BH91">
        <f ca="1"/>
        <v>0</v>
      </c>
      <c r="BI91">
        <f ca="1"/>
        <v>0</v>
      </c>
      <c r="BJ91">
        <f ca="1"/>
        <v>0</v>
      </c>
      <c r="BK91">
        <f ca="1"/>
        <v>0</v>
      </c>
      <c r="BL91">
        <f ca="1"/>
        <v>0</v>
      </c>
      <c r="BM91">
        <f ca="1"/>
        <v>0</v>
      </c>
      <c r="BN91">
        <f ca="1"/>
        <v>0</v>
      </c>
      <c r="BO91">
        <f ca="1"/>
        <v>0</v>
      </c>
      <c r="BP91">
        <f ca="1"/>
        <v>0</v>
      </c>
      <c r="BQ91">
        <f ca="1"/>
        <v>0</v>
      </c>
      <c r="BR91">
        <f ca="1"/>
        <v>0</v>
      </c>
      <c r="BS91">
        <f ca="1"/>
        <v>0</v>
      </c>
      <c r="BT91">
        <f ca="1"/>
        <v>0</v>
      </c>
      <c r="BU91">
        <f ca="1"/>
        <v>0</v>
      </c>
      <c r="BV91">
        <f ca="1"/>
        <v>0</v>
      </c>
      <c r="BW91">
        <f ca="1"/>
        <v>0</v>
      </c>
      <c r="BX91">
        <f ca="1"/>
        <v>0</v>
      </c>
      <c r="BY91">
        <f ca="1"/>
        <v>0</v>
      </c>
      <c r="BZ91">
        <f ca="1"/>
        <v>0</v>
      </c>
      <c r="CA91">
        <f ca="1"/>
        <v>0</v>
      </c>
      <c r="CB91">
        <f ca="1"/>
        <v>0</v>
      </c>
      <c r="CC91">
        <f ca="1"/>
        <v>0</v>
      </c>
      <c r="CD91">
        <f ca="1"/>
        <v>0</v>
      </c>
      <c r="CE91">
        <f ca="1"/>
        <v>0</v>
      </c>
      <c r="CF91">
        <f ca="1"/>
        <v>0</v>
      </c>
      <c r="CG91">
        <f ca="1"/>
        <v>0</v>
      </c>
      <c r="CH91">
        <f ca="1"/>
        <v>0</v>
      </c>
      <c r="CI91">
        <f ca="1"/>
        <v>0</v>
      </c>
      <c r="CJ91">
        <f ca="1"/>
        <v>0</v>
      </c>
      <c r="CK91">
        <f ca="1"/>
        <v>0</v>
      </c>
      <c r="CL91">
        <f ca="1"/>
        <v>0</v>
      </c>
      <c r="CM91">
        <f ca="1"/>
        <v>0</v>
      </c>
      <c r="CN91">
        <f ca="1"/>
        <v>0</v>
      </c>
      <c r="CO91">
        <f ca="1"/>
        <v>0</v>
      </c>
      <c r="CP91">
        <f ca="1"/>
        <v>0</v>
      </c>
    </row>
    <row r="92" spans="3:94" x14ac:dyDescent="0.25">
      <c r="C92" cm="1">
        <f t="array" aca="1" ref="C92:CP92" ca="1">IFERROR(TRANSPOSE(INDEX(_xlfn._xlws.FILTER(INDIRECT("SubcategoriesTable[Subcategory name]"),INDIRECT("SubcategoriesTable[Category name]")=$B92),,)),_xlfn.CONCAT("No subcategories for"," ", $B92))</f>
        <v>0</v>
      </c>
      <c r="D92">
        <f ca="1"/>
        <v>0</v>
      </c>
      <c r="E92">
        <f ca="1"/>
        <v>0</v>
      </c>
      <c r="F92">
        <f ca="1"/>
        <v>0</v>
      </c>
      <c r="G92">
        <f ca="1"/>
        <v>0</v>
      </c>
      <c r="H92">
        <f ca="1"/>
        <v>0</v>
      </c>
      <c r="I92">
        <f ca="1"/>
        <v>0</v>
      </c>
      <c r="J92">
        <f ca="1"/>
        <v>0</v>
      </c>
      <c r="K92">
        <f ca="1"/>
        <v>0</v>
      </c>
      <c r="L92">
        <f ca="1"/>
        <v>0</v>
      </c>
      <c r="M92">
        <f ca="1"/>
        <v>0</v>
      </c>
      <c r="N92">
        <f ca="1"/>
        <v>0</v>
      </c>
      <c r="O92">
        <f ca="1"/>
        <v>0</v>
      </c>
      <c r="P92">
        <f ca="1"/>
        <v>0</v>
      </c>
      <c r="Q92">
        <f ca="1"/>
        <v>0</v>
      </c>
      <c r="R92">
        <f ca="1"/>
        <v>0</v>
      </c>
      <c r="S92">
        <f ca="1"/>
        <v>0</v>
      </c>
      <c r="T92">
        <f ca="1"/>
        <v>0</v>
      </c>
      <c r="U92">
        <f ca="1"/>
        <v>0</v>
      </c>
      <c r="V92">
        <f ca="1"/>
        <v>0</v>
      </c>
      <c r="W92">
        <f ca="1"/>
        <v>0</v>
      </c>
      <c r="X92">
        <f ca="1"/>
        <v>0</v>
      </c>
      <c r="Y92">
        <f ca="1"/>
        <v>0</v>
      </c>
      <c r="Z92">
        <f ca="1"/>
        <v>0</v>
      </c>
      <c r="AA92">
        <f ca="1"/>
        <v>0</v>
      </c>
      <c r="AB92">
        <f ca="1"/>
        <v>0</v>
      </c>
      <c r="AC92">
        <f ca="1"/>
        <v>0</v>
      </c>
      <c r="AD92">
        <f ca="1"/>
        <v>0</v>
      </c>
      <c r="AE92">
        <f ca="1"/>
        <v>0</v>
      </c>
      <c r="AF92">
        <f ca="1"/>
        <v>0</v>
      </c>
      <c r="AG92">
        <f ca="1"/>
        <v>0</v>
      </c>
      <c r="AH92">
        <f ca="1"/>
        <v>0</v>
      </c>
      <c r="AI92">
        <f ca="1"/>
        <v>0</v>
      </c>
      <c r="AJ92">
        <f ca="1"/>
        <v>0</v>
      </c>
      <c r="AK92">
        <f ca="1"/>
        <v>0</v>
      </c>
      <c r="AL92">
        <f ca="1"/>
        <v>0</v>
      </c>
      <c r="AM92">
        <f ca="1"/>
        <v>0</v>
      </c>
      <c r="AN92">
        <f ca="1"/>
        <v>0</v>
      </c>
      <c r="AO92">
        <f ca="1"/>
        <v>0</v>
      </c>
      <c r="AP92">
        <f ca="1"/>
        <v>0</v>
      </c>
      <c r="AQ92">
        <f ca="1"/>
        <v>0</v>
      </c>
      <c r="AR92">
        <f ca="1"/>
        <v>0</v>
      </c>
      <c r="AS92">
        <f ca="1"/>
        <v>0</v>
      </c>
      <c r="AT92">
        <f ca="1"/>
        <v>0</v>
      </c>
      <c r="AU92">
        <f ca="1"/>
        <v>0</v>
      </c>
      <c r="AV92">
        <f ca="1"/>
        <v>0</v>
      </c>
      <c r="AW92">
        <f ca="1"/>
        <v>0</v>
      </c>
      <c r="AX92">
        <f ca="1"/>
        <v>0</v>
      </c>
      <c r="AY92">
        <f ca="1"/>
        <v>0</v>
      </c>
      <c r="AZ92">
        <f ca="1"/>
        <v>0</v>
      </c>
      <c r="BA92">
        <f ca="1"/>
        <v>0</v>
      </c>
      <c r="BB92">
        <f ca="1"/>
        <v>0</v>
      </c>
      <c r="BC92">
        <f ca="1"/>
        <v>0</v>
      </c>
      <c r="BD92">
        <f ca="1"/>
        <v>0</v>
      </c>
      <c r="BE92">
        <f ca="1"/>
        <v>0</v>
      </c>
      <c r="BF92">
        <f ca="1"/>
        <v>0</v>
      </c>
      <c r="BG92">
        <f ca="1"/>
        <v>0</v>
      </c>
      <c r="BH92">
        <f ca="1"/>
        <v>0</v>
      </c>
      <c r="BI92">
        <f ca="1"/>
        <v>0</v>
      </c>
      <c r="BJ92">
        <f ca="1"/>
        <v>0</v>
      </c>
      <c r="BK92">
        <f ca="1"/>
        <v>0</v>
      </c>
      <c r="BL92">
        <f ca="1"/>
        <v>0</v>
      </c>
      <c r="BM92">
        <f ca="1"/>
        <v>0</v>
      </c>
      <c r="BN92">
        <f ca="1"/>
        <v>0</v>
      </c>
      <c r="BO92">
        <f ca="1"/>
        <v>0</v>
      </c>
      <c r="BP92">
        <f ca="1"/>
        <v>0</v>
      </c>
      <c r="BQ92">
        <f ca="1"/>
        <v>0</v>
      </c>
      <c r="BR92">
        <f ca="1"/>
        <v>0</v>
      </c>
      <c r="BS92">
        <f ca="1"/>
        <v>0</v>
      </c>
      <c r="BT92">
        <f ca="1"/>
        <v>0</v>
      </c>
      <c r="BU92">
        <f ca="1"/>
        <v>0</v>
      </c>
      <c r="BV92">
        <f ca="1"/>
        <v>0</v>
      </c>
      <c r="BW92">
        <f ca="1"/>
        <v>0</v>
      </c>
      <c r="BX92">
        <f ca="1"/>
        <v>0</v>
      </c>
      <c r="BY92">
        <f ca="1"/>
        <v>0</v>
      </c>
      <c r="BZ92">
        <f ca="1"/>
        <v>0</v>
      </c>
      <c r="CA92">
        <f ca="1"/>
        <v>0</v>
      </c>
      <c r="CB92">
        <f ca="1"/>
        <v>0</v>
      </c>
      <c r="CC92">
        <f ca="1"/>
        <v>0</v>
      </c>
      <c r="CD92">
        <f ca="1"/>
        <v>0</v>
      </c>
      <c r="CE92">
        <f ca="1"/>
        <v>0</v>
      </c>
      <c r="CF92">
        <f ca="1"/>
        <v>0</v>
      </c>
      <c r="CG92">
        <f ca="1"/>
        <v>0</v>
      </c>
      <c r="CH92">
        <f ca="1"/>
        <v>0</v>
      </c>
      <c r="CI92">
        <f ca="1"/>
        <v>0</v>
      </c>
      <c r="CJ92">
        <f ca="1"/>
        <v>0</v>
      </c>
      <c r="CK92">
        <f ca="1"/>
        <v>0</v>
      </c>
      <c r="CL92">
        <f ca="1"/>
        <v>0</v>
      </c>
      <c r="CM92">
        <f ca="1"/>
        <v>0</v>
      </c>
      <c r="CN92">
        <f ca="1"/>
        <v>0</v>
      </c>
      <c r="CO92">
        <f ca="1"/>
        <v>0</v>
      </c>
      <c r="CP92">
        <f ca="1"/>
        <v>0</v>
      </c>
    </row>
    <row r="93" spans="3:94" x14ac:dyDescent="0.25">
      <c r="C93" cm="1">
        <f t="array" aca="1" ref="C93:CP93" ca="1">IFERROR(TRANSPOSE(INDEX(_xlfn._xlws.FILTER(INDIRECT("SubcategoriesTable[Subcategory name]"),INDIRECT("SubcategoriesTable[Category name]")=$B93),,)),_xlfn.CONCAT("No subcategories for"," ", $B93))</f>
        <v>0</v>
      </c>
      <c r="D93">
        <f ca="1"/>
        <v>0</v>
      </c>
      <c r="E93">
        <f ca="1"/>
        <v>0</v>
      </c>
      <c r="F93">
        <f ca="1"/>
        <v>0</v>
      </c>
      <c r="G93">
        <f ca="1"/>
        <v>0</v>
      </c>
      <c r="H93">
        <f ca="1"/>
        <v>0</v>
      </c>
      <c r="I93">
        <f ca="1"/>
        <v>0</v>
      </c>
      <c r="J93">
        <f ca="1"/>
        <v>0</v>
      </c>
      <c r="K93">
        <f ca="1"/>
        <v>0</v>
      </c>
      <c r="L93">
        <f ca="1"/>
        <v>0</v>
      </c>
      <c r="M93">
        <f ca="1"/>
        <v>0</v>
      </c>
      <c r="N93">
        <f ca="1"/>
        <v>0</v>
      </c>
      <c r="O93">
        <f ca="1"/>
        <v>0</v>
      </c>
      <c r="P93">
        <f ca="1"/>
        <v>0</v>
      </c>
      <c r="Q93">
        <f ca="1"/>
        <v>0</v>
      </c>
      <c r="R93">
        <f ca="1"/>
        <v>0</v>
      </c>
      <c r="S93">
        <f ca="1"/>
        <v>0</v>
      </c>
      <c r="T93">
        <f ca="1"/>
        <v>0</v>
      </c>
      <c r="U93">
        <f ca="1"/>
        <v>0</v>
      </c>
      <c r="V93">
        <f ca="1"/>
        <v>0</v>
      </c>
      <c r="W93">
        <f ca="1"/>
        <v>0</v>
      </c>
      <c r="X93">
        <f ca="1"/>
        <v>0</v>
      </c>
      <c r="Y93">
        <f ca="1"/>
        <v>0</v>
      </c>
      <c r="Z93">
        <f ca="1"/>
        <v>0</v>
      </c>
      <c r="AA93">
        <f ca="1"/>
        <v>0</v>
      </c>
      <c r="AB93">
        <f ca="1"/>
        <v>0</v>
      </c>
      <c r="AC93">
        <f ca="1"/>
        <v>0</v>
      </c>
      <c r="AD93">
        <f ca="1"/>
        <v>0</v>
      </c>
      <c r="AE93">
        <f ca="1"/>
        <v>0</v>
      </c>
      <c r="AF93">
        <f ca="1"/>
        <v>0</v>
      </c>
      <c r="AG93">
        <f ca="1"/>
        <v>0</v>
      </c>
      <c r="AH93">
        <f ca="1"/>
        <v>0</v>
      </c>
      <c r="AI93">
        <f ca="1"/>
        <v>0</v>
      </c>
      <c r="AJ93">
        <f ca="1"/>
        <v>0</v>
      </c>
      <c r="AK93">
        <f ca="1"/>
        <v>0</v>
      </c>
      <c r="AL93">
        <f ca="1"/>
        <v>0</v>
      </c>
      <c r="AM93">
        <f ca="1"/>
        <v>0</v>
      </c>
      <c r="AN93">
        <f ca="1"/>
        <v>0</v>
      </c>
      <c r="AO93">
        <f ca="1"/>
        <v>0</v>
      </c>
      <c r="AP93">
        <f ca="1"/>
        <v>0</v>
      </c>
      <c r="AQ93">
        <f ca="1"/>
        <v>0</v>
      </c>
      <c r="AR93">
        <f ca="1"/>
        <v>0</v>
      </c>
      <c r="AS93">
        <f ca="1"/>
        <v>0</v>
      </c>
      <c r="AT93">
        <f ca="1"/>
        <v>0</v>
      </c>
      <c r="AU93">
        <f ca="1"/>
        <v>0</v>
      </c>
      <c r="AV93">
        <f ca="1"/>
        <v>0</v>
      </c>
      <c r="AW93">
        <f ca="1"/>
        <v>0</v>
      </c>
      <c r="AX93">
        <f ca="1"/>
        <v>0</v>
      </c>
      <c r="AY93">
        <f ca="1"/>
        <v>0</v>
      </c>
      <c r="AZ93">
        <f ca="1"/>
        <v>0</v>
      </c>
      <c r="BA93">
        <f ca="1"/>
        <v>0</v>
      </c>
      <c r="BB93">
        <f ca="1"/>
        <v>0</v>
      </c>
      <c r="BC93">
        <f ca="1"/>
        <v>0</v>
      </c>
      <c r="BD93">
        <f ca="1"/>
        <v>0</v>
      </c>
      <c r="BE93">
        <f ca="1"/>
        <v>0</v>
      </c>
      <c r="BF93">
        <f ca="1"/>
        <v>0</v>
      </c>
      <c r="BG93">
        <f ca="1"/>
        <v>0</v>
      </c>
      <c r="BH93">
        <f ca="1"/>
        <v>0</v>
      </c>
      <c r="BI93">
        <f ca="1"/>
        <v>0</v>
      </c>
      <c r="BJ93">
        <f ca="1"/>
        <v>0</v>
      </c>
      <c r="BK93">
        <f ca="1"/>
        <v>0</v>
      </c>
      <c r="BL93">
        <f ca="1"/>
        <v>0</v>
      </c>
      <c r="BM93">
        <f ca="1"/>
        <v>0</v>
      </c>
      <c r="BN93">
        <f ca="1"/>
        <v>0</v>
      </c>
      <c r="BO93">
        <f ca="1"/>
        <v>0</v>
      </c>
      <c r="BP93">
        <f ca="1"/>
        <v>0</v>
      </c>
      <c r="BQ93">
        <f ca="1"/>
        <v>0</v>
      </c>
      <c r="BR93">
        <f ca="1"/>
        <v>0</v>
      </c>
      <c r="BS93">
        <f ca="1"/>
        <v>0</v>
      </c>
      <c r="BT93">
        <f ca="1"/>
        <v>0</v>
      </c>
      <c r="BU93">
        <f ca="1"/>
        <v>0</v>
      </c>
      <c r="BV93">
        <f ca="1"/>
        <v>0</v>
      </c>
      <c r="BW93">
        <f ca="1"/>
        <v>0</v>
      </c>
      <c r="BX93">
        <f ca="1"/>
        <v>0</v>
      </c>
      <c r="BY93">
        <f ca="1"/>
        <v>0</v>
      </c>
      <c r="BZ93">
        <f ca="1"/>
        <v>0</v>
      </c>
      <c r="CA93">
        <f ca="1"/>
        <v>0</v>
      </c>
      <c r="CB93">
        <f ca="1"/>
        <v>0</v>
      </c>
      <c r="CC93">
        <f ca="1"/>
        <v>0</v>
      </c>
      <c r="CD93">
        <f ca="1"/>
        <v>0</v>
      </c>
      <c r="CE93">
        <f ca="1"/>
        <v>0</v>
      </c>
      <c r="CF93">
        <f ca="1"/>
        <v>0</v>
      </c>
      <c r="CG93">
        <f ca="1"/>
        <v>0</v>
      </c>
      <c r="CH93">
        <f ca="1"/>
        <v>0</v>
      </c>
      <c r="CI93">
        <f ca="1"/>
        <v>0</v>
      </c>
      <c r="CJ93">
        <f ca="1"/>
        <v>0</v>
      </c>
      <c r="CK93">
        <f ca="1"/>
        <v>0</v>
      </c>
      <c r="CL93">
        <f ca="1"/>
        <v>0</v>
      </c>
      <c r="CM93">
        <f ca="1"/>
        <v>0</v>
      </c>
      <c r="CN93">
        <f ca="1"/>
        <v>0</v>
      </c>
      <c r="CO93">
        <f ca="1"/>
        <v>0</v>
      </c>
      <c r="CP93">
        <f ca="1"/>
        <v>0</v>
      </c>
    </row>
    <row r="94" spans="3:94" x14ac:dyDescent="0.25">
      <c r="C94" cm="1">
        <f t="array" aca="1" ref="C94:CP94" ca="1">IFERROR(TRANSPOSE(INDEX(_xlfn._xlws.FILTER(INDIRECT("SubcategoriesTable[Subcategory name]"),INDIRECT("SubcategoriesTable[Category name]")=$B94),,)),_xlfn.CONCAT("No subcategories for"," ", $B94))</f>
        <v>0</v>
      </c>
      <c r="D94">
        <f ca="1"/>
        <v>0</v>
      </c>
      <c r="E94">
        <f ca="1"/>
        <v>0</v>
      </c>
      <c r="F94">
        <f ca="1"/>
        <v>0</v>
      </c>
      <c r="G94">
        <f ca="1"/>
        <v>0</v>
      </c>
      <c r="H94">
        <f ca="1"/>
        <v>0</v>
      </c>
      <c r="I94">
        <f ca="1"/>
        <v>0</v>
      </c>
      <c r="J94">
        <f ca="1"/>
        <v>0</v>
      </c>
      <c r="K94">
        <f ca="1"/>
        <v>0</v>
      </c>
      <c r="L94">
        <f ca="1"/>
        <v>0</v>
      </c>
      <c r="M94">
        <f ca="1"/>
        <v>0</v>
      </c>
      <c r="N94">
        <f ca="1"/>
        <v>0</v>
      </c>
      <c r="O94">
        <f ca="1"/>
        <v>0</v>
      </c>
      <c r="P94">
        <f ca="1"/>
        <v>0</v>
      </c>
      <c r="Q94">
        <f ca="1"/>
        <v>0</v>
      </c>
      <c r="R94">
        <f ca="1"/>
        <v>0</v>
      </c>
      <c r="S94">
        <f ca="1"/>
        <v>0</v>
      </c>
      <c r="T94">
        <f ca="1"/>
        <v>0</v>
      </c>
      <c r="U94">
        <f ca="1"/>
        <v>0</v>
      </c>
      <c r="V94">
        <f ca="1"/>
        <v>0</v>
      </c>
      <c r="W94">
        <f ca="1"/>
        <v>0</v>
      </c>
      <c r="X94">
        <f ca="1"/>
        <v>0</v>
      </c>
      <c r="Y94">
        <f ca="1"/>
        <v>0</v>
      </c>
      <c r="Z94">
        <f ca="1"/>
        <v>0</v>
      </c>
      <c r="AA94">
        <f ca="1"/>
        <v>0</v>
      </c>
      <c r="AB94">
        <f ca="1"/>
        <v>0</v>
      </c>
      <c r="AC94">
        <f ca="1"/>
        <v>0</v>
      </c>
      <c r="AD94">
        <f ca="1"/>
        <v>0</v>
      </c>
      <c r="AE94">
        <f ca="1"/>
        <v>0</v>
      </c>
      <c r="AF94">
        <f ca="1"/>
        <v>0</v>
      </c>
      <c r="AG94">
        <f ca="1"/>
        <v>0</v>
      </c>
      <c r="AH94">
        <f ca="1"/>
        <v>0</v>
      </c>
      <c r="AI94">
        <f ca="1"/>
        <v>0</v>
      </c>
      <c r="AJ94">
        <f ca="1"/>
        <v>0</v>
      </c>
      <c r="AK94">
        <f ca="1"/>
        <v>0</v>
      </c>
      <c r="AL94">
        <f ca="1"/>
        <v>0</v>
      </c>
      <c r="AM94">
        <f ca="1"/>
        <v>0</v>
      </c>
      <c r="AN94">
        <f ca="1"/>
        <v>0</v>
      </c>
      <c r="AO94">
        <f ca="1"/>
        <v>0</v>
      </c>
      <c r="AP94">
        <f ca="1"/>
        <v>0</v>
      </c>
      <c r="AQ94">
        <f ca="1"/>
        <v>0</v>
      </c>
      <c r="AR94">
        <f ca="1"/>
        <v>0</v>
      </c>
      <c r="AS94">
        <f ca="1"/>
        <v>0</v>
      </c>
      <c r="AT94">
        <f ca="1"/>
        <v>0</v>
      </c>
      <c r="AU94">
        <f ca="1"/>
        <v>0</v>
      </c>
      <c r="AV94">
        <f ca="1"/>
        <v>0</v>
      </c>
      <c r="AW94">
        <f ca="1"/>
        <v>0</v>
      </c>
      <c r="AX94">
        <f ca="1"/>
        <v>0</v>
      </c>
      <c r="AY94">
        <f ca="1"/>
        <v>0</v>
      </c>
      <c r="AZ94">
        <f ca="1"/>
        <v>0</v>
      </c>
      <c r="BA94">
        <f ca="1"/>
        <v>0</v>
      </c>
      <c r="BB94">
        <f ca="1"/>
        <v>0</v>
      </c>
      <c r="BC94">
        <f ca="1"/>
        <v>0</v>
      </c>
      <c r="BD94">
        <f ca="1"/>
        <v>0</v>
      </c>
      <c r="BE94">
        <f ca="1"/>
        <v>0</v>
      </c>
      <c r="BF94">
        <f ca="1"/>
        <v>0</v>
      </c>
      <c r="BG94">
        <f ca="1"/>
        <v>0</v>
      </c>
      <c r="BH94">
        <f ca="1"/>
        <v>0</v>
      </c>
      <c r="BI94">
        <f ca="1"/>
        <v>0</v>
      </c>
      <c r="BJ94">
        <f ca="1"/>
        <v>0</v>
      </c>
      <c r="BK94">
        <f ca="1"/>
        <v>0</v>
      </c>
      <c r="BL94">
        <f ca="1"/>
        <v>0</v>
      </c>
      <c r="BM94">
        <f ca="1"/>
        <v>0</v>
      </c>
      <c r="BN94">
        <f ca="1"/>
        <v>0</v>
      </c>
      <c r="BO94">
        <f ca="1"/>
        <v>0</v>
      </c>
      <c r="BP94">
        <f ca="1"/>
        <v>0</v>
      </c>
      <c r="BQ94">
        <f ca="1"/>
        <v>0</v>
      </c>
      <c r="BR94">
        <f ca="1"/>
        <v>0</v>
      </c>
      <c r="BS94">
        <f ca="1"/>
        <v>0</v>
      </c>
      <c r="BT94">
        <f ca="1"/>
        <v>0</v>
      </c>
      <c r="BU94">
        <f ca="1"/>
        <v>0</v>
      </c>
      <c r="BV94">
        <f ca="1"/>
        <v>0</v>
      </c>
      <c r="BW94">
        <f ca="1"/>
        <v>0</v>
      </c>
      <c r="BX94">
        <f ca="1"/>
        <v>0</v>
      </c>
      <c r="BY94">
        <f ca="1"/>
        <v>0</v>
      </c>
      <c r="BZ94">
        <f ca="1"/>
        <v>0</v>
      </c>
      <c r="CA94">
        <f ca="1"/>
        <v>0</v>
      </c>
      <c r="CB94">
        <f ca="1"/>
        <v>0</v>
      </c>
      <c r="CC94">
        <f ca="1"/>
        <v>0</v>
      </c>
      <c r="CD94">
        <f ca="1"/>
        <v>0</v>
      </c>
      <c r="CE94">
        <f ca="1"/>
        <v>0</v>
      </c>
      <c r="CF94">
        <f ca="1"/>
        <v>0</v>
      </c>
      <c r="CG94">
        <f ca="1"/>
        <v>0</v>
      </c>
      <c r="CH94">
        <f ca="1"/>
        <v>0</v>
      </c>
      <c r="CI94">
        <f ca="1"/>
        <v>0</v>
      </c>
      <c r="CJ94">
        <f ca="1"/>
        <v>0</v>
      </c>
      <c r="CK94">
        <f ca="1"/>
        <v>0</v>
      </c>
      <c r="CL94">
        <f ca="1"/>
        <v>0</v>
      </c>
      <c r="CM94">
        <f ca="1"/>
        <v>0</v>
      </c>
      <c r="CN94">
        <f ca="1"/>
        <v>0</v>
      </c>
      <c r="CO94">
        <f ca="1"/>
        <v>0</v>
      </c>
      <c r="CP94">
        <f ca="1"/>
        <v>0</v>
      </c>
    </row>
    <row r="95" spans="3:94" x14ac:dyDescent="0.25">
      <c r="C95" cm="1">
        <f t="array" aca="1" ref="C95:CP95" ca="1">IFERROR(TRANSPOSE(INDEX(_xlfn._xlws.FILTER(INDIRECT("SubcategoriesTable[Subcategory name]"),INDIRECT("SubcategoriesTable[Category name]")=$B95),,)),_xlfn.CONCAT("No subcategories for"," ", $B95))</f>
        <v>0</v>
      </c>
      <c r="D95">
        <f ca="1"/>
        <v>0</v>
      </c>
      <c r="E95">
        <f ca="1"/>
        <v>0</v>
      </c>
      <c r="F95">
        <f ca="1"/>
        <v>0</v>
      </c>
      <c r="G95">
        <f ca="1"/>
        <v>0</v>
      </c>
      <c r="H95">
        <f ca="1"/>
        <v>0</v>
      </c>
      <c r="I95">
        <f ca="1"/>
        <v>0</v>
      </c>
      <c r="J95">
        <f ca="1"/>
        <v>0</v>
      </c>
      <c r="K95">
        <f ca="1"/>
        <v>0</v>
      </c>
      <c r="L95">
        <f ca="1"/>
        <v>0</v>
      </c>
      <c r="M95">
        <f ca="1"/>
        <v>0</v>
      </c>
      <c r="N95">
        <f ca="1"/>
        <v>0</v>
      </c>
      <c r="O95">
        <f ca="1"/>
        <v>0</v>
      </c>
      <c r="P95">
        <f ca="1"/>
        <v>0</v>
      </c>
      <c r="Q95">
        <f ca="1"/>
        <v>0</v>
      </c>
      <c r="R95">
        <f ca="1"/>
        <v>0</v>
      </c>
      <c r="S95">
        <f ca="1"/>
        <v>0</v>
      </c>
      <c r="T95">
        <f ca="1"/>
        <v>0</v>
      </c>
      <c r="U95">
        <f ca="1"/>
        <v>0</v>
      </c>
      <c r="V95">
        <f ca="1"/>
        <v>0</v>
      </c>
      <c r="W95">
        <f ca="1"/>
        <v>0</v>
      </c>
      <c r="X95">
        <f ca="1"/>
        <v>0</v>
      </c>
      <c r="Y95">
        <f ca="1"/>
        <v>0</v>
      </c>
      <c r="Z95">
        <f ca="1"/>
        <v>0</v>
      </c>
      <c r="AA95">
        <f ca="1"/>
        <v>0</v>
      </c>
      <c r="AB95">
        <f ca="1"/>
        <v>0</v>
      </c>
      <c r="AC95">
        <f ca="1"/>
        <v>0</v>
      </c>
      <c r="AD95">
        <f ca="1"/>
        <v>0</v>
      </c>
      <c r="AE95">
        <f ca="1"/>
        <v>0</v>
      </c>
      <c r="AF95">
        <f ca="1"/>
        <v>0</v>
      </c>
      <c r="AG95">
        <f ca="1"/>
        <v>0</v>
      </c>
      <c r="AH95">
        <f ca="1"/>
        <v>0</v>
      </c>
      <c r="AI95">
        <f ca="1"/>
        <v>0</v>
      </c>
      <c r="AJ95">
        <f ca="1"/>
        <v>0</v>
      </c>
      <c r="AK95">
        <f ca="1"/>
        <v>0</v>
      </c>
      <c r="AL95">
        <f ca="1"/>
        <v>0</v>
      </c>
      <c r="AM95">
        <f ca="1"/>
        <v>0</v>
      </c>
      <c r="AN95">
        <f ca="1"/>
        <v>0</v>
      </c>
      <c r="AO95">
        <f ca="1"/>
        <v>0</v>
      </c>
      <c r="AP95">
        <f ca="1"/>
        <v>0</v>
      </c>
      <c r="AQ95">
        <f ca="1"/>
        <v>0</v>
      </c>
      <c r="AR95">
        <f ca="1"/>
        <v>0</v>
      </c>
      <c r="AS95">
        <f ca="1"/>
        <v>0</v>
      </c>
      <c r="AT95">
        <f ca="1"/>
        <v>0</v>
      </c>
      <c r="AU95">
        <f ca="1"/>
        <v>0</v>
      </c>
      <c r="AV95">
        <f ca="1"/>
        <v>0</v>
      </c>
      <c r="AW95">
        <f ca="1"/>
        <v>0</v>
      </c>
      <c r="AX95">
        <f ca="1"/>
        <v>0</v>
      </c>
      <c r="AY95">
        <f ca="1"/>
        <v>0</v>
      </c>
      <c r="AZ95">
        <f ca="1"/>
        <v>0</v>
      </c>
      <c r="BA95">
        <f ca="1"/>
        <v>0</v>
      </c>
      <c r="BB95">
        <f ca="1"/>
        <v>0</v>
      </c>
      <c r="BC95">
        <f ca="1"/>
        <v>0</v>
      </c>
      <c r="BD95">
        <f ca="1"/>
        <v>0</v>
      </c>
      <c r="BE95">
        <f ca="1"/>
        <v>0</v>
      </c>
      <c r="BF95">
        <f ca="1"/>
        <v>0</v>
      </c>
      <c r="BG95">
        <f ca="1"/>
        <v>0</v>
      </c>
      <c r="BH95">
        <f ca="1"/>
        <v>0</v>
      </c>
      <c r="BI95">
        <f ca="1"/>
        <v>0</v>
      </c>
      <c r="BJ95">
        <f ca="1"/>
        <v>0</v>
      </c>
      <c r="BK95">
        <f ca="1"/>
        <v>0</v>
      </c>
      <c r="BL95">
        <f ca="1"/>
        <v>0</v>
      </c>
      <c r="BM95">
        <f ca="1"/>
        <v>0</v>
      </c>
      <c r="BN95">
        <f ca="1"/>
        <v>0</v>
      </c>
      <c r="BO95">
        <f ca="1"/>
        <v>0</v>
      </c>
      <c r="BP95">
        <f ca="1"/>
        <v>0</v>
      </c>
      <c r="BQ95">
        <f ca="1"/>
        <v>0</v>
      </c>
      <c r="BR95">
        <f ca="1"/>
        <v>0</v>
      </c>
      <c r="BS95">
        <f ca="1"/>
        <v>0</v>
      </c>
      <c r="BT95">
        <f ca="1"/>
        <v>0</v>
      </c>
      <c r="BU95">
        <f ca="1"/>
        <v>0</v>
      </c>
      <c r="BV95">
        <f ca="1"/>
        <v>0</v>
      </c>
      <c r="BW95">
        <f ca="1"/>
        <v>0</v>
      </c>
      <c r="BX95">
        <f ca="1"/>
        <v>0</v>
      </c>
      <c r="BY95">
        <f ca="1"/>
        <v>0</v>
      </c>
      <c r="BZ95">
        <f ca="1"/>
        <v>0</v>
      </c>
      <c r="CA95">
        <f ca="1"/>
        <v>0</v>
      </c>
      <c r="CB95">
        <f ca="1"/>
        <v>0</v>
      </c>
      <c r="CC95">
        <f ca="1"/>
        <v>0</v>
      </c>
      <c r="CD95">
        <f ca="1"/>
        <v>0</v>
      </c>
      <c r="CE95">
        <f ca="1"/>
        <v>0</v>
      </c>
      <c r="CF95">
        <f ca="1"/>
        <v>0</v>
      </c>
      <c r="CG95">
        <f ca="1"/>
        <v>0</v>
      </c>
      <c r="CH95">
        <f ca="1"/>
        <v>0</v>
      </c>
      <c r="CI95">
        <f ca="1"/>
        <v>0</v>
      </c>
      <c r="CJ95">
        <f ca="1"/>
        <v>0</v>
      </c>
      <c r="CK95">
        <f ca="1"/>
        <v>0</v>
      </c>
      <c r="CL95">
        <f ca="1"/>
        <v>0</v>
      </c>
      <c r="CM95">
        <f ca="1"/>
        <v>0</v>
      </c>
      <c r="CN95">
        <f ca="1"/>
        <v>0</v>
      </c>
      <c r="CO95">
        <f ca="1"/>
        <v>0</v>
      </c>
      <c r="CP95">
        <f ca="1"/>
        <v>0</v>
      </c>
    </row>
    <row r="96" spans="3:94" x14ac:dyDescent="0.25">
      <c r="C96" cm="1">
        <f t="array" aca="1" ref="C96:CP96" ca="1">IFERROR(TRANSPOSE(INDEX(_xlfn._xlws.FILTER(INDIRECT("SubcategoriesTable[Subcategory name]"),INDIRECT("SubcategoriesTable[Category name]")=$B96),,)),_xlfn.CONCAT("No subcategories for"," ", $B96))</f>
        <v>0</v>
      </c>
      <c r="D96">
        <f ca="1"/>
        <v>0</v>
      </c>
      <c r="E96">
        <f ca="1"/>
        <v>0</v>
      </c>
      <c r="F96">
        <f ca="1"/>
        <v>0</v>
      </c>
      <c r="G96">
        <f ca="1"/>
        <v>0</v>
      </c>
      <c r="H96">
        <f ca="1"/>
        <v>0</v>
      </c>
      <c r="I96">
        <f ca="1"/>
        <v>0</v>
      </c>
      <c r="J96">
        <f ca="1"/>
        <v>0</v>
      </c>
      <c r="K96">
        <f ca="1"/>
        <v>0</v>
      </c>
      <c r="L96">
        <f ca="1"/>
        <v>0</v>
      </c>
      <c r="M96">
        <f ca="1"/>
        <v>0</v>
      </c>
      <c r="N96">
        <f ca="1"/>
        <v>0</v>
      </c>
      <c r="O96">
        <f ca="1"/>
        <v>0</v>
      </c>
      <c r="P96">
        <f ca="1"/>
        <v>0</v>
      </c>
      <c r="Q96">
        <f ca="1"/>
        <v>0</v>
      </c>
      <c r="R96">
        <f ca="1"/>
        <v>0</v>
      </c>
      <c r="S96">
        <f ca="1"/>
        <v>0</v>
      </c>
      <c r="T96">
        <f ca="1"/>
        <v>0</v>
      </c>
      <c r="U96">
        <f ca="1"/>
        <v>0</v>
      </c>
      <c r="V96">
        <f ca="1"/>
        <v>0</v>
      </c>
      <c r="W96">
        <f ca="1"/>
        <v>0</v>
      </c>
      <c r="X96">
        <f ca="1"/>
        <v>0</v>
      </c>
      <c r="Y96">
        <f ca="1"/>
        <v>0</v>
      </c>
      <c r="Z96">
        <f ca="1"/>
        <v>0</v>
      </c>
      <c r="AA96">
        <f ca="1"/>
        <v>0</v>
      </c>
      <c r="AB96">
        <f ca="1"/>
        <v>0</v>
      </c>
      <c r="AC96">
        <f ca="1"/>
        <v>0</v>
      </c>
      <c r="AD96">
        <f ca="1"/>
        <v>0</v>
      </c>
      <c r="AE96">
        <f ca="1"/>
        <v>0</v>
      </c>
      <c r="AF96">
        <f ca="1"/>
        <v>0</v>
      </c>
      <c r="AG96">
        <f ca="1"/>
        <v>0</v>
      </c>
      <c r="AH96">
        <f ca="1"/>
        <v>0</v>
      </c>
      <c r="AI96">
        <f ca="1"/>
        <v>0</v>
      </c>
      <c r="AJ96">
        <f ca="1"/>
        <v>0</v>
      </c>
      <c r="AK96">
        <f ca="1"/>
        <v>0</v>
      </c>
      <c r="AL96">
        <f ca="1"/>
        <v>0</v>
      </c>
      <c r="AM96">
        <f ca="1"/>
        <v>0</v>
      </c>
      <c r="AN96">
        <f ca="1"/>
        <v>0</v>
      </c>
      <c r="AO96">
        <f ca="1"/>
        <v>0</v>
      </c>
      <c r="AP96">
        <f ca="1"/>
        <v>0</v>
      </c>
      <c r="AQ96">
        <f ca="1"/>
        <v>0</v>
      </c>
      <c r="AR96">
        <f ca="1"/>
        <v>0</v>
      </c>
      <c r="AS96">
        <f ca="1"/>
        <v>0</v>
      </c>
      <c r="AT96">
        <f ca="1"/>
        <v>0</v>
      </c>
      <c r="AU96">
        <f ca="1"/>
        <v>0</v>
      </c>
      <c r="AV96">
        <f ca="1"/>
        <v>0</v>
      </c>
      <c r="AW96">
        <f ca="1"/>
        <v>0</v>
      </c>
      <c r="AX96">
        <f ca="1"/>
        <v>0</v>
      </c>
      <c r="AY96">
        <f ca="1"/>
        <v>0</v>
      </c>
      <c r="AZ96">
        <f ca="1"/>
        <v>0</v>
      </c>
      <c r="BA96">
        <f ca="1"/>
        <v>0</v>
      </c>
      <c r="BB96">
        <f ca="1"/>
        <v>0</v>
      </c>
      <c r="BC96">
        <f ca="1"/>
        <v>0</v>
      </c>
      <c r="BD96">
        <f ca="1"/>
        <v>0</v>
      </c>
      <c r="BE96">
        <f ca="1"/>
        <v>0</v>
      </c>
      <c r="BF96">
        <f ca="1"/>
        <v>0</v>
      </c>
      <c r="BG96">
        <f ca="1"/>
        <v>0</v>
      </c>
      <c r="BH96">
        <f ca="1"/>
        <v>0</v>
      </c>
      <c r="BI96">
        <f ca="1"/>
        <v>0</v>
      </c>
      <c r="BJ96">
        <f ca="1"/>
        <v>0</v>
      </c>
      <c r="BK96">
        <f ca="1"/>
        <v>0</v>
      </c>
      <c r="BL96">
        <f ca="1"/>
        <v>0</v>
      </c>
      <c r="BM96">
        <f ca="1"/>
        <v>0</v>
      </c>
      <c r="BN96">
        <f ca="1"/>
        <v>0</v>
      </c>
      <c r="BO96">
        <f ca="1"/>
        <v>0</v>
      </c>
      <c r="BP96">
        <f ca="1"/>
        <v>0</v>
      </c>
      <c r="BQ96">
        <f ca="1"/>
        <v>0</v>
      </c>
      <c r="BR96">
        <f ca="1"/>
        <v>0</v>
      </c>
      <c r="BS96">
        <f ca="1"/>
        <v>0</v>
      </c>
      <c r="BT96">
        <f ca="1"/>
        <v>0</v>
      </c>
      <c r="BU96">
        <f ca="1"/>
        <v>0</v>
      </c>
      <c r="BV96">
        <f ca="1"/>
        <v>0</v>
      </c>
      <c r="BW96">
        <f ca="1"/>
        <v>0</v>
      </c>
      <c r="BX96">
        <f ca="1"/>
        <v>0</v>
      </c>
      <c r="BY96">
        <f ca="1"/>
        <v>0</v>
      </c>
      <c r="BZ96">
        <f ca="1"/>
        <v>0</v>
      </c>
      <c r="CA96">
        <f ca="1"/>
        <v>0</v>
      </c>
      <c r="CB96">
        <f ca="1"/>
        <v>0</v>
      </c>
      <c r="CC96">
        <f ca="1"/>
        <v>0</v>
      </c>
      <c r="CD96">
        <f ca="1"/>
        <v>0</v>
      </c>
      <c r="CE96">
        <f ca="1"/>
        <v>0</v>
      </c>
      <c r="CF96">
        <f ca="1"/>
        <v>0</v>
      </c>
      <c r="CG96">
        <f ca="1"/>
        <v>0</v>
      </c>
      <c r="CH96">
        <f ca="1"/>
        <v>0</v>
      </c>
      <c r="CI96">
        <f ca="1"/>
        <v>0</v>
      </c>
      <c r="CJ96">
        <f ca="1"/>
        <v>0</v>
      </c>
      <c r="CK96">
        <f ca="1"/>
        <v>0</v>
      </c>
      <c r="CL96">
        <f ca="1"/>
        <v>0</v>
      </c>
      <c r="CM96">
        <f ca="1"/>
        <v>0</v>
      </c>
      <c r="CN96">
        <f ca="1"/>
        <v>0</v>
      </c>
      <c r="CO96">
        <f ca="1"/>
        <v>0</v>
      </c>
      <c r="CP96">
        <f ca="1"/>
        <v>0</v>
      </c>
    </row>
    <row r="97" spans="3:94" x14ac:dyDescent="0.25">
      <c r="C97" cm="1">
        <f t="array" aca="1" ref="C97:CP97" ca="1">IFERROR(TRANSPOSE(INDEX(_xlfn._xlws.FILTER(INDIRECT("SubcategoriesTable[Subcategory name]"),INDIRECT("SubcategoriesTable[Category name]")=$B97),,)),_xlfn.CONCAT("No subcategories for"," ", $B97))</f>
        <v>0</v>
      </c>
      <c r="D97">
        <f ca="1"/>
        <v>0</v>
      </c>
      <c r="E97">
        <f ca="1"/>
        <v>0</v>
      </c>
      <c r="F97">
        <f ca="1"/>
        <v>0</v>
      </c>
      <c r="G97">
        <f ca="1"/>
        <v>0</v>
      </c>
      <c r="H97">
        <f ca="1"/>
        <v>0</v>
      </c>
      <c r="I97">
        <f ca="1"/>
        <v>0</v>
      </c>
      <c r="J97">
        <f ca="1"/>
        <v>0</v>
      </c>
      <c r="K97">
        <f ca="1"/>
        <v>0</v>
      </c>
      <c r="L97">
        <f ca="1"/>
        <v>0</v>
      </c>
      <c r="M97">
        <f ca="1"/>
        <v>0</v>
      </c>
      <c r="N97">
        <f ca="1"/>
        <v>0</v>
      </c>
      <c r="O97">
        <f ca="1"/>
        <v>0</v>
      </c>
      <c r="P97">
        <f ca="1"/>
        <v>0</v>
      </c>
      <c r="Q97">
        <f ca="1"/>
        <v>0</v>
      </c>
      <c r="R97">
        <f ca="1"/>
        <v>0</v>
      </c>
      <c r="S97">
        <f ca="1"/>
        <v>0</v>
      </c>
      <c r="T97">
        <f ca="1"/>
        <v>0</v>
      </c>
      <c r="U97">
        <f ca="1"/>
        <v>0</v>
      </c>
      <c r="V97">
        <f ca="1"/>
        <v>0</v>
      </c>
      <c r="W97">
        <f ca="1"/>
        <v>0</v>
      </c>
      <c r="X97">
        <f ca="1"/>
        <v>0</v>
      </c>
      <c r="Y97">
        <f ca="1"/>
        <v>0</v>
      </c>
      <c r="Z97">
        <f ca="1"/>
        <v>0</v>
      </c>
      <c r="AA97">
        <f ca="1"/>
        <v>0</v>
      </c>
      <c r="AB97">
        <f ca="1"/>
        <v>0</v>
      </c>
      <c r="AC97">
        <f ca="1"/>
        <v>0</v>
      </c>
      <c r="AD97">
        <f ca="1"/>
        <v>0</v>
      </c>
      <c r="AE97">
        <f ca="1"/>
        <v>0</v>
      </c>
      <c r="AF97">
        <f ca="1"/>
        <v>0</v>
      </c>
      <c r="AG97">
        <f ca="1"/>
        <v>0</v>
      </c>
      <c r="AH97">
        <f ca="1"/>
        <v>0</v>
      </c>
      <c r="AI97">
        <f ca="1"/>
        <v>0</v>
      </c>
      <c r="AJ97">
        <f ca="1"/>
        <v>0</v>
      </c>
      <c r="AK97">
        <f ca="1"/>
        <v>0</v>
      </c>
      <c r="AL97">
        <f ca="1"/>
        <v>0</v>
      </c>
      <c r="AM97">
        <f ca="1"/>
        <v>0</v>
      </c>
      <c r="AN97">
        <f ca="1"/>
        <v>0</v>
      </c>
      <c r="AO97">
        <f ca="1"/>
        <v>0</v>
      </c>
      <c r="AP97">
        <f ca="1"/>
        <v>0</v>
      </c>
      <c r="AQ97">
        <f ca="1"/>
        <v>0</v>
      </c>
      <c r="AR97">
        <f ca="1"/>
        <v>0</v>
      </c>
      <c r="AS97">
        <f ca="1"/>
        <v>0</v>
      </c>
      <c r="AT97">
        <f ca="1"/>
        <v>0</v>
      </c>
      <c r="AU97">
        <f ca="1"/>
        <v>0</v>
      </c>
      <c r="AV97">
        <f ca="1"/>
        <v>0</v>
      </c>
      <c r="AW97">
        <f ca="1"/>
        <v>0</v>
      </c>
      <c r="AX97">
        <f ca="1"/>
        <v>0</v>
      </c>
      <c r="AY97">
        <f ca="1"/>
        <v>0</v>
      </c>
      <c r="AZ97">
        <f ca="1"/>
        <v>0</v>
      </c>
      <c r="BA97">
        <f ca="1"/>
        <v>0</v>
      </c>
      <c r="BB97">
        <f ca="1"/>
        <v>0</v>
      </c>
      <c r="BC97">
        <f ca="1"/>
        <v>0</v>
      </c>
      <c r="BD97">
        <f ca="1"/>
        <v>0</v>
      </c>
      <c r="BE97">
        <f ca="1"/>
        <v>0</v>
      </c>
      <c r="BF97">
        <f ca="1"/>
        <v>0</v>
      </c>
      <c r="BG97">
        <f ca="1"/>
        <v>0</v>
      </c>
      <c r="BH97">
        <f ca="1"/>
        <v>0</v>
      </c>
      <c r="BI97">
        <f ca="1"/>
        <v>0</v>
      </c>
      <c r="BJ97">
        <f ca="1"/>
        <v>0</v>
      </c>
      <c r="BK97">
        <f ca="1"/>
        <v>0</v>
      </c>
      <c r="BL97">
        <f ca="1"/>
        <v>0</v>
      </c>
      <c r="BM97">
        <f ca="1"/>
        <v>0</v>
      </c>
      <c r="BN97">
        <f ca="1"/>
        <v>0</v>
      </c>
      <c r="BO97">
        <f ca="1"/>
        <v>0</v>
      </c>
      <c r="BP97">
        <f ca="1"/>
        <v>0</v>
      </c>
      <c r="BQ97">
        <f ca="1"/>
        <v>0</v>
      </c>
      <c r="BR97">
        <f ca="1"/>
        <v>0</v>
      </c>
      <c r="BS97">
        <f ca="1"/>
        <v>0</v>
      </c>
      <c r="BT97">
        <f ca="1"/>
        <v>0</v>
      </c>
      <c r="BU97">
        <f ca="1"/>
        <v>0</v>
      </c>
      <c r="BV97">
        <f ca="1"/>
        <v>0</v>
      </c>
      <c r="BW97">
        <f ca="1"/>
        <v>0</v>
      </c>
      <c r="BX97">
        <f ca="1"/>
        <v>0</v>
      </c>
      <c r="BY97">
        <f ca="1"/>
        <v>0</v>
      </c>
      <c r="BZ97">
        <f ca="1"/>
        <v>0</v>
      </c>
      <c r="CA97">
        <f ca="1"/>
        <v>0</v>
      </c>
      <c r="CB97">
        <f ca="1"/>
        <v>0</v>
      </c>
      <c r="CC97">
        <f ca="1"/>
        <v>0</v>
      </c>
      <c r="CD97">
        <f ca="1"/>
        <v>0</v>
      </c>
      <c r="CE97">
        <f ca="1"/>
        <v>0</v>
      </c>
      <c r="CF97">
        <f ca="1"/>
        <v>0</v>
      </c>
      <c r="CG97">
        <f ca="1"/>
        <v>0</v>
      </c>
      <c r="CH97">
        <f ca="1"/>
        <v>0</v>
      </c>
      <c r="CI97">
        <f ca="1"/>
        <v>0</v>
      </c>
      <c r="CJ97">
        <f ca="1"/>
        <v>0</v>
      </c>
      <c r="CK97">
        <f ca="1"/>
        <v>0</v>
      </c>
      <c r="CL97">
        <f ca="1"/>
        <v>0</v>
      </c>
      <c r="CM97">
        <f ca="1"/>
        <v>0</v>
      </c>
      <c r="CN97">
        <f ca="1"/>
        <v>0</v>
      </c>
      <c r="CO97">
        <f ca="1"/>
        <v>0</v>
      </c>
      <c r="CP97">
        <f ca="1"/>
        <v>0</v>
      </c>
    </row>
    <row r="98" spans="3:94" x14ac:dyDescent="0.25">
      <c r="C98" cm="1">
        <f t="array" aca="1" ref="C98:CP98" ca="1">IFERROR(TRANSPOSE(INDEX(_xlfn._xlws.FILTER(INDIRECT("SubcategoriesTable[Subcategory name]"),INDIRECT("SubcategoriesTable[Category name]")=$B98),,)),_xlfn.CONCAT("No subcategories for"," ", $B98))</f>
        <v>0</v>
      </c>
      <c r="D98">
        <f ca="1"/>
        <v>0</v>
      </c>
      <c r="E98">
        <f ca="1"/>
        <v>0</v>
      </c>
      <c r="F98">
        <f ca="1"/>
        <v>0</v>
      </c>
      <c r="G98">
        <f ca="1"/>
        <v>0</v>
      </c>
      <c r="H98">
        <f ca="1"/>
        <v>0</v>
      </c>
      <c r="I98">
        <f ca="1"/>
        <v>0</v>
      </c>
      <c r="J98">
        <f ca="1"/>
        <v>0</v>
      </c>
      <c r="K98">
        <f ca="1"/>
        <v>0</v>
      </c>
      <c r="L98">
        <f ca="1"/>
        <v>0</v>
      </c>
      <c r="M98">
        <f ca="1"/>
        <v>0</v>
      </c>
      <c r="N98">
        <f ca="1"/>
        <v>0</v>
      </c>
      <c r="O98">
        <f ca="1"/>
        <v>0</v>
      </c>
      <c r="P98">
        <f ca="1"/>
        <v>0</v>
      </c>
      <c r="Q98">
        <f ca="1"/>
        <v>0</v>
      </c>
      <c r="R98">
        <f ca="1"/>
        <v>0</v>
      </c>
      <c r="S98">
        <f ca="1"/>
        <v>0</v>
      </c>
      <c r="T98">
        <f ca="1"/>
        <v>0</v>
      </c>
      <c r="U98">
        <f ca="1"/>
        <v>0</v>
      </c>
      <c r="V98">
        <f ca="1"/>
        <v>0</v>
      </c>
      <c r="W98">
        <f ca="1"/>
        <v>0</v>
      </c>
      <c r="X98">
        <f ca="1"/>
        <v>0</v>
      </c>
      <c r="Y98">
        <f ca="1"/>
        <v>0</v>
      </c>
      <c r="Z98">
        <f ca="1"/>
        <v>0</v>
      </c>
      <c r="AA98">
        <f ca="1"/>
        <v>0</v>
      </c>
      <c r="AB98">
        <f ca="1"/>
        <v>0</v>
      </c>
      <c r="AC98">
        <f ca="1"/>
        <v>0</v>
      </c>
      <c r="AD98">
        <f ca="1"/>
        <v>0</v>
      </c>
      <c r="AE98">
        <f ca="1"/>
        <v>0</v>
      </c>
      <c r="AF98">
        <f ca="1"/>
        <v>0</v>
      </c>
      <c r="AG98">
        <f ca="1"/>
        <v>0</v>
      </c>
      <c r="AH98">
        <f ca="1"/>
        <v>0</v>
      </c>
      <c r="AI98">
        <f ca="1"/>
        <v>0</v>
      </c>
      <c r="AJ98">
        <f ca="1"/>
        <v>0</v>
      </c>
      <c r="AK98">
        <f ca="1"/>
        <v>0</v>
      </c>
      <c r="AL98">
        <f ca="1"/>
        <v>0</v>
      </c>
      <c r="AM98">
        <f ca="1"/>
        <v>0</v>
      </c>
      <c r="AN98">
        <f ca="1"/>
        <v>0</v>
      </c>
      <c r="AO98">
        <f ca="1"/>
        <v>0</v>
      </c>
      <c r="AP98">
        <f ca="1"/>
        <v>0</v>
      </c>
      <c r="AQ98">
        <f ca="1"/>
        <v>0</v>
      </c>
      <c r="AR98">
        <f ca="1"/>
        <v>0</v>
      </c>
      <c r="AS98">
        <f ca="1"/>
        <v>0</v>
      </c>
      <c r="AT98">
        <f ca="1"/>
        <v>0</v>
      </c>
      <c r="AU98">
        <f ca="1"/>
        <v>0</v>
      </c>
      <c r="AV98">
        <f ca="1"/>
        <v>0</v>
      </c>
      <c r="AW98">
        <f ca="1"/>
        <v>0</v>
      </c>
      <c r="AX98">
        <f ca="1"/>
        <v>0</v>
      </c>
      <c r="AY98">
        <f ca="1"/>
        <v>0</v>
      </c>
      <c r="AZ98">
        <f ca="1"/>
        <v>0</v>
      </c>
      <c r="BA98">
        <f ca="1"/>
        <v>0</v>
      </c>
      <c r="BB98">
        <f ca="1"/>
        <v>0</v>
      </c>
      <c r="BC98">
        <f ca="1"/>
        <v>0</v>
      </c>
      <c r="BD98">
        <f ca="1"/>
        <v>0</v>
      </c>
      <c r="BE98">
        <f ca="1"/>
        <v>0</v>
      </c>
      <c r="BF98">
        <f ca="1"/>
        <v>0</v>
      </c>
      <c r="BG98">
        <f ca="1"/>
        <v>0</v>
      </c>
      <c r="BH98">
        <f ca="1"/>
        <v>0</v>
      </c>
      <c r="BI98">
        <f ca="1"/>
        <v>0</v>
      </c>
      <c r="BJ98">
        <f ca="1"/>
        <v>0</v>
      </c>
      <c r="BK98">
        <f ca="1"/>
        <v>0</v>
      </c>
      <c r="BL98">
        <f ca="1"/>
        <v>0</v>
      </c>
      <c r="BM98">
        <f ca="1"/>
        <v>0</v>
      </c>
      <c r="BN98">
        <f ca="1"/>
        <v>0</v>
      </c>
      <c r="BO98">
        <f ca="1"/>
        <v>0</v>
      </c>
      <c r="BP98">
        <f ca="1"/>
        <v>0</v>
      </c>
      <c r="BQ98">
        <f ca="1"/>
        <v>0</v>
      </c>
      <c r="BR98">
        <f ca="1"/>
        <v>0</v>
      </c>
      <c r="BS98">
        <f ca="1"/>
        <v>0</v>
      </c>
      <c r="BT98">
        <f ca="1"/>
        <v>0</v>
      </c>
      <c r="BU98">
        <f ca="1"/>
        <v>0</v>
      </c>
      <c r="BV98">
        <f ca="1"/>
        <v>0</v>
      </c>
      <c r="BW98">
        <f ca="1"/>
        <v>0</v>
      </c>
      <c r="BX98">
        <f ca="1"/>
        <v>0</v>
      </c>
      <c r="BY98">
        <f ca="1"/>
        <v>0</v>
      </c>
      <c r="BZ98">
        <f ca="1"/>
        <v>0</v>
      </c>
      <c r="CA98">
        <f ca="1"/>
        <v>0</v>
      </c>
      <c r="CB98">
        <f ca="1"/>
        <v>0</v>
      </c>
      <c r="CC98">
        <f ca="1"/>
        <v>0</v>
      </c>
      <c r="CD98">
        <f ca="1"/>
        <v>0</v>
      </c>
      <c r="CE98">
        <f ca="1"/>
        <v>0</v>
      </c>
      <c r="CF98">
        <f ca="1"/>
        <v>0</v>
      </c>
      <c r="CG98">
        <f ca="1"/>
        <v>0</v>
      </c>
      <c r="CH98">
        <f ca="1"/>
        <v>0</v>
      </c>
      <c r="CI98">
        <f ca="1"/>
        <v>0</v>
      </c>
      <c r="CJ98">
        <f ca="1"/>
        <v>0</v>
      </c>
      <c r="CK98">
        <f ca="1"/>
        <v>0</v>
      </c>
      <c r="CL98">
        <f ca="1"/>
        <v>0</v>
      </c>
      <c r="CM98">
        <f ca="1"/>
        <v>0</v>
      </c>
      <c r="CN98">
        <f ca="1"/>
        <v>0</v>
      </c>
      <c r="CO98">
        <f ca="1"/>
        <v>0</v>
      </c>
      <c r="CP98">
        <f ca="1"/>
        <v>0</v>
      </c>
    </row>
    <row r="99" spans="3:94" x14ac:dyDescent="0.25">
      <c r="C99" cm="1">
        <f t="array" aca="1" ref="C99:CP99" ca="1">IFERROR(TRANSPOSE(INDEX(_xlfn._xlws.FILTER(INDIRECT("SubcategoriesTable[Subcategory name]"),INDIRECT("SubcategoriesTable[Category name]")=$B99),,)),_xlfn.CONCAT("No subcategories for"," ", $B99))</f>
        <v>0</v>
      </c>
      <c r="D99">
        <f ca="1"/>
        <v>0</v>
      </c>
      <c r="E99">
        <f ca="1"/>
        <v>0</v>
      </c>
      <c r="F99">
        <f ca="1"/>
        <v>0</v>
      </c>
      <c r="G99">
        <f ca="1"/>
        <v>0</v>
      </c>
      <c r="H99">
        <f ca="1"/>
        <v>0</v>
      </c>
      <c r="I99">
        <f ca="1"/>
        <v>0</v>
      </c>
      <c r="J99">
        <f ca="1"/>
        <v>0</v>
      </c>
      <c r="K99">
        <f ca="1"/>
        <v>0</v>
      </c>
      <c r="L99">
        <f ca="1"/>
        <v>0</v>
      </c>
      <c r="M99">
        <f ca="1"/>
        <v>0</v>
      </c>
      <c r="N99">
        <f ca="1"/>
        <v>0</v>
      </c>
      <c r="O99">
        <f ca="1"/>
        <v>0</v>
      </c>
      <c r="P99">
        <f ca="1"/>
        <v>0</v>
      </c>
      <c r="Q99">
        <f ca="1"/>
        <v>0</v>
      </c>
      <c r="R99">
        <f ca="1"/>
        <v>0</v>
      </c>
      <c r="S99">
        <f ca="1"/>
        <v>0</v>
      </c>
      <c r="T99">
        <f ca="1"/>
        <v>0</v>
      </c>
      <c r="U99">
        <f ca="1"/>
        <v>0</v>
      </c>
      <c r="V99">
        <f ca="1"/>
        <v>0</v>
      </c>
      <c r="W99">
        <f ca="1"/>
        <v>0</v>
      </c>
      <c r="X99">
        <f ca="1"/>
        <v>0</v>
      </c>
      <c r="Y99">
        <f ca="1"/>
        <v>0</v>
      </c>
      <c r="Z99">
        <f ca="1"/>
        <v>0</v>
      </c>
      <c r="AA99">
        <f ca="1"/>
        <v>0</v>
      </c>
      <c r="AB99">
        <f ca="1"/>
        <v>0</v>
      </c>
      <c r="AC99">
        <f ca="1"/>
        <v>0</v>
      </c>
      <c r="AD99">
        <f ca="1"/>
        <v>0</v>
      </c>
      <c r="AE99">
        <f ca="1"/>
        <v>0</v>
      </c>
      <c r="AF99">
        <f ca="1"/>
        <v>0</v>
      </c>
      <c r="AG99">
        <f ca="1"/>
        <v>0</v>
      </c>
      <c r="AH99">
        <f ca="1"/>
        <v>0</v>
      </c>
      <c r="AI99">
        <f ca="1"/>
        <v>0</v>
      </c>
      <c r="AJ99">
        <f ca="1"/>
        <v>0</v>
      </c>
      <c r="AK99">
        <f ca="1"/>
        <v>0</v>
      </c>
      <c r="AL99">
        <f ca="1"/>
        <v>0</v>
      </c>
      <c r="AM99">
        <f ca="1"/>
        <v>0</v>
      </c>
      <c r="AN99">
        <f ca="1"/>
        <v>0</v>
      </c>
      <c r="AO99">
        <f ca="1"/>
        <v>0</v>
      </c>
      <c r="AP99">
        <f ca="1"/>
        <v>0</v>
      </c>
      <c r="AQ99">
        <f ca="1"/>
        <v>0</v>
      </c>
      <c r="AR99">
        <f ca="1"/>
        <v>0</v>
      </c>
      <c r="AS99">
        <f ca="1"/>
        <v>0</v>
      </c>
      <c r="AT99">
        <f ca="1"/>
        <v>0</v>
      </c>
      <c r="AU99">
        <f ca="1"/>
        <v>0</v>
      </c>
      <c r="AV99">
        <f ca="1"/>
        <v>0</v>
      </c>
      <c r="AW99">
        <f ca="1"/>
        <v>0</v>
      </c>
      <c r="AX99">
        <f ca="1"/>
        <v>0</v>
      </c>
      <c r="AY99">
        <f ca="1"/>
        <v>0</v>
      </c>
      <c r="AZ99">
        <f ca="1"/>
        <v>0</v>
      </c>
      <c r="BA99">
        <f ca="1"/>
        <v>0</v>
      </c>
      <c r="BB99">
        <f ca="1"/>
        <v>0</v>
      </c>
      <c r="BC99">
        <f ca="1"/>
        <v>0</v>
      </c>
      <c r="BD99">
        <f ca="1"/>
        <v>0</v>
      </c>
      <c r="BE99">
        <f ca="1"/>
        <v>0</v>
      </c>
      <c r="BF99">
        <f ca="1"/>
        <v>0</v>
      </c>
      <c r="BG99">
        <f ca="1"/>
        <v>0</v>
      </c>
      <c r="BH99">
        <f ca="1"/>
        <v>0</v>
      </c>
      <c r="BI99">
        <f ca="1"/>
        <v>0</v>
      </c>
      <c r="BJ99">
        <f ca="1"/>
        <v>0</v>
      </c>
      <c r="BK99">
        <f ca="1"/>
        <v>0</v>
      </c>
      <c r="BL99">
        <f ca="1"/>
        <v>0</v>
      </c>
      <c r="BM99">
        <f ca="1"/>
        <v>0</v>
      </c>
      <c r="BN99">
        <f ca="1"/>
        <v>0</v>
      </c>
      <c r="BO99">
        <f ca="1"/>
        <v>0</v>
      </c>
      <c r="BP99">
        <f ca="1"/>
        <v>0</v>
      </c>
      <c r="BQ99">
        <f ca="1"/>
        <v>0</v>
      </c>
      <c r="BR99">
        <f ca="1"/>
        <v>0</v>
      </c>
      <c r="BS99">
        <f ca="1"/>
        <v>0</v>
      </c>
      <c r="BT99">
        <f ca="1"/>
        <v>0</v>
      </c>
      <c r="BU99">
        <f ca="1"/>
        <v>0</v>
      </c>
      <c r="BV99">
        <f ca="1"/>
        <v>0</v>
      </c>
      <c r="BW99">
        <f ca="1"/>
        <v>0</v>
      </c>
      <c r="BX99">
        <f ca="1"/>
        <v>0</v>
      </c>
      <c r="BY99">
        <f ca="1"/>
        <v>0</v>
      </c>
      <c r="BZ99">
        <f ca="1"/>
        <v>0</v>
      </c>
      <c r="CA99">
        <f ca="1"/>
        <v>0</v>
      </c>
      <c r="CB99">
        <f ca="1"/>
        <v>0</v>
      </c>
      <c r="CC99">
        <f ca="1"/>
        <v>0</v>
      </c>
      <c r="CD99">
        <f ca="1"/>
        <v>0</v>
      </c>
      <c r="CE99">
        <f ca="1"/>
        <v>0</v>
      </c>
      <c r="CF99">
        <f ca="1"/>
        <v>0</v>
      </c>
      <c r="CG99">
        <f ca="1"/>
        <v>0</v>
      </c>
      <c r="CH99">
        <f ca="1"/>
        <v>0</v>
      </c>
      <c r="CI99">
        <f ca="1"/>
        <v>0</v>
      </c>
      <c r="CJ99">
        <f ca="1"/>
        <v>0</v>
      </c>
      <c r="CK99">
        <f ca="1"/>
        <v>0</v>
      </c>
      <c r="CL99">
        <f ca="1"/>
        <v>0</v>
      </c>
      <c r="CM99">
        <f ca="1"/>
        <v>0</v>
      </c>
      <c r="CN99">
        <f ca="1"/>
        <v>0</v>
      </c>
      <c r="CO99">
        <f ca="1"/>
        <v>0</v>
      </c>
      <c r="CP99">
        <f ca="1"/>
        <v>0</v>
      </c>
    </row>
    <row r="100" spans="3:94" x14ac:dyDescent="0.25">
      <c r="C100" cm="1">
        <f t="array" aca="1" ref="C100:CP100" ca="1">IFERROR(TRANSPOSE(INDEX(_xlfn._xlws.FILTER(INDIRECT("SubcategoriesTable[Subcategory name]"),INDIRECT("SubcategoriesTable[Category name]")=$B100),,)),_xlfn.CONCAT("No subcategories for"," ", $B100))</f>
        <v>0</v>
      </c>
      <c r="D100">
        <f ca="1"/>
        <v>0</v>
      </c>
      <c r="E100">
        <f ca="1"/>
        <v>0</v>
      </c>
      <c r="F100">
        <f ca="1"/>
        <v>0</v>
      </c>
      <c r="G100">
        <f ca="1"/>
        <v>0</v>
      </c>
      <c r="H100">
        <f ca="1"/>
        <v>0</v>
      </c>
      <c r="I100">
        <f ca="1"/>
        <v>0</v>
      </c>
      <c r="J100">
        <f ca="1"/>
        <v>0</v>
      </c>
      <c r="K100">
        <f ca="1"/>
        <v>0</v>
      </c>
      <c r="L100">
        <f ca="1"/>
        <v>0</v>
      </c>
      <c r="M100">
        <f ca="1"/>
        <v>0</v>
      </c>
      <c r="N100">
        <f ca="1"/>
        <v>0</v>
      </c>
      <c r="O100">
        <f ca="1"/>
        <v>0</v>
      </c>
      <c r="P100">
        <f ca="1"/>
        <v>0</v>
      </c>
      <c r="Q100">
        <f ca="1"/>
        <v>0</v>
      </c>
      <c r="R100">
        <f ca="1"/>
        <v>0</v>
      </c>
      <c r="S100">
        <f ca="1"/>
        <v>0</v>
      </c>
      <c r="T100">
        <f ca="1"/>
        <v>0</v>
      </c>
      <c r="U100">
        <f ca="1"/>
        <v>0</v>
      </c>
      <c r="V100">
        <f ca="1"/>
        <v>0</v>
      </c>
      <c r="W100">
        <f ca="1"/>
        <v>0</v>
      </c>
      <c r="X100">
        <f ca="1"/>
        <v>0</v>
      </c>
      <c r="Y100">
        <f ca="1"/>
        <v>0</v>
      </c>
      <c r="Z100">
        <f ca="1"/>
        <v>0</v>
      </c>
      <c r="AA100">
        <f ca="1"/>
        <v>0</v>
      </c>
      <c r="AB100">
        <f ca="1"/>
        <v>0</v>
      </c>
      <c r="AC100">
        <f ca="1"/>
        <v>0</v>
      </c>
      <c r="AD100">
        <f ca="1"/>
        <v>0</v>
      </c>
      <c r="AE100">
        <f ca="1"/>
        <v>0</v>
      </c>
      <c r="AF100">
        <f ca="1"/>
        <v>0</v>
      </c>
      <c r="AG100">
        <f ca="1"/>
        <v>0</v>
      </c>
      <c r="AH100">
        <f ca="1"/>
        <v>0</v>
      </c>
      <c r="AI100">
        <f ca="1"/>
        <v>0</v>
      </c>
      <c r="AJ100">
        <f ca="1"/>
        <v>0</v>
      </c>
      <c r="AK100">
        <f ca="1"/>
        <v>0</v>
      </c>
      <c r="AL100">
        <f ca="1"/>
        <v>0</v>
      </c>
      <c r="AM100">
        <f ca="1"/>
        <v>0</v>
      </c>
      <c r="AN100">
        <f ca="1"/>
        <v>0</v>
      </c>
      <c r="AO100">
        <f ca="1"/>
        <v>0</v>
      </c>
      <c r="AP100">
        <f ca="1"/>
        <v>0</v>
      </c>
      <c r="AQ100">
        <f ca="1"/>
        <v>0</v>
      </c>
      <c r="AR100">
        <f ca="1"/>
        <v>0</v>
      </c>
      <c r="AS100">
        <f ca="1"/>
        <v>0</v>
      </c>
      <c r="AT100">
        <f ca="1"/>
        <v>0</v>
      </c>
      <c r="AU100">
        <f ca="1"/>
        <v>0</v>
      </c>
      <c r="AV100">
        <f ca="1"/>
        <v>0</v>
      </c>
      <c r="AW100">
        <f ca="1"/>
        <v>0</v>
      </c>
      <c r="AX100">
        <f ca="1"/>
        <v>0</v>
      </c>
      <c r="AY100">
        <f ca="1"/>
        <v>0</v>
      </c>
      <c r="AZ100">
        <f ca="1"/>
        <v>0</v>
      </c>
      <c r="BA100">
        <f ca="1"/>
        <v>0</v>
      </c>
      <c r="BB100">
        <f ca="1"/>
        <v>0</v>
      </c>
      <c r="BC100">
        <f ca="1"/>
        <v>0</v>
      </c>
      <c r="BD100">
        <f ca="1"/>
        <v>0</v>
      </c>
      <c r="BE100">
        <f ca="1"/>
        <v>0</v>
      </c>
      <c r="BF100">
        <f ca="1"/>
        <v>0</v>
      </c>
      <c r="BG100">
        <f ca="1"/>
        <v>0</v>
      </c>
      <c r="BH100">
        <f ca="1"/>
        <v>0</v>
      </c>
      <c r="BI100">
        <f ca="1"/>
        <v>0</v>
      </c>
      <c r="BJ100">
        <f ca="1"/>
        <v>0</v>
      </c>
      <c r="BK100">
        <f ca="1"/>
        <v>0</v>
      </c>
      <c r="BL100">
        <f ca="1"/>
        <v>0</v>
      </c>
      <c r="BM100">
        <f ca="1"/>
        <v>0</v>
      </c>
      <c r="BN100">
        <f ca="1"/>
        <v>0</v>
      </c>
      <c r="BO100">
        <f ca="1"/>
        <v>0</v>
      </c>
      <c r="BP100">
        <f ca="1"/>
        <v>0</v>
      </c>
      <c r="BQ100">
        <f ca="1"/>
        <v>0</v>
      </c>
      <c r="BR100">
        <f ca="1"/>
        <v>0</v>
      </c>
      <c r="BS100">
        <f ca="1"/>
        <v>0</v>
      </c>
      <c r="BT100">
        <f ca="1"/>
        <v>0</v>
      </c>
      <c r="BU100">
        <f ca="1"/>
        <v>0</v>
      </c>
      <c r="BV100">
        <f ca="1"/>
        <v>0</v>
      </c>
      <c r="BW100">
        <f ca="1"/>
        <v>0</v>
      </c>
      <c r="BX100">
        <f ca="1"/>
        <v>0</v>
      </c>
      <c r="BY100">
        <f ca="1"/>
        <v>0</v>
      </c>
      <c r="BZ100">
        <f ca="1"/>
        <v>0</v>
      </c>
      <c r="CA100">
        <f ca="1"/>
        <v>0</v>
      </c>
      <c r="CB100">
        <f ca="1"/>
        <v>0</v>
      </c>
      <c r="CC100">
        <f ca="1"/>
        <v>0</v>
      </c>
      <c r="CD100">
        <f ca="1"/>
        <v>0</v>
      </c>
      <c r="CE100">
        <f ca="1"/>
        <v>0</v>
      </c>
      <c r="CF100">
        <f ca="1"/>
        <v>0</v>
      </c>
      <c r="CG100">
        <f ca="1"/>
        <v>0</v>
      </c>
      <c r="CH100">
        <f ca="1"/>
        <v>0</v>
      </c>
      <c r="CI100">
        <f ca="1"/>
        <v>0</v>
      </c>
      <c r="CJ100">
        <f ca="1"/>
        <v>0</v>
      </c>
      <c r="CK100">
        <f ca="1"/>
        <v>0</v>
      </c>
      <c r="CL100">
        <f ca="1"/>
        <v>0</v>
      </c>
      <c r="CM100">
        <f ca="1"/>
        <v>0</v>
      </c>
      <c r="CN100">
        <f ca="1"/>
        <v>0</v>
      </c>
      <c r="CO100">
        <f ca="1"/>
        <v>0</v>
      </c>
      <c r="CP100">
        <f ca="1"/>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4D496-5FF3-4FCD-939D-4BEB0FCC716D}">
  <dimension ref="A1:I8"/>
  <sheetViews>
    <sheetView workbookViewId="0">
      <selection activeCell="E1" sqref="E1:I2"/>
    </sheetView>
  </sheetViews>
  <sheetFormatPr defaultRowHeight="15" x14ac:dyDescent="0.25"/>
  <cols>
    <col min="1" max="1" width="5.140625" bestFit="1" customWidth="1"/>
    <col min="2" max="2" width="18.140625" bestFit="1" customWidth="1"/>
    <col min="3" max="3" width="21.85546875" bestFit="1" customWidth="1"/>
    <col min="5" max="5" width="5.140625" bestFit="1" customWidth="1"/>
    <col min="6" max="6" width="14.85546875" bestFit="1" customWidth="1"/>
    <col min="7" max="7" width="11.42578125" bestFit="1" customWidth="1"/>
    <col min="8" max="8" width="16" bestFit="1" customWidth="1"/>
    <col min="9" max="9" width="19.7109375" bestFit="1" customWidth="1"/>
  </cols>
  <sheetData>
    <row r="1" spans="1:9" x14ac:dyDescent="0.25">
      <c r="A1" t="s">
        <v>75</v>
      </c>
      <c r="B1" t="s">
        <v>85</v>
      </c>
      <c r="C1" t="s">
        <v>86</v>
      </c>
      <c r="E1" t="s">
        <v>75</v>
      </c>
      <c r="F1" t="s">
        <v>87</v>
      </c>
      <c r="G1" s="163" t="s">
        <v>88</v>
      </c>
      <c r="H1" t="s">
        <v>89</v>
      </c>
      <c r="I1" t="s">
        <v>90</v>
      </c>
    </row>
    <row r="2" spans="1:9" x14ac:dyDescent="0.25">
      <c r="A2" t="s">
        <v>175</v>
      </c>
      <c r="B2" t="s">
        <v>176</v>
      </c>
      <c r="C2" t="s">
        <v>176</v>
      </c>
      <c r="E2" t="s">
        <v>177</v>
      </c>
      <c r="F2" t="s">
        <v>175</v>
      </c>
      <c r="G2" s="163" t="s">
        <v>178</v>
      </c>
      <c r="H2" t="s">
        <v>179</v>
      </c>
      <c r="I2" t="s">
        <v>179</v>
      </c>
    </row>
    <row r="3" spans="1:9" x14ac:dyDescent="0.25">
      <c r="A3" t="s">
        <v>94</v>
      </c>
      <c r="B3" t="s">
        <v>95</v>
      </c>
      <c r="C3" t="s">
        <v>95</v>
      </c>
      <c r="E3" t="s">
        <v>105</v>
      </c>
      <c r="F3" t="s">
        <v>94</v>
      </c>
      <c r="G3" s="163" t="s">
        <v>106</v>
      </c>
      <c r="H3" t="s">
        <v>107</v>
      </c>
      <c r="I3" t="s">
        <v>107</v>
      </c>
    </row>
    <row r="4" spans="1:9" x14ac:dyDescent="0.25">
      <c r="A4" t="s">
        <v>96</v>
      </c>
      <c r="B4" t="s">
        <v>97</v>
      </c>
      <c r="C4" t="s">
        <v>97</v>
      </c>
      <c r="E4" t="s">
        <v>108</v>
      </c>
      <c r="F4" t="s">
        <v>96</v>
      </c>
      <c r="G4" s="163" t="s">
        <v>109</v>
      </c>
      <c r="H4" t="s">
        <v>110</v>
      </c>
      <c r="I4" t="s">
        <v>110</v>
      </c>
    </row>
    <row r="5" spans="1:9" x14ac:dyDescent="0.25">
      <c r="A5" s="164" t="s">
        <v>98</v>
      </c>
      <c r="B5" t="s">
        <v>99</v>
      </c>
      <c r="C5" t="s">
        <v>99</v>
      </c>
      <c r="E5" t="s">
        <v>111</v>
      </c>
      <c r="F5" s="164" t="s">
        <v>98</v>
      </c>
      <c r="G5" s="163" t="s">
        <v>112</v>
      </c>
      <c r="H5" t="s">
        <v>113</v>
      </c>
      <c r="I5" t="s">
        <v>113</v>
      </c>
    </row>
    <row r="6" spans="1:9" x14ac:dyDescent="0.25">
      <c r="A6" t="s">
        <v>100</v>
      </c>
      <c r="B6" t="s">
        <v>101</v>
      </c>
      <c r="C6" t="s">
        <v>101</v>
      </c>
      <c r="E6" t="s">
        <v>114</v>
      </c>
      <c r="F6" s="164" t="s">
        <v>98</v>
      </c>
      <c r="G6" s="163" t="s">
        <v>112</v>
      </c>
      <c r="H6" t="s">
        <v>115</v>
      </c>
      <c r="I6" t="s">
        <v>115</v>
      </c>
    </row>
    <row r="7" spans="1:9" x14ac:dyDescent="0.25">
      <c r="A7" t="s">
        <v>92</v>
      </c>
      <c r="B7" t="s">
        <v>93</v>
      </c>
      <c r="C7" t="s">
        <v>93</v>
      </c>
      <c r="E7" t="s">
        <v>116</v>
      </c>
      <c r="F7" t="s">
        <v>100</v>
      </c>
      <c r="G7" s="163" t="s">
        <v>117</v>
      </c>
      <c r="H7" t="s">
        <v>118</v>
      </c>
      <c r="I7" t="s">
        <v>118</v>
      </c>
    </row>
    <row r="8" spans="1:9" x14ac:dyDescent="0.25">
      <c r="E8" t="s">
        <v>102</v>
      </c>
      <c r="F8" t="s">
        <v>92</v>
      </c>
      <c r="G8" s="163" t="s">
        <v>103</v>
      </c>
      <c r="H8" t="s">
        <v>104</v>
      </c>
      <c r="I8" t="s">
        <v>104</v>
      </c>
    </row>
  </sheetData>
  <sheetProtection formatCells="0" formatColumns="0" formatRows="0" insertColumns="0" insertRows="0" deleteColumns="0" sort="0" autoFilter="0"/>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Template>TM11846055</Template>
  <Application>Microsoft Excel</Application>
  <DocSecurity>0</DocSecurity>
  <ScaleCrop>false</ScaleCrop>
  <HeadingPairs>
    <vt:vector size="4" baseType="variant">
      <vt:variant>
        <vt:lpstr>Worksheets</vt:lpstr>
      </vt:variant>
      <vt:variant>
        <vt:i4>13</vt:i4>
      </vt:variant>
      <vt:variant>
        <vt:lpstr>Named Ranges</vt:lpstr>
      </vt:variant>
      <vt:variant>
        <vt:i4>9</vt:i4>
      </vt:variant>
    </vt:vector>
  </HeadingPairs>
  <TitlesOfParts>
    <vt:vector size="22" baseType="lpstr">
      <vt:lpstr>Transactions</vt:lpstr>
      <vt:lpstr>Spotify</vt:lpstr>
      <vt:lpstr>Verizon</vt:lpstr>
      <vt:lpstr>Amazon Prime</vt:lpstr>
      <vt:lpstr>Shen Life</vt:lpstr>
      <vt:lpstr>Paymentus</vt:lpstr>
      <vt:lpstr>TransAmerica</vt:lpstr>
      <vt:lpstr>RecurringExpenses</vt:lpstr>
      <vt:lpstr>Snapshot</vt:lpstr>
      <vt:lpstr>Categories_deprecated_2jdI</vt:lpstr>
      <vt:lpstr>Categories</vt:lpstr>
      <vt:lpstr>HiddenCategories</vt:lpstr>
      <vt:lpstr>Institutions</vt:lpstr>
      <vt:lpstr>CategoryIdentifiers</vt:lpstr>
      <vt:lpstr>CategoryNames</vt:lpstr>
      <vt:lpstr>RecurringExpenses!FrequencyKey</vt:lpstr>
      <vt:lpstr>RecurringExpenses!FrequencyValue</vt:lpstr>
      <vt:lpstr>HiddenCategoriesSubcategoryNames</vt:lpstr>
      <vt:lpstr>HiddenCategoriesSubcategoryNamesRows</vt:lpstr>
      <vt:lpstr>snapshot_month</vt:lpstr>
      <vt:lpstr>SubcategoryNames</vt:lpstr>
      <vt:lpstr>user_custom_categories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2020-06-12T20:59:23Z</dcterms:created>
  <dcterms:modified xsi:type="dcterms:W3CDTF">2021-04-17T23:20:22Z</dcterms:modified>
  <cp:category/>
  <cp:contentStatus/>
</cp:coreProperties>
</file>