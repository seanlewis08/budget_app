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nl\Documents\Budget\"/>
    </mc:Choice>
  </mc:AlternateContent>
  <xr:revisionPtr revIDLastSave="0" documentId="13_ncr:1_{742D5622-4284-4237-A19E-87481B9739D4}" xr6:coauthVersionLast="47" xr6:coauthVersionMax="47" xr10:uidLastSave="{00000000-0000-0000-0000-000000000000}"/>
  <bookViews>
    <workbookView xWindow="-120" yWindow="-120" windowWidth="38640" windowHeight="15720" activeTab="1" xr2:uid="{9B4732E1-0CB0-4638-963D-92FF4CA4CB0E}"/>
  </bookViews>
  <sheets>
    <sheet name="Sheet1" sheetId="1" r:id="rId1"/>
    <sheet name="Income" sheetId="3" r:id="rId2"/>
    <sheet name="Federal Tax Estimate" sheetId="4" r:id="rId3"/>
    <sheet name="Tax Table" sheetId="5" r:id="rId4"/>
  </sheets>
  <externalReferences>
    <externalReference r:id="rId5"/>
    <externalReference r:id="rId6"/>
    <externalReference r:id="rId7"/>
  </externalReferences>
  <definedNames>
    <definedName name="Allowance">#REF!</definedName>
    <definedName name="AprSun1">DATE(CalendarYear,4,1)-WEEKDAY(DATE(CalendarYear,4,1))</definedName>
    <definedName name="AugSun1">DATE(CalendarYear,8,1)-WEEKDAY(DATE(CalendarYear,8,1))</definedName>
    <definedName name="BaseTRSHH">'[1]Base Rate Schedules'!$F$32:$H$38</definedName>
    <definedName name="Box2c">#REF!</definedName>
    <definedName name="CalendarYear">[0]!Year1</definedName>
    <definedName name="Categories">OFFSET(#REF!,0,0,COUNTIF(#REF!,"&lt;&gt;"&amp;"--"),1)</definedName>
    <definedName name="CategoryIdentifiers">[2]Categories!$B$8:$B$273</definedName>
    <definedName name="CategoryNames" localSheetId="1">#REF!</definedName>
    <definedName name="CategoryNames">[2]Categories!$C$8:$C$273</definedName>
    <definedName name="DecSun1">DATE(CalendarYear,12,1)-WEEKDAY(DATE(CalendarYear,12,1))</definedName>
    <definedName name="Essential">#REF!</definedName>
    <definedName name="Expense_Lookup">[3]Discover!$S:$T</definedName>
    <definedName name="FebSun1">DATE(CalendarYear,2,1)-WEEKDAY(DATE(CalendarYear,2,1))</definedName>
    <definedName name="FilStat19">#REF!</definedName>
    <definedName name="FilStat20">#REF!</definedName>
    <definedName name="HiddenCategoriesCategoryNames">_xlfn.ANCHORARRAY([2]HiddenCategories!$B$2)</definedName>
    <definedName name="HWRSHH">#REF!</definedName>
    <definedName name="HWRSMJ">#REF!</definedName>
    <definedName name="HWRSS">#REF!</definedName>
    <definedName name="JanSun1">DATE(CalendarYear,1,1)-WEEKDAY(DATE(CalendarYear,1,1))</definedName>
    <definedName name="JulSun1">DATE(CalendarYear,7,1)-WEEKDAY(DATE(CalendarYear,7,1))</definedName>
    <definedName name="JunSun1">DATE(CalendarYear,6,1)-WEEKDAY(DATE(CalendarYear,6,1))</definedName>
    <definedName name="LastCol">COUNTA('[3]PERSONAL BUDGET - WIP'!$4:$4)+1</definedName>
    <definedName name="MarSun1">DATE(CalendarYear,3,1)-WEEKDAY(DATE(CalendarYear,3,1))</definedName>
    <definedName name="MaySun1">DATE(CalendarYear,5,1)-WEEKDAY(DATE(CalendarYear,5,1))</definedName>
    <definedName name="MonthlyBudgetAvailableDates">_xlfn.ANCHORARRAY([2]MonthlyBudgetHidden!$C$2)</definedName>
    <definedName name="MonthlyBudgetNearestTransactionDate">[2]MonthlyBudgetHidden!$C$2</definedName>
    <definedName name="MonthlyBudgetUnusedCategoryNames">_xlfn.ANCHORARRAY([2]MonthlyBudgetHidden!$G$2)</definedName>
    <definedName name="MonthlyBudgetUsedCategoryNames">_xlfn.ANCHORARRAY([2]MonthlyBudgetHidden!$E$2)</definedName>
    <definedName name="MonthlyBudgetValidCategoryNames">_xlfn.ANCHORARRAY([2]MonthlyBudgetHidden!$D$2)</definedName>
    <definedName name="Months">OFFSET([2]Snapshot!$V$7,0,0,COUNTIF([2]Snapshot!$V$7:$V$200,"&lt;&gt;"&amp;"--"),1)</definedName>
    <definedName name="Non_Essential">#REF!</definedName>
    <definedName name="NovSun1">DATE(CalendarYear,11,1)-WEEKDAY(DATE(CalendarYear,11,1))</definedName>
    <definedName name="OctSun1">DATE(CalendarYear,10,1)-WEEKDAY(DATE(CalendarYear,10,1))</definedName>
    <definedName name="PayFreq">#REF!</definedName>
    <definedName name="PrintArea_SET">OFFSET('[3]PERSONAL BUDGET - WIP'!$C$2,,,MATCH(REPT("z",255),'[3]PERSONAL BUDGET - WIP'!$C:$C),LastCol)</definedName>
    <definedName name="SDHH">#REF!</definedName>
    <definedName name="SDMJ">#REF!</definedName>
    <definedName name="SDS">#REF!</definedName>
    <definedName name="SepSun1">DATE(CalendarYear,9,1)-WEEKDAY(DATE(CalendarYear,9,1))</definedName>
    <definedName name="SubcategoryNames">[2]Categories!$I$8:$I$251</definedName>
    <definedName name="TRSHH">#REF!</definedName>
    <definedName name="TRSMJ">#REF!</definedName>
    <definedName name="TRSS">#REF!</definedName>
    <definedName name="Update12p">#REF!</definedName>
    <definedName name="Update22p">#REF!</definedName>
    <definedName name="Update24p">#REF!</definedName>
    <definedName name="Update32p">#REF!</definedName>
    <definedName name="Update35p">#REF!</definedName>
    <definedName name="Update37p">#REF!</definedName>
    <definedName name="UpdateWA">#REF!</definedName>
    <definedName name="user_custom_categories">#REF!</definedName>
    <definedName name="Version">#REF!</definedName>
    <definedName name="WRSHH">#REF!</definedName>
    <definedName name="WRSHH2020">#REF!</definedName>
    <definedName name="WRSMJ">#REF!</definedName>
    <definedName name="WRSMJ2020">#REF!</definedName>
    <definedName name="WRSS">#REF!</definedName>
    <definedName name="WRSS2020">#REF!</definedName>
    <definedName name="Year1">VALUE(LEFT(#REF!,4))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4" i="3" l="1"/>
  <c r="AF14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3" i="3"/>
  <c r="AF34" i="3"/>
  <c r="AF35" i="3"/>
  <c r="AF36" i="3"/>
  <c r="AF38" i="3"/>
  <c r="AF39" i="3"/>
  <c r="AF40" i="3"/>
  <c r="AF15" i="3"/>
  <c r="AF18" i="3"/>
  <c r="AE40" i="3"/>
  <c r="AE39" i="3"/>
  <c r="AE38" i="3"/>
  <c r="AE15" i="3"/>
  <c r="AD40" i="3"/>
  <c r="AD39" i="3"/>
  <c r="AD38" i="3"/>
  <c r="AD15" i="3"/>
  <c r="AC40" i="3"/>
  <c r="AC39" i="3"/>
  <c r="AC38" i="3"/>
  <c r="AC15" i="3"/>
  <c r="AB40" i="3"/>
  <c r="AB39" i="3"/>
  <c r="AB38" i="3"/>
  <c r="AB15" i="3"/>
  <c r="AA40" i="3"/>
  <c r="AA39" i="3"/>
  <c r="AA38" i="3"/>
  <c r="AA15" i="3"/>
  <c r="AA34" i="3" s="1"/>
  <c r="Z40" i="3"/>
  <c r="Z39" i="3"/>
  <c r="Z38" i="3"/>
  <c r="Z15" i="3"/>
  <c r="S41" i="3"/>
  <c r="Y40" i="3"/>
  <c r="Y30" i="3"/>
  <c r="Y15" i="3"/>
  <c r="Y39" i="3"/>
  <c r="Y38" i="3"/>
  <c r="Y36" i="3"/>
  <c r="R30" i="3"/>
  <c r="R15" i="3"/>
  <c r="S30" i="3"/>
  <c r="S15" i="3"/>
  <c r="T30" i="3"/>
  <c r="T15" i="3"/>
  <c r="U30" i="3"/>
  <c r="V30" i="3"/>
  <c r="W30" i="3"/>
  <c r="X30" i="3"/>
  <c r="U15" i="3"/>
  <c r="V15" i="3"/>
  <c r="W15" i="3"/>
  <c r="X15" i="3"/>
  <c r="X40" i="3"/>
  <c r="X39" i="3"/>
  <c r="X38" i="3"/>
  <c r="W40" i="3"/>
  <c r="W39" i="3"/>
  <c r="W38" i="3"/>
  <c r="R40" i="3"/>
  <c r="S40" i="3"/>
  <c r="T40" i="3"/>
  <c r="U40" i="3"/>
  <c r="V40" i="3"/>
  <c r="V39" i="3"/>
  <c r="V38" i="3"/>
  <c r="U39" i="3"/>
  <c r="U38" i="3"/>
  <c r="U35" i="3"/>
  <c r="T39" i="3"/>
  <c r="T38" i="3"/>
  <c r="T33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B39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R38" i="3"/>
  <c r="S38" i="3"/>
  <c r="N15" i="3"/>
  <c r="O15" i="3"/>
  <c r="P15" i="3"/>
  <c r="R33" i="3"/>
  <c r="M37" i="4"/>
  <c r="C5" i="5"/>
  <c r="C6" i="5"/>
  <c r="C7" i="5"/>
  <c r="C8" i="5"/>
  <c r="C9" i="5"/>
  <c r="C4" i="5"/>
  <c r="AF21" i="3" l="1"/>
  <c r="AF37" i="3" s="1"/>
  <c r="AF17" i="3"/>
  <c r="AF30" i="3" s="1"/>
  <c r="AF42" i="3" s="1"/>
  <c r="AF19" i="3"/>
  <c r="AE30" i="3"/>
  <c r="AE33" i="3"/>
  <c r="AE34" i="3"/>
  <c r="AE35" i="3"/>
  <c r="AE36" i="3"/>
  <c r="AD30" i="3"/>
  <c r="AD33" i="3"/>
  <c r="AD34" i="3"/>
  <c r="AD35" i="3"/>
  <c r="AD36" i="3"/>
  <c r="AC30" i="3"/>
  <c r="AC33" i="3"/>
  <c r="AC34" i="3"/>
  <c r="AC35" i="3"/>
  <c r="AC36" i="3"/>
  <c r="AB30" i="3"/>
  <c r="AB33" i="3"/>
  <c r="AB34" i="3"/>
  <c r="AB35" i="3"/>
  <c r="AB36" i="3"/>
  <c r="AA33" i="3"/>
  <c r="AA35" i="3"/>
  <c r="AA36" i="3"/>
  <c r="AA30" i="3"/>
  <c r="Z30" i="3"/>
  <c r="Z33" i="3"/>
  <c r="Z34" i="3"/>
  <c r="Z35" i="3"/>
  <c r="Z36" i="3"/>
  <c r="Y33" i="3"/>
  <c r="Y34" i="3"/>
  <c r="Y35" i="3"/>
  <c r="X33" i="3"/>
  <c r="X34" i="3"/>
  <c r="X35" i="3"/>
  <c r="X36" i="3"/>
  <c r="W33" i="3"/>
  <c r="W34" i="3"/>
  <c r="W35" i="3"/>
  <c r="W36" i="3"/>
  <c r="V33" i="3"/>
  <c r="V34" i="3"/>
  <c r="V35" i="3"/>
  <c r="V36" i="3"/>
  <c r="U33" i="3"/>
  <c r="U34" i="3"/>
  <c r="U36" i="3"/>
  <c r="T35" i="3"/>
  <c r="T36" i="3"/>
  <c r="T34" i="3"/>
  <c r="S35" i="3"/>
  <c r="S36" i="3"/>
  <c r="R36" i="3"/>
  <c r="R35" i="3"/>
  <c r="S33" i="3"/>
  <c r="S34" i="3"/>
  <c r="R34" i="3"/>
  <c r="Q14" i="3"/>
  <c r="Q15" i="3" l="1"/>
  <c r="Q38" i="3"/>
  <c r="Q35" i="3"/>
  <c r="Q36" i="3"/>
  <c r="P33" i="3"/>
  <c r="P36" i="3"/>
  <c r="P34" i="3"/>
  <c r="P35" i="3"/>
  <c r="M5" i="4"/>
  <c r="M6" i="4"/>
  <c r="D15" i="3"/>
  <c r="E15" i="3"/>
  <c r="F15" i="3"/>
  <c r="G15" i="3"/>
  <c r="H15" i="3"/>
  <c r="I15" i="3"/>
  <c r="J15" i="3"/>
  <c r="K15" i="3"/>
  <c r="L15" i="3"/>
  <c r="M15" i="3"/>
  <c r="P30" i="3"/>
  <c r="C15" i="3"/>
  <c r="B15" i="3"/>
  <c r="H30" i="3" l="1"/>
  <c r="H36" i="3"/>
  <c r="H35" i="3"/>
  <c r="H34" i="3"/>
  <c r="H33" i="3"/>
  <c r="F30" i="3"/>
  <c r="F36" i="3"/>
  <c r="F35" i="3"/>
  <c r="F34" i="3"/>
  <c r="F33" i="3"/>
  <c r="D30" i="3"/>
  <c r="D35" i="3"/>
  <c r="D34" i="3"/>
  <c r="D36" i="3"/>
  <c r="D33" i="3"/>
  <c r="C30" i="3"/>
  <c r="C34" i="3"/>
  <c r="C33" i="3"/>
  <c r="C35" i="3"/>
  <c r="C36" i="3"/>
  <c r="G30" i="3"/>
  <c r="G36" i="3"/>
  <c r="G35" i="3"/>
  <c r="G34" i="3"/>
  <c r="G33" i="3"/>
  <c r="E30" i="3"/>
  <c r="E35" i="3"/>
  <c r="E34" i="3"/>
  <c r="E33" i="3"/>
  <c r="E36" i="3"/>
  <c r="N30" i="3"/>
  <c r="N36" i="3"/>
  <c r="N34" i="3"/>
  <c r="N35" i="3"/>
  <c r="N33" i="3"/>
  <c r="I30" i="3"/>
  <c r="I36" i="3"/>
  <c r="I35" i="3"/>
  <c r="I34" i="3"/>
  <c r="I33" i="3"/>
  <c r="B30" i="3"/>
  <c r="B34" i="3"/>
  <c r="B35" i="3"/>
  <c r="B36" i="3"/>
  <c r="B33" i="3"/>
  <c r="O30" i="3"/>
  <c r="O36" i="3"/>
  <c r="O33" i="3"/>
  <c r="O35" i="3"/>
  <c r="O34" i="3"/>
  <c r="M30" i="3"/>
  <c r="M36" i="3"/>
  <c r="M35" i="3"/>
  <c r="M34" i="3"/>
  <c r="M33" i="3"/>
  <c r="L30" i="3"/>
  <c r="L36" i="3"/>
  <c r="L35" i="3"/>
  <c r="L34" i="3"/>
  <c r="L33" i="3"/>
  <c r="K30" i="3"/>
  <c r="K36" i="3"/>
  <c r="K35" i="3"/>
  <c r="K34" i="3"/>
  <c r="K33" i="3"/>
  <c r="J30" i="3"/>
  <c r="J36" i="3"/>
  <c r="J35" i="3"/>
  <c r="J34" i="3"/>
  <c r="J33" i="3"/>
  <c r="M7" i="4"/>
  <c r="M11" i="4" s="1"/>
  <c r="M15" i="4" s="1"/>
  <c r="M26" i="4" l="1"/>
  <c r="A4" i="5"/>
  <c r="A5" i="5"/>
  <c r="A6" i="5"/>
  <c r="A7" i="5"/>
  <c r="A8" i="5"/>
  <c r="A9" i="5"/>
  <c r="A10" i="5"/>
  <c r="A3" i="5"/>
  <c r="M29" i="4" l="1"/>
  <c r="M28" i="4"/>
  <c r="M27" i="4"/>
  <c r="M30" i="4" s="1"/>
  <c r="M31" i="4" l="1"/>
  <c r="M32" i="4" s="1"/>
  <c r="M33" i="4" s="1"/>
  <c r="M38" i="4" l="1"/>
  <c r="M42" i="4" s="1"/>
  <c r="Q33" i="3" l="1"/>
  <c r="Q30" i="3"/>
  <c r="Q34" i="3"/>
</calcChain>
</file>

<file path=xl/sharedStrings.xml><?xml version="1.0" encoding="utf-8"?>
<sst xmlns="http://schemas.openxmlformats.org/spreadsheetml/2006/main" count="190" uniqueCount="141">
  <si>
    <t>Period</t>
  </si>
  <si>
    <t>Earnings</t>
  </si>
  <si>
    <t>Pre Tax Deductions</t>
  </si>
  <si>
    <t>Employee Taxes</t>
  </si>
  <si>
    <t>Post Tax Deductions</t>
  </si>
  <si>
    <t>Net Pay</t>
  </si>
  <si>
    <t>05/31/2021 - 06/13/2021 (Bi-Weekly (Payroll))</t>
  </si>
  <si>
    <t>06/14/2021 - 06/27/2021 (Bi-Weekly (Payroll))</t>
  </si>
  <si>
    <t>06/28/2021 - 07/11/2021 (Bi-Weekly (Payroll))</t>
  </si>
  <si>
    <t>07/12/2021 - 07/25/2021 (Bi-Weekly (Payroll))</t>
  </si>
  <si>
    <t>07/26/2021 - 08/08/2021 (Bi-Weekly (Payroll))</t>
  </si>
  <si>
    <t>08/09/2021 - 08/22/2021 (Bi-Weekly (Payroll))</t>
  </si>
  <si>
    <t>08/23/2021 - 09/05/2021 (Bi-Weekly (Payroll))</t>
  </si>
  <si>
    <t>09/06/2021 - 09/19/2021 (Bi-Weekly (Payroll))</t>
  </si>
  <si>
    <t>09/20/2021 - 10/03/2021 (Bi-Weekly (Payroll))</t>
  </si>
  <si>
    <t>10/04/2021 - 10/17/2021 (Bi-Weekly (Payroll))</t>
  </si>
  <si>
    <t>10/18/2021 - 10/31/2021 (Bi-Weekly (Payroll))</t>
  </si>
  <si>
    <t>11/01/2021 - 11/14/2021 (Bi-Weekly (Payroll))</t>
  </si>
  <si>
    <t>11/15/2021 - 11/28/2021 (Bi-Weekly (Payroll))</t>
  </si>
  <si>
    <t>11/29/2021 - 12/12/2021 (Bi-Weekly (Payroll))</t>
  </si>
  <si>
    <t>12/13/2021 - 12/26/2021 (Bi-Weekly (Payroll))</t>
  </si>
  <si>
    <t>Totals</t>
  </si>
  <si>
    <t>Bonus - Non Discretionary</t>
  </si>
  <si>
    <t>Grossed Up Earnings</t>
  </si>
  <si>
    <t>LTD Benefit Credit</t>
  </si>
  <si>
    <t>My Health Completion Credit</t>
  </si>
  <si>
    <t>Regular</t>
  </si>
  <si>
    <t>Bravo Award - No Cash Net</t>
  </si>
  <si>
    <t>Charitable Giving</t>
  </si>
  <si>
    <t>Federal</t>
  </si>
  <si>
    <t>Health Savings Account</t>
  </si>
  <si>
    <t>Life Insurance Coverage</t>
  </si>
  <si>
    <t>Long Term Disability Coverage</t>
  </si>
  <si>
    <t>Medical Coverage</t>
  </si>
  <si>
    <t>Medicare</t>
  </si>
  <si>
    <t>Nationwide Savings Plan</t>
  </si>
  <si>
    <t>NSP AfterTax Deduction NonRoth</t>
  </si>
  <si>
    <t>OASDI</t>
  </si>
  <si>
    <t>Roth 401k Deduction - ROTH</t>
  </si>
  <si>
    <t>State Tax (VA)</t>
  </si>
  <si>
    <t>State Tax (AZ)</t>
  </si>
  <si>
    <t>Supplemental Accident Coverage</t>
  </si>
  <si>
    <t>Vision Coverage</t>
  </si>
  <si>
    <t>Net Income</t>
  </si>
  <si>
    <t>Taxes</t>
  </si>
  <si>
    <t>Federal and FICA Taxable Wages</t>
  </si>
  <si>
    <t>Table 3</t>
  </si>
  <si>
    <t>Semiannually</t>
  </si>
  <si>
    <t>Quarterly</t>
  </si>
  <si>
    <t>Monthly</t>
  </si>
  <si>
    <t>Semimonthly</t>
  </si>
  <si>
    <t>Biweekly</t>
  </si>
  <si>
    <t>Weekly</t>
  </si>
  <si>
    <t>Daily</t>
  </si>
  <si>
    <t>Step 1.</t>
  </si>
  <si>
    <t>Adjust the employee's payment amount</t>
  </si>
  <si>
    <t>1a</t>
  </si>
  <si>
    <t>Enter the employee’s total taxable wages this payroll period</t>
  </si>
  <si>
    <t>1b</t>
  </si>
  <si>
    <t>Enter the number of pay periods you have per year (see Table 3)</t>
  </si>
  <si>
    <t>1c</t>
  </si>
  <si>
    <t>Multiply the amount on line 1a by the number on line 1b</t>
  </si>
  <si>
    <r>
      <t>If the employee </t>
    </r>
    <r>
      <rPr>
        <b/>
        <sz val="12"/>
        <color rgb="FF1B1B1B"/>
        <rFont val="Source Sans Pro"/>
        <family val="2"/>
      </rPr>
      <t>HAS</t>
    </r>
    <r>
      <rPr>
        <sz val="12"/>
        <color rgb="FF1B1B1B"/>
        <rFont val="Source Sans Pro"/>
        <family val="2"/>
      </rPr>
      <t> submitted a Form W-4 for 2020 or later, figure the Adjusted Annual Wage Amount as follows:</t>
    </r>
  </si>
  <si>
    <t>1d</t>
  </si>
  <si>
    <t>Enter the amount from Step 4(a) of the employee's Form W-4</t>
  </si>
  <si>
    <t>1e</t>
  </si>
  <si>
    <t>Add lines 1c and 1d</t>
  </si>
  <si>
    <t>1f</t>
  </si>
  <si>
    <t>Enter the amount from Step 4(b) of the employee's Form W-4</t>
  </si>
  <si>
    <t>1g</t>
  </si>
  <si>
    <t>If the box in Step 2 of Form W-4 is checked, enter -0-. If the box is not checked, enter $12,900 if the taxpayer is married filing jointly or $8,600 otherwise</t>
  </si>
  <si>
    <t>1h</t>
  </si>
  <si>
    <t>Add lines 1f and 1g</t>
  </si>
  <si>
    <t>1i</t>
  </si>
  <si>
    <r>
      <t>Subtract line 1h from line 1e. If zero or less, enter -0-. This is the </t>
    </r>
    <r>
      <rPr>
        <b/>
        <sz val="12"/>
        <color rgb="FF1B1B1B"/>
        <rFont val="Source Sans Pro"/>
        <family val="2"/>
      </rPr>
      <t>Adjusted Annual Wage Amount</t>
    </r>
  </si>
  <si>
    <r>
      <t>If the employee </t>
    </r>
    <r>
      <rPr>
        <b/>
        <sz val="12"/>
        <color rgb="FF1B1B1B"/>
        <rFont val="Source Sans Pro"/>
        <family val="2"/>
      </rPr>
      <t>HAS NOT</t>
    </r>
    <r>
      <rPr>
        <sz val="12"/>
        <color rgb="FF1B1B1B"/>
        <rFont val="Source Sans Pro"/>
        <family val="2"/>
      </rPr>
      <t> submitted a Form W-4 for 2020 or later, figure the Adjusted Annual Wage Amount as follows:</t>
    </r>
  </si>
  <si>
    <t>1j</t>
  </si>
  <si>
    <t>Enter the number of allowances claimed on the employee's most recent Form W-4</t>
  </si>
  <si>
    <t>1k</t>
  </si>
  <si>
    <t>Multiply line 1j by $4,300</t>
  </si>
  <si>
    <t>1l</t>
  </si>
  <si>
    <r>
      <t>Subtract line 1k from line 1c. If zero or less, enter -0-. This is the</t>
    </r>
    <r>
      <rPr>
        <b/>
        <sz val="12"/>
        <color rgb="FF1B1B1B"/>
        <rFont val="Source Sans Pro"/>
        <family val="2"/>
      </rPr>
      <t> Adjusted Annual Wage Amount</t>
    </r>
  </si>
  <si>
    <t>Step 2.</t>
  </si>
  <si>
    <t>Figure the Tentative Withholding Amount</t>
  </si>
  <si>
    <t>based on the employee's Adjusted Annual Wage Amount; filing status (Step 1(c) of the 2020 or later Form W-4) or marital status (line 3 of Form W-4 from 2019 or earlier); and whether the box in Step 2 of 2020 or later Form W-4 is checked.</t>
  </si>
  <si>
    <r>
      <t>Note.</t>
    </r>
    <r>
      <rPr>
        <sz val="12"/>
        <color rgb="FF1B1B1B"/>
        <rFont val="Source Sans Pro"/>
        <family val="2"/>
      </rPr>
      <t> Don't use the Head of Household table if the Form W-4 is from 2019 or earlier.</t>
    </r>
  </si>
  <si>
    <t>2a</t>
  </si>
  <si>
    <r>
      <t>Enter the employee's </t>
    </r>
    <r>
      <rPr>
        <b/>
        <sz val="12"/>
        <color rgb="FF1B1B1B"/>
        <rFont val="Source Sans Pro"/>
        <family val="2"/>
      </rPr>
      <t>Adjusted Annual Wage Amount</t>
    </r>
    <r>
      <rPr>
        <sz val="12"/>
        <color rgb="FF1B1B1B"/>
        <rFont val="Source Sans Pro"/>
        <family val="2"/>
      </rPr>
      <t> from line 1i or 1l above</t>
    </r>
  </si>
  <si>
    <t>2b</t>
  </si>
  <si>
    <r>
      <t>Find the row in the appropriate </t>
    </r>
    <r>
      <rPr>
        <b/>
        <sz val="12"/>
        <color rgb="FF1B1B1B"/>
        <rFont val="Source Sans Pro"/>
        <family val="2"/>
      </rPr>
      <t>Annual</t>
    </r>
    <r>
      <rPr>
        <sz val="12"/>
        <color rgb="FF1B1B1B"/>
        <rFont val="Source Sans Pro"/>
        <family val="2"/>
      </rPr>
      <t> Percentage Method table in which the amount on line 2a is at least the amount in column A but less than the amount in column B, then enter here the amount from column A of that row</t>
    </r>
  </si>
  <si>
    <t>2c</t>
  </si>
  <si>
    <t>Enter the amount from column C of that row</t>
  </si>
  <si>
    <t>2d</t>
  </si>
  <si>
    <t>Enter the percentage from column D of that row</t>
  </si>
  <si>
    <t>2e</t>
  </si>
  <si>
    <t>Subtract line 2b from line 2a</t>
  </si>
  <si>
    <t>2f</t>
  </si>
  <si>
    <t>Multiply the amount on line 2e by the percentage on line 2d</t>
  </si>
  <si>
    <t>2g</t>
  </si>
  <si>
    <t>Add lines 2c and 2f</t>
  </si>
  <si>
    <t>2h</t>
  </si>
  <si>
    <r>
      <t>Divide the amount on line 2g by the number of pay periods on line 1b. This is the </t>
    </r>
    <r>
      <rPr>
        <b/>
        <sz val="12"/>
        <color rgb="FF1B1B1B"/>
        <rFont val="Source Sans Pro"/>
        <family val="2"/>
      </rPr>
      <t>Tentative Withholding Amount</t>
    </r>
  </si>
  <si>
    <t>Step 3.</t>
  </si>
  <si>
    <t>Account for tax credits</t>
  </si>
  <si>
    <t>3a</t>
  </si>
  <si>
    <t>If the employee's Form W-4 is from 2020 or later, enter the amount from Step 3 of that form; otherwise, enter -0-</t>
  </si>
  <si>
    <t>3b</t>
  </si>
  <si>
    <t>Divide the amount on line 3a by the number of pay periods on line 1b</t>
  </si>
  <si>
    <t>3c</t>
  </si>
  <si>
    <t>Subtract line 3b from line 2h. If zero or less, enter -0-</t>
  </si>
  <si>
    <t>Step 4.</t>
  </si>
  <si>
    <t>Figure the final amount to withhold</t>
  </si>
  <si>
    <t>4a</t>
  </si>
  <si>
    <t>Enter the additional amount to withhold from the employee’s Form W-4 (Step 4(c) of the 2020 or later form or line 6 on earlier forms)</t>
  </si>
  <si>
    <t>4b</t>
  </si>
  <si>
    <r>
      <t>Add lines 3c and 4a. </t>
    </r>
    <r>
      <rPr>
        <b/>
        <sz val="12"/>
        <color rgb="FF1B1B1B"/>
        <rFont val="Source Sans Pro"/>
        <family val="2"/>
      </rPr>
      <t>This is the amount to withhold from the employee’s wages this pay period</t>
    </r>
  </si>
  <si>
    <t>Single or Married Filing Separately</t>
  </si>
  <si>
    <t>Head of Household</t>
  </si>
  <si>
    <t>A</t>
  </si>
  <si>
    <t>B</t>
  </si>
  <si>
    <t>C</t>
  </si>
  <si>
    <t>D</t>
  </si>
  <si>
    <t>E</t>
  </si>
  <si>
    <t>Group Accident Coverage</t>
  </si>
  <si>
    <t>01/24/2021 - 02/06/2021 (Bi-Weekly (Payroll))</t>
  </si>
  <si>
    <t xml:space="preserve">Roth </t>
  </si>
  <si>
    <t>01/10/2022 - 01/23/2022 (Bi-Weekly (Payroll))</t>
  </si>
  <si>
    <t>12/27/2021 - 01/09/2022 (Bi-Weekly (Payroll))</t>
  </si>
  <si>
    <t>02/07/2022 - 02/20/2022 (Bi-Weekly (Payroll))</t>
  </si>
  <si>
    <t>02/07/2022 - 03/06/2022 (Bi-Weekly (Payroll))</t>
  </si>
  <si>
    <t>03/07/2022 - 03/20/2022 (Bi-Weekly (Payroll))</t>
  </si>
  <si>
    <t>03/20/2022 - 04/03/2022 (Bi-Weekly (Payroll))</t>
  </si>
  <si>
    <t xml:space="preserve"> 04/04/2022 - 04/17/2022 (Bi-Weekly (Payroll))</t>
  </si>
  <si>
    <t xml:space="preserve"> 04/18/2022 - 05/02/2022 (Bi-Weekly (Payroll))</t>
  </si>
  <si>
    <t xml:space="preserve"> 05/02/2022 - 05/15/2022 (Bi-Weekly (Payroll))</t>
  </si>
  <si>
    <t xml:space="preserve"> 05/16/2022 - 05/29/2022 (Bi-Weekly (Payroll))</t>
  </si>
  <si>
    <t xml:space="preserve"> 05/30/2022 - 06/12/2022 (Bi-Weekly (Payroll))</t>
  </si>
  <si>
    <t xml:space="preserve"> 06/13/2022 - 06/26/2022 (Bi-Weekly (Payroll))</t>
  </si>
  <si>
    <t xml:space="preserve"> 06/27/2022 - 07/10/2022 (Bi-Weekly (Payroll))</t>
  </si>
  <si>
    <t xml:space="preserve"> 07/11/2022 - 07/24/2022 (Bi-Weekly (Payroll))</t>
  </si>
  <si>
    <t>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</si>
</sst>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6" formatCode="0.000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4A4A4A"/>
      <name val="Roboto"/>
    </font>
    <font>
      <sz val="9"/>
      <color rgb="FF333333"/>
      <name val="Inherit"/>
    </font>
    <font>
      <sz val="9"/>
      <color theme="1"/>
      <name val="Roboto"/>
    </font>
    <font>
      <sz val="9"/>
      <color theme="1"/>
      <name val="Inherit"/>
    </font>
    <font>
      <sz val="9"/>
      <color rgb="FF1E1E1E"/>
      <name val="Inherit"/>
    </font>
    <font>
      <sz val="12"/>
      <color rgb="FF333333"/>
      <name val="Inherit"/>
    </font>
    <font>
      <i/>
      <sz val="12"/>
      <color rgb="FF1E1E1E"/>
      <name val="Inherit"/>
    </font>
    <font>
      <i/>
      <sz val="12"/>
      <color theme="1"/>
      <name val="Inherit"/>
    </font>
    <font>
      <sz val="12"/>
      <color rgb="FF4A4A4A"/>
      <name val="Roboto"/>
    </font>
    <font>
      <sz val="12"/>
      <color theme="1"/>
      <name val="Roboto"/>
    </font>
    <font>
      <sz val="12"/>
      <color rgb="FF1B1B1B"/>
      <name val="Source Sans Pro"/>
      <family val="2"/>
    </font>
    <font>
      <b/>
      <sz val="12"/>
      <color rgb="FF1B1B1B"/>
      <name val="Source Sans Pro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CEE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DCDDDF"/>
      </left>
      <right/>
      <top style="medium">
        <color rgb="FFDCDDDF"/>
      </top>
      <bottom/>
      <diagonal/>
    </border>
    <border>
      <left style="medium">
        <color rgb="FFDCDDDF"/>
      </left>
      <right/>
      <top/>
      <bottom/>
      <diagonal/>
    </border>
    <border>
      <left style="medium">
        <color rgb="FFDCDDDF"/>
      </left>
      <right style="medium">
        <color rgb="FFDCDDDF"/>
      </right>
      <top style="medium">
        <color rgb="FFC6C6C5"/>
      </top>
      <bottom/>
      <diagonal/>
    </border>
    <border>
      <left style="medium">
        <color rgb="FFDCDDDF"/>
      </left>
      <right/>
      <top style="medium">
        <color rgb="FFC6C6C5"/>
      </top>
      <bottom/>
      <diagonal/>
    </border>
    <border>
      <left style="medium">
        <color rgb="FFDCDDDF"/>
      </left>
      <right style="medium">
        <color rgb="FFDCDDDF"/>
      </right>
      <top style="medium">
        <color rgb="FFDCDDDF"/>
      </top>
      <bottom/>
      <diagonal/>
    </border>
    <border>
      <left/>
      <right/>
      <top style="medium">
        <color rgb="FFC6C6C5"/>
      </top>
      <bottom style="medium">
        <color rgb="FFC6C6C5"/>
      </bottom>
      <diagonal/>
    </border>
    <border>
      <left style="medium">
        <color rgb="FFDCDDDF"/>
      </left>
      <right/>
      <top style="medium">
        <color rgb="FFC6C6C5"/>
      </top>
      <bottom style="medium">
        <color rgb="FFC6C6C5"/>
      </bottom>
      <diagonal/>
    </border>
    <border>
      <left/>
      <right/>
      <top style="medium">
        <color rgb="FFDCDDDF"/>
      </top>
      <bottom/>
      <diagonal/>
    </border>
    <border>
      <left/>
      <right style="medium">
        <color rgb="FFDCDDDF"/>
      </right>
      <top style="medium">
        <color rgb="FFC6C6C5"/>
      </top>
      <bottom/>
      <diagonal/>
    </border>
    <border>
      <left/>
      <right style="medium">
        <color rgb="FFDCDDDF"/>
      </right>
      <top style="medium">
        <color rgb="FFDCDDD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CDDDF"/>
      </right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 applyNumberFormat="0" applyFill="0" applyBorder="0" applyProtection="0"/>
    <xf numFmtId="44" fontId="14" fillId="0" borderId="0" applyFont="0" applyFill="0" applyBorder="0" applyAlignment="0" applyProtection="0"/>
    <xf numFmtId="0" fontId="14" fillId="0" borderId="0" applyNumberFormat="0" applyFill="0" applyBorder="0" applyProtection="0"/>
    <xf numFmtId="0" fontId="15" fillId="0" borderId="0"/>
  </cellStyleXfs>
  <cellXfs count="87">
    <xf numFmtId="0" fontId="0" fillId="0" borderId="0" xfId="0"/>
    <xf numFmtId="0" fontId="0" fillId="4" borderId="0" xfId="0" applyFill="1"/>
    <xf numFmtId="0" fontId="6" fillId="3" borderId="8" xfId="0" applyFont="1" applyFill="1" applyBorder="1" applyAlignment="1">
      <alignment vertical="top" wrapText="1"/>
    </xf>
    <xf numFmtId="8" fontId="5" fillId="3" borderId="1" xfId="0" applyNumberFormat="1" applyFont="1" applyFill="1" applyBorder="1" applyAlignment="1">
      <alignment horizontal="right" vertical="center"/>
    </xf>
    <xf numFmtId="0" fontId="2" fillId="5" borderId="9" xfId="0" applyFont="1" applyFill="1" applyBorder="1" applyAlignment="1">
      <alignment vertical="top" wrapText="1"/>
    </xf>
    <xf numFmtId="0" fontId="2" fillId="4" borderId="10" xfId="0" applyFont="1" applyFill="1" applyBorder="1" applyAlignment="1">
      <alignment vertical="top" wrapText="1"/>
    </xf>
    <xf numFmtId="0" fontId="2" fillId="5" borderId="10" xfId="0" applyFont="1" applyFill="1" applyBorder="1" applyAlignment="1">
      <alignment vertical="top" wrapText="1"/>
    </xf>
    <xf numFmtId="0" fontId="2" fillId="6" borderId="10" xfId="0" applyFont="1" applyFill="1" applyBorder="1" applyAlignment="1">
      <alignment vertical="top" wrapText="1"/>
    </xf>
    <xf numFmtId="8" fontId="4" fillId="5" borderId="5" xfId="0" applyNumberFormat="1" applyFont="1" applyFill="1" applyBorder="1" applyAlignment="1">
      <alignment vertical="center"/>
    </xf>
    <xf numFmtId="8" fontId="4" fillId="5" borderId="1" xfId="0" applyNumberFormat="1" applyFont="1" applyFill="1" applyBorder="1" applyAlignment="1">
      <alignment vertical="center"/>
    </xf>
    <xf numFmtId="8" fontId="4" fillId="4" borderId="5" xfId="0" applyNumberFormat="1" applyFont="1" applyFill="1" applyBorder="1" applyAlignment="1">
      <alignment vertical="center"/>
    </xf>
    <xf numFmtId="8" fontId="4" fillId="4" borderId="1" xfId="0" applyNumberFormat="1" applyFont="1" applyFill="1" applyBorder="1" applyAlignment="1">
      <alignment vertical="center"/>
    </xf>
    <xf numFmtId="8" fontId="4" fillId="6" borderId="5" xfId="0" applyNumberFormat="1" applyFont="1" applyFill="1" applyBorder="1" applyAlignment="1">
      <alignment vertical="center"/>
    </xf>
    <xf numFmtId="8" fontId="4" fillId="6" borderId="1" xfId="0" applyNumberFormat="1" applyFont="1" applyFill="1" applyBorder="1" applyAlignment="1">
      <alignment vertical="center"/>
    </xf>
    <xf numFmtId="8" fontId="4" fillId="5" borderId="3" xfId="0" applyNumberFormat="1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8" fontId="4" fillId="5" borderId="4" xfId="0" applyNumberFormat="1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right" vertical="center"/>
    </xf>
    <xf numFmtId="0" fontId="0" fillId="0" borderId="0" xfId="0" applyAlignment="1"/>
    <xf numFmtId="0" fontId="7" fillId="2" borderId="6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vertical="center" wrapText="1"/>
    </xf>
    <xf numFmtId="0" fontId="8" fillId="7" borderId="0" xfId="0" applyFont="1" applyFill="1" applyAlignment="1">
      <alignment vertical="top" wrapText="1"/>
    </xf>
    <xf numFmtId="0" fontId="9" fillId="7" borderId="2" xfId="0" applyFont="1" applyFill="1" applyBorder="1" applyAlignment="1">
      <alignment vertical="top" wrapText="1"/>
    </xf>
    <xf numFmtId="0" fontId="10" fillId="4" borderId="10" xfId="0" applyFont="1" applyFill="1" applyBorder="1" applyAlignment="1">
      <alignment vertical="top" wrapText="1"/>
    </xf>
    <xf numFmtId="0" fontId="11" fillId="4" borderId="5" xfId="0" applyFont="1" applyFill="1" applyBorder="1" applyAlignment="1">
      <alignment vertical="center"/>
    </xf>
    <xf numFmtId="0" fontId="11" fillId="6" borderId="5" xfId="0" applyFont="1" applyFill="1" applyBorder="1" applyAlignment="1">
      <alignment vertical="center"/>
    </xf>
    <xf numFmtId="8" fontId="11" fillId="4" borderId="5" xfId="0" applyNumberFormat="1" applyFont="1" applyFill="1" applyBorder="1" applyAlignment="1">
      <alignment vertical="center"/>
    </xf>
    <xf numFmtId="0" fontId="10" fillId="5" borderId="10" xfId="0" applyFont="1" applyFill="1" applyBorder="1" applyAlignment="1">
      <alignment vertical="top" wrapText="1"/>
    </xf>
    <xf numFmtId="8" fontId="11" fillId="5" borderId="5" xfId="0" applyNumberFormat="1" applyFont="1" applyFill="1" applyBorder="1" applyAlignment="1">
      <alignment vertical="center"/>
    </xf>
    <xf numFmtId="0" fontId="11" fillId="5" borderId="5" xfId="0" applyFont="1" applyFill="1" applyBorder="1" applyAlignment="1">
      <alignment vertical="center"/>
    </xf>
    <xf numFmtId="0" fontId="8" fillId="7" borderId="8" xfId="0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8" fontId="11" fillId="4" borderId="1" xfId="0" applyNumberFormat="1" applyFont="1" applyFill="1" applyBorder="1" applyAlignment="1">
      <alignment vertical="center"/>
    </xf>
    <xf numFmtId="8" fontId="11" fillId="5" borderId="1" xfId="0" applyNumberFormat="1" applyFont="1" applyFill="1" applyBorder="1" applyAlignment="1">
      <alignment vertical="center"/>
    </xf>
    <xf numFmtId="0" fontId="10" fillId="8" borderId="8" xfId="0" applyFont="1" applyFill="1" applyBorder="1" applyAlignment="1">
      <alignment vertical="top" wrapText="1"/>
    </xf>
    <xf numFmtId="8" fontId="11" fillId="8" borderId="8" xfId="0" applyNumberFormat="1" applyFont="1" applyFill="1" applyBorder="1" applyAlignment="1">
      <alignment vertical="center"/>
    </xf>
    <xf numFmtId="8" fontId="0" fillId="0" borderId="0" xfId="0" applyNumberFormat="1"/>
    <xf numFmtId="44" fontId="0" fillId="0" borderId="0" xfId="1" applyFont="1"/>
    <xf numFmtId="44" fontId="10" fillId="8" borderId="10" xfId="1" applyNumberFormat="1" applyFont="1" applyFill="1" applyBorder="1" applyAlignment="1">
      <alignment vertical="top" wrapText="1"/>
    </xf>
    <xf numFmtId="44" fontId="0" fillId="0" borderId="0" xfId="1" applyNumberFormat="1" applyFont="1"/>
    <xf numFmtId="10" fontId="0" fillId="0" borderId="0" xfId="2" applyNumberFormat="1" applyFont="1"/>
    <xf numFmtId="0" fontId="13" fillId="4" borderId="0" xfId="0" applyFont="1" applyFill="1" applyAlignment="1">
      <alignment horizontal="center" vertical="top" wrapText="1"/>
    </xf>
    <xf numFmtId="0" fontId="12" fillId="4" borderId="0" xfId="0" applyFont="1" applyFill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12" fillId="4" borderId="0" xfId="0" applyFont="1" applyFill="1" applyAlignment="1">
      <alignment horizontal="left" vertical="top" wrapText="1"/>
    </xf>
    <xf numFmtId="0" fontId="12" fillId="4" borderId="0" xfId="0" applyFont="1" applyFill="1" applyAlignment="1">
      <alignment horizontal="right" vertical="top" wrapText="1"/>
    </xf>
    <xf numFmtId="0" fontId="13" fillId="4" borderId="11" xfId="0" applyFont="1" applyFill="1" applyBorder="1" applyAlignment="1">
      <alignment horizontal="center" vertical="top" wrapText="1"/>
    </xf>
    <xf numFmtId="0" fontId="13" fillId="4" borderId="11" xfId="0" applyFont="1" applyFill="1" applyBorder="1" applyAlignment="1">
      <alignment vertical="top" wrapText="1"/>
    </xf>
    <xf numFmtId="0" fontId="12" fillId="4" borderId="11" xfId="0" applyFont="1" applyFill="1" applyBorder="1" applyAlignment="1">
      <alignment horizontal="center" vertical="top" wrapText="1"/>
    </xf>
    <xf numFmtId="0" fontId="12" fillId="4" borderId="11" xfId="0" applyFont="1" applyFill="1" applyBorder="1" applyAlignment="1">
      <alignment vertical="top" wrapText="1"/>
    </xf>
    <xf numFmtId="0" fontId="12" fillId="4" borderId="0" xfId="0" applyFont="1" applyFill="1" applyAlignment="1">
      <alignment vertical="top"/>
    </xf>
    <xf numFmtId="0" fontId="13" fillId="4" borderId="0" xfId="0" applyFont="1" applyFill="1" applyAlignment="1">
      <alignment vertical="top"/>
    </xf>
    <xf numFmtId="0" fontId="13" fillId="4" borderId="11" xfId="0" applyFont="1" applyFill="1" applyBorder="1" applyAlignment="1">
      <alignment horizontal="center" vertical="top"/>
    </xf>
    <xf numFmtId="0" fontId="12" fillId="4" borderId="1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6" fontId="12" fillId="4" borderId="11" xfId="0" applyNumberFormat="1" applyFont="1" applyFill="1" applyBorder="1" applyAlignment="1">
      <alignment horizontal="center" vertical="top" wrapText="1"/>
    </xf>
    <xf numFmtId="8" fontId="12" fillId="4" borderId="11" xfId="0" applyNumberFormat="1" applyFont="1" applyFill="1" applyBorder="1" applyAlignment="1">
      <alignment horizontal="center" vertical="top" wrapText="1"/>
    </xf>
    <xf numFmtId="9" fontId="12" fillId="4" borderId="11" xfId="0" applyNumberFormat="1" applyFont="1" applyFill="1" applyBorder="1" applyAlignment="1">
      <alignment horizontal="center" vertical="top" wrapText="1"/>
    </xf>
    <xf numFmtId="44" fontId="0" fillId="4" borderId="0" xfId="1" applyFont="1" applyFill="1" applyBorder="1"/>
    <xf numFmtId="44" fontId="12" fillId="4" borderId="0" xfId="1" applyFont="1" applyFill="1" applyBorder="1" applyAlignment="1">
      <alignment horizontal="center" vertical="top" wrapText="1"/>
    </xf>
    <xf numFmtId="44" fontId="12" fillId="4" borderId="0" xfId="1" applyFont="1" applyFill="1" applyBorder="1" applyAlignment="1">
      <alignment vertical="top" wrapText="1"/>
    </xf>
    <xf numFmtId="44" fontId="13" fillId="4" borderId="0" xfId="1" applyFont="1" applyFill="1" applyBorder="1" applyAlignment="1">
      <alignment vertical="top" wrapText="1"/>
    </xf>
    <xf numFmtId="44" fontId="12" fillId="4" borderId="11" xfId="1" applyFont="1" applyFill="1" applyBorder="1" applyAlignment="1">
      <alignment vertical="top" wrapText="1"/>
    </xf>
    <xf numFmtId="44" fontId="12" fillId="8" borderId="11" xfId="1" applyFont="1" applyFill="1" applyBorder="1" applyAlignment="1">
      <alignment vertical="top" wrapText="1"/>
    </xf>
    <xf numFmtId="44" fontId="13" fillId="4" borderId="11" xfId="1" applyFont="1" applyFill="1" applyBorder="1" applyAlignment="1">
      <alignment vertical="top" wrapText="1"/>
    </xf>
    <xf numFmtId="44" fontId="12" fillId="4" borderId="11" xfId="1" applyFont="1" applyFill="1" applyBorder="1" applyAlignment="1">
      <alignment horizontal="right" vertical="top" wrapText="1"/>
    </xf>
    <xf numFmtId="44" fontId="12" fillId="4" borderId="11" xfId="1" applyFont="1" applyFill="1" applyBorder="1" applyAlignment="1">
      <alignment horizontal="left" vertical="top" wrapText="1"/>
    </xf>
    <xf numFmtId="44" fontId="0" fillId="4" borderId="11" xfId="1" applyFont="1" applyFill="1" applyBorder="1"/>
    <xf numFmtId="9" fontId="12" fillId="4" borderId="11" xfId="2" applyFont="1" applyFill="1" applyBorder="1" applyAlignment="1">
      <alignment horizontal="right" vertical="top" wrapText="1"/>
    </xf>
    <xf numFmtId="8" fontId="12" fillId="4" borderId="11" xfId="1" applyNumberFormat="1" applyFont="1" applyFill="1" applyBorder="1" applyAlignment="1">
      <alignment vertical="top" wrapText="1"/>
    </xf>
    <xf numFmtId="0" fontId="12" fillId="4" borderId="0" xfId="0" applyFont="1" applyFill="1" applyAlignment="1">
      <alignment horizontal="left" vertical="top" wrapText="1"/>
    </xf>
    <xf numFmtId="0" fontId="12" fillId="4" borderId="0" xfId="0" applyFont="1" applyFill="1" applyAlignment="1">
      <alignment horizontal="center" vertical="top" wrapText="1"/>
    </xf>
    <xf numFmtId="164" fontId="0" fillId="0" borderId="0" xfId="2" applyNumberFormat="1" applyFont="1"/>
    <xf numFmtId="0" fontId="10" fillId="5" borderId="8" xfId="0" applyFont="1" applyFill="1" applyBorder="1" applyAlignment="1">
      <alignment vertical="top" wrapText="1"/>
    </xf>
    <xf numFmtId="8" fontId="11" fillId="4" borderId="8" xfId="0" applyNumberFormat="1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8" fontId="0" fillId="0" borderId="0" xfId="0" applyNumberFormat="1" applyBorder="1"/>
    <xf numFmtId="0" fontId="0" fillId="0" borderId="0" xfId="0" applyBorder="1"/>
    <xf numFmtId="10" fontId="0" fillId="0" borderId="0" xfId="2" applyNumberFormat="1" applyFont="1" applyBorder="1"/>
    <xf numFmtId="164" fontId="0" fillId="0" borderId="0" xfId="2" applyNumberFormat="1" applyFont="1" applyBorder="1"/>
    <xf numFmtId="10" fontId="0" fillId="0" borderId="0" xfId="2" applyNumberFormat="1" applyFont="1" applyFill="1" applyBorder="1"/>
    <xf numFmtId="0" fontId="10" fillId="5" borderId="12" xfId="0" applyFont="1" applyFill="1" applyBorder="1" applyAlignment="1">
      <alignment vertical="top" wrapText="1"/>
    </xf>
    <xf numFmtId="9" fontId="0" fillId="0" borderId="0" xfId="2" applyFont="1" applyBorder="1"/>
    <xf numFmtId="0" fontId="7" fillId="9" borderId="7" xfId="0" applyFont="1" applyFill="1" applyBorder="1" applyAlignment="1">
      <alignment horizontal="center" vertical="center" wrapText="1"/>
    </xf>
    <xf numFmtId="166" fontId="0" fillId="0" borderId="0" xfId="2" applyNumberFormat="1" applyFont="1" applyFill="1" applyBorder="1"/>
  </cellXfs>
  <cellStyles count="7">
    <cellStyle name="Currency" xfId="1" builtinId="4"/>
    <cellStyle name="Currency 2" xfId="4" xr:uid="{A3E025CB-CC3A-40F4-8C97-0D534E29F63C}"/>
    <cellStyle name="Normal" xfId="0" builtinId="0"/>
    <cellStyle name="Normal 2" xfId="3" xr:uid="{486348DC-FC14-430D-AF1A-6ADEE2A20F23}"/>
    <cellStyle name="Normal 2 2" xfId="6" xr:uid="{8F4B088A-9D8E-48DA-B330-217EAAB0F5D7}"/>
    <cellStyle name="Normal 3" xfId="5" xr:uid="{F52DE7F7-1E83-43C8-A99B-5225E32C9E1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104775</xdr:rowOff>
    </xdr:to>
    <xdr:sp macro="" textlink="">
      <xdr:nvSpPr>
        <xdr:cNvPr id="1025" name="AutoShape 1" descr="Sean Lewis">
          <a:extLst>
            <a:ext uri="{FF2B5EF4-FFF2-40B4-BE49-F238E27FC236}">
              <a16:creationId xmlns:a16="http://schemas.microsoft.com/office/drawing/2014/main" id="{54DFB605-481D-4AF4-A8EE-9B686B1FA46F}"/>
            </a:ext>
          </a:extLst>
        </xdr:cNvPr>
        <xdr:cNvSpPr>
          <a:spLocks noChangeAspect="1" noChangeArrowheads="1"/>
        </xdr:cNvSpPr>
      </xdr:nvSpPr>
      <xdr:spPr bwMode="auto">
        <a:xfrm>
          <a:off x="0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BDA8F4-ED57-4E38-9453-FCD977EC2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1830C6-2A8A-4621-B93E-6BEEE1A8D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FA2E77-A112-46D7-B1C7-96B7C593E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88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346096-A9BC-44BD-8E7C-63647E88F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7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B0604A6-4AD6-48E4-BC8C-868315734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50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590BA52-AD2E-4D02-920A-BACC292B1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6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25CF39F-8568-40CE-82A2-17267BFCB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789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F89371D-9FD3-4A61-AA86-83E44171F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933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93AAD72-FB0F-4415-B22D-24F960A15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07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65C8A3E-CDC1-4CC0-B827-DC0014679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22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9525</xdr:colOff>
      <xdr:row>8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347C0E5-8474-4249-9E28-6DB0305D3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36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7D4B5DF-C4E0-4C1B-A6A8-AC4C0948B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509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FEA84E8-6E72-4B78-AD8D-27C7AF9EF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653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</xdr:colOff>
      <xdr:row>11</xdr:row>
      <xdr:rowOff>9525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E8F65F2-650A-4972-B9D0-28077F20F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79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A42894E-3F68-402C-A84A-A12DB2554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94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A2331E3-8CAE-4046-BC10-E863BC8A5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08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505A314-B184-45C1-B641-9D43BE07C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229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9525</xdr:colOff>
      <xdr:row>15</xdr:row>
      <xdr:rowOff>9525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44E4C2D-015D-4DF4-ADC5-0E6C38AE6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373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9525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5F06D48-1CF1-4E67-9B40-149345E13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51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B556EB-9434-4F8F-8C88-E322B431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234A87-B8AE-4A84-BF07-EE652381F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B27248-43AD-40A6-98C7-1271FE9FC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</xdr:colOff>
      <xdr:row>29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5ED294-8687-46CA-90E9-759011690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9525</xdr:colOff>
      <xdr:row>26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F4CC9E6-610C-4917-A998-A442AF4D7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</xdr:colOff>
      <xdr:row>29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882C153-3602-40FA-ACEA-D31FCB218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</xdr:colOff>
      <xdr:row>29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913B9DC-5830-41C5-9D40-49BA03650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</xdr:colOff>
      <xdr:row>29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6B21AED-A970-4A9F-B1E1-1AE6E5BF8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</xdr:colOff>
      <xdr:row>29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9D1BC89-800B-4B91-AADF-A290E766D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</xdr:colOff>
      <xdr:row>29</xdr:row>
      <xdr:rowOff>9525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3108FA3-A12E-43D8-9EB1-6896797BA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</xdr:colOff>
      <xdr:row>29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A1FC20-0C49-4C86-9ADB-527A4C599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4487E74-3A25-4018-9AEA-E9B2C3562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</xdr:colOff>
      <xdr:row>29</xdr:row>
      <xdr:rowOff>9525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6ED291C-FABE-4BD9-A8CC-B0D7217C3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</xdr:colOff>
      <xdr:row>29</xdr:row>
      <xdr:rowOff>9525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5092DCB-1574-4D95-8024-D6556418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</xdr:colOff>
      <xdr:row>29</xdr:row>
      <xdr:rowOff>9525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68819F6-C140-4A36-90FC-EFC1FFDF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</xdr:colOff>
      <xdr:row>29</xdr:row>
      <xdr:rowOff>9525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66BACC2-4CBE-41A0-8428-0CBBB704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9525</xdr:colOff>
      <xdr:row>3</xdr:row>
      <xdr:rowOff>9525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9E0EE5C-AF44-4183-A2DA-A4940EAAD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18</xdr:col>
      <xdr:colOff>304800</xdr:colOff>
      <xdr:row>3</xdr:row>
      <xdr:rowOff>85725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7C7E3A4B-2C97-4237-AD7F-15849FD7CE51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9525</xdr:colOff>
      <xdr:row>4</xdr:row>
      <xdr:rowOff>9525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92A525-CAE1-454D-A110-46CD0005E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9525</xdr:colOff>
      <xdr:row>5</xdr:row>
      <xdr:rowOff>9525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D3F3320-0384-4D74-8E39-58697C4AB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9525</xdr:colOff>
      <xdr:row>6</xdr:row>
      <xdr:rowOff>9525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AA0946C-66A9-451E-9495-23DD79F72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304800</xdr:colOff>
      <xdr:row>6</xdr:row>
      <xdr:rowOff>114300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03D25F4D-C284-4E4F-847B-C46C87ECC2DA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24EB655-DE45-4B1C-9733-644FC35AE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9525</xdr:colOff>
      <xdr:row>26</xdr:row>
      <xdr:rowOff>9525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32EC292-0C41-434B-BD58-E78F48FCF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304800</xdr:colOff>
      <xdr:row>26</xdr:row>
      <xdr:rowOff>85726</xdr:rowOff>
    </xdr:to>
    <xdr:sp macro="" textlink="">
      <xdr:nvSpPr>
        <xdr:cNvPr id="33" name="AutoShape 32">
          <a:extLst>
            <a:ext uri="{FF2B5EF4-FFF2-40B4-BE49-F238E27FC236}">
              <a16:creationId xmlns:a16="http://schemas.microsoft.com/office/drawing/2014/main" id="{E9E7041E-D60B-4BA5-A0C9-DC029A786669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89FDBF6C-537C-42C4-8F54-518C35E38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E1ED596-3154-4E38-BBBD-77B776FEB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18F21354-3CBB-44CC-9D06-D22CD0268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19C0A10-46FB-4A82-95E4-784E3784B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5BCCDD4-0F82-4A70-AEBA-E19931715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304800</xdr:colOff>
      <xdr:row>30</xdr:row>
      <xdr:rowOff>114300</xdr:rowOff>
    </xdr:to>
    <xdr:sp macro="" textlink="">
      <xdr:nvSpPr>
        <xdr:cNvPr id="39" name="AutoShape 38">
          <a:extLst>
            <a:ext uri="{FF2B5EF4-FFF2-40B4-BE49-F238E27FC236}">
              <a16:creationId xmlns:a16="http://schemas.microsoft.com/office/drawing/2014/main" id="{5A4A620F-2AA2-4E12-83B8-2289E2A92DAA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97D9105-4312-450F-9F07-57F148461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304800</xdr:colOff>
      <xdr:row>30</xdr:row>
      <xdr:rowOff>114300</xdr:rowOff>
    </xdr:to>
    <xdr:sp macro="" textlink="">
      <xdr:nvSpPr>
        <xdr:cNvPr id="41" name="AutoShape 40">
          <a:extLst>
            <a:ext uri="{FF2B5EF4-FFF2-40B4-BE49-F238E27FC236}">
              <a16:creationId xmlns:a16="http://schemas.microsoft.com/office/drawing/2014/main" id="{8DF1E084-2463-4BFB-A412-615591C589DA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9525</xdr:colOff>
      <xdr:row>13</xdr:row>
      <xdr:rowOff>9525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2EA9C6C-5574-44FF-B18D-88DFB8C37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304800</xdr:colOff>
      <xdr:row>13</xdr:row>
      <xdr:rowOff>85725</xdr:rowOff>
    </xdr:to>
    <xdr:sp macro="" textlink="">
      <xdr:nvSpPr>
        <xdr:cNvPr id="43" name="AutoShape 42">
          <a:extLst>
            <a:ext uri="{FF2B5EF4-FFF2-40B4-BE49-F238E27FC236}">
              <a16:creationId xmlns:a16="http://schemas.microsoft.com/office/drawing/2014/main" id="{1E4EC3FB-545D-4155-A328-B46C5CE71F89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9525</xdr:colOff>
      <xdr:row>27</xdr:row>
      <xdr:rowOff>9525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1359CCD-65DB-4EBC-88FC-BAA9D6BD5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304800</xdr:colOff>
      <xdr:row>14</xdr:row>
      <xdr:rowOff>114300</xdr:rowOff>
    </xdr:to>
    <xdr:sp macro="" textlink="">
      <xdr:nvSpPr>
        <xdr:cNvPr id="45" name="AutoShape 44">
          <a:extLst>
            <a:ext uri="{FF2B5EF4-FFF2-40B4-BE49-F238E27FC236}">
              <a16:creationId xmlns:a16="http://schemas.microsoft.com/office/drawing/2014/main" id="{C3A3A636-666C-425C-BB52-1BD9CA83DD0C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7A101FE8-BB6B-4931-B96C-142F7D4E3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9525</xdr:colOff>
      <xdr:row>27</xdr:row>
      <xdr:rowOff>9525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9C06E253-FB63-45AB-865D-B8A923535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9525</xdr:colOff>
      <xdr:row>3</xdr:row>
      <xdr:rowOff>9525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D75AE25F-06C3-4637-90B2-C2D09FEE2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18</xdr:col>
      <xdr:colOff>304800</xdr:colOff>
      <xdr:row>3</xdr:row>
      <xdr:rowOff>85725</xdr:rowOff>
    </xdr:to>
    <xdr:sp macro="" textlink="">
      <xdr:nvSpPr>
        <xdr:cNvPr id="49" name="AutoShape 48">
          <a:extLst>
            <a:ext uri="{FF2B5EF4-FFF2-40B4-BE49-F238E27FC236}">
              <a16:creationId xmlns:a16="http://schemas.microsoft.com/office/drawing/2014/main" id="{E29DDBF2-CEAA-4F7F-84F3-307B01AC9DFB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9525</xdr:colOff>
      <xdr:row>4</xdr:row>
      <xdr:rowOff>9525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A57FAB8-390F-41AE-AE34-FB26C1BC2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9525</xdr:colOff>
      <xdr:row>5</xdr:row>
      <xdr:rowOff>9525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4B275398-654C-4E0B-951B-0AD84A5A9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9525</xdr:colOff>
      <xdr:row>6</xdr:row>
      <xdr:rowOff>9525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56113D3-5CDD-43A8-B50F-96DA60607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304800</xdr:colOff>
      <xdr:row>6</xdr:row>
      <xdr:rowOff>114300</xdr:rowOff>
    </xdr:to>
    <xdr:sp macro="" textlink="">
      <xdr:nvSpPr>
        <xdr:cNvPr id="53" name="AutoShape 52">
          <a:extLst>
            <a:ext uri="{FF2B5EF4-FFF2-40B4-BE49-F238E27FC236}">
              <a16:creationId xmlns:a16="http://schemas.microsoft.com/office/drawing/2014/main" id="{35AA415E-B376-41AE-85C1-CB38BE133ECA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A5A0010-1ABA-4C5C-8C82-A8EE22649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9525</xdr:colOff>
      <xdr:row>26</xdr:row>
      <xdr:rowOff>9525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63611964-D655-410B-8B4B-9FA3D31E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304800</xdr:colOff>
      <xdr:row>26</xdr:row>
      <xdr:rowOff>85726</xdr:rowOff>
    </xdr:to>
    <xdr:sp macro="" textlink="">
      <xdr:nvSpPr>
        <xdr:cNvPr id="56" name="AutoShape 55">
          <a:extLst>
            <a:ext uri="{FF2B5EF4-FFF2-40B4-BE49-F238E27FC236}">
              <a16:creationId xmlns:a16="http://schemas.microsoft.com/office/drawing/2014/main" id="{04636EAD-01D3-4068-9BB0-894467D4BA70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9A29567-759C-4662-B034-6A2482A1B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2518948-9A66-4A4B-B026-267B22B91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4AC01B90-D072-453A-AEED-00AAB2D18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6E45390-AA47-4748-85E8-12C73422D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ACB64753-0EB5-4EE7-B39E-41C2536DA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304800</xdr:colOff>
      <xdr:row>30</xdr:row>
      <xdr:rowOff>114300</xdr:rowOff>
    </xdr:to>
    <xdr:sp macro="" textlink="">
      <xdr:nvSpPr>
        <xdr:cNvPr id="62" name="AutoShape 61">
          <a:extLst>
            <a:ext uri="{FF2B5EF4-FFF2-40B4-BE49-F238E27FC236}">
              <a16:creationId xmlns:a16="http://schemas.microsoft.com/office/drawing/2014/main" id="{7D6B8F3E-7089-411C-9A0D-5D71894BF97A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BC337C4-FFA8-4AB0-8F77-D991CF31B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304800</xdr:colOff>
      <xdr:row>30</xdr:row>
      <xdr:rowOff>114300</xdr:rowOff>
    </xdr:to>
    <xdr:sp macro="" textlink="">
      <xdr:nvSpPr>
        <xdr:cNvPr id="64" name="AutoShape 63">
          <a:extLst>
            <a:ext uri="{FF2B5EF4-FFF2-40B4-BE49-F238E27FC236}">
              <a16:creationId xmlns:a16="http://schemas.microsoft.com/office/drawing/2014/main" id="{ECE4D76D-5171-4A99-85D1-CFEF22C55E2C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9525</xdr:colOff>
      <xdr:row>13</xdr:row>
      <xdr:rowOff>9525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8A67223-F8A2-447F-9B36-8ADC968CD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304800</xdr:colOff>
      <xdr:row>13</xdr:row>
      <xdr:rowOff>85725</xdr:rowOff>
    </xdr:to>
    <xdr:sp macro="" textlink="">
      <xdr:nvSpPr>
        <xdr:cNvPr id="66" name="AutoShape 65">
          <a:extLst>
            <a:ext uri="{FF2B5EF4-FFF2-40B4-BE49-F238E27FC236}">
              <a16:creationId xmlns:a16="http://schemas.microsoft.com/office/drawing/2014/main" id="{DA5BEB0F-906B-473B-BDDD-92FDC706A078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9525</xdr:colOff>
      <xdr:row>27</xdr:row>
      <xdr:rowOff>9525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24168BB7-A9BB-4E47-981C-1E68D79D7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304800</xdr:colOff>
      <xdr:row>14</xdr:row>
      <xdr:rowOff>114300</xdr:rowOff>
    </xdr:to>
    <xdr:sp macro="" textlink="">
      <xdr:nvSpPr>
        <xdr:cNvPr id="68" name="AutoShape 67">
          <a:extLst>
            <a:ext uri="{FF2B5EF4-FFF2-40B4-BE49-F238E27FC236}">
              <a16:creationId xmlns:a16="http://schemas.microsoft.com/office/drawing/2014/main" id="{7D1499D2-316C-4BDB-9015-D078B2E7A8B9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25D946C-65F2-439A-8BB7-36622D6D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304800</xdr:colOff>
      <xdr:row>30</xdr:row>
      <xdr:rowOff>112940</xdr:rowOff>
    </xdr:to>
    <xdr:sp macro="" textlink="">
      <xdr:nvSpPr>
        <xdr:cNvPr id="70" name="AutoShape 69">
          <a:extLst>
            <a:ext uri="{FF2B5EF4-FFF2-40B4-BE49-F238E27FC236}">
              <a16:creationId xmlns:a16="http://schemas.microsoft.com/office/drawing/2014/main" id="{468CC38B-9EB9-4AC1-8D9A-30A359BE5E2D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9525</xdr:colOff>
      <xdr:row>27</xdr:row>
      <xdr:rowOff>9525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13C95560-A9F6-4B80-B456-B9ACA3FCF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BFC68E4B-D9A0-449B-ABA5-00390C0AA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9525</xdr:colOff>
      <xdr:row>3</xdr:row>
      <xdr:rowOff>9525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48E1EB0E-81A0-47E5-8E1D-FDB690C15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18</xdr:col>
      <xdr:colOff>304800</xdr:colOff>
      <xdr:row>3</xdr:row>
      <xdr:rowOff>85725</xdr:rowOff>
    </xdr:to>
    <xdr:sp macro="" textlink="">
      <xdr:nvSpPr>
        <xdr:cNvPr id="74" name="AutoShape 98">
          <a:extLst>
            <a:ext uri="{FF2B5EF4-FFF2-40B4-BE49-F238E27FC236}">
              <a16:creationId xmlns:a16="http://schemas.microsoft.com/office/drawing/2014/main" id="{7BA0ACFB-662C-470A-A498-16A869254BBB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9525</xdr:colOff>
      <xdr:row>4</xdr:row>
      <xdr:rowOff>9525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3D2E34C2-5E2C-437E-89C7-4E53C1D3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9525</xdr:colOff>
      <xdr:row>5</xdr:row>
      <xdr:rowOff>9525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3F20368C-2822-4E66-B4AC-CBCAEE54C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9525</xdr:colOff>
      <xdr:row>6</xdr:row>
      <xdr:rowOff>9525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DBE960BA-5243-4D05-B7FF-3AF708E3F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304800</xdr:colOff>
      <xdr:row>6</xdr:row>
      <xdr:rowOff>114300</xdr:rowOff>
    </xdr:to>
    <xdr:sp macro="" textlink="">
      <xdr:nvSpPr>
        <xdr:cNvPr id="78" name="AutoShape 102">
          <a:extLst>
            <a:ext uri="{FF2B5EF4-FFF2-40B4-BE49-F238E27FC236}">
              <a16:creationId xmlns:a16="http://schemas.microsoft.com/office/drawing/2014/main" id="{92578763-C1ED-4E47-A687-5E9862A17D3E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53300C94-7B28-48D9-8713-994F1DC5B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9525</xdr:colOff>
      <xdr:row>26</xdr:row>
      <xdr:rowOff>9525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293BA053-9F5B-43B8-B17F-7192853D9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304800</xdr:colOff>
      <xdr:row>26</xdr:row>
      <xdr:rowOff>85726</xdr:rowOff>
    </xdr:to>
    <xdr:sp macro="" textlink="">
      <xdr:nvSpPr>
        <xdr:cNvPr id="81" name="AutoShape 105">
          <a:extLst>
            <a:ext uri="{FF2B5EF4-FFF2-40B4-BE49-F238E27FC236}">
              <a16:creationId xmlns:a16="http://schemas.microsoft.com/office/drawing/2014/main" id="{F6FB9A7E-5F42-4597-8E03-35FB16AD007A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FDC0B85-0521-4946-90DC-C36659046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934BE73-DB7C-4321-B2C5-B8DAA0912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2E19C167-3A62-43D8-BBDF-C2223A1E5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C479BEEA-6D99-4027-A1A3-8FE53248A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289748B5-18FD-410D-ABDC-79770AFA0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304800</xdr:colOff>
      <xdr:row>30</xdr:row>
      <xdr:rowOff>114300</xdr:rowOff>
    </xdr:to>
    <xdr:sp macro="" textlink="">
      <xdr:nvSpPr>
        <xdr:cNvPr id="87" name="AutoShape 111">
          <a:extLst>
            <a:ext uri="{FF2B5EF4-FFF2-40B4-BE49-F238E27FC236}">
              <a16:creationId xmlns:a16="http://schemas.microsoft.com/office/drawing/2014/main" id="{B8B27688-8036-4302-A94B-C6E5D8326DFB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4A4BE969-DCD9-4DE3-A68D-900481679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304800</xdr:colOff>
      <xdr:row>30</xdr:row>
      <xdr:rowOff>114300</xdr:rowOff>
    </xdr:to>
    <xdr:sp macro="" textlink="">
      <xdr:nvSpPr>
        <xdr:cNvPr id="89" name="AutoShape 113">
          <a:extLst>
            <a:ext uri="{FF2B5EF4-FFF2-40B4-BE49-F238E27FC236}">
              <a16:creationId xmlns:a16="http://schemas.microsoft.com/office/drawing/2014/main" id="{E23CF330-0CA7-423D-96BB-15404CAF2A88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9525</xdr:colOff>
      <xdr:row>13</xdr:row>
      <xdr:rowOff>9525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AA790E7B-3013-4639-B0CE-BF597B34E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304800</xdr:colOff>
      <xdr:row>13</xdr:row>
      <xdr:rowOff>85725</xdr:rowOff>
    </xdr:to>
    <xdr:sp macro="" textlink="">
      <xdr:nvSpPr>
        <xdr:cNvPr id="91" name="AutoShape 115">
          <a:extLst>
            <a:ext uri="{FF2B5EF4-FFF2-40B4-BE49-F238E27FC236}">
              <a16:creationId xmlns:a16="http://schemas.microsoft.com/office/drawing/2014/main" id="{5180B1BE-64BC-4DD2-B042-3FD427BFA4C5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254FD0DB-53CE-400E-B397-7894ABA79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304800</xdr:colOff>
      <xdr:row>14</xdr:row>
      <xdr:rowOff>114300</xdr:rowOff>
    </xdr:to>
    <xdr:sp macro="" textlink="">
      <xdr:nvSpPr>
        <xdr:cNvPr id="93" name="AutoShape 117">
          <a:extLst>
            <a:ext uri="{FF2B5EF4-FFF2-40B4-BE49-F238E27FC236}">
              <a16:creationId xmlns:a16="http://schemas.microsoft.com/office/drawing/2014/main" id="{D5F140C7-3D75-4516-8F2C-906394E9D632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61761F66-A428-43F3-B294-C99C4EB6A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304800</xdr:colOff>
      <xdr:row>30</xdr:row>
      <xdr:rowOff>112940</xdr:rowOff>
    </xdr:to>
    <xdr:sp macro="" textlink="">
      <xdr:nvSpPr>
        <xdr:cNvPr id="95" name="AutoShape 119">
          <a:extLst>
            <a:ext uri="{FF2B5EF4-FFF2-40B4-BE49-F238E27FC236}">
              <a16:creationId xmlns:a16="http://schemas.microsoft.com/office/drawing/2014/main" id="{6941E0DB-A296-4F93-A472-606858512614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9525</xdr:colOff>
      <xdr:row>27</xdr:row>
      <xdr:rowOff>9525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E3B784C4-5E7E-4514-B46C-50366667E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55E663DE-7908-40AE-BB27-1BD69D987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9525</xdr:colOff>
      <xdr:row>3</xdr:row>
      <xdr:rowOff>9525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2722B81E-1867-42C4-99FA-4A8C722E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18</xdr:col>
      <xdr:colOff>304800</xdr:colOff>
      <xdr:row>3</xdr:row>
      <xdr:rowOff>85725</xdr:rowOff>
    </xdr:to>
    <xdr:sp macro="" textlink="">
      <xdr:nvSpPr>
        <xdr:cNvPr id="99" name="AutoShape 123">
          <a:extLst>
            <a:ext uri="{FF2B5EF4-FFF2-40B4-BE49-F238E27FC236}">
              <a16:creationId xmlns:a16="http://schemas.microsoft.com/office/drawing/2014/main" id="{289AC32F-9C42-4DFA-8379-E879BB9EDD39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9525</xdr:colOff>
      <xdr:row>4</xdr:row>
      <xdr:rowOff>9525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40FA2DD9-AE55-4C3D-A136-8FE1DCD9D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9525</xdr:colOff>
      <xdr:row>5</xdr:row>
      <xdr:rowOff>9525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22E39400-C8DD-46A7-819B-6129AD5B1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9525</xdr:colOff>
      <xdr:row>6</xdr:row>
      <xdr:rowOff>9525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2AA3CD83-7FB0-41E0-BA8B-F8A9123A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304800</xdr:colOff>
      <xdr:row>6</xdr:row>
      <xdr:rowOff>114300</xdr:rowOff>
    </xdr:to>
    <xdr:sp macro="" textlink="">
      <xdr:nvSpPr>
        <xdr:cNvPr id="103" name="AutoShape 127">
          <a:extLst>
            <a:ext uri="{FF2B5EF4-FFF2-40B4-BE49-F238E27FC236}">
              <a16:creationId xmlns:a16="http://schemas.microsoft.com/office/drawing/2014/main" id="{04516129-27FC-4569-853E-04F24BAAFF06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C3E17955-2BFD-4220-9A0B-3242EDFB5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9525</xdr:colOff>
      <xdr:row>26</xdr:row>
      <xdr:rowOff>9525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254DA2AC-6F01-4559-B0E7-200128812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304800</xdr:colOff>
      <xdr:row>26</xdr:row>
      <xdr:rowOff>85726</xdr:rowOff>
    </xdr:to>
    <xdr:sp macro="" textlink="">
      <xdr:nvSpPr>
        <xdr:cNvPr id="106" name="AutoShape 130">
          <a:extLst>
            <a:ext uri="{FF2B5EF4-FFF2-40B4-BE49-F238E27FC236}">
              <a16:creationId xmlns:a16="http://schemas.microsoft.com/office/drawing/2014/main" id="{CA326906-590D-4A66-9172-D0AC6EBFB54C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4745D6EF-24C6-49EF-B5DE-A67B7553C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D94DA0E6-3485-4155-B935-A6C82F076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96D83FA5-B4B3-4CFC-8C29-EF08B39DD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E365B08-920A-416D-968B-FF037BDFA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7A8705E7-A1F6-4BEB-B16B-5A2511F43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304800</xdr:colOff>
      <xdr:row>30</xdr:row>
      <xdr:rowOff>114300</xdr:rowOff>
    </xdr:to>
    <xdr:sp macro="" textlink="">
      <xdr:nvSpPr>
        <xdr:cNvPr id="112" name="AutoShape 136">
          <a:extLst>
            <a:ext uri="{FF2B5EF4-FFF2-40B4-BE49-F238E27FC236}">
              <a16:creationId xmlns:a16="http://schemas.microsoft.com/office/drawing/2014/main" id="{C50A6C41-F56B-4ADF-A970-DB30CFB15864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6E4ECCB8-B542-4976-9CB3-5BF897689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304800</xdr:colOff>
      <xdr:row>30</xdr:row>
      <xdr:rowOff>114300</xdr:rowOff>
    </xdr:to>
    <xdr:sp macro="" textlink="">
      <xdr:nvSpPr>
        <xdr:cNvPr id="114" name="AutoShape 138">
          <a:extLst>
            <a:ext uri="{FF2B5EF4-FFF2-40B4-BE49-F238E27FC236}">
              <a16:creationId xmlns:a16="http://schemas.microsoft.com/office/drawing/2014/main" id="{9AFCE283-663E-4236-B47C-1DC95B4E112E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9525</xdr:colOff>
      <xdr:row>13</xdr:row>
      <xdr:rowOff>9525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E6B8A57B-6016-4DB2-BA26-8AF388C00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304800</xdr:colOff>
      <xdr:row>13</xdr:row>
      <xdr:rowOff>85725</xdr:rowOff>
    </xdr:to>
    <xdr:sp macro="" textlink="">
      <xdr:nvSpPr>
        <xdr:cNvPr id="116" name="AutoShape 140">
          <a:extLst>
            <a:ext uri="{FF2B5EF4-FFF2-40B4-BE49-F238E27FC236}">
              <a16:creationId xmlns:a16="http://schemas.microsoft.com/office/drawing/2014/main" id="{7EC488C2-E065-4023-B48F-743AD05BA07D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63275479-7229-4E99-8DA0-11F360712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304800</xdr:colOff>
      <xdr:row>14</xdr:row>
      <xdr:rowOff>114300</xdr:rowOff>
    </xdr:to>
    <xdr:sp macro="" textlink="">
      <xdr:nvSpPr>
        <xdr:cNvPr id="118" name="AutoShape 142">
          <a:extLst>
            <a:ext uri="{FF2B5EF4-FFF2-40B4-BE49-F238E27FC236}">
              <a16:creationId xmlns:a16="http://schemas.microsoft.com/office/drawing/2014/main" id="{7370C4C3-79C2-4410-9BCC-FA26F2B77548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BF092FEB-80E4-4A6D-95B2-CB82CE1AC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304800</xdr:colOff>
      <xdr:row>30</xdr:row>
      <xdr:rowOff>112940</xdr:rowOff>
    </xdr:to>
    <xdr:sp macro="" textlink="">
      <xdr:nvSpPr>
        <xdr:cNvPr id="120" name="AutoShape 144">
          <a:extLst>
            <a:ext uri="{FF2B5EF4-FFF2-40B4-BE49-F238E27FC236}">
              <a16:creationId xmlns:a16="http://schemas.microsoft.com/office/drawing/2014/main" id="{D8F9A317-52F6-45C6-900D-E01CCEA12C74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9525</xdr:colOff>
      <xdr:row>27</xdr:row>
      <xdr:rowOff>9525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D77D589D-2E08-42EC-88A5-675D733D1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9525</xdr:colOff>
      <xdr:row>29</xdr:row>
      <xdr:rowOff>9525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FFC48FB8-3A42-46CE-A3F2-68672F171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E1B31DAE-7B43-446A-ACE5-39DCBBE30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124" name="AutoShape 148">
          <a:extLst>
            <a:ext uri="{FF2B5EF4-FFF2-40B4-BE49-F238E27FC236}">
              <a16:creationId xmlns:a16="http://schemas.microsoft.com/office/drawing/2014/main" id="{82BD2302-0391-4079-B752-192212FCE60D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1238250</xdr:colOff>
      <xdr:row>4</xdr:row>
      <xdr:rowOff>0</xdr:rowOff>
    </xdr:from>
    <xdr:to>
      <xdr:col>0</xdr:col>
      <xdr:colOff>1247775</xdr:colOff>
      <xdr:row>4</xdr:row>
      <xdr:rowOff>9525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CEF1B8DF-68C8-40FE-9D34-29E7B2985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304800</xdr:colOff>
      <xdr:row>4</xdr:row>
      <xdr:rowOff>114300</xdr:rowOff>
    </xdr:to>
    <xdr:sp macro="" textlink="">
      <xdr:nvSpPr>
        <xdr:cNvPr id="126" name="AutoShape 150">
          <a:extLst>
            <a:ext uri="{FF2B5EF4-FFF2-40B4-BE49-F238E27FC236}">
              <a16:creationId xmlns:a16="http://schemas.microsoft.com/office/drawing/2014/main" id="{3AD70B36-7509-40D1-BFCA-44356FE47104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3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1A9B73B2-9FB1-4C53-BB87-B4FD99E76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9EA9CF4F-2D39-470E-AFA1-55CE39C35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23360956-F316-41A9-9909-01BAC2D9C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304800</xdr:colOff>
      <xdr:row>7</xdr:row>
      <xdr:rowOff>100693</xdr:rowOff>
    </xdr:to>
    <xdr:sp macro="" textlink="">
      <xdr:nvSpPr>
        <xdr:cNvPr id="130" name="AutoShape 154">
          <a:extLst>
            <a:ext uri="{FF2B5EF4-FFF2-40B4-BE49-F238E27FC236}">
              <a16:creationId xmlns:a16="http://schemas.microsoft.com/office/drawing/2014/main" id="{E7014CB5-E171-44AF-9709-D07EC0912FEE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914525"/>
          <a:ext cx="304800" cy="3102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9525</xdr:colOff>
      <xdr:row>26</xdr:row>
      <xdr:rowOff>9525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815686A8-5931-4D52-A828-4CE70EE9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304800</xdr:colOff>
      <xdr:row>26</xdr:row>
      <xdr:rowOff>85726</xdr:rowOff>
    </xdr:to>
    <xdr:sp macro="" textlink="">
      <xdr:nvSpPr>
        <xdr:cNvPr id="132" name="AutoShape 156">
          <a:extLst>
            <a:ext uri="{FF2B5EF4-FFF2-40B4-BE49-F238E27FC236}">
              <a16:creationId xmlns:a16="http://schemas.microsoft.com/office/drawing/2014/main" id="{B68DC3C3-9557-48FB-8C34-E1EF6E6CDCE2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89489A32-0C5F-4610-BEFB-5CAEF5EA6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15401BB8-7F4F-4FA9-B5BD-9351FA1F4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135" name="AutoShape 159">
          <a:extLst>
            <a:ext uri="{FF2B5EF4-FFF2-40B4-BE49-F238E27FC236}">
              <a16:creationId xmlns:a16="http://schemas.microsoft.com/office/drawing/2014/main" id="{56E2DD5C-10EC-49FC-9CFA-8242B2598473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7B4C4BDD-832D-4A59-894E-D3A1D9EA4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B51A0617-3D04-42BA-85DA-09E80BEB9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40C8B291-2AAB-4FC9-A08E-9129A5FCE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7126BC02-DD78-41C7-A83C-98D27E990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275F5B84-2BD3-4CA9-9C06-F2B627CFB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304800</xdr:colOff>
      <xdr:row>13</xdr:row>
      <xdr:rowOff>85725</xdr:rowOff>
    </xdr:to>
    <xdr:sp macro="" textlink="">
      <xdr:nvSpPr>
        <xdr:cNvPr id="141" name="AutoShape 165">
          <a:extLst>
            <a:ext uri="{FF2B5EF4-FFF2-40B4-BE49-F238E27FC236}">
              <a16:creationId xmlns:a16="http://schemas.microsoft.com/office/drawing/2014/main" id="{703DB06F-1274-45D8-B6C6-9EA39D2F4BA0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4CFF389C-1220-4D56-B34C-38FE968B8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E3C9BDC4-D0D3-4B2C-9623-38133DF84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112940</xdr:rowOff>
    </xdr:to>
    <xdr:sp macro="" textlink="">
      <xdr:nvSpPr>
        <xdr:cNvPr id="144" name="AutoShape 169">
          <a:extLst>
            <a:ext uri="{FF2B5EF4-FFF2-40B4-BE49-F238E27FC236}">
              <a16:creationId xmlns:a16="http://schemas.microsoft.com/office/drawing/2014/main" id="{D3E1BB6A-7D6F-43E1-BB02-B8E767D980D0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9525</xdr:colOff>
      <xdr:row>27</xdr:row>
      <xdr:rowOff>9525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FCFE6FB2-6516-428E-A616-B402D5670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304800</xdr:colOff>
      <xdr:row>27</xdr:row>
      <xdr:rowOff>112939</xdr:rowOff>
    </xdr:to>
    <xdr:sp macro="" textlink="">
      <xdr:nvSpPr>
        <xdr:cNvPr id="146" name="AutoShape 171">
          <a:extLst>
            <a:ext uri="{FF2B5EF4-FFF2-40B4-BE49-F238E27FC236}">
              <a16:creationId xmlns:a16="http://schemas.microsoft.com/office/drawing/2014/main" id="{2FF1078B-6B75-4A3B-8C45-A8AA5B0C7572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E5662C31-3CF9-4B1D-B012-14050146F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304800</xdr:colOff>
      <xdr:row>28</xdr:row>
      <xdr:rowOff>112940</xdr:rowOff>
    </xdr:to>
    <xdr:sp macro="" textlink="">
      <xdr:nvSpPr>
        <xdr:cNvPr id="148" name="AutoShape 173">
          <a:extLst>
            <a:ext uri="{FF2B5EF4-FFF2-40B4-BE49-F238E27FC236}">
              <a16:creationId xmlns:a16="http://schemas.microsoft.com/office/drawing/2014/main" id="{F5709896-A9AC-458D-BE16-0C8043F4B90A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477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F10EE9D4-D194-4A05-9A82-2604B407E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C7156453-06FB-4B64-8E85-9652C61A8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</xdr:row>
      <xdr:rowOff>0</xdr:rowOff>
    </xdr:from>
    <xdr:ext cx="9525" cy="9525"/>
    <xdr:pic>
      <xdr:nvPicPr>
        <xdr:cNvPr id="151" name="Picture 150">
          <a:extLst>
            <a:ext uri="{FF2B5EF4-FFF2-40B4-BE49-F238E27FC236}">
              <a16:creationId xmlns:a16="http://schemas.microsoft.com/office/drawing/2014/main" id="{25AC3972-508E-4A6A-B4F6-C2AA9ED4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152" name="Picture 151">
          <a:extLst>
            <a:ext uri="{FF2B5EF4-FFF2-40B4-BE49-F238E27FC236}">
              <a16:creationId xmlns:a16="http://schemas.microsoft.com/office/drawing/2014/main" id="{ABEB65C2-89CF-4E7B-962A-EC0E6FA25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9525" cy="9525"/>
    <xdr:pic>
      <xdr:nvPicPr>
        <xdr:cNvPr id="153" name="Picture 152">
          <a:extLst>
            <a:ext uri="{FF2B5EF4-FFF2-40B4-BE49-F238E27FC236}">
              <a16:creationId xmlns:a16="http://schemas.microsoft.com/office/drawing/2014/main" id="{F995FE91-09C7-424D-9557-93B7AAE6E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154" name="Picture 153">
          <a:extLst>
            <a:ext uri="{FF2B5EF4-FFF2-40B4-BE49-F238E27FC236}">
              <a16:creationId xmlns:a16="http://schemas.microsoft.com/office/drawing/2014/main" id="{78F941A2-14A3-4903-A049-A70F55FA8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9525" cy="9525"/>
    <xdr:pic>
      <xdr:nvPicPr>
        <xdr:cNvPr id="155" name="Picture 154">
          <a:extLst>
            <a:ext uri="{FF2B5EF4-FFF2-40B4-BE49-F238E27FC236}">
              <a16:creationId xmlns:a16="http://schemas.microsoft.com/office/drawing/2014/main" id="{1E017ECA-3232-4FA8-9031-1F45FA6A3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156" name="Picture 155">
          <a:extLst>
            <a:ext uri="{FF2B5EF4-FFF2-40B4-BE49-F238E27FC236}">
              <a16:creationId xmlns:a16="http://schemas.microsoft.com/office/drawing/2014/main" id="{D5558AFB-37C8-461D-A599-622647B5D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157" name="Picture 156">
          <a:extLst>
            <a:ext uri="{FF2B5EF4-FFF2-40B4-BE49-F238E27FC236}">
              <a16:creationId xmlns:a16="http://schemas.microsoft.com/office/drawing/2014/main" id="{C1BFC0B7-4304-4D80-BE83-CE4A79BB4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158" name="Picture 157">
          <a:extLst>
            <a:ext uri="{FF2B5EF4-FFF2-40B4-BE49-F238E27FC236}">
              <a16:creationId xmlns:a16="http://schemas.microsoft.com/office/drawing/2014/main" id="{E0D4A4A7-EED2-4163-B804-832C45CA6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159" name="Picture 158">
          <a:extLst>
            <a:ext uri="{FF2B5EF4-FFF2-40B4-BE49-F238E27FC236}">
              <a16:creationId xmlns:a16="http://schemas.microsoft.com/office/drawing/2014/main" id="{F327F4D1-6739-4FD3-B44A-F17CE2DB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160" name="Picture 159">
          <a:extLst>
            <a:ext uri="{FF2B5EF4-FFF2-40B4-BE49-F238E27FC236}">
              <a16:creationId xmlns:a16="http://schemas.microsoft.com/office/drawing/2014/main" id="{75A8EC8C-233D-455C-8687-C0E7A5069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161" name="Picture 160">
          <a:extLst>
            <a:ext uri="{FF2B5EF4-FFF2-40B4-BE49-F238E27FC236}">
              <a16:creationId xmlns:a16="http://schemas.microsoft.com/office/drawing/2014/main" id="{C10ADE57-3921-4541-9FBE-06C1C7CE3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0</xdr:rowOff>
    </xdr:from>
    <xdr:ext cx="9525" cy="9525"/>
    <xdr:pic>
      <xdr:nvPicPr>
        <xdr:cNvPr id="162" name="Picture 161">
          <a:extLst>
            <a:ext uri="{FF2B5EF4-FFF2-40B4-BE49-F238E27FC236}">
              <a16:creationId xmlns:a16="http://schemas.microsoft.com/office/drawing/2014/main" id="{AEB20245-C009-4D31-87C5-E84CB33EC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163" name="Picture 162">
          <a:extLst>
            <a:ext uri="{FF2B5EF4-FFF2-40B4-BE49-F238E27FC236}">
              <a16:creationId xmlns:a16="http://schemas.microsoft.com/office/drawing/2014/main" id="{A147F0AE-88F6-4904-B553-1ED0BA18F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0</xdr:rowOff>
    </xdr:from>
    <xdr:ext cx="9525" cy="9525"/>
    <xdr:pic>
      <xdr:nvPicPr>
        <xdr:cNvPr id="164" name="Picture 163">
          <a:extLst>
            <a:ext uri="{FF2B5EF4-FFF2-40B4-BE49-F238E27FC236}">
              <a16:creationId xmlns:a16="http://schemas.microsoft.com/office/drawing/2014/main" id="{679B7E63-A56F-440C-9788-885F92874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165" name="Picture 164">
          <a:extLst>
            <a:ext uri="{FF2B5EF4-FFF2-40B4-BE49-F238E27FC236}">
              <a16:creationId xmlns:a16="http://schemas.microsoft.com/office/drawing/2014/main" id="{10C28C75-B830-451F-BD71-49C5663C2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166" name="Picture 165">
          <a:extLst>
            <a:ext uri="{FF2B5EF4-FFF2-40B4-BE49-F238E27FC236}">
              <a16:creationId xmlns:a16="http://schemas.microsoft.com/office/drawing/2014/main" id="{AB81AA11-4009-4EF3-89E7-857ED03E0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167" name="Picture 166">
          <a:extLst>
            <a:ext uri="{FF2B5EF4-FFF2-40B4-BE49-F238E27FC236}">
              <a16:creationId xmlns:a16="http://schemas.microsoft.com/office/drawing/2014/main" id="{0AC33AB9-9363-405A-A64E-60DBEEDE9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168" name="Picture 167">
          <a:extLst>
            <a:ext uri="{FF2B5EF4-FFF2-40B4-BE49-F238E27FC236}">
              <a16:creationId xmlns:a16="http://schemas.microsoft.com/office/drawing/2014/main" id="{33DE1672-B104-4AE7-9F9E-EE92D298B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750D1359-5FD0-454E-8103-13A6DE2F3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170" name="AutoShape 177">
          <a:extLst>
            <a:ext uri="{FF2B5EF4-FFF2-40B4-BE49-F238E27FC236}">
              <a16:creationId xmlns:a16="http://schemas.microsoft.com/office/drawing/2014/main" id="{C0AC6086-D691-4840-BECC-9DA38BF76D31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CC999994-FE23-4688-8AC3-752C54419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E33D6778-C701-4F43-B14B-4FC8F396F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6F6AB875-5899-4892-B5A6-FA53336E7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174" name="AutoShape 181">
          <a:extLst>
            <a:ext uri="{FF2B5EF4-FFF2-40B4-BE49-F238E27FC236}">
              <a16:creationId xmlns:a16="http://schemas.microsoft.com/office/drawing/2014/main" id="{5C0CA066-9822-4A18-9DDC-89FA487FE222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E2D70FED-E8D2-4792-95CB-53170B891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304800</xdr:colOff>
      <xdr:row>25</xdr:row>
      <xdr:rowOff>87085</xdr:rowOff>
    </xdr:to>
    <xdr:sp macro="" textlink="">
      <xdr:nvSpPr>
        <xdr:cNvPr id="176" name="AutoShape 183">
          <a:extLst>
            <a:ext uri="{FF2B5EF4-FFF2-40B4-BE49-F238E27FC236}">
              <a16:creationId xmlns:a16="http://schemas.microsoft.com/office/drawing/2014/main" id="{448F2345-9EA2-4BE7-A058-723495F096DE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9525</xdr:colOff>
      <xdr:row>26</xdr:row>
      <xdr:rowOff>9525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23B2D4B2-9ECD-4C46-A50B-A5A040549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304800</xdr:colOff>
      <xdr:row>26</xdr:row>
      <xdr:rowOff>85726</xdr:rowOff>
    </xdr:to>
    <xdr:sp macro="" textlink="">
      <xdr:nvSpPr>
        <xdr:cNvPr id="178" name="AutoShape 185">
          <a:extLst>
            <a:ext uri="{FF2B5EF4-FFF2-40B4-BE49-F238E27FC236}">
              <a16:creationId xmlns:a16="http://schemas.microsoft.com/office/drawing/2014/main" id="{8D0AE4AD-FB47-43E8-AEF1-E37C40CCFF5B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FDAC93B2-C3AD-4FDE-99BA-D0B5DB453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9DB9F30D-9964-46FF-A6B9-CDBEB126F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A38EBA5E-E1FF-47BA-93A0-B564EBC88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4559813C-AB4B-4600-B2F2-E9DDFB563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884BC8D0-ABF1-4260-B381-E14DA3CD1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184" name="AutoShape 191">
          <a:extLst>
            <a:ext uri="{FF2B5EF4-FFF2-40B4-BE49-F238E27FC236}">
              <a16:creationId xmlns:a16="http://schemas.microsoft.com/office/drawing/2014/main" id="{64396DD6-FF94-406E-9791-8C844BC5A5F2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710707C2-02A1-49B6-B791-B277F979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186" name="AutoShape 193">
          <a:extLst>
            <a:ext uri="{FF2B5EF4-FFF2-40B4-BE49-F238E27FC236}">
              <a16:creationId xmlns:a16="http://schemas.microsoft.com/office/drawing/2014/main" id="{05A04F9D-7382-424F-93A5-B6AB8B1B5A65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1AC0B83F-6B19-4CC6-9032-5F452C860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304800</xdr:colOff>
      <xdr:row>13</xdr:row>
      <xdr:rowOff>85725</xdr:rowOff>
    </xdr:to>
    <xdr:sp macro="" textlink="">
      <xdr:nvSpPr>
        <xdr:cNvPr id="188" name="AutoShape 195">
          <a:extLst>
            <a:ext uri="{FF2B5EF4-FFF2-40B4-BE49-F238E27FC236}">
              <a16:creationId xmlns:a16="http://schemas.microsoft.com/office/drawing/2014/main" id="{22B62E98-B3EA-4868-9951-3611FB14F13C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39BDE782-5E4F-4711-BE7A-E37FF5CCF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DFD27E65-25B0-4BD6-B26D-91DC609D7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112940</xdr:rowOff>
    </xdr:to>
    <xdr:sp macro="" textlink="">
      <xdr:nvSpPr>
        <xdr:cNvPr id="191" name="AutoShape 199">
          <a:extLst>
            <a:ext uri="{FF2B5EF4-FFF2-40B4-BE49-F238E27FC236}">
              <a16:creationId xmlns:a16="http://schemas.microsoft.com/office/drawing/2014/main" id="{870EDBE0-50EC-40BA-9FF7-80341669D408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9525</xdr:colOff>
      <xdr:row>27</xdr:row>
      <xdr:rowOff>9525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31A50B26-4221-41C2-9395-B562EAAA1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C77EAB0C-6623-455B-AF3D-BEA19E146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E0F54179-5A96-432A-9129-C1A86D5D3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195" name="AutoShape 203">
          <a:extLst>
            <a:ext uri="{FF2B5EF4-FFF2-40B4-BE49-F238E27FC236}">
              <a16:creationId xmlns:a16="http://schemas.microsoft.com/office/drawing/2014/main" id="{E0FD6D2E-2BBD-4BCF-8B27-0790B1E3A4AC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4CB7075A-854B-42B8-B607-F4DF9DEFE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ACC7B1D-A197-49DA-85D7-EB2661893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19081AEC-09A0-4AE0-A8A2-488CC2915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199" name="AutoShape 207">
          <a:extLst>
            <a:ext uri="{FF2B5EF4-FFF2-40B4-BE49-F238E27FC236}">
              <a16:creationId xmlns:a16="http://schemas.microsoft.com/office/drawing/2014/main" id="{883E3175-A814-4B8A-A479-C8CFA59BCDAB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C474AF0C-0A21-4128-A42C-9865DD285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304800</xdr:colOff>
      <xdr:row>25</xdr:row>
      <xdr:rowOff>87085</xdr:rowOff>
    </xdr:to>
    <xdr:sp macro="" textlink="">
      <xdr:nvSpPr>
        <xdr:cNvPr id="201" name="AutoShape 209">
          <a:extLst>
            <a:ext uri="{FF2B5EF4-FFF2-40B4-BE49-F238E27FC236}">
              <a16:creationId xmlns:a16="http://schemas.microsoft.com/office/drawing/2014/main" id="{29E9003B-FBBF-42D7-B333-EC0B5FB1FBAD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9525</xdr:colOff>
      <xdr:row>26</xdr:row>
      <xdr:rowOff>9525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B069EF2E-07EA-4AA8-AA30-15BE25339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304800</xdr:colOff>
      <xdr:row>26</xdr:row>
      <xdr:rowOff>85726</xdr:rowOff>
    </xdr:to>
    <xdr:sp macro="" textlink="">
      <xdr:nvSpPr>
        <xdr:cNvPr id="203" name="AutoShape 211">
          <a:extLst>
            <a:ext uri="{FF2B5EF4-FFF2-40B4-BE49-F238E27FC236}">
              <a16:creationId xmlns:a16="http://schemas.microsoft.com/office/drawing/2014/main" id="{5CE61076-AEEB-4D20-BD48-575DBCCAA640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858143F9-DE25-4385-8B80-6AD8A8FD7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BD7122D4-6CCA-4798-A15F-703D02B98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6CB7064A-2475-4D10-BA74-351C528F1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A5E70B3B-1A0B-43CA-B590-EAC5AAE7E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89C9CDD2-CDB5-4E69-9613-923A20F51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209" name="AutoShape 217">
          <a:extLst>
            <a:ext uri="{FF2B5EF4-FFF2-40B4-BE49-F238E27FC236}">
              <a16:creationId xmlns:a16="http://schemas.microsoft.com/office/drawing/2014/main" id="{0AA41B17-5554-49F0-A0C4-949240D09DCF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CC145BB9-195F-4FB9-A97E-39B751353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211" name="AutoShape 219">
          <a:extLst>
            <a:ext uri="{FF2B5EF4-FFF2-40B4-BE49-F238E27FC236}">
              <a16:creationId xmlns:a16="http://schemas.microsoft.com/office/drawing/2014/main" id="{2E4D39B3-5113-4090-93EE-0A2884971F2B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13D472BC-D365-40C5-992E-B65D5A237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304800</xdr:colOff>
      <xdr:row>13</xdr:row>
      <xdr:rowOff>85725</xdr:rowOff>
    </xdr:to>
    <xdr:sp macro="" textlink="">
      <xdr:nvSpPr>
        <xdr:cNvPr id="213" name="AutoShape 221">
          <a:extLst>
            <a:ext uri="{FF2B5EF4-FFF2-40B4-BE49-F238E27FC236}">
              <a16:creationId xmlns:a16="http://schemas.microsoft.com/office/drawing/2014/main" id="{F3A9DD71-2355-4F49-8452-220C66DFB90D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A36DE733-5249-42E3-BD9F-B70BE4CC6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304800</xdr:colOff>
      <xdr:row>14</xdr:row>
      <xdr:rowOff>114300</xdr:rowOff>
    </xdr:to>
    <xdr:sp macro="" textlink="">
      <xdr:nvSpPr>
        <xdr:cNvPr id="215" name="AutoShape 223">
          <a:extLst>
            <a:ext uri="{FF2B5EF4-FFF2-40B4-BE49-F238E27FC236}">
              <a16:creationId xmlns:a16="http://schemas.microsoft.com/office/drawing/2014/main" id="{A8EE3AB8-46FB-4105-88B9-376C95A16231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4A7ECD9A-4650-432A-B4B2-58D20E283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9525</xdr:colOff>
      <xdr:row>27</xdr:row>
      <xdr:rowOff>9525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9E6E3A9B-8762-4412-BD03-3ED1ADA13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91C3778C-CC62-412C-A4D4-A9C453E98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219" name="AutoShape 227">
          <a:extLst>
            <a:ext uri="{FF2B5EF4-FFF2-40B4-BE49-F238E27FC236}">
              <a16:creationId xmlns:a16="http://schemas.microsoft.com/office/drawing/2014/main" id="{23C987A5-697A-4949-85F7-04096DF95EC8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91912B3A-7D13-49E6-9F25-7F8840237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F04DA823-E152-418C-9CBC-2632996C6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8188D01F-FE79-448F-B28E-75B11CDAA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223" name="AutoShape 231">
          <a:extLst>
            <a:ext uri="{FF2B5EF4-FFF2-40B4-BE49-F238E27FC236}">
              <a16:creationId xmlns:a16="http://schemas.microsoft.com/office/drawing/2014/main" id="{5CC0302E-DD32-4998-B99B-387B3B001E57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773D05F1-BD58-4D15-8872-BE01AACA7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304800</xdr:colOff>
      <xdr:row>25</xdr:row>
      <xdr:rowOff>87085</xdr:rowOff>
    </xdr:to>
    <xdr:sp macro="" textlink="">
      <xdr:nvSpPr>
        <xdr:cNvPr id="225" name="AutoShape 233">
          <a:extLst>
            <a:ext uri="{FF2B5EF4-FFF2-40B4-BE49-F238E27FC236}">
              <a16:creationId xmlns:a16="http://schemas.microsoft.com/office/drawing/2014/main" id="{2D27A41D-24EB-4B85-B473-C3FE57D52209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9525</xdr:colOff>
      <xdr:row>26</xdr:row>
      <xdr:rowOff>9525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F06EC96A-A118-4B88-8166-C0B475D3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304800</xdr:colOff>
      <xdr:row>26</xdr:row>
      <xdr:rowOff>85726</xdr:rowOff>
    </xdr:to>
    <xdr:sp macro="" textlink="">
      <xdr:nvSpPr>
        <xdr:cNvPr id="227" name="AutoShape 235">
          <a:extLst>
            <a:ext uri="{FF2B5EF4-FFF2-40B4-BE49-F238E27FC236}">
              <a16:creationId xmlns:a16="http://schemas.microsoft.com/office/drawing/2014/main" id="{71D01154-C23C-47E0-A32A-8573201B5E94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55CE33E7-09EF-4964-BE9A-0B892B30B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018EDA7E-793F-46DC-A871-D72732611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2A07CDD1-437A-43B8-AA3A-382DFFD63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D421AE9E-E595-4E8D-B209-B81A9759A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B628FB31-24AB-4CA8-8241-70741B2E2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233" name="AutoShape 241">
          <a:extLst>
            <a:ext uri="{FF2B5EF4-FFF2-40B4-BE49-F238E27FC236}">
              <a16:creationId xmlns:a16="http://schemas.microsoft.com/office/drawing/2014/main" id="{0B234E14-8DF2-432D-827B-729F48EB0ACB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25B9377-78F7-42CF-92CC-4249B1BAA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235" name="AutoShape 243">
          <a:extLst>
            <a:ext uri="{FF2B5EF4-FFF2-40B4-BE49-F238E27FC236}">
              <a16:creationId xmlns:a16="http://schemas.microsoft.com/office/drawing/2014/main" id="{596E635C-6E1E-487D-BF43-6E686FBD9953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162CA5FC-D2F0-4B60-B753-40F068540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304800</xdr:colOff>
      <xdr:row>13</xdr:row>
      <xdr:rowOff>85725</xdr:rowOff>
    </xdr:to>
    <xdr:sp macro="" textlink="">
      <xdr:nvSpPr>
        <xdr:cNvPr id="237" name="AutoShape 245">
          <a:extLst>
            <a:ext uri="{FF2B5EF4-FFF2-40B4-BE49-F238E27FC236}">
              <a16:creationId xmlns:a16="http://schemas.microsoft.com/office/drawing/2014/main" id="{A7E68E33-4F32-4B5A-9387-5BDAFF015116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AF9BF9B0-7C43-4097-8DC0-A9A6E6C96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304800</xdr:colOff>
      <xdr:row>14</xdr:row>
      <xdr:rowOff>114300</xdr:rowOff>
    </xdr:to>
    <xdr:sp macro="" textlink="">
      <xdr:nvSpPr>
        <xdr:cNvPr id="239" name="AutoShape 247">
          <a:extLst>
            <a:ext uri="{FF2B5EF4-FFF2-40B4-BE49-F238E27FC236}">
              <a16:creationId xmlns:a16="http://schemas.microsoft.com/office/drawing/2014/main" id="{B63ECF2E-021B-4DDB-89DE-6A0C21CE73E1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81EAD16C-BBCA-4070-8FC6-654949048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112940</xdr:rowOff>
    </xdr:to>
    <xdr:sp macro="" textlink="">
      <xdr:nvSpPr>
        <xdr:cNvPr id="241" name="AutoShape 249">
          <a:extLst>
            <a:ext uri="{FF2B5EF4-FFF2-40B4-BE49-F238E27FC236}">
              <a16:creationId xmlns:a16="http://schemas.microsoft.com/office/drawing/2014/main" id="{3F703742-CC38-4BD1-A673-8C16E9656EB0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9525</xdr:colOff>
      <xdr:row>27</xdr:row>
      <xdr:rowOff>9525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0EEE8E02-CC0F-4A7B-83B9-06054DE90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1EE6CDFE-F5E8-491F-904F-F757363F6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29</xdr:row>
      <xdr:rowOff>0</xdr:rowOff>
    </xdr:from>
    <xdr:ext cx="9525" cy="9525"/>
    <xdr:pic>
      <xdr:nvPicPr>
        <xdr:cNvPr id="244" name="Picture 243">
          <a:extLst>
            <a:ext uri="{FF2B5EF4-FFF2-40B4-BE49-F238E27FC236}">
              <a16:creationId xmlns:a16="http://schemas.microsoft.com/office/drawing/2014/main" id="{C1FAEA05-B2F5-407B-BEB2-12418F748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245" name="Picture 244">
          <a:extLst>
            <a:ext uri="{FF2B5EF4-FFF2-40B4-BE49-F238E27FC236}">
              <a16:creationId xmlns:a16="http://schemas.microsoft.com/office/drawing/2014/main" id="{E5DD8B7F-A13C-4D2E-8B9A-F6598F5BD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588DB1B9-7DD5-4A74-A540-6DD42AA69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247" name="AutoShape 253">
          <a:extLst>
            <a:ext uri="{FF2B5EF4-FFF2-40B4-BE49-F238E27FC236}">
              <a16:creationId xmlns:a16="http://schemas.microsoft.com/office/drawing/2014/main" id="{7DD0AEEE-23F0-49F4-825D-D79D570FF8E3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7C38845F-A513-406A-9A3A-275B3DAFB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1D00A9F5-B4E9-448B-B00F-D80F66626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0246D297-958D-407F-9089-95A93E506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251" name="AutoShape 257">
          <a:extLst>
            <a:ext uri="{FF2B5EF4-FFF2-40B4-BE49-F238E27FC236}">
              <a16:creationId xmlns:a16="http://schemas.microsoft.com/office/drawing/2014/main" id="{5E1D279E-EAE1-4DFC-89E1-C094B7097B85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E2D491BF-C037-461E-97A8-D3B85D48F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304800</xdr:colOff>
      <xdr:row>25</xdr:row>
      <xdr:rowOff>87085</xdr:rowOff>
    </xdr:to>
    <xdr:sp macro="" textlink="">
      <xdr:nvSpPr>
        <xdr:cNvPr id="253" name="AutoShape 259">
          <a:extLst>
            <a:ext uri="{FF2B5EF4-FFF2-40B4-BE49-F238E27FC236}">
              <a16:creationId xmlns:a16="http://schemas.microsoft.com/office/drawing/2014/main" id="{8F50365B-A10F-4EAE-9BA3-65956F09BA26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9525</xdr:colOff>
      <xdr:row>26</xdr:row>
      <xdr:rowOff>9525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D8F2D11D-97EB-45A2-B5AD-18134DA0D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304800</xdr:colOff>
      <xdr:row>26</xdr:row>
      <xdr:rowOff>85726</xdr:rowOff>
    </xdr:to>
    <xdr:sp macro="" textlink="">
      <xdr:nvSpPr>
        <xdr:cNvPr id="255" name="AutoShape 261">
          <a:extLst>
            <a:ext uri="{FF2B5EF4-FFF2-40B4-BE49-F238E27FC236}">
              <a16:creationId xmlns:a16="http://schemas.microsoft.com/office/drawing/2014/main" id="{E63070E7-2FA2-4C55-AA12-8E9C6BA4EEEC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8B9D032F-995A-4E7F-A35C-6C6D16E6B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8C07B7EA-BD9E-4FBC-8BB2-4ECF8AF20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7279FFD6-C083-438D-A33B-273248B18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1BC8E4A3-2E72-45A4-A2CF-FF5D9AE48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B4A6641F-2BB0-4F21-944E-73F79CB78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261" name="AutoShape 267">
          <a:extLst>
            <a:ext uri="{FF2B5EF4-FFF2-40B4-BE49-F238E27FC236}">
              <a16:creationId xmlns:a16="http://schemas.microsoft.com/office/drawing/2014/main" id="{0089D280-7B73-4D5B-AEF8-48C0FBAA0F6C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301F42D1-95F0-4779-B990-92C16F758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263" name="AutoShape 269">
          <a:extLst>
            <a:ext uri="{FF2B5EF4-FFF2-40B4-BE49-F238E27FC236}">
              <a16:creationId xmlns:a16="http://schemas.microsoft.com/office/drawing/2014/main" id="{51B62E58-FAC4-40E6-A430-94979EEA3B16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5CEDC0E1-6011-4DB9-B8EE-E9FF8A806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304800</xdr:colOff>
      <xdr:row>13</xdr:row>
      <xdr:rowOff>85725</xdr:rowOff>
    </xdr:to>
    <xdr:sp macro="" textlink="">
      <xdr:nvSpPr>
        <xdr:cNvPr id="265" name="AutoShape 271">
          <a:extLst>
            <a:ext uri="{FF2B5EF4-FFF2-40B4-BE49-F238E27FC236}">
              <a16:creationId xmlns:a16="http://schemas.microsoft.com/office/drawing/2014/main" id="{99592F5C-4C38-4C16-8217-4DD7F001452B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B7AB446C-8181-486F-B1AD-2A3AAEC45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304800</xdr:colOff>
      <xdr:row>14</xdr:row>
      <xdr:rowOff>114300</xdr:rowOff>
    </xdr:to>
    <xdr:sp macro="" textlink="">
      <xdr:nvSpPr>
        <xdr:cNvPr id="267" name="AutoShape 273">
          <a:extLst>
            <a:ext uri="{FF2B5EF4-FFF2-40B4-BE49-F238E27FC236}">
              <a16:creationId xmlns:a16="http://schemas.microsoft.com/office/drawing/2014/main" id="{B7F56508-1CB2-47E9-AF88-D033AA477346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565A89AE-DAC1-4F2F-8884-A477D9330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112940</xdr:rowOff>
    </xdr:to>
    <xdr:sp macro="" textlink="">
      <xdr:nvSpPr>
        <xdr:cNvPr id="269" name="AutoShape 275">
          <a:extLst>
            <a:ext uri="{FF2B5EF4-FFF2-40B4-BE49-F238E27FC236}">
              <a16:creationId xmlns:a16="http://schemas.microsoft.com/office/drawing/2014/main" id="{CDD17838-9635-481E-AFEE-BC1B87C56B34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9525</xdr:colOff>
      <xdr:row>27</xdr:row>
      <xdr:rowOff>9525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321C5CE5-FF1F-4889-B3F5-89086D237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DE8286CE-FB23-44AE-B932-8EFA4C76D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DEEC01C8-1E70-4F1C-86EC-EDF2B4709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273" name="AutoShape 305">
          <a:extLst>
            <a:ext uri="{FF2B5EF4-FFF2-40B4-BE49-F238E27FC236}">
              <a16:creationId xmlns:a16="http://schemas.microsoft.com/office/drawing/2014/main" id="{EED8CE0D-CE10-4B15-ADA1-A942E55A4D25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973FC67A-94CD-4560-BECD-7B73630B5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F047A4FE-E331-419F-AF9D-A95775ECD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A1456101-8091-47FB-A1D1-5583BCE6F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277" name="AutoShape 309">
          <a:extLst>
            <a:ext uri="{FF2B5EF4-FFF2-40B4-BE49-F238E27FC236}">
              <a16:creationId xmlns:a16="http://schemas.microsoft.com/office/drawing/2014/main" id="{A723EE6A-0584-4C3A-856D-571725E3B828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C7B7FDEE-A2AC-44FE-8663-F0FB5CE86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304800</xdr:colOff>
      <xdr:row>25</xdr:row>
      <xdr:rowOff>87085</xdr:rowOff>
    </xdr:to>
    <xdr:sp macro="" textlink="">
      <xdr:nvSpPr>
        <xdr:cNvPr id="279" name="AutoShape 311">
          <a:extLst>
            <a:ext uri="{FF2B5EF4-FFF2-40B4-BE49-F238E27FC236}">
              <a16:creationId xmlns:a16="http://schemas.microsoft.com/office/drawing/2014/main" id="{DB68E428-7F4B-450F-BD01-96217D974D28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9525</xdr:colOff>
      <xdr:row>26</xdr:row>
      <xdr:rowOff>9525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C717F8C6-F443-4B37-98F6-5F8728712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304800</xdr:colOff>
      <xdr:row>26</xdr:row>
      <xdr:rowOff>85726</xdr:rowOff>
    </xdr:to>
    <xdr:sp macro="" textlink="">
      <xdr:nvSpPr>
        <xdr:cNvPr id="281" name="AutoShape 313">
          <a:extLst>
            <a:ext uri="{FF2B5EF4-FFF2-40B4-BE49-F238E27FC236}">
              <a16:creationId xmlns:a16="http://schemas.microsoft.com/office/drawing/2014/main" id="{D4409E28-5964-4A97-B19B-4FE503C4055E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AF690D79-FA92-4658-B11E-A644ECCC0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C635F3D8-3391-40BC-8B3B-8E3667D44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97E754FA-5CF0-41D1-A234-B029A5081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86B576EE-9111-475C-8244-01AD1023B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CCC5A7D4-BECB-46E4-9AB7-3E5BE59DA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287" name="AutoShape 319">
          <a:extLst>
            <a:ext uri="{FF2B5EF4-FFF2-40B4-BE49-F238E27FC236}">
              <a16:creationId xmlns:a16="http://schemas.microsoft.com/office/drawing/2014/main" id="{A213756B-B194-4D57-9888-BA35E4A1B8A9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4C0E69E5-6834-4053-B427-6AC765D6B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289" name="AutoShape 321">
          <a:extLst>
            <a:ext uri="{FF2B5EF4-FFF2-40B4-BE49-F238E27FC236}">
              <a16:creationId xmlns:a16="http://schemas.microsoft.com/office/drawing/2014/main" id="{F12D4E9D-2B45-490C-BCA1-FB938FA164FB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5A6DD758-F27A-4942-879F-A618894CD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304800</xdr:colOff>
      <xdr:row>13</xdr:row>
      <xdr:rowOff>85725</xdr:rowOff>
    </xdr:to>
    <xdr:sp macro="" textlink="">
      <xdr:nvSpPr>
        <xdr:cNvPr id="291" name="AutoShape 323">
          <a:extLst>
            <a:ext uri="{FF2B5EF4-FFF2-40B4-BE49-F238E27FC236}">
              <a16:creationId xmlns:a16="http://schemas.microsoft.com/office/drawing/2014/main" id="{8B2E3367-A4D9-4632-9376-0D0059F36A1B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B1AF0318-D5E1-43DA-BC57-4439C8C0C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304800</xdr:colOff>
      <xdr:row>14</xdr:row>
      <xdr:rowOff>114300</xdr:rowOff>
    </xdr:to>
    <xdr:sp macro="" textlink="">
      <xdr:nvSpPr>
        <xdr:cNvPr id="293" name="AutoShape 325">
          <a:extLst>
            <a:ext uri="{FF2B5EF4-FFF2-40B4-BE49-F238E27FC236}">
              <a16:creationId xmlns:a16="http://schemas.microsoft.com/office/drawing/2014/main" id="{7A1B6C03-A05E-4161-8331-C0D5F8A07AC0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FB413931-5D80-4F64-ACDB-AD5899811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112940</xdr:rowOff>
    </xdr:to>
    <xdr:sp macro="" textlink="">
      <xdr:nvSpPr>
        <xdr:cNvPr id="295" name="AutoShape 327">
          <a:extLst>
            <a:ext uri="{FF2B5EF4-FFF2-40B4-BE49-F238E27FC236}">
              <a16:creationId xmlns:a16="http://schemas.microsoft.com/office/drawing/2014/main" id="{8F5F6EB8-F1AA-4001-B78F-C2663FB09641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9525</xdr:colOff>
      <xdr:row>27</xdr:row>
      <xdr:rowOff>9525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6F28984E-E449-4028-B918-99D74AC0E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6BFECAB2-ACCF-49DC-92F9-EC5FB1B73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495B9F5E-1EDA-4106-AD6F-B4B58E8E6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299" name="AutoShape 357">
          <a:extLst>
            <a:ext uri="{FF2B5EF4-FFF2-40B4-BE49-F238E27FC236}">
              <a16:creationId xmlns:a16="http://schemas.microsoft.com/office/drawing/2014/main" id="{D8AB3EB8-DEDF-40DB-BEF0-F3CC6D824DDF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6B3B23C0-713E-4F04-A049-6F94DCFD2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39CBDF12-6CC3-4E9A-985F-D8AA4B4D2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F14AF5C1-1013-4528-949D-262D83AA1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303" name="AutoShape 361">
          <a:extLst>
            <a:ext uri="{FF2B5EF4-FFF2-40B4-BE49-F238E27FC236}">
              <a16:creationId xmlns:a16="http://schemas.microsoft.com/office/drawing/2014/main" id="{5DBBAD0D-9127-4830-851F-FAEE897E5BFA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9CBE5808-5520-4206-8A4F-E761ECA9B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304800</xdr:colOff>
      <xdr:row>25</xdr:row>
      <xdr:rowOff>87085</xdr:rowOff>
    </xdr:to>
    <xdr:sp macro="" textlink="">
      <xdr:nvSpPr>
        <xdr:cNvPr id="305" name="AutoShape 363">
          <a:extLst>
            <a:ext uri="{FF2B5EF4-FFF2-40B4-BE49-F238E27FC236}">
              <a16:creationId xmlns:a16="http://schemas.microsoft.com/office/drawing/2014/main" id="{3073C083-A19D-4D70-A339-AB1F3FFC7553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9525</xdr:colOff>
      <xdr:row>26</xdr:row>
      <xdr:rowOff>9525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21E855A4-3EC6-4B8E-A5E6-033CE8812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304800</xdr:colOff>
      <xdr:row>26</xdr:row>
      <xdr:rowOff>85726</xdr:rowOff>
    </xdr:to>
    <xdr:sp macro="" textlink="">
      <xdr:nvSpPr>
        <xdr:cNvPr id="307" name="AutoShape 365">
          <a:extLst>
            <a:ext uri="{FF2B5EF4-FFF2-40B4-BE49-F238E27FC236}">
              <a16:creationId xmlns:a16="http://schemas.microsoft.com/office/drawing/2014/main" id="{9AD44DF0-C4FC-4A4E-BF18-26D501F4ABEE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D26BF428-1EEE-470E-8CDC-69110B2CE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CA56776E-9006-4482-B2C9-79522074C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B8504E31-39C8-4DFF-A89C-A091B83D0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73F2CAA9-FDD1-4491-876E-5309CD904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617B64F4-01EE-402E-8279-47184F9A0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313" name="AutoShape 371">
          <a:extLst>
            <a:ext uri="{FF2B5EF4-FFF2-40B4-BE49-F238E27FC236}">
              <a16:creationId xmlns:a16="http://schemas.microsoft.com/office/drawing/2014/main" id="{C1E99405-7D02-4431-AC82-1C69BBF166EE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7CB3BF25-4261-440A-84A4-5F4E84552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315" name="AutoShape 373">
          <a:extLst>
            <a:ext uri="{FF2B5EF4-FFF2-40B4-BE49-F238E27FC236}">
              <a16:creationId xmlns:a16="http://schemas.microsoft.com/office/drawing/2014/main" id="{584791E7-C7AF-4362-A0A9-ED72D10E4346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14C0A38D-C8FE-443B-A5F6-9CB207F10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304800</xdr:colOff>
      <xdr:row>13</xdr:row>
      <xdr:rowOff>85725</xdr:rowOff>
    </xdr:to>
    <xdr:sp macro="" textlink="">
      <xdr:nvSpPr>
        <xdr:cNvPr id="317" name="AutoShape 375">
          <a:extLst>
            <a:ext uri="{FF2B5EF4-FFF2-40B4-BE49-F238E27FC236}">
              <a16:creationId xmlns:a16="http://schemas.microsoft.com/office/drawing/2014/main" id="{B333E0CB-5E42-4CB5-B414-87D32028A15F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E612CB62-C9D4-445E-9486-E9987B3E6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304800</xdr:colOff>
      <xdr:row>14</xdr:row>
      <xdr:rowOff>114300</xdr:rowOff>
    </xdr:to>
    <xdr:sp macro="" textlink="">
      <xdr:nvSpPr>
        <xdr:cNvPr id="319" name="AutoShape 377">
          <a:extLst>
            <a:ext uri="{FF2B5EF4-FFF2-40B4-BE49-F238E27FC236}">
              <a16:creationId xmlns:a16="http://schemas.microsoft.com/office/drawing/2014/main" id="{7485D4B0-4B88-46DB-B4DA-DE108AA0C587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18B7D3C9-212E-4F5A-B31D-8E98277D6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112940</xdr:rowOff>
    </xdr:to>
    <xdr:sp macro="" textlink="">
      <xdr:nvSpPr>
        <xdr:cNvPr id="321" name="AutoShape 379">
          <a:extLst>
            <a:ext uri="{FF2B5EF4-FFF2-40B4-BE49-F238E27FC236}">
              <a16:creationId xmlns:a16="http://schemas.microsoft.com/office/drawing/2014/main" id="{9479FC43-9736-47BB-84BD-D5202B6266AA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9525</xdr:colOff>
      <xdr:row>27</xdr:row>
      <xdr:rowOff>9525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0FDB3CF0-543B-4E97-9D25-A117C8C33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304800</xdr:colOff>
      <xdr:row>27</xdr:row>
      <xdr:rowOff>112939</xdr:rowOff>
    </xdr:to>
    <xdr:sp macro="" textlink="">
      <xdr:nvSpPr>
        <xdr:cNvPr id="323" name="AutoShape 381">
          <a:extLst>
            <a:ext uri="{FF2B5EF4-FFF2-40B4-BE49-F238E27FC236}">
              <a16:creationId xmlns:a16="http://schemas.microsoft.com/office/drawing/2014/main" id="{FA4B7234-43AD-45C1-9DBA-EEE61703DB68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08C8F99E-187E-4DB4-8AA1-4E23CF333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62122108-75A3-4C44-A89D-76AA0AD6C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29</xdr:row>
      <xdr:rowOff>0</xdr:rowOff>
    </xdr:from>
    <xdr:ext cx="9525" cy="9525"/>
    <xdr:pic>
      <xdr:nvPicPr>
        <xdr:cNvPr id="326" name="Picture 325">
          <a:extLst>
            <a:ext uri="{FF2B5EF4-FFF2-40B4-BE49-F238E27FC236}">
              <a16:creationId xmlns:a16="http://schemas.microsoft.com/office/drawing/2014/main" id="{FCDCF9BA-A4F7-4809-8C14-6D4B4F1B1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304800" cy="303439"/>
    <xdr:sp macro="" textlink="">
      <xdr:nvSpPr>
        <xdr:cNvPr id="327" name="AutoShape 165">
          <a:extLst>
            <a:ext uri="{FF2B5EF4-FFF2-40B4-BE49-F238E27FC236}">
              <a16:creationId xmlns:a16="http://schemas.microsoft.com/office/drawing/2014/main" id="{E91ACBFD-95CE-4EE6-BF19-14FE99468892}"/>
            </a:ext>
          </a:extLst>
        </xdr:cNvPr>
        <xdr:cNvSpPr>
          <a:spLocks noChangeAspect="1" noChangeArrowheads="1"/>
        </xdr:cNvSpPr>
      </xdr:nvSpPr>
      <xdr:spPr bwMode="auto">
        <a:xfrm>
          <a:off x="0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328" name="Picture 327">
          <a:extLst>
            <a:ext uri="{FF2B5EF4-FFF2-40B4-BE49-F238E27FC236}">
              <a16:creationId xmlns:a16="http://schemas.microsoft.com/office/drawing/2014/main" id="{E3CDA9C9-0507-4F32-8F06-BF1D2EF2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304800" cy="303439"/>
    <xdr:sp macro="" textlink="">
      <xdr:nvSpPr>
        <xdr:cNvPr id="329" name="AutoShape 195">
          <a:extLst>
            <a:ext uri="{FF2B5EF4-FFF2-40B4-BE49-F238E27FC236}">
              <a16:creationId xmlns:a16="http://schemas.microsoft.com/office/drawing/2014/main" id="{C9C5863B-0DD4-4571-9DEF-73F84972E5B9}"/>
            </a:ext>
          </a:extLst>
        </xdr:cNvPr>
        <xdr:cNvSpPr>
          <a:spLocks noChangeAspect="1" noChangeArrowheads="1"/>
        </xdr:cNvSpPr>
      </xdr:nvSpPr>
      <xdr:spPr bwMode="auto">
        <a:xfrm>
          <a:off x="0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330" name="Picture 329">
          <a:extLst>
            <a:ext uri="{FF2B5EF4-FFF2-40B4-BE49-F238E27FC236}">
              <a16:creationId xmlns:a16="http://schemas.microsoft.com/office/drawing/2014/main" id="{C111D5A9-B787-4749-AE67-420A87F2F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331" name="Picture 330">
          <a:extLst>
            <a:ext uri="{FF2B5EF4-FFF2-40B4-BE49-F238E27FC236}">
              <a16:creationId xmlns:a16="http://schemas.microsoft.com/office/drawing/2014/main" id="{407082FC-7905-4B8A-8615-3AC3DFA6D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332" name="Picture 331">
          <a:extLst>
            <a:ext uri="{FF2B5EF4-FFF2-40B4-BE49-F238E27FC236}">
              <a16:creationId xmlns:a16="http://schemas.microsoft.com/office/drawing/2014/main" id="{1D7E9CEE-C078-4A2F-BAA0-0F0E5656B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333" name="Picture 332">
          <a:extLst>
            <a:ext uri="{FF2B5EF4-FFF2-40B4-BE49-F238E27FC236}">
              <a16:creationId xmlns:a16="http://schemas.microsoft.com/office/drawing/2014/main" id="{CD61BFB6-4243-410A-B896-C8C7922EB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9525" cy="9525"/>
    <xdr:pic>
      <xdr:nvPicPr>
        <xdr:cNvPr id="334" name="Picture 333">
          <a:extLst>
            <a:ext uri="{FF2B5EF4-FFF2-40B4-BE49-F238E27FC236}">
              <a16:creationId xmlns:a16="http://schemas.microsoft.com/office/drawing/2014/main" id="{59625EA3-DED1-4277-A9A6-E0F25A357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C9839C6A-BE75-426D-98B4-AB4595B20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336" name="AutoShape 413">
          <a:extLst>
            <a:ext uri="{FF2B5EF4-FFF2-40B4-BE49-F238E27FC236}">
              <a16:creationId xmlns:a16="http://schemas.microsoft.com/office/drawing/2014/main" id="{66D5BAA7-73B9-4E1E-BE6A-5D7867E24F9A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9B4C771E-7E89-4C8F-B609-171F57DF9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26087F3E-7215-4D09-8081-07FC5CF3D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72036191-9607-4DA2-A10D-51B7CFCA7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340" name="AutoShape 417">
          <a:extLst>
            <a:ext uri="{FF2B5EF4-FFF2-40B4-BE49-F238E27FC236}">
              <a16:creationId xmlns:a16="http://schemas.microsoft.com/office/drawing/2014/main" id="{C791D71F-BD64-42E7-AF9E-BAB8FCEDB141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9DADC016-952D-4E4F-A3D6-FC48B8EDF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304800</xdr:colOff>
      <xdr:row>25</xdr:row>
      <xdr:rowOff>87085</xdr:rowOff>
    </xdr:to>
    <xdr:sp macro="" textlink="">
      <xdr:nvSpPr>
        <xdr:cNvPr id="342" name="AutoShape 419">
          <a:extLst>
            <a:ext uri="{FF2B5EF4-FFF2-40B4-BE49-F238E27FC236}">
              <a16:creationId xmlns:a16="http://schemas.microsoft.com/office/drawing/2014/main" id="{54932159-07C4-489B-9BA2-863BA851C91D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9525</xdr:colOff>
      <xdr:row>26</xdr:row>
      <xdr:rowOff>9525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9AF808A3-BE40-4B0B-91DC-42A097DC7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304800</xdr:colOff>
      <xdr:row>26</xdr:row>
      <xdr:rowOff>85726</xdr:rowOff>
    </xdr:to>
    <xdr:sp macro="" textlink="">
      <xdr:nvSpPr>
        <xdr:cNvPr id="344" name="AutoShape 421">
          <a:extLst>
            <a:ext uri="{FF2B5EF4-FFF2-40B4-BE49-F238E27FC236}">
              <a16:creationId xmlns:a16="http://schemas.microsoft.com/office/drawing/2014/main" id="{BBE4585C-2DCF-487F-9DD2-C86AADB8AA95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38105EB7-73E1-4B16-83CE-58C6E1D65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552F4B61-9BA6-4A12-A3BE-B2741619B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8BBA3330-BAA8-4C43-9D07-985B0FB1A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F9ECFA6C-2A72-482B-9396-7FAD9CF43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C12254CD-7B2E-4BE0-B3F9-25B268646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350" name="AutoShape 427">
          <a:extLst>
            <a:ext uri="{FF2B5EF4-FFF2-40B4-BE49-F238E27FC236}">
              <a16:creationId xmlns:a16="http://schemas.microsoft.com/office/drawing/2014/main" id="{D64AE577-4203-4EF9-89D4-EEED0509D11A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DFC6DB1E-3A95-4497-B4F0-0C9F664CD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352" name="AutoShape 429">
          <a:extLst>
            <a:ext uri="{FF2B5EF4-FFF2-40B4-BE49-F238E27FC236}">
              <a16:creationId xmlns:a16="http://schemas.microsoft.com/office/drawing/2014/main" id="{095ACE84-7809-487C-A0AC-52116CD89547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38756580-7B0C-4753-BFCA-14D8F4B35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304800</xdr:colOff>
      <xdr:row>13</xdr:row>
      <xdr:rowOff>85725</xdr:rowOff>
    </xdr:to>
    <xdr:sp macro="" textlink="">
      <xdr:nvSpPr>
        <xdr:cNvPr id="354" name="AutoShape 431">
          <a:extLst>
            <a:ext uri="{FF2B5EF4-FFF2-40B4-BE49-F238E27FC236}">
              <a16:creationId xmlns:a16="http://schemas.microsoft.com/office/drawing/2014/main" id="{82D0A62E-4FD7-4334-9F94-68AC3AE2B4FC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B256225D-6090-4A24-A6B7-B4A411C6D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304800</xdr:colOff>
      <xdr:row>14</xdr:row>
      <xdr:rowOff>114300</xdr:rowOff>
    </xdr:to>
    <xdr:sp macro="" textlink="">
      <xdr:nvSpPr>
        <xdr:cNvPr id="356" name="AutoShape 433">
          <a:extLst>
            <a:ext uri="{FF2B5EF4-FFF2-40B4-BE49-F238E27FC236}">
              <a16:creationId xmlns:a16="http://schemas.microsoft.com/office/drawing/2014/main" id="{78F02703-5091-4E4A-A659-A95F3867776F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292EC84C-0B16-46D7-BF5A-CDACD0D1A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112940</xdr:rowOff>
    </xdr:to>
    <xdr:sp macro="" textlink="">
      <xdr:nvSpPr>
        <xdr:cNvPr id="358" name="AutoShape 435">
          <a:extLst>
            <a:ext uri="{FF2B5EF4-FFF2-40B4-BE49-F238E27FC236}">
              <a16:creationId xmlns:a16="http://schemas.microsoft.com/office/drawing/2014/main" id="{4FA962C6-33F8-450B-8AF1-05CBAA2B1E39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9525</xdr:colOff>
      <xdr:row>27</xdr:row>
      <xdr:rowOff>9525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861B02A6-9420-45A5-A9F5-CC5F46873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304800</xdr:colOff>
      <xdr:row>27</xdr:row>
      <xdr:rowOff>112939</xdr:rowOff>
    </xdr:to>
    <xdr:sp macro="" textlink="">
      <xdr:nvSpPr>
        <xdr:cNvPr id="360" name="AutoShape 437">
          <a:extLst>
            <a:ext uri="{FF2B5EF4-FFF2-40B4-BE49-F238E27FC236}">
              <a16:creationId xmlns:a16="http://schemas.microsoft.com/office/drawing/2014/main" id="{CAAD780E-20EC-4761-AC4F-C45E02FC7185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62ABF50A-7697-4338-88CE-DF060F4DD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034BF8D9-D1A3-42B9-A8DE-213CCD160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51C80D9F-9077-4C6B-93C9-BA42BCE26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364" name="AutoShape 469">
          <a:extLst>
            <a:ext uri="{FF2B5EF4-FFF2-40B4-BE49-F238E27FC236}">
              <a16:creationId xmlns:a16="http://schemas.microsoft.com/office/drawing/2014/main" id="{A080BB71-D7B1-4CB3-ADF5-7CFB3B920CAA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302DFDAF-6234-4C10-BA17-931F739E0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2C7B83CC-2286-4F48-B4DC-37D0D40D8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8AF6457D-D184-446D-A500-6D985F423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368" name="AutoShape 473">
          <a:extLst>
            <a:ext uri="{FF2B5EF4-FFF2-40B4-BE49-F238E27FC236}">
              <a16:creationId xmlns:a16="http://schemas.microsoft.com/office/drawing/2014/main" id="{A988567F-5C3A-44A2-AF77-C33572A4C104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2986C35C-544A-4A70-8A95-F0FEA99F2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304800</xdr:colOff>
      <xdr:row>25</xdr:row>
      <xdr:rowOff>87085</xdr:rowOff>
    </xdr:to>
    <xdr:sp macro="" textlink="">
      <xdr:nvSpPr>
        <xdr:cNvPr id="370" name="AutoShape 475">
          <a:extLst>
            <a:ext uri="{FF2B5EF4-FFF2-40B4-BE49-F238E27FC236}">
              <a16:creationId xmlns:a16="http://schemas.microsoft.com/office/drawing/2014/main" id="{EA87FBCF-DE24-4BEF-8536-BC37BC543B6B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9525</xdr:colOff>
      <xdr:row>26</xdr:row>
      <xdr:rowOff>9525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7D1AAA9D-63B7-4133-A22C-FDDDB3612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304800</xdr:colOff>
      <xdr:row>26</xdr:row>
      <xdr:rowOff>85726</xdr:rowOff>
    </xdr:to>
    <xdr:sp macro="" textlink="">
      <xdr:nvSpPr>
        <xdr:cNvPr id="372" name="AutoShape 477">
          <a:extLst>
            <a:ext uri="{FF2B5EF4-FFF2-40B4-BE49-F238E27FC236}">
              <a16:creationId xmlns:a16="http://schemas.microsoft.com/office/drawing/2014/main" id="{18D51E50-4588-4E0E-9E83-F9719AD04E4D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55CF0D00-3A4B-4F46-A71F-951F82F5F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id="{EEE881A7-427E-4CC6-B0EB-7F7779A13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212C3BB5-6871-48E9-8810-409B83D32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76" name="Picture 375">
          <a:extLst>
            <a:ext uri="{FF2B5EF4-FFF2-40B4-BE49-F238E27FC236}">
              <a16:creationId xmlns:a16="http://schemas.microsoft.com/office/drawing/2014/main" id="{60EBA6CE-CE9A-4E98-9B40-BA6532F57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F285217A-47E4-4A39-BB57-BABE731AA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378" name="AutoShape 483">
          <a:extLst>
            <a:ext uri="{FF2B5EF4-FFF2-40B4-BE49-F238E27FC236}">
              <a16:creationId xmlns:a16="http://schemas.microsoft.com/office/drawing/2014/main" id="{EBDE2BF0-71C0-40F2-BB68-147A41BA7E4A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15E321DB-48DE-4312-A87C-A97E676C0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380" name="AutoShape 485">
          <a:extLst>
            <a:ext uri="{FF2B5EF4-FFF2-40B4-BE49-F238E27FC236}">
              <a16:creationId xmlns:a16="http://schemas.microsoft.com/office/drawing/2014/main" id="{7717C229-D10A-4AE7-92E4-1CA9F74F8207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3B5CFD19-D690-458F-8106-9DC404A3A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304800</xdr:colOff>
      <xdr:row>13</xdr:row>
      <xdr:rowOff>85725</xdr:rowOff>
    </xdr:to>
    <xdr:sp macro="" textlink="">
      <xdr:nvSpPr>
        <xdr:cNvPr id="382" name="AutoShape 487">
          <a:extLst>
            <a:ext uri="{FF2B5EF4-FFF2-40B4-BE49-F238E27FC236}">
              <a16:creationId xmlns:a16="http://schemas.microsoft.com/office/drawing/2014/main" id="{1AC02EF7-7115-4B9A-8B1E-7CED09E2725D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069E3141-C2C6-486C-86F2-984511DA8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FD1E6C97-FBF5-46A2-91F7-AB8802585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112940</xdr:rowOff>
    </xdr:to>
    <xdr:sp macro="" textlink="">
      <xdr:nvSpPr>
        <xdr:cNvPr id="386" name="AutoShape 491">
          <a:extLst>
            <a:ext uri="{FF2B5EF4-FFF2-40B4-BE49-F238E27FC236}">
              <a16:creationId xmlns:a16="http://schemas.microsoft.com/office/drawing/2014/main" id="{58D976B4-AFAF-4091-93B5-D5D7F289B1BE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9525</xdr:colOff>
      <xdr:row>27</xdr:row>
      <xdr:rowOff>9525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4226F12D-33F6-4623-A354-6CCC6A92C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304800</xdr:colOff>
      <xdr:row>27</xdr:row>
      <xdr:rowOff>112939</xdr:rowOff>
    </xdr:to>
    <xdr:sp macro="" textlink="">
      <xdr:nvSpPr>
        <xdr:cNvPr id="388" name="AutoShape 493">
          <a:extLst>
            <a:ext uri="{FF2B5EF4-FFF2-40B4-BE49-F238E27FC236}">
              <a16:creationId xmlns:a16="http://schemas.microsoft.com/office/drawing/2014/main" id="{3CCB98B0-3629-4092-AF0D-25B93AA42E5E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279658C6-C1B5-4987-BFFE-D2293960D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1A0F48FB-E09B-44F6-B868-B000B0340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597338EF-C3B8-4E31-AAB9-E603D8D0F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392" name="AutoShape 497">
          <a:extLst>
            <a:ext uri="{FF2B5EF4-FFF2-40B4-BE49-F238E27FC236}">
              <a16:creationId xmlns:a16="http://schemas.microsoft.com/office/drawing/2014/main" id="{739528A4-4580-436B-8645-6F93BD465D03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28B19296-44E3-43DF-9900-D9B265FAC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304800</xdr:colOff>
      <xdr:row>4</xdr:row>
      <xdr:rowOff>114300</xdr:rowOff>
    </xdr:to>
    <xdr:sp macro="" textlink="">
      <xdr:nvSpPr>
        <xdr:cNvPr id="394" name="AutoShape 499">
          <a:extLst>
            <a:ext uri="{FF2B5EF4-FFF2-40B4-BE49-F238E27FC236}">
              <a16:creationId xmlns:a16="http://schemas.microsoft.com/office/drawing/2014/main" id="{AA64D1B1-FE87-48F6-BE14-2CBECBD79D2C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3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91113E2C-C74B-49A2-A3F3-3B27B2460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304800</xdr:colOff>
      <xdr:row>5</xdr:row>
      <xdr:rowOff>114300</xdr:rowOff>
    </xdr:to>
    <xdr:sp macro="" textlink="">
      <xdr:nvSpPr>
        <xdr:cNvPr id="396" name="AutoShape 501">
          <a:extLst>
            <a:ext uri="{FF2B5EF4-FFF2-40B4-BE49-F238E27FC236}">
              <a16:creationId xmlns:a16="http://schemas.microsoft.com/office/drawing/2014/main" id="{31E03A69-6D67-4C0C-B07E-E1E1E236CFC2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53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42BEB477-1CA7-4163-805F-7FEEB3C27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398" name="AutoShape 503">
          <a:extLst>
            <a:ext uri="{FF2B5EF4-FFF2-40B4-BE49-F238E27FC236}">
              <a16:creationId xmlns:a16="http://schemas.microsoft.com/office/drawing/2014/main" id="{89154058-1935-407F-B506-12A66CAF24FF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3625F137-6A1C-4390-873F-9A87AE702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304800</xdr:colOff>
      <xdr:row>7</xdr:row>
      <xdr:rowOff>100693</xdr:rowOff>
    </xdr:to>
    <xdr:sp macro="" textlink="">
      <xdr:nvSpPr>
        <xdr:cNvPr id="400" name="AutoShape 505">
          <a:extLst>
            <a:ext uri="{FF2B5EF4-FFF2-40B4-BE49-F238E27FC236}">
              <a16:creationId xmlns:a16="http://schemas.microsoft.com/office/drawing/2014/main" id="{89678435-562B-4954-B36B-E110181B48D6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914525"/>
          <a:ext cx="304800" cy="3102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9525</xdr:colOff>
      <xdr:row>26</xdr:row>
      <xdr:rowOff>9525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DC0BFC29-2C4C-47A5-A742-017BDCE76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304800</xdr:colOff>
      <xdr:row>26</xdr:row>
      <xdr:rowOff>85725</xdr:rowOff>
    </xdr:to>
    <xdr:sp macro="" textlink="">
      <xdr:nvSpPr>
        <xdr:cNvPr id="402" name="AutoShape 507">
          <a:extLst>
            <a:ext uri="{FF2B5EF4-FFF2-40B4-BE49-F238E27FC236}">
              <a16:creationId xmlns:a16="http://schemas.microsoft.com/office/drawing/2014/main" id="{5759AB86-683B-408D-9540-899A36B59F02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06878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2759FC69-A6E8-4167-8BF8-E7DDAA160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304800</xdr:colOff>
      <xdr:row>27</xdr:row>
      <xdr:rowOff>114300</xdr:rowOff>
    </xdr:to>
    <xdr:sp macro="" textlink="">
      <xdr:nvSpPr>
        <xdr:cNvPr id="404" name="AutoShape 509">
          <a:extLst>
            <a:ext uri="{FF2B5EF4-FFF2-40B4-BE49-F238E27FC236}">
              <a16:creationId xmlns:a16="http://schemas.microsoft.com/office/drawing/2014/main" id="{8E3046AE-6B7B-4B9C-8228-C473050173D0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A9112AA5-E7F5-42BA-A24B-47855CB72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406" name="AutoShape 511">
          <a:extLst>
            <a:ext uri="{FF2B5EF4-FFF2-40B4-BE49-F238E27FC236}">
              <a16:creationId xmlns:a16="http://schemas.microsoft.com/office/drawing/2014/main" id="{721B481D-B9E3-40BC-8324-278A2FC30CC3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E116E117-7946-4B0F-A0BE-413015BE4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112939</xdr:rowOff>
    </xdr:to>
    <xdr:sp macro="" textlink="">
      <xdr:nvSpPr>
        <xdr:cNvPr id="408" name="AutoShape 513">
          <a:extLst>
            <a:ext uri="{FF2B5EF4-FFF2-40B4-BE49-F238E27FC236}">
              <a16:creationId xmlns:a16="http://schemas.microsoft.com/office/drawing/2014/main" id="{032C8D98-63C6-4854-999E-DB9CDB45EA61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8E85F3BF-2CFB-41BE-A4A8-25BB8E059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410" name="AutoShape 515">
          <a:extLst>
            <a:ext uri="{FF2B5EF4-FFF2-40B4-BE49-F238E27FC236}">
              <a16:creationId xmlns:a16="http://schemas.microsoft.com/office/drawing/2014/main" id="{30F45A29-6414-4E53-9E2D-924F237A0815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A43B229A-2531-4E0F-8609-D642AA10A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412" name="AutoShape 517">
          <a:extLst>
            <a:ext uri="{FF2B5EF4-FFF2-40B4-BE49-F238E27FC236}">
              <a16:creationId xmlns:a16="http://schemas.microsoft.com/office/drawing/2014/main" id="{14E6E2E9-B1BC-4A7A-81D5-0A628DC28971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46CAEE58-8B9F-4764-972C-2B91342C6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114300</xdr:rowOff>
    </xdr:to>
    <xdr:sp macro="" textlink="">
      <xdr:nvSpPr>
        <xdr:cNvPr id="414" name="AutoShape 519">
          <a:extLst>
            <a:ext uri="{FF2B5EF4-FFF2-40B4-BE49-F238E27FC236}">
              <a16:creationId xmlns:a16="http://schemas.microsoft.com/office/drawing/2014/main" id="{ED98D779-D42F-4E78-88AD-471C9DA07242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A7FBF279-903E-4C5E-9DAD-14B36E59C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35CC14D5-7D9D-4B0B-970E-613016924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112940</xdr:rowOff>
    </xdr:to>
    <xdr:sp macro="" textlink="">
      <xdr:nvSpPr>
        <xdr:cNvPr id="420" name="AutoShape 525">
          <a:extLst>
            <a:ext uri="{FF2B5EF4-FFF2-40B4-BE49-F238E27FC236}">
              <a16:creationId xmlns:a16="http://schemas.microsoft.com/office/drawing/2014/main" id="{2398174F-DCDE-40D7-9A14-6964EFFC2ECA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9525</xdr:colOff>
      <xdr:row>27</xdr:row>
      <xdr:rowOff>9525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E178BAE1-6C15-4DA9-8523-03F7889CE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304800</xdr:colOff>
      <xdr:row>27</xdr:row>
      <xdr:rowOff>112939</xdr:rowOff>
    </xdr:to>
    <xdr:sp macro="" textlink="">
      <xdr:nvSpPr>
        <xdr:cNvPr id="422" name="AutoShape 527">
          <a:extLst>
            <a:ext uri="{FF2B5EF4-FFF2-40B4-BE49-F238E27FC236}">
              <a16:creationId xmlns:a16="http://schemas.microsoft.com/office/drawing/2014/main" id="{21C0942D-C757-408F-B4DE-B3905AE65801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6B6924A7-9947-4AFF-A777-8F7141C6F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304800</xdr:colOff>
      <xdr:row>28</xdr:row>
      <xdr:rowOff>112939</xdr:rowOff>
    </xdr:to>
    <xdr:sp macro="" textlink="">
      <xdr:nvSpPr>
        <xdr:cNvPr id="424" name="AutoShape 529">
          <a:extLst>
            <a:ext uri="{FF2B5EF4-FFF2-40B4-BE49-F238E27FC236}">
              <a16:creationId xmlns:a16="http://schemas.microsoft.com/office/drawing/2014/main" id="{F0D1F5D1-9112-4D70-AE05-9C5009E475D3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477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9525</xdr:colOff>
      <xdr:row>29</xdr:row>
      <xdr:rowOff>9525</xdr:rowOff>
    </xdr:to>
    <xdr:pic>
      <xdr:nvPicPr>
        <xdr:cNvPr id="425" name="Picture 424">
          <a:extLst>
            <a:ext uri="{FF2B5EF4-FFF2-40B4-BE49-F238E27FC236}">
              <a16:creationId xmlns:a16="http://schemas.microsoft.com/office/drawing/2014/main" id="{7E2A4DFD-FE6B-49DD-AC5A-6657A0219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112939</xdr:rowOff>
    </xdr:to>
    <xdr:sp macro="" textlink="">
      <xdr:nvSpPr>
        <xdr:cNvPr id="426" name="AutoShape 531">
          <a:extLst>
            <a:ext uri="{FF2B5EF4-FFF2-40B4-BE49-F238E27FC236}">
              <a16:creationId xmlns:a16="http://schemas.microsoft.com/office/drawing/2014/main" id="{856489E3-147A-4B2F-B1FA-24B3F1572684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31</xdr:row>
      <xdr:rowOff>0</xdr:rowOff>
    </xdr:from>
    <xdr:ext cx="9525" cy="9525"/>
    <xdr:pic>
      <xdr:nvPicPr>
        <xdr:cNvPr id="427" name="Picture 426">
          <a:extLst>
            <a:ext uri="{FF2B5EF4-FFF2-40B4-BE49-F238E27FC236}">
              <a16:creationId xmlns:a16="http://schemas.microsoft.com/office/drawing/2014/main" id="{AAF50D59-80E8-416A-9B1B-340921348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2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9525" cy="9525"/>
    <xdr:pic>
      <xdr:nvPicPr>
        <xdr:cNvPr id="428" name="Picture 427">
          <a:extLst>
            <a:ext uri="{FF2B5EF4-FFF2-40B4-BE49-F238E27FC236}">
              <a16:creationId xmlns:a16="http://schemas.microsoft.com/office/drawing/2014/main" id="{F6209058-0638-4D87-94EE-C29535780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2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9525" cy="9525"/>
    <xdr:pic>
      <xdr:nvPicPr>
        <xdr:cNvPr id="429" name="Picture 428">
          <a:extLst>
            <a:ext uri="{FF2B5EF4-FFF2-40B4-BE49-F238E27FC236}">
              <a16:creationId xmlns:a16="http://schemas.microsoft.com/office/drawing/2014/main" id="{70FE5B99-1C86-4D79-BC4E-3EFE0368B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2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9525" cy="9525"/>
    <xdr:pic>
      <xdr:nvPicPr>
        <xdr:cNvPr id="430" name="Picture 429">
          <a:extLst>
            <a:ext uri="{FF2B5EF4-FFF2-40B4-BE49-F238E27FC236}">
              <a16:creationId xmlns:a16="http://schemas.microsoft.com/office/drawing/2014/main" id="{C506508C-9315-44BC-A6D7-25FC22212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2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31" name="Picture 430">
          <a:extLst>
            <a:ext uri="{FF2B5EF4-FFF2-40B4-BE49-F238E27FC236}">
              <a16:creationId xmlns:a16="http://schemas.microsoft.com/office/drawing/2014/main" id="{BFA3EF49-7272-483A-9460-88FFF35C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32" name="Picture 431">
          <a:extLst>
            <a:ext uri="{FF2B5EF4-FFF2-40B4-BE49-F238E27FC236}">
              <a16:creationId xmlns:a16="http://schemas.microsoft.com/office/drawing/2014/main" id="{6C2398A2-4BF0-4E74-A3EA-985B0C246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33" name="Picture 432">
          <a:extLst>
            <a:ext uri="{FF2B5EF4-FFF2-40B4-BE49-F238E27FC236}">
              <a16:creationId xmlns:a16="http://schemas.microsoft.com/office/drawing/2014/main" id="{7156980E-4A32-416F-BAED-EB69F0E38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34" name="Picture 433">
          <a:extLst>
            <a:ext uri="{FF2B5EF4-FFF2-40B4-BE49-F238E27FC236}">
              <a16:creationId xmlns:a16="http://schemas.microsoft.com/office/drawing/2014/main" id="{4B8D0A65-D365-41D0-B1F5-B87126EBD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35" name="Picture 434">
          <a:extLst>
            <a:ext uri="{FF2B5EF4-FFF2-40B4-BE49-F238E27FC236}">
              <a16:creationId xmlns:a16="http://schemas.microsoft.com/office/drawing/2014/main" id="{F2FCF128-44F7-459F-990C-9AE075BB6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36" name="Picture 435">
          <a:extLst>
            <a:ext uri="{FF2B5EF4-FFF2-40B4-BE49-F238E27FC236}">
              <a16:creationId xmlns:a16="http://schemas.microsoft.com/office/drawing/2014/main" id="{B2F0C706-2C33-4FAE-B2D1-470F2E8B1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37" name="Picture 436">
          <a:extLst>
            <a:ext uri="{FF2B5EF4-FFF2-40B4-BE49-F238E27FC236}">
              <a16:creationId xmlns:a16="http://schemas.microsoft.com/office/drawing/2014/main" id="{6F75933A-3041-4E65-8310-B2D0737B2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38" name="Picture 437">
          <a:extLst>
            <a:ext uri="{FF2B5EF4-FFF2-40B4-BE49-F238E27FC236}">
              <a16:creationId xmlns:a16="http://schemas.microsoft.com/office/drawing/2014/main" id="{9E870A7F-9674-46C7-A3AD-400690FA4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39" name="Picture 438">
          <a:extLst>
            <a:ext uri="{FF2B5EF4-FFF2-40B4-BE49-F238E27FC236}">
              <a16:creationId xmlns:a16="http://schemas.microsoft.com/office/drawing/2014/main" id="{1C6D966D-48BD-4A55-A5FF-53D15D833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40" name="Picture 439">
          <a:extLst>
            <a:ext uri="{FF2B5EF4-FFF2-40B4-BE49-F238E27FC236}">
              <a16:creationId xmlns:a16="http://schemas.microsoft.com/office/drawing/2014/main" id="{F122DBE3-EE05-4994-A192-9980F0BAF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41" name="Picture 440">
          <a:extLst>
            <a:ext uri="{FF2B5EF4-FFF2-40B4-BE49-F238E27FC236}">
              <a16:creationId xmlns:a16="http://schemas.microsoft.com/office/drawing/2014/main" id="{2528712A-2048-46FA-BD35-FD008FAE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42" name="Picture 441">
          <a:extLst>
            <a:ext uri="{FF2B5EF4-FFF2-40B4-BE49-F238E27FC236}">
              <a16:creationId xmlns:a16="http://schemas.microsoft.com/office/drawing/2014/main" id="{98D30936-BF3C-468A-8BB2-88EBB7F63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43" name="Picture 442">
          <a:extLst>
            <a:ext uri="{FF2B5EF4-FFF2-40B4-BE49-F238E27FC236}">
              <a16:creationId xmlns:a16="http://schemas.microsoft.com/office/drawing/2014/main" id="{D7572248-91C9-49CD-808C-0A1E2A3D9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44" name="Picture 443">
          <a:extLst>
            <a:ext uri="{FF2B5EF4-FFF2-40B4-BE49-F238E27FC236}">
              <a16:creationId xmlns:a16="http://schemas.microsoft.com/office/drawing/2014/main" id="{CB744CE8-FE58-4319-9928-3D6960CA1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1238250</xdr:colOff>
      <xdr:row>31</xdr:row>
      <xdr:rowOff>0</xdr:rowOff>
    </xdr:from>
    <xdr:ext cx="9525" cy="9525"/>
    <xdr:pic>
      <xdr:nvPicPr>
        <xdr:cNvPr id="445" name="Picture 444">
          <a:extLst>
            <a:ext uri="{FF2B5EF4-FFF2-40B4-BE49-F238E27FC236}">
              <a16:creationId xmlns:a16="http://schemas.microsoft.com/office/drawing/2014/main" id="{FE58DEAD-B742-4045-BDD4-A1EA0282D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7252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9525" cy="9525"/>
    <xdr:pic>
      <xdr:nvPicPr>
        <xdr:cNvPr id="446" name="Picture 445">
          <a:extLst>
            <a:ext uri="{FF2B5EF4-FFF2-40B4-BE49-F238E27FC236}">
              <a16:creationId xmlns:a16="http://schemas.microsoft.com/office/drawing/2014/main" id="{ECAF7D07-7C9A-4E96-AA55-1C3A5AE01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2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9525" cy="9525"/>
    <xdr:pic>
      <xdr:nvPicPr>
        <xdr:cNvPr id="447" name="Picture 446">
          <a:extLst>
            <a:ext uri="{FF2B5EF4-FFF2-40B4-BE49-F238E27FC236}">
              <a16:creationId xmlns:a16="http://schemas.microsoft.com/office/drawing/2014/main" id="{D394BD8D-FA72-4796-82FE-4594E78CD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2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9525" cy="9525"/>
    <xdr:pic>
      <xdr:nvPicPr>
        <xdr:cNvPr id="448" name="Picture 447">
          <a:extLst>
            <a:ext uri="{FF2B5EF4-FFF2-40B4-BE49-F238E27FC236}">
              <a16:creationId xmlns:a16="http://schemas.microsoft.com/office/drawing/2014/main" id="{E259D5FE-07E6-4AEA-B969-01B951F7A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2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9525" cy="9525"/>
    <xdr:pic>
      <xdr:nvPicPr>
        <xdr:cNvPr id="449" name="Picture 448">
          <a:extLst>
            <a:ext uri="{FF2B5EF4-FFF2-40B4-BE49-F238E27FC236}">
              <a16:creationId xmlns:a16="http://schemas.microsoft.com/office/drawing/2014/main" id="{665DDA99-608B-4F48-A43F-FFB69E2B2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52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50" name="Picture 449">
          <a:extLst>
            <a:ext uri="{FF2B5EF4-FFF2-40B4-BE49-F238E27FC236}">
              <a16:creationId xmlns:a16="http://schemas.microsoft.com/office/drawing/2014/main" id="{65EFB0CF-30E2-46DF-BFC8-67DFC677E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51" name="Picture 450">
          <a:extLst>
            <a:ext uri="{FF2B5EF4-FFF2-40B4-BE49-F238E27FC236}">
              <a16:creationId xmlns:a16="http://schemas.microsoft.com/office/drawing/2014/main" id="{1ABA9779-00A6-4067-9D60-62C109259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52" name="Picture 451">
          <a:extLst>
            <a:ext uri="{FF2B5EF4-FFF2-40B4-BE49-F238E27FC236}">
              <a16:creationId xmlns:a16="http://schemas.microsoft.com/office/drawing/2014/main" id="{C52A4851-8AA0-4674-9CFF-2C74B1B93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53" name="Picture 452">
          <a:extLst>
            <a:ext uri="{FF2B5EF4-FFF2-40B4-BE49-F238E27FC236}">
              <a16:creationId xmlns:a16="http://schemas.microsoft.com/office/drawing/2014/main" id="{5D83D365-C8CC-4CA3-8BAA-9EAD001B7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54" name="Picture 453">
          <a:extLst>
            <a:ext uri="{FF2B5EF4-FFF2-40B4-BE49-F238E27FC236}">
              <a16:creationId xmlns:a16="http://schemas.microsoft.com/office/drawing/2014/main" id="{A2C3E582-B574-42B9-BCA3-F2B53D671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55" name="Picture 454">
          <a:extLst>
            <a:ext uri="{FF2B5EF4-FFF2-40B4-BE49-F238E27FC236}">
              <a16:creationId xmlns:a16="http://schemas.microsoft.com/office/drawing/2014/main" id="{4AC6C992-CF12-482E-AB94-9AF459146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56" name="Picture 455">
          <a:extLst>
            <a:ext uri="{FF2B5EF4-FFF2-40B4-BE49-F238E27FC236}">
              <a16:creationId xmlns:a16="http://schemas.microsoft.com/office/drawing/2014/main" id="{22526CD5-0145-49B2-B29B-50558C72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57" name="Picture 456">
          <a:extLst>
            <a:ext uri="{FF2B5EF4-FFF2-40B4-BE49-F238E27FC236}">
              <a16:creationId xmlns:a16="http://schemas.microsoft.com/office/drawing/2014/main" id="{E9D98ECC-E715-4B36-BCBF-8027CA37C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58" name="Picture 457">
          <a:extLst>
            <a:ext uri="{FF2B5EF4-FFF2-40B4-BE49-F238E27FC236}">
              <a16:creationId xmlns:a16="http://schemas.microsoft.com/office/drawing/2014/main" id="{6D09F814-0A9E-4857-A48F-8148830BE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59" name="Picture 458">
          <a:extLst>
            <a:ext uri="{FF2B5EF4-FFF2-40B4-BE49-F238E27FC236}">
              <a16:creationId xmlns:a16="http://schemas.microsoft.com/office/drawing/2014/main" id="{625E588D-BDEF-474E-8773-214E70F91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60" name="Picture 459">
          <a:extLst>
            <a:ext uri="{FF2B5EF4-FFF2-40B4-BE49-F238E27FC236}">
              <a16:creationId xmlns:a16="http://schemas.microsoft.com/office/drawing/2014/main" id="{8CEF894F-DD64-4F48-8F89-550A817DC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61" name="Picture 460">
          <a:extLst>
            <a:ext uri="{FF2B5EF4-FFF2-40B4-BE49-F238E27FC236}">
              <a16:creationId xmlns:a16="http://schemas.microsoft.com/office/drawing/2014/main" id="{BE4486C4-39B1-4BD8-BCF9-55659F4EE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62" name="Picture 461">
          <a:extLst>
            <a:ext uri="{FF2B5EF4-FFF2-40B4-BE49-F238E27FC236}">
              <a16:creationId xmlns:a16="http://schemas.microsoft.com/office/drawing/2014/main" id="{D025CD1B-9EB1-4F25-978C-FEA84F5A0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63" name="Picture 462">
          <a:extLst>
            <a:ext uri="{FF2B5EF4-FFF2-40B4-BE49-F238E27FC236}">
              <a16:creationId xmlns:a16="http://schemas.microsoft.com/office/drawing/2014/main" id="{411DB568-10DA-4EA1-839E-DDE2EACB0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64" name="Picture 463">
          <a:extLst>
            <a:ext uri="{FF2B5EF4-FFF2-40B4-BE49-F238E27FC236}">
              <a16:creationId xmlns:a16="http://schemas.microsoft.com/office/drawing/2014/main" id="{20997C88-53CD-47BA-90D8-871ED6BF1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65" name="Picture 464">
          <a:extLst>
            <a:ext uri="{FF2B5EF4-FFF2-40B4-BE49-F238E27FC236}">
              <a16:creationId xmlns:a16="http://schemas.microsoft.com/office/drawing/2014/main" id="{DF5E65D2-D45F-4ED6-A49B-9155C2BA7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304800" cy="303439"/>
    <xdr:sp macro="" textlink="">
      <xdr:nvSpPr>
        <xdr:cNvPr id="466" name="AutoShape 165">
          <a:extLst>
            <a:ext uri="{FF2B5EF4-FFF2-40B4-BE49-F238E27FC236}">
              <a16:creationId xmlns:a16="http://schemas.microsoft.com/office/drawing/2014/main" id="{EEC51CFE-1E52-40E4-9537-34C015D8F8DF}"/>
            </a:ext>
          </a:extLst>
        </xdr:cNvPr>
        <xdr:cNvSpPr>
          <a:spLocks noChangeAspect="1" noChangeArrowheads="1"/>
        </xdr:cNvSpPr>
      </xdr:nvSpPr>
      <xdr:spPr bwMode="auto">
        <a:xfrm>
          <a:off x="0" y="74567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67" name="Picture 466">
          <a:extLst>
            <a:ext uri="{FF2B5EF4-FFF2-40B4-BE49-F238E27FC236}">
              <a16:creationId xmlns:a16="http://schemas.microsoft.com/office/drawing/2014/main" id="{8847EB73-4F56-4268-A779-969862062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304800" cy="303439"/>
    <xdr:sp macro="" textlink="">
      <xdr:nvSpPr>
        <xdr:cNvPr id="468" name="AutoShape 195">
          <a:extLst>
            <a:ext uri="{FF2B5EF4-FFF2-40B4-BE49-F238E27FC236}">
              <a16:creationId xmlns:a16="http://schemas.microsoft.com/office/drawing/2014/main" id="{BD6A8754-F5DB-4BAC-8049-1EEAFDD06E5A}"/>
            </a:ext>
          </a:extLst>
        </xdr:cNvPr>
        <xdr:cNvSpPr>
          <a:spLocks noChangeAspect="1" noChangeArrowheads="1"/>
        </xdr:cNvSpPr>
      </xdr:nvSpPr>
      <xdr:spPr bwMode="auto">
        <a:xfrm>
          <a:off x="0" y="74567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69" name="Picture 468">
          <a:extLst>
            <a:ext uri="{FF2B5EF4-FFF2-40B4-BE49-F238E27FC236}">
              <a16:creationId xmlns:a16="http://schemas.microsoft.com/office/drawing/2014/main" id="{E59253EB-758A-416E-9D0D-2272F50D0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70" name="Picture 469">
          <a:extLst>
            <a:ext uri="{FF2B5EF4-FFF2-40B4-BE49-F238E27FC236}">
              <a16:creationId xmlns:a16="http://schemas.microsoft.com/office/drawing/2014/main" id="{28973F24-FD6B-417F-8A4A-B82ABA473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71" name="Picture 470">
          <a:extLst>
            <a:ext uri="{FF2B5EF4-FFF2-40B4-BE49-F238E27FC236}">
              <a16:creationId xmlns:a16="http://schemas.microsoft.com/office/drawing/2014/main" id="{028A38D7-AC3F-439C-8C2E-EA21493CC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72" name="Picture 471">
          <a:extLst>
            <a:ext uri="{FF2B5EF4-FFF2-40B4-BE49-F238E27FC236}">
              <a16:creationId xmlns:a16="http://schemas.microsoft.com/office/drawing/2014/main" id="{21A9FA9E-06CA-4877-8D9C-B1FAB7842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473" name="Picture 472">
          <a:extLst>
            <a:ext uri="{FF2B5EF4-FFF2-40B4-BE49-F238E27FC236}">
              <a16:creationId xmlns:a16="http://schemas.microsoft.com/office/drawing/2014/main" id="{E019A559-1FB7-4F31-B3BA-1FEAF34DD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9525"/>
    <xdr:pic>
      <xdr:nvPicPr>
        <xdr:cNvPr id="474" name="Picture 473">
          <a:extLst>
            <a:ext uri="{FF2B5EF4-FFF2-40B4-BE49-F238E27FC236}">
              <a16:creationId xmlns:a16="http://schemas.microsoft.com/office/drawing/2014/main" id="{6D3885A7-9E2E-4294-B46E-D8751A7F0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8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</xdr:row>
      <xdr:rowOff>0</xdr:rowOff>
    </xdr:from>
    <xdr:ext cx="9525" cy="9525"/>
    <xdr:pic>
      <xdr:nvPicPr>
        <xdr:cNvPr id="475" name="Picture 474">
          <a:extLst>
            <a:ext uri="{FF2B5EF4-FFF2-40B4-BE49-F238E27FC236}">
              <a16:creationId xmlns:a16="http://schemas.microsoft.com/office/drawing/2014/main" id="{650B917D-06C8-4862-ACBB-22CC1B828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04643" y="6408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</xdr:row>
      <xdr:rowOff>0</xdr:rowOff>
    </xdr:from>
    <xdr:ext cx="9525" cy="9525"/>
    <xdr:pic>
      <xdr:nvPicPr>
        <xdr:cNvPr id="476" name="Picture 475">
          <a:extLst>
            <a:ext uri="{FF2B5EF4-FFF2-40B4-BE49-F238E27FC236}">
              <a16:creationId xmlns:a16="http://schemas.microsoft.com/office/drawing/2014/main" id="{226C3994-12A1-4231-B1F8-4EF8DC758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04643" y="6408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</xdr:row>
      <xdr:rowOff>0</xdr:rowOff>
    </xdr:from>
    <xdr:ext cx="9525" cy="9525"/>
    <xdr:pic>
      <xdr:nvPicPr>
        <xdr:cNvPr id="477" name="Picture 476">
          <a:extLst>
            <a:ext uri="{FF2B5EF4-FFF2-40B4-BE49-F238E27FC236}">
              <a16:creationId xmlns:a16="http://schemas.microsoft.com/office/drawing/2014/main" id="{C750A17D-1F91-4E22-ADDC-B5D8CF2A8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04643" y="6408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</xdr:row>
      <xdr:rowOff>0</xdr:rowOff>
    </xdr:from>
    <xdr:ext cx="9525" cy="9525"/>
    <xdr:pic>
      <xdr:nvPicPr>
        <xdr:cNvPr id="478" name="Picture 477">
          <a:extLst>
            <a:ext uri="{FF2B5EF4-FFF2-40B4-BE49-F238E27FC236}">
              <a16:creationId xmlns:a16="http://schemas.microsoft.com/office/drawing/2014/main" id="{2A51625D-86DA-417A-A6DA-9646EEB31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04643" y="6408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</xdr:row>
      <xdr:rowOff>0</xdr:rowOff>
    </xdr:from>
    <xdr:ext cx="9525" cy="9525"/>
    <xdr:pic>
      <xdr:nvPicPr>
        <xdr:cNvPr id="479" name="Picture 478">
          <a:extLst>
            <a:ext uri="{FF2B5EF4-FFF2-40B4-BE49-F238E27FC236}">
              <a16:creationId xmlns:a16="http://schemas.microsoft.com/office/drawing/2014/main" id="{403EF9A0-B35F-41B1-9793-8FCF8F4CF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29286" y="6408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9525"/>
    <xdr:pic>
      <xdr:nvPicPr>
        <xdr:cNvPr id="480" name="Picture 479">
          <a:extLst>
            <a:ext uri="{FF2B5EF4-FFF2-40B4-BE49-F238E27FC236}">
              <a16:creationId xmlns:a16="http://schemas.microsoft.com/office/drawing/2014/main" id="{BB3484A9-A4D8-46C5-BD43-33E2A3484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8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</xdr:row>
      <xdr:rowOff>0</xdr:rowOff>
    </xdr:from>
    <xdr:ext cx="9525" cy="9525"/>
    <xdr:pic>
      <xdr:nvPicPr>
        <xdr:cNvPr id="481" name="Picture 480">
          <a:extLst>
            <a:ext uri="{FF2B5EF4-FFF2-40B4-BE49-F238E27FC236}">
              <a16:creationId xmlns:a16="http://schemas.microsoft.com/office/drawing/2014/main" id="{E58D5BDD-524C-4C6F-B5CA-83D85791D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29286" y="6408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</xdr:row>
      <xdr:rowOff>0</xdr:rowOff>
    </xdr:from>
    <xdr:ext cx="304800" cy="304800"/>
    <xdr:sp macro="" textlink="">
      <xdr:nvSpPr>
        <xdr:cNvPr id="482" name="AutoShape 183">
          <a:extLst>
            <a:ext uri="{FF2B5EF4-FFF2-40B4-BE49-F238E27FC236}">
              <a16:creationId xmlns:a16="http://schemas.microsoft.com/office/drawing/2014/main" id="{D41E1EE6-897D-46D2-A451-ACE45701B3A6}"/>
            </a:ext>
          </a:extLst>
        </xdr:cNvPr>
        <xdr:cNvSpPr>
          <a:spLocks noChangeAspect="1" noChangeArrowheads="1"/>
        </xdr:cNvSpPr>
      </xdr:nvSpPr>
      <xdr:spPr bwMode="auto">
        <a:xfrm>
          <a:off x="32929286" y="6408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</xdr:row>
      <xdr:rowOff>0</xdr:rowOff>
    </xdr:from>
    <xdr:ext cx="9525" cy="9525"/>
    <xdr:pic>
      <xdr:nvPicPr>
        <xdr:cNvPr id="483" name="Picture 482">
          <a:extLst>
            <a:ext uri="{FF2B5EF4-FFF2-40B4-BE49-F238E27FC236}">
              <a16:creationId xmlns:a16="http://schemas.microsoft.com/office/drawing/2014/main" id="{287C02D5-0399-44B9-8DC9-D7B497CC7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29286" y="6408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</xdr:row>
      <xdr:rowOff>0</xdr:rowOff>
    </xdr:from>
    <xdr:ext cx="304800" cy="304800"/>
    <xdr:sp macro="" textlink="">
      <xdr:nvSpPr>
        <xdr:cNvPr id="484" name="AutoShape 209">
          <a:extLst>
            <a:ext uri="{FF2B5EF4-FFF2-40B4-BE49-F238E27FC236}">
              <a16:creationId xmlns:a16="http://schemas.microsoft.com/office/drawing/2014/main" id="{86FE7C4E-6490-41DB-8E2B-521B1F4D93C3}"/>
            </a:ext>
          </a:extLst>
        </xdr:cNvPr>
        <xdr:cNvSpPr>
          <a:spLocks noChangeAspect="1" noChangeArrowheads="1"/>
        </xdr:cNvSpPr>
      </xdr:nvSpPr>
      <xdr:spPr bwMode="auto">
        <a:xfrm>
          <a:off x="32929286" y="6408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</xdr:row>
      <xdr:rowOff>0</xdr:rowOff>
    </xdr:from>
    <xdr:ext cx="9525" cy="9525"/>
    <xdr:pic>
      <xdr:nvPicPr>
        <xdr:cNvPr id="485" name="Picture 484">
          <a:extLst>
            <a:ext uri="{FF2B5EF4-FFF2-40B4-BE49-F238E27FC236}">
              <a16:creationId xmlns:a16="http://schemas.microsoft.com/office/drawing/2014/main" id="{AE0E5AB7-583B-4298-8DEC-4F7F4B723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29286" y="6408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</xdr:row>
      <xdr:rowOff>0</xdr:rowOff>
    </xdr:from>
    <xdr:ext cx="304800" cy="304800"/>
    <xdr:sp macro="" textlink="">
      <xdr:nvSpPr>
        <xdr:cNvPr id="486" name="AutoShape 233">
          <a:extLst>
            <a:ext uri="{FF2B5EF4-FFF2-40B4-BE49-F238E27FC236}">
              <a16:creationId xmlns:a16="http://schemas.microsoft.com/office/drawing/2014/main" id="{6C79E77C-8420-4451-B103-89C249E555FE}"/>
            </a:ext>
          </a:extLst>
        </xdr:cNvPr>
        <xdr:cNvSpPr>
          <a:spLocks noChangeAspect="1" noChangeArrowheads="1"/>
        </xdr:cNvSpPr>
      </xdr:nvSpPr>
      <xdr:spPr bwMode="auto">
        <a:xfrm>
          <a:off x="32929286" y="6408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</xdr:row>
      <xdr:rowOff>0</xdr:rowOff>
    </xdr:from>
    <xdr:ext cx="9525" cy="9525"/>
    <xdr:pic>
      <xdr:nvPicPr>
        <xdr:cNvPr id="487" name="Picture 486">
          <a:extLst>
            <a:ext uri="{FF2B5EF4-FFF2-40B4-BE49-F238E27FC236}">
              <a16:creationId xmlns:a16="http://schemas.microsoft.com/office/drawing/2014/main" id="{A27F10DC-CB5E-4035-BF5B-8F5F25013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29286" y="6408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</xdr:row>
      <xdr:rowOff>0</xdr:rowOff>
    </xdr:from>
    <xdr:ext cx="304800" cy="304800"/>
    <xdr:sp macro="" textlink="">
      <xdr:nvSpPr>
        <xdr:cNvPr id="488" name="AutoShape 259">
          <a:extLst>
            <a:ext uri="{FF2B5EF4-FFF2-40B4-BE49-F238E27FC236}">
              <a16:creationId xmlns:a16="http://schemas.microsoft.com/office/drawing/2014/main" id="{168398AF-3CA8-4E7C-87F7-E0D7F1A88E34}"/>
            </a:ext>
          </a:extLst>
        </xdr:cNvPr>
        <xdr:cNvSpPr>
          <a:spLocks noChangeAspect="1" noChangeArrowheads="1"/>
        </xdr:cNvSpPr>
      </xdr:nvSpPr>
      <xdr:spPr bwMode="auto">
        <a:xfrm>
          <a:off x="32929286" y="6408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</xdr:row>
      <xdr:rowOff>0</xdr:rowOff>
    </xdr:from>
    <xdr:ext cx="9525" cy="9525"/>
    <xdr:pic>
      <xdr:nvPicPr>
        <xdr:cNvPr id="489" name="Picture 488">
          <a:extLst>
            <a:ext uri="{FF2B5EF4-FFF2-40B4-BE49-F238E27FC236}">
              <a16:creationId xmlns:a16="http://schemas.microsoft.com/office/drawing/2014/main" id="{DBA49801-C796-4668-8DF0-70D8D3016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29286" y="6408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</xdr:row>
      <xdr:rowOff>0</xdr:rowOff>
    </xdr:from>
    <xdr:ext cx="304800" cy="304800"/>
    <xdr:sp macro="" textlink="">
      <xdr:nvSpPr>
        <xdr:cNvPr id="490" name="AutoShape 311">
          <a:extLst>
            <a:ext uri="{FF2B5EF4-FFF2-40B4-BE49-F238E27FC236}">
              <a16:creationId xmlns:a16="http://schemas.microsoft.com/office/drawing/2014/main" id="{42FFE047-A030-4BBB-B468-3D187757C85A}"/>
            </a:ext>
          </a:extLst>
        </xdr:cNvPr>
        <xdr:cNvSpPr>
          <a:spLocks noChangeAspect="1" noChangeArrowheads="1"/>
        </xdr:cNvSpPr>
      </xdr:nvSpPr>
      <xdr:spPr bwMode="auto">
        <a:xfrm>
          <a:off x="32929286" y="6408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</xdr:row>
      <xdr:rowOff>0</xdr:rowOff>
    </xdr:from>
    <xdr:ext cx="9525" cy="9525"/>
    <xdr:pic>
      <xdr:nvPicPr>
        <xdr:cNvPr id="491" name="Picture 490">
          <a:extLst>
            <a:ext uri="{FF2B5EF4-FFF2-40B4-BE49-F238E27FC236}">
              <a16:creationId xmlns:a16="http://schemas.microsoft.com/office/drawing/2014/main" id="{D003B72C-7B21-46DF-9FA5-A633AC8D1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29286" y="6408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</xdr:row>
      <xdr:rowOff>0</xdr:rowOff>
    </xdr:from>
    <xdr:ext cx="304800" cy="304800"/>
    <xdr:sp macro="" textlink="">
      <xdr:nvSpPr>
        <xdr:cNvPr id="492" name="AutoShape 363">
          <a:extLst>
            <a:ext uri="{FF2B5EF4-FFF2-40B4-BE49-F238E27FC236}">
              <a16:creationId xmlns:a16="http://schemas.microsoft.com/office/drawing/2014/main" id="{3FDE5797-B32D-4F94-84BD-1CD469373894}"/>
            </a:ext>
          </a:extLst>
        </xdr:cNvPr>
        <xdr:cNvSpPr>
          <a:spLocks noChangeAspect="1" noChangeArrowheads="1"/>
        </xdr:cNvSpPr>
      </xdr:nvSpPr>
      <xdr:spPr bwMode="auto">
        <a:xfrm>
          <a:off x="32929286" y="6408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</xdr:row>
      <xdr:rowOff>0</xdr:rowOff>
    </xdr:from>
    <xdr:ext cx="9525" cy="9525"/>
    <xdr:pic>
      <xdr:nvPicPr>
        <xdr:cNvPr id="493" name="Picture 492">
          <a:extLst>
            <a:ext uri="{FF2B5EF4-FFF2-40B4-BE49-F238E27FC236}">
              <a16:creationId xmlns:a16="http://schemas.microsoft.com/office/drawing/2014/main" id="{8B15A769-692F-40A1-B7F5-ECF1B296F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29286" y="6408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</xdr:row>
      <xdr:rowOff>0</xdr:rowOff>
    </xdr:from>
    <xdr:ext cx="304800" cy="304800"/>
    <xdr:sp macro="" textlink="">
      <xdr:nvSpPr>
        <xdr:cNvPr id="494" name="AutoShape 419">
          <a:extLst>
            <a:ext uri="{FF2B5EF4-FFF2-40B4-BE49-F238E27FC236}">
              <a16:creationId xmlns:a16="http://schemas.microsoft.com/office/drawing/2014/main" id="{4C56131E-257A-4166-AD7E-C369899957E3}"/>
            </a:ext>
          </a:extLst>
        </xdr:cNvPr>
        <xdr:cNvSpPr>
          <a:spLocks noChangeAspect="1" noChangeArrowheads="1"/>
        </xdr:cNvSpPr>
      </xdr:nvSpPr>
      <xdr:spPr bwMode="auto">
        <a:xfrm>
          <a:off x="32929286" y="6408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</xdr:row>
      <xdr:rowOff>0</xdr:rowOff>
    </xdr:from>
    <xdr:ext cx="9525" cy="9525"/>
    <xdr:pic>
      <xdr:nvPicPr>
        <xdr:cNvPr id="495" name="Picture 494">
          <a:extLst>
            <a:ext uri="{FF2B5EF4-FFF2-40B4-BE49-F238E27FC236}">
              <a16:creationId xmlns:a16="http://schemas.microsoft.com/office/drawing/2014/main" id="{4D0C2353-2522-4EAC-956E-4A330FE6D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29286" y="6408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</xdr:row>
      <xdr:rowOff>0</xdr:rowOff>
    </xdr:from>
    <xdr:ext cx="304800" cy="304800"/>
    <xdr:sp macro="" textlink="">
      <xdr:nvSpPr>
        <xdr:cNvPr id="496" name="AutoShape 475">
          <a:extLst>
            <a:ext uri="{FF2B5EF4-FFF2-40B4-BE49-F238E27FC236}">
              <a16:creationId xmlns:a16="http://schemas.microsoft.com/office/drawing/2014/main" id="{15B2DF6E-BFE5-49AF-9E04-A34045A368D2}"/>
            </a:ext>
          </a:extLst>
        </xdr:cNvPr>
        <xdr:cNvSpPr>
          <a:spLocks noChangeAspect="1" noChangeArrowheads="1"/>
        </xdr:cNvSpPr>
      </xdr:nvSpPr>
      <xdr:spPr bwMode="auto">
        <a:xfrm>
          <a:off x="32929286" y="6408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</xdr:row>
      <xdr:rowOff>0</xdr:rowOff>
    </xdr:from>
    <xdr:ext cx="9525" cy="9525"/>
    <xdr:pic>
      <xdr:nvPicPr>
        <xdr:cNvPr id="497" name="Picture 496">
          <a:extLst>
            <a:ext uri="{FF2B5EF4-FFF2-40B4-BE49-F238E27FC236}">
              <a16:creationId xmlns:a16="http://schemas.microsoft.com/office/drawing/2014/main" id="{75F0D98A-A6E4-46AF-AED8-A5F7B6F99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29286" y="6408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9525" cy="9525"/>
    <xdr:pic>
      <xdr:nvPicPr>
        <xdr:cNvPr id="498" name="Picture 497">
          <a:extLst>
            <a:ext uri="{FF2B5EF4-FFF2-40B4-BE49-F238E27FC236}">
              <a16:creationId xmlns:a16="http://schemas.microsoft.com/office/drawing/2014/main" id="{B29038CE-811F-43DD-A42F-7FC744984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15</xdr:row>
      <xdr:rowOff>0</xdr:rowOff>
    </xdr:from>
    <xdr:ext cx="9525" cy="9525"/>
    <xdr:pic>
      <xdr:nvPicPr>
        <xdr:cNvPr id="499" name="Picture 498">
          <a:extLst>
            <a:ext uri="{FF2B5EF4-FFF2-40B4-BE49-F238E27FC236}">
              <a16:creationId xmlns:a16="http://schemas.microsoft.com/office/drawing/2014/main" id="{DBCD61FD-A6CD-4F04-9962-E119B021C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15</xdr:row>
      <xdr:rowOff>0</xdr:rowOff>
    </xdr:from>
    <xdr:ext cx="9525" cy="9525"/>
    <xdr:pic>
      <xdr:nvPicPr>
        <xdr:cNvPr id="500" name="Picture 499">
          <a:extLst>
            <a:ext uri="{FF2B5EF4-FFF2-40B4-BE49-F238E27FC236}">
              <a16:creationId xmlns:a16="http://schemas.microsoft.com/office/drawing/2014/main" id="{128CAE66-A5AB-4A76-8279-F9CA0D6B8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15</xdr:row>
      <xdr:rowOff>0</xdr:rowOff>
    </xdr:from>
    <xdr:ext cx="9525" cy="9525"/>
    <xdr:pic>
      <xdr:nvPicPr>
        <xdr:cNvPr id="501" name="Picture 500">
          <a:extLst>
            <a:ext uri="{FF2B5EF4-FFF2-40B4-BE49-F238E27FC236}">
              <a16:creationId xmlns:a16="http://schemas.microsoft.com/office/drawing/2014/main" id="{BFB6FA1A-5CD6-4B97-8BA0-2CBDE795A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15</xdr:row>
      <xdr:rowOff>0</xdr:rowOff>
    </xdr:from>
    <xdr:ext cx="9525" cy="9525"/>
    <xdr:pic>
      <xdr:nvPicPr>
        <xdr:cNvPr id="502" name="Picture 501">
          <a:extLst>
            <a:ext uri="{FF2B5EF4-FFF2-40B4-BE49-F238E27FC236}">
              <a16:creationId xmlns:a16="http://schemas.microsoft.com/office/drawing/2014/main" id="{3985174D-2F27-4687-AF64-100E584C1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9525" cy="9525"/>
    <xdr:pic>
      <xdr:nvPicPr>
        <xdr:cNvPr id="503" name="Picture 502">
          <a:extLst>
            <a:ext uri="{FF2B5EF4-FFF2-40B4-BE49-F238E27FC236}">
              <a16:creationId xmlns:a16="http://schemas.microsoft.com/office/drawing/2014/main" id="{44F434D8-7A26-46E3-8E56-52381EB1F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9525" cy="9525"/>
    <xdr:pic>
      <xdr:nvPicPr>
        <xdr:cNvPr id="504" name="Picture 503">
          <a:extLst>
            <a:ext uri="{FF2B5EF4-FFF2-40B4-BE49-F238E27FC236}">
              <a16:creationId xmlns:a16="http://schemas.microsoft.com/office/drawing/2014/main" id="{6A223D3D-E59D-4B62-9BD9-FAC94A5EB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9525" cy="9525"/>
    <xdr:pic>
      <xdr:nvPicPr>
        <xdr:cNvPr id="505" name="Picture 504">
          <a:extLst>
            <a:ext uri="{FF2B5EF4-FFF2-40B4-BE49-F238E27FC236}">
              <a16:creationId xmlns:a16="http://schemas.microsoft.com/office/drawing/2014/main" id="{599D5653-AC7C-416B-B423-71C9EB0BA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4800"/>
    <xdr:sp macro="" textlink="">
      <xdr:nvSpPr>
        <xdr:cNvPr id="506" name="AutoShape 183">
          <a:extLst>
            <a:ext uri="{FF2B5EF4-FFF2-40B4-BE49-F238E27FC236}">
              <a16:creationId xmlns:a16="http://schemas.microsoft.com/office/drawing/2014/main" id="{A8948E92-254E-4FD3-8D1A-94890DFE2FA4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15</xdr:row>
      <xdr:rowOff>0</xdr:rowOff>
    </xdr:from>
    <xdr:ext cx="9525" cy="9525"/>
    <xdr:pic>
      <xdr:nvPicPr>
        <xdr:cNvPr id="507" name="Picture 506">
          <a:extLst>
            <a:ext uri="{FF2B5EF4-FFF2-40B4-BE49-F238E27FC236}">
              <a16:creationId xmlns:a16="http://schemas.microsoft.com/office/drawing/2014/main" id="{7F7CB518-3C5D-4218-AD9D-C5E83C14E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4800"/>
    <xdr:sp macro="" textlink="">
      <xdr:nvSpPr>
        <xdr:cNvPr id="508" name="AutoShape 209">
          <a:extLst>
            <a:ext uri="{FF2B5EF4-FFF2-40B4-BE49-F238E27FC236}">
              <a16:creationId xmlns:a16="http://schemas.microsoft.com/office/drawing/2014/main" id="{E597FF13-E559-4BEA-9976-784058BB803C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15</xdr:row>
      <xdr:rowOff>0</xdr:rowOff>
    </xdr:from>
    <xdr:ext cx="9525" cy="9525"/>
    <xdr:pic>
      <xdr:nvPicPr>
        <xdr:cNvPr id="509" name="Picture 508">
          <a:extLst>
            <a:ext uri="{FF2B5EF4-FFF2-40B4-BE49-F238E27FC236}">
              <a16:creationId xmlns:a16="http://schemas.microsoft.com/office/drawing/2014/main" id="{0A0DC05F-87BB-4141-BE96-8064AF004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4800"/>
    <xdr:sp macro="" textlink="">
      <xdr:nvSpPr>
        <xdr:cNvPr id="510" name="AutoShape 233">
          <a:extLst>
            <a:ext uri="{FF2B5EF4-FFF2-40B4-BE49-F238E27FC236}">
              <a16:creationId xmlns:a16="http://schemas.microsoft.com/office/drawing/2014/main" id="{0307FD26-96CE-4E7B-9BCA-0C6BD7BB88FB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15</xdr:row>
      <xdr:rowOff>0</xdr:rowOff>
    </xdr:from>
    <xdr:ext cx="9525" cy="9525"/>
    <xdr:pic>
      <xdr:nvPicPr>
        <xdr:cNvPr id="511" name="Picture 510">
          <a:extLst>
            <a:ext uri="{FF2B5EF4-FFF2-40B4-BE49-F238E27FC236}">
              <a16:creationId xmlns:a16="http://schemas.microsoft.com/office/drawing/2014/main" id="{807713C2-55C9-4E85-9B1A-9E2B862FB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4800"/>
    <xdr:sp macro="" textlink="">
      <xdr:nvSpPr>
        <xdr:cNvPr id="512" name="AutoShape 259">
          <a:extLst>
            <a:ext uri="{FF2B5EF4-FFF2-40B4-BE49-F238E27FC236}">
              <a16:creationId xmlns:a16="http://schemas.microsoft.com/office/drawing/2014/main" id="{ADA6637A-5B44-4F28-8044-DBB9C4B0E66F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15</xdr:row>
      <xdr:rowOff>0</xdr:rowOff>
    </xdr:from>
    <xdr:ext cx="9525" cy="9525"/>
    <xdr:pic>
      <xdr:nvPicPr>
        <xdr:cNvPr id="513" name="Picture 512">
          <a:extLst>
            <a:ext uri="{FF2B5EF4-FFF2-40B4-BE49-F238E27FC236}">
              <a16:creationId xmlns:a16="http://schemas.microsoft.com/office/drawing/2014/main" id="{B54C2AED-479E-4FAA-A7AE-C282B7915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4800"/>
    <xdr:sp macro="" textlink="">
      <xdr:nvSpPr>
        <xdr:cNvPr id="514" name="AutoShape 311">
          <a:extLst>
            <a:ext uri="{FF2B5EF4-FFF2-40B4-BE49-F238E27FC236}">
              <a16:creationId xmlns:a16="http://schemas.microsoft.com/office/drawing/2014/main" id="{C6DF3016-8A3B-46D4-A16F-4700393668AC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15</xdr:row>
      <xdr:rowOff>0</xdr:rowOff>
    </xdr:from>
    <xdr:ext cx="9525" cy="9525"/>
    <xdr:pic>
      <xdr:nvPicPr>
        <xdr:cNvPr id="515" name="Picture 514">
          <a:extLst>
            <a:ext uri="{FF2B5EF4-FFF2-40B4-BE49-F238E27FC236}">
              <a16:creationId xmlns:a16="http://schemas.microsoft.com/office/drawing/2014/main" id="{60BAFDBB-E2CD-4E74-A0EC-A7AF33A5E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4800"/>
    <xdr:sp macro="" textlink="">
      <xdr:nvSpPr>
        <xdr:cNvPr id="516" name="AutoShape 363">
          <a:extLst>
            <a:ext uri="{FF2B5EF4-FFF2-40B4-BE49-F238E27FC236}">
              <a16:creationId xmlns:a16="http://schemas.microsoft.com/office/drawing/2014/main" id="{6E92864F-1F7B-4864-A0C8-315749AA814E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15</xdr:row>
      <xdr:rowOff>0</xdr:rowOff>
    </xdr:from>
    <xdr:ext cx="9525" cy="9525"/>
    <xdr:pic>
      <xdr:nvPicPr>
        <xdr:cNvPr id="517" name="Picture 516">
          <a:extLst>
            <a:ext uri="{FF2B5EF4-FFF2-40B4-BE49-F238E27FC236}">
              <a16:creationId xmlns:a16="http://schemas.microsoft.com/office/drawing/2014/main" id="{06D7C7DE-A0F5-4490-90F8-FF4D87A7B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4800"/>
    <xdr:sp macro="" textlink="">
      <xdr:nvSpPr>
        <xdr:cNvPr id="518" name="AutoShape 419">
          <a:extLst>
            <a:ext uri="{FF2B5EF4-FFF2-40B4-BE49-F238E27FC236}">
              <a16:creationId xmlns:a16="http://schemas.microsoft.com/office/drawing/2014/main" id="{B06F0048-44BF-4A3E-BA63-4ED9A3256DA2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15</xdr:row>
      <xdr:rowOff>0</xdr:rowOff>
    </xdr:from>
    <xdr:ext cx="9525" cy="9525"/>
    <xdr:pic>
      <xdr:nvPicPr>
        <xdr:cNvPr id="519" name="Picture 518">
          <a:extLst>
            <a:ext uri="{FF2B5EF4-FFF2-40B4-BE49-F238E27FC236}">
              <a16:creationId xmlns:a16="http://schemas.microsoft.com/office/drawing/2014/main" id="{985DE23D-33D1-4C1F-9857-6008675E2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4800"/>
    <xdr:sp macro="" textlink="">
      <xdr:nvSpPr>
        <xdr:cNvPr id="520" name="AutoShape 475">
          <a:extLst>
            <a:ext uri="{FF2B5EF4-FFF2-40B4-BE49-F238E27FC236}">
              <a16:creationId xmlns:a16="http://schemas.microsoft.com/office/drawing/2014/main" id="{8EA63463-30EC-47D5-B289-C54C6AD63B81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15</xdr:row>
      <xdr:rowOff>0</xdr:rowOff>
    </xdr:from>
    <xdr:ext cx="9525" cy="9525"/>
    <xdr:pic>
      <xdr:nvPicPr>
        <xdr:cNvPr id="521" name="Picture 520">
          <a:extLst>
            <a:ext uri="{FF2B5EF4-FFF2-40B4-BE49-F238E27FC236}">
              <a16:creationId xmlns:a16="http://schemas.microsoft.com/office/drawing/2014/main" id="{F6F44A33-65FD-4261-855C-0BFC276EC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21</xdr:row>
      <xdr:rowOff>0</xdr:rowOff>
    </xdr:from>
    <xdr:ext cx="304800" cy="304800"/>
    <xdr:sp macro="" textlink="">
      <xdr:nvSpPr>
        <xdr:cNvPr id="523" name="AutoShape 154">
          <a:extLst>
            <a:ext uri="{FF2B5EF4-FFF2-40B4-BE49-F238E27FC236}">
              <a16:creationId xmlns:a16="http://schemas.microsoft.com/office/drawing/2014/main" id="{19A1E1BE-9DD6-43C7-B24E-3077DD1E7758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</xdr:row>
      <xdr:rowOff>0</xdr:rowOff>
    </xdr:from>
    <xdr:ext cx="304800" cy="304800"/>
    <xdr:sp macro="" textlink="">
      <xdr:nvSpPr>
        <xdr:cNvPr id="524" name="AutoShape 505">
          <a:extLst>
            <a:ext uri="{FF2B5EF4-FFF2-40B4-BE49-F238E27FC236}">
              <a16:creationId xmlns:a16="http://schemas.microsoft.com/office/drawing/2014/main" id="{F9695F14-E1D1-4C5F-ABF2-E388A3E2BA91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9525" cy="9525"/>
    <xdr:pic>
      <xdr:nvPicPr>
        <xdr:cNvPr id="525" name="Picture 524">
          <a:extLst>
            <a:ext uri="{FF2B5EF4-FFF2-40B4-BE49-F238E27FC236}">
              <a16:creationId xmlns:a16="http://schemas.microsoft.com/office/drawing/2014/main" id="{CEC68A1B-38E9-471C-80DF-CEF94A16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21</xdr:row>
      <xdr:rowOff>0</xdr:rowOff>
    </xdr:from>
    <xdr:ext cx="9525" cy="9525"/>
    <xdr:pic>
      <xdr:nvPicPr>
        <xdr:cNvPr id="526" name="Picture 525">
          <a:extLst>
            <a:ext uri="{FF2B5EF4-FFF2-40B4-BE49-F238E27FC236}">
              <a16:creationId xmlns:a16="http://schemas.microsoft.com/office/drawing/2014/main" id="{F129499C-1B19-4CE6-8C90-7CDAFD6ED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21</xdr:row>
      <xdr:rowOff>0</xdr:rowOff>
    </xdr:from>
    <xdr:ext cx="9525" cy="9525"/>
    <xdr:pic>
      <xdr:nvPicPr>
        <xdr:cNvPr id="527" name="Picture 526">
          <a:extLst>
            <a:ext uri="{FF2B5EF4-FFF2-40B4-BE49-F238E27FC236}">
              <a16:creationId xmlns:a16="http://schemas.microsoft.com/office/drawing/2014/main" id="{87321763-0D8B-478F-9946-F2939585E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21</xdr:row>
      <xdr:rowOff>0</xdr:rowOff>
    </xdr:from>
    <xdr:ext cx="9525" cy="9525"/>
    <xdr:pic>
      <xdr:nvPicPr>
        <xdr:cNvPr id="528" name="Picture 527">
          <a:extLst>
            <a:ext uri="{FF2B5EF4-FFF2-40B4-BE49-F238E27FC236}">
              <a16:creationId xmlns:a16="http://schemas.microsoft.com/office/drawing/2014/main" id="{FB8E932F-5931-42CA-9929-8B00F6C3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21</xdr:row>
      <xdr:rowOff>0</xdr:rowOff>
    </xdr:from>
    <xdr:ext cx="9525" cy="9525"/>
    <xdr:pic>
      <xdr:nvPicPr>
        <xdr:cNvPr id="529" name="Picture 528">
          <a:extLst>
            <a:ext uri="{FF2B5EF4-FFF2-40B4-BE49-F238E27FC236}">
              <a16:creationId xmlns:a16="http://schemas.microsoft.com/office/drawing/2014/main" id="{7F65C3A6-CAC3-4DBE-9778-2522BE819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21</xdr:row>
      <xdr:rowOff>0</xdr:rowOff>
    </xdr:from>
    <xdr:ext cx="9525" cy="9525"/>
    <xdr:pic>
      <xdr:nvPicPr>
        <xdr:cNvPr id="530" name="Picture 529">
          <a:extLst>
            <a:ext uri="{FF2B5EF4-FFF2-40B4-BE49-F238E27FC236}">
              <a16:creationId xmlns:a16="http://schemas.microsoft.com/office/drawing/2014/main" id="{0DFFD719-6C78-4FC0-8941-EB708423A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9525" cy="9525"/>
    <xdr:pic>
      <xdr:nvPicPr>
        <xdr:cNvPr id="531" name="Picture 530">
          <a:extLst>
            <a:ext uri="{FF2B5EF4-FFF2-40B4-BE49-F238E27FC236}">
              <a16:creationId xmlns:a16="http://schemas.microsoft.com/office/drawing/2014/main" id="{A25ACAE6-07B4-4EF0-AD71-ACC8E4900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21</xdr:row>
      <xdr:rowOff>0</xdr:rowOff>
    </xdr:from>
    <xdr:ext cx="9525" cy="9525"/>
    <xdr:pic>
      <xdr:nvPicPr>
        <xdr:cNvPr id="532" name="Picture 531">
          <a:extLst>
            <a:ext uri="{FF2B5EF4-FFF2-40B4-BE49-F238E27FC236}">
              <a16:creationId xmlns:a16="http://schemas.microsoft.com/office/drawing/2014/main" id="{866F21AF-5B9B-42A2-ADCF-B88AF91FF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21</xdr:row>
      <xdr:rowOff>0</xdr:rowOff>
    </xdr:from>
    <xdr:ext cx="304800" cy="304800"/>
    <xdr:sp macro="" textlink="">
      <xdr:nvSpPr>
        <xdr:cNvPr id="533" name="AutoShape 183">
          <a:extLst>
            <a:ext uri="{FF2B5EF4-FFF2-40B4-BE49-F238E27FC236}">
              <a16:creationId xmlns:a16="http://schemas.microsoft.com/office/drawing/2014/main" id="{93F98A2D-625A-40C5-8F75-2AEB784C725E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</xdr:row>
      <xdr:rowOff>0</xdr:rowOff>
    </xdr:from>
    <xdr:ext cx="9525" cy="9525"/>
    <xdr:pic>
      <xdr:nvPicPr>
        <xdr:cNvPr id="534" name="Picture 533">
          <a:extLst>
            <a:ext uri="{FF2B5EF4-FFF2-40B4-BE49-F238E27FC236}">
              <a16:creationId xmlns:a16="http://schemas.microsoft.com/office/drawing/2014/main" id="{595DF3C6-265D-4AA1-9296-58220A9D0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21</xdr:row>
      <xdr:rowOff>0</xdr:rowOff>
    </xdr:from>
    <xdr:ext cx="304800" cy="304800"/>
    <xdr:sp macro="" textlink="">
      <xdr:nvSpPr>
        <xdr:cNvPr id="535" name="AutoShape 209">
          <a:extLst>
            <a:ext uri="{FF2B5EF4-FFF2-40B4-BE49-F238E27FC236}">
              <a16:creationId xmlns:a16="http://schemas.microsoft.com/office/drawing/2014/main" id="{74B6227A-5F1E-47EB-8C00-8E757677AEFD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</xdr:row>
      <xdr:rowOff>0</xdr:rowOff>
    </xdr:from>
    <xdr:ext cx="9525" cy="9525"/>
    <xdr:pic>
      <xdr:nvPicPr>
        <xdr:cNvPr id="536" name="Picture 535">
          <a:extLst>
            <a:ext uri="{FF2B5EF4-FFF2-40B4-BE49-F238E27FC236}">
              <a16:creationId xmlns:a16="http://schemas.microsoft.com/office/drawing/2014/main" id="{0B5FCFF4-E1D8-405B-BE78-F92CC4AEE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21</xdr:row>
      <xdr:rowOff>0</xdr:rowOff>
    </xdr:from>
    <xdr:ext cx="304800" cy="304800"/>
    <xdr:sp macro="" textlink="">
      <xdr:nvSpPr>
        <xdr:cNvPr id="537" name="AutoShape 233">
          <a:extLst>
            <a:ext uri="{FF2B5EF4-FFF2-40B4-BE49-F238E27FC236}">
              <a16:creationId xmlns:a16="http://schemas.microsoft.com/office/drawing/2014/main" id="{FE24DFA5-D121-495C-940F-1CA056B1AC77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</xdr:row>
      <xdr:rowOff>0</xdr:rowOff>
    </xdr:from>
    <xdr:ext cx="9525" cy="9525"/>
    <xdr:pic>
      <xdr:nvPicPr>
        <xdr:cNvPr id="538" name="Picture 537">
          <a:extLst>
            <a:ext uri="{FF2B5EF4-FFF2-40B4-BE49-F238E27FC236}">
              <a16:creationId xmlns:a16="http://schemas.microsoft.com/office/drawing/2014/main" id="{62457DBA-9A97-4135-BDA9-13CE03943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21</xdr:row>
      <xdr:rowOff>0</xdr:rowOff>
    </xdr:from>
    <xdr:ext cx="304800" cy="304800"/>
    <xdr:sp macro="" textlink="">
      <xdr:nvSpPr>
        <xdr:cNvPr id="539" name="AutoShape 259">
          <a:extLst>
            <a:ext uri="{FF2B5EF4-FFF2-40B4-BE49-F238E27FC236}">
              <a16:creationId xmlns:a16="http://schemas.microsoft.com/office/drawing/2014/main" id="{DAF5B478-911B-4D72-AB4F-4663FAE02D02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</xdr:row>
      <xdr:rowOff>0</xdr:rowOff>
    </xdr:from>
    <xdr:ext cx="9525" cy="9525"/>
    <xdr:pic>
      <xdr:nvPicPr>
        <xdr:cNvPr id="540" name="Picture 539">
          <a:extLst>
            <a:ext uri="{FF2B5EF4-FFF2-40B4-BE49-F238E27FC236}">
              <a16:creationId xmlns:a16="http://schemas.microsoft.com/office/drawing/2014/main" id="{D786A7C6-F80A-4B08-8021-7AFB0C490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21</xdr:row>
      <xdr:rowOff>0</xdr:rowOff>
    </xdr:from>
    <xdr:ext cx="304800" cy="304800"/>
    <xdr:sp macro="" textlink="">
      <xdr:nvSpPr>
        <xdr:cNvPr id="541" name="AutoShape 311">
          <a:extLst>
            <a:ext uri="{FF2B5EF4-FFF2-40B4-BE49-F238E27FC236}">
              <a16:creationId xmlns:a16="http://schemas.microsoft.com/office/drawing/2014/main" id="{F59C32A6-B829-490D-B381-609F31176B3F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</xdr:row>
      <xdr:rowOff>0</xdr:rowOff>
    </xdr:from>
    <xdr:ext cx="9525" cy="9525"/>
    <xdr:pic>
      <xdr:nvPicPr>
        <xdr:cNvPr id="542" name="Picture 541">
          <a:extLst>
            <a:ext uri="{FF2B5EF4-FFF2-40B4-BE49-F238E27FC236}">
              <a16:creationId xmlns:a16="http://schemas.microsoft.com/office/drawing/2014/main" id="{EB89136B-49F1-4439-9F2B-969F78AEB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21</xdr:row>
      <xdr:rowOff>0</xdr:rowOff>
    </xdr:from>
    <xdr:ext cx="304800" cy="304800"/>
    <xdr:sp macro="" textlink="">
      <xdr:nvSpPr>
        <xdr:cNvPr id="543" name="AutoShape 363">
          <a:extLst>
            <a:ext uri="{FF2B5EF4-FFF2-40B4-BE49-F238E27FC236}">
              <a16:creationId xmlns:a16="http://schemas.microsoft.com/office/drawing/2014/main" id="{58A95B53-2AB3-4FD4-B8A2-1ABF48792FEC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</xdr:row>
      <xdr:rowOff>0</xdr:rowOff>
    </xdr:from>
    <xdr:ext cx="9525" cy="9525"/>
    <xdr:pic>
      <xdr:nvPicPr>
        <xdr:cNvPr id="544" name="Picture 543">
          <a:extLst>
            <a:ext uri="{FF2B5EF4-FFF2-40B4-BE49-F238E27FC236}">
              <a16:creationId xmlns:a16="http://schemas.microsoft.com/office/drawing/2014/main" id="{ABD724B4-02C9-444E-A1CB-526A8BDA6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21</xdr:row>
      <xdr:rowOff>0</xdr:rowOff>
    </xdr:from>
    <xdr:ext cx="304800" cy="304800"/>
    <xdr:sp macro="" textlink="">
      <xdr:nvSpPr>
        <xdr:cNvPr id="545" name="AutoShape 419">
          <a:extLst>
            <a:ext uri="{FF2B5EF4-FFF2-40B4-BE49-F238E27FC236}">
              <a16:creationId xmlns:a16="http://schemas.microsoft.com/office/drawing/2014/main" id="{80E7B36A-BD3B-44CC-BA35-53BEC79D9C4E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</xdr:row>
      <xdr:rowOff>0</xdr:rowOff>
    </xdr:from>
    <xdr:ext cx="9525" cy="9525"/>
    <xdr:pic>
      <xdr:nvPicPr>
        <xdr:cNvPr id="546" name="Picture 545">
          <a:extLst>
            <a:ext uri="{FF2B5EF4-FFF2-40B4-BE49-F238E27FC236}">
              <a16:creationId xmlns:a16="http://schemas.microsoft.com/office/drawing/2014/main" id="{68841143-6555-4BB5-8B34-465813103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21</xdr:row>
      <xdr:rowOff>0</xdr:rowOff>
    </xdr:from>
    <xdr:ext cx="304800" cy="304800"/>
    <xdr:sp macro="" textlink="">
      <xdr:nvSpPr>
        <xdr:cNvPr id="547" name="AutoShape 475">
          <a:extLst>
            <a:ext uri="{FF2B5EF4-FFF2-40B4-BE49-F238E27FC236}">
              <a16:creationId xmlns:a16="http://schemas.microsoft.com/office/drawing/2014/main" id="{C017F520-4B06-4711-A302-2901609D4934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</xdr:row>
      <xdr:rowOff>0</xdr:rowOff>
    </xdr:from>
    <xdr:ext cx="9525" cy="9525"/>
    <xdr:pic>
      <xdr:nvPicPr>
        <xdr:cNvPr id="548" name="Picture 547">
          <a:extLst>
            <a:ext uri="{FF2B5EF4-FFF2-40B4-BE49-F238E27FC236}">
              <a16:creationId xmlns:a16="http://schemas.microsoft.com/office/drawing/2014/main" id="{E2603688-0D49-4C82-BBA6-F5EECE7B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</xdr:row>
      <xdr:rowOff>0</xdr:rowOff>
    </xdr:from>
    <xdr:ext cx="9525" cy="9525"/>
    <xdr:pic>
      <xdr:nvPicPr>
        <xdr:cNvPr id="550" name="Picture 549">
          <a:extLst>
            <a:ext uri="{FF2B5EF4-FFF2-40B4-BE49-F238E27FC236}">
              <a16:creationId xmlns:a16="http://schemas.microsoft.com/office/drawing/2014/main" id="{7355DF8D-293F-49C0-AAA5-8B4085F52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</xdr:row>
      <xdr:rowOff>0</xdr:rowOff>
    </xdr:from>
    <xdr:ext cx="9525" cy="9525"/>
    <xdr:pic>
      <xdr:nvPicPr>
        <xdr:cNvPr id="551" name="Picture 550">
          <a:extLst>
            <a:ext uri="{FF2B5EF4-FFF2-40B4-BE49-F238E27FC236}">
              <a16:creationId xmlns:a16="http://schemas.microsoft.com/office/drawing/2014/main" id="{75B78DB7-581A-49F1-AA5A-C4E7235FF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15</xdr:row>
      <xdr:rowOff>0</xdr:rowOff>
    </xdr:from>
    <xdr:ext cx="304800" cy="303440"/>
    <xdr:sp macro="" textlink="">
      <xdr:nvSpPr>
        <xdr:cNvPr id="552" name="AutoShape 69">
          <a:extLst>
            <a:ext uri="{FF2B5EF4-FFF2-40B4-BE49-F238E27FC236}">
              <a16:creationId xmlns:a16="http://schemas.microsoft.com/office/drawing/2014/main" id="{A1962658-3267-43F9-B2E9-E4C340F862DF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16</xdr:row>
      <xdr:rowOff>0</xdr:rowOff>
    </xdr:from>
    <xdr:ext cx="9525" cy="9525"/>
    <xdr:pic>
      <xdr:nvPicPr>
        <xdr:cNvPr id="553" name="Picture 552">
          <a:extLst>
            <a:ext uri="{FF2B5EF4-FFF2-40B4-BE49-F238E27FC236}">
              <a16:creationId xmlns:a16="http://schemas.microsoft.com/office/drawing/2014/main" id="{53B390E6-FD62-4FA1-AC05-3450115B0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15</xdr:row>
      <xdr:rowOff>0</xdr:rowOff>
    </xdr:from>
    <xdr:ext cx="304800" cy="303440"/>
    <xdr:sp macro="" textlink="">
      <xdr:nvSpPr>
        <xdr:cNvPr id="554" name="AutoShape 119">
          <a:extLst>
            <a:ext uri="{FF2B5EF4-FFF2-40B4-BE49-F238E27FC236}">
              <a16:creationId xmlns:a16="http://schemas.microsoft.com/office/drawing/2014/main" id="{4B1B5B61-36A8-441B-B0A2-F9D1C8330485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16</xdr:row>
      <xdr:rowOff>0</xdr:rowOff>
    </xdr:from>
    <xdr:ext cx="9525" cy="9525"/>
    <xdr:pic>
      <xdr:nvPicPr>
        <xdr:cNvPr id="555" name="Picture 554">
          <a:extLst>
            <a:ext uri="{FF2B5EF4-FFF2-40B4-BE49-F238E27FC236}">
              <a16:creationId xmlns:a16="http://schemas.microsoft.com/office/drawing/2014/main" id="{BAEE7931-0D48-463C-8E9D-54BD9FDDE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15</xdr:row>
      <xdr:rowOff>0</xdr:rowOff>
    </xdr:from>
    <xdr:ext cx="304800" cy="303440"/>
    <xdr:sp macro="" textlink="">
      <xdr:nvSpPr>
        <xdr:cNvPr id="556" name="AutoShape 144">
          <a:extLst>
            <a:ext uri="{FF2B5EF4-FFF2-40B4-BE49-F238E27FC236}">
              <a16:creationId xmlns:a16="http://schemas.microsoft.com/office/drawing/2014/main" id="{A7F1BD2F-91E4-47BF-AF7B-BB05A2203161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16</xdr:row>
      <xdr:rowOff>0</xdr:rowOff>
    </xdr:from>
    <xdr:ext cx="9525" cy="9525"/>
    <xdr:pic>
      <xdr:nvPicPr>
        <xdr:cNvPr id="557" name="Picture 556">
          <a:extLst>
            <a:ext uri="{FF2B5EF4-FFF2-40B4-BE49-F238E27FC236}">
              <a16:creationId xmlns:a16="http://schemas.microsoft.com/office/drawing/2014/main" id="{243CF6E1-D56F-4BD0-AAB3-A25F2DEBA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3440"/>
    <xdr:sp macro="" textlink="">
      <xdr:nvSpPr>
        <xdr:cNvPr id="558" name="AutoShape 169">
          <a:extLst>
            <a:ext uri="{FF2B5EF4-FFF2-40B4-BE49-F238E27FC236}">
              <a16:creationId xmlns:a16="http://schemas.microsoft.com/office/drawing/2014/main" id="{DDDAEE23-8B29-470D-B001-183257205A41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16</xdr:row>
      <xdr:rowOff>0</xdr:rowOff>
    </xdr:from>
    <xdr:ext cx="304800" cy="303439"/>
    <xdr:sp macro="" textlink="">
      <xdr:nvSpPr>
        <xdr:cNvPr id="559" name="AutoShape 171">
          <a:extLst>
            <a:ext uri="{FF2B5EF4-FFF2-40B4-BE49-F238E27FC236}">
              <a16:creationId xmlns:a16="http://schemas.microsoft.com/office/drawing/2014/main" id="{287437DE-0617-493A-8545-02A0A8E39A99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16</xdr:row>
      <xdr:rowOff>0</xdr:rowOff>
    </xdr:from>
    <xdr:ext cx="9525" cy="9525"/>
    <xdr:pic>
      <xdr:nvPicPr>
        <xdr:cNvPr id="560" name="Picture 559">
          <a:extLst>
            <a:ext uri="{FF2B5EF4-FFF2-40B4-BE49-F238E27FC236}">
              <a16:creationId xmlns:a16="http://schemas.microsoft.com/office/drawing/2014/main" id="{52E293CA-B6D8-425A-9604-B238747ED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3440"/>
    <xdr:sp macro="" textlink="">
      <xdr:nvSpPr>
        <xdr:cNvPr id="561" name="AutoShape 199">
          <a:extLst>
            <a:ext uri="{FF2B5EF4-FFF2-40B4-BE49-F238E27FC236}">
              <a16:creationId xmlns:a16="http://schemas.microsoft.com/office/drawing/2014/main" id="{0404B123-8387-4BAE-915B-F62610281407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16</xdr:row>
      <xdr:rowOff>0</xdr:rowOff>
    </xdr:from>
    <xdr:ext cx="9525" cy="9525"/>
    <xdr:pic>
      <xdr:nvPicPr>
        <xdr:cNvPr id="562" name="Picture 561">
          <a:extLst>
            <a:ext uri="{FF2B5EF4-FFF2-40B4-BE49-F238E27FC236}">
              <a16:creationId xmlns:a16="http://schemas.microsoft.com/office/drawing/2014/main" id="{FAE2163F-556B-44CE-9609-CF39C3C93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9525" cy="9525"/>
    <xdr:pic>
      <xdr:nvPicPr>
        <xdr:cNvPr id="563" name="Picture 562">
          <a:extLst>
            <a:ext uri="{FF2B5EF4-FFF2-40B4-BE49-F238E27FC236}">
              <a16:creationId xmlns:a16="http://schemas.microsoft.com/office/drawing/2014/main" id="{DCE01F88-22CC-411E-8950-F8E6C3627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3440"/>
    <xdr:sp macro="" textlink="">
      <xdr:nvSpPr>
        <xdr:cNvPr id="564" name="AutoShape 249">
          <a:extLst>
            <a:ext uri="{FF2B5EF4-FFF2-40B4-BE49-F238E27FC236}">
              <a16:creationId xmlns:a16="http://schemas.microsoft.com/office/drawing/2014/main" id="{BDB9E6AC-B617-4E58-BBF4-BDAA0291605E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16</xdr:row>
      <xdr:rowOff>0</xdr:rowOff>
    </xdr:from>
    <xdr:ext cx="9525" cy="9525"/>
    <xdr:pic>
      <xdr:nvPicPr>
        <xdr:cNvPr id="565" name="Picture 564">
          <a:extLst>
            <a:ext uri="{FF2B5EF4-FFF2-40B4-BE49-F238E27FC236}">
              <a16:creationId xmlns:a16="http://schemas.microsoft.com/office/drawing/2014/main" id="{7BA866F1-1CEB-4D61-BBC3-ED18F382A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3440"/>
    <xdr:sp macro="" textlink="">
      <xdr:nvSpPr>
        <xdr:cNvPr id="566" name="AutoShape 275">
          <a:extLst>
            <a:ext uri="{FF2B5EF4-FFF2-40B4-BE49-F238E27FC236}">
              <a16:creationId xmlns:a16="http://schemas.microsoft.com/office/drawing/2014/main" id="{804C9F12-4B81-47D1-8F70-432B5AF98C87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16</xdr:row>
      <xdr:rowOff>0</xdr:rowOff>
    </xdr:from>
    <xdr:ext cx="9525" cy="9525"/>
    <xdr:pic>
      <xdr:nvPicPr>
        <xdr:cNvPr id="567" name="Picture 566">
          <a:extLst>
            <a:ext uri="{FF2B5EF4-FFF2-40B4-BE49-F238E27FC236}">
              <a16:creationId xmlns:a16="http://schemas.microsoft.com/office/drawing/2014/main" id="{0BF8F716-9598-4BA5-B118-89ED70031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3440"/>
    <xdr:sp macro="" textlink="">
      <xdr:nvSpPr>
        <xdr:cNvPr id="568" name="AutoShape 327">
          <a:extLst>
            <a:ext uri="{FF2B5EF4-FFF2-40B4-BE49-F238E27FC236}">
              <a16:creationId xmlns:a16="http://schemas.microsoft.com/office/drawing/2014/main" id="{D1099494-B6E7-4D61-81A7-5E2290E39FAD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16</xdr:row>
      <xdr:rowOff>0</xdr:rowOff>
    </xdr:from>
    <xdr:ext cx="9525" cy="9525"/>
    <xdr:pic>
      <xdr:nvPicPr>
        <xdr:cNvPr id="569" name="Picture 568">
          <a:extLst>
            <a:ext uri="{FF2B5EF4-FFF2-40B4-BE49-F238E27FC236}">
              <a16:creationId xmlns:a16="http://schemas.microsoft.com/office/drawing/2014/main" id="{BF8DD856-7F48-406B-9B2D-E6A04A844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3440"/>
    <xdr:sp macro="" textlink="">
      <xdr:nvSpPr>
        <xdr:cNvPr id="570" name="AutoShape 379">
          <a:extLst>
            <a:ext uri="{FF2B5EF4-FFF2-40B4-BE49-F238E27FC236}">
              <a16:creationId xmlns:a16="http://schemas.microsoft.com/office/drawing/2014/main" id="{CFD99619-54C4-45E9-B7B9-AEA7FA6E78A7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16</xdr:row>
      <xdr:rowOff>0</xdr:rowOff>
    </xdr:from>
    <xdr:ext cx="304800" cy="303439"/>
    <xdr:sp macro="" textlink="">
      <xdr:nvSpPr>
        <xdr:cNvPr id="571" name="AutoShape 381">
          <a:extLst>
            <a:ext uri="{FF2B5EF4-FFF2-40B4-BE49-F238E27FC236}">
              <a16:creationId xmlns:a16="http://schemas.microsoft.com/office/drawing/2014/main" id="{A0C55EB5-F188-4789-9E99-7F0800EF93A6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9525" cy="9525"/>
    <xdr:pic>
      <xdr:nvPicPr>
        <xdr:cNvPr id="572" name="Picture 571">
          <a:extLst>
            <a:ext uri="{FF2B5EF4-FFF2-40B4-BE49-F238E27FC236}">
              <a16:creationId xmlns:a16="http://schemas.microsoft.com/office/drawing/2014/main" id="{EBCF1295-D396-44A5-B65B-99F90E4DC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304800" cy="303439"/>
    <xdr:sp macro="" textlink="">
      <xdr:nvSpPr>
        <xdr:cNvPr id="573" name="AutoShape 165">
          <a:extLst>
            <a:ext uri="{FF2B5EF4-FFF2-40B4-BE49-F238E27FC236}">
              <a16:creationId xmlns:a16="http://schemas.microsoft.com/office/drawing/2014/main" id="{2C509531-0FBE-4BF2-B10A-994D2EE9C4BA}"/>
            </a:ext>
          </a:extLst>
        </xdr:cNvPr>
        <xdr:cNvSpPr>
          <a:spLocks noChangeAspect="1" noChangeArrowheads="1"/>
        </xdr:cNvSpPr>
      </xdr:nvSpPr>
      <xdr:spPr bwMode="auto">
        <a:xfrm>
          <a:off x="0" y="4014107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9525" cy="9525"/>
    <xdr:pic>
      <xdr:nvPicPr>
        <xdr:cNvPr id="574" name="Picture 573">
          <a:extLst>
            <a:ext uri="{FF2B5EF4-FFF2-40B4-BE49-F238E27FC236}">
              <a16:creationId xmlns:a16="http://schemas.microsoft.com/office/drawing/2014/main" id="{A065E5AB-8DF9-4097-8530-2B051A84F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304800" cy="303439"/>
    <xdr:sp macro="" textlink="">
      <xdr:nvSpPr>
        <xdr:cNvPr id="575" name="AutoShape 195">
          <a:extLst>
            <a:ext uri="{FF2B5EF4-FFF2-40B4-BE49-F238E27FC236}">
              <a16:creationId xmlns:a16="http://schemas.microsoft.com/office/drawing/2014/main" id="{BF8D0825-3592-49D1-AE5B-877117F1133C}"/>
            </a:ext>
          </a:extLst>
        </xdr:cNvPr>
        <xdr:cNvSpPr>
          <a:spLocks noChangeAspect="1" noChangeArrowheads="1"/>
        </xdr:cNvSpPr>
      </xdr:nvSpPr>
      <xdr:spPr bwMode="auto">
        <a:xfrm>
          <a:off x="0" y="4014107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9525" cy="9525"/>
    <xdr:pic>
      <xdr:nvPicPr>
        <xdr:cNvPr id="576" name="Picture 575">
          <a:extLst>
            <a:ext uri="{FF2B5EF4-FFF2-40B4-BE49-F238E27FC236}">
              <a16:creationId xmlns:a16="http://schemas.microsoft.com/office/drawing/2014/main" id="{1FAFE600-C1F0-447D-9792-30F56FB38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9525" cy="9525"/>
    <xdr:pic>
      <xdr:nvPicPr>
        <xdr:cNvPr id="577" name="Picture 576">
          <a:extLst>
            <a:ext uri="{FF2B5EF4-FFF2-40B4-BE49-F238E27FC236}">
              <a16:creationId xmlns:a16="http://schemas.microsoft.com/office/drawing/2014/main" id="{8DB7FC16-2E39-45AD-9568-B2E1F5DB3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9525" cy="9525"/>
    <xdr:pic>
      <xdr:nvPicPr>
        <xdr:cNvPr id="578" name="Picture 577">
          <a:extLst>
            <a:ext uri="{FF2B5EF4-FFF2-40B4-BE49-F238E27FC236}">
              <a16:creationId xmlns:a16="http://schemas.microsoft.com/office/drawing/2014/main" id="{2E071698-FB50-42BB-9F0F-307F8B14F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9525" cy="9525"/>
    <xdr:pic>
      <xdr:nvPicPr>
        <xdr:cNvPr id="579" name="Picture 578">
          <a:extLst>
            <a:ext uri="{FF2B5EF4-FFF2-40B4-BE49-F238E27FC236}">
              <a16:creationId xmlns:a16="http://schemas.microsoft.com/office/drawing/2014/main" id="{C545606B-83AE-40EB-AAB8-F2F8060D3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9525" cy="9525"/>
    <xdr:pic>
      <xdr:nvPicPr>
        <xdr:cNvPr id="580" name="Picture 579">
          <a:extLst>
            <a:ext uri="{FF2B5EF4-FFF2-40B4-BE49-F238E27FC236}">
              <a16:creationId xmlns:a16="http://schemas.microsoft.com/office/drawing/2014/main" id="{C51F262A-ACFA-49BB-8251-7DFCA361F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9525" cy="9525"/>
    <xdr:pic>
      <xdr:nvPicPr>
        <xdr:cNvPr id="581" name="Picture 580">
          <a:extLst>
            <a:ext uri="{FF2B5EF4-FFF2-40B4-BE49-F238E27FC236}">
              <a16:creationId xmlns:a16="http://schemas.microsoft.com/office/drawing/2014/main" id="{2FE29ACB-651B-47B8-A51B-6C1E79A5A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3440"/>
    <xdr:sp macro="" textlink="">
      <xdr:nvSpPr>
        <xdr:cNvPr id="582" name="AutoShape 435">
          <a:extLst>
            <a:ext uri="{FF2B5EF4-FFF2-40B4-BE49-F238E27FC236}">
              <a16:creationId xmlns:a16="http://schemas.microsoft.com/office/drawing/2014/main" id="{DB491571-D5D0-4B93-B5BF-CDBEE8F8B635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16</xdr:row>
      <xdr:rowOff>0</xdr:rowOff>
    </xdr:from>
    <xdr:ext cx="304800" cy="303439"/>
    <xdr:sp macro="" textlink="">
      <xdr:nvSpPr>
        <xdr:cNvPr id="583" name="AutoShape 437">
          <a:extLst>
            <a:ext uri="{FF2B5EF4-FFF2-40B4-BE49-F238E27FC236}">
              <a16:creationId xmlns:a16="http://schemas.microsoft.com/office/drawing/2014/main" id="{57F3E986-B68B-499E-913E-0E393A749D57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16</xdr:row>
      <xdr:rowOff>0</xdr:rowOff>
    </xdr:from>
    <xdr:ext cx="9525" cy="9525"/>
    <xdr:pic>
      <xdr:nvPicPr>
        <xdr:cNvPr id="584" name="Picture 583">
          <a:extLst>
            <a:ext uri="{FF2B5EF4-FFF2-40B4-BE49-F238E27FC236}">
              <a16:creationId xmlns:a16="http://schemas.microsoft.com/office/drawing/2014/main" id="{C2B9D0E7-AD42-4419-87B8-B1534F716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3440"/>
    <xdr:sp macro="" textlink="">
      <xdr:nvSpPr>
        <xdr:cNvPr id="585" name="AutoShape 491">
          <a:extLst>
            <a:ext uri="{FF2B5EF4-FFF2-40B4-BE49-F238E27FC236}">
              <a16:creationId xmlns:a16="http://schemas.microsoft.com/office/drawing/2014/main" id="{4F2452C6-0908-435E-BF12-F3341CFC05DC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16</xdr:row>
      <xdr:rowOff>0</xdr:rowOff>
    </xdr:from>
    <xdr:ext cx="304800" cy="303439"/>
    <xdr:sp macro="" textlink="">
      <xdr:nvSpPr>
        <xdr:cNvPr id="586" name="AutoShape 493">
          <a:extLst>
            <a:ext uri="{FF2B5EF4-FFF2-40B4-BE49-F238E27FC236}">
              <a16:creationId xmlns:a16="http://schemas.microsoft.com/office/drawing/2014/main" id="{F2B4021E-9035-47E5-8BD9-68B072463C97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16</xdr:row>
      <xdr:rowOff>0</xdr:rowOff>
    </xdr:from>
    <xdr:ext cx="9525" cy="9525"/>
    <xdr:pic>
      <xdr:nvPicPr>
        <xdr:cNvPr id="587" name="Picture 586">
          <a:extLst>
            <a:ext uri="{FF2B5EF4-FFF2-40B4-BE49-F238E27FC236}">
              <a16:creationId xmlns:a16="http://schemas.microsoft.com/office/drawing/2014/main" id="{D35D051B-AD1A-4718-945B-CA5C8AD48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3440"/>
    <xdr:sp macro="" textlink="">
      <xdr:nvSpPr>
        <xdr:cNvPr id="588" name="AutoShape 525">
          <a:extLst>
            <a:ext uri="{FF2B5EF4-FFF2-40B4-BE49-F238E27FC236}">
              <a16:creationId xmlns:a16="http://schemas.microsoft.com/office/drawing/2014/main" id="{AF0A9900-2D11-44E6-9CC4-9BBEF538EDDE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16</xdr:row>
      <xdr:rowOff>0</xdr:rowOff>
    </xdr:from>
    <xdr:ext cx="304800" cy="303439"/>
    <xdr:sp macro="" textlink="">
      <xdr:nvSpPr>
        <xdr:cNvPr id="589" name="AutoShape 527">
          <a:extLst>
            <a:ext uri="{FF2B5EF4-FFF2-40B4-BE49-F238E27FC236}">
              <a16:creationId xmlns:a16="http://schemas.microsoft.com/office/drawing/2014/main" id="{9E89DC52-31B3-4C00-AB90-45FC394E2907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9525" cy="9525"/>
    <xdr:pic>
      <xdr:nvPicPr>
        <xdr:cNvPr id="590" name="Picture 589">
          <a:extLst>
            <a:ext uri="{FF2B5EF4-FFF2-40B4-BE49-F238E27FC236}">
              <a16:creationId xmlns:a16="http://schemas.microsoft.com/office/drawing/2014/main" id="{22C77A37-5046-4CE6-8004-AE719FB9A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19</xdr:row>
      <xdr:rowOff>0</xdr:rowOff>
    </xdr:from>
    <xdr:ext cx="9525" cy="9525"/>
    <xdr:pic>
      <xdr:nvPicPr>
        <xdr:cNvPr id="592" name="Picture 591">
          <a:extLst>
            <a:ext uri="{FF2B5EF4-FFF2-40B4-BE49-F238E27FC236}">
              <a16:creationId xmlns:a16="http://schemas.microsoft.com/office/drawing/2014/main" id="{389AC2C7-67F2-4E71-ACD5-0247038CC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19</xdr:row>
      <xdr:rowOff>0</xdr:rowOff>
    </xdr:from>
    <xdr:ext cx="9525" cy="9525"/>
    <xdr:pic>
      <xdr:nvPicPr>
        <xdr:cNvPr id="593" name="Picture 592">
          <a:extLst>
            <a:ext uri="{FF2B5EF4-FFF2-40B4-BE49-F238E27FC236}">
              <a16:creationId xmlns:a16="http://schemas.microsoft.com/office/drawing/2014/main" id="{86CC7EA0-8178-472B-9615-92CA0B7B4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19</xdr:row>
      <xdr:rowOff>0</xdr:rowOff>
    </xdr:from>
    <xdr:ext cx="9525" cy="9525"/>
    <xdr:pic>
      <xdr:nvPicPr>
        <xdr:cNvPr id="594" name="Picture 593">
          <a:extLst>
            <a:ext uri="{FF2B5EF4-FFF2-40B4-BE49-F238E27FC236}">
              <a16:creationId xmlns:a16="http://schemas.microsoft.com/office/drawing/2014/main" id="{507E847C-63D5-4649-8E60-80B596E12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19</xdr:row>
      <xdr:rowOff>0</xdr:rowOff>
    </xdr:from>
    <xdr:ext cx="9525" cy="9525"/>
    <xdr:pic>
      <xdr:nvPicPr>
        <xdr:cNvPr id="595" name="Picture 594">
          <a:extLst>
            <a:ext uri="{FF2B5EF4-FFF2-40B4-BE49-F238E27FC236}">
              <a16:creationId xmlns:a16="http://schemas.microsoft.com/office/drawing/2014/main" id="{E13B2A2F-4656-436D-A421-0BF8AA4E9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304800" cy="303440"/>
    <xdr:sp macro="" textlink="">
      <xdr:nvSpPr>
        <xdr:cNvPr id="596" name="AutoShape 173">
          <a:extLst>
            <a:ext uri="{FF2B5EF4-FFF2-40B4-BE49-F238E27FC236}">
              <a16:creationId xmlns:a16="http://schemas.microsoft.com/office/drawing/2014/main" id="{3B1501BD-C1A0-4CFF-B2E9-EF9F6461A70A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653643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20</xdr:row>
      <xdr:rowOff>0</xdr:rowOff>
    </xdr:from>
    <xdr:ext cx="9525" cy="9525"/>
    <xdr:pic>
      <xdr:nvPicPr>
        <xdr:cNvPr id="597" name="Picture 596">
          <a:extLst>
            <a:ext uri="{FF2B5EF4-FFF2-40B4-BE49-F238E27FC236}">
              <a16:creationId xmlns:a16="http://schemas.microsoft.com/office/drawing/2014/main" id="{38EDCF72-2CDC-4BA6-83BC-21C075152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9525" cy="9525"/>
    <xdr:pic>
      <xdr:nvPicPr>
        <xdr:cNvPr id="598" name="Picture 597">
          <a:extLst>
            <a:ext uri="{FF2B5EF4-FFF2-40B4-BE49-F238E27FC236}">
              <a16:creationId xmlns:a16="http://schemas.microsoft.com/office/drawing/2014/main" id="{6307BA6A-BD84-4B1F-B5AB-67A554B60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19</xdr:row>
      <xdr:rowOff>0</xdr:rowOff>
    </xdr:from>
    <xdr:ext cx="9525" cy="9525"/>
    <xdr:pic>
      <xdr:nvPicPr>
        <xdr:cNvPr id="599" name="Picture 598">
          <a:extLst>
            <a:ext uri="{FF2B5EF4-FFF2-40B4-BE49-F238E27FC236}">
              <a16:creationId xmlns:a16="http://schemas.microsoft.com/office/drawing/2014/main" id="{B420EB75-81B2-4512-BB27-1E2CDB67F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19</xdr:row>
      <xdr:rowOff>0</xdr:rowOff>
    </xdr:from>
    <xdr:ext cx="9525" cy="9525"/>
    <xdr:pic>
      <xdr:nvPicPr>
        <xdr:cNvPr id="600" name="Picture 599">
          <a:extLst>
            <a:ext uri="{FF2B5EF4-FFF2-40B4-BE49-F238E27FC236}">
              <a16:creationId xmlns:a16="http://schemas.microsoft.com/office/drawing/2014/main" id="{49609E53-23DD-4307-A2CD-9B748C6F0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0</xdr:rowOff>
    </xdr:from>
    <xdr:ext cx="9525" cy="9525"/>
    <xdr:pic>
      <xdr:nvPicPr>
        <xdr:cNvPr id="601" name="Picture 600">
          <a:extLst>
            <a:ext uri="{FF2B5EF4-FFF2-40B4-BE49-F238E27FC236}">
              <a16:creationId xmlns:a16="http://schemas.microsoft.com/office/drawing/2014/main" id="{95C2932C-BE9B-4290-8B88-A12253A09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0</xdr:rowOff>
    </xdr:from>
    <xdr:ext cx="9525" cy="9525"/>
    <xdr:pic>
      <xdr:nvPicPr>
        <xdr:cNvPr id="602" name="Picture 601">
          <a:extLst>
            <a:ext uri="{FF2B5EF4-FFF2-40B4-BE49-F238E27FC236}">
              <a16:creationId xmlns:a16="http://schemas.microsoft.com/office/drawing/2014/main" id="{2F9096D4-D76C-4FFE-9C2A-F0389CEF8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19</xdr:row>
      <xdr:rowOff>0</xdr:rowOff>
    </xdr:from>
    <xdr:ext cx="9525" cy="9525"/>
    <xdr:pic>
      <xdr:nvPicPr>
        <xdr:cNvPr id="603" name="Picture 602">
          <a:extLst>
            <a:ext uri="{FF2B5EF4-FFF2-40B4-BE49-F238E27FC236}">
              <a16:creationId xmlns:a16="http://schemas.microsoft.com/office/drawing/2014/main" id="{B9019931-D6FD-4CAE-9A6E-86481F086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19</xdr:row>
      <xdr:rowOff>0</xdr:rowOff>
    </xdr:from>
    <xdr:ext cx="9525" cy="9525"/>
    <xdr:pic>
      <xdr:nvPicPr>
        <xdr:cNvPr id="604" name="Picture 603">
          <a:extLst>
            <a:ext uri="{FF2B5EF4-FFF2-40B4-BE49-F238E27FC236}">
              <a16:creationId xmlns:a16="http://schemas.microsoft.com/office/drawing/2014/main" id="{44316C66-AADB-4587-A603-8E0C5F2CD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19</xdr:row>
      <xdr:rowOff>0</xdr:rowOff>
    </xdr:from>
    <xdr:ext cx="9525" cy="9525"/>
    <xdr:pic>
      <xdr:nvPicPr>
        <xdr:cNvPr id="605" name="Picture 604">
          <a:extLst>
            <a:ext uri="{FF2B5EF4-FFF2-40B4-BE49-F238E27FC236}">
              <a16:creationId xmlns:a16="http://schemas.microsoft.com/office/drawing/2014/main" id="{BC6107AF-44C3-4F2E-AD9D-A66371963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</xdr:row>
      <xdr:rowOff>0</xdr:rowOff>
    </xdr:from>
    <xdr:ext cx="9525" cy="9525"/>
    <xdr:pic>
      <xdr:nvPicPr>
        <xdr:cNvPr id="606" name="Picture 605">
          <a:extLst>
            <a:ext uri="{FF2B5EF4-FFF2-40B4-BE49-F238E27FC236}">
              <a16:creationId xmlns:a16="http://schemas.microsoft.com/office/drawing/2014/main" id="{EBE51A25-8807-45C1-B59E-FF4B9F190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19</xdr:row>
      <xdr:rowOff>0</xdr:rowOff>
    </xdr:from>
    <xdr:ext cx="9525" cy="9525"/>
    <xdr:pic>
      <xdr:nvPicPr>
        <xdr:cNvPr id="607" name="Picture 606">
          <a:extLst>
            <a:ext uri="{FF2B5EF4-FFF2-40B4-BE49-F238E27FC236}">
              <a16:creationId xmlns:a16="http://schemas.microsoft.com/office/drawing/2014/main" id="{66292E40-16C9-4685-9163-20AE45188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</xdr:row>
      <xdr:rowOff>0</xdr:rowOff>
    </xdr:from>
    <xdr:ext cx="9525" cy="9525"/>
    <xdr:pic>
      <xdr:nvPicPr>
        <xdr:cNvPr id="608" name="Picture 607">
          <a:extLst>
            <a:ext uri="{FF2B5EF4-FFF2-40B4-BE49-F238E27FC236}">
              <a16:creationId xmlns:a16="http://schemas.microsoft.com/office/drawing/2014/main" id="{02265CA4-6326-4285-BBBE-1EE7CEE1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19</xdr:row>
      <xdr:rowOff>0</xdr:rowOff>
    </xdr:from>
    <xdr:ext cx="9525" cy="9525"/>
    <xdr:pic>
      <xdr:nvPicPr>
        <xdr:cNvPr id="609" name="Picture 608">
          <a:extLst>
            <a:ext uri="{FF2B5EF4-FFF2-40B4-BE49-F238E27FC236}">
              <a16:creationId xmlns:a16="http://schemas.microsoft.com/office/drawing/2014/main" id="{897DECCB-B0B9-4C18-9086-454F63C10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</xdr:row>
      <xdr:rowOff>0</xdr:rowOff>
    </xdr:from>
    <xdr:ext cx="9525" cy="9525"/>
    <xdr:pic>
      <xdr:nvPicPr>
        <xdr:cNvPr id="610" name="Picture 609">
          <a:extLst>
            <a:ext uri="{FF2B5EF4-FFF2-40B4-BE49-F238E27FC236}">
              <a16:creationId xmlns:a16="http://schemas.microsoft.com/office/drawing/2014/main" id="{A5F95894-A2FE-44ED-83BC-BA2952F39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19</xdr:row>
      <xdr:rowOff>0</xdr:rowOff>
    </xdr:from>
    <xdr:ext cx="9525" cy="9525"/>
    <xdr:pic>
      <xdr:nvPicPr>
        <xdr:cNvPr id="611" name="Picture 610">
          <a:extLst>
            <a:ext uri="{FF2B5EF4-FFF2-40B4-BE49-F238E27FC236}">
              <a16:creationId xmlns:a16="http://schemas.microsoft.com/office/drawing/2014/main" id="{137A4D9F-8250-47C4-9B6A-3F5F1362E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304800" cy="303439"/>
    <xdr:sp macro="" textlink="">
      <xdr:nvSpPr>
        <xdr:cNvPr id="612" name="AutoShape 529">
          <a:extLst>
            <a:ext uri="{FF2B5EF4-FFF2-40B4-BE49-F238E27FC236}">
              <a16:creationId xmlns:a16="http://schemas.microsoft.com/office/drawing/2014/main" id="{19F77FAD-0D08-4296-87DE-A063969CCC61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6536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20</xdr:row>
      <xdr:rowOff>0</xdr:rowOff>
    </xdr:from>
    <xdr:ext cx="9525" cy="9525"/>
    <xdr:pic>
      <xdr:nvPicPr>
        <xdr:cNvPr id="613" name="Picture 612">
          <a:extLst>
            <a:ext uri="{FF2B5EF4-FFF2-40B4-BE49-F238E27FC236}">
              <a16:creationId xmlns:a16="http://schemas.microsoft.com/office/drawing/2014/main" id="{40BE72C3-7619-4ACE-AD11-1833EE909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19</xdr:row>
      <xdr:rowOff>0</xdr:rowOff>
    </xdr:from>
    <xdr:ext cx="304800" cy="303439"/>
    <xdr:sp macro="" textlink="">
      <xdr:nvSpPr>
        <xdr:cNvPr id="614" name="AutoShape 531">
          <a:extLst>
            <a:ext uri="{FF2B5EF4-FFF2-40B4-BE49-F238E27FC236}">
              <a16:creationId xmlns:a16="http://schemas.microsoft.com/office/drawing/2014/main" id="{BC3BA3B7-7715-426B-81C9-F93A4E68303D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8441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9525" cy="9525"/>
    <xdr:pic>
      <xdr:nvPicPr>
        <xdr:cNvPr id="615" name="Picture 614">
          <a:extLst>
            <a:ext uri="{FF2B5EF4-FFF2-40B4-BE49-F238E27FC236}">
              <a16:creationId xmlns:a16="http://schemas.microsoft.com/office/drawing/2014/main" id="{9F3AB18E-8EB0-433F-AA20-B59CEFDEA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17</xdr:row>
      <xdr:rowOff>0</xdr:rowOff>
    </xdr:from>
    <xdr:ext cx="9525" cy="9525"/>
    <xdr:pic>
      <xdr:nvPicPr>
        <xdr:cNvPr id="617" name="Picture 616">
          <a:extLst>
            <a:ext uri="{FF2B5EF4-FFF2-40B4-BE49-F238E27FC236}">
              <a16:creationId xmlns:a16="http://schemas.microsoft.com/office/drawing/2014/main" id="{C64F5EDB-82FD-44E5-BB7B-19E0A0D70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</xdr:row>
      <xdr:rowOff>0</xdr:rowOff>
    </xdr:from>
    <xdr:ext cx="304800" cy="304800"/>
    <xdr:sp macro="" textlink="">
      <xdr:nvSpPr>
        <xdr:cNvPr id="618" name="AutoShape 40">
          <a:extLst>
            <a:ext uri="{FF2B5EF4-FFF2-40B4-BE49-F238E27FC236}">
              <a16:creationId xmlns:a16="http://schemas.microsoft.com/office/drawing/2014/main" id="{50317801-7348-4D9B-9D9C-12E3BD45660D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17</xdr:row>
      <xdr:rowOff>0</xdr:rowOff>
    </xdr:from>
    <xdr:ext cx="304800" cy="303439"/>
    <xdr:sp macro="" textlink="">
      <xdr:nvSpPr>
        <xdr:cNvPr id="619" name="AutoShape 42">
          <a:extLst>
            <a:ext uri="{FF2B5EF4-FFF2-40B4-BE49-F238E27FC236}">
              <a16:creationId xmlns:a16="http://schemas.microsoft.com/office/drawing/2014/main" id="{A7D5C804-245A-4B32-9411-54EE82E38BE9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17</xdr:row>
      <xdr:rowOff>0</xdr:rowOff>
    </xdr:from>
    <xdr:ext cx="9525" cy="9525"/>
    <xdr:pic>
      <xdr:nvPicPr>
        <xdr:cNvPr id="620" name="Picture 619">
          <a:extLst>
            <a:ext uri="{FF2B5EF4-FFF2-40B4-BE49-F238E27FC236}">
              <a16:creationId xmlns:a16="http://schemas.microsoft.com/office/drawing/2014/main" id="{84C1ED69-9A1B-4D99-9699-8F1360FE8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</xdr:row>
      <xdr:rowOff>0</xdr:rowOff>
    </xdr:from>
    <xdr:ext cx="304800" cy="304800"/>
    <xdr:sp macro="" textlink="">
      <xdr:nvSpPr>
        <xdr:cNvPr id="621" name="AutoShape 63">
          <a:extLst>
            <a:ext uri="{FF2B5EF4-FFF2-40B4-BE49-F238E27FC236}">
              <a16:creationId xmlns:a16="http://schemas.microsoft.com/office/drawing/2014/main" id="{ACCEB8E1-7AD0-428B-BF37-4E3A118775F1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17</xdr:row>
      <xdr:rowOff>0</xdr:rowOff>
    </xdr:from>
    <xdr:ext cx="304800" cy="303439"/>
    <xdr:sp macro="" textlink="">
      <xdr:nvSpPr>
        <xdr:cNvPr id="622" name="AutoShape 65">
          <a:extLst>
            <a:ext uri="{FF2B5EF4-FFF2-40B4-BE49-F238E27FC236}">
              <a16:creationId xmlns:a16="http://schemas.microsoft.com/office/drawing/2014/main" id="{F54A10F8-5B76-4044-881D-4914C7F02C23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17</xdr:row>
      <xdr:rowOff>0</xdr:rowOff>
    </xdr:from>
    <xdr:ext cx="9525" cy="9525"/>
    <xdr:pic>
      <xdr:nvPicPr>
        <xdr:cNvPr id="623" name="Picture 622">
          <a:extLst>
            <a:ext uri="{FF2B5EF4-FFF2-40B4-BE49-F238E27FC236}">
              <a16:creationId xmlns:a16="http://schemas.microsoft.com/office/drawing/2014/main" id="{1F4BB874-D22C-4617-BE95-0213D749E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</xdr:row>
      <xdr:rowOff>0</xdr:rowOff>
    </xdr:from>
    <xdr:ext cx="304800" cy="304800"/>
    <xdr:sp macro="" textlink="">
      <xdr:nvSpPr>
        <xdr:cNvPr id="624" name="AutoShape 113">
          <a:extLst>
            <a:ext uri="{FF2B5EF4-FFF2-40B4-BE49-F238E27FC236}">
              <a16:creationId xmlns:a16="http://schemas.microsoft.com/office/drawing/2014/main" id="{4B8066CE-55C1-468E-9B0D-3AABAFC52485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17</xdr:row>
      <xdr:rowOff>0</xdr:rowOff>
    </xdr:from>
    <xdr:ext cx="304800" cy="303439"/>
    <xdr:sp macro="" textlink="">
      <xdr:nvSpPr>
        <xdr:cNvPr id="625" name="AutoShape 115">
          <a:extLst>
            <a:ext uri="{FF2B5EF4-FFF2-40B4-BE49-F238E27FC236}">
              <a16:creationId xmlns:a16="http://schemas.microsoft.com/office/drawing/2014/main" id="{6B962EEB-9E51-4B63-AD82-BC0166638849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17</xdr:row>
      <xdr:rowOff>0</xdr:rowOff>
    </xdr:from>
    <xdr:ext cx="9525" cy="9525"/>
    <xdr:pic>
      <xdr:nvPicPr>
        <xdr:cNvPr id="626" name="Picture 625">
          <a:extLst>
            <a:ext uri="{FF2B5EF4-FFF2-40B4-BE49-F238E27FC236}">
              <a16:creationId xmlns:a16="http://schemas.microsoft.com/office/drawing/2014/main" id="{EFC41C6C-9A57-40F5-8872-516D6D7DA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</xdr:row>
      <xdr:rowOff>0</xdr:rowOff>
    </xdr:from>
    <xdr:ext cx="304800" cy="304800"/>
    <xdr:sp macro="" textlink="">
      <xdr:nvSpPr>
        <xdr:cNvPr id="627" name="AutoShape 138">
          <a:extLst>
            <a:ext uri="{FF2B5EF4-FFF2-40B4-BE49-F238E27FC236}">
              <a16:creationId xmlns:a16="http://schemas.microsoft.com/office/drawing/2014/main" id="{E79FE5B3-3B01-442D-9ECE-6705951DF6F9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17</xdr:row>
      <xdr:rowOff>0</xdr:rowOff>
    </xdr:from>
    <xdr:ext cx="304800" cy="303439"/>
    <xdr:sp macro="" textlink="">
      <xdr:nvSpPr>
        <xdr:cNvPr id="628" name="AutoShape 140">
          <a:extLst>
            <a:ext uri="{FF2B5EF4-FFF2-40B4-BE49-F238E27FC236}">
              <a16:creationId xmlns:a16="http://schemas.microsoft.com/office/drawing/2014/main" id="{C34C268E-7484-4F6E-89F0-63C8CF5A5421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9525" cy="9525"/>
    <xdr:pic>
      <xdr:nvPicPr>
        <xdr:cNvPr id="629" name="Picture 628">
          <a:extLst>
            <a:ext uri="{FF2B5EF4-FFF2-40B4-BE49-F238E27FC236}">
              <a16:creationId xmlns:a16="http://schemas.microsoft.com/office/drawing/2014/main" id="{B7014016-C49F-46D2-B8F3-A3A58396D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</xdr:row>
      <xdr:rowOff>0</xdr:rowOff>
    </xdr:from>
    <xdr:ext cx="304800" cy="303439"/>
    <xdr:sp macro="" textlink="">
      <xdr:nvSpPr>
        <xdr:cNvPr id="630" name="AutoShape 165">
          <a:extLst>
            <a:ext uri="{FF2B5EF4-FFF2-40B4-BE49-F238E27FC236}">
              <a16:creationId xmlns:a16="http://schemas.microsoft.com/office/drawing/2014/main" id="{2E7A3156-775F-45BB-A23C-3AB4525A86E3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9525" cy="9525"/>
    <xdr:pic>
      <xdr:nvPicPr>
        <xdr:cNvPr id="631" name="Picture 630">
          <a:extLst>
            <a:ext uri="{FF2B5EF4-FFF2-40B4-BE49-F238E27FC236}">
              <a16:creationId xmlns:a16="http://schemas.microsoft.com/office/drawing/2014/main" id="{CA238874-4249-4732-8421-01C39EAC4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</xdr:row>
      <xdr:rowOff>0</xdr:rowOff>
    </xdr:from>
    <xdr:ext cx="9525" cy="9525"/>
    <xdr:pic>
      <xdr:nvPicPr>
        <xdr:cNvPr id="632" name="Picture 631">
          <a:extLst>
            <a:ext uri="{FF2B5EF4-FFF2-40B4-BE49-F238E27FC236}">
              <a16:creationId xmlns:a16="http://schemas.microsoft.com/office/drawing/2014/main" id="{9969435D-9093-45CF-9FA4-E5E1D5E74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304800" cy="304800"/>
    <xdr:sp macro="" textlink="">
      <xdr:nvSpPr>
        <xdr:cNvPr id="633" name="AutoShape 193">
          <a:extLst>
            <a:ext uri="{FF2B5EF4-FFF2-40B4-BE49-F238E27FC236}">
              <a16:creationId xmlns:a16="http://schemas.microsoft.com/office/drawing/2014/main" id="{E5424DEA-DF10-457F-82B3-C4A0D8ED4608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304800" cy="303439"/>
    <xdr:sp macro="" textlink="">
      <xdr:nvSpPr>
        <xdr:cNvPr id="634" name="AutoShape 195">
          <a:extLst>
            <a:ext uri="{FF2B5EF4-FFF2-40B4-BE49-F238E27FC236}">
              <a16:creationId xmlns:a16="http://schemas.microsoft.com/office/drawing/2014/main" id="{7965BA0E-2988-4B59-926A-1ABB825B2487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9525" cy="9525"/>
    <xdr:pic>
      <xdr:nvPicPr>
        <xdr:cNvPr id="635" name="Picture 634">
          <a:extLst>
            <a:ext uri="{FF2B5EF4-FFF2-40B4-BE49-F238E27FC236}">
              <a16:creationId xmlns:a16="http://schemas.microsoft.com/office/drawing/2014/main" id="{9FC780E7-B49C-485C-8C7B-CCF9BCC4D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304800" cy="304800"/>
    <xdr:sp macro="" textlink="">
      <xdr:nvSpPr>
        <xdr:cNvPr id="636" name="AutoShape 219">
          <a:extLst>
            <a:ext uri="{FF2B5EF4-FFF2-40B4-BE49-F238E27FC236}">
              <a16:creationId xmlns:a16="http://schemas.microsoft.com/office/drawing/2014/main" id="{273E1603-B212-4F7C-98AF-B6FA9FC3AA06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304800" cy="303439"/>
    <xdr:sp macro="" textlink="">
      <xdr:nvSpPr>
        <xdr:cNvPr id="637" name="AutoShape 221">
          <a:extLst>
            <a:ext uri="{FF2B5EF4-FFF2-40B4-BE49-F238E27FC236}">
              <a16:creationId xmlns:a16="http://schemas.microsoft.com/office/drawing/2014/main" id="{6669F811-ECB7-4DA1-A915-52195A3AC7B0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9525" cy="9525"/>
    <xdr:pic>
      <xdr:nvPicPr>
        <xdr:cNvPr id="638" name="Picture 637">
          <a:extLst>
            <a:ext uri="{FF2B5EF4-FFF2-40B4-BE49-F238E27FC236}">
              <a16:creationId xmlns:a16="http://schemas.microsoft.com/office/drawing/2014/main" id="{759F781A-FD3A-42B3-A200-4C46833F4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304800" cy="304800"/>
    <xdr:sp macro="" textlink="">
      <xdr:nvSpPr>
        <xdr:cNvPr id="639" name="AutoShape 243">
          <a:extLst>
            <a:ext uri="{FF2B5EF4-FFF2-40B4-BE49-F238E27FC236}">
              <a16:creationId xmlns:a16="http://schemas.microsoft.com/office/drawing/2014/main" id="{1CC09D93-4454-44C7-9D14-0DF3FA89DB47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304800" cy="303439"/>
    <xdr:sp macro="" textlink="">
      <xdr:nvSpPr>
        <xdr:cNvPr id="640" name="AutoShape 245">
          <a:extLst>
            <a:ext uri="{FF2B5EF4-FFF2-40B4-BE49-F238E27FC236}">
              <a16:creationId xmlns:a16="http://schemas.microsoft.com/office/drawing/2014/main" id="{B94FA8B2-C257-42B0-9C95-CB2466B31EC6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9525" cy="9525"/>
    <xdr:pic>
      <xdr:nvPicPr>
        <xdr:cNvPr id="641" name="Picture 640">
          <a:extLst>
            <a:ext uri="{FF2B5EF4-FFF2-40B4-BE49-F238E27FC236}">
              <a16:creationId xmlns:a16="http://schemas.microsoft.com/office/drawing/2014/main" id="{974D337A-1218-4304-A95F-C8685A809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304800" cy="304800"/>
    <xdr:sp macro="" textlink="">
      <xdr:nvSpPr>
        <xdr:cNvPr id="642" name="AutoShape 269">
          <a:extLst>
            <a:ext uri="{FF2B5EF4-FFF2-40B4-BE49-F238E27FC236}">
              <a16:creationId xmlns:a16="http://schemas.microsoft.com/office/drawing/2014/main" id="{FA728911-5EBC-4C8D-81F5-D53B769EE5BA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304800" cy="303439"/>
    <xdr:sp macro="" textlink="">
      <xdr:nvSpPr>
        <xdr:cNvPr id="643" name="AutoShape 271">
          <a:extLst>
            <a:ext uri="{FF2B5EF4-FFF2-40B4-BE49-F238E27FC236}">
              <a16:creationId xmlns:a16="http://schemas.microsoft.com/office/drawing/2014/main" id="{0B73A12B-C722-4F1C-AF6A-75129B5D9D18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9525" cy="9525"/>
    <xdr:pic>
      <xdr:nvPicPr>
        <xdr:cNvPr id="644" name="Picture 643">
          <a:extLst>
            <a:ext uri="{FF2B5EF4-FFF2-40B4-BE49-F238E27FC236}">
              <a16:creationId xmlns:a16="http://schemas.microsoft.com/office/drawing/2014/main" id="{AF70B9D4-85F1-42DD-9DE6-1837CF7CE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304800" cy="304800"/>
    <xdr:sp macro="" textlink="">
      <xdr:nvSpPr>
        <xdr:cNvPr id="645" name="AutoShape 321">
          <a:extLst>
            <a:ext uri="{FF2B5EF4-FFF2-40B4-BE49-F238E27FC236}">
              <a16:creationId xmlns:a16="http://schemas.microsoft.com/office/drawing/2014/main" id="{2788F828-C534-4A94-A456-CB499EE8240A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304800" cy="303439"/>
    <xdr:sp macro="" textlink="">
      <xdr:nvSpPr>
        <xdr:cNvPr id="646" name="AutoShape 323">
          <a:extLst>
            <a:ext uri="{FF2B5EF4-FFF2-40B4-BE49-F238E27FC236}">
              <a16:creationId xmlns:a16="http://schemas.microsoft.com/office/drawing/2014/main" id="{5C74B953-0538-40B8-B9F9-B019779FB187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9525" cy="9525"/>
    <xdr:pic>
      <xdr:nvPicPr>
        <xdr:cNvPr id="647" name="Picture 646">
          <a:extLst>
            <a:ext uri="{FF2B5EF4-FFF2-40B4-BE49-F238E27FC236}">
              <a16:creationId xmlns:a16="http://schemas.microsoft.com/office/drawing/2014/main" id="{9BAAD775-A886-4656-8B59-73A63A495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304800" cy="304800"/>
    <xdr:sp macro="" textlink="">
      <xdr:nvSpPr>
        <xdr:cNvPr id="648" name="AutoShape 373">
          <a:extLst>
            <a:ext uri="{FF2B5EF4-FFF2-40B4-BE49-F238E27FC236}">
              <a16:creationId xmlns:a16="http://schemas.microsoft.com/office/drawing/2014/main" id="{43130D9B-AC11-4DFD-A4E8-586C5A757AA7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304800" cy="303439"/>
    <xdr:sp macro="" textlink="">
      <xdr:nvSpPr>
        <xdr:cNvPr id="649" name="AutoShape 375">
          <a:extLst>
            <a:ext uri="{FF2B5EF4-FFF2-40B4-BE49-F238E27FC236}">
              <a16:creationId xmlns:a16="http://schemas.microsoft.com/office/drawing/2014/main" id="{37B8D1F8-B4B7-41E0-938B-11CA50F429F2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9525" cy="9525"/>
    <xdr:pic>
      <xdr:nvPicPr>
        <xdr:cNvPr id="650" name="Picture 649">
          <a:extLst>
            <a:ext uri="{FF2B5EF4-FFF2-40B4-BE49-F238E27FC236}">
              <a16:creationId xmlns:a16="http://schemas.microsoft.com/office/drawing/2014/main" id="{E6FCDDE8-F7BA-49D6-986B-BE7E1881E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304800" cy="304800"/>
    <xdr:sp macro="" textlink="">
      <xdr:nvSpPr>
        <xdr:cNvPr id="651" name="AutoShape 429">
          <a:extLst>
            <a:ext uri="{FF2B5EF4-FFF2-40B4-BE49-F238E27FC236}">
              <a16:creationId xmlns:a16="http://schemas.microsoft.com/office/drawing/2014/main" id="{F3721FA3-03B3-4DD2-B783-DCC2F9940CD0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304800" cy="303439"/>
    <xdr:sp macro="" textlink="">
      <xdr:nvSpPr>
        <xdr:cNvPr id="652" name="AutoShape 431">
          <a:extLst>
            <a:ext uri="{FF2B5EF4-FFF2-40B4-BE49-F238E27FC236}">
              <a16:creationId xmlns:a16="http://schemas.microsoft.com/office/drawing/2014/main" id="{DD9602EE-70DF-4F65-B21B-007E2C94DAF3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9525" cy="9525"/>
    <xdr:pic>
      <xdr:nvPicPr>
        <xdr:cNvPr id="653" name="Picture 652">
          <a:extLst>
            <a:ext uri="{FF2B5EF4-FFF2-40B4-BE49-F238E27FC236}">
              <a16:creationId xmlns:a16="http://schemas.microsoft.com/office/drawing/2014/main" id="{08AD0CB9-8A04-4DEB-A6E7-8AAA0E83E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304800" cy="304800"/>
    <xdr:sp macro="" textlink="">
      <xdr:nvSpPr>
        <xdr:cNvPr id="654" name="AutoShape 485">
          <a:extLst>
            <a:ext uri="{FF2B5EF4-FFF2-40B4-BE49-F238E27FC236}">
              <a16:creationId xmlns:a16="http://schemas.microsoft.com/office/drawing/2014/main" id="{A9E52D7B-D5BD-43FB-99B3-80786E6AA389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304800" cy="303439"/>
    <xdr:sp macro="" textlink="">
      <xdr:nvSpPr>
        <xdr:cNvPr id="655" name="AutoShape 487">
          <a:extLst>
            <a:ext uri="{FF2B5EF4-FFF2-40B4-BE49-F238E27FC236}">
              <a16:creationId xmlns:a16="http://schemas.microsoft.com/office/drawing/2014/main" id="{117517B2-7112-40F9-9E59-375016995661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9525" cy="9525"/>
    <xdr:pic>
      <xdr:nvPicPr>
        <xdr:cNvPr id="656" name="Picture 655">
          <a:extLst>
            <a:ext uri="{FF2B5EF4-FFF2-40B4-BE49-F238E27FC236}">
              <a16:creationId xmlns:a16="http://schemas.microsoft.com/office/drawing/2014/main" id="{4F62E859-702A-415A-A481-6311C7C01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304800" cy="304800"/>
    <xdr:sp macro="" textlink="">
      <xdr:nvSpPr>
        <xdr:cNvPr id="657" name="AutoShape 519">
          <a:extLst>
            <a:ext uri="{FF2B5EF4-FFF2-40B4-BE49-F238E27FC236}">
              <a16:creationId xmlns:a16="http://schemas.microsoft.com/office/drawing/2014/main" id="{1C59E98E-5795-4812-AB87-B9A3A6A488AD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304800" cy="303439"/>
    <xdr:sp macro="" textlink="">
      <xdr:nvSpPr>
        <xdr:cNvPr id="658" name="AutoShape 521">
          <a:extLst>
            <a:ext uri="{FF2B5EF4-FFF2-40B4-BE49-F238E27FC236}">
              <a16:creationId xmlns:a16="http://schemas.microsoft.com/office/drawing/2014/main" id="{F6B1486D-1CB0-45E9-B5D3-C0800410CC87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9525" cy="9525"/>
    <xdr:pic>
      <xdr:nvPicPr>
        <xdr:cNvPr id="659" name="Picture 658">
          <a:extLst>
            <a:ext uri="{FF2B5EF4-FFF2-40B4-BE49-F238E27FC236}">
              <a16:creationId xmlns:a16="http://schemas.microsoft.com/office/drawing/2014/main" id="{561A7B07-BB2A-45C5-BCD4-088010B99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18</xdr:row>
      <xdr:rowOff>0</xdr:rowOff>
    </xdr:from>
    <xdr:ext cx="9525" cy="9525"/>
    <xdr:pic>
      <xdr:nvPicPr>
        <xdr:cNvPr id="661" name="Picture 660">
          <a:extLst>
            <a:ext uri="{FF2B5EF4-FFF2-40B4-BE49-F238E27FC236}">
              <a16:creationId xmlns:a16="http://schemas.microsoft.com/office/drawing/2014/main" id="{7ABEBC84-4931-4A41-B32E-B4BEC494B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18</xdr:row>
      <xdr:rowOff>0</xdr:rowOff>
    </xdr:from>
    <xdr:ext cx="9525" cy="9525"/>
    <xdr:pic>
      <xdr:nvPicPr>
        <xdr:cNvPr id="662" name="Picture 661">
          <a:extLst>
            <a:ext uri="{FF2B5EF4-FFF2-40B4-BE49-F238E27FC236}">
              <a16:creationId xmlns:a16="http://schemas.microsoft.com/office/drawing/2014/main" id="{DAC5635D-4D14-4676-B0EC-DFBC7DAB2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18</xdr:row>
      <xdr:rowOff>0</xdr:rowOff>
    </xdr:from>
    <xdr:ext cx="9525" cy="9525"/>
    <xdr:pic>
      <xdr:nvPicPr>
        <xdr:cNvPr id="663" name="Picture 662">
          <a:extLst>
            <a:ext uri="{FF2B5EF4-FFF2-40B4-BE49-F238E27FC236}">
              <a16:creationId xmlns:a16="http://schemas.microsoft.com/office/drawing/2014/main" id="{65A4CB5F-8953-4BE1-909E-9F07F873C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18</xdr:row>
      <xdr:rowOff>0</xdr:rowOff>
    </xdr:from>
    <xdr:ext cx="9525" cy="9525"/>
    <xdr:pic>
      <xdr:nvPicPr>
        <xdr:cNvPr id="664" name="Picture 663">
          <a:extLst>
            <a:ext uri="{FF2B5EF4-FFF2-40B4-BE49-F238E27FC236}">
              <a16:creationId xmlns:a16="http://schemas.microsoft.com/office/drawing/2014/main" id="{257163E8-2B66-42C4-8612-87AB0F7C1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9525" cy="9525"/>
    <xdr:pic>
      <xdr:nvPicPr>
        <xdr:cNvPr id="665" name="Picture 664">
          <a:extLst>
            <a:ext uri="{FF2B5EF4-FFF2-40B4-BE49-F238E27FC236}">
              <a16:creationId xmlns:a16="http://schemas.microsoft.com/office/drawing/2014/main" id="{9604799B-17C3-4676-AE8C-9D51F517C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304800" cy="304800"/>
    <xdr:sp macro="" textlink="">
      <xdr:nvSpPr>
        <xdr:cNvPr id="666" name="AutoShape 159">
          <a:extLst>
            <a:ext uri="{FF2B5EF4-FFF2-40B4-BE49-F238E27FC236}">
              <a16:creationId xmlns:a16="http://schemas.microsoft.com/office/drawing/2014/main" id="{1D003D0A-8117-4E2E-9A2F-600BBDC97B0F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9525" cy="9525"/>
    <xdr:pic>
      <xdr:nvPicPr>
        <xdr:cNvPr id="667" name="Picture 666">
          <a:extLst>
            <a:ext uri="{FF2B5EF4-FFF2-40B4-BE49-F238E27FC236}">
              <a16:creationId xmlns:a16="http://schemas.microsoft.com/office/drawing/2014/main" id="{8986710D-1B57-469E-A463-B305BEC58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9525" cy="9525"/>
    <xdr:pic>
      <xdr:nvPicPr>
        <xdr:cNvPr id="668" name="Picture 667">
          <a:extLst>
            <a:ext uri="{FF2B5EF4-FFF2-40B4-BE49-F238E27FC236}">
              <a16:creationId xmlns:a16="http://schemas.microsoft.com/office/drawing/2014/main" id="{E53EDDB8-CB60-41E7-98FA-7F6D507F1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9525" cy="9525"/>
    <xdr:pic>
      <xdr:nvPicPr>
        <xdr:cNvPr id="669" name="Picture 668">
          <a:extLst>
            <a:ext uri="{FF2B5EF4-FFF2-40B4-BE49-F238E27FC236}">
              <a16:creationId xmlns:a16="http://schemas.microsoft.com/office/drawing/2014/main" id="{A510C7D2-43C8-4B2D-A955-F42B5690A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9525" cy="9525"/>
    <xdr:pic>
      <xdr:nvPicPr>
        <xdr:cNvPr id="670" name="Picture 669">
          <a:extLst>
            <a:ext uri="{FF2B5EF4-FFF2-40B4-BE49-F238E27FC236}">
              <a16:creationId xmlns:a16="http://schemas.microsoft.com/office/drawing/2014/main" id="{9B253BA8-9E1E-4294-9B7D-1805B2A98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9525" cy="9525"/>
    <xdr:pic>
      <xdr:nvPicPr>
        <xdr:cNvPr id="671" name="Picture 670">
          <a:extLst>
            <a:ext uri="{FF2B5EF4-FFF2-40B4-BE49-F238E27FC236}">
              <a16:creationId xmlns:a16="http://schemas.microsoft.com/office/drawing/2014/main" id="{EA4EAC0F-5996-49BD-8031-975800428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9525" cy="9525"/>
    <xdr:pic>
      <xdr:nvPicPr>
        <xdr:cNvPr id="672" name="Picture 671">
          <a:extLst>
            <a:ext uri="{FF2B5EF4-FFF2-40B4-BE49-F238E27FC236}">
              <a16:creationId xmlns:a16="http://schemas.microsoft.com/office/drawing/2014/main" id="{BF8432FC-16B2-4B0A-BE7E-958BE1E5B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9525" cy="9525"/>
    <xdr:pic>
      <xdr:nvPicPr>
        <xdr:cNvPr id="673" name="Picture 672">
          <a:extLst>
            <a:ext uri="{FF2B5EF4-FFF2-40B4-BE49-F238E27FC236}">
              <a16:creationId xmlns:a16="http://schemas.microsoft.com/office/drawing/2014/main" id="{2C6E5230-1134-4061-A270-1CE7086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9525" cy="9525"/>
    <xdr:pic>
      <xdr:nvPicPr>
        <xdr:cNvPr id="674" name="Picture 673">
          <a:extLst>
            <a:ext uri="{FF2B5EF4-FFF2-40B4-BE49-F238E27FC236}">
              <a16:creationId xmlns:a16="http://schemas.microsoft.com/office/drawing/2014/main" id="{67FBBD05-AA7D-4ACE-BE51-67BA3A32F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9525" cy="9525"/>
    <xdr:pic>
      <xdr:nvPicPr>
        <xdr:cNvPr id="675" name="Picture 674">
          <a:extLst>
            <a:ext uri="{FF2B5EF4-FFF2-40B4-BE49-F238E27FC236}">
              <a16:creationId xmlns:a16="http://schemas.microsoft.com/office/drawing/2014/main" id="{E6B93062-B07A-4B52-A4E0-130CCC48D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9525" cy="9525"/>
    <xdr:pic>
      <xdr:nvPicPr>
        <xdr:cNvPr id="676" name="Picture 675">
          <a:extLst>
            <a:ext uri="{FF2B5EF4-FFF2-40B4-BE49-F238E27FC236}">
              <a16:creationId xmlns:a16="http://schemas.microsoft.com/office/drawing/2014/main" id="{301E48CF-C647-4665-A79C-35100A85C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</xdr:row>
      <xdr:rowOff>0</xdr:rowOff>
    </xdr:from>
    <xdr:ext cx="304800" cy="304800"/>
    <xdr:sp macro="" textlink="">
      <xdr:nvSpPr>
        <xdr:cNvPr id="677" name="AutoShape 509">
          <a:extLst>
            <a:ext uri="{FF2B5EF4-FFF2-40B4-BE49-F238E27FC236}">
              <a16:creationId xmlns:a16="http://schemas.microsoft.com/office/drawing/2014/main" id="{29CBB9C8-BFA2-475B-B9D9-CDDC0092A145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4359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18</xdr:row>
      <xdr:rowOff>0</xdr:rowOff>
    </xdr:from>
    <xdr:ext cx="304800" cy="304800"/>
    <xdr:sp macro="" textlink="">
      <xdr:nvSpPr>
        <xdr:cNvPr id="678" name="AutoShape 511">
          <a:extLst>
            <a:ext uri="{FF2B5EF4-FFF2-40B4-BE49-F238E27FC236}">
              <a16:creationId xmlns:a16="http://schemas.microsoft.com/office/drawing/2014/main" id="{DD4B4C06-5E6B-455E-8220-15E48A752A5F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</xdr:row>
      <xdr:rowOff>0</xdr:rowOff>
    </xdr:from>
    <xdr:ext cx="9525" cy="9525"/>
    <xdr:pic>
      <xdr:nvPicPr>
        <xdr:cNvPr id="680" name="Picture 679">
          <a:extLst>
            <a:ext uri="{FF2B5EF4-FFF2-40B4-BE49-F238E27FC236}">
              <a16:creationId xmlns:a16="http://schemas.microsoft.com/office/drawing/2014/main" id="{E2DEA714-B5EB-40F2-8E84-AC70ACB2A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</xdr:row>
      <xdr:rowOff>0</xdr:rowOff>
    </xdr:from>
    <xdr:ext cx="9525" cy="9525"/>
    <xdr:pic>
      <xdr:nvPicPr>
        <xdr:cNvPr id="681" name="Picture 680">
          <a:extLst>
            <a:ext uri="{FF2B5EF4-FFF2-40B4-BE49-F238E27FC236}">
              <a16:creationId xmlns:a16="http://schemas.microsoft.com/office/drawing/2014/main" id="{1A9170E1-B584-4E8D-855A-59B43869A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</xdr:row>
      <xdr:rowOff>0</xdr:rowOff>
    </xdr:from>
    <xdr:ext cx="9525" cy="9525"/>
    <xdr:pic>
      <xdr:nvPicPr>
        <xdr:cNvPr id="682" name="Picture 681">
          <a:extLst>
            <a:ext uri="{FF2B5EF4-FFF2-40B4-BE49-F238E27FC236}">
              <a16:creationId xmlns:a16="http://schemas.microsoft.com/office/drawing/2014/main" id="{76E62CF5-E701-4F41-A1D4-24E563A0C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</xdr:row>
      <xdr:rowOff>0</xdr:rowOff>
    </xdr:from>
    <xdr:ext cx="9525" cy="9525"/>
    <xdr:pic>
      <xdr:nvPicPr>
        <xdr:cNvPr id="683" name="Picture 682">
          <a:extLst>
            <a:ext uri="{FF2B5EF4-FFF2-40B4-BE49-F238E27FC236}">
              <a16:creationId xmlns:a16="http://schemas.microsoft.com/office/drawing/2014/main" id="{727BCBDA-44BA-433F-8F4E-EE3902CBD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</xdr:row>
      <xdr:rowOff>0</xdr:rowOff>
    </xdr:from>
    <xdr:ext cx="9525" cy="9525"/>
    <xdr:pic>
      <xdr:nvPicPr>
        <xdr:cNvPr id="684" name="Picture 683">
          <a:extLst>
            <a:ext uri="{FF2B5EF4-FFF2-40B4-BE49-F238E27FC236}">
              <a16:creationId xmlns:a16="http://schemas.microsoft.com/office/drawing/2014/main" id="{F2C904E4-2DD5-42F2-9482-34BEE42AC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9525" cy="9525"/>
    <xdr:pic>
      <xdr:nvPicPr>
        <xdr:cNvPr id="685" name="Picture 684">
          <a:extLst>
            <a:ext uri="{FF2B5EF4-FFF2-40B4-BE49-F238E27FC236}">
              <a16:creationId xmlns:a16="http://schemas.microsoft.com/office/drawing/2014/main" id="{CEDFC413-8A75-4A7B-A1E5-7D2199FD7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</xdr:row>
      <xdr:rowOff>0</xdr:rowOff>
    </xdr:from>
    <xdr:ext cx="304800" cy="304800"/>
    <xdr:sp macro="" textlink="">
      <xdr:nvSpPr>
        <xdr:cNvPr id="686" name="AutoShape 159">
          <a:extLst>
            <a:ext uri="{FF2B5EF4-FFF2-40B4-BE49-F238E27FC236}">
              <a16:creationId xmlns:a16="http://schemas.microsoft.com/office/drawing/2014/main" id="{9049BE35-0A33-4B58-8852-424DA968CA97}"/>
            </a:ext>
          </a:extLst>
        </xdr:cNvPr>
        <xdr:cNvSpPr>
          <a:spLocks noChangeAspect="1" noChangeArrowheads="1"/>
        </xdr:cNvSpPr>
      </xdr:nvSpPr>
      <xdr:spPr bwMode="auto">
        <a:xfrm>
          <a:off x="32929286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</xdr:row>
      <xdr:rowOff>0</xdr:rowOff>
    </xdr:from>
    <xdr:ext cx="9525" cy="9525"/>
    <xdr:pic>
      <xdr:nvPicPr>
        <xdr:cNvPr id="687" name="Picture 686">
          <a:extLst>
            <a:ext uri="{FF2B5EF4-FFF2-40B4-BE49-F238E27FC236}">
              <a16:creationId xmlns:a16="http://schemas.microsoft.com/office/drawing/2014/main" id="{EE8529D5-134A-4297-BDF6-A5CFBBDDD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9525" cy="9525"/>
    <xdr:pic>
      <xdr:nvPicPr>
        <xdr:cNvPr id="688" name="Picture 687">
          <a:extLst>
            <a:ext uri="{FF2B5EF4-FFF2-40B4-BE49-F238E27FC236}">
              <a16:creationId xmlns:a16="http://schemas.microsoft.com/office/drawing/2014/main" id="{AD7139ED-B8CC-4024-8E1C-ABB531EB2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9525" cy="9525"/>
    <xdr:pic>
      <xdr:nvPicPr>
        <xdr:cNvPr id="689" name="Picture 688">
          <a:extLst>
            <a:ext uri="{FF2B5EF4-FFF2-40B4-BE49-F238E27FC236}">
              <a16:creationId xmlns:a16="http://schemas.microsoft.com/office/drawing/2014/main" id="{6170DEC5-E661-4503-9368-8991697C3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9525" cy="9525"/>
    <xdr:pic>
      <xdr:nvPicPr>
        <xdr:cNvPr id="690" name="Picture 689">
          <a:extLst>
            <a:ext uri="{FF2B5EF4-FFF2-40B4-BE49-F238E27FC236}">
              <a16:creationId xmlns:a16="http://schemas.microsoft.com/office/drawing/2014/main" id="{50214145-55B8-426A-A9BC-E60BF4AEC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9525" cy="9525"/>
    <xdr:pic>
      <xdr:nvPicPr>
        <xdr:cNvPr id="691" name="Picture 690">
          <a:extLst>
            <a:ext uri="{FF2B5EF4-FFF2-40B4-BE49-F238E27FC236}">
              <a16:creationId xmlns:a16="http://schemas.microsoft.com/office/drawing/2014/main" id="{FA52B8EA-F6FE-407B-8A79-A8A531925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9525" cy="9525"/>
    <xdr:pic>
      <xdr:nvPicPr>
        <xdr:cNvPr id="692" name="Picture 691">
          <a:extLst>
            <a:ext uri="{FF2B5EF4-FFF2-40B4-BE49-F238E27FC236}">
              <a16:creationId xmlns:a16="http://schemas.microsoft.com/office/drawing/2014/main" id="{4AFE5F0E-ED5C-4C26-99F9-A93618605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9525" cy="9525"/>
    <xdr:pic>
      <xdr:nvPicPr>
        <xdr:cNvPr id="693" name="Picture 692">
          <a:extLst>
            <a:ext uri="{FF2B5EF4-FFF2-40B4-BE49-F238E27FC236}">
              <a16:creationId xmlns:a16="http://schemas.microsoft.com/office/drawing/2014/main" id="{80D6457C-619E-4E07-926B-8E63DA69B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9525" cy="9525"/>
    <xdr:pic>
      <xdr:nvPicPr>
        <xdr:cNvPr id="694" name="Picture 693">
          <a:extLst>
            <a:ext uri="{FF2B5EF4-FFF2-40B4-BE49-F238E27FC236}">
              <a16:creationId xmlns:a16="http://schemas.microsoft.com/office/drawing/2014/main" id="{36F0ABFC-EAD0-4D18-956F-F985AD5CA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9525" cy="9525"/>
    <xdr:pic>
      <xdr:nvPicPr>
        <xdr:cNvPr id="695" name="Picture 694">
          <a:extLst>
            <a:ext uri="{FF2B5EF4-FFF2-40B4-BE49-F238E27FC236}">
              <a16:creationId xmlns:a16="http://schemas.microsoft.com/office/drawing/2014/main" id="{F66C1068-5A1C-456E-AD5A-2FFEC8CA6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9525" cy="9525"/>
    <xdr:pic>
      <xdr:nvPicPr>
        <xdr:cNvPr id="696" name="Picture 695">
          <a:extLst>
            <a:ext uri="{FF2B5EF4-FFF2-40B4-BE49-F238E27FC236}">
              <a16:creationId xmlns:a16="http://schemas.microsoft.com/office/drawing/2014/main" id="{9004A954-5DB9-41CE-AB6E-95EEC5EFE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304800" cy="303439"/>
    <xdr:sp macro="" textlink="">
      <xdr:nvSpPr>
        <xdr:cNvPr id="698" name="AutoShape 513">
          <a:extLst>
            <a:ext uri="{FF2B5EF4-FFF2-40B4-BE49-F238E27FC236}">
              <a16:creationId xmlns:a16="http://schemas.microsoft.com/office/drawing/2014/main" id="{001D4252-AAE3-4C1A-AAB9-239EC6C6630A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254453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9525" cy="9525"/>
    <xdr:pic>
      <xdr:nvPicPr>
        <xdr:cNvPr id="699" name="Picture 698">
          <a:extLst>
            <a:ext uri="{FF2B5EF4-FFF2-40B4-BE49-F238E27FC236}">
              <a16:creationId xmlns:a16="http://schemas.microsoft.com/office/drawing/2014/main" id="{97927286-CD1E-4C3D-9A7A-4A1CDA2CC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</xdr:row>
      <xdr:rowOff>0</xdr:rowOff>
    </xdr:from>
    <xdr:ext cx="9525" cy="9525"/>
    <xdr:pic>
      <xdr:nvPicPr>
        <xdr:cNvPr id="700" name="Picture 699">
          <a:extLst>
            <a:ext uri="{FF2B5EF4-FFF2-40B4-BE49-F238E27FC236}">
              <a16:creationId xmlns:a16="http://schemas.microsoft.com/office/drawing/2014/main" id="{37024FEE-690F-44D0-9379-A6715C8D1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</xdr:row>
      <xdr:rowOff>0</xdr:rowOff>
    </xdr:from>
    <xdr:ext cx="304800" cy="304800"/>
    <xdr:sp macro="" textlink="">
      <xdr:nvSpPr>
        <xdr:cNvPr id="701" name="AutoShape 38">
          <a:extLst>
            <a:ext uri="{FF2B5EF4-FFF2-40B4-BE49-F238E27FC236}">
              <a16:creationId xmlns:a16="http://schemas.microsoft.com/office/drawing/2014/main" id="{EE0796BD-0664-4F5F-BE5B-30343CA13CB9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</xdr:row>
      <xdr:rowOff>0</xdr:rowOff>
    </xdr:from>
    <xdr:ext cx="304800" cy="304800"/>
    <xdr:sp macro="" textlink="">
      <xdr:nvSpPr>
        <xdr:cNvPr id="702" name="AutoShape 40">
          <a:extLst>
            <a:ext uri="{FF2B5EF4-FFF2-40B4-BE49-F238E27FC236}">
              <a16:creationId xmlns:a16="http://schemas.microsoft.com/office/drawing/2014/main" id="{F0F8E97D-1ACF-48D9-879C-AB11F52A2770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</xdr:row>
      <xdr:rowOff>0</xdr:rowOff>
    </xdr:from>
    <xdr:ext cx="9525" cy="9525"/>
    <xdr:pic>
      <xdr:nvPicPr>
        <xdr:cNvPr id="703" name="Picture 702">
          <a:extLst>
            <a:ext uri="{FF2B5EF4-FFF2-40B4-BE49-F238E27FC236}">
              <a16:creationId xmlns:a16="http://schemas.microsoft.com/office/drawing/2014/main" id="{043EF08A-A5F5-49D6-BC48-3F28BB8C0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</xdr:row>
      <xdr:rowOff>0</xdr:rowOff>
    </xdr:from>
    <xdr:ext cx="304800" cy="304800"/>
    <xdr:sp macro="" textlink="">
      <xdr:nvSpPr>
        <xdr:cNvPr id="704" name="AutoShape 61">
          <a:extLst>
            <a:ext uri="{FF2B5EF4-FFF2-40B4-BE49-F238E27FC236}">
              <a16:creationId xmlns:a16="http://schemas.microsoft.com/office/drawing/2014/main" id="{680595DC-A2EF-41C2-9B3C-3C5E64C2518B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</xdr:row>
      <xdr:rowOff>0</xdr:rowOff>
    </xdr:from>
    <xdr:ext cx="304800" cy="304800"/>
    <xdr:sp macro="" textlink="">
      <xdr:nvSpPr>
        <xdr:cNvPr id="705" name="AutoShape 63">
          <a:extLst>
            <a:ext uri="{FF2B5EF4-FFF2-40B4-BE49-F238E27FC236}">
              <a16:creationId xmlns:a16="http://schemas.microsoft.com/office/drawing/2014/main" id="{977F8C42-8511-473F-A518-327EBCAD98A1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</xdr:row>
      <xdr:rowOff>0</xdr:rowOff>
    </xdr:from>
    <xdr:ext cx="9525" cy="9525"/>
    <xdr:pic>
      <xdr:nvPicPr>
        <xdr:cNvPr id="706" name="Picture 705">
          <a:extLst>
            <a:ext uri="{FF2B5EF4-FFF2-40B4-BE49-F238E27FC236}">
              <a16:creationId xmlns:a16="http://schemas.microsoft.com/office/drawing/2014/main" id="{CEA82385-D5E0-4744-8D72-33BAD13E5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</xdr:row>
      <xdr:rowOff>0</xdr:rowOff>
    </xdr:from>
    <xdr:ext cx="304800" cy="304800"/>
    <xdr:sp macro="" textlink="">
      <xdr:nvSpPr>
        <xdr:cNvPr id="707" name="AutoShape 111">
          <a:extLst>
            <a:ext uri="{FF2B5EF4-FFF2-40B4-BE49-F238E27FC236}">
              <a16:creationId xmlns:a16="http://schemas.microsoft.com/office/drawing/2014/main" id="{45BBB1D4-519C-40A2-AE42-7405F42792BF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</xdr:row>
      <xdr:rowOff>0</xdr:rowOff>
    </xdr:from>
    <xdr:ext cx="304800" cy="304800"/>
    <xdr:sp macro="" textlink="">
      <xdr:nvSpPr>
        <xdr:cNvPr id="708" name="AutoShape 113">
          <a:extLst>
            <a:ext uri="{FF2B5EF4-FFF2-40B4-BE49-F238E27FC236}">
              <a16:creationId xmlns:a16="http://schemas.microsoft.com/office/drawing/2014/main" id="{818B8EEE-7298-4EF5-97D8-E6FFB4597665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</xdr:row>
      <xdr:rowOff>0</xdr:rowOff>
    </xdr:from>
    <xdr:ext cx="9525" cy="9525"/>
    <xdr:pic>
      <xdr:nvPicPr>
        <xdr:cNvPr id="709" name="Picture 708">
          <a:extLst>
            <a:ext uri="{FF2B5EF4-FFF2-40B4-BE49-F238E27FC236}">
              <a16:creationId xmlns:a16="http://schemas.microsoft.com/office/drawing/2014/main" id="{B8D10098-F527-4BAF-8A2A-148ECF77D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</xdr:row>
      <xdr:rowOff>0</xdr:rowOff>
    </xdr:from>
    <xdr:ext cx="304800" cy="304800"/>
    <xdr:sp macro="" textlink="">
      <xdr:nvSpPr>
        <xdr:cNvPr id="710" name="AutoShape 136">
          <a:extLst>
            <a:ext uri="{FF2B5EF4-FFF2-40B4-BE49-F238E27FC236}">
              <a16:creationId xmlns:a16="http://schemas.microsoft.com/office/drawing/2014/main" id="{325DC24A-B0F0-43C2-8C08-809C0FCB9E7C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</xdr:row>
      <xdr:rowOff>0</xdr:rowOff>
    </xdr:from>
    <xdr:ext cx="304800" cy="304800"/>
    <xdr:sp macro="" textlink="">
      <xdr:nvSpPr>
        <xdr:cNvPr id="711" name="AutoShape 138">
          <a:extLst>
            <a:ext uri="{FF2B5EF4-FFF2-40B4-BE49-F238E27FC236}">
              <a16:creationId xmlns:a16="http://schemas.microsoft.com/office/drawing/2014/main" id="{A6DA1A13-045C-4E95-A09D-F98561827AF7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9525" cy="9525"/>
    <xdr:pic>
      <xdr:nvPicPr>
        <xdr:cNvPr id="712" name="Picture 711">
          <a:extLst>
            <a:ext uri="{FF2B5EF4-FFF2-40B4-BE49-F238E27FC236}">
              <a16:creationId xmlns:a16="http://schemas.microsoft.com/office/drawing/2014/main" id="{A01DDF85-36CD-46D9-AE8C-B7CD54513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9525" cy="9525"/>
    <xdr:pic>
      <xdr:nvPicPr>
        <xdr:cNvPr id="713" name="Picture 712">
          <a:extLst>
            <a:ext uri="{FF2B5EF4-FFF2-40B4-BE49-F238E27FC236}">
              <a16:creationId xmlns:a16="http://schemas.microsoft.com/office/drawing/2014/main" id="{40C76687-1683-412B-9BD2-CA3B3E93A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10</xdr:row>
      <xdr:rowOff>0</xdr:rowOff>
    </xdr:from>
    <xdr:ext cx="9525" cy="9525"/>
    <xdr:pic>
      <xdr:nvPicPr>
        <xdr:cNvPr id="714" name="Picture 713">
          <a:extLst>
            <a:ext uri="{FF2B5EF4-FFF2-40B4-BE49-F238E27FC236}">
              <a16:creationId xmlns:a16="http://schemas.microsoft.com/office/drawing/2014/main" id="{9D69AA24-85B2-4AA7-B95C-4FCB81A19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304800" cy="304800"/>
    <xdr:sp macro="" textlink="">
      <xdr:nvSpPr>
        <xdr:cNvPr id="715" name="AutoShape 191">
          <a:extLst>
            <a:ext uri="{FF2B5EF4-FFF2-40B4-BE49-F238E27FC236}">
              <a16:creationId xmlns:a16="http://schemas.microsoft.com/office/drawing/2014/main" id="{12C01E86-3F6F-4007-81C5-FFFE736DA822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304800" cy="304800"/>
    <xdr:sp macro="" textlink="">
      <xdr:nvSpPr>
        <xdr:cNvPr id="716" name="AutoShape 193">
          <a:extLst>
            <a:ext uri="{FF2B5EF4-FFF2-40B4-BE49-F238E27FC236}">
              <a16:creationId xmlns:a16="http://schemas.microsoft.com/office/drawing/2014/main" id="{4D00FF73-D2BA-486B-9A66-779FAF6A316C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9525" cy="9525"/>
    <xdr:pic>
      <xdr:nvPicPr>
        <xdr:cNvPr id="717" name="Picture 716">
          <a:extLst>
            <a:ext uri="{FF2B5EF4-FFF2-40B4-BE49-F238E27FC236}">
              <a16:creationId xmlns:a16="http://schemas.microsoft.com/office/drawing/2014/main" id="{720A9E71-29F0-40B6-80BF-A5F263AD5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304800" cy="304800"/>
    <xdr:sp macro="" textlink="">
      <xdr:nvSpPr>
        <xdr:cNvPr id="718" name="AutoShape 217">
          <a:extLst>
            <a:ext uri="{FF2B5EF4-FFF2-40B4-BE49-F238E27FC236}">
              <a16:creationId xmlns:a16="http://schemas.microsoft.com/office/drawing/2014/main" id="{3C598BDC-6E5D-4412-8404-A477B9BFE825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304800" cy="304800"/>
    <xdr:sp macro="" textlink="">
      <xdr:nvSpPr>
        <xdr:cNvPr id="719" name="AutoShape 219">
          <a:extLst>
            <a:ext uri="{FF2B5EF4-FFF2-40B4-BE49-F238E27FC236}">
              <a16:creationId xmlns:a16="http://schemas.microsoft.com/office/drawing/2014/main" id="{74DA9E54-917A-45B1-905C-7AE4A7AF89BB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9525" cy="9525"/>
    <xdr:pic>
      <xdr:nvPicPr>
        <xdr:cNvPr id="720" name="Picture 719">
          <a:extLst>
            <a:ext uri="{FF2B5EF4-FFF2-40B4-BE49-F238E27FC236}">
              <a16:creationId xmlns:a16="http://schemas.microsoft.com/office/drawing/2014/main" id="{22022958-5B4C-4850-96FF-E9A1BC6CF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304800" cy="304800"/>
    <xdr:sp macro="" textlink="">
      <xdr:nvSpPr>
        <xdr:cNvPr id="721" name="AutoShape 241">
          <a:extLst>
            <a:ext uri="{FF2B5EF4-FFF2-40B4-BE49-F238E27FC236}">
              <a16:creationId xmlns:a16="http://schemas.microsoft.com/office/drawing/2014/main" id="{C58457BE-1D5F-457B-8824-DD95BF328082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304800" cy="304800"/>
    <xdr:sp macro="" textlink="">
      <xdr:nvSpPr>
        <xdr:cNvPr id="722" name="AutoShape 243">
          <a:extLst>
            <a:ext uri="{FF2B5EF4-FFF2-40B4-BE49-F238E27FC236}">
              <a16:creationId xmlns:a16="http://schemas.microsoft.com/office/drawing/2014/main" id="{A61C71F0-8E22-425E-A3F3-B7EF6B3B0B5F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9525" cy="9525"/>
    <xdr:pic>
      <xdr:nvPicPr>
        <xdr:cNvPr id="723" name="Picture 722">
          <a:extLst>
            <a:ext uri="{FF2B5EF4-FFF2-40B4-BE49-F238E27FC236}">
              <a16:creationId xmlns:a16="http://schemas.microsoft.com/office/drawing/2014/main" id="{75ED2B5C-44C5-40F9-A367-112C0AA7A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304800" cy="304800"/>
    <xdr:sp macro="" textlink="">
      <xdr:nvSpPr>
        <xdr:cNvPr id="724" name="AutoShape 267">
          <a:extLst>
            <a:ext uri="{FF2B5EF4-FFF2-40B4-BE49-F238E27FC236}">
              <a16:creationId xmlns:a16="http://schemas.microsoft.com/office/drawing/2014/main" id="{FAA53765-0340-4762-A46F-758A2ECE4912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304800" cy="304800"/>
    <xdr:sp macro="" textlink="">
      <xdr:nvSpPr>
        <xdr:cNvPr id="725" name="AutoShape 269">
          <a:extLst>
            <a:ext uri="{FF2B5EF4-FFF2-40B4-BE49-F238E27FC236}">
              <a16:creationId xmlns:a16="http://schemas.microsoft.com/office/drawing/2014/main" id="{AEC74CF2-F0C5-4BED-A53D-035FE6D12C39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9525" cy="9525"/>
    <xdr:pic>
      <xdr:nvPicPr>
        <xdr:cNvPr id="726" name="Picture 725">
          <a:extLst>
            <a:ext uri="{FF2B5EF4-FFF2-40B4-BE49-F238E27FC236}">
              <a16:creationId xmlns:a16="http://schemas.microsoft.com/office/drawing/2014/main" id="{3FD103C4-A994-41E4-B8BD-49CCE9A3D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304800" cy="304800"/>
    <xdr:sp macro="" textlink="">
      <xdr:nvSpPr>
        <xdr:cNvPr id="727" name="AutoShape 319">
          <a:extLst>
            <a:ext uri="{FF2B5EF4-FFF2-40B4-BE49-F238E27FC236}">
              <a16:creationId xmlns:a16="http://schemas.microsoft.com/office/drawing/2014/main" id="{F0A9150D-945A-49DD-89A0-C5FB7C2FDBFE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9525" cy="9525"/>
    <xdr:pic>
      <xdr:nvPicPr>
        <xdr:cNvPr id="729" name="Picture 728">
          <a:extLst>
            <a:ext uri="{FF2B5EF4-FFF2-40B4-BE49-F238E27FC236}">
              <a16:creationId xmlns:a16="http://schemas.microsoft.com/office/drawing/2014/main" id="{E8B099B2-AA32-43C9-80C4-E74EA31CC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10</xdr:row>
      <xdr:rowOff>0</xdr:rowOff>
    </xdr:from>
    <xdr:ext cx="9525" cy="9525"/>
    <xdr:pic>
      <xdr:nvPicPr>
        <xdr:cNvPr id="732" name="Picture 731">
          <a:extLst>
            <a:ext uri="{FF2B5EF4-FFF2-40B4-BE49-F238E27FC236}">
              <a16:creationId xmlns:a16="http://schemas.microsoft.com/office/drawing/2014/main" id="{2E4242D4-7377-4F5E-8359-DA3EC64E0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10</xdr:row>
      <xdr:rowOff>0</xdr:rowOff>
    </xdr:from>
    <xdr:ext cx="9525" cy="9525"/>
    <xdr:pic>
      <xdr:nvPicPr>
        <xdr:cNvPr id="735" name="Picture 734">
          <a:extLst>
            <a:ext uri="{FF2B5EF4-FFF2-40B4-BE49-F238E27FC236}">
              <a16:creationId xmlns:a16="http://schemas.microsoft.com/office/drawing/2014/main" id="{E08A81B4-9CB1-4AFC-B68B-C173223EA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10</xdr:row>
      <xdr:rowOff>0</xdr:rowOff>
    </xdr:from>
    <xdr:ext cx="9525" cy="9525"/>
    <xdr:pic>
      <xdr:nvPicPr>
        <xdr:cNvPr id="738" name="Picture 737">
          <a:extLst>
            <a:ext uri="{FF2B5EF4-FFF2-40B4-BE49-F238E27FC236}">
              <a16:creationId xmlns:a16="http://schemas.microsoft.com/office/drawing/2014/main" id="{B03A92F1-B163-40DC-9968-973E27008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9525" cy="9525"/>
    <xdr:pic>
      <xdr:nvPicPr>
        <xdr:cNvPr id="742" name="Picture 741">
          <a:extLst>
            <a:ext uri="{FF2B5EF4-FFF2-40B4-BE49-F238E27FC236}">
              <a16:creationId xmlns:a16="http://schemas.microsoft.com/office/drawing/2014/main" id="{63E6BD46-A338-40B7-B291-0DBF4818B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9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11</xdr:row>
      <xdr:rowOff>0</xdr:rowOff>
    </xdr:from>
    <xdr:ext cx="9525" cy="9525"/>
    <xdr:pic>
      <xdr:nvPicPr>
        <xdr:cNvPr id="743" name="Picture 742">
          <a:extLst>
            <a:ext uri="{FF2B5EF4-FFF2-40B4-BE49-F238E27FC236}">
              <a16:creationId xmlns:a16="http://schemas.microsoft.com/office/drawing/2014/main" id="{C93953B8-D88F-413B-B163-02B40E67E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2979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9525" cy="9525"/>
    <xdr:pic>
      <xdr:nvPicPr>
        <xdr:cNvPr id="744" name="Picture 743">
          <a:extLst>
            <a:ext uri="{FF2B5EF4-FFF2-40B4-BE49-F238E27FC236}">
              <a16:creationId xmlns:a16="http://schemas.microsoft.com/office/drawing/2014/main" id="{B16FEE4D-5A59-4CC8-81D3-EBCA31E73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9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9525" cy="9525"/>
    <xdr:pic>
      <xdr:nvPicPr>
        <xdr:cNvPr id="745" name="Picture 744">
          <a:extLst>
            <a:ext uri="{FF2B5EF4-FFF2-40B4-BE49-F238E27FC236}">
              <a16:creationId xmlns:a16="http://schemas.microsoft.com/office/drawing/2014/main" id="{01C98426-423C-4082-AE7F-E258A679E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767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9525" cy="9525"/>
    <xdr:pic>
      <xdr:nvPicPr>
        <xdr:cNvPr id="746" name="Picture 745">
          <a:extLst>
            <a:ext uri="{FF2B5EF4-FFF2-40B4-BE49-F238E27FC236}">
              <a16:creationId xmlns:a16="http://schemas.microsoft.com/office/drawing/2014/main" id="{D4233AB2-65FD-4B0A-B5AC-E974FF4F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767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0</xdr:rowOff>
    </xdr:from>
    <xdr:ext cx="9525" cy="9525"/>
    <xdr:pic>
      <xdr:nvPicPr>
        <xdr:cNvPr id="747" name="Picture 746">
          <a:extLst>
            <a:ext uri="{FF2B5EF4-FFF2-40B4-BE49-F238E27FC236}">
              <a16:creationId xmlns:a16="http://schemas.microsoft.com/office/drawing/2014/main" id="{DEF080CF-A1AB-4148-94D3-CA94D8173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22</xdr:row>
      <xdr:rowOff>0</xdr:rowOff>
    </xdr:from>
    <xdr:ext cx="9525" cy="9525"/>
    <xdr:pic>
      <xdr:nvPicPr>
        <xdr:cNvPr id="748" name="Picture 747">
          <a:extLst>
            <a:ext uri="{FF2B5EF4-FFF2-40B4-BE49-F238E27FC236}">
              <a16:creationId xmlns:a16="http://schemas.microsoft.com/office/drawing/2014/main" id="{E0F4E797-CD0C-41DF-AB72-1A46548ED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22</xdr:row>
      <xdr:rowOff>0</xdr:rowOff>
    </xdr:from>
    <xdr:ext cx="9525" cy="9525"/>
    <xdr:pic>
      <xdr:nvPicPr>
        <xdr:cNvPr id="749" name="Picture 748">
          <a:extLst>
            <a:ext uri="{FF2B5EF4-FFF2-40B4-BE49-F238E27FC236}">
              <a16:creationId xmlns:a16="http://schemas.microsoft.com/office/drawing/2014/main" id="{A0098A71-1A90-4570-A5BA-8B4E8DA02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22</xdr:row>
      <xdr:rowOff>0</xdr:rowOff>
    </xdr:from>
    <xdr:ext cx="9525" cy="9525"/>
    <xdr:pic>
      <xdr:nvPicPr>
        <xdr:cNvPr id="750" name="Picture 749">
          <a:extLst>
            <a:ext uri="{FF2B5EF4-FFF2-40B4-BE49-F238E27FC236}">
              <a16:creationId xmlns:a16="http://schemas.microsoft.com/office/drawing/2014/main" id="{5313D221-649A-4FC7-84CD-5BD855AD6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22</xdr:row>
      <xdr:rowOff>0</xdr:rowOff>
    </xdr:from>
    <xdr:ext cx="9525" cy="9525"/>
    <xdr:pic>
      <xdr:nvPicPr>
        <xdr:cNvPr id="751" name="Picture 750">
          <a:extLst>
            <a:ext uri="{FF2B5EF4-FFF2-40B4-BE49-F238E27FC236}">
              <a16:creationId xmlns:a16="http://schemas.microsoft.com/office/drawing/2014/main" id="{ABC7892B-47F5-460E-B5D2-ADE614CD2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22</xdr:row>
      <xdr:rowOff>0</xdr:rowOff>
    </xdr:from>
    <xdr:ext cx="9525" cy="9525"/>
    <xdr:pic>
      <xdr:nvPicPr>
        <xdr:cNvPr id="752" name="Picture 751">
          <a:extLst>
            <a:ext uri="{FF2B5EF4-FFF2-40B4-BE49-F238E27FC236}">
              <a16:creationId xmlns:a16="http://schemas.microsoft.com/office/drawing/2014/main" id="{9CA93745-2D27-4BE6-844D-59B4CE29F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0</xdr:rowOff>
    </xdr:from>
    <xdr:ext cx="9525" cy="9525"/>
    <xdr:pic>
      <xdr:nvPicPr>
        <xdr:cNvPr id="753" name="Picture 752">
          <a:extLst>
            <a:ext uri="{FF2B5EF4-FFF2-40B4-BE49-F238E27FC236}">
              <a16:creationId xmlns:a16="http://schemas.microsoft.com/office/drawing/2014/main" id="{690A3B41-EBAF-4BFB-930F-A1616F019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22</xdr:row>
      <xdr:rowOff>0</xdr:rowOff>
    </xdr:from>
    <xdr:ext cx="9525" cy="9525"/>
    <xdr:pic>
      <xdr:nvPicPr>
        <xdr:cNvPr id="754" name="Picture 753">
          <a:extLst>
            <a:ext uri="{FF2B5EF4-FFF2-40B4-BE49-F238E27FC236}">
              <a16:creationId xmlns:a16="http://schemas.microsoft.com/office/drawing/2014/main" id="{1EB8F588-0543-4906-ADE1-8BE2BD778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22</xdr:row>
      <xdr:rowOff>0</xdr:rowOff>
    </xdr:from>
    <xdr:ext cx="9525" cy="9525"/>
    <xdr:pic>
      <xdr:nvPicPr>
        <xdr:cNvPr id="755" name="Picture 754">
          <a:extLst>
            <a:ext uri="{FF2B5EF4-FFF2-40B4-BE49-F238E27FC236}">
              <a16:creationId xmlns:a16="http://schemas.microsoft.com/office/drawing/2014/main" id="{0B7C3D7C-864F-4120-8BD8-F5192EB72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22</xdr:row>
      <xdr:rowOff>0</xdr:rowOff>
    </xdr:from>
    <xdr:ext cx="9525" cy="9525"/>
    <xdr:pic>
      <xdr:nvPicPr>
        <xdr:cNvPr id="756" name="Picture 755">
          <a:extLst>
            <a:ext uri="{FF2B5EF4-FFF2-40B4-BE49-F238E27FC236}">
              <a16:creationId xmlns:a16="http://schemas.microsoft.com/office/drawing/2014/main" id="{02BDBCCF-A0E1-4A78-8ABF-6D006B756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22</xdr:row>
      <xdr:rowOff>0</xdr:rowOff>
    </xdr:from>
    <xdr:ext cx="9525" cy="9525"/>
    <xdr:pic>
      <xdr:nvPicPr>
        <xdr:cNvPr id="757" name="Picture 756">
          <a:extLst>
            <a:ext uri="{FF2B5EF4-FFF2-40B4-BE49-F238E27FC236}">
              <a16:creationId xmlns:a16="http://schemas.microsoft.com/office/drawing/2014/main" id="{F89458F4-B699-4FFA-8BE9-65DFE2424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22</xdr:row>
      <xdr:rowOff>0</xdr:rowOff>
    </xdr:from>
    <xdr:ext cx="9525" cy="9525"/>
    <xdr:pic>
      <xdr:nvPicPr>
        <xdr:cNvPr id="758" name="Picture 757">
          <a:extLst>
            <a:ext uri="{FF2B5EF4-FFF2-40B4-BE49-F238E27FC236}">
              <a16:creationId xmlns:a16="http://schemas.microsoft.com/office/drawing/2014/main" id="{A8865036-9921-41F7-8119-91F5BA5DE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22</xdr:row>
      <xdr:rowOff>0</xdr:rowOff>
    </xdr:from>
    <xdr:ext cx="9525" cy="9525"/>
    <xdr:pic>
      <xdr:nvPicPr>
        <xdr:cNvPr id="759" name="Picture 758">
          <a:extLst>
            <a:ext uri="{FF2B5EF4-FFF2-40B4-BE49-F238E27FC236}">
              <a16:creationId xmlns:a16="http://schemas.microsoft.com/office/drawing/2014/main" id="{42DBCBCB-F7E9-4E4E-BAA1-5B26D1662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22</xdr:row>
      <xdr:rowOff>0</xdr:rowOff>
    </xdr:from>
    <xdr:ext cx="9525" cy="9525"/>
    <xdr:pic>
      <xdr:nvPicPr>
        <xdr:cNvPr id="760" name="Picture 759">
          <a:extLst>
            <a:ext uri="{FF2B5EF4-FFF2-40B4-BE49-F238E27FC236}">
              <a16:creationId xmlns:a16="http://schemas.microsoft.com/office/drawing/2014/main" id="{80D2FB50-23B3-4844-BF87-148D108F4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22</xdr:row>
      <xdr:rowOff>0</xdr:rowOff>
    </xdr:from>
    <xdr:ext cx="9525" cy="9525"/>
    <xdr:pic>
      <xdr:nvPicPr>
        <xdr:cNvPr id="761" name="Picture 760">
          <a:extLst>
            <a:ext uri="{FF2B5EF4-FFF2-40B4-BE49-F238E27FC236}">
              <a16:creationId xmlns:a16="http://schemas.microsoft.com/office/drawing/2014/main" id="{910BB623-7782-4ED8-A409-2F60A9D47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22</xdr:row>
      <xdr:rowOff>0</xdr:rowOff>
    </xdr:from>
    <xdr:ext cx="9525" cy="9525"/>
    <xdr:pic>
      <xdr:nvPicPr>
        <xdr:cNvPr id="762" name="Picture 761">
          <a:extLst>
            <a:ext uri="{FF2B5EF4-FFF2-40B4-BE49-F238E27FC236}">
              <a16:creationId xmlns:a16="http://schemas.microsoft.com/office/drawing/2014/main" id="{BCC952F3-5535-4757-9C94-3EF075486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21</xdr:row>
      <xdr:rowOff>0</xdr:rowOff>
    </xdr:from>
    <xdr:ext cx="304800" cy="303439"/>
    <xdr:sp macro="" textlink="">
      <xdr:nvSpPr>
        <xdr:cNvPr id="763" name="AutoShape 513">
          <a:extLst>
            <a:ext uri="{FF2B5EF4-FFF2-40B4-BE49-F238E27FC236}">
              <a16:creationId xmlns:a16="http://schemas.microsoft.com/office/drawing/2014/main" id="{A09E27AE-E570-42B0-9186-1BCF35726EF4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26596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22</xdr:row>
      <xdr:rowOff>0</xdr:rowOff>
    </xdr:from>
    <xdr:ext cx="304800" cy="304800"/>
    <xdr:sp macro="" textlink="">
      <xdr:nvSpPr>
        <xdr:cNvPr id="764" name="AutoShape 515">
          <a:extLst>
            <a:ext uri="{FF2B5EF4-FFF2-40B4-BE49-F238E27FC236}">
              <a16:creationId xmlns:a16="http://schemas.microsoft.com/office/drawing/2014/main" id="{3E0E912D-5132-4FC7-A5AF-D9784224413D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9525" cy="9525"/>
    <xdr:pic>
      <xdr:nvPicPr>
        <xdr:cNvPr id="765" name="Picture 764">
          <a:extLst>
            <a:ext uri="{FF2B5EF4-FFF2-40B4-BE49-F238E27FC236}">
              <a16:creationId xmlns:a16="http://schemas.microsoft.com/office/drawing/2014/main" id="{9A89E4A8-DDE3-427B-A6E0-AB1E152D7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23</xdr:row>
      <xdr:rowOff>0</xdr:rowOff>
    </xdr:from>
    <xdr:ext cx="9525" cy="9525"/>
    <xdr:pic>
      <xdr:nvPicPr>
        <xdr:cNvPr id="766" name="Picture 765">
          <a:extLst>
            <a:ext uri="{FF2B5EF4-FFF2-40B4-BE49-F238E27FC236}">
              <a16:creationId xmlns:a16="http://schemas.microsoft.com/office/drawing/2014/main" id="{7D73A05F-5936-422C-97BA-606CB105D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23</xdr:row>
      <xdr:rowOff>0</xdr:rowOff>
    </xdr:from>
    <xdr:ext cx="304800" cy="304800"/>
    <xdr:sp macro="" textlink="">
      <xdr:nvSpPr>
        <xdr:cNvPr id="767" name="AutoShape 38">
          <a:extLst>
            <a:ext uri="{FF2B5EF4-FFF2-40B4-BE49-F238E27FC236}">
              <a16:creationId xmlns:a16="http://schemas.microsoft.com/office/drawing/2014/main" id="{3065D30D-4E93-4EC6-B478-3BBD3CDCEFCD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</xdr:row>
      <xdr:rowOff>0</xdr:rowOff>
    </xdr:from>
    <xdr:ext cx="9525" cy="9525"/>
    <xdr:pic>
      <xdr:nvPicPr>
        <xdr:cNvPr id="768" name="Picture 767">
          <a:extLst>
            <a:ext uri="{FF2B5EF4-FFF2-40B4-BE49-F238E27FC236}">
              <a16:creationId xmlns:a16="http://schemas.microsoft.com/office/drawing/2014/main" id="{29D16CEC-E404-4559-B2D7-5329EEBF4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23</xdr:row>
      <xdr:rowOff>0</xdr:rowOff>
    </xdr:from>
    <xdr:ext cx="304800" cy="304800"/>
    <xdr:sp macro="" textlink="">
      <xdr:nvSpPr>
        <xdr:cNvPr id="769" name="AutoShape 61">
          <a:extLst>
            <a:ext uri="{FF2B5EF4-FFF2-40B4-BE49-F238E27FC236}">
              <a16:creationId xmlns:a16="http://schemas.microsoft.com/office/drawing/2014/main" id="{67F03254-6533-4357-A402-0C6FD92D1A29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</xdr:row>
      <xdr:rowOff>0</xdr:rowOff>
    </xdr:from>
    <xdr:ext cx="9525" cy="9525"/>
    <xdr:pic>
      <xdr:nvPicPr>
        <xdr:cNvPr id="770" name="Picture 769">
          <a:extLst>
            <a:ext uri="{FF2B5EF4-FFF2-40B4-BE49-F238E27FC236}">
              <a16:creationId xmlns:a16="http://schemas.microsoft.com/office/drawing/2014/main" id="{30AFB693-AE86-43C6-94B8-06CB85D84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23</xdr:row>
      <xdr:rowOff>0</xdr:rowOff>
    </xdr:from>
    <xdr:ext cx="304800" cy="304800"/>
    <xdr:sp macro="" textlink="">
      <xdr:nvSpPr>
        <xdr:cNvPr id="771" name="AutoShape 111">
          <a:extLst>
            <a:ext uri="{FF2B5EF4-FFF2-40B4-BE49-F238E27FC236}">
              <a16:creationId xmlns:a16="http://schemas.microsoft.com/office/drawing/2014/main" id="{D6A8ED90-A0BF-4BDB-B98B-4B70D65C33C8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</xdr:row>
      <xdr:rowOff>0</xdr:rowOff>
    </xdr:from>
    <xdr:ext cx="9525" cy="9525"/>
    <xdr:pic>
      <xdr:nvPicPr>
        <xdr:cNvPr id="772" name="Picture 771">
          <a:extLst>
            <a:ext uri="{FF2B5EF4-FFF2-40B4-BE49-F238E27FC236}">
              <a16:creationId xmlns:a16="http://schemas.microsoft.com/office/drawing/2014/main" id="{32DC5192-CAB0-4D39-A21F-9242A63EE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23</xdr:row>
      <xdr:rowOff>0</xdr:rowOff>
    </xdr:from>
    <xdr:ext cx="304800" cy="304800"/>
    <xdr:sp macro="" textlink="">
      <xdr:nvSpPr>
        <xdr:cNvPr id="773" name="AutoShape 136">
          <a:extLst>
            <a:ext uri="{FF2B5EF4-FFF2-40B4-BE49-F238E27FC236}">
              <a16:creationId xmlns:a16="http://schemas.microsoft.com/office/drawing/2014/main" id="{24563ADA-123D-4CF2-903D-1CC71D0820DE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9525" cy="9525"/>
    <xdr:pic>
      <xdr:nvPicPr>
        <xdr:cNvPr id="774" name="Picture 773">
          <a:extLst>
            <a:ext uri="{FF2B5EF4-FFF2-40B4-BE49-F238E27FC236}">
              <a16:creationId xmlns:a16="http://schemas.microsoft.com/office/drawing/2014/main" id="{18A95A1A-4DC5-4491-9D26-AB1433DFE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0</xdr:rowOff>
    </xdr:from>
    <xdr:ext cx="9525" cy="9525"/>
    <xdr:pic>
      <xdr:nvPicPr>
        <xdr:cNvPr id="775" name="Picture 774">
          <a:extLst>
            <a:ext uri="{FF2B5EF4-FFF2-40B4-BE49-F238E27FC236}">
              <a16:creationId xmlns:a16="http://schemas.microsoft.com/office/drawing/2014/main" id="{CC746829-9925-4EAC-AECB-74F4A83AD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9525" cy="9525"/>
    <xdr:pic>
      <xdr:nvPicPr>
        <xdr:cNvPr id="776" name="Picture 775">
          <a:extLst>
            <a:ext uri="{FF2B5EF4-FFF2-40B4-BE49-F238E27FC236}">
              <a16:creationId xmlns:a16="http://schemas.microsoft.com/office/drawing/2014/main" id="{9849A40D-93E3-4F54-91DB-AE9E6B978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777" name="AutoShape 191">
          <a:extLst>
            <a:ext uri="{FF2B5EF4-FFF2-40B4-BE49-F238E27FC236}">
              <a16:creationId xmlns:a16="http://schemas.microsoft.com/office/drawing/2014/main" id="{5403D7BF-FBCB-4DB4-81ED-350044FE463E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9525" cy="9525"/>
    <xdr:pic>
      <xdr:nvPicPr>
        <xdr:cNvPr id="778" name="Picture 777">
          <a:extLst>
            <a:ext uri="{FF2B5EF4-FFF2-40B4-BE49-F238E27FC236}">
              <a16:creationId xmlns:a16="http://schemas.microsoft.com/office/drawing/2014/main" id="{A9DAAE6C-78E9-470E-9CBC-6982EA73C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779" name="AutoShape 217">
          <a:extLst>
            <a:ext uri="{FF2B5EF4-FFF2-40B4-BE49-F238E27FC236}">
              <a16:creationId xmlns:a16="http://schemas.microsoft.com/office/drawing/2014/main" id="{F584D8FC-C547-4618-AFAD-1EF209A70B70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9525" cy="9525"/>
    <xdr:pic>
      <xdr:nvPicPr>
        <xdr:cNvPr id="780" name="Picture 779">
          <a:extLst>
            <a:ext uri="{FF2B5EF4-FFF2-40B4-BE49-F238E27FC236}">
              <a16:creationId xmlns:a16="http://schemas.microsoft.com/office/drawing/2014/main" id="{61D3A97E-D5D1-424D-8F91-3325CFAC8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781" name="AutoShape 241">
          <a:extLst>
            <a:ext uri="{FF2B5EF4-FFF2-40B4-BE49-F238E27FC236}">
              <a16:creationId xmlns:a16="http://schemas.microsoft.com/office/drawing/2014/main" id="{CCD6BC95-ED5D-4174-8E3B-91BA4C3CBD58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9525" cy="9525"/>
    <xdr:pic>
      <xdr:nvPicPr>
        <xdr:cNvPr id="782" name="Picture 781">
          <a:extLst>
            <a:ext uri="{FF2B5EF4-FFF2-40B4-BE49-F238E27FC236}">
              <a16:creationId xmlns:a16="http://schemas.microsoft.com/office/drawing/2014/main" id="{4F2E0AD8-B9D8-4484-A9DC-A6366E7D1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783" name="AutoShape 267">
          <a:extLst>
            <a:ext uri="{FF2B5EF4-FFF2-40B4-BE49-F238E27FC236}">
              <a16:creationId xmlns:a16="http://schemas.microsoft.com/office/drawing/2014/main" id="{BDFDA9A7-FB75-4397-8F8F-B7ECB7B27C67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9525" cy="9525"/>
    <xdr:pic>
      <xdr:nvPicPr>
        <xdr:cNvPr id="784" name="Picture 783">
          <a:extLst>
            <a:ext uri="{FF2B5EF4-FFF2-40B4-BE49-F238E27FC236}">
              <a16:creationId xmlns:a16="http://schemas.microsoft.com/office/drawing/2014/main" id="{46458A02-A9F0-4485-8458-6E96EB562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785" name="AutoShape 319">
          <a:extLst>
            <a:ext uri="{FF2B5EF4-FFF2-40B4-BE49-F238E27FC236}">
              <a16:creationId xmlns:a16="http://schemas.microsoft.com/office/drawing/2014/main" id="{3026A67F-5329-4E02-A89E-95F6F1E45A49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9525" cy="9525"/>
    <xdr:pic>
      <xdr:nvPicPr>
        <xdr:cNvPr id="786" name="Picture 785">
          <a:extLst>
            <a:ext uri="{FF2B5EF4-FFF2-40B4-BE49-F238E27FC236}">
              <a16:creationId xmlns:a16="http://schemas.microsoft.com/office/drawing/2014/main" id="{9B565151-B163-4731-8BBB-44078E2AC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787" name="AutoShape 371">
          <a:extLst>
            <a:ext uri="{FF2B5EF4-FFF2-40B4-BE49-F238E27FC236}">
              <a16:creationId xmlns:a16="http://schemas.microsoft.com/office/drawing/2014/main" id="{B2D357A6-88B5-4E7F-8522-664CA09574B2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9525" cy="9525"/>
    <xdr:pic>
      <xdr:nvPicPr>
        <xdr:cNvPr id="788" name="Picture 787">
          <a:extLst>
            <a:ext uri="{FF2B5EF4-FFF2-40B4-BE49-F238E27FC236}">
              <a16:creationId xmlns:a16="http://schemas.microsoft.com/office/drawing/2014/main" id="{0812ED47-D9C4-458F-AE18-37E3741D9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789" name="AutoShape 427">
          <a:extLst>
            <a:ext uri="{FF2B5EF4-FFF2-40B4-BE49-F238E27FC236}">
              <a16:creationId xmlns:a16="http://schemas.microsoft.com/office/drawing/2014/main" id="{0DB7D70C-BCE6-4CC9-9C3B-2EC9A4545202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9525" cy="9525"/>
    <xdr:pic>
      <xdr:nvPicPr>
        <xdr:cNvPr id="790" name="Picture 789">
          <a:extLst>
            <a:ext uri="{FF2B5EF4-FFF2-40B4-BE49-F238E27FC236}">
              <a16:creationId xmlns:a16="http://schemas.microsoft.com/office/drawing/2014/main" id="{5C0DF412-D9A8-43A9-A39D-B06E91B09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791" name="AutoShape 483">
          <a:extLst>
            <a:ext uri="{FF2B5EF4-FFF2-40B4-BE49-F238E27FC236}">
              <a16:creationId xmlns:a16="http://schemas.microsoft.com/office/drawing/2014/main" id="{74D5548D-E1F2-44D4-9657-C775538A03EB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9525" cy="9525"/>
    <xdr:pic>
      <xdr:nvPicPr>
        <xdr:cNvPr id="792" name="Picture 791">
          <a:extLst>
            <a:ext uri="{FF2B5EF4-FFF2-40B4-BE49-F238E27FC236}">
              <a16:creationId xmlns:a16="http://schemas.microsoft.com/office/drawing/2014/main" id="{A0C0E215-B08C-4DB8-94D0-2F73BD99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22</xdr:row>
      <xdr:rowOff>0</xdr:rowOff>
    </xdr:from>
    <xdr:ext cx="304800" cy="304800"/>
    <xdr:sp macro="" textlink="">
      <xdr:nvSpPr>
        <xdr:cNvPr id="793" name="AutoShape 515">
          <a:extLst>
            <a:ext uri="{FF2B5EF4-FFF2-40B4-BE49-F238E27FC236}">
              <a16:creationId xmlns:a16="http://schemas.microsoft.com/office/drawing/2014/main" id="{73B0A443-E018-470D-989B-617722DB61EB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794" name="AutoShape 517">
          <a:extLst>
            <a:ext uri="{FF2B5EF4-FFF2-40B4-BE49-F238E27FC236}">
              <a16:creationId xmlns:a16="http://schemas.microsoft.com/office/drawing/2014/main" id="{BA498970-64E8-4EBA-B245-FC693A7148A2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796" name="Picture 795">
          <a:extLst>
            <a:ext uri="{FF2B5EF4-FFF2-40B4-BE49-F238E27FC236}">
              <a16:creationId xmlns:a16="http://schemas.microsoft.com/office/drawing/2014/main" id="{B44BC6A9-8A43-483A-B9D4-9C70F90C9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23</xdr:row>
      <xdr:rowOff>0</xdr:rowOff>
    </xdr:from>
    <xdr:ext cx="304800" cy="304800"/>
    <xdr:sp macro="" textlink="">
      <xdr:nvSpPr>
        <xdr:cNvPr id="797" name="AutoShape 44">
          <a:extLst>
            <a:ext uri="{FF2B5EF4-FFF2-40B4-BE49-F238E27FC236}">
              <a16:creationId xmlns:a16="http://schemas.microsoft.com/office/drawing/2014/main" id="{5D14BE80-76C6-425C-8245-816272FC9FCF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23</xdr:row>
      <xdr:rowOff>0</xdr:rowOff>
    </xdr:from>
    <xdr:ext cx="304800" cy="304800"/>
    <xdr:sp macro="" textlink="">
      <xdr:nvSpPr>
        <xdr:cNvPr id="798" name="AutoShape 67">
          <a:extLst>
            <a:ext uri="{FF2B5EF4-FFF2-40B4-BE49-F238E27FC236}">
              <a16:creationId xmlns:a16="http://schemas.microsoft.com/office/drawing/2014/main" id="{AE9CA763-0438-44A6-A730-8F4A80270FBF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24</xdr:row>
      <xdr:rowOff>0</xdr:rowOff>
    </xdr:from>
    <xdr:ext cx="304800" cy="303440"/>
    <xdr:sp macro="" textlink="">
      <xdr:nvSpPr>
        <xdr:cNvPr id="799" name="AutoShape 69">
          <a:extLst>
            <a:ext uri="{FF2B5EF4-FFF2-40B4-BE49-F238E27FC236}">
              <a16:creationId xmlns:a16="http://schemas.microsoft.com/office/drawing/2014/main" id="{3B331E51-D5E5-42E2-A9C7-1146DFF663D4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24</xdr:row>
      <xdr:rowOff>0</xdr:rowOff>
    </xdr:from>
    <xdr:ext cx="9525" cy="9525"/>
    <xdr:pic>
      <xdr:nvPicPr>
        <xdr:cNvPr id="800" name="Picture 799">
          <a:extLst>
            <a:ext uri="{FF2B5EF4-FFF2-40B4-BE49-F238E27FC236}">
              <a16:creationId xmlns:a16="http://schemas.microsoft.com/office/drawing/2014/main" id="{5EECD914-1A7A-4A50-A359-A7F548CF5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23</xdr:row>
      <xdr:rowOff>0</xdr:rowOff>
    </xdr:from>
    <xdr:ext cx="304800" cy="304800"/>
    <xdr:sp macro="" textlink="">
      <xdr:nvSpPr>
        <xdr:cNvPr id="801" name="AutoShape 117">
          <a:extLst>
            <a:ext uri="{FF2B5EF4-FFF2-40B4-BE49-F238E27FC236}">
              <a16:creationId xmlns:a16="http://schemas.microsoft.com/office/drawing/2014/main" id="{830DC57B-88A8-42F1-8BF3-6BE516B89350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24</xdr:row>
      <xdr:rowOff>0</xdr:rowOff>
    </xdr:from>
    <xdr:ext cx="304800" cy="303440"/>
    <xdr:sp macro="" textlink="">
      <xdr:nvSpPr>
        <xdr:cNvPr id="802" name="AutoShape 119">
          <a:extLst>
            <a:ext uri="{FF2B5EF4-FFF2-40B4-BE49-F238E27FC236}">
              <a16:creationId xmlns:a16="http://schemas.microsoft.com/office/drawing/2014/main" id="{77D01CAC-67EA-4F7D-8E57-AB5F10E180BE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24</xdr:row>
      <xdr:rowOff>0</xdr:rowOff>
    </xdr:from>
    <xdr:ext cx="9525" cy="9525"/>
    <xdr:pic>
      <xdr:nvPicPr>
        <xdr:cNvPr id="803" name="Picture 802">
          <a:extLst>
            <a:ext uri="{FF2B5EF4-FFF2-40B4-BE49-F238E27FC236}">
              <a16:creationId xmlns:a16="http://schemas.microsoft.com/office/drawing/2014/main" id="{9C8CCE7B-4EE2-498A-840B-08BB32EED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23</xdr:row>
      <xdr:rowOff>0</xdr:rowOff>
    </xdr:from>
    <xdr:ext cx="304800" cy="304800"/>
    <xdr:sp macro="" textlink="">
      <xdr:nvSpPr>
        <xdr:cNvPr id="804" name="AutoShape 142">
          <a:extLst>
            <a:ext uri="{FF2B5EF4-FFF2-40B4-BE49-F238E27FC236}">
              <a16:creationId xmlns:a16="http://schemas.microsoft.com/office/drawing/2014/main" id="{2CFD476B-C5CB-4772-A436-66ECB49CD745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24</xdr:row>
      <xdr:rowOff>0</xdr:rowOff>
    </xdr:from>
    <xdr:ext cx="304800" cy="303440"/>
    <xdr:sp macro="" textlink="">
      <xdr:nvSpPr>
        <xdr:cNvPr id="805" name="AutoShape 144">
          <a:extLst>
            <a:ext uri="{FF2B5EF4-FFF2-40B4-BE49-F238E27FC236}">
              <a16:creationId xmlns:a16="http://schemas.microsoft.com/office/drawing/2014/main" id="{20648A98-D097-44CD-ADE8-C701429C76BA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9525" cy="9525"/>
    <xdr:pic>
      <xdr:nvPicPr>
        <xdr:cNvPr id="806" name="Picture 805">
          <a:extLst>
            <a:ext uri="{FF2B5EF4-FFF2-40B4-BE49-F238E27FC236}">
              <a16:creationId xmlns:a16="http://schemas.microsoft.com/office/drawing/2014/main" id="{3DBABA36-3F48-4D9F-AA0F-70D3F34E0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24</xdr:row>
      <xdr:rowOff>0</xdr:rowOff>
    </xdr:from>
    <xdr:ext cx="304800" cy="303440"/>
    <xdr:sp macro="" textlink="">
      <xdr:nvSpPr>
        <xdr:cNvPr id="807" name="AutoShape 169">
          <a:extLst>
            <a:ext uri="{FF2B5EF4-FFF2-40B4-BE49-F238E27FC236}">
              <a16:creationId xmlns:a16="http://schemas.microsoft.com/office/drawing/2014/main" id="{809963A5-2946-4A39-88B1-FB64BA02A16E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808" name="Picture 807">
          <a:extLst>
            <a:ext uri="{FF2B5EF4-FFF2-40B4-BE49-F238E27FC236}">
              <a16:creationId xmlns:a16="http://schemas.microsoft.com/office/drawing/2014/main" id="{1C7C5481-7D90-414B-92F2-6C1537070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24</xdr:row>
      <xdr:rowOff>0</xdr:rowOff>
    </xdr:from>
    <xdr:ext cx="9525" cy="9525"/>
    <xdr:pic>
      <xdr:nvPicPr>
        <xdr:cNvPr id="809" name="Picture 808">
          <a:extLst>
            <a:ext uri="{FF2B5EF4-FFF2-40B4-BE49-F238E27FC236}">
              <a16:creationId xmlns:a16="http://schemas.microsoft.com/office/drawing/2014/main" id="{B0841586-364B-4F57-AC23-C83C2279E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24</xdr:row>
      <xdr:rowOff>0</xdr:rowOff>
    </xdr:from>
    <xdr:ext cx="304800" cy="303440"/>
    <xdr:sp macro="" textlink="">
      <xdr:nvSpPr>
        <xdr:cNvPr id="810" name="AutoShape 199">
          <a:extLst>
            <a:ext uri="{FF2B5EF4-FFF2-40B4-BE49-F238E27FC236}">
              <a16:creationId xmlns:a16="http://schemas.microsoft.com/office/drawing/2014/main" id="{DBECBB32-F842-4320-AC84-EE884E48FEEB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9525" cy="9525"/>
    <xdr:pic>
      <xdr:nvPicPr>
        <xdr:cNvPr id="811" name="Picture 810">
          <a:extLst>
            <a:ext uri="{FF2B5EF4-FFF2-40B4-BE49-F238E27FC236}">
              <a16:creationId xmlns:a16="http://schemas.microsoft.com/office/drawing/2014/main" id="{4650EC30-F343-4376-A223-BD3624AA2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812" name="AutoShape 223">
          <a:extLst>
            <a:ext uri="{FF2B5EF4-FFF2-40B4-BE49-F238E27FC236}">
              <a16:creationId xmlns:a16="http://schemas.microsoft.com/office/drawing/2014/main" id="{81019122-4542-4A1E-86AE-CA68A71906AF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9525" cy="9525"/>
    <xdr:pic>
      <xdr:nvPicPr>
        <xdr:cNvPr id="813" name="Picture 812">
          <a:extLst>
            <a:ext uri="{FF2B5EF4-FFF2-40B4-BE49-F238E27FC236}">
              <a16:creationId xmlns:a16="http://schemas.microsoft.com/office/drawing/2014/main" id="{72132A12-A8FC-4C0C-914A-363A305C7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814" name="AutoShape 247">
          <a:extLst>
            <a:ext uri="{FF2B5EF4-FFF2-40B4-BE49-F238E27FC236}">
              <a16:creationId xmlns:a16="http://schemas.microsoft.com/office/drawing/2014/main" id="{0D01B776-4281-4AEB-A87F-72AB217C175F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304800" cy="303440"/>
    <xdr:sp macro="" textlink="">
      <xdr:nvSpPr>
        <xdr:cNvPr id="815" name="AutoShape 249">
          <a:extLst>
            <a:ext uri="{FF2B5EF4-FFF2-40B4-BE49-F238E27FC236}">
              <a16:creationId xmlns:a16="http://schemas.microsoft.com/office/drawing/2014/main" id="{6BD6BC6F-8C81-42D1-99A5-106C9B773ED3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9525" cy="9525"/>
    <xdr:pic>
      <xdr:nvPicPr>
        <xdr:cNvPr id="816" name="Picture 815">
          <a:extLst>
            <a:ext uri="{FF2B5EF4-FFF2-40B4-BE49-F238E27FC236}">
              <a16:creationId xmlns:a16="http://schemas.microsoft.com/office/drawing/2014/main" id="{EA06FAE7-E8AE-4320-BF36-5B7930E65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817" name="AutoShape 273">
          <a:extLst>
            <a:ext uri="{FF2B5EF4-FFF2-40B4-BE49-F238E27FC236}">
              <a16:creationId xmlns:a16="http://schemas.microsoft.com/office/drawing/2014/main" id="{AD9A0AB3-50E5-4CAB-BEF8-CAF9085F9CC5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304800" cy="303440"/>
    <xdr:sp macro="" textlink="">
      <xdr:nvSpPr>
        <xdr:cNvPr id="818" name="AutoShape 275">
          <a:extLst>
            <a:ext uri="{FF2B5EF4-FFF2-40B4-BE49-F238E27FC236}">
              <a16:creationId xmlns:a16="http://schemas.microsoft.com/office/drawing/2014/main" id="{CDB75E1A-DF53-4742-96F5-0AA7989FD7CA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9525" cy="9525"/>
    <xdr:pic>
      <xdr:nvPicPr>
        <xdr:cNvPr id="819" name="Picture 818">
          <a:extLst>
            <a:ext uri="{FF2B5EF4-FFF2-40B4-BE49-F238E27FC236}">
              <a16:creationId xmlns:a16="http://schemas.microsoft.com/office/drawing/2014/main" id="{866F51F9-3426-4E6E-9C93-51D79C12D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820" name="AutoShape 325">
          <a:extLst>
            <a:ext uri="{FF2B5EF4-FFF2-40B4-BE49-F238E27FC236}">
              <a16:creationId xmlns:a16="http://schemas.microsoft.com/office/drawing/2014/main" id="{8D9FFFC4-7E60-4B97-9B14-10B484324A22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304800" cy="303440"/>
    <xdr:sp macro="" textlink="">
      <xdr:nvSpPr>
        <xdr:cNvPr id="821" name="AutoShape 327">
          <a:extLst>
            <a:ext uri="{FF2B5EF4-FFF2-40B4-BE49-F238E27FC236}">
              <a16:creationId xmlns:a16="http://schemas.microsoft.com/office/drawing/2014/main" id="{B3B00060-1049-457E-B65B-86E60F20CBA6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9525" cy="9525"/>
    <xdr:pic>
      <xdr:nvPicPr>
        <xdr:cNvPr id="822" name="Picture 821">
          <a:extLst>
            <a:ext uri="{FF2B5EF4-FFF2-40B4-BE49-F238E27FC236}">
              <a16:creationId xmlns:a16="http://schemas.microsoft.com/office/drawing/2014/main" id="{18C5EE9D-4CCC-4427-BBDD-93514C7DE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823" name="AutoShape 377">
          <a:extLst>
            <a:ext uri="{FF2B5EF4-FFF2-40B4-BE49-F238E27FC236}">
              <a16:creationId xmlns:a16="http://schemas.microsoft.com/office/drawing/2014/main" id="{2106212B-92C0-4880-8022-4FB363E8BAA6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304800" cy="303440"/>
    <xdr:sp macro="" textlink="">
      <xdr:nvSpPr>
        <xdr:cNvPr id="824" name="AutoShape 379">
          <a:extLst>
            <a:ext uri="{FF2B5EF4-FFF2-40B4-BE49-F238E27FC236}">
              <a16:creationId xmlns:a16="http://schemas.microsoft.com/office/drawing/2014/main" id="{02C1B6F7-3443-40CE-A14E-92DE6303182B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3439"/>
    <xdr:sp macro="" textlink="">
      <xdr:nvSpPr>
        <xdr:cNvPr id="825" name="AutoShape 165">
          <a:extLst>
            <a:ext uri="{FF2B5EF4-FFF2-40B4-BE49-F238E27FC236}">
              <a16:creationId xmlns:a16="http://schemas.microsoft.com/office/drawing/2014/main" id="{51796745-AEA8-4EA3-8316-BEE2EF8D4226}"/>
            </a:ext>
          </a:extLst>
        </xdr:cNvPr>
        <xdr:cNvSpPr>
          <a:spLocks noChangeAspect="1" noChangeArrowheads="1"/>
        </xdr:cNvSpPr>
      </xdr:nvSpPr>
      <xdr:spPr bwMode="auto">
        <a:xfrm>
          <a:off x="0" y="5851071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3439"/>
    <xdr:sp macro="" textlink="">
      <xdr:nvSpPr>
        <xdr:cNvPr id="826" name="AutoShape 195">
          <a:extLst>
            <a:ext uri="{FF2B5EF4-FFF2-40B4-BE49-F238E27FC236}">
              <a16:creationId xmlns:a16="http://schemas.microsoft.com/office/drawing/2014/main" id="{65EB37E0-BCF8-411F-875D-320ABF5621C8}"/>
            </a:ext>
          </a:extLst>
        </xdr:cNvPr>
        <xdr:cNvSpPr>
          <a:spLocks noChangeAspect="1" noChangeArrowheads="1"/>
        </xdr:cNvSpPr>
      </xdr:nvSpPr>
      <xdr:spPr bwMode="auto">
        <a:xfrm>
          <a:off x="0" y="5851071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9525" cy="9525"/>
    <xdr:pic>
      <xdr:nvPicPr>
        <xdr:cNvPr id="827" name="Picture 826">
          <a:extLst>
            <a:ext uri="{FF2B5EF4-FFF2-40B4-BE49-F238E27FC236}">
              <a16:creationId xmlns:a16="http://schemas.microsoft.com/office/drawing/2014/main" id="{E5CEDB9C-EE9C-4DF1-A019-3B8DF5A69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828" name="AutoShape 433">
          <a:extLst>
            <a:ext uri="{FF2B5EF4-FFF2-40B4-BE49-F238E27FC236}">
              <a16:creationId xmlns:a16="http://schemas.microsoft.com/office/drawing/2014/main" id="{09368373-B34C-4E76-903B-55BA8CF537FB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304800" cy="303440"/>
    <xdr:sp macro="" textlink="">
      <xdr:nvSpPr>
        <xdr:cNvPr id="829" name="AutoShape 435">
          <a:extLst>
            <a:ext uri="{FF2B5EF4-FFF2-40B4-BE49-F238E27FC236}">
              <a16:creationId xmlns:a16="http://schemas.microsoft.com/office/drawing/2014/main" id="{77FAF451-BE89-4791-AAC9-44BA9810AC6D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9525" cy="9525"/>
    <xdr:pic>
      <xdr:nvPicPr>
        <xdr:cNvPr id="830" name="Picture 829">
          <a:extLst>
            <a:ext uri="{FF2B5EF4-FFF2-40B4-BE49-F238E27FC236}">
              <a16:creationId xmlns:a16="http://schemas.microsoft.com/office/drawing/2014/main" id="{94F15256-10C7-42D2-859B-AA46D7106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831" name="AutoShape 489">
          <a:extLst>
            <a:ext uri="{FF2B5EF4-FFF2-40B4-BE49-F238E27FC236}">
              <a16:creationId xmlns:a16="http://schemas.microsoft.com/office/drawing/2014/main" id="{9B826B45-24F4-465F-A42D-5D7FBD78A773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304800" cy="303440"/>
    <xdr:sp macro="" textlink="">
      <xdr:nvSpPr>
        <xdr:cNvPr id="832" name="AutoShape 491">
          <a:extLst>
            <a:ext uri="{FF2B5EF4-FFF2-40B4-BE49-F238E27FC236}">
              <a16:creationId xmlns:a16="http://schemas.microsoft.com/office/drawing/2014/main" id="{4695A487-7D39-4FBA-9305-0760577727A1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9525" cy="9525"/>
    <xdr:pic>
      <xdr:nvPicPr>
        <xdr:cNvPr id="833" name="Picture 832">
          <a:extLst>
            <a:ext uri="{FF2B5EF4-FFF2-40B4-BE49-F238E27FC236}">
              <a16:creationId xmlns:a16="http://schemas.microsoft.com/office/drawing/2014/main" id="{57E476A3-C251-4285-8269-D59C35A99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85893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834" name="AutoShape 523">
          <a:extLst>
            <a:ext uri="{FF2B5EF4-FFF2-40B4-BE49-F238E27FC236}">
              <a16:creationId xmlns:a16="http://schemas.microsoft.com/office/drawing/2014/main" id="{70A36AF2-6D92-41BD-AB41-D58F1672C167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304800" cy="303440"/>
    <xdr:sp macro="" textlink="">
      <xdr:nvSpPr>
        <xdr:cNvPr id="835" name="AutoShape 525">
          <a:extLst>
            <a:ext uri="{FF2B5EF4-FFF2-40B4-BE49-F238E27FC236}">
              <a16:creationId xmlns:a16="http://schemas.microsoft.com/office/drawing/2014/main" id="{59539254-7BF5-4271-832A-D08330EDC47B}"/>
            </a:ext>
          </a:extLst>
        </xdr:cNvPr>
        <xdr:cNvSpPr>
          <a:spLocks noChangeAspect="1" noChangeArrowheads="1"/>
        </xdr:cNvSpPr>
      </xdr:nvSpPr>
      <xdr:spPr bwMode="auto">
        <a:xfrm>
          <a:off x="34085893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836" name="Picture 835">
          <a:extLst>
            <a:ext uri="{FF2B5EF4-FFF2-40B4-BE49-F238E27FC236}">
              <a16:creationId xmlns:a16="http://schemas.microsoft.com/office/drawing/2014/main" id="{EFBFCCA2-7CB8-4924-A323-92A292E35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304800" cy="303439"/>
    <xdr:sp macro="" textlink="">
      <xdr:nvSpPr>
        <xdr:cNvPr id="837" name="AutoShape 165">
          <a:extLst>
            <a:ext uri="{FF2B5EF4-FFF2-40B4-BE49-F238E27FC236}">
              <a16:creationId xmlns:a16="http://schemas.microsoft.com/office/drawing/2014/main" id="{8F2EEECB-4146-4E46-B2A5-414EF95A53CB}"/>
            </a:ext>
          </a:extLst>
        </xdr:cNvPr>
        <xdr:cNvSpPr>
          <a:spLocks noChangeAspect="1" noChangeArrowheads="1"/>
        </xdr:cNvSpPr>
      </xdr:nvSpPr>
      <xdr:spPr bwMode="auto">
        <a:xfrm>
          <a:off x="0" y="7252607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838" name="Picture 837">
          <a:extLst>
            <a:ext uri="{FF2B5EF4-FFF2-40B4-BE49-F238E27FC236}">
              <a16:creationId xmlns:a16="http://schemas.microsoft.com/office/drawing/2014/main" id="{75013885-9636-47BB-B749-56FCE6119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304800" cy="303439"/>
    <xdr:sp macro="" textlink="">
      <xdr:nvSpPr>
        <xdr:cNvPr id="839" name="AutoShape 195">
          <a:extLst>
            <a:ext uri="{FF2B5EF4-FFF2-40B4-BE49-F238E27FC236}">
              <a16:creationId xmlns:a16="http://schemas.microsoft.com/office/drawing/2014/main" id="{40ACFB77-8C0B-4D95-84D4-12B5031D51E7}"/>
            </a:ext>
          </a:extLst>
        </xdr:cNvPr>
        <xdr:cNvSpPr>
          <a:spLocks noChangeAspect="1" noChangeArrowheads="1"/>
        </xdr:cNvSpPr>
      </xdr:nvSpPr>
      <xdr:spPr bwMode="auto">
        <a:xfrm>
          <a:off x="0" y="7252607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840" name="Picture 839">
          <a:extLst>
            <a:ext uri="{FF2B5EF4-FFF2-40B4-BE49-F238E27FC236}">
              <a16:creationId xmlns:a16="http://schemas.microsoft.com/office/drawing/2014/main" id="{AFB04CD7-54AE-483C-ABF6-553D92418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841" name="Picture 840">
          <a:extLst>
            <a:ext uri="{FF2B5EF4-FFF2-40B4-BE49-F238E27FC236}">
              <a16:creationId xmlns:a16="http://schemas.microsoft.com/office/drawing/2014/main" id="{7C46997D-465D-4019-8A54-21D1DFBB0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842" name="Picture 841">
          <a:extLst>
            <a:ext uri="{FF2B5EF4-FFF2-40B4-BE49-F238E27FC236}">
              <a16:creationId xmlns:a16="http://schemas.microsoft.com/office/drawing/2014/main" id="{53DBA962-5B66-4FEA-A8E4-8FE3192CB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843" name="Picture 842">
          <a:extLst>
            <a:ext uri="{FF2B5EF4-FFF2-40B4-BE49-F238E27FC236}">
              <a16:creationId xmlns:a16="http://schemas.microsoft.com/office/drawing/2014/main" id="{7D8F39BE-2B0D-422D-93EF-94AB4C6A3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9525" cy="9525"/>
    <xdr:pic>
      <xdr:nvPicPr>
        <xdr:cNvPr id="844" name="Picture 843">
          <a:extLst>
            <a:ext uri="{FF2B5EF4-FFF2-40B4-BE49-F238E27FC236}">
              <a16:creationId xmlns:a16="http://schemas.microsoft.com/office/drawing/2014/main" id="{F18ADE05-8E2D-4D15-8349-8E88A43FB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6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0</xdr:rowOff>
    </xdr:from>
    <xdr:ext cx="9525" cy="9525"/>
    <xdr:pic>
      <xdr:nvPicPr>
        <xdr:cNvPr id="845" name="Picture 844">
          <a:extLst>
            <a:ext uri="{FF2B5EF4-FFF2-40B4-BE49-F238E27FC236}">
              <a16:creationId xmlns:a16="http://schemas.microsoft.com/office/drawing/2014/main" id="{0A6B28ED-CB12-49DF-AFC6-BB7C4DD18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690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0</xdr:rowOff>
    </xdr:from>
    <xdr:ext cx="9525" cy="9525"/>
    <xdr:pic>
      <xdr:nvPicPr>
        <xdr:cNvPr id="846" name="Picture 845">
          <a:extLst>
            <a:ext uri="{FF2B5EF4-FFF2-40B4-BE49-F238E27FC236}">
              <a16:creationId xmlns:a16="http://schemas.microsoft.com/office/drawing/2014/main" id="{ABE8EF04-B9E2-4A29-93D2-BE28D6F83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690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0</xdr:rowOff>
    </xdr:from>
    <xdr:ext cx="9525" cy="9525"/>
    <xdr:pic>
      <xdr:nvPicPr>
        <xdr:cNvPr id="847" name="Picture 846">
          <a:extLst>
            <a:ext uri="{FF2B5EF4-FFF2-40B4-BE49-F238E27FC236}">
              <a16:creationId xmlns:a16="http://schemas.microsoft.com/office/drawing/2014/main" id="{CBB6F399-FDDD-40D1-A515-3B395201F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73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0</xdr:rowOff>
    </xdr:from>
    <xdr:ext cx="9525" cy="9525"/>
    <xdr:pic>
      <xdr:nvPicPr>
        <xdr:cNvPr id="848" name="Picture 847">
          <a:extLst>
            <a:ext uri="{FF2B5EF4-FFF2-40B4-BE49-F238E27FC236}">
              <a16:creationId xmlns:a16="http://schemas.microsoft.com/office/drawing/2014/main" id="{4E450E81-EAB1-4D95-AD12-F7BC9FA41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73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0</xdr:rowOff>
    </xdr:from>
    <xdr:ext cx="9525" cy="9525"/>
    <xdr:pic>
      <xdr:nvPicPr>
        <xdr:cNvPr id="849" name="Picture 848">
          <a:extLst>
            <a:ext uri="{FF2B5EF4-FFF2-40B4-BE49-F238E27FC236}">
              <a16:creationId xmlns:a16="http://schemas.microsoft.com/office/drawing/2014/main" id="{C3B83D02-12A6-45CA-8EB5-2BF3B9DB4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082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0</xdr:rowOff>
    </xdr:from>
    <xdr:ext cx="9525" cy="9525"/>
    <xdr:pic>
      <xdr:nvPicPr>
        <xdr:cNvPr id="850" name="Picture 849">
          <a:extLst>
            <a:ext uri="{FF2B5EF4-FFF2-40B4-BE49-F238E27FC236}">
              <a16:creationId xmlns:a16="http://schemas.microsoft.com/office/drawing/2014/main" id="{DB7F9968-E491-4700-BFD7-740EB5CC0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082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0</xdr:rowOff>
    </xdr:from>
    <xdr:ext cx="9525" cy="9525"/>
    <xdr:pic>
      <xdr:nvPicPr>
        <xdr:cNvPr id="851" name="Picture 850">
          <a:extLst>
            <a:ext uri="{FF2B5EF4-FFF2-40B4-BE49-F238E27FC236}">
              <a16:creationId xmlns:a16="http://schemas.microsoft.com/office/drawing/2014/main" id="{E44D12AD-CEFD-41D2-B6D8-A950BE69E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4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0</xdr:rowOff>
    </xdr:from>
    <xdr:ext cx="9525" cy="9525"/>
    <xdr:pic>
      <xdr:nvPicPr>
        <xdr:cNvPr id="852" name="Picture 851">
          <a:extLst>
            <a:ext uri="{FF2B5EF4-FFF2-40B4-BE49-F238E27FC236}">
              <a16:creationId xmlns:a16="http://schemas.microsoft.com/office/drawing/2014/main" id="{A4F4F52E-9657-4C58-998C-2D8879CCA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4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</xdr:row>
      <xdr:rowOff>0</xdr:rowOff>
    </xdr:from>
    <xdr:ext cx="9525" cy="9525"/>
    <xdr:pic>
      <xdr:nvPicPr>
        <xdr:cNvPr id="853" name="Picture 852">
          <a:extLst>
            <a:ext uri="{FF2B5EF4-FFF2-40B4-BE49-F238E27FC236}">
              <a16:creationId xmlns:a16="http://schemas.microsoft.com/office/drawing/2014/main" id="{A08B11A5-B923-4C32-94E0-204194177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</xdr:row>
      <xdr:rowOff>0</xdr:rowOff>
    </xdr:from>
    <xdr:ext cx="304800" cy="303439"/>
    <xdr:sp macro="" textlink="">
      <xdr:nvSpPr>
        <xdr:cNvPr id="854" name="AutoShape 25">
          <a:extLst>
            <a:ext uri="{FF2B5EF4-FFF2-40B4-BE49-F238E27FC236}">
              <a16:creationId xmlns:a16="http://schemas.microsoft.com/office/drawing/2014/main" id="{36B9D44A-FEDA-4B92-B8D2-CB85F9E1ACF0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4</xdr:row>
      <xdr:rowOff>0</xdr:rowOff>
    </xdr:from>
    <xdr:ext cx="9525" cy="9525"/>
    <xdr:pic>
      <xdr:nvPicPr>
        <xdr:cNvPr id="855" name="Picture 854">
          <a:extLst>
            <a:ext uri="{FF2B5EF4-FFF2-40B4-BE49-F238E27FC236}">
              <a16:creationId xmlns:a16="http://schemas.microsoft.com/office/drawing/2014/main" id="{D9D676C9-12EE-4AAD-8255-BAFF65B2D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5</xdr:row>
      <xdr:rowOff>0</xdr:rowOff>
    </xdr:from>
    <xdr:ext cx="9525" cy="9525"/>
    <xdr:pic>
      <xdr:nvPicPr>
        <xdr:cNvPr id="856" name="Picture 855">
          <a:extLst>
            <a:ext uri="{FF2B5EF4-FFF2-40B4-BE49-F238E27FC236}">
              <a16:creationId xmlns:a16="http://schemas.microsoft.com/office/drawing/2014/main" id="{D12C0F35-5DF0-4EC5-9063-73D88AEAA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6</xdr:row>
      <xdr:rowOff>0</xdr:rowOff>
    </xdr:from>
    <xdr:ext cx="9525" cy="9525"/>
    <xdr:pic>
      <xdr:nvPicPr>
        <xdr:cNvPr id="857" name="Picture 856">
          <a:extLst>
            <a:ext uri="{FF2B5EF4-FFF2-40B4-BE49-F238E27FC236}">
              <a16:creationId xmlns:a16="http://schemas.microsoft.com/office/drawing/2014/main" id="{B4E71092-3DBC-445D-8B05-79071CC11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5</xdr:row>
      <xdr:rowOff>0</xdr:rowOff>
    </xdr:from>
    <xdr:ext cx="304800" cy="304800"/>
    <xdr:sp macro="" textlink="">
      <xdr:nvSpPr>
        <xdr:cNvPr id="858" name="AutoShape 29">
          <a:extLst>
            <a:ext uri="{FF2B5EF4-FFF2-40B4-BE49-F238E27FC236}">
              <a16:creationId xmlns:a16="http://schemas.microsoft.com/office/drawing/2014/main" id="{5F03940F-FE9E-4489-81A6-EB8C9400E1D1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859" name="Picture 858">
          <a:extLst>
            <a:ext uri="{FF2B5EF4-FFF2-40B4-BE49-F238E27FC236}">
              <a16:creationId xmlns:a16="http://schemas.microsoft.com/office/drawing/2014/main" id="{A4E69575-AAFB-42E0-8DB3-74F53EEFB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26</xdr:row>
      <xdr:rowOff>0</xdr:rowOff>
    </xdr:from>
    <xdr:ext cx="9525" cy="9525"/>
    <xdr:pic>
      <xdr:nvPicPr>
        <xdr:cNvPr id="860" name="Picture 859">
          <a:extLst>
            <a:ext uri="{FF2B5EF4-FFF2-40B4-BE49-F238E27FC236}">
              <a16:creationId xmlns:a16="http://schemas.microsoft.com/office/drawing/2014/main" id="{74F15554-EC4E-4361-8605-70B0A7B3D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25</xdr:row>
      <xdr:rowOff>0</xdr:rowOff>
    </xdr:from>
    <xdr:ext cx="304800" cy="303440"/>
    <xdr:sp macro="" textlink="">
      <xdr:nvSpPr>
        <xdr:cNvPr id="861" name="AutoShape 32">
          <a:extLst>
            <a:ext uri="{FF2B5EF4-FFF2-40B4-BE49-F238E27FC236}">
              <a16:creationId xmlns:a16="http://schemas.microsoft.com/office/drawing/2014/main" id="{3ADDF028-BFDB-403D-947E-6028B87B3BD1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862" name="Picture 861">
          <a:extLst>
            <a:ext uri="{FF2B5EF4-FFF2-40B4-BE49-F238E27FC236}">
              <a16:creationId xmlns:a16="http://schemas.microsoft.com/office/drawing/2014/main" id="{3D9FE2B9-78F5-4DD1-95C5-5D9BC584C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863" name="Picture 862">
          <a:extLst>
            <a:ext uri="{FF2B5EF4-FFF2-40B4-BE49-F238E27FC236}">
              <a16:creationId xmlns:a16="http://schemas.microsoft.com/office/drawing/2014/main" id="{A2999113-8123-4DBB-B091-6D70DC6EE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864" name="Picture 863">
          <a:extLst>
            <a:ext uri="{FF2B5EF4-FFF2-40B4-BE49-F238E27FC236}">
              <a16:creationId xmlns:a16="http://schemas.microsoft.com/office/drawing/2014/main" id="{5CCC5684-D9DF-4E65-8799-ED3852067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865" name="Picture 864">
          <a:extLst>
            <a:ext uri="{FF2B5EF4-FFF2-40B4-BE49-F238E27FC236}">
              <a16:creationId xmlns:a16="http://schemas.microsoft.com/office/drawing/2014/main" id="{4FE30856-A1F7-44EB-A550-AFB6DD6C8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866" name="Picture 865">
          <a:extLst>
            <a:ext uri="{FF2B5EF4-FFF2-40B4-BE49-F238E27FC236}">
              <a16:creationId xmlns:a16="http://schemas.microsoft.com/office/drawing/2014/main" id="{D909122D-8F9F-4FC0-B231-3EE97B557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304800" cy="304800"/>
    <xdr:sp macro="" textlink="">
      <xdr:nvSpPr>
        <xdr:cNvPr id="867" name="AutoShape 38">
          <a:extLst>
            <a:ext uri="{FF2B5EF4-FFF2-40B4-BE49-F238E27FC236}">
              <a16:creationId xmlns:a16="http://schemas.microsoft.com/office/drawing/2014/main" id="{F3FB5E10-4267-467E-9C28-4AAE5AEC7A94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868" name="Picture 867">
          <a:extLst>
            <a:ext uri="{FF2B5EF4-FFF2-40B4-BE49-F238E27FC236}">
              <a16:creationId xmlns:a16="http://schemas.microsoft.com/office/drawing/2014/main" id="{77E5AF18-D0D6-483E-B420-2041E6742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304800" cy="304800"/>
    <xdr:sp macro="" textlink="">
      <xdr:nvSpPr>
        <xdr:cNvPr id="869" name="AutoShape 40">
          <a:extLst>
            <a:ext uri="{FF2B5EF4-FFF2-40B4-BE49-F238E27FC236}">
              <a16:creationId xmlns:a16="http://schemas.microsoft.com/office/drawing/2014/main" id="{40809BC5-F435-401A-8A78-52BC6D3CEDB6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13</xdr:row>
      <xdr:rowOff>0</xdr:rowOff>
    </xdr:from>
    <xdr:ext cx="9525" cy="9525"/>
    <xdr:pic>
      <xdr:nvPicPr>
        <xdr:cNvPr id="870" name="Picture 869">
          <a:extLst>
            <a:ext uri="{FF2B5EF4-FFF2-40B4-BE49-F238E27FC236}">
              <a16:creationId xmlns:a16="http://schemas.microsoft.com/office/drawing/2014/main" id="{0217E64A-E4D4-41A5-95CF-443BD3ADF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12</xdr:row>
      <xdr:rowOff>0</xdr:rowOff>
    </xdr:from>
    <xdr:ext cx="304800" cy="303439"/>
    <xdr:sp macro="" textlink="">
      <xdr:nvSpPr>
        <xdr:cNvPr id="871" name="AutoShape 42">
          <a:extLst>
            <a:ext uri="{FF2B5EF4-FFF2-40B4-BE49-F238E27FC236}">
              <a16:creationId xmlns:a16="http://schemas.microsoft.com/office/drawing/2014/main" id="{451F436F-28C4-44B0-B0C6-B13EB4E0044D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13</xdr:row>
      <xdr:rowOff>0</xdr:rowOff>
    </xdr:from>
    <xdr:ext cx="304800" cy="304800"/>
    <xdr:sp macro="" textlink="">
      <xdr:nvSpPr>
        <xdr:cNvPr id="872" name="AutoShape 44">
          <a:extLst>
            <a:ext uri="{FF2B5EF4-FFF2-40B4-BE49-F238E27FC236}">
              <a16:creationId xmlns:a16="http://schemas.microsoft.com/office/drawing/2014/main" id="{5F30C054-D040-44A4-9973-8608C25B19DF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873" name="Picture 872">
          <a:extLst>
            <a:ext uri="{FF2B5EF4-FFF2-40B4-BE49-F238E27FC236}">
              <a16:creationId xmlns:a16="http://schemas.microsoft.com/office/drawing/2014/main" id="{3992C7F8-1320-42F8-9F06-38D07A01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27</xdr:row>
      <xdr:rowOff>0</xdr:rowOff>
    </xdr:from>
    <xdr:ext cx="9525" cy="9525"/>
    <xdr:pic>
      <xdr:nvPicPr>
        <xdr:cNvPr id="874" name="Picture 873">
          <a:extLst>
            <a:ext uri="{FF2B5EF4-FFF2-40B4-BE49-F238E27FC236}">
              <a16:creationId xmlns:a16="http://schemas.microsoft.com/office/drawing/2014/main" id="{E1535AFC-DE31-454C-8D0D-D064F1316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</xdr:row>
      <xdr:rowOff>0</xdr:rowOff>
    </xdr:from>
    <xdr:ext cx="9525" cy="9525"/>
    <xdr:pic>
      <xdr:nvPicPr>
        <xdr:cNvPr id="875" name="Picture 874">
          <a:extLst>
            <a:ext uri="{FF2B5EF4-FFF2-40B4-BE49-F238E27FC236}">
              <a16:creationId xmlns:a16="http://schemas.microsoft.com/office/drawing/2014/main" id="{90C80F0D-7FDD-4563-AF37-D20A14D6D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</xdr:row>
      <xdr:rowOff>0</xdr:rowOff>
    </xdr:from>
    <xdr:ext cx="304800" cy="303439"/>
    <xdr:sp macro="" textlink="">
      <xdr:nvSpPr>
        <xdr:cNvPr id="876" name="AutoShape 48">
          <a:extLst>
            <a:ext uri="{FF2B5EF4-FFF2-40B4-BE49-F238E27FC236}">
              <a16:creationId xmlns:a16="http://schemas.microsoft.com/office/drawing/2014/main" id="{5688D63F-38CD-49AF-AF2C-2BF278F063B4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4</xdr:row>
      <xdr:rowOff>0</xdr:rowOff>
    </xdr:from>
    <xdr:ext cx="9525" cy="9525"/>
    <xdr:pic>
      <xdr:nvPicPr>
        <xdr:cNvPr id="877" name="Picture 876">
          <a:extLst>
            <a:ext uri="{FF2B5EF4-FFF2-40B4-BE49-F238E27FC236}">
              <a16:creationId xmlns:a16="http://schemas.microsoft.com/office/drawing/2014/main" id="{0A97ECAA-0AF4-49A5-8F55-C00DF32FF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5</xdr:row>
      <xdr:rowOff>0</xdr:rowOff>
    </xdr:from>
    <xdr:ext cx="9525" cy="9525"/>
    <xdr:pic>
      <xdr:nvPicPr>
        <xdr:cNvPr id="878" name="Picture 877">
          <a:extLst>
            <a:ext uri="{FF2B5EF4-FFF2-40B4-BE49-F238E27FC236}">
              <a16:creationId xmlns:a16="http://schemas.microsoft.com/office/drawing/2014/main" id="{A50E93B9-2622-4D46-83A2-F4AE894C1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6</xdr:row>
      <xdr:rowOff>0</xdr:rowOff>
    </xdr:from>
    <xdr:ext cx="9525" cy="9525"/>
    <xdr:pic>
      <xdr:nvPicPr>
        <xdr:cNvPr id="879" name="Picture 878">
          <a:extLst>
            <a:ext uri="{FF2B5EF4-FFF2-40B4-BE49-F238E27FC236}">
              <a16:creationId xmlns:a16="http://schemas.microsoft.com/office/drawing/2014/main" id="{C96C1879-805B-44B3-9B2F-231FEA9EB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5</xdr:row>
      <xdr:rowOff>0</xdr:rowOff>
    </xdr:from>
    <xdr:ext cx="304800" cy="304800"/>
    <xdr:sp macro="" textlink="">
      <xdr:nvSpPr>
        <xdr:cNvPr id="880" name="AutoShape 52">
          <a:extLst>
            <a:ext uri="{FF2B5EF4-FFF2-40B4-BE49-F238E27FC236}">
              <a16:creationId xmlns:a16="http://schemas.microsoft.com/office/drawing/2014/main" id="{BDE31C51-9211-45FE-9F13-B7BE2A34D250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881" name="Picture 880">
          <a:extLst>
            <a:ext uri="{FF2B5EF4-FFF2-40B4-BE49-F238E27FC236}">
              <a16:creationId xmlns:a16="http://schemas.microsoft.com/office/drawing/2014/main" id="{7E215015-ADEE-47A4-84B4-F25F96D34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26</xdr:row>
      <xdr:rowOff>0</xdr:rowOff>
    </xdr:from>
    <xdr:ext cx="9525" cy="9525"/>
    <xdr:pic>
      <xdr:nvPicPr>
        <xdr:cNvPr id="882" name="Picture 881">
          <a:extLst>
            <a:ext uri="{FF2B5EF4-FFF2-40B4-BE49-F238E27FC236}">
              <a16:creationId xmlns:a16="http://schemas.microsoft.com/office/drawing/2014/main" id="{C2EFEBD4-D258-43B8-A25D-2BD3A267C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25</xdr:row>
      <xdr:rowOff>0</xdr:rowOff>
    </xdr:from>
    <xdr:ext cx="304800" cy="303440"/>
    <xdr:sp macro="" textlink="">
      <xdr:nvSpPr>
        <xdr:cNvPr id="883" name="AutoShape 55">
          <a:extLst>
            <a:ext uri="{FF2B5EF4-FFF2-40B4-BE49-F238E27FC236}">
              <a16:creationId xmlns:a16="http://schemas.microsoft.com/office/drawing/2014/main" id="{A71209C2-B02D-47B2-AEC5-B5C01553797B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884" name="Picture 883">
          <a:extLst>
            <a:ext uri="{FF2B5EF4-FFF2-40B4-BE49-F238E27FC236}">
              <a16:creationId xmlns:a16="http://schemas.microsoft.com/office/drawing/2014/main" id="{26E11EBA-3CF1-4EF4-AFA9-465C7A638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885" name="Picture 884">
          <a:extLst>
            <a:ext uri="{FF2B5EF4-FFF2-40B4-BE49-F238E27FC236}">
              <a16:creationId xmlns:a16="http://schemas.microsoft.com/office/drawing/2014/main" id="{B5444B12-C69F-4F00-8E52-2A4E33672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886" name="Picture 885">
          <a:extLst>
            <a:ext uri="{FF2B5EF4-FFF2-40B4-BE49-F238E27FC236}">
              <a16:creationId xmlns:a16="http://schemas.microsoft.com/office/drawing/2014/main" id="{DE336F1D-5177-46A4-BA1D-EBC3541E2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887" name="Picture 886">
          <a:extLst>
            <a:ext uri="{FF2B5EF4-FFF2-40B4-BE49-F238E27FC236}">
              <a16:creationId xmlns:a16="http://schemas.microsoft.com/office/drawing/2014/main" id="{3BC98576-482B-4C78-AE4B-38E2E1A2D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888" name="Picture 887">
          <a:extLst>
            <a:ext uri="{FF2B5EF4-FFF2-40B4-BE49-F238E27FC236}">
              <a16:creationId xmlns:a16="http://schemas.microsoft.com/office/drawing/2014/main" id="{03504F3D-6290-45A2-89A7-D6677E1BF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304800" cy="304800"/>
    <xdr:sp macro="" textlink="">
      <xdr:nvSpPr>
        <xdr:cNvPr id="889" name="AutoShape 61">
          <a:extLst>
            <a:ext uri="{FF2B5EF4-FFF2-40B4-BE49-F238E27FC236}">
              <a16:creationId xmlns:a16="http://schemas.microsoft.com/office/drawing/2014/main" id="{80366D5A-20DF-4113-811E-42406F7E030B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890" name="Picture 889">
          <a:extLst>
            <a:ext uri="{FF2B5EF4-FFF2-40B4-BE49-F238E27FC236}">
              <a16:creationId xmlns:a16="http://schemas.microsoft.com/office/drawing/2014/main" id="{5229EC77-C0D9-4714-9C98-917774278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304800" cy="304800"/>
    <xdr:sp macro="" textlink="">
      <xdr:nvSpPr>
        <xdr:cNvPr id="891" name="AutoShape 63">
          <a:extLst>
            <a:ext uri="{FF2B5EF4-FFF2-40B4-BE49-F238E27FC236}">
              <a16:creationId xmlns:a16="http://schemas.microsoft.com/office/drawing/2014/main" id="{A8CDA249-9F0C-48DA-8BA5-208F4F1CD221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13</xdr:row>
      <xdr:rowOff>0</xdr:rowOff>
    </xdr:from>
    <xdr:ext cx="9525" cy="9525"/>
    <xdr:pic>
      <xdr:nvPicPr>
        <xdr:cNvPr id="892" name="Picture 891">
          <a:extLst>
            <a:ext uri="{FF2B5EF4-FFF2-40B4-BE49-F238E27FC236}">
              <a16:creationId xmlns:a16="http://schemas.microsoft.com/office/drawing/2014/main" id="{BA2FCEA0-2C49-4CCC-BF13-E935A096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12</xdr:row>
      <xdr:rowOff>0</xdr:rowOff>
    </xdr:from>
    <xdr:ext cx="304800" cy="303439"/>
    <xdr:sp macro="" textlink="">
      <xdr:nvSpPr>
        <xdr:cNvPr id="893" name="AutoShape 65">
          <a:extLst>
            <a:ext uri="{FF2B5EF4-FFF2-40B4-BE49-F238E27FC236}">
              <a16:creationId xmlns:a16="http://schemas.microsoft.com/office/drawing/2014/main" id="{A4CC214D-832C-4BED-A8C9-0AC9E95DBCF0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13</xdr:row>
      <xdr:rowOff>0</xdr:rowOff>
    </xdr:from>
    <xdr:ext cx="304800" cy="304800"/>
    <xdr:sp macro="" textlink="">
      <xdr:nvSpPr>
        <xdr:cNvPr id="894" name="AutoShape 67">
          <a:extLst>
            <a:ext uri="{FF2B5EF4-FFF2-40B4-BE49-F238E27FC236}">
              <a16:creationId xmlns:a16="http://schemas.microsoft.com/office/drawing/2014/main" id="{143E8E1A-200F-450E-AA17-F02DFF5DF102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895" name="Picture 894">
          <a:extLst>
            <a:ext uri="{FF2B5EF4-FFF2-40B4-BE49-F238E27FC236}">
              <a16:creationId xmlns:a16="http://schemas.microsoft.com/office/drawing/2014/main" id="{C053AB74-8FC2-4AEA-99B5-95E1ECF46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304800" cy="303440"/>
    <xdr:sp macro="" textlink="">
      <xdr:nvSpPr>
        <xdr:cNvPr id="896" name="AutoShape 69">
          <a:extLst>
            <a:ext uri="{FF2B5EF4-FFF2-40B4-BE49-F238E27FC236}">
              <a16:creationId xmlns:a16="http://schemas.microsoft.com/office/drawing/2014/main" id="{CB289432-4AE8-4B59-B102-F5EECE8EE42F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27</xdr:row>
      <xdr:rowOff>0</xdr:rowOff>
    </xdr:from>
    <xdr:ext cx="9525" cy="9525"/>
    <xdr:pic>
      <xdr:nvPicPr>
        <xdr:cNvPr id="897" name="Picture 896">
          <a:extLst>
            <a:ext uri="{FF2B5EF4-FFF2-40B4-BE49-F238E27FC236}">
              <a16:creationId xmlns:a16="http://schemas.microsoft.com/office/drawing/2014/main" id="{201DF8CF-372F-48F0-A830-9CDCFE41E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898" name="Picture 897">
          <a:extLst>
            <a:ext uri="{FF2B5EF4-FFF2-40B4-BE49-F238E27FC236}">
              <a16:creationId xmlns:a16="http://schemas.microsoft.com/office/drawing/2014/main" id="{BB9B45BB-63E8-422A-9A46-4F99122D1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</xdr:row>
      <xdr:rowOff>0</xdr:rowOff>
    </xdr:from>
    <xdr:ext cx="9525" cy="9525"/>
    <xdr:pic>
      <xdr:nvPicPr>
        <xdr:cNvPr id="899" name="Picture 898">
          <a:extLst>
            <a:ext uri="{FF2B5EF4-FFF2-40B4-BE49-F238E27FC236}">
              <a16:creationId xmlns:a16="http://schemas.microsoft.com/office/drawing/2014/main" id="{E1DAB931-0D3D-43B6-A9EC-D8A5D3CDD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</xdr:row>
      <xdr:rowOff>0</xdr:rowOff>
    </xdr:from>
    <xdr:ext cx="304800" cy="303439"/>
    <xdr:sp macro="" textlink="">
      <xdr:nvSpPr>
        <xdr:cNvPr id="900" name="AutoShape 98">
          <a:extLst>
            <a:ext uri="{FF2B5EF4-FFF2-40B4-BE49-F238E27FC236}">
              <a16:creationId xmlns:a16="http://schemas.microsoft.com/office/drawing/2014/main" id="{AE2835E7-1C79-4A70-BAE8-919621D4650E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4</xdr:row>
      <xdr:rowOff>0</xdr:rowOff>
    </xdr:from>
    <xdr:ext cx="9525" cy="9525"/>
    <xdr:pic>
      <xdr:nvPicPr>
        <xdr:cNvPr id="901" name="Picture 900">
          <a:extLst>
            <a:ext uri="{FF2B5EF4-FFF2-40B4-BE49-F238E27FC236}">
              <a16:creationId xmlns:a16="http://schemas.microsoft.com/office/drawing/2014/main" id="{1E39FD11-93AB-49E2-89CD-033D98987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5</xdr:row>
      <xdr:rowOff>0</xdr:rowOff>
    </xdr:from>
    <xdr:ext cx="9525" cy="9525"/>
    <xdr:pic>
      <xdr:nvPicPr>
        <xdr:cNvPr id="902" name="Picture 901">
          <a:extLst>
            <a:ext uri="{FF2B5EF4-FFF2-40B4-BE49-F238E27FC236}">
              <a16:creationId xmlns:a16="http://schemas.microsoft.com/office/drawing/2014/main" id="{51913DFB-5CEF-4B3F-8991-C61CEE1E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6</xdr:row>
      <xdr:rowOff>0</xdr:rowOff>
    </xdr:from>
    <xdr:ext cx="9525" cy="9525"/>
    <xdr:pic>
      <xdr:nvPicPr>
        <xdr:cNvPr id="903" name="Picture 902">
          <a:extLst>
            <a:ext uri="{FF2B5EF4-FFF2-40B4-BE49-F238E27FC236}">
              <a16:creationId xmlns:a16="http://schemas.microsoft.com/office/drawing/2014/main" id="{E98EC60C-540A-4C48-9890-49377369A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5</xdr:row>
      <xdr:rowOff>0</xdr:rowOff>
    </xdr:from>
    <xdr:ext cx="304800" cy="304800"/>
    <xdr:sp macro="" textlink="">
      <xdr:nvSpPr>
        <xdr:cNvPr id="904" name="AutoShape 102">
          <a:extLst>
            <a:ext uri="{FF2B5EF4-FFF2-40B4-BE49-F238E27FC236}">
              <a16:creationId xmlns:a16="http://schemas.microsoft.com/office/drawing/2014/main" id="{7E60EDA4-56D6-4787-838F-2B5634389F01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05" name="Picture 904">
          <a:extLst>
            <a:ext uri="{FF2B5EF4-FFF2-40B4-BE49-F238E27FC236}">
              <a16:creationId xmlns:a16="http://schemas.microsoft.com/office/drawing/2014/main" id="{D476A79F-C1E0-47AA-9697-DA47AA1C8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26</xdr:row>
      <xdr:rowOff>0</xdr:rowOff>
    </xdr:from>
    <xdr:ext cx="9525" cy="9525"/>
    <xdr:pic>
      <xdr:nvPicPr>
        <xdr:cNvPr id="906" name="Picture 905">
          <a:extLst>
            <a:ext uri="{FF2B5EF4-FFF2-40B4-BE49-F238E27FC236}">
              <a16:creationId xmlns:a16="http://schemas.microsoft.com/office/drawing/2014/main" id="{297CBCEB-9EAA-4107-8F26-B56A74C6C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25</xdr:row>
      <xdr:rowOff>0</xdr:rowOff>
    </xdr:from>
    <xdr:ext cx="304800" cy="303440"/>
    <xdr:sp macro="" textlink="">
      <xdr:nvSpPr>
        <xdr:cNvPr id="907" name="AutoShape 105">
          <a:extLst>
            <a:ext uri="{FF2B5EF4-FFF2-40B4-BE49-F238E27FC236}">
              <a16:creationId xmlns:a16="http://schemas.microsoft.com/office/drawing/2014/main" id="{E0C38163-9990-4FA2-AF33-E81FC53C1E7E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08" name="Picture 907">
          <a:extLst>
            <a:ext uri="{FF2B5EF4-FFF2-40B4-BE49-F238E27FC236}">
              <a16:creationId xmlns:a16="http://schemas.microsoft.com/office/drawing/2014/main" id="{6EACE907-5B1F-429D-9A65-E86871D0A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09" name="Picture 908">
          <a:extLst>
            <a:ext uri="{FF2B5EF4-FFF2-40B4-BE49-F238E27FC236}">
              <a16:creationId xmlns:a16="http://schemas.microsoft.com/office/drawing/2014/main" id="{D4A909EC-9B91-4C82-AFA0-60C95BD3C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10" name="Picture 909">
          <a:extLst>
            <a:ext uri="{FF2B5EF4-FFF2-40B4-BE49-F238E27FC236}">
              <a16:creationId xmlns:a16="http://schemas.microsoft.com/office/drawing/2014/main" id="{A22AB14B-5F45-40C2-846E-8D542719B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11" name="Picture 910">
          <a:extLst>
            <a:ext uri="{FF2B5EF4-FFF2-40B4-BE49-F238E27FC236}">
              <a16:creationId xmlns:a16="http://schemas.microsoft.com/office/drawing/2014/main" id="{A109CF1C-21D9-464A-9FB7-4AC2CFC03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12" name="Picture 911">
          <a:extLst>
            <a:ext uri="{FF2B5EF4-FFF2-40B4-BE49-F238E27FC236}">
              <a16:creationId xmlns:a16="http://schemas.microsoft.com/office/drawing/2014/main" id="{6CDC799F-35CE-41E7-A2F0-94C6456B7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304800" cy="304800"/>
    <xdr:sp macro="" textlink="">
      <xdr:nvSpPr>
        <xdr:cNvPr id="913" name="AutoShape 111">
          <a:extLst>
            <a:ext uri="{FF2B5EF4-FFF2-40B4-BE49-F238E27FC236}">
              <a16:creationId xmlns:a16="http://schemas.microsoft.com/office/drawing/2014/main" id="{59F1FE8A-86AD-40CB-8A7D-3005688B7D77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14" name="Picture 913">
          <a:extLst>
            <a:ext uri="{FF2B5EF4-FFF2-40B4-BE49-F238E27FC236}">
              <a16:creationId xmlns:a16="http://schemas.microsoft.com/office/drawing/2014/main" id="{B75E981F-C313-45FD-8561-335B4ED06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304800" cy="304800"/>
    <xdr:sp macro="" textlink="">
      <xdr:nvSpPr>
        <xdr:cNvPr id="915" name="AutoShape 113">
          <a:extLst>
            <a:ext uri="{FF2B5EF4-FFF2-40B4-BE49-F238E27FC236}">
              <a16:creationId xmlns:a16="http://schemas.microsoft.com/office/drawing/2014/main" id="{6ED149C3-42CE-43AA-BDC2-BC3825D96275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13</xdr:row>
      <xdr:rowOff>0</xdr:rowOff>
    </xdr:from>
    <xdr:ext cx="9525" cy="9525"/>
    <xdr:pic>
      <xdr:nvPicPr>
        <xdr:cNvPr id="916" name="Picture 915">
          <a:extLst>
            <a:ext uri="{FF2B5EF4-FFF2-40B4-BE49-F238E27FC236}">
              <a16:creationId xmlns:a16="http://schemas.microsoft.com/office/drawing/2014/main" id="{5EFBDED0-37F0-49BC-AED7-F49C06B5B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12</xdr:row>
      <xdr:rowOff>0</xdr:rowOff>
    </xdr:from>
    <xdr:ext cx="304800" cy="303439"/>
    <xdr:sp macro="" textlink="">
      <xdr:nvSpPr>
        <xdr:cNvPr id="917" name="AutoShape 115">
          <a:extLst>
            <a:ext uri="{FF2B5EF4-FFF2-40B4-BE49-F238E27FC236}">
              <a16:creationId xmlns:a16="http://schemas.microsoft.com/office/drawing/2014/main" id="{F5AFA11E-9697-4ADD-9706-EBFA4D21A92A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18" name="Picture 917">
          <a:extLst>
            <a:ext uri="{FF2B5EF4-FFF2-40B4-BE49-F238E27FC236}">
              <a16:creationId xmlns:a16="http://schemas.microsoft.com/office/drawing/2014/main" id="{F481879C-5D48-46C0-8EE0-82541478A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13</xdr:row>
      <xdr:rowOff>0</xdr:rowOff>
    </xdr:from>
    <xdr:ext cx="304800" cy="304800"/>
    <xdr:sp macro="" textlink="">
      <xdr:nvSpPr>
        <xdr:cNvPr id="919" name="AutoShape 117">
          <a:extLst>
            <a:ext uri="{FF2B5EF4-FFF2-40B4-BE49-F238E27FC236}">
              <a16:creationId xmlns:a16="http://schemas.microsoft.com/office/drawing/2014/main" id="{C7AC5EE8-23D1-4FC5-B1D7-990445EC879C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20" name="Picture 919">
          <a:extLst>
            <a:ext uri="{FF2B5EF4-FFF2-40B4-BE49-F238E27FC236}">
              <a16:creationId xmlns:a16="http://schemas.microsoft.com/office/drawing/2014/main" id="{C285052A-F955-4470-BA94-25376AAEF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304800" cy="303440"/>
    <xdr:sp macro="" textlink="">
      <xdr:nvSpPr>
        <xdr:cNvPr id="921" name="AutoShape 119">
          <a:extLst>
            <a:ext uri="{FF2B5EF4-FFF2-40B4-BE49-F238E27FC236}">
              <a16:creationId xmlns:a16="http://schemas.microsoft.com/office/drawing/2014/main" id="{B7BAF058-D48D-4152-B7D8-CC4418E07B04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27</xdr:row>
      <xdr:rowOff>0</xdr:rowOff>
    </xdr:from>
    <xdr:ext cx="9525" cy="9525"/>
    <xdr:pic>
      <xdr:nvPicPr>
        <xdr:cNvPr id="922" name="Picture 921">
          <a:extLst>
            <a:ext uri="{FF2B5EF4-FFF2-40B4-BE49-F238E27FC236}">
              <a16:creationId xmlns:a16="http://schemas.microsoft.com/office/drawing/2014/main" id="{EDD74302-0BCC-46CA-A14C-52C9515A0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23" name="Picture 922">
          <a:extLst>
            <a:ext uri="{FF2B5EF4-FFF2-40B4-BE49-F238E27FC236}">
              <a16:creationId xmlns:a16="http://schemas.microsoft.com/office/drawing/2014/main" id="{591C6014-85AB-4B43-83B0-0F694A6E0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3</xdr:row>
      <xdr:rowOff>0</xdr:rowOff>
    </xdr:from>
    <xdr:ext cx="9525" cy="9525"/>
    <xdr:pic>
      <xdr:nvPicPr>
        <xdr:cNvPr id="924" name="Picture 923">
          <a:extLst>
            <a:ext uri="{FF2B5EF4-FFF2-40B4-BE49-F238E27FC236}">
              <a16:creationId xmlns:a16="http://schemas.microsoft.com/office/drawing/2014/main" id="{F9DB331C-E516-4F09-94C8-1C7AA3C6A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</xdr:row>
      <xdr:rowOff>0</xdr:rowOff>
    </xdr:from>
    <xdr:ext cx="304800" cy="303439"/>
    <xdr:sp macro="" textlink="">
      <xdr:nvSpPr>
        <xdr:cNvPr id="925" name="AutoShape 123">
          <a:extLst>
            <a:ext uri="{FF2B5EF4-FFF2-40B4-BE49-F238E27FC236}">
              <a16:creationId xmlns:a16="http://schemas.microsoft.com/office/drawing/2014/main" id="{B09E339C-A926-493B-9A70-3CF2577D2D23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4</xdr:row>
      <xdr:rowOff>0</xdr:rowOff>
    </xdr:from>
    <xdr:ext cx="9525" cy="9525"/>
    <xdr:pic>
      <xdr:nvPicPr>
        <xdr:cNvPr id="926" name="Picture 925">
          <a:extLst>
            <a:ext uri="{FF2B5EF4-FFF2-40B4-BE49-F238E27FC236}">
              <a16:creationId xmlns:a16="http://schemas.microsoft.com/office/drawing/2014/main" id="{71EF85AF-72AF-4408-80AC-E1AB00065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5</xdr:row>
      <xdr:rowOff>0</xdr:rowOff>
    </xdr:from>
    <xdr:ext cx="9525" cy="9525"/>
    <xdr:pic>
      <xdr:nvPicPr>
        <xdr:cNvPr id="927" name="Picture 926">
          <a:extLst>
            <a:ext uri="{FF2B5EF4-FFF2-40B4-BE49-F238E27FC236}">
              <a16:creationId xmlns:a16="http://schemas.microsoft.com/office/drawing/2014/main" id="{15897E96-1936-4D11-B469-EF2EF65C6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6</xdr:row>
      <xdr:rowOff>0</xdr:rowOff>
    </xdr:from>
    <xdr:ext cx="9525" cy="9525"/>
    <xdr:pic>
      <xdr:nvPicPr>
        <xdr:cNvPr id="928" name="Picture 927">
          <a:extLst>
            <a:ext uri="{FF2B5EF4-FFF2-40B4-BE49-F238E27FC236}">
              <a16:creationId xmlns:a16="http://schemas.microsoft.com/office/drawing/2014/main" id="{C3B66F6D-A416-4981-B742-2CF1F89DC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5</xdr:row>
      <xdr:rowOff>0</xdr:rowOff>
    </xdr:from>
    <xdr:ext cx="304800" cy="304800"/>
    <xdr:sp macro="" textlink="">
      <xdr:nvSpPr>
        <xdr:cNvPr id="929" name="AutoShape 127">
          <a:extLst>
            <a:ext uri="{FF2B5EF4-FFF2-40B4-BE49-F238E27FC236}">
              <a16:creationId xmlns:a16="http://schemas.microsoft.com/office/drawing/2014/main" id="{36A424B0-5339-4A9E-8231-F83B8B19834C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30" name="Picture 929">
          <a:extLst>
            <a:ext uri="{FF2B5EF4-FFF2-40B4-BE49-F238E27FC236}">
              <a16:creationId xmlns:a16="http://schemas.microsoft.com/office/drawing/2014/main" id="{C2DCA110-B1A5-4CE1-B6F8-28E023EC6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26</xdr:row>
      <xdr:rowOff>0</xdr:rowOff>
    </xdr:from>
    <xdr:ext cx="9525" cy="9525"/>
    <xdr:pic>
      <xdr:nvPicPr>
        <xdr:cNvPr id="931" name="Picture 930">
          <a:extLst>
            <a:ext uri="{FF2B5EF4-FFF2-40B4-BE49-F238E27FC236}">
              <a16:creationId xmlns:a16="http://schemas.microsoft.com/office/drawing/2014/main" id="{0C4E2535-E6C2-4FAA-8E15-317415499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25</xdr:row>
      <xdr:rowOff>0</xdr:rowOff>
    </xdr:from>
    <xdr:ext cx="304800" cy="303440"/>
    <xdr:sp macro="" textlink="">
      <xdr:nvSpPr>
        <xdr:cNvPr id="932" name="AutoShape 130">
          <a:extLst>
            <a:ext uri="{FF2B5EF4-FFF2-40B4-BE49-F238E27FC236}">
              <a16:creationId xmlns:a16="http://schemas.microsoft.com/office/drawing/2014/main" id="{BD212459-8A8F-4416-AF1E-A6D75F306449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33" name="Picture 932">
          <a:extLst>
            <a:ext uri="{FF2B5EF4-FFF2-40B4-BE49-F238E27FC236}">
              <a16:creationId xmlns:a16="http://schemas.microsoft.com/office/drawing/2014/main" id="{0F5617C5-19FD-4C36-8BF5-E58FA31AC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34" name="Picture 933">
          <a:extLst>
            <a:ext uri="{FF2B5EF4-FFF2-40B4-BE49-F238E27FC236}">
              <a16:creationId xmlns:a16="http://schemas.microsoft.com/office/drawing/2014/main" id="{448B5017-464B-42BE-A350-AFF42E276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35" name="Picture 934">
          <a:extLst>
            <a:ext uri="{FF2B5EF4-FFF2-40B4-BE49-F238E27FC236}">
              <a16:creationId xmlns:a16="http://schemas.microsoft.com/office/drawing/2014/main" id="{E59580C1-D3BD-4C2A-B817-15B063BDE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36" name="Picture 935">
          <a:extLst>
            <a:ext uri="{FF2B5EF4-FFF2-40B4-BE49-F238E27FC236}">
              <a16:creationId xmlns:a16="http://schemas.microsoft.com/office/drawing/2014/main" id="{44B93E4C-D675-40B4-B5E9-AC5E9F06F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37" name="Picture 936">
          <a:extLst>
            <a:ext uri="{FF2B5EF4-FFF2-40B4-BE49-F238E27FC236}">
              <a16:creationId xmlns:a16="http://schemas.microsoft.com/office/drawing/2014/main" id="{67BCD04B-36B5-4C17-9D51-1C48E03E2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304800" cy="304800"/>
    <xdr:sp macro="" textlink="">
      <xdr:nvSpPr>
        <xdr:cNvPr id="938" name="AutoShape 136">
          <a:extLst>
            <a:ext uri="{FF2B5EF4-FFF2-40B4-BE49-F238E27FC236}">
              <a16:creationId xmlns:a16="http://schemas.microsoft.com/office/drawing/2014/main" id="{C893869A-68B9-4D58-AEA5-7C62E7D49312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39" name="Picture 938">
          <a:extLst>
            <a:ext uri="{FF2B5EF4-FFF2-40B4-BE49-F238E27FC236}">
              <a16:creationId xmlns:a16="http://schemas.microsoft.com/office/drawing/2014/main" id="{04223497-125F-4D48-A42E-7CFA3D347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304800" cy="304800"/>
    <xdr:sp macro="" textlink="">
      <xdr:nvSpPr>
        <xdr:cNvPr id="940" name="AutoShape 138">
          <a:extLst>
            <a:ext uri="{FF2B5EF4-FFF2-40B4-BE49-F238E27FC236}">
              <a16:creationId xmlns:a16="http://schemas.microsoft.com/office/drawing/2014/main" id="{3F273BD0-827B-4CEA-BCFB-D3D573D2249A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13</xdr:row>
      <xdr:rowOff>0</xdr:rowOff>
    </xdr:from>
    <xdr:ext cx="9525" cy="9525"/>
    <xdr:pic>
      <xdr:nvPicPr>
        <xdr:cNvPr id="941" name="Picture 940">
          <a:extLst>
            <a:ext uri="{FF2B5EF4-FFF2-40B4-BE49-F238E27FC236}">
              <a16:creationId xmlns:a16="http://schemas.microsoft.com/office/drawing/2014/main" id="{1BCC1451-843E-470A-A6DF-7F55360D1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12</xdr:row>
      <xdr:rowOff>0</xdr:rowOff>
    </xdr:from>
    <xdr:ext cx="304800" cy="303439"/>
    <xdr:sp macro="" textlink="">
      <xdr:nvSpPr>
        <xdr:cNvPr id="942" name="AutoShape 140">
          <a:extLst>
            <a:ext uri="{FF2B5EF4-FFF2-40B4-BE49-F238E27FC236}">
              <a16:creationId xmlns:a16="http://schemas.microsoft.com/office/drawing/2014/main" id="{D7A0DD8E-BD35-46D1-9C1F-9386C9648050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43" name="Picture 942">
          <a:extLst>
            <a:ext uri="{FF2B5EF4-FFF2-40B4-BE49-F238E27FC236}">
              <a16:creationId xmlns:a16="http://schemas.microsoft.com/office/drawing/2014/main" id="{11360454-47D7-41C2-BBB2-25964FC70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45" name="Picture 944">
          <a:extLst>
            <a:ext uri="{FF2B5EF4-FFF2-40B4-BE49-F238E27FC236}">
              <a16:creationId xmlns:a16="http://schemas.microsoft.com/office/drawing/2014/main" id="{3740F069-BC95-453A-B7C9-E59960EB6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304800" cy="303440"/>
    <xdr:sp macro="" textlink="">
      <xdr:nvSpPr>
        <xdr:cNvPr id="946" name="AutoShape 144">
          <a:extLst>
            <a:ext uri="{FF2B5EF4-FFF2-40B4-BE49-F238E27FC236}">
              <a16:creationId xmlns:a16="http://schemas.microsoft.com/office/drawing/2014/main" id="{38E2BEEE-865A-4546-8F85-EAB4FE2E0F94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27</xdr:row>
      <xdr:rowOff>0</xdr:rowOff>
    </xdr:from>
    <xdr:ext cx="9525" cy="9525"/>
    <xdr:pic>
      <xdr:nvPicPr>
        <xdr:cNvPr id="947" name="Picture 946">
          <a:extLst>
            <a:ext uri="{FF2B5EF4-FFF2-40B4-BE49-F238E27FC236}">
              <a16:creationId xmlns:a16="http://schemas.microsoft.com/office/drawing/2014/main" id="{62B89EA4-E3E3-43F3-8841-4EC907AF6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29</xdr:row>
      <xdr:rowOff>0</xdr:rowOff>
    </xdr:from>
    <xdr:ext cx="9525" cy="9525"/>
    <xdr:pic>
      <xdr:nvPicPr>
        <xdr:cNvPr id="948" name="Picture 947">
          <a:extLst>
            <a:ext uri="{FF2B5EF4-FFF2-40B4-BE49-F238E27FC236}">
              <a16:creationId xmlns:a16="http://schemas.microsoft.com/office/drawing/2014/main" id="{F4B57223-08A2-4DE8-9150-16B3E7757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7</xdr:row>
      <xdr:rowOff>0</xdr:rowOff>
    </xdr:from>
    <xdr:ext cx="9525" cy="9525"/>
    <xdr:pic>
      <xdr:nvPicPr>
        <xdr:cNvPr id="949" name="Picture 948">
          <a:extLst>
            <a:ext uri="{FF2B5EF4-FFF2-40B4-BE49-F238E27FC236}">
              <a16:creationId xmlns:a16="http://schemas.microsoft.com/office/drawing/2014/main" id="{8A359A8D-C74B-4A6B-9E7A-763FC239D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7</xdr:row>
      <xdr:rowOff>0</xdr:rowOff>
    </xdr:from>
    <xdr:ext cx="9525" cy="9525"/>
    <xdr:pic>
      <xdr:nvPicPr>
        <xdr:cNvPr id="950" name="Picture 949">
          <a:extLst>
            <a:ext uri="{FF2B5EF4-FFF2-40B4-BE49-F238E27FC236}">
              <a16:creationId xmlns:a16="http://schemas.microsoft.com/office/drawing/2014/main" id="{6A82C9AC-C4FE-4690-89D3-AFEA89F83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7</xdr:row>
      <xdr:rowOff>0</xdr:rowOff>
    </xdr:from>
    <xdr:ext cx="9525" cy="9525"/>
    <xdr:pic>
      <xdr:nvPicPr>
        <xdr:cNvPr id="951" name="Picture 950">
          <a:extLst>
            <a:ext uri="{FF2B5EF4-FFF2-40B4-BE49-F238E27FC236}">
              <a16:creationId xmlns:a16="http://schemas.microsoft.com/office/drawing/2014/main" id="{90C53418-3E1B-4CE7-9313-02E3B147E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7</xdr:row>
      <xdr:rowOff>0</xdr:rowOff>
    </xdr:from>
    <xdr:ext cx="9525" cy="9525"/>
    <xdr:pic>
      <xdr:nvPicPr>
        <xdr:cNvPr id="952" name="Picture 951">
          <a:extLst>
            <a:ext uri="{FF2B5EF4-FFF2-40B4-BE49-F238E27FC236}">
              <a16:creationId xmlns:a16="http://schemas.microsoft.com/office/drawing/2014/main" id="{10D05A9C-4E0F-45CE-9C88-ED68182A7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15</xdr:row>
      <xdr:rowOff>0</xdr:rowOff>
    </xdr:from>
    <xdr:ext cx="9525" cy="9525"/>
    <xdr:pic>
      <xdr:nvPicPr>
        <xdr:cNvPr id="953" name="Picture 952">
          <a:extLst>
            <a:ext uri="{FF2B5EF4-FFF2-40B4-BE49-F238E27FC236}">
              <a16:creationId xmlns:a16="http://schemas.microsoft.com/office/drawing/2014/main" id="{7F08CCB7-D5DC-4584-8CC3-31A88B6F6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15</xdr:row>
      <xdr:rowOff>0</xdr:rowOff>
    </xdr:from>
    <xdr:ext cx="9525" cy="9525"/>
    <xdr:pic>
      <xdr:nvPicPr>
        <xdr:cNvPr id="954" name="Picture 953">
          <a:extLst>
            <a:ext uri="{FF2B5EF4-FFF2-40B4-BE49-F238E27FC236}">
              <a16:creationId xmlns:a16="http://schemas.microsoft.com/office/drawing/2014/main" id="{662552D7-0925-4CF7-9BE7-81695BB8E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15</xdr:row>
      <xdr:rowOff>0</xdr:rowOff>
    </xdr:from>
    <xdr:ext cx="9525" cy="9525"/>
    <xdr:pic>
      <xdr:nvPicPr>
        <xdr:cNvPr id="955" name="Picture 954">
          <a:extLst>
            <a:ext uri="{FF2B5EF4-FFF2-40B4-BE49-F238E27FC236}">
              <a16:creationId xmlns:a16="http://schemas.microsoft.com/office/drawing/2014/main" id="{390BEF64-AF15-4E0C-9EBA-2656D917D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15</xdr:row>
      <xdr:rowOff>0</xdr:rowOff>
    </xdr:from>
    <xdr:ext cx="9525" cy="9525"/>
    <xdr:pic>
      <xdr:nvPicPr>
        <xdr:cNvPr id="956" name="Picture 955">
          <a:extLst>
            <a:ext uri="{FF2B5EF4-FFF2-40B4-BE49-F238E27FC236}">
              <a16:creationId xmlns:a16="http://schemas.microsoft.com/office/drawing/2014/main" id="{D0235AA0-C173-4FFF-847E-E1388D87B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21</xdr:row>
      <xdr:rowOff>0</xdr:rowOff>
    </xdr:from>
    <xdr:ext cx="9525" cy="9525"/>
    <xdr:pic>
      <xdr:nvPicPr>
        <xdr:cNvPr id="957" name="Picture 956">
          <a:extLst>
            <a:ext uri="{FF2B5EF4-FFF2-40B4-BE49-F238E27FC236}">
              <a16:creationId xmlns:a16="http://schemas.microsoft.com/office/drawing/2014/main" id="{19D654A9-AAB0-49A2-8E92-0A1A258AE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21</xdr:row>
      <xdr:rowOff>0</xdr:rowOff>
    </xdr:from>
    <xdr:ext cx="9525" cy="9525"/>
    <xdr:pic>
      <xdr:nvPicPr>
        <xdr:cNvPr id="958" name="Picture 957">
          <a:extLst>
            <a:ext uri="{FF2B5EF4-FFF2-40B4-BE49-F238E27FC236}">
              <a16:creationId xmlns:a16="http://schemas.microsoft.com/office/drawing/2014/main" id="{6913AE2D-363B-4F54-823E-5F70CA43D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21</xdr:row>
      <xdr:rowOff>0</xdr:rowOff>
    </xdr:from>
    <xdr:ext cx="9525" cy="9525"/>
    <xdr:pic>
      <xdr:nvPicPr>
        <xdr:cNvPr id="959" name="Picture 958">
          <a:extLst>
            <a:ext uri="{FF2B5EF4-FFF2-40B4-BE49-F238E27FC236}">
              <a16:creationId xmlns:a16="http://schemas.microsoft.com/office/drawing/2014/main" id="{BC560B4B-CE11-4552-999B-B69F88A5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21</xdr:row>
      <xdr:rowOff>0</xdr:rowOff>
    </xdr:from>
    <xdr:ext cx="9525" cy="9525"/>
    <xdr:pic>
      <xdr:nvPicPr>
        <xdr:cNvPr id="960" name="Picture 959">
          <a:extLst>
            <a:ext uri="{FF2B5EF4-FFF2-40B4-BE49-F238E27FC236}">
              <a16:creationId xmlns:a16="http://schemas.microsoft.com/office/drawing/2014/main" id="{30177E1F-388A-423B-90A4-FDFFD0ED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16</xdr:row>
      <xdr:rowOff>0</xdr:rowOff>
    </xdr:from>
    <xdr:ext cx="9525" cy="9525"/>
    <xdr:pic>
      <xdr:nvPicPr>
        <xdr:cNvPr id="961" name="Picture 960">
          <a:extLst>
            <a:ext uri="{FF2B5EF4-FFF2-40B4-BE49-F238E27FC236}">
              <a16:creationId xmlns:a16="http://schemas.microsoft.com/office/drawing/2014/main" id="{F8E0C56A-E7A3-4BD7-A0A5-6BA23AF0F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16</xdr:row>
      <xdr:rowOff>0</xdr:rowOff>
    </xdr:from>
    <xdr:ext cx="9525" cy="9525"/>
    <xdr:pic>
      <xdr:nvPicPr>
        <xdr:cNvPr id="962" name="Picture 961">
          <a:extLst>
            <a:ext uri="{FF2B5EF4-FFF2-40B4-BE49-F238E27FC236}">
              <a16:creationId xmlns:a16="http://schemas.microsoft.com/office/drawing/2014/main" id="{ECEA1B8D-8B6C-4167-AF08-728DDF81A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40822</xdr:colOff>
      <xdr:row>15</xdr:row>
      <xdr:rowOff>0</xdr:rowOff>
    </xdr:from>
    <xdr:ext cx="304800" cy="303440"/>
    <xdr:sp macro="" textlink="">
      <xdr:nvSpPr>
        <xdr:cNvPr id="963" name="AutoShape 69">
          <a:extLst>
            <a:ext uri="{FF2B5EF4-FFF2-40B4-BE49-F238E27FC236}">
              <a16:creationId xmlns:a16="http://schemas.microsoft.com/office/drawing/2014/main" id="{679B511C-D158-4653-B31A-9E1A885E0975}"/>
            </a:ext>
          </a:extLst>
        </xdr:cNvPr>
        <xdr:cNvSpPr>
          <a:spLocks noChangeAspect="1" noChangeArrowheads="1"/>
        </xdr:cNvSpPr>
      </xdr:nvSpPr>
      <xdr:spPr bwMode="auto">
        <a:xfrm>
          <a:off x="34398858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16</xdr:row>
      <xdr:rowOff>0</xdr:rowOff>
    </xdr:from>
    <xdr:ext cx="9525" cy="9525"/>
    <xdr:pic>
      <xdr:nvPicPr>
        <xdr:cNvPr id="964" name="Picture 963">
          <a:extLst>
            <a:ext uri="{FF2B5EF4-FFF2-40B4-BE49-F238E27FC236}">
              <a16:creationId xmlns:a16="http://schemas.microsoft.com/office/drawing/2014/main" id="{B279E870-96B4-430A-81F9-F22A55203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16</xdr:row>
      <xdr:rowOff>0</xdr:rowOff>
    </xdr:from>
    <xdr:ext cx="9525" cy="9525"/>
    <xdr:pic>
      <xdr:nvPicPr>
        <xdr:cNvPr id="966" name="Picture 965">
          <a:extLst>
            <a:ext uri="{FF2B5EF4-FFF2-40B4-BE49-F238E27FC236}">
              <a16:creationId xmlns:a16="http://schemas.microsoft.com/office/drawing/2014/main" id="{0D4DCD75-7E2F-4620-9C42-675350E29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19</xdr:row>
      <xdr:rowOff>0</xdr:rowOff>
    </xdr:from>
    <xdr:ext cx="9525" cy="9525"/>
    <xdr:pic>
      <xdr:nvPicPr>
        <xdr:cNvPr id="968" name="Picture 967">
          <a:extLst>
            <a:ext uri="{FF2B5EF4-FFF2-40B4-BE49-F238E27FC236}">
              <a16:creationId xmlns:a16="http://schemas.microsoft.com/office/drawing/2014/main" id="{2374E6F0-22EC-4F82-BBFE-F96556F6F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19</xdr:row>
      <xdr:rowOff>0</xdr:rowOff>
    </xdr:from>
    <xdr:ext cx="9525" cy="9525"/>
    <xdr:pic>
      <xdr:nvPicPr>
        <xdr:cNvPr id="969" name="Picture 968">
          <a:extLst>
            <a:ext uri="{FF2B5EF4-FFF2-40B4-BE49-F238E27FC236}">
              <a16:creationId xmlns:a16="http://schemas.microsoft.com/office/drawing/2014/main" id="{BEA59289-B742-4FFA-8A69-D25C4C47F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19</xdr:row>
      <xdr:rowOff>0</xdr:rowOff>
    </xdr:from>
    <xdr:ext cx="9525" cy="9525"/>
    <xdr:pic>
      <xdr:nvPicPr>
        <xdr:cNvPr id="970" name="Picture 969">
          <a:extLst>
            <a:ext uri="{FF2B5EF4-FFF2-40B4-BE49-F238E27FC236}">
              <a16:creationId xmlns:a16="http://schemas.microsoft.com/office/drawing/2014/main" id="{5EF9094E-2E19-4B43-A487-72CC247A1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17</xdr:row>
      <xdr:rowOff>0</xdr:rowOff>
    </xdr:from>
    <xdr:ext cx="9525" cy="9525"/>
    <xdr:pic>
      <xdr:nvPicPr>
        <xdr:cNvPr id="971" name="Picture 970">
          <a:extLst>
            <a:ext uri="{FF2B5EF4-FFF2-40B4-BE49-F238E27FC236}">
              <a16:creationId xmlns:a16="http://schemas.microsoft.com/office/drawing/2014/main" id="{F2C78C64-9C8E-4C45-8E4F-E860FE174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16</xdr:row>
      <xdr:rowOff>0</xdr:rowOff>
    </xdr:from>
    <xdr:ext cx="304800" cy="304800"/>
    <xdr:sp macro="" textlink="">
      <xdr:nvSpPr>
        <xdr:cNvPr id="972" name="AutoShape 40">
          <a:extLst>
            <a:ext uri="{FF2B5EF4-FFF2-40B4-BE49-F238E27FC236}">
              <a16:creationId xmlns:a16="http://schemas.microsoft.com/office/drawing/2014/main" id="{73389BDC-43E7-4635-8D77-6EE2CBD7782E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303439"/>
    <xdr:sp macro="" textlink="">
      <xdr:nvSpPr>
        <xdr:cNvPr id="973" name="AutoShape 42">
          <a:extLst>
            <a:ext uri="{FF2B5EF4-FFF2-40B4-BE49-F238E27FC236}">
              <a16:creationId xmlns:a16="http://schemas.microsoft.com/office/drawing/2014/main" id="{5856A129-5EEC-47CE-B0C6-D2EE0B3F4BD8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9525" cy="9525"/>
    <xdr:pic>
      <xdr:nvPicPr>
        <xdr:cNvPr id="974" name="Picture 973">
          <a:extLst>
            <a:ext uri="{FF2B5EF4-FFF2-40B4-BE49-F238E27FC236}">
              <a16:creationId xmlns:a16="http://schemas.microsoft.com/office/drawing/2014/main" id="{F7FF377B-EF47-4B43-8206-B3D72FE1E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16</xdr:row>
      <xdr:rowOff>0</xdr:rowOff>
    </xdr:from>
    <xdr:ext cx="304800" cy="304800"/>
    <xdr:sp macro="" textlink="">
      <xdr:nvSpPr>
        <xdr:cNvPr id="975" name="AutoShape 63">
          <a:extLst>
            <a:ext uri="{FF2B5EF4-FFF2-40B4-BE49-F238E27FC236}">
              <a16:creationId xmlns:a16="http://schemas.microsoft.com/office/drawing/2014/main" id="{4A4A9481-946B-4563-836F-908BD07F59CA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303439"/>
    <xdr:sp macro="" textlink="">
      <xdr:nvSpPr>
        <xdr:cNvPr id="976" name="AutoShape 65">
          <a:extLst>
            <a:ext uri="{FF2B5EF4-FFF2-40B4-BE49-F238E27FC236}">
              <a16:creationId xmlns:a16="http://schemas.microsoft.com/office/drawing/2014/main" id="{7061120A-7D2A-41AA-86F8-C2C72929E829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9525" cy="9525"/>
    <xdr:pic>
      <xdr:nvPicPr>
        <xdr:cNvPr id="977" name="Picture 976">
          <a:extLst>
            <a:ext uri="{FF2B5EF4-FFF2-40B4-BE49-F238E27FC236}">
              <a16:creationId xmlns:a16="http://schemas.microsoft.com/office/drawing/2014/main" id="{852AD829-EAFA-477A-A0F7-A6C61D2E7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16</xdr:row>
      <xdr:rowOff>0</xdr:rowOff>
    </xdr:from>
    <xdr:ext cx="304800" cy="304800"/>
    <xdr:sp macro="" textlink="">
      <xdr:nvSpPr>
        <xdr:cNvPr id="978" name="AutoShape 113">
          <a:extLst>
            <a:ext uri="{FF2B5EF4-FFF2-40B4-BE49-F238E27FC236}">
              <a16:creationId xmlns:a16="http://schemas.microsoft.com/office/drawing/2014/main" id="{46439CF7-2B56-493B-8B90-697ECCE5C191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303439"/>
    <xdr:sp macro="" textlink="">
      <xdr:nvSpPr>
        <xdr:cNvPr id="979" name="AutoShape 115">
          <a:extLst>
            <a:ext uri="{FF2B5EF4-FFF2-40B4-BE49-F238E27FC236}">
              <a16:creationId xmlns:a16="http://schemas.microsoft.com/office/drawing/2014/main" id="{7559A55E-B294-49AC-866A-0A58E69623F7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9525" cy="9525"/>
    <xdr:pic>
      <xdr:nvPicPr>
        <xdr:cNvPr id="980" name="Picture 979">
          <a:extLst>
            <a:ext uri="{FF2B5EF4-FFF2-40B4-BE49-F238E27FC236}">
              <a16:creationId xmlns:a16="http://schemas.microsoft.com/office/drawing/2014/main" id="{F4E7D408-008A-44AD-B04A-B83609E0B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16</xdr:row>
      <xdr:rowOff>0</xdr:rowOff>
    </xdr:from>
    <xdr:ext cx="304800" cy="304800"/>
    <xdr:sp macro="" textlink="">
      <xdr:nvSpPr>
        <xdr:cNvPr id="981" name="AutoShape 138">
          <a:extLst>
            <a:ext uri="{FF2B5EF4-FFF2-40B4-BE49-F238E27FC236}">
              <a16:creationId xmlns:a16="http://schemas.microsoft.com/office/drawing/2014/main" id="{D043D316-ACB4-4943-96E7-DEE7F472C7F1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303439"/>
    <xdr:sp macro="" textlink="">
      <xdr:nvSpPr>
        <xdr:cNvPr id="982" name="AutoShape 140">
          <a:extLst>
            <a:ext uri="{FF2B5EF4-FFF2-40B4-BE49-F238E27FC236}">
              <a16:creationId xmlns:a16="http://schemas.microsoft.com/office/drawing/2014/main" id="{53A10C85-D7F6-419B-BBD5-C067522DF6C5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18</xdr:row>
      <xdr:rowOff>0</xdr:rowOff>
    </xdr:from>
    <xdr:ext cx="9525" cy="9525"/>
    <xdr:pic>
      <xdr:nvPicPr>
        <xdr:cNvPr id="983" name="Picture 982">
          <a:extLst>
            <a:ext uri="{FF2B5EF4-FFF2-40B4-BE49-F238E27FC236}">
              <a16:creationId xmlns:a16="http://schemas.microsoft.com/office/drawing/2014/main" id="{1E7DAE69-1579-4BB6-9674-7EBBA8A7D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18</xdr:row>
      <xdr:rowOff>0</xdr:rowOff>
    </xdr:from>
    <xdr:ext cx="9525" cy="9525"/>
    <xdr:pic>
      <xdr:nvPicPr>
        <xdr:cNvPr id="984" name="Picture 983">
          <a:extLst>
            <a:ext uri="{FF2B5EF4-FFF2-40B4-BE49-F238E27FC236}">
              <a16:creationId xmlns:a16="http://schemas.microsoft.com/office/drawing/2014/main" id="{EC3D1D6A-16D4-4957-BED5-7D84C9A61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18</xdr:row>
      <xdr:rowOff>0</xdr:rowOff>
    </xdr:from>
    <xdr:ext cx="9525" cy="9525"/>
    <xdr:pic>
      <xdr:nvPicPr>
        <xdr:cNvPr id="985" name="Picture 984">
          <a:extLst>
            <a:ext uri="{FF2B5EF4-FFF2-40B4-BE49-F238E27FC236}">
              <a16:creationId xmlns:a16="http://schemas.microsoft.com/office/drawing/2014/main" id="{917CE91E-74B8-4E1B-A420-708A46ACB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18</xdr:row>
      <xdr:rowOff>0</xdr:rowOff>
    </xdr:from>
    <xdr:ext cx="9525" cy="9525"/>
    <xdr:pic>
      <xdr:nvPicPr>
        <xdr:cNvPr id="986" name="Picture 985">
          <a:extLst>
            <a:ext uri="{FF2B5EF4-FFF2-40B4-BE49-F238E27FC236}">
              <a16:creationId xmlns:a16="http://schemas.microsoft.com/office/drawing/2014/main" id="{E474A7AD-B694-4622-9EF8-4AE99EE55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9</xdr:row>
      <xdr:rowOff>0</xdr:rowOff>
    </xdr:from>
    <xdr:ext cx="9525" cy="9525"/>
    <xdr:pic>
      <xdr:nvPicPr>
        <xdr:cNvPr id="987" name="Picture 986">
          <a:extLst>
            <a:ext uri="{FF2B5EF4-FFF2-40B4-BE49-F238E27FC236}">
              <a16:creationId xmlns:a16="http://schemas.microsoft.com/office/drawing/2014/main" id="{C5D99A62-C0E8-41BB-AC5C-ED432994E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9</xdr:row>
      <xdr:rowOff>0</xdr:rowOff>
    </xdr:from>
    <xdr:ext cx="9525" cy="9525"/>
    <xdr:pic>
      <xdr:nvPicPr>
        <xdr:cNvPr id="988" name="Picture 987">
          <a:extLst>
            <a:ext uri="{FF2B5EF4-FFF2-40B4-BE49-F238E27FC236}">
              <a16:creationId xmlns:a16="http://schemas.microsoft.com/office/drawing/2014/main" id="{184327B5-A364-493B-9461-D5255703C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9</xdr:row>
      <xdr:rowOff>0</xdr:rowOff>
    </xdr:from>
    <xdr:ext cx="9525" cy="9525"/>
    <xdr:pic>
      <xdr:nvPicPr>
        <xdr:cNvPr id="989" name="Picture 988">
          <a:extLst>
            <a:ext uri="{FF2B5EF4-FFF2-40B4-BE49-F238E27FC236}">
              <a16:creationId xmlns:a16="http://schemas.microsoft.com/office/drawing/2014/main" id="{A7597035-F663-4E96-A113-7592F5E9A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9</xdr:row>
      <xdr:rowOff>0</xdr:rowOff>
    </xdr:from>
    <xdr:ext cx="9525" cy="9525"/>
    <xdr:pic>
      <xdr:nvPicPr>
        <xdr:cNvPr id="990" name="Picture 989">
          <a:extLst>
            <a:ext uri="{FF2B5EF4-FFF2-40B4-BE49-F238E27FC236}">
              <a16:creationId xmlns:a16="http://schemas.microsoft.com/office/drawing/2014/main" id="{0CD29594-2971-4023-9E75-2E2BA9AAA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10</xdr:row>
      <xdr:rowOff>0</xdr:rowOff>
    </xdr:from>
    <xdr:ext cx="9525" cy="9525"/>
    <xdr:pic>
      <xdr:nvPicPr>
        <xdr:cNvPr id="991" name="Picture 990">
          <a:extLst>
            <a:ext uri="{FF2B5EF4-FFF2-40B4-BE49-F238E27FC236}">
              <a16:creationId xmlns:a16="http://schemas.microsoft.com/office/drawing/2014/main" id="{138CCB0B-D203-46A5-9D82-5EDF26265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9</xdr:row>
      <xdr:rowOff>0</xdr:rowOff>
    </xdr:from>
    <xdr:ext cx="304800" cy="304800"/>
    <xdr:sp macro="" textlink="">
      <xdr:nvSpPr>
        <xdr:cNvPr id="992" name="AutoShape 38">
          <a:extLst>
            <a:ext uri="{FF2B5EF4-FFF2-40B4-BE49-F238E27FC236}">
              <a16:creationId xmlns:a16="http://schemas.microsoft.com/office/drawing/2014/main" id="{1C1A2030-F742-4D98-ACBE-E075901E3681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10</xdr:row>
      <xdr:rowOff>0</xdr:rowOff>
    </xdr:from>
    <xdr:ext cx="304800" cy="304800"/>
    <xdr:sp macro="" textlink="">
      <xdr:nvSpPr>
        <xdr:cNvPr id="993" name="AutoShape 40">
          <a:extLst>
            <a:ext uri="{FF2B5EF4-FFF2-40B4-BE49-F238E27FC236}">
              <a16:creationId xmlns:a16="http://schemas.microsoft.com/office/drawing/2014/main" id="{92660362-4D15-4ED6-8CE1-8296B89EA657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10</xdr:row>
      <xdr:rowOff>0</xdr:rowOff>
    </xdr:from>
    <xdr:ext cx="9525" cy="9525"/>
    <xdr:pic>
      <xdr:nvPicPr>
        <xdr:cNvPr id="994" name="Picture 993">
          <a:extLst>
            <a:ext uri="{FF2B5EF4-FFF2-40B4-BE49-F238E27FC236}">
              <a16:creationId xmlns:a16="http://schemas.microsoft.com/office/drawing/2014/main" id="{D23322FF-D40B-4ADE-AB9D-1C0D74061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9</xdr:row>
      <xdr:rowOff>0</xdr:rowOff>
    </xdr:from>
    <xdr:ext cx="304800" cy="304800"/>
    <xdr:sp macro="" textlink="">
      <xdr:nvSpPr>
        <xdr:cNvPr id="995" name="AutoShape 61">
          <a:extLst>
            <a:ext uri="{FF2B5EF4-FFF2-40B4-BE49-F238E27FC236}">
              <a16:creationId xmlns:a16="http://schemas.microsoft.com/office/drawing/2014/main" id="{4C50606E-8CF9-4FAB-B95F-EAA49F43FB19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10</xdr:row>
      <xdr:rowOff>0</xdr:rowOff>
    </xdr:from>
    <xdr:ext cx="304800" cy="304800"/>
    <xdr:sp macro="" textlink="">
      <xdr:nvSpPr>
        <xdr:cNvPr id="996" name="AutoShape 63">
          <a:extLst>
            <a:ext uri="{FF2B5EF4-FFF2-40B4-BE49-F238E27FC236}">
              <a16:creationId xmlns:a16="http://schemas.microsoft.com/office/drawing/2014/main" id="{479B5748-11EE-4D5E-B446-423CB799F0CF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10</xdr:row>
      <xdr:rowOff>0</xdr:rowOff>
    </xdr:from>
    <xdr:ext cx="9525" cy="9525"/>
    <xdr:pic>
      <xdr:nvPicPr>
        <xdr:cNvPr id="997" name="Picture 996">
          <a:extLst>
            <a:ext uri="{FF2B5EF4-FFF2-40B4-BE49-F238E27FC236}">
              <a16:creationId xmlns:a16="http://schemas.microsoft.com/office/drawing/2014/main" id="{E3550481-FF9D-42F6-9A94-00866374B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9</xdr:row>
      <xdr:rowOff>0</xdr:rowOff>
    </xdr:from>
    <xdr:ext cx="304800" cy="304800"/>
    <xdr:sp macro="" textlink="">
      <xdr:nvSpPr>
        <xdr:cNvPr id="998" name="AutoShape 111">
          <a:extLst>
            <a:ext uri="{FF2B5EF4-FFF2-40B4-BE49-F238E27FC236}">
              <a16:creationId xmlns:a16="http://schemas.microsoft.com/office/drawing/2014/main" id="{E52682BC-7ECF-4A35-B382-B9B03E3A1126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10</xdr:row>
      <xdr:rowOff>0</xdr:rowOff>
    </xdr:from>
    <xdr:ext cx="304800" cy="304800"/>
    <xdr:sp macro="" textlink="">
      <xdr:nvSpPr>
        <xdr:cNvPr id="999" name="AutoShape 113">
          <a:extLst>
            <a:ext uri="{FF2B5EF4-FFF2-40B4-BE49-F238E27FC236}">
              <a16:creationId xmlns:a16="http://schemas.microsoft.com/office/drawing/2014/main" id="{B9065F67-45C4-4749-9B9B-1CF32E8CFA92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10</xdr:row>
      <xdr:rowOff>0</xdr:rowOff>
    </xdr:from>
    <xdr:ext cx="9525" cy="9525"/>
    <xdr:pic>
      <xdr:nvPicPr>
        <xdr:cNvPr id="1000" name="Picture 999">
          <a:extLst>
            <a:ext uri="{FF2B5EF4-FFF2-40B4-BE49-F238E27FC236}">
              <a16:creationId xmlns:a16="http://schemas.microsoft.com/office/drawing/2014/main" id="{E0D5FF71-E9C2-4A2A-BA35-98EF26EAA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9</xdr:row>
      <xdr:rowOff>0</xdr:rowOff>
    </xdr:from>
    <xdr:ext cx="304800" cy="304800"/>
    <xdr:sp macro="" textlink="">
      <xdr:nvSpPr>
        <xdr:cNvPr id="1001" name="AutoShape 136">
          <a:extLst>
            <a:ext uri="{FF2B5EF4-FFF2-40B4-BE49-F238E27FC236}">
              <a16:creationId xmlns:a16="http://schemas.microsoft.com/office/drawing/2014/main" id="{551E21A5-45C0-4C52-B860-81B0DD8989BA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10</xdr:row>
      <xdr:rowOff>0</xdr:rowOff>
    </xdr:from>
    <xdr:ext cx="304800" cy="304800"/>
    <xdr:sp macro="" textlink="">
      <xdr:nvSpPr>
        <xdr:cNvPr id="1002" name="AutoShape 138">
          <a:extLst>
            <a:ext uri="{FF2B5EF4-FFF2-40B4-BE49-F238E27FC236}">
              <a16:creationId xmlns:a16="http://schemas.microsoft.com/office/drawing/2014/main" id="{84CCAF1A-855A-4E91-AFDF-A1D87BF7640A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22</xdr:row>
      <xdr:rowOff>0</xdr:rowOff>
    </xdr:from>
    <xdr:ext cx="9525" cy="9525"/>
    <xdr:pic>
      <xdr:nvPicPr>
        <xdr:cNvPr id="1003" name="Picture 1002">
          <a:extLst>
            <a:ext uri="{FF2B5EF4-FFF2-40B4-BE49-F238E27FC236}">
              <a16:creationId xmlns:a16="http://schemas.microsoft.com/office/drawing/2014/main" id="{779353BD-772F-4352-94A7-DA14E4CFC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22</xdr:row>
      <xdr:rowOff>0</xdr:rowOff>
    </xdr:from>
    <xdr:ext cx="9525" cy="9525"/>
    <xdr:pic>
      <xdr:nvPicPr>
        <xdr:cNvPr id="1004" name="Picture 1003">
          <a:extLst>
            <a:ext uri="{FF2B5EF4-FFF2-40B4-BE49-F238E27FC236}">
              <a16:creationId xmlns:a16="http://schemas.microsoft.com/office/drawing/2014/main" id="{6911F4B0-51BB-4833-9927-D332C7EE7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22</xdr:row>
      <xdr:rowOff>0</xdr:rowOff>
    </xdr:from>
    <xdr:ext cx="9525" cy="9525"/>
    <xdr:pic>
      <xdr:nvPicPr>
        <xdr:cNvPr id="1005" name="Picture 1004">
          <a:extLst>
            <a:ext uri="{FF2B5EF4-FFF2-40B4-BE49-F238E27FC236}">
              <a16:creationId xmlns:a16="http://schemas.microsoft.com/office/drawing/2014/main" id="{F9CCC88D-F6D6-4212-B4CF-FE9E4E0D3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22</xdr:row>
      <xdr:rowOff>0</xdr:rowOff>
    </xdr:from>
    <xdr:ext cx="9525" cy="9525"/>
    <xdr:pic>
      <xdr:nvPicPr>
        <xdr:cNvPr id="1006" name="Picture 1005">
          <a:extLst>
            <a:ext uri="{FF2B5EF4-FFF2-40B4-BE49-F238E27FC236}">
              <a16:creationId xmlns:a16="http://schemas.microsoft.com/office/drawing/2014/main" id="{98FBF8E0-0D72-4611-8B26-5A5A60970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23</xdr:row>
      <xdr:rowOff>0</xdr:rowOff>
    </xdr:from>
    <xdr:ext cx="9525" cy="9525"/>
    <xdr:pic>
      <xdr:nvPicPr>
        <xdr:cNvPr id="1007" name="Picture 1006">
          <a:extLst>
            <a:ext uri="{FF2B5EF4-FFF2-40B4-BE49-F238E27FC236}">
              <a16:creationId xmlns:a16="http://schemas.microsoft.com/office/drawing/2014/main" id="{721ADD04-9E1F-4E8E-BEF9-14442BA83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23</xdr:row>
      <xdr:rowOff>0</xdr:rowOff>
    </xdr:from>
    <xdr:ext cx="304800" cy="304800"/>
    <xdr:sp macro="" textlink="">
      <xdr:nvSpPr>
        <xdr:cNvPr id="1008" name="AutoShape 38">
          <a:extLst>
            <a:ext uri="{FF2B5EF4-FFF2-40B4-BE49-F238E27FC236}">
              <a16:creationId xmlns:a16="http://schemas.microsoft.com/office/drawing/2014/main" id="{7D3B035F-B1F6-4793-9F68-85468BA91FBA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23</xdr:row>
      <xdr:rowOff>0</xdr:rowOff>
    </xdr:from>
    <xdr:ext cx="9525" cy="9525"/>
    <xdr:pic>
      <xdr:nvPicPr>
        <xdr:cNvPr id="1009" name="Picture 1008">
          <a:extLst>
            <a:ext uri="{FF2B5EF4-FFF2-40B4-BE49-F238E27FC236}">
              <a16:creationId xmlns:a16="http://schemas.microsoft.com/office/drawing/2014/main" id="{EED8A59A-0166-4C4E-B78F-5B1E2990A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23</xdr:row>
      <xdr:rowOff>0</xdr:rowOff>
    </xdr:from>
    <xdr:ext cx="304800" cy="304800"/>
    <xdr:sp macro="" textlink="">
      <xdr:nvSpPr>
        <xdr:cNvPr id="1010" name="AutoShape 61">
          <a:extLst>
            <a:ext uri="{FF2B5EF4-FFF2-40B4-BE49-F238E27FC236}">
              <a16:creationId xmlns:a16="http://schemas.microsoft.com/office/drawing/2014/main" id="{BE6F75CE-7671-47BC-BFBF-CF9EA5E58AC4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23</xdr:row>
      <xdr:rowOff>0</xdr:rowOff>
    </xdr:from>
    <xdr:ext cx="9525" cy="9525"/>
    <xdr:pic>
      <xdr:nvPicPr>
        <xdr:cNvPr id="1011" name="Picture 1010">
          <a:extLst>
            <a:ext uri="{FF2B5EF4-FFF2-40B4-BE49-F238E27FC236}">
              <a16:creationId xmlns:a16="http://schemas.microsoft.com/office/drawing/2014/main" id="{6D6BA35F-B684-47E4-8BEC-F6501A335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23</xdr:row>
      <xdr:rowOff>0</xdr:rowOff>
    </xdr:from>
    <xdr:ext cx="304800" cy="304800"/>
    <xdr:sp macro="" textlink="">
      <xdr:nvSpPr>
        <xdr:cNvPr id="1012" name="AutoShape 111">
          <a:extLst>
            <a:ext uri="{FF2B5EF4-FFF2-40B4-BE49-F238E27FC236}">
              <a16:creationId xmlns:a16="http://schemas.microsoft.com/office/drawing/2014/main" id="{96031C1A-4D93-4378-A2E6-121ECC9DC5DC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23</xdr:row>
      <xdr:rowOff>0</xdr:rowOff>
    </xdr:from>
    <xdr:ext cx="9525" cy="9525"/>
    <xdr:pic>
      <xdr:nvPicPr>
        <xdr:cNvPr id="1013" name="Picture 1012">
          <a:extLst>
            <a:ext uri="{FF2B5EF4-FFF2-40B4-BE49-F238E27FC236}">
              <a16:creationId xmlns:a16="http://schemas.microsoft.com/office/drawing/2014/main" id="{3AD22CD3-0159-4D70-A670-CB211395E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23</xdr:row>
      <xdr:rowOff>0</xdr:rowOff>
    </xdr:from>
    <xdr:ext cx="304800" cy="304800"/>
    <xdr:sp macro="" textlink="">
      <xdr:nvSpPr>
        <xdr:cNvPr id="1014" name="AutoShape 136">
          <a:extLst>
            <a:ext uri="{FF2B5EF4-FFF2-40B4-BE49-F238E27FC236}">
              <a16:creationId xmlns:a16="http://schemas.microsoft.com/office/drawing/2014/main" id="{BFEE36C0-509A-4FF7-AAA8-83FA7FD7684A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23</xdr:row>
      <xdr:rowOff>0</xdr:rowOff>
    </xdr:from>
    <xdr:ext cx="304800" cy="304800"/>
    <xdr:sp macro="" textlink="">
      <xdr:nvSpPr>
        <xdr:cNvPr id="1015" name="AutoShape 44">
          <a:extLst>
            <a:ext uri="{FF2B5EF4-FFF2-40B4-BE49-F238E27FC236}">
              <a16:creationId xmlns:a16="http://schemas.microsoft.com/office/drawing/2014/main" id="{616EE179-F8F8-47A9-B6E9-A3203BCF0C50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23</xdr:row>
      <xdr:rowOff>0</xdr:rowOff>
    </xdr:from>
    <xdr:ext cx="304800" cy="304800"/>
    <xdr:sp macro="" textlink="">
      <xdr:nvSpPr>
        <xdr:cNvPr id="1016" name="AutoShape 67">
          <a:extLst>
            <a:ext uri="{FF2B5EF4-FFF2-40B4-BE49-F238E27FC236}">
              <a16:creationId xmlns:a16="http://schemas.microsoft.com/office/drawing/2014/main" id="{71C0947D-0FFB-40EC-BD88-33761FDB3D24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24</xdr:row>
      <xdr:rowOff>0</xdr:rowOff>
    </xdr:from>
    <xdr:ext cx="304800" cy="303440"/>
    <xdr:sp macro="" textlink="">
      <xdr:nvSpPr>
        <xdr:cNvPr id="1017" name="AutoShape 69">
          <a:extLst>
            <a:ext uri="{FF2B5EF4-FFF2-40B4-BE49-F238E27FC236}">
              <a16:creationId xmlns:a16="http://schemas.microsoft.com/office/drawing/2014/main" id="{25B53BC3-C35D-4703-9111-2FBA1D03A599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24</xdr:row>
      <xdr:rowOff>0</xdr:rowOff>
    </xdr:from>
    <xdr:ext cx="9525" cy="9525"/>
    <xdr:pic>
      <xdr:nvPicPr>
        <xdr:cNvPr id="1018" name="Picture 1017">
          <a:extLst>
            <a:ext uri="{FF2B5EF4-FFF2-40B4-BE49-F238E27FC236}">
              <a16:creationId xmlns:a16="http://schemas.microsoft.com/office/drawing/2014/main" id="{C5CB3643-A0DC-4DE3-857C-447210BA0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23</xdr:row>
      <xdr:rowOff>0</xdr:rowOff>
    </xdr:from>
    <xdr:ext cx="304800" cy="304800"/>
    <xdr:sp macro="" textlink="">
      <xdr:nvSpPr>
        <xdr:cNvPr id="1019" name="AutoShape 117">
          <a:extLst>
            <a:ext uri="{FF2B5EF4-FFF2-40B4-BE49-F238E27FC236}">
              <a16:creationId xmlns:a16="http://schemas.microsoft.com/office/drawing/2014/main" id="{6B57D146-6FAB-4611-A8B3-4A82433803C4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24</xdr:row>
      <xdr:rowOff>0</xdr:rowOff>
    </xdr:from>
    <xdr:ext cx="304800" cy="303440"/>
    <xdr:sp macro="" textlink="">
      <xdr:nvSpPr>
        <xdr:cNvPr id="1020" name="AutoShape 119">
          <a:extLst>
            <a:ext uri="{FF2B5EF4-FFF2-40B4-BE49-F238E27FC236}">
              <a16:creationId xmlns:a16="http://schemas.microsoft.com/office/drawing/2014/main" id="{9EA3264D-7333-4F19-B141-1E57E2806001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24</xdr:row>
      <xdr:rowOff>0</xdr:rowOff>
    </xdr:from>
    <xdr:ext cx="9525" cy="9525"/>
    <xdr:pic>
      <xdr:nvPicPr>
        <xdr:cNvPr id="1021" name="Picture 1020">
          <a:extLst>
            <a:ext uri="{FF2B5EF4-FFF2-40B4-BE49-F238E27FC236}">
              <a16:creationId xmlns:a16="http://schemas.microsoft.com/office/drawing/2014/main" id="{FBC98C04-BD1E-48E2-A796-E1D936BB6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23</xdr:row>
      <xdr:rowOff>0</xdr:rowOff>
    </xdr:from>
    <xdr:ext cx="304800" cy="304800"/>
    <xdr:sp macro="" textlink="">
      <xdr:nvSpPr>
        <xdr:cNvPr id="1022" name="AutoShape 142">
          <a:extLst>
            <a:ext uri="{FF2B5EF4-FFF2-40B4-BE49-F238E27FC236}">
              <a16:creationId xmlns:a16="http://schemas.microsoft.com/office/drawing/2014/main" id="{929D710D-3C9C-44E7-9A65-59E9B51B76C9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24</xdr:row>
      <xdr:rowOff>0</xdr:rowOff>
    </xdr:from>
    <xdr:ext cx="304800" cy="303440"/>
    <xdr:sp macro="" textlink="">
      <xdr:nvSpPr>
        <xdr:cNvPr id="1023" name="AutoShape 144">
          <a:extLst>
            <a:ext uri="{FF2B5EF4-FFF2-40B4-BE49-F238E27FC236}">
              <a16:creationId xmlns:a16="http://schemas.microsoft.com/office/drawing/2014/main" id="{89DAB246-C2CB-40BE-96CB-6E6DE4B61411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3</xdr:row>
      <xdr:rowOff>0</xdr:rowOff>
    </xdr:from>
    <xdr:ext cx="9525" cy="9525"/>
    <xdr:pic>
      <xdr:nvPicPr>
        <xdr:cNvPr id="1024" name="Picture 1023">
          <a:extLst>
            <a:ext uri="{FF2B5EF4-FFF2-40B4-BE49-F238E27FC236}">
              <a16:creationId xmlns:a16="http://schemas.microsoft.com/office/drawing/2014/main" id="{80B0358A-07A2-449E-8885-82736D5F4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</xdr:row>
      <xdr:rowOff>0</xdr:rowOff>
    </xdr:from>
    <xdr:ext cx="304800" cy="303439"/>
    <xdr:sp macro="" textlink="">
      <xdr:nvSpPr>
        <xdr:cNvPr id="1025" name="AutoShape 25">
          <a:extLst>
            <a:ext uri="{FF2B5EF4-FFF2-40B4-BE49-F238E27FC236}">
              <a16:creationId xmlns:a16="http://schemas.microsoft.com/office/drawing/2014/main" id="{0223FEF2-C319-44D5-9B1C-832BF8B7BF0D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9525" cy="9525"/>
    <xdr:pic>
      <xdr:nvPicPr>
        <xdr:cNvPr id="1026" name="Picture 1025">
          <a:extLst>
            <a:ext uri="{FF2B5EF4-FFF2-40B4-BE49-F238E27FC236}">
              <a16:creationId xmlns:a16="http://schemas.microsoft.com/office/drawing/2014/main" id="{07727783-F27F-4093-ACA7-B69EF9AB8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5</xdr:row>
      <xdr:rowOff>0</xdr:rowOff>
    </xdr:from>
    <xdr:ext cx="9525" cy="9525"/>
    <xdr:pic>
      <xdr:nvPicPr>
        <xdr:cNvPr id="1027" name="Picture 1026">
          <a:extLst>
            <a:ext uri="{FF2B5EF4-FFF2-40B4-BE49-F238E27FC236}">
              <a16:creationId xmlns:a16="http://schemas.microsoft.com/office/drawing/2014/main" id="{0B7D7E20-F427-44A6-9CBE-3EA241302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6</xdr:row>
      <xdr:rowOff>0</xdr:rowOff>
    </xdr:from>
    <xdr:ext cx="9525" cy="9525"/>
    <xdr:pic>
      <xdr:nvPicPr>
        <xdr:cNvPr id="1028" name="Picture 1027">
          <a:extLst>
            <a:ext uri="{FF2B5EF4-FFF2-40B4-BE49-F238E27FC236}">
              <a16:creationId xmlns:a16="http://schemas.microsoft.com/office/drawing/2014/main" id="{DE85BE0F-CDB6-415F-8E23-79C43F13D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29" name="AutoShape 29">
          <a:extLst>
            <a:ext uri="{FF2B5EF4-FFF2-40B4-BE49-F238E27FC236}">
              <a16:creationId xmlns:a16="http://schemas.microsoft.com/office/drawing/2014/main" id="{6E218660-28BB-4142-B645-3E3AC9B78DF6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30" name="Picture 1029">
          <a:extLst>
            <a:ext uri="{FF2B5EF4-FFF2-40B4-BE49-F238E27FC236}">
              <a16:creationId xmlns:a16="http://schemas.microsoft.com/office/drawing/2014/main" id="{4003A37E-7659-4394-B0AE-EE3D6276E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26</xdr:row>
      <xdr:rowOff>0</xdr:rowOff>
    </xdr:from>
    <xdr:ext cx="9525" cy="9525"/>
    <xdr:pic>
      <xdr:nvPicPr>
        <xdr:cNvPr id="1031" name="Picture 1030">
          <a:extLst>
            <a:ext uri="{FF2B5EF4-FFF2-40B4-BE49-F238E27FC236}">
              <a16:creationId xmlns:a16="http://schemas.microsoft.com/office/drawing/2014/main" id="{733358F0-ED62-48AC-9653-6D94F86C6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25</xdr:row>
      <xdr:rowOff>0</xdr:rowOff>
    </xdr:from>
    <xdr:ext cx="304800" cy="303440"/>
    <xdr:sp macro="" textlink="">
      <xdr:nvSpPr>
        <xdr:cNvPr id="1032" name="AutoShape 32">
          <a:extLst>
            <a:ext uri="{FF2B5EF4-FFF2-40B4-BE49-F238E27FC236}">
              <a16:creationId xmlns:a16="http://schemas.microsoft.com/office/drawing/2014/main" id="{43BF8E0A-9943-4CBC-9154-67EB7512D4B1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33" name="Picture 1032">
          <a:extLst>
            <a:ext uri="{FF2B5EF4-FFF2-40B4-BE49-F238E27FC236}">
              <a16:creationId xmlns:a16="http://schemas.microsoft.com/office/drawing/2014/main" id="{B2EF3CF2-0093-4FEA-9875-7FFF0C7B7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34" name="Picture 1033">
          <a:extLst>
            <a:ext uri="{FF2B5EF4-FFF2-40B4-BE49-F238E27FC236}">
              <a16:creationId xmlns:a16="http://schemas.microsoft.com/office/drawing/2014/main" id="{45E3E977-3B15-44D8-B445-6DA683709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35" name="Picture 1034">
          <a:extLst>
            <a:ext uri="{FF2B5EF4-FFF2-40B4-BE49-F238E27FC236}">
              <a16:creationId xmlns:a16="http://schemas.microsoft.com/office/drawing/2014/main" id="{76EA7FB1-4E20-4315-98BD-2FF8EAB5D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36" name="Picture 1035">
          <a:extLst>
            <a:ext uri="{FF2B5EF4-FFF2-40B4-BE49-F238E27FC236}">
              <a16:creationId xmlns:a16="http://schemas.microsoft.com/office/drawing/2014/main" id="{BF9A3FC2-D79E-431B-8F8C-66C615756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37" name="Picture 1036">
          <a:extLst>
            <a:ext uri="{FF2B5EF4-FFF2-40B4-BE49-F238E27FC236}">
              <a16:creationId xmlns:a16="http://schemas.microsoft.com/office/drawing/2014/main" id="{71C3DC51-B2C4-4FB8-8335-160DB33BB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1038" name="AutoShape 38">
          <a:extLst>
            <a:ext uri="{FF2B5EF4-FFF2-40B4-BE49-F238E27FC236}">
              <a16:creationId xmlns:a16="http://schemas.microsoft.com/office/drawing/2014/main" id="{6F4646A7-CD80-41AF-84BA-B47C529CDD66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39" name="Picture 1038">
          <a:extLst>
            <a:ext uri="{FF2B5EF4-FFF2-40B4-BE49-F238E27FC236}">
              <a16:creationId xmlns:a16="http://schemas.microsoft.com/office/drawing/2014/main" id="{94B90F98-663D-42E7-8341-FEC72AD8B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1040" name="AutoShape 40">
          <a:extLst>
            <a:ext uri="{FF2B5EF4-FFF2-40B4-BE49-F238E27FC236}">
              <a16:creationId xmlns:a16="http://schemas.microsoft.com/office/drawing/2014/main" id="{EE3AC3D3-94A5-42E5-B90A-93B9AC283831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9525" cy="9525"/>
    <xdr:pic>
      <xdr:nvPicPr>
        <xdr:cNvPr id="1041" name="Picture 1040">
          <a:extLst>
            <a:ext uri="{FF2B5EF4-FFF2-40B4-BE49-F238E27FC236}">
              <a16:creationId xmlns:a16="http://schemas.microsoft.com/office/drawing/2014/main" id="{1AB68179-B9A8-4898-A150-89845F5CD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12</xdr:row>
      <xdr:rowOff>0</xdr:rowOff>
    </xdr:from>
    <xdr:ext cx="304800" cy="303439"/>
    <xdr:sp macro="" textlink="">
      <xdr:nvSpPr>
        <xdr:cNvPr id="1042" name="AutoShape 42">
          <a:extLst>
            <a:ext uri="{FF2B5EF4-FFF2-40B4-BE49-F238E27FC236}">
              <a16:creationId xmlns:a16="http://schemas.microsoft.com/office/drawing/2014/main" id="{26A496FB-DA4E-418F-B08B-DB4794196A1D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304800" cy="304800"/>
    <xdr:sp macro="" textlink="">
      <xdr:nvSpPr>
        <xdr:cNvPr id="1043" name="AutoShape 44">
          <a:extLst>
            <a:ext uri="{FF2B5EF4-FFF2-40B4-BE49-F238E27FC236}">
              <a16:creationId xmlns:a16="http://schemas.microsoft.com/office/drawing/2014/main" id="{D2A8603E-891F-40F4-A745-55A5C151FA60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44" name="Picture 1043">
          <a:extLst>
            <a:ext uri="{FF2B5EF4-FFF2-40B4-BE49-F238E27FC236}">
              <a16:creationId xmlns:a16="http://schemas.microsoft.com/office/drawing/2014/main" id="{CA82A574-1BA6-4DAC-A618-C670C4B1C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27</xdr:row>
      <xdr:rowOff>0</xdr:rowOff>
    </xdr:from>
    <xdr:ext cx="9525" cy="9525"/>
    <xdr:pic>
      <xdr:nvPicPr>
        <xdr:cNvPr id="1045" name="Picture 1044">
          <a:extLst>
            <a:ext uri="{FF2B5EF4-FFF2-40B4-BE49-F238E27FC236}">
              <a16:creationId xmlns:a16="http://schemas.microsoft.com/office/drawing/2014/main" id="{E60E79F2-307E-4D81-9985-2289E2631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3</xdr:row>
      <xdr:rowOff>0</xdr:rowOff>
    </xdr:from>
    <xdr:ext cx="9525" cy="9525"/>
    <xdr:pic>
      <xdr:nvPicPr>
        <xdr:cNvPr id="1046" name="Picture 1045">
          <a:extLst>
            <a:ext uri="{FF2B5EF4-FFF2-40B4-BE49-F238E27FC236}">
              <a16:creationId xmlns:a16="http://schemas.microsoft.com/office/drawing/2014/main" id="{102BB993-1A5B-4578-888E-F97C2738B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</xdr:row>
      <xdr:rowOff>0</xdr:rowOff>
    </xdr:from>
    <xdr:ext cx="304800" cy="303439"/>
    <xdr:sp macro="" textlink="">
      <xdr:nvSpPr>
        <xdr:cNvPr id="1047" name="AutoShape 48">
          <a:extLst>
            <a:ext uri="{FF2B5EF4-FFF2-40B4-BE49-F238E27FC236}">
              <a16:creationId xmlns:a16="http://schemas.microsoft.com/office/drawing/2014/main" id="{350A79B3-2199-4C7C-9165-521028198698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9525" cy="9525"/>
    <xdr:pic>
      <xdr:nvPicPr>
        <xdr:cNvPr id="1048" name="Picture 1047">
          <a:extLst>
            <a:ext uri="{FF2B5EF4-FFF2-40B4-BE49-F238E27FC236}">
              <a16:creationId xmlns:a16="http://schemas.microsoft.com/office/drawing/2014/main" id="{3761E5F7-3FE0-452E-A6B8-5FF55795B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5</xdr:row>
      <xdr:rowOff>0</xdr:rowOff>
    </xdr:from>
    <xdr:ext cx="9525" cy="9525"/>
    <xdr:pic>
      <xdr:nvPicPr>
        <xdr:cNvPr id="1049" name="Picture 1048">
          <a:extLst>
            <a:ext uri="{FF2B5EF4-FFF2-40B4-BE49-F238E27FC236}">
              <a16:creationId xmlns:a16="http://schemas.microsoft.com/office/drawing/2014/main" id="{22CBADB8-E7DA-45DD-8F8F-F541650D7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6</xdr:row>
      <xdr:rowOff>0</xdr:rowOff>
    </xdr:from>
    <xdr:ext cx="9525" cy="9525"/>
    <xdr:pic>
      <xdr:nvPicPr>
        <xdr:cNvPr id="1050" name="Picture 1049">
          <a:extLst>
            <a:ext uri="{FF2B5EF4-FFF2-40B4-BE49-F238E27FC236}">
              <a16:creationId xmlns:a16="http://schemas.microsoft.com/office/drawing/2014/main" id="{35BDEC01-FD63-433F-BDF0-D4D58B710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51" name="AutoShape 52">
          <a:extLst>
            <a:ext uri="{FF2B5EF4-FFF2-40B4-BE49-F238E27FC236}">
              <a16:creationId xmlns:a16="http://schemas.microsoft.com/office/drawing/2014/main" id="{363B7561-23DC-40D4-9AAB-5B1069DAACF8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52" name="Picture 1051">
          <a:extLst>
            <a:ext uri="{FF2B5EF4-FFF2-40B4-BE49-F238E27FC236}">
              <a16:creationId xmlns:a16="http://schemas.microsoft.com/office/drawing/2014/main" id="{8B38DFCD-CF18-4796-9924-C201FC965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26</xdr:row>
      <xdr:rowOff>0</xdr:rowOff>
    </xdr:from>
    <xdr:ext cx="9525" cy="9525"/>
    <xdr:pic>
      <xdr:nvPicPr>
        <xdr:cNvPr id="1053" name="Picture 1052">
          <a:extLst>
            <a:ext uri="{FF2B5EF4-FFF2-40B4-BE49-F238E27FC236}">
              <a16:creationId xmlns:a16="http://schemas.microsoft.com/office/drawing/2014/main" id="{33DD5712-0BA5-49EF-8817-19A2FB600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25</xdr:row>
      <xdr:rowOff>0</xdr:rowOff>
    </xdr:from>
    <xdr:ext cx="304800" cy="303440"/>
    <xdr:sp macro="" textlink="">
      <xdr:nvSpPr>
        <xdr:cNvPr id="1054" name="AutoShape 55">
          <a:extLst>
            <a:ext uri="{FF2B5EF4-FFF2-40B4-BE49-F238E27FC236}">
              <a16:creationId xmlns:a16="http://schemas.microsoft.com/office/drawing/2014/main" id="{3F667DBD-AABF-4C7C-B1BD-FBC221BA54E0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55" name="Picture 1054">
          <a:extLst>
            <a:ext uri="{FF2B5EF4-FFF2-40B4-BE49-F238E27FC236}">
              <a16:creationId xmlns:a16="http://schemas.microsoft.com/office/drawing/2014/main" id="{87849121-B5A9-4A84-A905-28F2DB9F8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56" name="Picture 1055">
          <a:extLst>
            <a:ext uri="{FF2B5EF4-FFF2-40B4-BE49-F238E27FC236}">
              <a16:creationId xmlns:a16="http://schemas.microsoft.com/office/drawing/2014/main" id="{D60A6828-5D53-470B-A0DC-7FC67D6B9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57" name="Picture 1056">
          <a:extLst>
            <a:ext uri="{FF2B5EF4-FFF2-40B4-BE49-F238E27FC236}">
              <a16:creationId xmlns:a16="http://schemas.microsoft.com/office/drawing/2014/main" id="{ADA3C862-E6B1-401D-BF53-D16CCCC7B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58" name="Picture 1057">
          <a:extLst>
            <a:ext uri="{FF2B5EF4-FFF2-40B4-BE49-F238E27FC236}">
              <a16:creationId xmlns:a16="http://schemas.microsoft.com/office/drawing/2014/main" id="{7595B8E7-6439-4D07-90F1-EE202147F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59" name="Picture 1058">
          <a:extLst>
            <a:ext uri="{FF2B5EF4-FFF2-40B4-BE49-F238E27FC236}">
              <a16:creationId xmlns:a16="http://schemas.microsoft.com/office/drawing/2014/main" id="{FC09DF8E-7A6A-4887-927F-C48BE2F76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1060" name="AutoShape 61">
          <a:extLst>
            <a:ext uri="{FF2B5EF4-FFF2-40B4-BE49-F238E27FC236}">
              <a16:creationId xmlns:a16="http://schemas.microsoft.com/office/drawing/2014/main" id="{4C2D9F12-1570-4D12-8502-19FA2C85DC56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61" name="Picture 1060">
          <a:extLst>
            <a:ext uri="{FF2B5EF4-FFF2-40B4-BE49-F238E27FC236}">
              <a16:creationId xmlns:a16="http://schemas.microsoft.com/office/drawing/2014/main" id="{769E74D8-600A-4B4E-826B-8FFA8AF99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1062" name="AutoShape 63">
          <a:extLst>
            <a:ext uri="{FF2B5EF4-FFF2-40B4-BE49-F238E27FC236}">
              <a16:creationId xmlns:a16="http://schemas.microsoft.com/office/drawing/2014/main" id="{07040A7A-E068-46CA-A515-4066DC5252FF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9525" cy="9525"/>
    <xdr:pic>
      <xdr:nvPicPr>
        <xdr:cNvPr id="1063" name="Picture 1062">
          <a:extLst>
            <a:ext uri="{FF2B5EF4-FFF2-40B4-BE49-F238E27FC236}">
              <a16:creationId xmlns:a16="http://schemas.microsoft.com/office/drawing/2014/main" id="{767B1D10-B1D8-4B50-BA7E-B43940AB0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12</xdr:row>
      <xdr:rowOff>0</xdr:rowOff>
    </xdr:from>
    <xdr:ext cx="304800" cy="303439"/>
    <xdr:sp macro="" textlink="">
      <xdr:nvSpPr>
        <xdr:cNvPr id="1064" name="AutoShape 65">
          <a:extLst>
            <a:ext uri="{FF2B5EF4-FFF2-40B4-BE49-F238E27FC236}">
              <a16:creationId xmlns:a16="http://schemas.microsoft.com/office/drawing/2014/main" id="{3F41E8DD-EE5A-47F9-BD20-AE059EBC7E60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304800" cy="304800"/>
    <xdr:sp macro="" textlink="">
      <xdr:nvSpPr>
        <xdr:cNvPr id="1065" name="AutoShape 67">
          <a:extLst>
            <a:ext uri="{FF2B5EF4-FFF2-40B4-BE49-F238E27FC236}">
              <a16:creationId xmlns:a16="http://schemas.microsoft.com/office/drawing/2014/main" id="{3634FD81-BBF6-4E9F-82E5-9B6F966F4688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66" name="Picture 1065">
          <a:extLst>
            <a:ext uri="{FF2B5EF4-FFF2-40B4-BE49-F238E27FC236}">
              <a16:creationId xmlns:a16="http://schemas.microsoft.com/office/drawing/2014/main" id="{62DD04DD-D259-4EBB-893F-290DB32E3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3440"/>
    <xdr:sp macro="" textlink="">
      <xdr:nvSpPr>
        <xdr:cNvPr id="1067" name="AutoShape 69">
          <a:extLst>
            <a:ext uri="{FF2B5EF4-FFF2-40B4-BE49-F238E27FC236}">
              <a16:creationId xmlns:a16="http://schemas.microsoft.com/office/drawing/2014/main" id="{F018E1A1-CD15-40A9-8FDA-DB314B938A60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27</xdr:row>
      <xdr:rowOff>0</xdr:rowOff>
    </xdr:from>
    <xdr:ext cx="9525" cy="9525"/>
    <xdr:pic>
      <xdr:nvPicPr>
        <xdr:cNvPr id="1068" name="Picture 1067">
          <a:extLst>
            <a:ext uri="{FF2B5EF4-FFF2-40B4-BE49-F238E27FC236}">
              <a16:creationId xmlns:a16="http://schemas.microsoft.com/office/drawing/2014/main" id="{A1C37140-ADD6-40A9-914C-6ADD9C5DA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69" name="Picture 1068">
          <a:extLst>
            <a:ext uri="{FF2B5EF4-FFF2-40B4-BE49-F238E27FC236}">
              <a16:creationId xmlns:a16="http://schemas.microsoft.com/office/drawing/2014/main" id="{7289F5C9-0B9B-4DFD-9A7A-3F004E96B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3</xdr:row>
      <xdr:rowOff>0</xdr:rowOff>
    </xdr:from>
    <xdr:ext cx="9525" cy="9525"/>
    <xdr:pic>
      <xdr:nvPicPr>
        <xdr:cNvPr id="1070" name="Picture 1069">
          <a:extLst>
            <a:ext uri="{FF2B5EF4-FFF2-40B4-BE49-F238E27FC236}">
              <a16:creationId xmlns:a16="http://schemas.microsoft.com/office/drawing/2014/main" id="{B4E3333A-875D-4574-AEE2-30B5A8D03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</xdr:row>
      <xdr:rowOff>0</xdr:rowOff>
    </xdr:from>
    <xdr:ext cx="304800" cy="303439"/>
    <xdr:sp macro="" textlink="">
      <xdr:nvSpPr>
        <xdr:cNvPr id="1071" name="AutoShape 98">
          <a:extLst>
            <a:ext uri="{FF2B5EF4-FFF2-40B4-BE49-F238E27FC236}">
              <a16:creationId xmlns:a16="http://schemas.microsoft.com/office/drawing/2014/main" id="{4E25E743-723D-49EE-ABF0-79178374A605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9525" cy="9525"/>
    <xdr:pic>
      <xdr:nvPicPr>
        <xdr:cNvPr id="1072" name="Picture 1071">
          <a:extLst>
            <a:ext uri="{FF2B5EF4-FFF2-40B4-BE49-F238E27FC236}">
              <a16:creationId xmlns:a16="http://schemas.microsoft.com/office/drawing/2014/main" id="{4877F1ED-DFAB-46C0-BE6D-CF1837843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5</xdr:row>
      <xdr:rowOff>0</xdr:rowOff>
    </xdr:from>
    <xdr:ext cx="9525" cy="9525"/>
    <xdr:pic>
      <xdr:nvPicPr>
        <xdr:cNvPr id="1073" name="Picture 1072">
          <a:extLst>
            <a:ext uri="{FF2B5EF4-FFF2-40B4-BE49-F238E27FC236}">
              <a16:creationId xmlns:a16="http://schemas.microsoft.com/office/drawing/2014/main" id="{FF3B1FC4-2F8E-4251-81F6-6C53D3334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6</xdr:row>
      <xdr:rowOff>0</xdr:rowOff>
    </xdr:from>
    <xdr:ext cx="9525" cy="9525"/>
    <xdr:pic>
      <xdr:nvPicPr>
        <xdr:cNvPr id="1074" name="Picture 1073">
          <a:extLst>
            <a:ext uri="{FF2B5EF4-FFF2-40B4-BE49-F238E27FC236}">
              <a16:creationId xmlns:a16="http://schemas.microsoft.com/office/drawing/2014/main" id="{55083413-88E8-4E4C-A47A-5404BA25E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075" name="AutoShape 102">
          <a:extLst>
            <a:ext uri="{FF2B5EF4-FFF2-40B4-BE49-F238E27FC236}">
              <a16:creationId xmlns:a16="http://schemas.microsoft.com/office/drawing/2014/main" id="{74FE24D7-C9A4-44B7-A052-0C4A0C78EE7C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76" name="Picture 1075">
          <a:extLst>
            <a:ext uri="{FF2B5EF4-FFF2-40B4-BE49-F238E27FC236}">
              <a16:creationId xmlns:a16="http://schemas.microsoft.com/office/drawing/2014/main" id="{70C03D24-883B-4205-B340-88579CFD8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26</xdr:row>
      <xdr:rowOff>0</xdr:rowOff>
    </xdr:from>
    <xdr:ext cx="9525" cy="9525"/>
    <xdr:pic>
      <xdr:nvPicPr>
        <xdr:cNvPr id="1077" name="Picture 1076">
          <a:extLst>
            <a:ext uri="{FF2B5EF4-FFF2-40B4-BE49-F238E27FC236}">
              <a16:creationId xmlns:a16="http://schemas.microsoft.com/office/drawing/2014/main" id="{38E8031E-349B-462D-AB2E-91D5C4B51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25</xdr:row>
      <xdr:rowOff>0</xdr:rowOff>
    </xdr:from>
    <xdr:ext cx="304800" cy="303440"/>
    <xdr:sp macro="" textlink="">
      <xdr:nvSpPr>
        <xdr:cNvPr id="1078" name="AutoShape 105">
          <a:extLst>
            <a:ext uri="{FF2B5EF4-FFF2-40B4-BE49-F238E27FC236}">
              <a16:creationId xmlns:a16="http://schemas.microsoft.com/office/drawing/2014/main" id="{6B3148EB-97DF-4C40-A262-2DA085DF7768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79" name="Picture 1078">
          <a:extLst>
            <a:ext uri="{FF2B5EF4-FFF2-40B4-BE49-F238E27FC236}">
              <a16:creationId xmlns:a16="http://schemas.microsoft.com/office/drawing/2014/main" id="{7DB489CA-FDBC-4F7C-A665-02BF411FD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80" name="Picture 1079">
          <a:extLst>
            <a:ext uri="{FF2B5EF4-FFF2-40B4-BE49-F238E27FC236}">
              <a16:creationId xmlns:a16="http://schemas.microsoft.com/office/drawing/2014/main" id="{6E4B0325-DCB0-49DF-933D-3584E46D2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81" name="Picture 1080">
          <a:extLst>
            <a:ext uri="{FF2B5EF4-FFF2-40B4-BE49-F238E27FC236}">
              <a16:creationId xmlns:a16="http://schemas.microsoft.com/office/drawing/2014/main" id="{672AF1CB-B095-49BC-B87E-660748F9D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82" name="Picture 1081">
          <a:extLst>
            <a:ext uri="{FF2B5EF4-FFF2-40B4-BE49-F238E27FC236}">
              <a16:creationId xmlns:a16="http://schemas.microsoft.com/office/drawing/2014/main" id="{BC514C52-8AF1-4220-8916-DC946347A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83" name="Picture 1082">
          <a:extLst>
            <a:ext uri="{FF2B5EF4-FFF2-40B4-BE49-F238E27FC236}">
              <a16:creationId xmlns:a16="http://schemas.microsoft.com/office/drawing/2014/main" id="{C58E1929-FCDF-4BFB-A424-C478786D6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1084" name="AutoShape 111">
          <a:extLst>
            <a:ext uri="{FF2B5EF4-FFF2-40B4-BE49-F238E27FC236}">
              <a16:creationId xmlns:a16="http://schemas.microsoft.com/office/drawing/2014/main" id="{D325F02E-8BC4-4332-93E0-894ED4506E49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85" name="Picture 1084">
          <a:extLst>
            <a:ext uri="{FF2B5EF4-FFF2-40B4-BE49-F238E27FC236}">
              <a16:creationId xmlns:a16="http://schemas.microsoft.com/office/drawing/2014/main" id="{64B25447-BEE2-4AFD-9661-07A112BF5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1086" name="AutoShape 113">
          <a:extLst>
            <a:ext uri="{FF2B5EF4-FFF2-40B4-BE49-F238E27FC236}">
              <a16:creationId xmlns:a16="http://schemas.microsoft.com/office/drawing/2014/main" id="{25F1256B-56EF-45F7-B294-52C35315A930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9525" cy="9525"/>
    <xdr:pic>
      <xdr:nvPicPr>
        <xdr:cNvPr id="1087" name="Picture 1086">
          <a:extLst>
            <a:ext uri="{FF2B5EF4-FFF2-40B4-BE49-F238E27FC236}">
              <a16:creationId xmlns:a16="http://schemas.microsoft.com/office/drawing/2014/main" id="{841F7719-C75A-4C3C-9CF7-C2DEEE579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12</xdr:row>
      <xdr:rowOff>0</xdr:rowOff>
    </xdr:from>
    <xdr:ext cx="304800" cy="303439"/>
    <xdr:sp macro="" textlink="">
      <xdr:nvSpPr>
        <xdr:cNvPr id="1088" name="AutoShape 115">
          <a:extLst>
            <a:ext uri="{FF2B5EF4-FFF2-40B4-BE49-F238E27FC236}">
              <a16:creationId xmlns:a16="http://schemas.microsoft.com/office/drawing/2014/main" id="{2F2E6962-DF61-4915-9E9F-4EDB326C4B34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89" name="Picture 1088">
          <a:extLst>
            <a:ext uri="{FF2B5EF4-FFF2-40B4-BE49-F238E27FC236}">
              <a16:creationId xmlns:a16="http://schemas.microsoft.com/office/drawing/2014/main" id="{23AD7B33-307E-4EC4-9FF2-BF4247CD5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13</xdr:row>
      <xdr:rowOff>0</xdr:rowOff>
    </xdr:from>
    <xdr:ext cx="304800" cy="304800"/>
    <xdr:sp macro="" textlink="">
      <xdr:nvSpPr>
        <xdr:cNvPr id="1090" name="AutoShape 117">
          <a:extLst>
            <a:ext uri="{FF2B5EF4-FFF2-40B4-BE49-F238E27FC236}">
              <a16:creationId xmlns:a16="http://schemas.microsoft.com/office/drawing/2014/main" id="{2866501C-5C3E-494E-9B5C-77E902811C59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91" name="Picture 1090">
          <a:extLst>
            <a:ext uri="{FF2B5EF4-FFF2-40B4-BE49-F238E27FC236}">
              <a16:creationId xmlns:a16="http://schemas.microsoft.com/office/drawing/2014/main" id="{45F43154-3CF4-430C-86B0-FEC72356D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3440"/>
    <xdr:sp macro="" textlink="">
      <xdr:nvSpPr>
        <xdr:cNvPr id="1092" name="AutoShape 119">
          <a:extLst>
            <a:ext uri="{FF2B5EF4-FFF2-40B4-BE49-F238E27FC236}">
              <a16:creationId xmlns:a16="http://schemas.microsoft.com/office/drawing/2014/main" id="{71D30C3B-4B4B-41C2-850D-34519001C489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27</xdr:row>
      <xdr:rowOff>0</xdr:rowOff>
    </xdr:from>
    <xdr:ext cx="9525" cy="9525"/>
    <xdr:pic>
      <xdr:nvPicPr>
        <xdr:cNvPr id="1093" name="Picture 1092">
          <a:extLst>
            <a:ext uri="{FF2B5EF4-FFF2-40B4-BE49-F238E27FC236}">
              <a16:creationId xmlns:a16="http://schemas.microsoft.com/office/drawing/2014/main" id="{521C453E-3AD8-4D1B-9ADF-A1CCECBB5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094" name="Picture 1093">
          <a:extLst>
            <a:ext uri="{FF2B5EF4-FFF2-40B4-BE49-F238E27FC236}">
              <a16:creationId xmlns:a16="http://schemas.microsoft.com/office/drawing/2014/main" id="{FB34C121-BC43-4C54-9482-F9233C5FC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3</xdr:row>
      <xdr:rowOff>0</xdr:rowOff>
    </xdr:from>
    <xdr:ext cx="9525" cy="9525"/>
    <xdr:pic>
      <xdr:nvPicPr>
        <xdr:cNvPr id="1095" name="Picture 1094">
          <a:extLst>
            <a:ext uri="{FF2B5EF4-FFF2-40B4-BE49-F238E27FC236}">
              <a16:creationId xmlns:a16="http://schemas.microsoft.com/office/drawing/2014/main" id="{7BC87ECA-3577-4639-A15D-953B3101E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</xdr:row>
      <xdr:rowOff>0</xdr:rowOff>
    </xdr:from>
    <xdr:ext cx="304800" cy="303439"/>
    <xdr:sp macro="" textlink="">
      <xdr:nvSpPr>
        <xdr:cNvPr id="1096" name="AutoShape 123">
          <a:extLst>
            <a:ext uri="{FF2B5EF4-FFF2-40B4-BE49-F238E27FC236}">
              <a16:creationId xmlns:a16="http://schemas.microsoft.com/office/drawing/2014/main" id="{74B3BD10-4456-490F-973F-5D09422C1344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</xdr:row>
      <xdr:rowOff>0</xdr:rowOff>
    </xdr:from>
    <xdr:ext cx="9525" cy="9525"/>
    <xdr:pic>
      <xdr:nvPicPr>
        <xdr:cNvPr id="1097" name="Picture 1096">
          <a:extLst>
            <a:ext uri="{FF2B5EF4-FFF2-40B4-BE49-F238E27FC236}">
              <a16:creationId xmlns:a16="http://schemas.microsoft.com/office/drawing/2014/main" id="{88709D91-940C-4A6E-BD6D-450856E87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5</xdr:row>
      <xdr:rowOff>0</xdr:rowOff>
    </xdr:from>
    <xdr:ext cx="9525" cy="9525"/>
    <xdr:pic>
      <xdr:nvPicPr>
        <xdr:cNvPr id="1098" name="Picture 1097">
          <a:extLst>
            <a:ext uri="{FF2B5EF4-FFF2-40B4-BE49-F238E27FC236}">
              <a16:creationId xmlns:a16="http://schemas.microsoft.com/office/drawing/2014/main" id="{D061820F-7305-4D3B-B3B1-49F457327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6</xdr:row>
      <xdr:rowOff>0</xdr:rowOff>
    </xdr:from>
    <xdr:ext cx="9525" cy="9525"/>
    <xdr:pic>
      <xdr:nvPicPr>
        <xdr:cNvPr id="1099" name="Picture 1098">
          <a:extLst>
            <a:ext uri="{FF2B5EF4-FFF2-40B4-BE49-F238E27FC236}">
              <a16:creationId xmlns:a16="http://schemas.microsoft.com/office/drawing/2014/main" id="{38D61674-B99F-4DBA-9812-8057993F9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5</xdr:row>
      <xdr:rowOff>0</xdr:rowOff>
    </xdr:from>
    <xdr:ext cx="304800" cy="304800"/>
    <xdr:sp macro="" textlink="">
      <xdr:nvSpPr>
        <xdr:cNvPr id="1100" name="AutoShape 127">
          <a:extLst>
            <a:ext uri="{FF2B5EF4-FFF2-40B4-BE49-F238E27FC236}">
              <a16:creationId xmlns:a16="http://schemas.microsoft.com/office/drawing/2014/main" id="{D4862121-21A9-4CB4-9F1E-810E825133E2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101" name="Picture 1100">
          <a:extLst>
            <a:ext uri="{FF2B5EF4-FFF2-40B4-BE49-F238E27FC236}">
              <a16:creationId xmlns:a16="http://schemas.microsoft.com/office/drawing/2014/main" id="{EF056683-AEE9-4A46-9BE4-5B132C211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26</xdr:row>
      <xdr:rowOff>0</xdr:rowOff>
    </xdr:from>
    <xdr:ext cx="9525" cy="9525"/>
    <xdr:pic>
      <xdr:nvPicPr>
        <xdr:cNvPr id="1102" name="Picture 1101">
          <a:extLst>
            <a:ext uri="{FF2B5EF4-FFF2-40B4-BE49-F238E27FC236}">
              <a16:creationId xmlns:a16="http://schemas.microsoft.com/office/drawing/2014/main" id="{7AA18A1C-2E90-4B58-92EE-E3796F3D6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25</xdr:row>
      <xdr:rowOff>0</xdr:rowOff>
    </xdr:from>
    <xdr:ext cx="304800" cy="303440"/>
    <xdr:sp macro="" textlink="">
      <xdr:nvSpPr>
        <xdr:cNvPr id="1103" name="AutoShape 130">
          <a:extLst>
            <a:ext uri="{FF2B5EF4-FFF2-40B4-BE49-F238E27FC236}">
              <a16:creationId xmlns:a16="http://schemas.microsoft.com/office/drawing/2014/main" id="{2B833691-0529-48A2-A1E2-88A9C557170B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104" name="Picture 1103">
          <a:extLst>
            <a:ext uri="{FF2B5EF4-FFF2-40B4-BE49-F238E27FC236}">
              <a16:creationId xmlns:a16="http://schemas.microsoft.com/office/drawing/2014/main" id="{95D29FDF-D5EF-4566-B6B8-A06F6290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105" name="Picture 1104">
          <a:extLst>
            <a:ext uri="{FF2B5EF4-FFF2-40B4-BE49-F238E27FC236}">
              <a16:creationId xmlns:a16="http://schemas.microsoft.com/office/drawing/2014/main" id="{EE3DB3FE-5091-4BCF-B751-9590BB76E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106" name="Picture 1105">
          <a:extLst>
            <a:ext uri="{FF2B5EF4-FFF2-40B4-BE49-F238E27FC236}">
              <a16:creationId xmlns:a16="http://schemas.microsoft.com/office/drawing/2014/main" id="{693BD8DA-5368-4906-A2F1-3859BFEF3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107" name="Picture 1106">
          <a:extLst>
            <a:ext uri="{FF2B5EF4-FFF2-40B4-BE49-F238E27FC236}">
              <a16:creationId xmlns:a16="http://schemas.microsoft.com/office/drawing/2014/main" id="{4D8C4121-7102-49CF-B8F9-0809569DE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108" name="Picture 1107">
          <a:extLst>
            <a:ext uri="{FF2B5EF4-FFF2-40B4-BE49-F238E27FC236}">
              <a16:creationId xmlns:a16="http://schemas.microsoft.com/office/drawing/2014/main" id="{3E08B6AC-01AE-47B2-B7B9-EE58A65DC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1109" name="AutoShape 136">
          <a:extLst>
            <a:ext uri="{FF2B5EF4-FFF2-40B4-BE49-F238E27FC236}">
              <a16:creationId xmlns:a16="http://schemas.microsoft.com/office/drawing/2014/main" id="{1FC56ED8-A7B2-4599-ACD5-A49AAC5CF959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110" name="Picture 1109">
          <a:extLst>
            <a:ext uri="{FF2B5EF4-FFF2-40B4-BE49-F238E27FC236}">
              <a16:creationId xmlns:a16="http://schemas.microsoft.com/office/drawing/2014/main" id="{40953550-96DF-458F-9324-B8766AC2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1111" name="AutoShape 138">
          <a:extLst>
            <a:ext uri="{FF2B5EF4-FFF2-40B4-BE49-F238E27FC236}">
              <a16:creationId xmlns:a16="http://schemas.microsoft.com/office/drawing/2014/main" id="{ED26651A-3E20-47B1-BB35-AEDAD2EA76C7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9525" cy="9525"/>
    <xdr:pic>
      <xdr:nvPicPr>
        <xdr:cNvPr id="1112" name="Picture 1111">
          <a:extLst>
            <a:ext uri="{FF2B5EF4-FFF2-40B4-BE49-F238E27FC236}">
              <a16:creationId xmlns:a16="http://schemas.microsoft.com/office/drawing/2014/main" id="{FDF19232-8D74-493D-9CB0-3394A7880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12</xdr:row>
      <xdr:rowOff>0</xdr:rowOff>
    </xdr:from>
    <xdr:ext cx="304800" cy="303439"/>
    <xdr:sp macro="" textlink="">
      <xdr:nvSpPr>
        <xdr:cNvPr id="1113" name="AutoShape 140">
          <a:extLst>
            <a:ext uri="{FF2B5EF4-FFF2-40B4-BE49-F238E27FC236}">
              <a16:creationId xmlns:a16="http://schemas.microsoft.com/office/drawing/2014/main" id="{A8EC2B06-C5C6-48CE-8AB6-073B212458C8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114" name="Picture 1113">
          <a:extLst>
            <a:ext uri="{FF2B5EF4-FFF2-40B4-BE49-F238E27FC236}">
              <a16:creationId xmlns:a16="http://schemas.microsoft.com/office/drawing/2014/main" id="{A793E5D4-BB4B-4AAD-9697-D2F228FC5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13</xdr:row>
      <xdr:rowOff>0</xdr:rowOff>
    </xdr:from>
    <xdr:ext cx="304800" cy="304800"/>
    <xdr:sp macro="" textlink="">
      <xdr:nvSpPr>
        <xdr:cNvPr id="1115" name="AutoShape 142">
          <a:extLst>
            <a:ext uri="{FF2B5EF4-FFF2-40B4-BE49-F238E27FC236}">
              <a16:creationId xmlns:a16="http://schemas.microsoft.com/office/drawing/2014/main" id="{03B25C6F-325D-4AC8-9811-B9A68D5E3C7C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116" name="Picture 1115">
          <a:extLst>
            <a:ext uri="{FF2B5EF4-FFF2-40B4-BE49-F238E27FC236}">
              <a16:creationId xmlns:a16="http://schemas.microsoft.com/office/drawing/2014/main" id="{580FEDC3-EB67-428D-84FC-97A2168E4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3440"/>
    <xdr:sp macro="" textlink="">
      <xdr:nvSpPr>
        <xdr:cNvPr id="1117" name="AutoShape 144">
          <a:extLst>
            <a:ext uri="{FF2B5EF4-FFF2-40B4-BE49-F238E27FC236}">
              <a16:creationId xmlns:a16="http://schemas.microsoft.com/office/drawing/2014/main" id="{B66579C3-B3FD-44C8-9012-D7DD2EF98D49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27</xdr:row>
      <xdr:rowOff>0</xdr:rowOff>
    </xdr:from>
    <xdr:ext cx="9525" cy="9525"/>
    <xdr:pic>
      <xdr:nvPicPr>
        <xdr:cNvPr id="1118" name="Picture 1117">
          <a:extLst>
            <a:ext uri="{FF2B5EF4-FFF2-40B4-BE49-F238E27FC236}">
              <a16:creationId xmlns:a16="http://schemas.microsoft.com/office/drawing/2014/main" id="{60B020B3-E0E5-4895-BA05-B61DAF730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1119" name="Picture 1118">
          <a:extLst>
            <a:ext uri="{FF2B5EF4-FFF2-40B4-BE49-F238E27FC236}">
              <a16:creationId xmlns:a16="http://schemas.microsoft.com/office/drawing/2014/main" id="{C10F51AC-2EC7-42E5-A8D9-62B1650E4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</xdr:row>
      <xdr:rowOff>0</xdr:rowOff>
    </xdr:from>
    <xdr:ext cx="9525" cy="9525"/>
    <xdr:pic>
      <xdr:nvPicPr>
        <xdr:cNvPr id="1120" name="Picture 1119">
          <a:extLst>
            <a:ext uri="{FF2B5EF4-FFF2-40B4-BE49-F238E27FC236}">
              <a16:creationId xmlns:a16="http://schemas.microsoft.com/office/drawing/2014/main" id="{42D1722E-0DE9-41A2-8205-6ECF20D98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</xdr:row>
      <xdr:rowOff>0</xdr:rowOff>
    </xdr:from>
    <xdr:ext cx="9525" cy="9525"/>
    <xdr:pic>
      <xdr:nvPicPr>
        <xdr:cNvPr id="1121" name="Picture 1120">
          <a:extLst>
            <a:ext uri="{FF2B5EF4-FFF2-40B4-BE49-F238E27FC236}">
              <a16:creationId xmlns:a16="http://schemas.microsoft.com/office/drawing/2014/main" id="{12646AB8-FA0C-41C9-AB4D-E73D9776C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</xdr:row>
      <xdr:rowOff>0</xdr:rowOff>
    </xdr:from>
    <xdr:ext cx="9525" cy="9525"/>
    <xdr:pic>
      <xdr:nvPicPr>
        <xdr:cNvPr id="1122" name="Picture 1121">
          <a:extLst>
            <a:ext uri="{FF2B5EF4-FFF2-40B4-BE49-F238E27FC236}">
              <a16:creationId xmlns:a16="http://schemas.microsoft.com/office/drawing/2014/main" id="{65BDEDC0-D380-4AD9-9F77-F64D0A4AD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7</xdr:row>
      <xdr:rowOff>0</xdr:rowOff>
    </xdr:from>
    <xdr:ext cx="9525" cy="9525"/>
    <xdr:pic>
      <xdr:nvPicPr>
        <xdr:cNvPr id="1123" name="Picture 1122">
          <a:extLst>
            <a:ext uri="{FF2B5EF4-FFF2-40B4-BE49-F238E27FC236}">
              <a16:creationId xmlns:a16="http://schemas.microsoft.com/office/drawing/2014/main" id="{BD57AA3D-CA5B-452A-95B3-A1ABE0126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9525" cy="9525"/>
    <xdr:pic>
      <xdr:nvPicPr>
        <xdr:cNvPr id="1124" name="Picture 1123">
          <a:extLst>
            <a:ext uri="{FF2B5EF4-FFF2-40B4-BE49-F238E27FC236}">
              <a16:creationId xmlns:a16="http://schemas.microsoft.com/office/drawing/2014/main" id="{010E5138-7605-43C8-8148-18796A315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9525" cy="9525"/>
    <xdr:pic>
      <xdr:nvPicPr>
        <xdr:cNvPr id="1125" name="Picture 1124">
          <a:extLst>
            <a:ext uri="{FF2B5EF4-FFF2-40B4-BE49-F238E27FC236}">
              <a16:creationId xmlns:a16="http://schemas.microsoft.com/office/drawing/2014/main" id="{846750D8-9043-4D29-AC02-3CFDC17DF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9525" cy="9525"/>
    <xdr:pic>
      <xdr:nvPicPr>
        <xdr:cNvPr id="1126" name="Picture 1125">
          <a:extLst>
            <a:ext uri="{FF2B5EF4-FFF2-40B4-BE49-F238E27FC236}">
              <a16:creationId xmlns:a16="http://schemas.microsoft.com/office/drawing/2014/main" id="{6FB7D4C9-D659-471A-B2AE-14C3B4E1E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9525" cy="9525"/>
    <xdr:pic>
      <xdr:nvPicPr>
        <xdr:cNvPr id="1127" name="Picture 1126">
          <a:extLst>
            <a:ext uri="{FF2B5EF4-FFF2-40B4-BE49-F238E27FC236}">
              <a16:creationId xmlns:a16="http://schemas.microsoft.com/office/drawing/2014/main" id="{80D4F2AD-B169-4243-AEE4-B111B60A7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21</xdr:row>
      <xdr:rowOff>0</xdr:rowOff>
    </xdr:from>
    <xdr:ext cx="9525" cy="9525"/>
    <xdr:pic>
      <xdr:nvPicPr>
        <xdr:cNvPr id="1128" name="Picture 1127">
          <a:extLst>
            <a:ext uri="{FF2B5EF4-FFF2-40B4-BE49-F238E27FC236}">
              <a16:creationId xmlns:a16="http://schemas.microsoft.com/office/drawing/2014/main" id="{C1E3023D-E39A-4B84-B315-4E251AEAB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21</xdr:row>
      <xdr:rowOff>0</xdr:rowOff>
    </xdr:from>
    <xdr:ext cx="9525" cy="9525"/>
    <xdr:pic>
      <xdr:nvPicPr>
        <xdr:cNvPr id="1129" name="Picture 1128">
          <a:extLst>
            <a:ext uri="{FF2B5EF4-FFF2-40B4-BE49-F238E27FC236}">
              <a16:creationId xmlns:a16="http://schemas.microsoft.com/office/drawing/2014/main" id="{2328C524-25BF-4252-AD07-2FD89052D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21</xdr:row>
      <xdr:rowOff>0</xdr:rowOff>
    </xdr:from>
    <xdr:ext cx="9525" cy="9525"/>
    <xdr:pic>
      <xdr:nvPicPr>
        <xdr:cNvPr id="1130" name="Picture 1129">
          <a:extLst>
            <a:ext uri="{FF2B5EF4-FFF2-40B4-BE49-F238E27FC236}">
              <a16:creationId xmlns:a16="http://schemas.microsoft.com/office/drawing/2014/main" id="{B9591543-950E-4C32-847E-620BFD62A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21</xdr:row>
      <xdr:rowOff>0</xdr:rowOff>
    </xdr:from>
    <xdr:ext cx="9525" cy="9525"/>
    <xdr:pic>
      <xdr:nvPicPr>
        <xdr:cNvPr id="1131" name="Picture 1130">
          <a:extLst>
            <a:ext uri="{FF2B5EF4-FFF2-40B4-BE49-F238E27FC236}">
              <a16:creationId xmlns:a16="http://schemas.microsoft.com/office/drawing/2014/main" id="{D5C49B49-D355-468B-B3D1-8ECC70246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9525" cy="9525"/>
    <xdr:pic>
      <xdr:nvPicPr>
        <xdr:cNvPr id="1132" name="Picture 1131">
          <a:extLst>
            <a:ext uri="{FF2B5EF4-FFF2-40B4-BE49-F238E27FC236}">
              <a16:creationId xmlns:a16="http://schemas.microsoft.com/office/drawing/2014/main" id="{940C00B0-D4A7-4E31-A779-EE5355477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9525" cy="9525"/>
    <xdr:pic>
      <xdr:nvPicPr>
        <xdr:cNvPr id="1133" name="Picture 1132">
          <a:extLst>
            <a:ext uri="{FF2B5EF4-FFF2-40B4-BE49-F238E27FC236}">
              <a16:creationId xmlns:a16="http://schemas.microsoft.com/office/drawing/2014/main" id="{A524B0B6-E33B-41CA-844D-1BB4E00D9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3440"/>
    <xdr:sp macro="" textlink="">
      <xdr:nvSpPr>
        <xdr:cNvPr id="1134" name="AutoShape 69">
          <a:extLst>
            <a:ext uri="{FF2B5EF4-FFF2-40B4-BE49-F238E27FC236}">
              <a16:creationId xmlns:a16="http://schemas.microsoft.com/office/drawing/2014/main" id="{EA6F1659-890A-4D15-8D87-E3A10AE871C3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16</xdr:row>
      <xdr:rowOff>0</xdr:rowOff>
    </xdr:from>
    <xdr:ext cx="9525" cy="9525"/>
    <xdr:pic>
      <xdr:nvPicPr>
        <xdr:cNvPr id="1135" name="Picture 1134">
          <a:extLst>
            <a:ext uri="{FF2B5EF4-FFF2-40B4-BE49-F238E27FC236}">
              <a16:creationId xmlns:a16="http://schemas.microsoft.com/office/drawing/2014/main" id="{1DB86C09-9D1E-4A92-A3A1-83BC96723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3440"/>
    <xdr:sp macro="" textlink="">
      <xdr:nvSpPr>
        <xdr:cNvPr id="1136" name="AutoShape 119">
          <a:extLst>
            <a:ext uri="{FF2B5EF4-FFF2-40B4-BE49-F238E27FC236}">
              <a16:creationId xmlns:a16="http://schemas.microsoft.com/office/drawing/2014/main" id="{23EDD99D-D30F-40D3-8827-BA6BA63B120E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16</xdr:row>
      <xdr:rowOff>0</xdr:rowOff>
    </xdr:from>
    <xdr:ext cx="9525" cy="9525"/>
    <xdr:pic>
      <xdr:nvPicPr>
        <xdr:cNvPr id="1137" name="Picture 1136">
          <a:extLst>
            <a:ext uri="{FF2B5EF4-FFF2-40B4-BE49-F238E27FC236}">
              <a16:creationId xmlns:a16="http://schemas.microsoft.com/office/drawing/2014/main" id="{752263C6-AB1A-4AB0-AF09-F537EE335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</xdr:row>
      <xdr:rowOff>0</xdr:rowOff>
    </xdr:from>
    <xdr:ext cx="304800" cy="303440"/>
    <xdr:sp macro="" textlink="">
      <xdr:nvSpPr>
        <xdr:cNvPr id="1138" name="AutoShape 144">
          <a:extLst>
            <a:ext uri="{FF2B5EF4-FFF2-40B4-BE49-F238E27FC236}">
              <a16:creationId xmlns:a16="http://schemas.microsoft.com/office/drawing/2014/main" id="{0FD36336-8A80-4220-BBD9-24846E7B308D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19</xdr:row>
      <xdr:rowOff>0</xdr:rowOff>
    </xdr:from>
    <xdr:ext cx="9525" cy="9525"/>
    <xdr:pic>
      <xdr:nvPicPr>
        <xdr:cNvPr id="1139" name="Picture 1138">
          <a:extLst>
            <a:ext uri="{FF2B5EF4-FFF2-40B4-BE49-F238E27FC236}">
              <a16:creationId xmlns:a16="http://schemas.microsoft.com/office/drawing/2014/main" id="{728CD159-6B2A-4037-B576-AECC8EE45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19</xdr:row>
      <xdr:rowOff>0</xdr:rowOff>
    </xdr:from>
    <xdr:ext cx="9525" cy="9525"/>
    <xdr:pic>
      <xdr:nvPicPr>
        <xdr:cNvPr id="1140" name="Picture 1139">
          <a:extLst>
            <a:ext uri="{FF2B5EF4-FFF2-40B4-BE49-F238E27FC236}">
              <a16:creationId xmlns:a16="http://schemas.microsoft.com/office/drawing/2014/main" id="{2AFAC034-9921-42E8-81AF-B1550AED2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19</xdr:row>
      <xdr:rowOff>0</xdr:rowOff>
    </xdr:from>
    <xdr:ext cx="9525" cy="9525"/>
    <xdr:pic>
      <xdr:nvPicPr>
        <xdr:cNvPr id="1141" name="Picture 1140">
          <a:extLst>
            <a:ext uri="{FF2B5EF4-FFF2-40B4-BE49-F238E27FC236}">
              <a16:creationId xmlns:a16="http://schemas.microsoft.com/office/drawing/2014/main" id="{B1C92A0F-8AC5-4503-A5B9-3CA1627BF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</xdr:row>
      <xdr:rowOff>0</xdr:rowOff>
    </xdr:from>
    <xdr:ext cx="9525" cy="9525"/>
    <xdr:pic>
      <xdr:nvPicPr>
        <xdr:cNvPr id="1142" name="Picture 1141">
          <a:extLst>
            <a:ext uri="{FF2B5EF4-FFF2-40B4-BE49-F238E27FC236}">
              <a16:creationId xmlns:a16="http://schemas.microsoft.com/office/drawing/2014/main" id="{0F8D906F-308C-467B-984C-4B6CCA03F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304800" cy="304800"/>
    <xdr:sp macro="" textlink="">
      <xdr:nvSpPr>
        <xdr:cNvPr id="1143" name="AutoShape 40">
          <a:extLst>
            <a:ext uri="{FF2B5EF4-FFF2-40B4-BE49-F238E27FC236}">
              <a16:creationId xmlns:a16="http://schemas.microsoft.com/office/drawing/2014/main" id="{802BF603-FCBC-4264-895C-E4C929758B0F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304800" cy="303439"/>
    <xdr:sp macro="" textlink="">
      <xdr:nvSpPr>
        <xdr:cNvPr id="1144" name="AutoShape 42">
          <a:extLst>
            <a:ext uri="{FF2B5EF4-FFF2-40B4-BE49-F238E27FC236}">
              <a16:creationId xmlns:a16="http://schemas.microsoft.com/office/drawing/2014/main" id="{83E61FF5-DFF8-4E86-B931-6667D0EA4B5F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9525" cy="9525"/>
    <xdr:pic>
      <xdr:nvPicPr>
        <xdr:cNvPr id="1145" name="Picture 1144">
          <a:extLst>
            <a:ext uri="{FF2B5EF4-FFF2-40B4-BE49-F238E27FC236}">
              <a16:creationId xmlns:a16="http://schemas.microsoft.com/office/drawing/2014/main" id="{4BE3FA3B-FFE1-4A4A-90B8-C0932DE33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304800" cy="304800"/>
    <xdr:sp macro="" textlink="">
      <xdr:nvSpPr>
        <xdr:cNvPr id="1146" name="AutoShape 63">
          <a:extLst>
            <a:ext uri="{FF2B5EF4-FFF2-40B4-BE49-F238E27FC236}">
              <a16:creationId xmlns:a16="http://schemas.microsoft.com/office/drawing/2014/main" id="{C41425E1-474F-431F-9181-60744C08AD7C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304800" cy="303439"/>
    <xdr:sp macro="" textlink="">
      <xdr:nvSpPr>
        <xdr:cNvPr id="1147" name="AutoShape 65">
          <a:extLst>
            <a:ext uri="{FF2B5EF4-FFF2-40B4-BE49-F238E27FC236}">
              <a16:creationId xmlns:a16="http://schemas.microsoft.com/office/drawing/2014/main" id="{F2F11D94-D5B4-405F-9CD0-518B3BE49B93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9525" cy="9525"/>
    <xdr:pic>
      <xdr:nvPicPr>
        <xdr:cNvPr id="1148" name="Picture 1147">
          <a:extLst>
            <a:ext uri="{FF2B5EF4-FFF2-40B4-BE49-F238E27FC236}">
              <a16:creationId xmlns:a16="http://schemas.microsoft.com/office/drawing/2014/main" id="{E6936E9D-FE04-403D-83D2-C09241C8D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304800" cy="304800"/>
    <xdr:sp macro="" textlink="">
      <xdr:nvSpPr>
        <xdr:cNvPr id="1149" name="AutoShape 113">
          <a:extLst>
            <a:ext uri="{FF2B5EF4-FFF2-40B4-BE49-F238E27FC236}">
              <a16:creationId xmlns:a16="http://schemas.microsoft.com/office/drawing/2014/main" id="{92FDBB40-21F0-416B-9D8F-864733CB5449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304800" cy="303439"/>
    <xdr:sp macro="" textlink="">
      <xdr:nvSpPr>
        <xdr:cNvPr id="1150" name="AutoShape 115">
          <a:extLst>
            <a:ext uri="{FF2B5EF4-FFF2-40B4-BE49-F238E27FC236}">
              <a16:creationId xmlns:a16="http://schemas.microsoft.com/office/drawing/2014/main" id="{6EBA06B6-D60A-461C-99C2-23669E00C550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9525" cy="9525"/>
    <xdr:pic>
      <xdr:nvPicPr>
        <xdr:cNvPr id="1151" name="Picture 1150">
          <a:extLst>
            <a:ext uri="{FF2B5EF4-FFF2-40B4-BE49-F238E27FC236}">
              <a16:creationId xmlns:a16="http://schemas.microsoft.com/office/drawing/2014/main" id="{9B921CDD-B295-401A-A05C-8CBA06B4A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16</xdr:row>
      <xdr:rowOff>0</xdr:rowOff>
    </xdr:from>
    <xdr:ext cx="304800" cy="304800"/>
    <xdr:sp macro="" textlink="">
      <xdr:nvSpPr>
        <xdr:cNvPr id="1152" name="AutoShape 138">
          <a:extLst>
            <a:ext uri="{FF2B5EF4-FFF2-40B4-BE49-F238E27FC236}">
              <a16:creationId xmlns:a16="http://schemas.microsoft.com/office/drawing/2014/main" id="{76AE1683-F27F-4E78-AE0D-90BDF0705A46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</xdr:row>
      <xdr:rowOff>0</xdr:rowOff>
    </xdr:from>
    <xdr:ext cx="304800" cy="303439"/>
    <xdr:sp macro="" textlink="">
      <xdr:nvSpPr>
        <xdr:cNvPr id="1153" name="AutoShape 140">
          <a:extLst>
            <a:ext uri="{FF2B5EF4-FFF2-40B4-BE49-F238E27FC236}">
              <a16:creationId xmlns:a16="http://schemas.microsoft.com/office/drawing/2014/main" id="{037ED74F-5DEF-46B1-AD2C-532D9767AE8C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18</xdr:row>
      <xdr:rowOff>0</xdr:rowOff>
    </xdr:from>
    <xdr:ext cx="9525" cy="9525"/>
    <xdr:pic>
      <xdr:nvPicPr>
        <xdr:cNvPr id="1154" name="Picture 1153">
          <a:extLst>
            <a:ext uri="{FF2B5EF4-FFF2-40B4-BE49-F238E27FC236}">
              <a16:creationId xmlns:a16="http://schemas.microsoft.com/office/drawing/2014/main" id="{24E3D395-B1AB-4522-B7CB-07DE643EE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9525" cy="9525"/>
    <xdr:pic>
      <xdr:nvPicPr>
        <xdr:cNvPr id="1155" name="Picture 1154">
          <a:extLst>
            <a:ext uri="{FF2B5EF4-FFF2-40B4-BE49-F238E27FC236}">
              <a16:creationId xmlns:a16="http://schemas.microsoft.com/office/drawing/2014/main" id="{1C5C4AAC-ADEA-4AF2-B766-276037545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9525" cy="9525"/>
    <xdr:pic>
      <xdr:nvPicPr>
        <xdr:cNvPr id="1156" name="Picture 1155">
          <a:extLst>
            <a:ext uri="{FF2B5EF4-FFF2-40B4-BE49-F238E27FC236}">
              <a16:creationId xmlns:a16="http://schemas.microsoft.com/office/drawing/2014/main" id="{E2814591-2CED-489B-802B-4381D5B54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18</xdr:row>
      <xdr:rowOff>0</xdr:rowOff>
    </xdr:from>
    <xdr:ext cx="9525" cy="9525"/>
    <xdr:pic>
      <xdr:nvPicPr>
        <xdr:cNvPr id="1157" name="Picture 1156">
          <a:extLst>
            <a:ext uri="{FF2B5EF4-FFF2-40B4-BE49-F238E27FC236}">
              <a16:creationId xmlns:a16="http://schemas.microsoft.com/office/drawing/2014/main" id="{21E2135B-165C-42FA-BE04-757537AE3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9525" cy="9525"/>
    <xdr:pic>
      <xdr:nvPicPr>
        <xdr:cNvPr id="1158" name="Picture 1157">
          <a:extLst>
            <a:ext uri="{FF2B5EF4-FFF2-40B4-BE49-F238E27FC236}">
              <a16:creationId xmlns:a16="http://schemas.microsoft.com/office/drawing/2014/main" id="{37FB9F92-4FAD-483A-8443-49BF67688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9525" cy="9525"/>
    <xdr:pic>
      <xdr:nvPicPr>
        <xdr:cNvPr id="1159" name="Picture 1158">
          <a:extLst>
            <a:ext uri="{FF2B5EF4-FFF2-40B4-BE49-F238E27FC236}">
              <a16:creationId xmlns:a16="http://schemas.microsoft.com/office/drawing/2014/main" id="{C0B5E681-E4E9-400F-A95D-CDB1797EC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9525" cy="9525"/>
    <xdr:pic>
      <xdr:nvPicPr>
        <xdr:cNvPr id="1160" name="Picture 1159">
          <a:extLst>
            <a:ext uri="{FF2B5EF4-FFF2-40B4-BE49-F238E27FC236}">
              <a16:creationId xmlns:a16="http://schemas.microsoft.com/office/drawing/2014/main" id="{82A56968-A98F-43CE-856D-FB9C2C2C6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9525" cy="9525"/>
    <xdr:pic>
      <xdr:nvPicPr>
        <xdr:cNvPr id="1161" name="Picture 1160">
          <a:extLst>
            <a:ext uri="{FF2B5EF4-FFF2-40B4-BE49-F238E27FC236}">
              <a16:creationId xmlns:a16="http://schemas.microsoft.com/office/drawing/2014/main" id="{FD432C49-ED2F-4A88-9C31-495B58A38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10</xdr:row>
      <xdr:rowOff>0</xdr:rowOff>
    </xdr:from>
    <xdr:ext cx="9525" cy="9525"/>
    <xdr:pic>
      <xdr:nvPicPr>
        <xdr:cNvPr id="1162" name="Picture 1161">
          <a:extLst>
            <a:ext uri="{FF2B5EF4-FFF2-40B4-BE49-F238E27FC236}">
              <a16:creationId xmlns:a16="http://schemas.microsoft.com/office/drawing/2014/main" id="{3355C577-82C8-48A8-A7D1-3736754D9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304800" cy="304800"/>
    <xdr:sp macro="" textlink="">
      <xdr:nvSpPr>
        <xdr:cNvPr id="1163" name="AutoShape 38">
          <a:extLst>
            <a:ext uri="{FF2B5EF4-FFF2-40B4-BE49-F238E27FC236}">
              <a16:creationId xmlns:a16="http://schemas.microsoft.com/office/drawing/2014/main" id="{76FB784E-661D-47AC-A01F-322F35C37241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304800" cy="304800"/>
    <xdr:sp macro="" textlink="">
      <xdr:nvSpPr>
        <xdr:cNvPr id="1164" name="AutoShape 40">
          <a:extLst>
            <a:ext uri="{FF2B5EF4-FFF2-40B4-BE49-F238E27FC236}">
              <a16:creationId xmlns:a16="http://schemas.microsoft.com/office/drawing/2014/main" id="{ED2457F1-C71E-4F3C-AD31-E39F285E0770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9525" cy="9525"/>
    <xdr:pic>
      <xdr:nvPicPr>
        <xdr:cNvPr id="1165" name="Picture 1164">
          <a:extLst>
            <a:ext uri="{FF2B5EF4-FFF2-40B4-BE49-F238E27FC236}">
              <a16:creationId xmlns:a16="http://schemas.microsoft.com/office/drawing/2014/main" id="{1B259E4A-ACCE-45AF-8F66-834BAF1F5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304800" cy="304800"/>
    <xdr:sp macro="" textlink="">
      <xdr:nvSpPr>
        <xdr:cNvPr id="1166" name="AutoShape 61">
          <a:extLst>
            <a:ext uri="{FF2B5EF4-FFF2-40B4-BE49-F238E27FC236}">
              <a16:creationId xmlns:a16="http://schemas.microsoft.com/office/drawing/2014/main" id="{6032A105-2D48-435F-9946-60CDE51E72DD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304800" cy="304800"/>
    <xdr:sp macro="" textlink="">
      <xdr:nvSpPr>
        <xdr:cNvPr id="1167" name="AutoShape 63">
          <a:extLst>
            <a:ext uri="{FF2B5EF4-FFF2-40B4-BE49-F238E27FC236}">
              <a16:creationId xmlns:a16="http://schemas.microsoft.com/office/drawing/2014/main" id="{12BDAC4D-ED40-4AA7-BC9A-E7825FAEF2D2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9525" cy="9525"/>
    <xdr:pic>
      <xdr:nvPicPr>
        <xdr:cNvPr id="1168" name="Picture 1167">
          <a:extLst>
            <a:ext uri="{FF2B5EF4-FFF2-40B4-BE49-F238E27FC236}">
              <a16:creationId xmlns:a16="http://schemas.microsoft.com/office/drawing/2014/main" id="{93068B1F-7E49-4402-A234-B51FB372A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304800" cy="304800"/>
    <xdr:sp macro="" textlink="">
      <xdr:nvSpPr>
        <xdr:cNvPr id="1169" name="AutoShape 111">
          <a:extLst>
            <a:ext uri="{FF2B5EF4-FFF2-40B4-BE49-F238E27FC236}">
              <a16:creationId xmlns:a16="http://schemas.microsoft.com/office/drawing/2014/main" id="{721EE0B4-1565-45BF-95C8-DB81E920B65D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304800" cy="304800"/>
    <xdr:sp macro="" textlink="">
      <xdr:nvSpPr>
        <xdr:cNvPr id="1170" name="AutoShape 113">
          <a:extLst>
            <a:ext uri="{FF2B5EF4-FFF2-40B4-BE49-F238E27FC236}">
              <a16:creationId xmlns:a16="http://schemas.microsoft.com/office/drawing/2014/main" id="{B2A35A9D-01F7-4AA9-9C11-F9F669BBE554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9525" cy="9525"/>
    <xdr:pic>
      <xdr:nvPicPr>
        <xdr:cNvPr id="1171" name="Picture 1170">
          <a:extLst>
            <a:ext uri="{FF2B5EF4-FFF2-40B4-BE49-F238E27FC236}">
              <a16:creationId xmlns:a16="http://schemas.microsoft.com/office/drawing/2014/main" id="{DD347C0E-9C17-4617-B43A-5040F1586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9</xdr:row>
      <xdr:rowOff>0</xdr:rowOff>
    </xdr:from>
    <xdr:ext cx="304800" cy="304800"/>
    <xdr:sp macro="" textlink="">
      <xdr:nvSpPr>
        <xdr:cNvPr id="1172" name="AutoShape 136">
          <a:extLst>
            <a:ext uri="{FF2B5EF4-FFF2-40B4-BE49-F238E27FC236}">
              <a16:creationId xmlns:a16="http://schemas.microsoft.com/office/drawing/2014/main" id="{E7D72B14-A71D-4B2E-B9AE-C2DC363E58D7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304800" cy="304800"/>
    <xdr:sp macro="" textlink="">
      <xdr:nvSpPr>
        <xdr:cNvPr id="1173" name="AutoShape 138">
          <a:extLst>
            <a:ext uri="{FF2B5EF4-FFF2-40B4-BE49-F238E27FC236}">
              <a16:creationId xmlns:a16="http://schemas.microsoft.com/office/drawing/2014/main" id="{CF0EA530-EBB1-4615-9C95-472223EBDCC4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22</xdr:row>
      <xdr:rowOff>0</xdr:rowOff>
    </xdr:from>
    <xdr:ext cx="9525" cy="9525"/>
    <xdr:pic>
      <xdr:nvPicPr>
        <xdr:cNvPr id="1174" name="Picture 1173">
          <a:extLst>
            <a:ext uri="{FF2B5EF4-FFF2-40B4-BE49-F238E27FC236}">
              <a16:creationId xmlns:a16="http://schemas.microsoft.com/office/drawing/2014/main" id="{41E1AC26-8A11-4017-A458-DE8E4F089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22</xdr:row>
      <xdr:rowOff>0</xdr:rowOff>
    </xdr:from>
    <xdr:ext cx="9525" cy="9525"/>
    <xdr:pic>
      <xdr:nvPicPr>
        <xdr:cNvPr id="1175" name="Picture 1174">
          <a:extLst>
            <a:ext uri="{FF2B5EF4-FFF2-40B4-BE49-F238E27FC236}">
              <a16:creationId xmlns:a16="http://schemas.microsoft.com/office/drawing/2014/main" id="{BF065A88-8035-4AC7-9AED-E846E68C2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22</xdr:row>
      <xdr:rowOff>0</xdr:rowOff>
    </xdr:from>
    <xdr:ext cx="9525" cy="9525"/>
    <xdr:pic>
      <xdr:nvPicPr>
        <xdr:cNvPr id="1176" name="Picture 1175">
          <a:extLst>
            <a:ext uri="{FF2B5EF4-FFF2-40B4-BE49-F238E27FC236}">
              <a16:creationId xmlns:a16="http://schemas.microsoft.com/office/drawing/2014/main" id="{733BE2DF-0DBE-4A8E-A401-69CE887BF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22</xdr:row>
      <xdr:rowOff>0</xdr:rowOff>
    </xdr:from>
    <xdr:ext cx="9525" cy="9525"/>
    <xdr:pic>
      <xdr:nvPicPr>
        <xdr:cNvPr id="1177" name="Picture 1176">
          <a:extLst>
            <a:ext uri="{FF2B5EF4-FFF2-40B4-BE49-F238E27FC236}">
              <a16:creationId xmlns:a16="http://schemas.microsoft.com/office/drawing/2014/main" id="{AFD17E95-1102-4565-B6FF-E4ECC8A8D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9525" cy="9525"/>
    <xdr:pic>
      <xdr:nvPicPr>
        <xdr:cNvPr id="1178" name="Picture 1177">
          <a:extLst>
            <a:ext uri="{FF2B5EF4-FFF2-40B4-BE49-F238E27FC236}">
              <a16:creationId xmlns:a16="http://schemas.microsoft.com/office/drawing/2014/main" id="{AFE504BC-79C6-4053-8B18-4D86EC530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1179" name="AutoShape 38">
          <a:extLst>
            <a:ext uri="{FF2B5EF4-FFF2-40B4-BE49-F238E27FC236}">
              <a16:creationId xmlns:a16="http://schemas.microsoft.com/office/drawing/2014/main" id="{5C156F9D-2C26-45A7-BD2F-63288DC0DC5F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9525" cy="9525"/>
    <xdr:pic>
      <xdr:nvPicPr>
        <xdr:cNvPr id="1180" name="Picture 1179">
          <a:extLst>
            <a:ext uri="{FF2B5EF4-FFF2-40B4-BE49-F238E27FC236}">
              <a16:creationId xmlns:a16="http://schemas.microsoft.com/office/drawing/2014/main" id="{31B5D898-1AD2-46E2-8E74-A96CAC945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1181" name="AutoShape 61">
          <a:extLst>
            <a:ext uri="{FF2B5EF4-FFF2-40B4-BE49-F238E27FC236}">
              <a16:creationId xmlns:a16="http://schemas.microsoft.com/office/drawing/2014/main" id="{61F0AC55-FE46-4DC1-B3B4-82950A2DD893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9525" cy="9525"/>
    <xdr:pic>
      <xdr:nvPicPr>
        <xdr:cNvPr id="1182" name="Picture 1181">
          <a:extLst>
            <a:ext uri="{FF2B5EF4-FFF2-40B4-BE49-F238E27FC236}">
              <a16:creationId xmlns:a16="http://schemas.microsoft.com/office/drawing/2014/main" id="{04AA61E8-77E1-4990-AA22-AF59AF3CF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1183" name="AutoShape 111">
          <a:extLst>
            <a:ext uri="{FF2B5EF4-FFF2-40B4-BE49-F238E27FC236}">
              <a16:creationId xmlns:a16="http://schemas.microsoft.com/office/drawing/2014/main" id="{5FFD6EC0-FB05-4E45-ABBD-5C0FAAF2ADFB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9525" cy="9525"/>
    <xdr:pic>
      <xdr:nvPicPr>
        <xdr:cNvPr id="1184" name="Picture 1183">
          <a:extLst>
            <a:ext uri="{FF2B5EF4-FFF2-40B4-BE49-F238E27FC236}">
              <a16:creationId xmlns:a16="http://schemas.microsoft.com/office/drawing/2014/main" id="{518E82EF-1B34-42DF-A0B9-0E5EDEBC1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1185" name="AutoShape 136">
          <a:extLst>
            <a:ext uri="{FF2B5EF4-FFF2-40B4-BE49-F238E27FC236}">
              <a16:creationId xmlns:a16="http://schemas.microsoft.com/office/drawing/2014/main" id="{C84D40DD-21C6-4237-80E1-495DA5823258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1186" name="AutoShape 44">
          <a:extLst>
            <a:ext uri="{FF2B5EF4-FFF2-40B4-BE49-F238E27FC236}">
              <a16:creationId xmlns:a16="http://schemas.microsoft.com/office/drawing/2014/main" id="{6B7900C3-7B59-4FF5-8FD5-37CBC63A8792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1187" name="AutoShape 67">
          <a:extLst>
            <a:ext uri="{FF2B5EF4-FFF2-40B4-BE49-F238E27FC236}">
              <a16:creationId xmlns:a16="http://schemas.microsoft.com/office/drawing/2014/main" id="{B1BE349C-0B63-4B9F-B3AB-75A1F08EA2E3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304800" cy="303440"/>
    <xdr:sp macro="" textlink="">
      <xdr:nvSpPr>
        <xdr:cNvPr id="1188" name="AutoShape 69">
          <a:extLst>
            <a:ext uri="{FF2B5EF4-FFF2-40B4-BE49-F238E27FC236}">
              <a16:creationId xmlns:a16="http://schemas.microsoft.com/office/drawing/2014/main" id="{296A4A83-58F7-40C8-8517-CBBE4F2335E0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9525" cy="9525"/>
    <xdr:pic>
      <xdr:nvPicPr>
        <xdr:cNvPr id="1189" name="Picture 1188">
          <a:extLst>
            <a:ext uri="{FF2B5EF4-FFF2-40B4-BE49-F238E27FC236}">
              <a16:creationId xmlns:a16="http://schemas.microsoft.com/office/drawing/2014/main" id="{3221A831-C5E1-4CBB-917E-2107EFE06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1190" name="AutoShape 117">
          <a:extLst>
            <a:ext uri="{FF2B5EF4-FFF2-40B4-BE49-F238E27FC236}">
              <a16:creationId xmlns:a16="http://schemas.microsoft.com/office/drawing/2014/main" id="{BB313920-E770-41FA-BAA7-C1F9D358F131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304800" cy="303440"/>
    <xdr:sp macro="" textlink="">
      <xdr:nvSpPr>
        <xdr:cNvPr id="1191" name="AutoShape 119">
          <a:extLst>
            <a:ext uri="{FF2B5EF4-FFF2-40B4-BE49-F238E27FC236}">
              <a16:creationId xmlns:a16="http://schemas.microsoft.com/office/drawing/2014/main" id="{70D8D3AC-D8DF-49EE-A298-5E2C224A9048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9525" cy="9525"/>
    <xdr:pic>
      <xdr:nvPicPr>
        <xdr:cNvPr id="1192" name="Picture 1191">
          <a:extLst>
            <a:ext uri="{FF2B5EF4-FFF2-40B4-BE49-F238E27FC236}">
              <a16:creationId xmlns:a16="http://schemas.microsoft.com/office/drawing/2014/main" id="{ACA79056-8FE4-466B-B828-DB81F9AC0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58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23</xdr:row>
      <xdr:rowOff>0</xdr:rowOff>
    </xdr:from>
    <xdr:ext cx="304800" cy="304800"/>
    <xdr:sp macro="" textlink="">
      <xdr:nvSpPr>
        <xdr:cNvPr id="1193" name="AutoShape 142">
          <a:extLst>
            <a:ext uri="{FF2B5EF4-FFF2-40B4-BE49-F238E27FC236}">
              <a16:creationId xmlns:a16="http://schemas.microsoft.com/office/drawing/2014/main" id="{64CECD05-A124-4817-81A4-E077AAAC2F51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</xdr:row>
      <xdr:rowOff>0</xdr:rowOff>
    </xdr:from>
    <xdr:ext cx="304800" cy="303440"/>
    <xdr:sp macro="" textlink="">
      <xdr:nvSpPr>
        <xdr:cNvPr id="1194" name="AutoShape 144">
          <a:extLst>
            <a:ext uri="{FF2B5EF4-FFF2-40B4-BE49-F238E27FC236}">
              <a16:creationId xmlns:a16="http://schemas.microsoft.com/office/drawing/2014/main" id="{0D1E136A-965B-40D9-9F85-A8242568816C}"/>
            </a:ext>
          </a:extLst>
        </xdr:cNvPr>
        <xdr:cNvSpPr>
          <a:spLocks noChangeAspect="1" noChangeArrowheads="1"/>
        </xdr:cNvSpPr>
      </xdr:nvSpPr>
      <xdr:spPr bwMode="auto">
        <a:xfrm>
          <a:off x="34358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3</xdr:row>
      <xdr:rowOff>0</xdr:rowOff>
    </xdr:from>
    <xdr:ext cx="9525" cy="9525"/>
    <xdr:pic>
      <xdr:nvPicPr>
        <xdr:cNvPr id="1195" name="Picture 1194">
          <a:extLst>
            <a:ext uri="{FF2B5EF4-FFF2-40B4-BE49-F238E27FC236}">
              <a16:creationId xmlns:a16="http://schemas.microsoft.com/office/drawing/2014/main" id="{A0C245BF-45E5-44A9-BBDC-03796DFF0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</xdr:row>
      <xdr:rowOff>0</xdr:rowOff>
    </xdr:from>
    <xdr:ext cx="304800" cy="303439"/>
    <xdr:sp macro="" textlink="">
      <xdr:nvSpPr>
        <xdr:cNvPr id="1196" name="AutoShape 148">
          <a:extLst>
            <a:ext uri="{FF2B5EF4-FFF2-40B4-BE49-F238E27FC236}">
              <a16:creationId xmlns:a16="http://schemas.microsoft.com/office/drawing/2014/main" id="{F54489B8-8355-4B11-B781-52ACE0BAB3E3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3</xdr:row>
      <xdr:rowOff>0</xdr:rowOff>
    </xdr:from>
    <xdr:ext cx="304800" cy="304800"/>
    <xdr:sp macro="" textlink="">
      <xdr:nvSpPr>
        <xdr:cNvPr id="1197" name="AutoShape 150">
          <a:extLst>
            <a:ext uri="{FF2B5EF4-FFF2-40B4-BE49-F238E27FC236}">
              <a16:creationId xmlns:a16="http://schemas.microsoft.com/office/drawing/2014/main" id="{1A3AA39E-6EEE-440F-9282-887465CAA02C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5</xdr:row>
      <xdr:rowOff>0</xdr:rowOff>
    </xdr:from>
    <xdr:ext cx="9525" cy="9525"/>
    <xdr:pic>
      <xdr:nvPicPr>
        <xdr:cNvPr id="1198" name="Picture 1197">
          <a:extLst>
            <a:ext uri="{FF2B5EF4-FFF2-40B4-BE49-F238E27FC236}">
              <a16:creationId xmlns:a16="http://schemas.microsoft.com/office/drawing/2014/main" id="{3D4AD9CC-010F-4B99-BEC7-B2A0ECAEB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9525" cy="9525"/>
    <xdr:pic>
      <xdr:nvPicPr>
        <xdr:cNvPr id="1199" name="Picture 1198">
          <a:extLst>
            <a:ext uri="{FF2B5EF4-FFF2-40B4-BE49-F238E27FC236}">
              <a16:creationId xmlns:a16="http://schemas.microsoft.com/office/drawing/2014/main" id="{E98D22E3-35A1-44AC-854C-E7A75C0E0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00" name="Picture 1199">
          <a:extLst>
            <a:ext uri="{FF2B5EF4-FFF2-40B4-BE49-F238E27FC236}">
              <a16:creationId xmlns:a16="http://schemas.microsoft.com/office/drawing/2014/main" id="{0D8DE59D-1418-4140-B6B5-63B93BE0B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304800" cy="304800"/>
    <xdr:sp macro="" textlink="">
      <xdr:nvSpPr>
        <xdr:cNvPr id="1201" name="AutoShape 154">
          <a:extLst>
            <a:ext uri="{FF2B5EF4-FFF2-40B4-BE49-F238E27FC236}">
              <a16:creationId xmlns:a16="http://schemas.microsoft.com/office/drawing/2014/main" id="{C9B572C0-087B-4230-AF53-8DD528565301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26</xdr:row>
      <xdr:rowOff>0</xdr:rowOff>
    </xdr:from>
    <xdr:ext cx="9525" cy="9525"/>
    <xdr:pic>
      <xdr:nvPicPr>
        <xdr:cNvPr id="1202" name="Picture 1201">
          <a:extLst>
            <a:ext uri="{FF2B5EF4-FFF2-40B4-BE49-F238E27FC236}">
              <a16:creationId xmlns:a16="http://schemas.microsoft.com/office/drawing/2014/main" id="{1EC6E73D-B88B-4D66-8981-7F2E3673E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304800" cy="303440"/>
    <xdr:sp macro="" textlink="">
      <xdr:nvSpPr>
        <xdr:cNvPr id="1203" name="AutoShape 156">
          <a:extLst>
            <a:ext uri="{FF2B5EF4-FFF2-40B4-BE49-F238E27FC236}">
              <a16:creationId xmlns:a16="http://schemas.microsoft.com/office/drawing/2014/main" id="{DD7B7399-8353-4814-BDBD-D79C19C946E5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04" name="Picture 1203">
          <a:extLst>
            <a:ext uri="{FF2B5EF4-FFF2-40B4-BE49-F238E27FC236}">
              <a16:creationId xmlns:a16="http://schemas.microsoft.com/office/drawing/2014/main" id="{EC445E50-3548-4F7A-B279-6E55B95D7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05" name="Picture 1204">
          <a:extLst>
            <a:ext uri="{FF2B5EF4-FFF2-40B4-BE49-F238E27FC236}">
              <a16:creationId xmlns:a16="http://schemas.microsoft.com/office/drawing/2014/main" id="{859AF026-46CF-4020-A620-C61B8C22C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206" name="AutoShape 159">
          <a:extLst>
            <a:ext uri="{FF2B5EF4-FFF2-40B4-BE49-F238E27FC236}">
              <a16:creationId xmlns:a16="http://schemas.microsoft.com/office/drawing/2014/main" id="{A3B5169D-DC48-40D0-834A-C9649987C4B6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07" name="Picture 1206">
          <a:extLst>
            <a:ext uri="{FF2B5EF4-FFF2-40B4-BE49-F238E27FC236}">
              <a16:creationId xmlns:a16="http://schemas.microsoft.com/office/drawing/2014/main" id="{D72E5622-98AC-4C38-A542-2C9619BA9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08" name="Picture 1207">
          <a:extLst>
            <a:ext uri="{FF2B5EF4-FFF2-40B4-BE49-F238E27FC236}">
              <a16:creationId xmlns:a16="http://schemas.microsoft.com/office/drawing/2014/main" id="{AEDDF005-0170-4D83-9AE8-919F6D26D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09" name="Picture 1208">
          <a:extLst>
            <a:ext uri="{FF2B5EF4-FFF2-40B4-BE49-F238E27FC236}">
              <a16:creationId xmlns:a16="http://schemas.microsoft.com/office/drawing/2014/main" id="{15846D7F-9BDF-41B4-82A8-5ECFB7A16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10" name="Picture 1209">
          <a:extLst>
            <a:ext uri="{FF2B5EF4-FFF2-40B4-BE49-F238E27FC236}">
              <a16:creationId xmlns:a16="http://schemas.microsoft.com/office/drawing/2014/main" id="{0FF36E22-E91E-4D5B-9350-3F5F16001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</xdr:row>
      <xdr:rowOff>0</xdr:rowOff>
    </xdr:from>
    <xdr:ext cx="9525" cy="9525"/>
    <xdr:pic>
      <xdr:nvPicPr>
        <xdr:cNvPr id="1211" name="Picture 1210">
          <a:extLst>
            <a:ext uri="{FF2B5EF4-FFF2-40B4-BE49-F238E27FC236}">
              <a16:creationId xmlns:a16="http://schemas.microsoft.com/office/drawing/2014/main" id="{B39E75B7-0A4B-4B88-9985-FBABEEFD9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</xdr:row>
      <xdr:rowOff>0</xdr:rowOff>
    </xdr:from>
    <xdr:ext cx="304800" cy="303439"/>
    <xdr:sp macro="" textlink="">
      <xdr:nvSpPr>
        <xdr:cNvPr id="1212" name="AutoShape 165">
          <a:extLst>
            <a:ext uri="{FF2B5EF4-FFF2-40B4-BE49-F238E27FC236}">
              <a16:creationId xmlns:a16="http://schemas.microsoft.com/office/drawing/2014/main" id="{5BCF352D-025C-4456-ACFD-6822F69C0B6D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13" name="Picture 1212">
          <a:extLst>
            <a:ext uri="{FF2B5EF4-FFF2-40B4-BE49-F238E27FC236}">
              <a16:creationId xmlns:a16="http://schemas.microsoft.com/office/drawing/2014/main" id="{A020D3B7-87C9-42AD-BEBC-DD881011C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14" name="Picture 1213">
          <a:extLst>
            <a:ext uri="{FF2B5EF4-FFF2-40B4-BE49-F238E27FC236}">
              <a16:creationId xmlns:a16="http://schemas.microsoft.com/office/drawing/2014/main" id="{A1C6DAF9-036D-46CC-B2AE-0FD53966F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1215" name="AutoShape 169">
          <a:extLst>
            <a:ext uri="{FF2B5EF4-FFF2-40B4-BE49-F238E27FC236}">
              <a16:creationId xmlns:a16="http://schemas.microsoft.com/office/drawing/2014/main" id="{E1D73EDE-CB8A-4F7F-910F-A4EFA17A2EB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27</xdr:row>
      <xdr:rowOff>0</xdr:rowOff>
    </xdr:from>
    <xdr:ext cx="9525" cy="9525"/>
    <xdr:pic>
      <xdr:nvPicPr>
        <xdr:cNvPr id="1216" name="Picture 1215">
          <a:extLst>
            <a:ext uri="{FF2B5EF4-FFF2-40B4-BE49-F238E27FC236}">
              <a16:creationId xmlns:a16="http://schemas.microsoft.com/office/drawing/2014/main" id="{BB826B5F-6617-4537-BBDA-550E765A1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304800" cy="303439"/>
    <xdr:sp macro="" textlink="">
      <xdr:nvSpPr>
        <xdr:cNvPr id="1217" name="AutoShape 171">
          <a:extLst>
            <a:ext uri="{FF2B5EF4-FFF2-40B4-BE49-F238E27FC236}">
              <a16:creationId xmlns:a16="http://schemas.microsoft.com/office/drawing/2014/main" id="{B9D4BFFA-B168-4953-98B1-2AD200D1D51C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18" name="Picture 1217">
          <a:extLst>
            <a:ext uri="{FF2B5EF4-FFF2-40B4-BE49-F238E27FC236}">
              <a16:creationId xmlns:a16="http://schemas.microsoft.com/office/drawing/2014/main" id="{D24E356C-BC81-4054-A25F-A9FDD56CE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27</xdr:row>
      <xdr:rowOff>0</xdr:rowOff>
    </xdr:from>
    <xdr:ext cx="304800" cy="303440"/>
    <xdr:sp macro="" textlink="">
      <xdr:nvSpPr>
        <xdr:cNvPr id="1219" name="AutoShape 173">
          <a:extLst>
            <a:ext uri="{FF2B5EF4-FFF2-40B4-BE49-F238E27FC236}">
              <a16:creationId xmlns:a16="http://schemas.microsoft.com/office/drawing/2014/main" id="{C00028A0-DDAA-4C8F-8414-3DE6708E9489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477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20" name="Picture 1219">
          <a:extLst>
            <a:ext uri="{FF2B5EF4-FFF2-40B4-BE49-F238E27FC236}">
              <a16:creationId xmlns:a16="http://schemas.microsoft.com/office/drawing/2014/main" id="{9529414B-2296-43FB-80A1-DE436F267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21" name="Picture 1220">
          <a:extLst>
            <a:ext uri="{FF2B5EF4-FFF2-40B4-BE49-F238E27FC236}">
              <a16:creationId xmlns:a16="http://schemas.microsoft.com/office/drawing/2014/main" id="{A533A0B2-EC18-4046-A4DD-6CF1C8AF2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</xdr:row>
      <xdr:rowOff>0</xdr:rowOff>
    </xdr:from>
    <xdr:ext cx="9525" cy="9525"/>
    <xdr:pic>
      <xdr:nvPicPr>
        <xdr:cNvPr id="1222" name="Picture 1221">
          <a:extLst>
            <a:ext uri="{FF2B5EF4-FFF2-40B4-BE49-F238E27FC236}">
              <a16:creationId xmlns:a16="http://schemas.microsoft.com/office/drawing/2014/main" id="{01734716-3D30-4DC9-8C3C-37E594C43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</xdr:row>
      <xdr:rowOff>0</xdr:rowOff>
    </xdr:from>
    <xdr:ext cx="304800" cy="303439"/>
    <xdr:sp macro="" textlink="">
      <xdr:nvSpPr>
        <xdr:cNvPr id="1223" name="AutoShape 177">
          <a:extLst>
            <a:ext uri="{FF2B5EF4-FFF2-40B4-BE49-F238E27FC236}">
              <a16:creationId xmlns:a16="http://schemas.microsoft.com/office/drawing/2014/main" id="{CA5B3DAD-3A24-4265-A945-79DF0FE90E3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4</xdr:row>
      <xdr:rowOff>0</xdr:rowOff>
    </xdr:from>
    <xdr:ext cx="9525" cy="9525"/>
    <xdr:pic>
      <xdr:nvPicPr>
        <xdr:cNvPr id="1224" name="Picture 1223">
          <a:extLst>
            <a:ext uri="{FF2B5EF4-FFF2-40B4-BE49-F238E27FC236}">
              <a16:creationId xmlns:a16="http://schemas.microsoft.com/office/drawing/2014/main" id="{7E312221-39F5-44A3-9255-73963D9C0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9525" cy="9525"/>
    <xdr:pic>
      <xdr:nvPicPr>
        <xdr:cNvPr id="1225" name="Picture 1224">
          <a:extLst>
            <a:ext uri="{FF2B5EF4-FFF2-40B4-BE49-F238E27FC236}">
              <a16:creationId xmlns:a16="http://schemas.microsoft.com/office/drawing/2014/main" id="{69BD15F5-BE9A-49B7-9CD7-3ECBCE9FC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9525" cy="9525"/>
    <xdr:pic>
      <xdr:nvPicPr>
        <xdr:cNvPr id="1226" name="Picture 1225">
          <a:extLst>
            <a:ext uri="{FF2B5EF4-FFF2-40B4-BE49-F238E27FC236}">
              <a16:creationId xmlns:a16="http://schemas.microsoft.com/office/drawing/2014/main" id="{70E8E287-9DEA-40FA-AB5A-FA53F8E20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304800" cy="304800"/>
    <xdr:sp macro="" textlink="">
      <xdr:nvSpPr>
        <xdr:cNvPr id="1227" name="AutoShape 181">
          <a:extLst>
            <a:ext uri="{FF2B5EF4-FFF2-40B4-BE49-F238E27FC236}">
              <a16:creationId xmlns:a16="http://schemas.microsoft.com/office/drawing/2014/main" id="{DE1A88F2-D395-416B-9667-ADEC82F0A9B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28" name="Picture 1227">
          <a:extLst>
            <a:ext uri="{FF2B5EF4-FFF2-40B4-BE49-F238E27FC236}">
              <a16:creationId xmlns:a16="http://schemas.microsoft.com/office/drawing/2014/main" id="{82B2614B-23D6-4074-A488-DCFBBD246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24</xdr:row>
      <xdr:rowOff>0</xdr:rowOff>
    </xdr:from>
    <xdr:ext cx="304800" cy="304800"/>
    <xdr:sp macro="" textlink="">
      <xdr:nvSpPr>
        <xdr:cNvPr id="1229" name="AutoShape 183">
          <a:extLst>
            <a:ext uri="{FF2B5EF4-FFF2-40B4-BE49-F238E27FC236}">
              <a16:creationId xmlns:a16="http://schemas.microsoft.com/office/drawing/2014/main" id="{EE74A376-2666-4121-9213-D2F061B8C0F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26</xdr:row>
      <xdr:rowOff>0</xdr:rowOff>
    </xdr:from>
    <xdr:ext cx="9525" cy="9525"/>
    <xdr:pic>
      <xdr:nvPicPr>
        <xdr:cNvPr id="1230" name="Picture 1229">
          <a:extLst>
            <a:ext uri="{FF2B5EF4-FFF2-40B4-BE49-F238E27FC236}">
              <a16:creationId xmlns:a16="http://schemas.microsoft.com/office/drawing/2014/main" id="{38B086F2-C2C7-4503-9F4E-4744138A2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304800" cy="303440"/>
    <xdr:sp macro="" textlink="">
      <xdr:nvSpPr>
        <xdr:cNvPr id="1231" name="AutoShape 185">
          <a:extLst>
            <a:ext uri="{FF2B5EF4-FFF2-40B4-BE49-F238E27FC236}">
              <a16:creationId xmlns:a16="http://schemas.microsoft.com/office/drawing/2014/main" id="{CF096275-660A-4DA7-9712-F4610A07016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32" name="Picture 1231">
          <a:extLst>
            <a:ext uri="{FF2B5EF4-FFF2-40B4-BE49-F238E27FC236}">
              <a16:creationId xmlns:a16="http://schemas.microsoft.com/office/drawing/2014/main" id="{DC6A353E-1201-4A80-A726-F5C1FD735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33" name="Picture 1232">
          <a:extLst>
            <a:ext uri="{FF2B5EF4-FFF2-40B4-BE49-F238E27FC236}">
              <a16:creationId xmlns:a16="http://schemas.microsoft.com/office/drawing/2014/main" id="{2B93559D-CD7A-429B-AC0C-E74D96181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34" name="Picture 1233">
          <a:extLst>
            <a:ext uri="{FF2B5EF4-FFF2-40B4-BE49-F238E27FC236}">
              <a16:creationId xmlns:a16="http://schemas.microsoft.com/office/drawing/2014/main" id="{058F6B01-A35D-441A-8FC4-07FE6BAD2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35" name="Picture 1234">
          <a:extLst>
            <a:ext uri="{FF2B5EF4-FFF2-40B4-BE49-F238E27FC236}">
              <a16:creationId xmlns:a16="http://schemas.microsoft.com/office/drawing/2014/main" id="{2E53E004-D620-411E-A98D-70D2421DB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36" name="Picture 1235">
          <a:extLst>
            <a:ext uri="{FF2B5EF4-FFF2-40B4-BE49-F238E27FC236}">
              <a16:creationId xmlns:a16="http://schemas.microsoft.com/office/drawing/2014/main" id="{C1778170-82E2-40EB-9AC9-E572100DA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237" name="AutoShape 191">
          <a:extLst>
            <a:ext uri="{FF2B5EF4-FFF2-40B4-BE49-F238E27FC236}">
              <a16:creationId xmlns:a16="http://schemas.microsoft.com/office/drawing/2014/main" id="{C707C85B-02C1-4B20-8CE5-F31ABAE3E72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38" name="Picture 1237">
          <a:extLst>
            <a:ext uri="{FF2B5EF4-FFF2-40B4-BE49-F238E27FC236}">
              <a16:creationId xmlns:a16="http://schemas.microsoft.com/office/drawing/2014/main" id="{A9217EA2-9D54-4BC7-BA39-B93067A7A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239" name="AutoShape 193">
          <a:extLst>
            <a:ext uri="{FF2B5EF4-FFF2-40B4-BE49-F238E27FC236}">
              <a16:creationId xmlns:a16="http://schemas.microsoft.com/office/drawing/2014/main" id="{9DCA2609-09EC-4F35-AE41-016A79D3AB52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9525" cy="9525"/>
    <xdr:pic>
      <xdr:nvPicPr>
        <xdr:cNvPr id="1240" name="Picture 1239">
          <a:extLst>
            <a:ext uri="{FF2B5EF4-FFF2-40B4-BE49-F238E27FC236}">
              <a16:creationId xmlns:a16="http://schemas.microsoft.com/office/drawing/2014/main" id="{F5C31B2C-F489-4E41-AF16-93DD096EA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</xdr:row>
      <xdr:rowOff>0</xdr:rowOff>
    </xdr:from>
    <xdr:ext cx="304800" cy="303439"/>
    <xdr:sp macro="" textlink="">
      <xdr:nvSpPr>
        <xdr:cNvPr id="1241" name="AutoShape 195">
          <a:extLst>
            <a:ext uri="{FF2B5EF4-FFF2-40B4-BE49-F238E27FC236}">
              <a16:creationId xmlns:a16="http://schemas.microsoft.com/office/drawing/2014/main" id="{A5C28B9A-CCFD-4E00-9BF3-5DD547E93ADA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42" name="Picture 1241">
          <a:extLst>
            <a:ext uri="{FF2B5EF4-FFF2-40B4-BE49-F238E27FC236}">
              <a16:creationId xmlns:a16="http://schemas.microsoft.com/office/drawing/2014/main" id="{05895640-531D-474B-9DE9-715669547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43" name="Picture 1242">
          <a:extLst>
            <a:ext uri="{FF2B5EF4-FFF2-40B4-BE49-F238E27FC236}">
              <a16:creationId xmlns:a16="http://schemas.microsoft.com/office/drawing/2014/main" id="{F2E97C38-3315-4CFE-A903-666D15588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1244" name="AutoShape 199">
          <a:extLst>
            <a:ext uri="{FF2B5EF4-FFF2-40B4-BE49-F238E27FC236}">
              <a16:creationId xmlns:a16="http://schemas.microsoft.com/office/drawing/2014/main" id="{6AA73620-A82A-41BF-995B-AAF3F0E6EDB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27</xdr:row>
      <xdr:rowOff>0</xdr:rowOff>
    </xdr:from>
    <xdr:ext cx="9525" cy="9525"/>
    <xdr:pic>
      <xdr:nvPicPr>
        <xdr:cNvPr id="1245" name="Picture 1244">
          <a:extLst>
            <a:ext uri="{FF2B5EF4-FFF2-40B4-BE49-F238E27FC236}">
              <a16:creationId xmlns:a16="http://schemas.microsoft.com/office/drawing/2014/main" id="{0874D28F-2654-48B1-8785-9D548DDBD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46" name="Picture 1245">
          <a:extLst>
            <a:ext uri="{FF2B5EF4-FFF2-40B4-BE49-F238E27FC236}">
              <a16:creationId xmlns:a16="http://schemas.microsoft.com/office/drawing/2014/main" id="{6F0CE857-F96C-4213-973C-2302A7B4F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</xdr:row>
      <xdr:rowOff>0</xdr:rowOff>
    </xdr:from>
    <xdr:ext cx="9525" cy="9525"/>
    <xdr:pic>
      <xdr:nvPicPr>
        <xdr:cNvPr id="1247" name="Picture 1246">
          <a:extLst>
            <a:ext uri="{FF2B5EF4-FFF2-40B4-BE49-F238E27FC236}">
              <a16:creationId xmlns:a16="http://schemas.microsoft.com/office/drawing/2014/main" id="{2D9AEB61-4058-472F-86CA-E87F9DA17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</xdr:row>
      <xdr:rowOff>0</xdr:rowOff>
    </xdr:from>
    <xdr:ext cx="304800" cy="303439"/>
    <xdr:sp macro="" textlink="">
      <xdr:nvSpPr>
        <xdr:cNvPr id="1248" name="AutoShape 203">
          <a:extLst>
            <a:ext uri="{FF2B5EF4-FFF2-40B4-BE49-F238E27FC236}">
              <a16:creationId xmlns:a16="http://schemas.microsoft.com/office/drawing/2014/main" id="{8CB632F5-0981-42F7-B6E3-55C3795C710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4</xdr:row>
      <xdr:rowOff>0</xdr:rowOff>
    </xdr:from>
    <xdr:ext cx="9525" cy="9525"/>
    <xdr:pic>
      <xdr:nvPicPr>
        <xdr:cNvPr id="1249" name="Picture 1248">
          <a:extLst>
            <a:ext uri="{FF2B5EF4-FFF2-40B4-BE49-F238E27FC236}">
              <a16:creationId xmlns:a16="http://schemas.microsoft.com/office/drawing/2014/main" id="{7CE91A8C-0278-4E10-B786-597E72C7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9525" cy="9525"/>
    <xdr:pic>
      <xdr:nvPicPr>
        <xdr:cNvPr id="1250" name="Picture 1249">
          <a:extLst>
            <a:ext uri="{FF2B5EF4-FFF2-40B4-BE49-F238E27FC236}">
              <a16:creationId xmlns:a16="http://schemas.microsoft.com/office/drawing/2014/main" id="{C0728B0B-C1A5-4BBA-9690-902D5A7E4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9525" cy="9525"/>
    <xdr:pic>
      <xdr:nvPicPr>
        <xdr:cNvPr id="1251" name="Picture 1250">
          <a:extLst>
            <a:ext uri="{FF2B5EF4-FFF2-40B4-BE49-F238E27FC236}">
              <a16:creationId xmlns:a16="http://schemas.microsoft.com/office/drawing/2014/main" id="{CC01E15B-D16C-48BF-BAF2-F5C0C4422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304800" cy="304800"/>
    <xdr:sp macro="" textlink="">
      <xdr:nvSpPr>
        <xdr:cNvPr id="1252" name="AutoShape 207">
          <a:extLst>
            <a:ext uri="{FF2B5EF4-FFF2-40B4-BE49-F238E27FC236}">
              <a16:creationId xmlns:a16="http://schemas.microsoft.com/office/drawing/2014/main" id="{F14E33E9-E515-424C-AB92-758DDE149BB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53" name="Picture 1252">
          <a:extLst>
            <a:ext uri="{FF2B5EF4-FFF2-40B4-BE49-F238E27FC236}">
              <a16:creationId xmlns:a16="http://schemas.microsoft.com/office/drawing/2014/main" id="{700C8B4C-0CFE-471F-85B1-76A3165B5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24</xdr:row>
      <xdr:rowOff>0</xdr:rowOff>
    </xdr:from>
    <xdr:ext cx="304800" cy="304800"/>
    <xdr:sp macro="" textlink="">
      <xdr:nvSpPr>
        <xdr:cNvPr id="1254" name="AutoShape 209">
          <a:extLst>
            <a:ext uri="{FF2B5EF4-FFF2-40B4-BE49-F238E27FC236}">
              <a16:creationId xmlns:a16="http://schemas.microsoft.com/office/drawing/2014/main" id="{B8C03B70-1FD7-44AD-B7EB-43D7B4B52992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26</xdr:row>
      <xdr:rowOff>0</xdr:rowOff>
    </xdr:from>
    <xdr:ext cx="9525" cy="9525"/>
    <xdr:pic>
      <xdr:nvPicPr>
        <xdr:cNvPr id="1255" name="Picture 1254">
          <a:extLst>
            <a:ext uri="{FF2B5EF4-FFF2-40B4-BE49-F238E27FC236}">
              <a16:creationId xmlns:a16="http://schemas.microsoft.com/office/drawing/2014/main" id="{E128BEB5-914F-408F-BDA5-727A7D959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304800" cy="303440"/>
    <xdr:sp macro="" textlink="">
      <xdr:nvSpPr>
        <xdr:cNvPr id="1256" name="AutoShape 211">
          <a:extLst>
            <a:ext uri="{FF2B5EF4-FFF2-40B4-BE49-F238E27FC236}">
              <a16:creationId xmlns:a16="http://schemas.microsoft.com/office/drawing/2014/main" id="{5C73B178-C3F4-425B-B2F2-7F15FB80E7F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57" name="Picture 1256">
          <a:extLst>
            <a:ext uri="{FF2B5EF4-FFF2-40B4-BE49-F238E27FC236}">
              <a16:creationId xmlns:a16="http://schemas.microsoft.com/office/drawing/2014/main" id="{CC53E43A-8879-40B3-A776-FADE8A44E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58" name="Picture 1257">
          <a:extLst>
            <a:ext uri="{FF2B5EF4-FFF2-40B4-BE49-F238E27FC236}">
              <a16:creationId xmlns:a16="http://schemas.microsoft.com/office/drawing/2014/main" id="{17F14E7A-7DED-4630-AD3E-2FB9C8C31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59" name="Picture 1258">
          <a:extLst>
            <a:ext uri="{FF2B5EF4-FFF2-40B4-BE49-F238E27FC236}">
              <a16:creationId xmlns:a16="http://schemas.microsoft.com/office/drawing/2014/main" id="{1D5FC140-D3E6-4A3B-B6A1-A1AC5CECC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60" name="Picture 1259">
          <a:extLst>
            <a:ext uri="{FF2B5EF4-FFF2-40B4-BE49-F238E27FC236}">
              <a16:creationId xmlns:a16="http://schemas.microsoft.com/office/drawing/2014/main" id="{3BE5FD24-140D-40A3-A0E9-E11007E73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61" name="Picture 1260">
          <a:extLst>
            <a:ext uri="{FF2B5EF4-FFF2-40B4-BE49-F238E27FC236}">
              <a16:creationId xmlns:a16="http://schemas.microsoft.com/office/drawing/2014/main" id="{31CA4F8D-AABB-43B8-90F1-95485B00E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262" name="AutoShape 217">
          <a:extLst>
            <a:ext uri="{FF2B5EF4-FFF2-40B4-BE49-F238E27FC236}">
              <a16:creationId xmlns:a16="http://schemas.microsoft.com/office/drawing/2014/main" id="{C1088C82-B743-4B28-A2A2-43D705387FDE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63" name="Picture 1262">
          <a:extLst>
            <a:ext uri="{FF2B5EF4-FFF2-40B4-BE49-F238E27FC236}">
              <a16:creationId xmlns:a16="http://schemas.microsoft.com/office/drawing/2014/main" id="{C1486C12-69DA-4DBC-BF48-681D4E85B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264" name="AutoShape 219">
          <a:extLst>
            <a:ext uri="{FF2B5EF4-FFF2-40B4-BE49-F238E27FC236}">
              <a16:creationId xmlns:a16="http://schemas.microsoft.com/office/drawing/2014/main" id="{95A2C47E-B892-4C63-965A-41B0DEF831B5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9525" cy="9525"/>
    <xdr:pic>
      <xdr:nvPicPr>
        <xdr:cNvPr id="1265" name="Picture 1264">
          <a:extLst>
            <a:ext uri="{FF2B5EF4-FFF2-40B4-BE49-F238E27FC236}">
              <a16:creationId xmlns:a16="http://schemas.microsoft.com/office/drawing/2014/main" id="{B64EA851-CABC-45B7-83C8-695E77138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</xdr:row>
      <xdr:rowOff>0</xdr:rowOff>
    </xdr:from>
    <xdr:ext cx="304800" cy="303439"/>
    <xdr:sp macro="" textlink="">
      <xdr:nvSpPr>
        <xdr:cNvPr id="1266" name="AutoShape 221">
          <a:extLst>
            <a:ext uri="{FF2B5EF4-FFF2-40B4-BE49-F238E27FC236}">
              <a16:creationId xmlns:a16="http://schemas.microsoft.com/office/drawing/2014/main" id="{6993642C-B693-450F-9B64-4C43CE75DE6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67" name="Picture 1266">
          <a:extLst>
            <a:ext uri="{FF2B5EF4-FFF2-40B4-BE49-F238E27FC236}">
              <a16:creationId xmlns:a16="http://schemas.microsoft.com/office/drawing/2014/main" id="{8C98D198-413E-4147-8EFC-8339B0393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1268" name="AutoShape 223">
          <a:extLst>
            <a:ext uri="{FF2B5EF4-FFF2-40B4-BE49-F238E27FC236}">
              <a16:creationId xmlns:a16="http://schemas.microsoft.com/office/drawing/2014/main" id="{51607BF0-1554-47FB-95CE-AA76FAF78638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69" name="Picture 1268">
          <a:extLst>
            <a:ext uri="{FF2B5EF4-FFF2-40B4-BE49-F238E27FC236}">
              <a16:creationId xmlns:a16="http://schemas.microsoft.com/office/drawing/2014/main" id="{F627F7D4-3544-44C1-9E10-B7E3701F3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27</xdr:row>
      <xdr:rowOff>0</xdr:rowOff>
    </xdr:from>
    <xdr:ext cx="9525" cy="9525"/>
    <xdr:pic>
      <xdr:nvPicPr>
        <xdr:cNvPr id="1270" name="Picture 1269">
          <a:extLst>
            <a:ext uri="{FF2B5EF4-FFF2-40B4-BE49-F238E27FC236}">
              <a16:creationId xmlns:a16="http://schemas.microsoft.com/office/drawing/2014/main" id="{0FAEBD94-70B7-4931-A134-5BDEB40CA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</xdr:row>
      <xdr:rowOff>0</xdr:rowOff>
    </xdr:from>
    <xdr:ext cx="9525" cy="9525"/>
    <xdr:pic>
      <xdr:nvPicPr>
        <xdr:cNvPr id="1271" name="Picture 1270">
          <a:extLst>
            <a:ext uri="{FF2B5EF4-FFF2-40B4-BE49-F238E27FC236}">
              <a16:creationId xmlns:a16="http://schemas.microsoft.com/office/drawing/2014/main" id="{300A6387-0D2F-4E5C-A503-662E23D44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</xdr:row>
      <xdr:rowOff>0</xdr:rowOff>
    </xdr:from>
    <xdr:ext cx="304800" cy="303439"/>
    <xdr:sp macro="" textlink="">
      <xdr:nvSpPr>
        <xdr:cNvPr id="1272" name="AutoShape 227">
          <a:extLst>
            <a:ext uri="{FF2B5EF4-FFF2-40B4-BE49-F238E27FC236}">
              <a16:creationId xmlns:a16="http://schemas.microsoft.com/office/drawing/2014/main" id="{F789EE99-AFA2-4B48-8887-14A5E3E9C2F5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4</xdr:row>
      <xdr:rowOff>0</xdr:rowOff>
    </xdr:from>
    <xdr:ext cx="9525" cy="9525"/>
    <xdr:pic>
      <xdr:nvPicPr>
        <xdr:cNvPr id="1273" name="Picture 1272">
          <a:extLst>
            <a:ext uri="{FF2B5EF4-FFF2-40B4-BE49-F238E27FC236}">
              <a16:creationId xmlns:a16="http://schemas.microsoft.com/office/drawing/2014/main" id="{32A64A38-0C73-4D38-AB79-62CF8950C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9525" cy="9525"/>
    <xdr:pic>
      <xdr:nvPicPr>
        <xdr:cNvPr id="1274" name="Picture 1273">
          <a:extLst>
            <a:ext uri="{FF2B5EF4-FFF2-40B4-BE49-F238E27FC236}">
              <a16:creationId xmlns:a16="http://schemas.microsoft.com/office/drawing/2014/main" id="{B5AE67C5-025C-4973-91E7-A813582C4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9525" cy="9525"/>
    <xdr:pic>
      <xdr:nvPicPr>
        <xdr:cNvPr id="1275" name="Picture 1274">
          <a:extLst>
            <a:ext uri="{FF2B5EF4-FFF2-40B4-BE49-F238E27FC236}">
              <a16:creationId xmlns:a16="http://schemas.microsoft.com/office/drawing/2014/main" id="{EAB7519B-07F0-44C2-B486-076A9059C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304800" cy="304800"/>
    <xdr:sp macro="" textlink="">
      <xdr:nvSpPr>
        <xdr:cNvPr id="1276" name="AutoShape 231">
          <a:extLst>
            <a:ext uri="{FF2B5EF4-FFF2-40B4-BE49-F238E27FC236}">
              <a16:creationId xmlns:a16="http://schemas.microsoft.com/office/drawing/2014/main" id="{DC8B1D4E-B305-4296-8196-D3176BCB6488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77" name="Picture 1276">
          <a:extLst>
            <a:ext uri="{FF2B5EF4-FFF2-40B4-BE49-F238E27FC236}">
              <a16:creationId xmlns:a16="http://schemas.microsoft.com/office/drawing/2014/main" id="{2F927313-028A-4017-8641-C523C4ADA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24</xdr:row>
      <xdr:rowOff>0</xdr:rowOff>
    </xdr:from>
    <xdr:ext cx="304800" cy="304800"/>
    <xdr:sp macro="" textlink="">
      <xdr:nvSpPr>
        <xdr:cNvPr id="1278" name="AutoShape 233">
          <a:extLst>
            <a:ext uri="{FF2B5EF4-FFF2-40B4-BE49-F238E27FC236}">
              <a16:creationId xmlns:a16="http://schemas.microsoft.com/office/drawing/2014/main" id="{AE8A9B6C-CE0E-4C44-85B3-DEBC579BCDE1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26</xdr:row>
      <xdr:rowOff>0</xdr:rowOff>
    </xdr:from>
    <xdr:ext cx="9525" cy="9525"/>
    <xdr:pic>
      <xdr:nvPicPr>
        <xdr:cNvPr id="1279" name="Picture 1278">
          <a:extLst>
            <a:ext uri="{FF2B5EF4-FFF2-40B4-BE49-F238E27FC236}">
              <a16:creationId xmlns:a16="http://schemas.microsoft.com/office/drawing/2014/main" id="{04E4F2B6-16F4-4180-A231-8B8CAE130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304800" cy="303440"/>
    <xdr:sp macro="" textlink="">
      <xdr:nvSpPr>
        <xdr:cNvPr id="1280" name="AutoShape 235">
          <a:extLst>
            <a:ext uri="{FF2B5EF4-FFF2-40B4-BE49-F238E27FC236}">
              <a16:creationId xmlns:a16="http://schemas.microsoft.com/office/drawing/2014/main" id="{A54FF91A-25E9-4E34-B326-D915B88B4352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81" name="Picture 1280">
          <a:extLst>
            <a:ext uri="{FF2B5EF4-FFF2-40B4-BE49-F238E27FC236}">
              <a16:creationId xmlns:a16="http://schemas.microsoft.com/office/drawing/2014/main" id="{93CA74F6-F28A-4CD4-8B5C-97443AFAD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82" name="Picture 1281">
          <a:extLst>
            <a:ext uri="{FF2B5EF4-FFF2-40B4-BE49-F238E27FC236}">
              <a16:creationId xmlns:a16="http://schemas.microsoft.com/office/drawing/2014/main" id="{C87F8382-C2E9-45E0-B917-EF7B638A7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83" name="Picture 1282">
          <a:extLst>
            <a:ext uri="{FF2B5EF4-FFF2-40B4-BE49-F238E27FC236}">
              <a16:creationId xmlns:a16="http://schemas.microsoft.com/office/drawing/2014/main" id="{9B2F058D-B273-4402-96F6-F38D96992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84" name="Picture 1283">
          <a:extLst>
            <a:ext uri="{FF2B5EF4-FFF2-40B4-BE49-F238E27FC236}">
              <a16:creationId xmlns:a16="http://schemas.microsoft.com/office/drawing/2014/main" id="{E7AA5205-0E13-4973-BA71-78E3A5180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85" name="Picture 1284">
          <a:extLst>
            <a:ext uri="{FF2B5EF4-FFF2-40B4-BE49-F238E27FC236}">
              <a16:creationId xmlns:a16="http://schemas.microsoft.com/office/drawing/2014/main" id="{C1A829DA-B0E8-48D4-9F19-F12B4F0F8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286" name="AutoShape 241">
          <a:extLst>
            <a:ext uri="{FF2B5EF4-FFF2-40B4-BE49-F238E27FC236}">
              <a16:creationId xmlns:a16="http://schemas.microsoft.com/office/drawing/2014/main" id="{67243061-76CC-4CDD-8C70-B19028FFD59E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87" name="Picture 1286">
          <a:extLst>
            <a:ext uri="{FF2B5EF4-FFF2-40B4-BE49-F238E27FC236}">
              <a16:creationId xmlns:a16="http://schemas.microsoft.com/office/drawing/2014/main" id="{CA3BF936-178F-4A38-AF98-883B78E90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288" name="AutoShape 243">
          <a:extLst>
            <a:ext uri="{FF2B5EF4-FFF2-40B4-BE49-F238E27FC236}">
              <a16:creationId xmlns:a16="http://schemas.microsoft.com/office/drawing/2014/main" id="{94E1160A-86A5-4B68-854A-ADF908361EF3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9525" cy="9525"/>
    <xdr:pic>
      <xdr:nvPicPr>
        <xdr:cNvPr id="1289" name="Picture 1288">
          <a:extLst>
            <a:ext uri="{FF2B5EF4-FFF2-40B4-BE49-F238E27FC236}">
              <a16:creationId xmlns:a16="http://schemas.microsoft.com/office/drawing/2014/main" id="{1E741F6A-5B57-4208-B075-BBAB2E7B5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</xdr:row>
      <xdr:rowOff>0</xdr:rowOff>
    </xdr:from>
    <xdr:ext cx="304800" cy="303439"/>
    <xdr:sp macro="" textlink="">
      <xdr:nvSpPr>
        <xdr:cNvPr id="1290" name="AutoShape 245">
          <a:extLst>
            <a:ext uri="{FF2B5EF4-FFF2-40B4-BE49-F238E27FC236}">
              <a16:creationId xmlns:a16="http://schemas.microsoft.com/office/drawing/2014/main" id="{B23EFD6F-0335-4CBE-9D10-E0A60E3045A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91" name="Picture 1290">
          <a:extLst>
            <a:ext uri="{FF2B5EF4-FFF2-40B4-BE49-F238E27FC236}">
              <a16:creationId xmlns:a16="http://schemas.microsoft.com/office/drawing/2014/main" id="{E849E900-A3E5-44E6-A97A-72AA4A3F4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1292" name="AutoShape 247">
          <a:extLst>
            <a:ext uri="{FF2B5EF4-FFF2-40B4-BE49-F238E27FC236}">
              <a16:creationId xmlns:a16="http://schemas.microsoft.com/office/drawing/2014/main" id="{4DBD18CF-1F17-4AE8-87F0-B74E6BE631E2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93" name="Picture 1292">
          <a:extLst>
            <a:ext uri="{FF2B5EF4-FFF2-40B4-BE49-F238E27FC236}">
              <a16:creationId xmlns:a16="http://schemas.microsoft.com/office/drawing/2014/main" id="{29282FDA-DCBD-45E2-8C5F-9F78C0B50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1294" name="AutoShape 249">
          <a:extLst>
            <a:ext uri="{FF2B5EF4-FFF2-40B4-BE49-F238E27FC236}">
              <a16:creationId xmlns:a16="http://schemas.microsoft.com/office/drawing/2014/main" id="{D48DD83F-31B5-45CB-BF90-99F72BE4FB39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27</xdr:row>
      <xdr:rowOff>0</xdr:rowOff>
    </xdr:from>
    <xdr:ext cx="9525" cy="9525"/>
    <xdr:pic>
      <xdr:nvPicPr>
        <xdr:cNvPr id="1295" name="Picture 1294">
          <a:extLst>
            <a:ext uri="{FF2B5EF4-FFF2-40B4-BE49-F238E27FC236}">
              <a16:creationId xmlns:a16="http://schemas.microsoft.com/office/drawing/2014/main" id="{F8E73FF6-4B68-419E-B934-E1C070C98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296" name="Picture 1295">
          <a:extLst>
            <a:ext uri="{FF2B5EF4-FFF2-40B4-BE49-F238E27FC236}">
              <a16:creationId xmlns:a16="http://schemas.microsoft.com/office/drawing/2014/main" id="{31D9E3D0-4AD2-46E5-BEF9-9A941C69D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</xdr:row>
      <xdr:rowOff>0</xdr:rowOff>
    </xdr:from>
    <xdr:ext cx="9525" cy="9525"/>
    <xdr:pic>
      <xdr:nvPicPr>
        <xdr:cNvPr id="1297" name="Picture 1296">
          <a:extLst>
            <a:ext uri="{FF2B5EF4-FFF2-40B4-BE49-F238E27FC236}">
              <a16:creationId xmlns:a16="http://schemas.microsoft.com/office/drawing/2014/main" id="{583CDFA2-96F6-4DD9-8030-C73AB9B48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</xdr:row>
      <xdr:rowOff>0</xdr:rowOff>
    </xdr:from>
    <xdr:ext cx="304800" cy="303439"/>
    <xdr:sp macro="" textlink="">
      <xdr:nvSpPr>
        <xdr:cNvPr id="1298" name="AutoShape 253">
          <a:extLst>
            <a:ext uri="{FF2B5EF4-FFF2-40B4-BE49-F238E27FC236}">
              <a16:creationId xmlns:a16="http://schemas.microsoft.com/office/drawing/2014/main" id="{AEAD5361-D9B5-437D-BFA1-6663877D2C1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4</xdr:row>
      <xdr:rowOff>0</xdr:rowOff>
    </xdr:from>
    <xdr:ext cx="9525" cy="9525"/>
    <xdr:pic>
      <xdr:nvPicPr>
        <xdr:cNvPr id="1299" name="Picture 1298">
          <a:extLst>
            <a:ext uri="{FF2B5EF4-FFF2-40B4-BE49-F238E27FC236}">
              <a16:creationId xmlns:a16="http://schemas.microsoft.com/office/drawing/2014/main" id="{77467724-C5D9-4FA8-988F-6F432E3DD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9525" cy="9525"/>
    <xdr:pic>
      <xdr:nvPicPr>
        <xdr:cNvPr id="1300" name="Picture 1299">
          <a:extLst>
            <a:ext uri="{FF2B5EF4-FFF2-40B4-BE49-F238E27FC236}">
              <a16:creationId xmlns:a16="http://schemas.microsoft.com/office/drawing/2014/main" id="{437EA7EB-C7C7-4E55-BFA9-6A7C3704F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9525" cy="9525"/>
    <xdr:pic>
      <xdr:nvPicPr>
        <xdr:cNvPr id="1301" name="Picture 1300">
          <a:extLst>
            <a:ext uri="{FF2B5EF4-FFF2-40B4-BE49-F238E27FC236}">
              <a16:creationId xmlns:a16="http://schemas.microsoft.com/office/drawing/2014/main" id="{78F14D81-3600-4C03-B292-332283F50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304800" cy="304800"/>
    <xdr:sp macro="" textlink="">
      <xdr:nvSpPr>
        <xdr:cNvPr id="1302" name="AutoShape 257">
          <a:extLst>
            <a:ext uri="{FF2B5EF4-FFF2-40B4-BE49-F238E27FC236}">
              <a16:creationId xmlns:a16="http://schemas.microsoft.com/office/drawing/2014/main" id="{1B424833-21AC-4FBE-97C6-1669E1A657F3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03" name="Picture 1302">
          <a:extLst>
            <a:ext uri="{FF2B5EF4-FFF2-40B4-BE49-F238E27FC236}">
              <a16:creationId xmlns:a16="http://schemas.microsoft.com/office/drawing/2014/main" id="{06CAEA42-9E43-4054-880F-3323640E3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24</xdr:row>
      <xdr:rowOff>0</xdr:rowOff>
    </xdr:from>
    <xdr:ext cx="304800" cy="304800"/>
    <xdr:sp macro="" textlink="">
      <xdr:nvSpPr>
        <xdr:cNvPr id="1304" name="AutoShape 259">
          <a:extLst>
            <a:ext uri="{FF2B5EF4-FFF2-40B4-BE49-F238E27FC236}">
              <a16:creationId xmlns:a16="http://schemas.microsoft.com/office/drawing/2014/main" id="{48DBE0F0-5FA2-4186-8BA8-31411E2CA581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26</xdr:row>
      <xdr:rowOff>0</xdr:rowOff>
    </xdr:from>
    <xdr:ext cx="9525" cy="9525"/>
    <xdr:pic>
      <xdr:nvPicPr>
        <xdr:cNvPr id="1305" name="Picture 1304">
          <a:extLst>
            <a:ext uri="{FF2B5EF4-FFF2-40B4-BE49-F238E27FC236}">
              <a16:creationId xmlns:a16="http://schemas.microsoft.com/office/drawing/2014/main" id="{B316229B-812E-4C9F-9E94-6E246244A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304800" cy="303440"/>
    <xdr:sp macro="" textlink="">
      <xdr:nvSpPr>
        <xdr:cNvPr id="1306" name="AutoShape 261">
          <a:extLst>
            <a:ext uri="{FF2B5EF4-FFF2-40B4-BE49-F238E27FC236}">
              <a16:creationId xmlns:a16="http://schemas.microsoft.com/office/drawing/2014/main" id="{3160C04F-3EC0-4011-A5B8-FDA8266965B3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07" name="Picture 1306">
          <a:extLst>
            <a:ext uri="{FF2B5EF4-FFF2-40B4-BE49-F238E27FC236}">
              <a16:creationId xmlns:a16="http://schemas.microsoft.com/office/drawing/2014/main" id="{B2EE18C8-6D5D-4E4E-8EAC-4C25F7847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08" name="Picture 1307">
          <a:extLst>
            <a:ext uri="{FF2B5EF4-FFF2-40B4-BE49-F238E27FC236}">
              <a16:creationId xmlns:a16="http://schemas.microsoft.com/office/drawing/2014/main" id="{72FB8BF3-F4FE-4E25-AAD8-1457C836B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09" name="Picture 1308">
          <a:extLst>
            <a:ext uri="{FF2B5EF4-FFF2-40B4-BE49-F238E27FC236}">
              <a16:creationId xmlns:a16="http://schemas.microsoft.com/office/drawing/2014/main" id="{4AB3CE6C-3D22-4B69-BE7E-D3EA6EAAA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10" name="Picture 1309">
          <a:extLst>
            <a:ext uri="{FF2B5EF4-FFF2-40B4-BE49-F238E27FC236}">
              <a16:creationId xmlns:a16="http://schemas.microsoft.com/office/drawing/2014/main" id="{2C442B3C-D66E-4B1A-A2ED-3502EED88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11" name="Picture 1310">
          <a:extLst>
            <a:ext uri="{FF2B5EF4-FFF2-40B4-BE49-F238E27FC236}">
              <a16:creationId xmlns:a16="http://schemas.microsoft.com/office/drawing/2014/main" id="{532F9283-611C-4BD0-B690-25ABAB409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312" name="AutoShape 267">
          <a:extLst>
            <a:ext uri="{FF2B5EF4-FFF2-40B4-BE49-F238E27FC236}">
              <a16:creationId xmlns:a16="http://schemas.microsoft.com/office/drawing/2014/main" id="{78BD4D70-8DB4-44AE-A68D-D807D4C819B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13" name="Picture 1312">
          <a:extLst>
            <a:ext uri="{FF2B5EF4-FFF2-40B4-BE49-F238E27FC236}">
              <a16:creationId xmlns:a16="http://schemas.microsoft.com/office/drawing/2014/main" id="{4B46E374-7F82-4299-A413-6332DD3B7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314" name="AutoShape 269">
          <a:extLst>
            <a:ext uri="{FF2B5EF4-FFF2-40B4-BE49-F238E27FC236}">
              <a16:creationId xmlns:a16="http://schemas.microsoft.com/office/drawing/2014/main" id="{FFEFCF86-BEE8-4401-B6D5-2DE0D78D8632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9525" cy="9525"/>
    <xdr:pic>
      <xdr:nvPicPr>
        <xdr:cNvPr id="1315" name="Picture 1314">
          <a:extLst>
            <a:ext uri="{FF2B5EF4-FFF2-40B4-BE49-F238E27FC236}">
              <a16:creationId xmlns:a16="http://schemas.microsoft.com/office/drawing/2014/main" id="{1CB5E032-7B86-49F5-8E1A-5ACB5CA3B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</xdr:row>
      <xdr:rowOff>0</xdr:rowOff>
    </xdr:from>
    <xdr:ext cx="304800" cy="303439"/>
    <xdr:sp macro="" textlink="">
      <xdr:nvSpPr>
        <xdr:cNvPr id="1316" name="AutoShape 271">
          <a:extLst>
            <a:ext uri="{FF2B5EF4-FFF2-40B4-BE49-F238E27FC236}">
              <a16:creationId xmlns:a16="http://schemas.microsoft.com/office/drawing/2014/main" id="{634E234C-0E35-4CA4-8AEE-E29B8479B0D9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17" name="Picture 1316">
          <a:extLst>
            <a:ext uri="{FF2B5EF4-FFF2-40B4-BE49-F238E27FC236}">
              <a16:creationId xmlns:a16="http://schemas.microsoft.com/office/drawing/2014/main" id="{E5F2E4FF-A1C7-4C52-894C-6229F5C84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1318" name="AutoShape 273">
          <a:extLst>
            <a:ext uri="{FF2B5EF4-FFF2-40B4-BE49-F238E27FC236}">
              <a16:creationId xmlns:a16="http://schemas.microsoft.com/office/drawing/2014/main" id="{255D3967-64BD-4C15-B91F-5CABABFD3C83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19" name="Picture 1318">
          <a:extLst>
            <a:ext uri="{FF2B5EF4-FFF2-40B4-BE49-F238E27FC236}">
              <a16:creationId xmlns:a16="http://schemas.microsoft.com/office/drawing/2014/main" id="{88DC892F-D706-4DE6-A8C5-66C001D7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1320" name="AutoShape 275">
          <a:extLst>
            <a:ext uri="{FF2B5EF4-FFF2-40B4-BE49-F238E27FC236}">
              <a16:creationId xmlns:a16="http://schemas.microsoft.com/office/drawing/2014/main" id="{00F8D026-B6EE-4C46-9E5A-1FBEB7376D81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27</xdr:row>
      <xdr:rowOff>0</xdr:rowOff>
    </xdr:from>
    <xdr:ext cx="9525" cy="9525"/>
    <xdr:pic>
      <xdr:nvPicPr>
        <xdr:cNvPr id="1321" name="Picture 1320">
          <a:extLst>
            <a:ext uri="{FF2B5EF4-FFF2-40B4-BE49-F238E27FC236}">
              <a16:creationId xmlns:a16="http://schemas.microsoft.com/office/drawing/2014/main" id="{A137F476-7C09-4A37-AA35-F4CC73D74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22" name="Picture 1321">
          <a:extLst>
            <a:ext uri="{FF2B5EF4-FFF2-40B4-BE49-F238E27FC236}">
              <a16:creationId xmlns:a16="http://schemas.microsoft.com/office/drawing/2014/main" id="{563452DA-AD76-4F9A-A250-D20C5C16E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</xdr:row>
      <xdr:rowOff>0</xdr:rowOff>
    </xdr:from>
    <xdr:ext cx="9525" cy="9525"/>
    <xdr:pic>
      <xdr:nvPicPr>
        <xdr:cNvPr id="1323" name="Picture 1322">
          <a:extLst>
            <a:ext uri="{FF2B5EF4-FFF2-40B4-BE49-F238E27FC236}">
              <a16:creationId xmlns:a16="http://schemas.microsoft.com/office/drawing/2014/main" id="{5EF503DD-B9FA-4938-AE90-186F6F4D9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</xdr:row>
      <xdr:rowOff>0</xdr:rowOff>
    </xdr:from>
    <xdr:ext cx="304800" cy="303439"/>
    <xdr:sp macro="" textlink="">
      <xdr:nvSpPr>
        <xdr:cNvPr id="1324" name="AutoShape 305">
          <a:extLst>
            <a:ext uri="{FF2B5EF4-FFF2-40B4-BE49-F238E27FC236}">
              <a16:creationId xmlns:a16="http://schemas.microsoft.com/office/drawing/2014/main" id="{87F0DB41-E5D0-4FBF-9D7D-D8AF5D96E8D4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4</xdr:row>
      <xdr:rowOff>0</xdr:rowOff>
    </xdr:from>
    <xdr:ext cx="9525" cy="9525"/>
    <xdr:pic>
      <xdr:nvPicPr>
        <xdr:cNvPr id="1325" name="Picture 1324">
          <a:extLst>
            <a:ext uri="{FF2B5EF4-FFF2-40B4-BE49-F238E27FC236}">
              <a16:creationId xmlns:a16="http://schemas.microsoft.com/office/drawing/2014/main" id="{030F2E2B-3C2F-48A4-A1EF-900D6A1F5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9525" cy="9525"/>
    <xdr:pic>
      <xdr:nvPicPr>
        <xdr:cNvPr id="1326" name="Picture 1325">
          <a:extLst>
            <a:ext uri="{FF2B5EF4-FFF2-40B4-BE49-F238E27FC236}">
              <a16:creationId xmlns:a16="http://schemas.microsoft.com/office/drawing/2014/main" id="{64F08832-2DDE-4682-B146-E2CA1B894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9525" cy="9525"/>
    <xdr:pic>
      <xdr:nvPicPr>
        <xdr:cNvPr id="1327" name="Picture 1326">
          <a:extLst>
            <a:ext uri="{FF2B5EF4-FFF2-40B4-BE49-F238E27FC236}">
              <a16:creationId xmlns:a16="http://schemas.microsoft.com/office/drawing/2014/main" id="{91FC7C84-CA5E-4707-92F8-24A1E30A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304800" cy="304800"/>
    <xdr:sp macro="" textlink="">
      <xdr:nvSpPr>
        <xdr:cNvPr id="1328" name="AutoShape 309">
          <a:extLst>
            <a:ext uri="{FF2B5EF4-FFF2-40B4-BE49-F238E27FC236}">
              <a16:creationId xmlns:a16="http://schemas.microsoft.com/office/drawing/2014/main" id="{2121D574-C2AA-4CB4-B031-AE11C7A33FD2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29" name="Picture 1328">
          <a:extLst>
            <a:ext uri="{FF2B5EF4-FFF2-40B4-BE49-F238E27FC236}">
              <a16:creationId xmlns:a16="http://schemas.microsoft.com/office/drawing/2014/main" id="{BC5549B4-D73D-4DD1-B004-15915D126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24</xdr:row>
      <xdr:rowOff>0</xdr:rowOff>
    </xdr:from>
    <xdr:ext cx="304800" cy="304800"/>
    <xdr:sp macro="" textlink="">
      <xdr:nvSpPr>
        <xdr:cNvPr id="1330" name="AutoShape 311">
          <a:extLst>
            <a:ext uri="{FF2B5EF4-FFF2-40B4-BE49-F238E27FC236}">
              <a16:creationId xmlns:a16="http://schemas.microsoft.com/office/drawing/2014/main" id="{B7B0910B-79B4-4525-AC33-F382027C7EC4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26</xdr:row>
      <xdr:rowOff>0</xdr:rowOff>
    </xdr:from>
    <xdr:ext cx="9525" cy="9525"/>
    <xdr:pic>
      <xdr:nvPicPr>
        <xdr:cNvPr id="1331" name="Picture 1330">
          <a:extLst>
            <a:ext uri="{FF2B5EF4-FFF2-40B4-BE49-F238E27FC236}">
              <a16:creationId xmlns:a16="http://schemas.microsoft.com/office/drawing/2014/main" id="{5AD1F61A-0CCD-4A0B-95BB-60190CF40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304800" cy="303440"/>
    <xdr:sp macro="" textlink="">
      <xdr:nvSpPr>
        <xdr:cNvPr id="1332" name="AutoShape 313">
          <a:extLst>
            <a:ext uri="{FF2B5EF4-FFF2-40B4-BE49-F238E27FC236}">
              <a16:creationId xmlns:a16="http://schemas.microsoft.com/office/drawing/2014/main" id="{30BAF52E-35D4-4ACF-9A58-8C9F2A3D2991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33" name="Picture 1332">
          <a:extLst>
            <a:ext uri="{FF2B5EF4-FFF2-40B4-BE49-F238E27FC236}">
              <a16:creationId xmlns:a16="http://schemas.microsoft.com/office/drawing/2014/main" id="{A091E391-4260-4495-A647-94258087B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34" name="Picture 1333">
          <a:extLst>
            <a:ext uri="{FF2B5EF4-FFF2-40B4-BE49-F238E27FC236}">
              <a16:creationId xmlns:a16="http://schemas.microsoft.com/office/drawing/2014/main" id="{D9314D86-BB16-41DB-A280-E0B19432E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35" name="Picture 1334">
          <a:extLst>
            <a:ext uri="{FF2B5EF4-FFF2-40B4-BE49-F238E27FC236}">
              <a16:creationId xmlns:a16="http://schemas.microsoft.com/office/drawing/2014/main" id="{D4D26574-64D4-4CCC-8791-BA000D2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36" name="Picture 1335">
          <a:extLst>
            <a:ext uri="{FF2B5EF4-FFF2-40B4-BE49-F238E27FC236}">
              <a16:creationId xmlns:a16="http://schemas.microsoft.com/office/drawing/2014/main" id="{EC825155-A95A-432B-B26E-B9A3A98C8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37" name="Picture 1336">
          <a:extLst>
            <a:ext uri="{FF2B5EF4-FFF2-40B4-BE49-F238E27FC236}">
              <a16:creationId xmlns:a16="http://schemas.microsoft.com/office/drawing/2014/main" id="{F51619A4-E173-4D2C-9F94-95E846C0F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338" name="AutoShape 319">
          <a:extLst>
            <a:ext uri="{FF2B5EF4-FFF2-40B4-BE49-F238E27FC236}">
              <a16:creationId xmlns:a16="http://schemas.microsoft.com/office/drawing/2014/main" id="{FAB4C4B9-D728-47CD-8B04-9BF7CF64C56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39" name="Picture 1338">
          <a:extLst>
            <a:ext uri="{FF2B5EF4-FFF2-40B4-BE49-F238E27FC236}">
              <a16:creationId xmlns:a16="http://schemas.microsoft.com/office/drawing/2014/main" id="{682DB222-DF12-4A82-8BDE-810A2E635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340" name="AutoShape 321">
          <a:extLst>
            <a:ext uri="{FF2B5EF4-FFF2-40B4-BE49-F238E27FC236}">
              <a16:creationId xmlns:a16="http://schemas.microsoft.com/office/drawing/2014/main" id="{6E72AFCB-A17F-4F56-BB11-E060C84B4436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9525" cy="9525"/>
    <xdr:pic>
      <xdr:nvPicPr>
        <xdr:cNvPr id="1341" name="Picture 1340">
          <a:extLst>
            <a:ext uri="{FF2B5EF4-FFF2-40B4-BE49-F238E27FC236}">
              <a16:creationId xmlns:a16="http://schemas.microsoft.com/office/drawing/2014/main" id="{D9E51455-C7AB-4C43-984F-65A840F06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</xdr:row>
      <xdr:rowOff>0</xdr:rowOff>
    </xdr:from>
    <xdr:ext cx="304800" cy="303439"/>
    <xdr:sp macro="" textlink="">
      <xdr:nvSpPr>
        <xdr:cNvPr id="1342" name="AutoShape 323">
          <a:extLst>
            <a:ext uri="{FF2B5EF4-FFF2-40B4-BE49-F238E27FC236}">
              <a16:creationId xmlns:a16="http://schemas.microsoft.com/office/drawing/2014/main" id="{A4C93313-7111-4800-9D2C-8B02F4B29CDD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43" name="Picture 1342">
          <a:extLst>
            <a:ext uri="{FF2B5EF4-FFF2-40B4-BE49-F238E27FC236}">
              <a16:creationId xmlns:a16="http://schemas.microsoft.com/office/drawing/2014/main" id="{BDEF83F1-5A4A-4C99-AD60-888B48576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1344" name="AutoShape 325">
          <a:extLst>
            <a:ext uri="{FF2B5EF4-FFF2-40B4-BE49-F238E27FC236}">
              <a16:creationId xmlns:a16="http://schemas.microsoft.com/office/drawing/2014/main" id="{5107A23C-2EC1-45E2-B348-E620FAC9A233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45" name="Picture 1344">
          <a:extLst>
            <a:ext uri="{FF2B5EF4-FFF2-40B4-BE49-F238E27FC236}">
              <a16:creationId xmlns:a16="http://schemas.microsoft.com/office/drawing/2014/main" id="{A999315C-856F-450E-AD96-6FC77A0B7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1346" name="AutoShape 327">
          <a:extLst>
            <a:ext uri="{FF2B5EF4-FFF2-40B4-BE49-F238E27FC236}">
              <a16:creationId xmlns:a16="http://schemas.microsoft.com/office/drawing/2014/main" id="{4321BE12-8F42-4E67-9EC0-DB9E1FED7D39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27</xdr:row>
      <xdr:rowOff>0</xdr:rowOff>
    </xdr:from>
    <xdr:ext cx="9525" cy="9525"/>
    <xdr:pic>
      <xdr:nvPicPr>
        <xdr:cNvPr id="1347" name="Picture 1346">
          <a:extLst>
            <a:ext uri="{FF2B5EF4-FFF2-40B4-BE49-F238E27FC236}">
              <a16:creationId xmlns:a16="http://schemas.microsoft.com/office/drawing/2014/main" id="{A0598F47-F7C6-4C4B-B386-F72261CF2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48" name="Picture 1347">
          <a:extLst>
            <a:ext uri="{FF2B5EF4-FFF2-40B4-BE49-F238E27FC236}">
              <a16:creationId xmlns:a16="http://schemas.microsoft.com/office/drawing/2014/main" id="{CCE47470-A8DB-4BC6-86D6-0B5E7BEBC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</xdr:row>
      <xdr:rowOff>0</xdr:rowOff>
    </xdr:from>
    <xdr:ext cx="9525" cy="9525"/>
    <xdr:pic>
      <xdr:nvPicPr>
        <xdr:cNvPr id="1349" name="Picture 1348">
          <a:extLst>
            <a:ext uri="{FF2B5EF4-FFF2-40B4-BE49-F238E27FC236}">
              <a16:creationId xmlns:a16="http://schemas.microsoft.com/office/drawing/2014/main" id="{41CFD93C-9B47-4524-B642-502C9A4ED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</xdr:row>
      <xdr:rowOff>0</xdr:rowOff>
    </xdr:from>
    <xdr:ext cx="304800" cy="303439"/>
    <xdr:sp macro="" textlink="">
      <xdr:nvSpPr>
        <xdr:cNvPr id="1350" name="AutoShape 357">
          <a:extLst>
            <a:ext uri="{FF2B5EF4-FFF2-40B4-BE49-F238E27FC236}">
              <a16:creationId xmlns:a16="http://schemas.microsoft.com/office/drawing/2014/main" id="{9DEC22D9-452C-4C12-A300-2F61236E0A0E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4</xdr:row>
      <xdr:rowOff>0</xdr:rowOff>
    </xdr:from>
    <xdr:ext cx="9525" cy="9525"/>
    <xdr:pic>
      <xdr:nvPicPr>
        <xdr:cNvPr id="1351" name="Picture 1350">
          <a:extLst>
            <a:ext uri="{FF2B5EF4-FFF2-40B4-BE49-F238E27FC236}">
              <a16:creationId xmlns:a16="http://schemas.microsoft.com/office/drawing/2014/main" id="{8492AD62-5A44-4D81-84CC-B4E59EC2D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9525" cy="9525"/>
    <xdr:pic>
      <xdr:nvPicPr>
        <xdr:cNvPr id="1352" name="Picture 1351">
          <a:extLst>
            <a:ext uri="{FF2B5EF4-FFF2-40B4-BE49-F238E27FC236}">
              <a16:creationId xmlns:a16="http://schemas.microsoft.com/office/drawing/2014/main" id="{07BA6D5D-4A89-454C-AD13-E75D0DD0F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9525" cy="9525"/>
    <xdr:pic>
      <xdr:nvPicPr>
        <xdr:cNvPr id="1353" name="Picture 1352">
          <a:extLst>
            <a:ext uri="{FF2B5EF4-FFF2-40B4-BE49-F238E27FC236}">
              <a16:creationId xmlns:a16="http://schemas.microsoft.com/office/drawing/2014/main" id="{0EB98D7A-B9FE-4133-BF9D-3482100E5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304800" cy="304800"/>
    <xdr:sp macro="" textlink="">
      <xdr:nvSpPr>
        <xdr:cNvPr id="1354" name="AutoShape 361">
          <a:extLst>
            <a:ext uri="{FF2B5EF4-FFF2-40B4-BE49-F238E27FC236}">
              <a16:creationId xmlns:a16="http://schemas.microsoft.com/office/drawing/2014/main" id="{5B8C5151-4953-4EBD-B40D-A954E38CCCD9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55" name="Picture 1354">
          <a:extLst>
            <a:ext uri="{FF2B5EF4-FFF2-40B4-BE49-F238E27FC236}">
              <a16:creationId xmlns:a16="http://schemas.microsoft.com/office/drawing/2014/main" id="{B3486CFE-B84C-479D-A483-DB38E69C7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24</xdr:row>
      <xdr:rowOff>0</xdr:rowOff>
    </xdr:from>
    <xdr:ext cx="304800" cy="304800"/>
    <xdr:sp macro="" textlink="">
      <xdr:nvSpPr>
        <xdr:cNvPr id="1356" name="AutoShape 363">
          <a:extLst>
            <a:ext uri="{FF2B5EF4-FFF2-40B4-BE49-F238E27FC236}">
              <a16:creationId xmlns:a16="http://schemas.microsoft.com/office/drawing/2014/main" id="{8DFD8987-0B08-4BCB-A1AE-22C4100A05F8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26</xdr:row>
      <xdr:rowOff>0</xdr:rowOff>
    </xdr:from>
    <xdr:ext cx="9525" cy="9525"/>
    <xdr:pic>
      <xdr:nvPicPr>
        <xdr:cNvPr id="1357" name="Picture 1356">
          <a:extLst>
            <a:ext uri="{FF2B5EF4-FFF2-40B4-BE49-F238E27FC236}">
              <a16:creationId xmlns:a16="http://schemas.microsoft.com/office/drawing/2014/main" id="{F06A957E-9333-421C-9177-0C193C774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304800" cy="303440"/>
    <xdr:sp macro="" textlink="">
      <xdr:nvSpPr>
        <xdr:cNvPr id="1358" name="AutoShape 365">
          <a:extLst>
            <a:ext uri="{FF2B5EF4-FFF2-40B4-BE49-F238E27FC236}">
              <a16:creationId xmlns:a16="http://schemas.microsoft.com/office/drawing/2014/main" id="{502E7013-4AA2-4F97-A0EE-F3AF7A165AC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59" name="Picture 1358">
          <a:extLst>
            <a:ext uri="{FF2B5EF4-FFF2-40B4-BE49-F238E27FC236}">
              <a16:creationId xmlns:a16="http://schemas.microsoft.com/office/drawing/2014/main" id="{99A56BE9-21E5-4A1C-B940-42C0960AA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60" name="Picture 1359">
          <a:extLst>
            <a:ext uri="{FF2B5EF4-FFF2-40B4-BE49-F238E27FC236}">
              <a16:creationId xmlns:a16="http://schemas.microsoft.com/office/drawing/2014/main" id="{F9219C0F-BD62-4D1A-9BDE-B96AC74B7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61" name="Picture 1360">
          <a:extLst>
            <a:ext uri="{FF2B5EF4-FFF2-40B4-BE49-F238E27FC236}">
              <a16:creationId xmlns:a16="http://schemas.microsoft.com/office/drawing/2014/main" id="{09FA8691-2EB8-4A6F-B453-E0D2F1E96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62" name="Picture 1361">
          <a:extLst>
            <a:ext uri="{FF2B5EF4-FFF2-40B4-BE49-F238E27FC236}">
              <a16:creationId xmlns:a16="http://schemas.microsoft.com/office/drawing/2014/main" id="{534F1F07-71A8-43D4-8FFC-15C3F763F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63" name="Picture 1362">
          <a:extLst>
            <a:ext uri="{FF2B5EF4-FFF2-40B4-BE49-F238E27FC236}">
              <a16:creationId xmlns:a16="http://schemas.microsoft.com/office/drawing/2014/main" id="{C051D4C6-3056-4BFF-9017-35DEA7C11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364" name="AutoShape 371">
          <a:extLst>
            <a:ext uri="{FF2B5EF4-FFF2-40B4-BE49-F238E27FC236}">
              <a16:creationId xmlns:a16="http://schemas.microsoft.com/office/drawing/2014/main" id="{8A9954D7-810A-4CDF-9400-793624F98F2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65" name="Picture 1364">
          <a:extLst>
            <a:ext uri="{FF2B5EF4-FFF2-40B4-BE49-F238E27FC236}">
              <a16:creationId xmlns:a16="http://schemas.microsoft.com/office/drawing/2014/main" id="{0DB223E8-D9F1-42C9-BCAD-49301668F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366" name="AutoShape 373">
          <a:extLst>
            <a:ext uri="{FF2B5EF4-FFF2-40B4-BE49-F238E27FC236}">
              <a16:creationId xmlns:a16="http://schemas.microsoft.com/office/drawing/2014/main" id="{821443B1-2812-420E-A16C-9CDFBD96644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9525" cy="9525"/>
    <xdr:pic>
      <xdr:nvPicPr>
        <xdr:cNvPr id="1367" name="Picture 1366">
          <a:extLst>
            <a:ext uri="{FF2B5EF4-FFF2-40B4-BE49-F238E27FC236}">
              <a16:creationId xmlns:a16="http://schemas.microsoft.com/office/drawing/2014/main" id="{D9D2022C-A7BB-4AB1-8382-39ED85D3A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</xdr:row>
      <xdr:rowOff>0</xdr:rowOff>
    </xdr:from>
    <xdr:ext cx="304800" cy="303439"/>
    <xdr:sp macro="" textlink="">
      <xdr:nvSpPr>
        <xdr:cNvPr id="1368" name="AutoShape 375">
          <a:extLst>
            <a:ext uri="{FF2B5EF4-FFF2-40B4-BE49-F238E27FC236}">
              <a16:creationId xmlns:a16="http://schemas.microsoft.com/office/drawing/2014/main" id="{F7846205-38BF-4A90-B496-EFB972FC550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69" name="Picture 1368">
          <a:extLst>
            <a:ext uri="{FF2B5EF4-FFF2-40B4-BE49-F238E27FC236}">
              <a16:creationId xmlns:a16="http://schemas.microsoft.com/office/drawing/2014/main" id="{17065136-6EFC-4818-BF56-D6E1C8243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1370" name="AutoShape 377">
          <a:extLst>
            <a:ext uri="{FF2B5EF4-FFF2-40B4-BE49-F238E27FC236}">
              <a16:creationId xmlns:a16="http://schemas.microsoft.com/office/drawing/2014/main" id="{DE583877-1DD9-48DD-A6BE-D70B23D108E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71" name="Picture 1370">
          <a:extLst>
            <a:ext uri="{FF2B5EF4-FFF2-40B4-BE49-F238E27FC236}">
              <a16:creationId xmlns:a16="http://schemas.microsoft.com/office/drawing/2014/main" id="{4B45B81C-5672-4D70-86C0-C6F1B2067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1372" name="AutoShape 379">
          <a:extLst>
            <a:ext uri="{FF2B5EF4-FFF2-40B4-BE49-F238E27FC236}">
              <a16:creationId xmlns:a16="http://schemas.microsoft.com/office/drawing/2014/main" id="{067C2196-EF78-4485-8809-DD3843B5762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27</xdr:row>
      <xdr:rowOff>0</xdr:rowOff>
    </xdr:from>
    <xdr:ext cx="9525" cy="9525"/>
    <xdr:pic>
      <xdr:nvPicPr>
        <xdr:cNvPr id="1373" name="Picture 1372">
          <a:extLst>
            <a:ext uri="{FF2B5EF4-FFF2-40B4-BE49-F238E27FC236}">
              <a16:creationId xmlns:a16="http://schemas.microsoft.com/office/drawing/2014/main" id="{71F0EE7D-1D0D-4E45-97DB-AA0AA1902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304800" cy="303439"/>
    <xdr:sp macro="" textlink="">
      <xdr:nvSpPr>
        <xdr:cNvPr id="1374" name="AutoShape 381">
          <a:extLst>
            <a:ext uri="{FF2B5EF4-FFF2-40B4-BE49-F238E27FC236}">
              <a16:creationId xmlns:a16="http://schemas.microsoft.com/office/drawing/2014/main" id="{8C5EBA96-9148-4678-B09E-4BA371B249E4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75" name="Picture 1374">
          <a:extLst>
            <a:ext uri="{FF2B5EF4-FFF2-40B4-BE49-F238E27FC236}">
              <a16:creationId xmlns:a16="http://schemas.microsoft.com/office/drawing/2014/main" id="{D2AC10F2-1C3F-47D9-82FD-FF6A16954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76" name="Picture 1375">
          <a:extLst>
            <a:ext uri="{FF2B5EF4-FFF2-40B4-BE49-F238E27FC236}">
              <a16:creationId xmlns:a16="http://schemas.microsoft.com/office/drawing/2014/main" id="{94BB7B93-85C6-40A4-91E7-7EA6B5813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</xdr:row>
      <xdr:rowOff>0</xdr:rowOff>
    </xdr:from>
    <xdr:ext cx="9525" cy="9525"/>
    <xdr:pic>
      <xdr:nvPicPr>
        <xdr:cNvPr id="1377" name="Picture 1376">
          <a:extLst>
            <a:ext uri="{FF2B5EF4-FFF2-40B4-BE49-F238E27FC236}">
              <a16:creationId xmlns:a16="http://schemas.microsoft.com/office/drawing/2014/main" id="{ABC5BF9C-301D-455C-8ABB-87A8EB414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</xdr:row>
      <xdr:rowOff>0</xdr:rowOff>
    </xdr:from>
    <xdr:ext cx="304800" cy="303439"/>
    <xdr:sp macro="" textlink="">
      <xdr:nvSpPr>
        <xdr:cNvPr id="1378" name="AutoShape 413">
          <a:extLst>
            <a:ext uri="{FF2B5EF4-FFF2-40B4-BE49-F238E27FC236}">
              <a16:creationId xmlns:a16="http://schemas.microsoft.com/office/drawing/2014/main" id="{F34E01EB-7EEE-4652-A43B-8982E1E292E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4</xdr:row>
      <xdr:rowOff>0</xdr:rowOff>
    </xdr:from>
    <xdr:ext cx="9525" cy="9525"/>
    <xdr:pic>
      <xdr:nvPicPr>
        <xdr:cNvPr id="1379" name="Picture 1378">
          <a:extLst>
            <a:ext uri="{FF2B5EF4-FFF2-40B4-BE49-F238E27FC236}">
              <a16:creationId xmlns:a16="http://schemas.microsoft.com/office/drawing/2014/main" id="{8A61A46F-A39B-40AE-8966-3F7B52F33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9525" cy="9525"/>
    <xdr:pic>
      <xdr:nvPicPr>
        <xdr:cNvPr id="1380" name="Picture 1379">
          <a:extLst>
            <a:ext uri="{FF2B5EF4-FFF2-40B4-BE49-F238E27FC236}">
              <a16:creationId xmlns:a16="http://schemas.microsoft.com/office/drawing/2014/main" id="{3F81E0C3-9538-4CA5-AF26-081DA0FD6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9525" cy="9525"/>
    <xdr:pic>
      <xdr:nvPicPr>
        <xdr:cNvPr id="1381" name="Picture 1380">
          <a:extLst>
            <a:ext uri="{FF2B5EF4-FFF2-40B4-BE49-F238E27FC236}">
              <a16:creationId xmlns:a16="http://schemas.microsoft.com/office/drawing/2014/main" id="{BD64A18C-937B-471D-8CEA-161DA274D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304800" cy="304800"/>
    <xdr:sp macro="" textlink="">
      <xdr:nvSpPr>
        <xdr:cNvPr id="1382" name="AutoShape 417">
          <a:extLst>
            <a:ext uri="{FF2B5EF4-FFF2-40B4-BE49-F238E27FC236}">
              <a16:creationId xmlns:a16="http://schemas.microsoft.com/office/drawing/2014/main" id="{7C571E33-578F-49B4-8B3E-6B0C0B7521A4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83" name="Picture 1382">
          <a:extLst>
            <a:ext uri="{FF2B5EF4-FFF2-40B4-BE49-F238E27FC236}">
              <a16:creationId xmlns:a16="http://schemas.microsoft.com/office/drawing/2014/main" id="{3BAFC7CE-9FD2-4620-8D30-C0E7A6DE7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24</xdr:row>
      <xdr:rowOff>0</xdr:rowOff>
    </xdr:from>
    <xdr:ext cx="304800" cy="304800"/>
    <xdr:sp macro="" textlink="">
      <xdr:nvSpPr>
        <xdr:cNvPr id="1384" name="AutoShape 419">
          <a:extLst>
            <a:ext uri="{FF2B5EF4-FFF2-40B4-BE49-F238E27FC236}">
              <a16:creationId xmlns:a16="http://schemas.microsoft.com/office/drawing/2014/main" id="{2FB4D794-E42C-4CC7-9AE2-D3A6CBF74D88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26</xdr:row>
      <xdr:rowOff>0</xdr:rowOff>
    </xdr:from>
    <xdr:ext cx="9525" cy="9525"/>
    <xdr:pic>
      <xdr:nvPicPr>
        <xdr:cNvPr id="1385" name="Picture 1384">
          <a:extLst>
            <a:ext uri="{FF2B5EF4-FFF2-40B4-BE49-F238E27FC236}">
              <a16:creationId xmlns:a16="http://schemas.microsoft.com/office/drawing/2014/main" id="{31303A80-1D88-43E3-A498-EAAE64BF0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304800" cy="303440"/>
    <xdr:sp macro="" textlink="">
      <xdr:nvSpPr>
        <xdr:cNvPr id="1386" name="AutoShape 421">
          <a:extLst>
            <a:ext uri="{FF2B5EF4-FFF2-40B4-BE49-F238E27FC236}">
              <a16:creationId xmlns:a16="http://schemas.microsoft.com/office/drawing/2014/main" id="{06C32F9C-8815-43D6-84D3-814B4B9C33E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87" name="Picture 1386">
          <a:extLst>
            <a:ext uri="{FF2B5EF4-FFF2-40B4-BE49-F238E27FC236}">
              <a16:creationId xmlns:a16="http://schemas.microsoft.com/office/drawing/2014/main" id="{F7C7C2E8-CA44-4289-A712-8780040D3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88" name="Picture 1387">
          <a:extLst>
            <a:ext uri="{FF2B5EF4-FFF2-40B4-BE49-F238E27FC236}">
              <a16:creationId xmlns:a16="http://schemas.microsoft.com/office/drawing/2014/main" id="{E1CF5BE5-AC5A-4306-B2F1-74E09A3E4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89" name="Picture 1388">
          <a:extLst>
            <a:ext uri="{FF2B5EF4-FFF2-40B4-BE49-F238E27FC236}">
              <a16:creationId xmlns:a16="http://schemas.microsoft.com/office/drawing/2014/main" id="{F8FE1CA0-A95C-4B2C-8315-544B1827B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90" name="Picture 1389">
          <a:extLst>
            <a:ext uri="{FF2B5EF4-FFF2-40B4-BE49-F238E27FC236}">
              <a16:creationId xmlns:a16="http://schemas.microsoft.com/office/drawing/2014/main" id="{6546F532-D5F8-43A8-A548-C93C3FCCD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91" name="Picture 1390">
          <a:extLst>
            <a:ext uri="{FF2B5EF4-FFF2-40B4-BE49-F238E27FC236}">
              <a16:creationId xmlns:a16="http://schemas.microsoft.com/office/drawing/2014/main" id="{10586092-FEC0-44F2-A12D-9832B42CD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392" name="AutoShape 427">
          <a:extLst>
            <a:ext uri="{FF2B5EF4-FFF2-40B4-BE49-F238E27FC236}">
              <a16:creationId xmlns:a16="http://schemas.microsoft.com/office/drawing/2014/main" id="{03BF0410-55A1-489B-9D03-2B63AA487506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93" name="Picture 1392">
          <a:extLst>
            <a:ext uri="{FF2B5EF4-FFF2-40B4-BE49-F238E27FC236}">
              <a16:creationId xmlns:a16="http://schemas.microsoft.com/office/drawing/2014/main" id="{37426654-7C8B-43C6-B6B4-B7690CEC1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394" name="AutoShape 429">
          <a:extLst>
            <a:ext uri="{FF2B5EF4-FFF2-40B4-BE49-F238E27FC236}">
              <a16:creationId xmlns:a16="http://schemas.microsoft.com/office/drawing/2014/main" id="{EC87E81B-A55B-4C2F-A9C4-5E55AA09E455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9525" cy="9525"/>
    <xdr:pic>
      <xdr:nvPicPr>
        <xdr:cNvPr id="1395" name="Picture 1394">
          <a:extLst>
            <a:ext uri="{FF2B5EF4-FFF2-40B4-BE49-F238E27FC236}">
              <a16:creationId xmlns:a16="http://schemas.microsoft.com/office/drawing/2014/main" id="{ED0BB39A-6E95-43A3-9325-20F93B4C3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</xdr:row>
      <xdr:rowOff>0</xdr:rowOff>
    </xdr:from>
    <xdr:ext cx="304800" cy="303439"/>
    <xdr:sp macro="" textlink="">
      <xdr:nvSpPr>
        <xdr:cNvPr id="1396" name="AutoShape 431">
          <a:extLst>
            <a:ext uri="{FF2B5EF4-FFF2-40B4-BE49-F238E27FC236}">
              <a16:creationId xmlns:a16="http://schemas.microsoft.com/office/drawing/2014/main" id="{2034BE6F-F67D-4503-9299-E98CA0803558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97" name="Picture 1396">
          <a:extLst>
            <a:ext uri="{FF2B5EF4-FFF2-40B4-BE49-F238E27FC236}">
              <a16:creationId xmlns:a16="http://schemas.microsoft.com/office/drawing/2014/main" id="{A823CCE9-1664-443C-88AF-F03A4FC49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1398" name="AutoShape 433">
          <a:extLst>
            <a:ext uri="{FF2B5EF4-FFF2-40B4-BE49-F238E27FC236}">
              <a16:creationId xmlns:a16="http://schemas.microsoft.com/office/drawing/2014/main" id="{83F1C8F2-3D79-4E77-8A52-7C01BFB93A5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399" name="Picture 1398">
          <a:extLst>
            <a:ext uri="{FF2B5EF4-FFF2-40B4-BE49-F238E27FC236}">
              <a16:creationId xmlns:a16="http://schemas.microsoft.com/office/drawing/2014/main" id="{16EA7C08-D23C-4850-8C79-D4C1D25C3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1400" name="AutoShape 435">
          <a:extLst>
            <a:ext uri="{FF2B5EF4-FFF2-40B4-BE49-F238E27FC236}">
              <a16:creationId xmlns:a16="http://schemas.microsoft.com/office/drawing/2014/main" id="{036B2A12-E027-4657-B894-D5DEA436571D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27</xdr:row>
      <xdr:rowOff>0</xdr:rowOff>
    </xdr:from>
    <xdr:ext cx="9525" cy="9525"/>
    <xdr:pic>
      <xdr:nvPicPr>
        <xdr:cNvPr id="1401" name="Picture 1400">
          <a:extLst>
            <a:ext uri="{FF2B5EF4-FFF2-40B4-BE49-F238E27FC236}">
              <a16:creationId xmlns:a16="http://schemas.microsoft.com/office/drawing/2014/main" id="{78EE337C-316D-4F87-90C5-C5D83DA83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304800" cy="303439"/>
    <xdr:sp macro="" textlink="">
      <xdr:nvSpPr>
        <xdr:cNvPr id="1402" name="AutoShape 437">
          <a:extLst>
            <a:ext uri="{FF2B5EF4-FFF2-40B4-BE49-F238E27FC236}">
              <a16:creationId xmlns:a16="http://schemas.microsoft.com/office/drawing/2014/main" id="{97FF43F8-FF4E-4277-B86E-CF7C51D117A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03" name="Picture 1402">
          <a:extLst>
            <a:ext uri="{FF2B5EF4-FFF2-40B4-BE49-F238E27FC236}">
              <a16:creationId xmlns:a16="http://schemas.microsoft.com/office/drawing/2014/main" id="{DF3B906A-97F7-4EB6-99EC-C12A352B2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04" name="Picture 1403">
          <a:extLst>
            <a:ext uri="{FF2B5EF4-FFF2-40B4-BE49-F238E27FC236}">
              <a16:creationId xmlns:a16="http://schemas.microsoft.com/office/drawing/2014/main" id="{97A916F5-585B-47AA-8DE3-FFD12E222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</xdr:row>
      <xdr:rowOff>0</xdr:rowOff>
    </xdr:from>
    <xdr:ext cx="9525" cy="9525"/>
    <xdr:pic>
      <xdr:nvPicPr>
        <xdr:cNvPr id="1405" name="Picture 1404">
          <a:extLst>
            <a:ext uri="{FF2B5EF4-FFF2-40B4-BE49-F238E27FC236}">
              <a16:creationId xmlns:a16="http://schemas.microsoft.com/office/drawing/2014/main" id="{1BAAC8E5-D986-4764-B6EA-EC1602E27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</xdr:row>
      <xdr:rowOff>0</xdr:rowOff>
    </xdr:from>
    <xdr:ext cx="304800" cy="303439"/>
    <xdr:sp macro="" textlink="">
      <xdr:nvSpPr>
        <xdr:cNvPr id="1406" name="AutoShape 469">
          <a:extLst>
            <a:ext uri="{FF2B5EF4-FFF2-40B4-BE49-F238E27FC236}">
              <a16:creationId xmlns:a16="http://schemas.microsoft.com/office/drawing/2014/main" id="{C6668782-7BF5-42E0-A641-3A6911C224BD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4</xdr:row>
      <xdr:rowOff>0</xdr:rowOff>
    </xdr:from>
    <xdr:ext cx="9525" cy="9525"/>
    <xdr:pic>
      <xdr:nvPicPr>
        <xdr:cNvPr id="1407" name="Picture 1406">
          <a:extLst>
            <a:ext uri="{FF2B5EF4-FFF2-40B4-BE49-F238E27FC236}">
              <a16:creationId xmlns:a16="http://schemas.microsoft.com/office/drawing/2014/main" id="{9967DC27-DB39-468D-B57E-622A79834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9525" cy="9525"/>
    <xdr:pic>
      <xdr:nvPicPr>
        <xdr:cNvPr id="1408" name="Picture 1407">
          <a:extLst>
            <a:ext uri="{FF2B5EF4-FFF2-40B4-BE49-F238E27FC236}">
              <a16:creationId xmlns:a16="http://schemas.microsoft.com/office/drawing/2014/main" id="{D3EA9D43-5842-41CF-8765-A4922171E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9525" cy="9525"/>
    <xdr:pic>
      <xdr:nvPicPr>
        <xdr:cNvPr id="1409" name="Picture 1408">
          <a:extLst>
            <a:ext uri="{FF2B5EF4-FFF2-40B4-BE49-F238E27FC236}">
              <a16:creationId xmlns:a16="http://schemas.microsoft.com/office/drawing/2014/main" id="{B53E36A5-9702-4D61-B2BD-EADC4B1B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304800" cy="304800"/>
    <xdr:sp macro="" textlink="">
      <xdr:nvSpPr>
        <xdr:cNvPr id="1410" name="AutoShape 473">
          <a:extLst>
            <a:ext uri="{FF2B5EF4-FFF2-40B4-BE49-F238E27FC236}">
              <a16:creationId xmlns:a16="http://schemas.microsoft.com/office/drawing/2014/main" id="{FC34DB43-6F8B-4A9A-8859-0E0408FCAFB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11" name="Picture 1410">
          <a:extLst>
            <a:ext uri="{FF2B5EF4-FFF2-40B4-BE49-F238E27FC236}">
              <a16:creationId xmlns:a16="http://schemas.microsoft.com/office/drawing/2014/main" id="{94037F27-11B4-47C6-BF43-A6749F308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24</xdr:row>
      <xdr:rowOff>0</xdr:rowOff>
    </xdr:from>
    <xdr:ext cx="304800" cy="304800"/>
    <xdr:sp macro="" textlink="">
      <xdr:nvSpPr>
        <xdr:cNvPr id="1412" name="AutoShape 475">
          <a:extLst>
            <a:ext uri="{FF2B5EF4-FFF2-40B4-BE49-F238E27FC236}">
              <a16:creationId xmlns:a16="http://schemas.microsoft.com/office/drawing/2014/main" id="{F271C90A-C1AA-49C8-9D10-A239F77F29BA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26</xdr:row>
      <xdr:rowOff>0</xdr:rowOff>
    </xdr:from>
    <xdr:ext cx="9525" cy="9525"/>
    <xdr:pic>
      <xdr:nvPicPr>
        <xdr:cNvPr id="1413" name="Picture 1412">
          <a:extLst>
            <a:ext uri="{FF2B5EF4-FFF2-40B4-BE49-F238E27FC236}">
              <a16:creationId xmlns:a16="http://schemas.microsoft.com/office/drawing/2014/main" id="{EE45D231-EB87-416C-A660-ACD80626E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304800" cy="303440"/>
    <xdr:sp macro="" textlink="">
      <xdr:nvSpPr>
        <xdr:cNvPr id="1414" name="AutoShape 477">
          <a:extLst>
            <a:ext uri="{FF2B5EF4-FFF2-40B4-BE49-F238E27FC236}">
              <a16:creationId xmlns:a16="http://schemas.microsoft.com/office/drawing/2014/main" id="{750392B5-AD7D-4BF2-BB6E-7350779790C8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15" name="Picture 1414">
          <a:extLst>
            <a:ext uri="{FF2B5EF4-FFF2-40B4-BE49-F238E27FC236}">
              <a16:creationId xmlns:a16="http://schemas.microsoft.com/office/drawing/2014/main" id="{84BFAB61-C369-4F6F-A7C2-FE5509AF7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16" name="Picture 1415">
          <a:extLst>
            <a:ext uri="{FF2B5EF4-FFF2-40B4-BE49-F238E27FC236}">
              <a16:creationId xmlns:a16="http://schemas.microsoft.com/office/drawing/2014/main" id="{D939063D-2505-4421-934C-A0AAA6756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17" name="Picture 1416">
          <a:extLst>
            <a:ext uri="{FF2B5EF4-FFF2-40B4-BE49-F238E27FC236}">
              <a16:creationId xmlns:a16="http://schemas.microsoft.com/office/drawing/2014/main" id="{FA4618B8-DD86-4D80-BBFC-DCF9FAD72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18" name="Picture 1417">
          <a:extLst>
            <a:ext uri="{FF2B5EF4-FFF2-40B4-BE49-F238E27FC236}">
              <a16:creationId xmlns:a16="http://schemas.microsoft.com/office/drawing/2014/main" id="{B138191B-F72B-4E8B-BFDC-11E28A795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19" name="Picture 1418">
          <a:extLst>
            <a:ext uri="{FF2B5EF4-FFF2-40B4-BE49-F238E27FC236}">
              <a16:creationId xmlns:a16="http://schemas.microsoft.com/office/drawing/2014/main" id="{A9147E1B-C7A3-4E95-A4F7-22C1BBAF9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420" name="AutoShape 483">
          <a:extLst>
            <a:ext uri="{FF2B5EF4-FFF2-40B4-BE49-F238E27FC236}">
              <a16:creationId xmlns:a16="http://schemas.microsoft.com/office/drawing/2014/main" id="{FC26EBFF-7B74-4533-9DC1-795AC53FAEA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21" name="Picture 1420">
          <a:extLst>
            <a:ext uri="{FF2B5EF4-FFF2-40B4-BE49-F238E27FC236}">
              <a16:creationId xmlns:a16="http://schemas.microsoft.com/office/drawing/2014/main" id="{EA718776-0D94-452E-AC2F-3257728B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422" name="AutoShape 485">
          <a:extLst>
            <a:ext uri="{FF2B5EF4-FFF2-40B4-BE49-F238E27FC236}">
              <a16:creationId xmlns:a16="http://schemas.microsoft.com/office/drawing/2014/main" id="{635EE5FB-E8D5-4808-9D4A-017B49E72B3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9525" cy="9525"/>
    <xdr:pic>
      <xdr:nvPicPr>
        <xdr:cNvPr id="1423" name="Picture 1422">
          <a:extLst>
            <a:ext uri="{FF2B5EF4-FFF2-40B4-BE49-F238E27FC236}">
              <a16:creationId xmlns:a16="http://schemas.microsoft.com/office/drawing/2014/main" id="{434EB552-7E84-4F7F-A85C-8E75EFAED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</xdr:row>
      <xdr:rowOff>0</xdr:rowOff>
    </xdr:from>
    <xdr:ext cx="304800" cy="303439"/>
    <xdr:sp macro="" textlink="">
      <xdr:nvSpPr>
        <xdr:cNvPr id="1424" name="AutoShape 487">
          <a:extLst>
            <a:ext uri="{FF2B5EF4-FFF2-40B4-BE49-F238E27FC236}">
              <a16:creationId xmlns:a16="http://schemas.microsoft.com/office/drawing/2014/main" id="{E27B1019-7E33-4945-B9BE-829F3820B9BC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25" name="Picture 1424">
          <a:extLst>
            <a:ext uri="{FF2B5EF4-FFF2-40B4-BE49-F238E27FC236}">
              <a16:creationId xmlns:a16="http://schemas.microsoft.com/office/drawing/2014/main" id="{A4170FFF-2436-457D-BBBC-1EA7F2055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26" name="Picture 1425">
          <a:extLst>
            <a:ext uri="{FF2B5EF4-FFF2-40B4-BE49-F238E27FC236}">
              <a16:creationId xmlns:a16="http://schemas.microsoft.com/office/drawing/2014/main" id="{C0AA8DE5-F9BE-4B5E-A88A-CB2FFF38B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1427" name="AutoShape 491">
          <a:extLst>
            <a:ext uri="{FF2B5EF4-FFF2-40B4-BE49-F238E27FC236}">
              <a16:creationId xmlns:a16="http://schemas.microsoft.com/office/drawing/2014/main" id="{14C7BD36-8FD9-47ED-89A7-6DF5E9C97636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27</xdr:row>
      <xdr:rowOff>0</xdr:rowOff>
    </xdr:from>
    <xdr:ext cx="9525" cy="9525"/>
    <xdr:pic>
      <xdr:nvPicPr>
        <xdr:cNvPr id="1428" name="Picture 1427">
          <a:extLst>
            <a:ext uri="{FF2B5EF4-FFF2-40B4-BE49-F238E27FC236}">
              <a16:creationId xmlns:a16="http://schemas.microsoft.com/office/drawing/2014/main" id="{E80C93FD-0E76-4232-B462-D5E617218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304800" cy="303439"/>
    <xdr:sp macro="" textlink="">
      <xdr:nvSpPr>
        <xdr:cNvPr id="1429" name="AutoShape 493">
          <a:extLst>
            <a:ext uri="{FF2B5EF4-FFF2-40B4-BE49-F238E27FC236}">
              <a16:creationId xmlns:a16="http://schemas.microsoft.com/office/drawing/2014/main" id="{581B046A-C2C4-47E5-8E07-74F8E1B92D66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30" name="Picture 1429">
          <a:extLst>
            <a:ext uri="{FF2B5EF4-FFF2-40B4-BE49-F238E27FC236}">
              <a16:creationId xmlns:a16="http://schemas.microsoft.com/office/drawing/2014/main" id="{EBDB0EC5-6F1E-4E29-93D7-82BD4C43B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31" name="Picture 1430">
          <a:extLst>
            <a:ext uri="{FF2B5EF4-FFF2-40B4-BE49-F238E27FC236}">
              <a16:creationId xmlns:a16="http://schemas.microsoft.com/office/drawing/2014/main" id="{222BFC96-3DBB-4D8F-851B-C2DF4F42F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</xdr:row>
      <xdr:rowOff>0</xdr:rowOff>
    </xdr:from>
    <xdr:ext cx="9525" cy="9525"/>
    <xdr:pic>
      <xdr:nvPicPr>
        <xdr:cNvPr id="1432" name="Picture 1431">
          <a:extLst>
            <a:ext uri="{FF2B5EF4-FFF2-40B4-BE49-F238E27FC236}">
              <a16:creationId xmlns:a16="http://schemas.microsoft.com/office/drawing/2014/main" id="{2FB9BD59-30FD-4508-BBD0-F9B8118CD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</xdr:row>
      <xdr:rowOff>0</xdr:rowOff>
    </xdr:from>
    <xdr:ext cx="304800" cy="303439"/>
    <xdr:sp macro="" textlink="">
      <xdr:nvSpPr>
        <xdr:cNvPr id="1433" name="AutoShape 497">
          <a:extLst>
            <a:ext uri="{FF2B5EF4-FFF2-40B4-BE49-F238E27FC236}">
              <a16:creationId xmlns:a16="http://schemas.microsoft.com/office/drawing/2014/main" id="{DEC84B48-F08D-4BF2-A74E-E1183F828AE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4</xdr:row>
      <xdr:rowOff>0</xdr:rowOff>
    </xdr:from>
    <xdr:ext cx="9525" cy="9525"/>
    <xdr:pic>
      <xdr:nvPicPr>
        <xdr:cNvPr id="1434" name="Picture 1433">
          <a:extLst>
            <a:ext uri="{FF2B5EF4-FFF2-40B4-BE49-F238E27FC236}">
              <a16:creationId xmlns:a16="http://schemas.microsoft.com/office/drawing/2014/main" id="{E29279C3-3E6A-4CDE-802A-08693586B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</xdr:row>
      <xdr:rowOff>0</xdr:rowOff>
    </xdr:from>
    <xdr:ext cx="304800" cy="304800"/>
    <xdr:sp macro="" textlink="">
      <xdr:nvSpPr>
        <xdr:cNvPr id="1435" name="AutoShape 499">
          <a:extLst>
            <a:ext uri="{FF2B5EF4-FFF2-40B4-BE49-F238E27FC236}">
              <a16:creationId xmlns:a16="http://schemas.microsoft.com/office/drawing/2014/main" id="{86248A59-A68B-4228-BBA3-CF5E9A4E055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5</xdr:row>
      <xdr:rowOff>0</xdr:rowOff>
    </xdr:from>
    <xdr:ext cx="9525" cy="9525"/>
    <xdr:pic>
      <xdr:nvPicPr>
        <xdr:cNvPr id="1436" name="Picture 1435">
          <a:extLst>
            <a:ext uri="{FF2B5EF4-FFF2-40B4-BE49-F238E27FC236}">
              <a16:creationId xmlns:a16="http://schemas.microsoft.com/office/drawing/2014/main" id="{A64D0F86-77E3-43EB-89D1-1AD4AC302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</xdr:row>
      <xdr:rowOff>0</xdr:rowOff>
    </xdr:from>
    <xdr:ext cx="304800" cy="304800"/>
    <xdr:sp macro="" textlink="">
      <xdr:nvSpPr>
        <xdr:cNvPr id="1437" name="AutoShape 501">
          <a:extLst>
            <a:ext uri="{FF2B5EF4-FFF2-40B4-BE49-F238E27FC236}">
              <a16:creationId xmlns:a16="http://schemas.microsoft.com/office/drawing/2014/main" id="{2E085149-98BB-4A8E-8351-0B51BEBD2C7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537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6</xdr:row>
      <xdr:rowOff>0</xdr:rowOff>
    </xdr:from>
    <xdr:ext cx="9525" cy="9525"/>
    <xdr:pic>
      <xdr:nvPicPr>
        <xdr:cNvPr id="1438" name="Picture 1437">
          <a:extLst>
            <a:ext uri="{FF2B5EF4-FFF2-40B4-BE49-F238E27FC236}">
              <a16:creationId xmlns:a16="http://schemas.microsoft.com/office/drawing/2014/main" id="{5909EF05-B9BD-4EC5-BC58-006F29F8F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304800" cy="304800"/>
    <xdr:sp macro="" textlink="">
      <xdr:nvSpPr>
        <xdr:cNvPr id="1439" name="AutoShape 503">
          <a:extLst>
            <a:ext uri="{FF2B5EF4-FFF2-40B4-BE49-F238E27FC236}">
              <a16:creationId xmlns:a16="http://schemas.microsoft.com/office/drawing/2014/main" id="{6FD94193-7582-4693-A8DA-F15B2CD39412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40" name="Picture 1439">
          <a:extLst>
            <a:ext uri="{FF2B5EF4-FFF2-40B4-BE49-F238E27FC236}">
              <a16:creationId xmlns:a16="http://schemas.microsoft.com/office/drawing/2014/main" id="{7904A30C-78C3-42E0-82FE-FF0235B37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304800" cy="304800"/>
    <xdr:sp macro="" textlink="">
      <xdr:nvSpPr>
        <xdr:cNvPr id="1441" name="AutoShape 505">
          <a:extLst>
            <a:ext uri="{FF2B5EF4-FFF2-40B4-BE49-F238E27FC236}">
              <a16:creationId xmlns:a16="http://schemas.microsoft.com/office/drawing/2014/main" id="{787D4443-142E-4E90-A3A4-4CC55D084776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26</xdr:row>
      <xdr:rowOff>0</xdr:rowOff>
    </xdr:from>
    <xdr:ext cx="9525" cy="9525"/>
    <xdr:pic>
      <xdr:nvPicPr>
        <xdr:cNvPr id="1442" name="Picture 1441">
          <a:extLst>
            <a:ext uri="{FF2B5EF4-FFF2-40B4-BE49-F238E27FC236}">
              <a16:creationId xmlns:a16="http://schemas.microsoft.com/office/drawing/2014/main" id="{201FEA5B-4018-4E8E-9558-2BD2C5DC9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304800" cy="303439"/>
    <xdr:sp macro="" textlink="">
      <xdr:nvSpPr>
        <xdr:cNvPr id="1443" name="AutoShape 507">
          <a:extLst>
            <a:ext uri="{FF2B5EF4-FFF2-40B4-BE49-F238E27FC236}">
              <a16:creationId xmlns:a16="http://schemas.microsoft.com/office/drawing/2014/main" id="{B6849551-372D-4976-B430-3BB69EEDB564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06878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44" name="Picture 1443">
          <a:extLst>
            <a:ext uri="{FF2B5EF4-FFF2-40B4-BE49-F238E27FC236}">
              <a16:creationId xmlns:a16="http://schemas.microsoft.com/office/drawing/2014/main" id="{13E23817-10CC-4FA7-AA62-F1B3E2B44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304800" cy="304800"/>
    <xdr:sp macro="" textlink="">
      <xdr:nvSpPr>
        <xdr:cNvPr id="1445" name="AutoShape 509">
          <a:extLst>
            <a:ext uri="{FF2B5EF4-FFF2-40B4-BE49-F238E27FC236}">
              <a16:creationId xmlns:a16="http://schemas.microsoft.com/office/drawing/2014/main" id="{788C9C47-7922-4FDF-BE1A-57DE0F08C599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46" name="Picture 1445">
          <a:extLst>
            <a:ext uri="{FF2B5EF4-FFF2-40B4-BE49-F238E27FC236}">
              <a16:creationId xmlns:a16="http://schemas.microsoft.com/office/drawing/2014/main" id="{6AAD3925-B178-4772-A9D7-95930E8BD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447" name="AutoShape 511">
          <a:extLst>
            <a:ext uri="{FF2B5EF4-FFF2-40B4-BE49-F238E27FC236}">
              <a16:creationId xmlns:a16="http://schemas.microsoft.com/office/drawing/2014/main" id="{C7A631A5-C068-4570-8A73-9C4B6F866E58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48" name="Picture 1447">
          <a:extLst>
            <a:ext uri="{FF2B5EF4-FFF2-40B4-BE49-F238E27FC236}">
              <a16:creationId xmlns:a16="http://schemas.microsoft.com/office/drawing/2014/main" id="{330F6CAB-5885-433F-A784-BFA55A6CF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39"/>
    <xdr:sp macro="" textlink="">
      <xdr:nvSpPr>
        <xdr:cNvPr id="1449" name="AutoShape 513">
          <a:extLst>
            <a:ext uri="{FF2B5EF4-FFF2-40B4-BE49-F238E27FC236}">
              <a16:creationId xmlns:a16="http://schemas.microsoft.com/office/drawing/2014/main" id="{AEB3435F-4C37-425E-A320-6CE3A1C4C7C5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50" name="Picture 1449">
          <a:extLst>
            <a:ext uri="{FF2B5EF4-FFF2-40B4-BE49-F238E27FC236}">
              <a16:creationId xmlns:a16="http://schemas.microsoft.com/office/drawing/2014/main" id="{D7802F34-ABC2-46F7-9956-F1CBE93B1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451" name="AutoShape 515">
          <a:extLst>
            <a:ext uri="{FF2B5EF4-FFF2-40B4-BE49-F238E27FC236}">
              <a16:creationId xmlns:a16="http://schemas.microsoft.com/office/drawing/2014/main" id="{2F681412-8561-499A-9224-0DB2613981D8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52" name="Picture 1451">
          <a:extLst>
            <a:ext uri="{FF2B5EF4-FFF2-40B4-BE49-F238E27FC236}">
              <a16:creationId xmlns:a16="http://schemas.microsoft.com/office/drawing/2014/main" id="{006256E8-67F1-4A9E-B544-B6FC449A1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453" name="AutoShape 517">
          <a:extLst>
            <a:ext uri="{FF2B5EF4-FFF2-40B4-BE49-F238E27FC236}">
              <a16:creationId xmlns:a16="http://schemas.microsoft.com/office/drawing/2014/main" id="{F857DEF0-C790-409E-956C-F09C67C75A02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54" name="Picture 1453">
          <a:extLst>
            <a:ext uri="{FF2B5EF4-FFF2-40B4-BE49-F238E27FC236}">
              <a16:creationId xmlns:a16="http://schemas.microsoft.com/office/drawing/2014/main" id="{7D41156D-26EB-4452-BF07-CF41FB72D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455" name="AutoShape 519">
          <a:extLst>
            <a:ext uri="{FF2B5EF4-FFF2-40B4-BE49-F238E27FC236}">
              <a16:creationId xmlns:a16="http://schemas.microsoft.com/office/drawing/2014/main" id="{D3B55361-C242-4B3F-B9AD-D4F2BE7251A9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56" name="Picture 1455">
          <a:extLst>
            <a:ext uri="{FF2B5EF4-FFF2-40B4-BE49-F238E27FC236}">
              <a16:creationId xmlns:a16="http://schemas.microsoft.com/office/drawing/2014/main" id="{28B93484-DE13-4EB0-A271-F2E15E6FB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57" name="Picture 1456">
          <a:extLst>
            <a:ext uri="{FF2B5EF4-FFF2-40B4-BE49-F238E27FC236}">
              <a16:creationId xmlns:a16="http://schemas.microsoft.com/office/drawing/2014/main" id="{4D1B980F-D718-464B-8319-20797F4E3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1458" name="AutoShape 525">
          <a:extLst>
            <a:ext uri="{FF2B5EF4-FFF2-40B4-BE49-F238E27FC236}">
              <a16:creationId xmlns:a16="http://schemas.microsoft.com/office/drawing/2014/main" id="{DA74B5EC-D36D-4C34-8F83-EF572789A1B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27</xdr:row>
      <xdr:rowOff>0</xdr:rowOff>
    </xdr:from>
    <xdr:ext cx="9525" cy="9525"/>
    <xdr:pic>
      <xdr:nvPicPr>
        <xdr:cNvPr id="1459" name="Picture 1458">
          <a:extLst>
            <a:ext uri="{FF2B5EF4-FFF2-40B4-BE49-F238E27FC236}">
              <a16:creationId xmlns:a16="http://schemas.microsoft.com/office/drawing/2014/main" id="{F3819BBD-9BCC-4660-851A-AEEE07DC1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304800" cy="303439"/>
    <xdr:sp macro="" textlink="">
      <xdr:nvSpPr>
        <xdr:cNvPr id="1460" name="AutoShape 527">
          <a:extLst>
            <a:ext uri="{FF2B5EF4-FFF2-40B4-BE49-F238E27FC236}">
              <a16:creationId xmlns:a16="http://schemas.microsoft.com/office/drawing/2014/main" id="{FD435101-EBDA-48D8-B448-B901EE8B3969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61" name="Picture 1460">
          <a:extLst>
            <a:ext uri="{FF2B5EF4-FFF2-40B4-BE49-F238E27FC236}">
              <a16:creationId xmlns:a16="http://schemas.microsoft.com/office/drawing/2014/main" id="{9AE36931-EB6B-42B6-942C-F92CD98F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27</xdr:row>
      <xdr:rowOff>0</xdr:rowOff>
    </xdr:from>
    <xdr:ext cx="304800" cy="303439"/>
    <xdr:sp macro="" textlink="">
      <xdr:nvSpPr>
        <xdr:cNvPr id="1462" name="AutoShape 529">
          <a:extLst>
            <a:ext uri="{FF2B5EF4-FFF2-40B4-BE49-F238E27FC236}">
              <a16:creationId xmlns:a16="http://schemas.microsoft.com/office/drawing/2014/main" id="{E159AB12-DBB9-478F-8A1B-C25C181D6D41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477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463" name="Picture 1462">
          <a:extLst>
            <a:ext uri="{FF2B5EF4-FFF2-40B4-BE49-F238E27FC236}">
              <a16:creationId xmlns:a16="http://schemas.microsoft.com/office/drawing/2014/main" id="{06310974-31BC-4892-8AB9-150C64550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39"/>
    <xdr:sp macro="" textlink="">
      <xdr:nvSpPr>
        <xdr:cNvPr id="1464" name="AutoShape 531">
          <a:extLst>
            <a:ext uri="{FF2B5EF4-FFF2-40B4-BE49-F238E27FC236}">
              <a16:creationId xmlns:a16="http://schemas.microsoft.com/office/drawing/2014/main" id="{24E82F1F-F878-410B-9538-B3E14F123E2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9525" cy="9525"/>
    <xdr:pic>
      <xdr:nvPicPr>
        <xdr:cNvPr id="1465" name="Picture 1464">
          <a:extLst>
            <a:ext uri="{FF2B5EF4-FFF2-40B4-BE49-F238E27FC236}">
              <a16:creationId xmlns:a16="http://schemas.microsoft.com/office/drawing/2014/main" id="{A287439B-1E51-4ABD-A62A-DD8C55C6F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9525" cy="9525"/>
    <xdr:pic>
      <xdr:nvPicPr>
        <xdr:cNvPr id="1466" name="Picture 1465">
          <a:extLst>
            <a:ext uri="{FF2B5EF4-FFF2-40B4-BE49-F238E27FC236}">
              <a16:creationId xmlns:a16="http://schemas.microsoft.com/office/drawing/2014/main" id="{746017FA-3AF0-41EE-98D9-26D927F34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304800" cy="304800"/>
    <xdr:sp macro="" textlink="">
      <xdr:nvSpPr>
        <xdr:cNvPr id="1467" name="AutoShape 183">
          <a:extLst>
            <a:ext uri="{FF2B5EF4-FFF2-40B4-BE49-F238E27FC236}">
              <a16:creationId xmlns:a16="http://schemas.microsoft.com/office/drawing/2014/main" id="{822F26B1-F99E-4BFB-A110-B14762308951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9525" cy="9525"/>
    <xdr:pic>
      <xdr:nvPicPr>
        <xdr:cNvPr id="1468" name="Picture 1467">
          <a:extLst>
            <a:ext uri="{FF2B5EF4-FFF2-40B4-BE49-F238E27FC236}">
              <a16:creationId xmlns:a16="http://schemas.microsoft.com/office/drawing/2014/main" id="{2357D0DA-77A4-4A14-A674-CB4F7D00F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304800" cy="304800"/>
    <xdr:sp macro="" textlink="">
      <xdr:nvSpPr>
        <xdr:cNvPr id="1469" name="AutoShape 209">
          <a:extLst>
            <a:ext uri="{FF2B5EF4-FFF2-40B4-BE49-F238E27FC236}">
              <a16:creationId xmlns:a16="http://schemas.microsoft.com/office/drawing/2014/main" id="{F139F9A3-B0B2-45F1-8DC0-4B4EAA2E0BD6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9525" cy="9525"/>
    <xdr:pic>
      <xdr:nvPicPr>
        <xdr:cNvPr id="1470" name="Picture 1469">
          <a:extLst>
            <a:ext uri="{FF2B5EF4-FFF2-40B4-BE49-F238E27FC236}">
              <a16:creationId xmlns:a16="http://schemas.microsoft.com/office/drawing/2014/main" id="{C7B46769-82D9-4879-9CB7-A840574BF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304800" cy="304800"/>
    <xdr:sp macro="" textlink="">
      <xdr:nvSpPr>
        <xdr:cNvPr id="1471" name="AutoShape 233">
          <a:extLst>
            <a:ext uri="{FF2B5EF4-FFF2-40B4-BE49-F238E27FC236}">
              <a16:creationId xmlns:a16="http://schemas.microsoft.com/office/drawing/2014/main" id="{4BAED1C5-68E1-4613-B126-4C6D8D9113E5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9525" cy="9525"/>
    <xdr:pic>
      <xdr:nvPicPr>
        <xdr:cNvPr id="1472" name="Picture 1471">
          <a:extLst>
            <a:ext uri="{FF2B5EF4-FFF2-40B4-BE49-F238E27FC236}">
              <a16:creationId xmlns:a16="http://schemas.microsoft.com/office/drawing/2014/main" id="{8BBEE8D5-DB81-4588-AC17-3147C7E9F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304800" cy="304800"/>
    <xdr:sp macro="" textlink="">
      <xdr:nvSpPr>
        <xdr:cNvPr id="1473" name="AutoShape 259">
          <a:extLst>
            <a:ext uri="{FF2B5EF4-FFF2-40B4-BE49-F238E27FC236}">
              <a16:creationId xmlns:a16="http://schemas.microsoft.com/office/drawing/2014/main" id="{1FDC810F-EDF6-4B75-A763-1656303D1BE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9525" cy="9525"/>
    <xdr:pic>
      <xdr:nvPicPr>
        <xdr:cNvPr id="1474" name="Picture 1473">
          <a:extLst>
            <a:ext uri="{FF2B5EF4-FFF2-40B4-BE49-F238E27FC236}">
              <a16:creationId xmlns:a16="http://schemas.microsoft.com/office/drawing/2014/main" id="{977F4360-4D43-4DE8-B589-7988AB8E4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304800" cy="304800"/>
    <xdr:sp macro="" textlink="">
      <xdr:nvSpPr>
        <xdr:cNvPr id="1475" name="AutoShape 311">
          <a:extLst>
            <a:ext uri="{FF2B5EF4-FFF2-40B4-BE49-F238E27FC236}">
              <a16:creationId xmlns:a16="http://schemas.microsoft.com/office/drawing/2014/main" id="{C85F994F-9826-47F5-85FE-3AE3CDFD6AD6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9525" cy="9525"/>
    <xdr:pic>
      <xdr:nvPicPr>
        <xdr:cNvPr id="1476" name="Picture 1475">
          <a:extLst>
            <a:ext uri="{FF2B5EF4-FFF2-40B4-BE49-F238E27FC236}">
              <a16:creationId xmlns:a16="http://schemas.microsoft.com/office/drawing/2014/main" id="{80B0BFD3-878A-482A-AEF3-477602558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304800" cy="304800"/>
    <xdr:sp macro="" textlink="">
      <xdr:nvSpPr>
        <xdr:cNvPr id="1477" name="AutoShape 363">
          <a:extLst>
            <a:ext uri="{FF2B5EF4-FFF2-40B4-BE49-F238E27FC236}">
              <a16:creationId xmlns:a16="http://schemas.microsoft.com/office/drawing/2014/main" id="{DC28CF71-691D-42E0-AA46-6A3B7223D40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9525" cy="9525"/>
    <xdr:pic>
      <xdr:nvPicPr>
        <xdr:cNvPr id="1478" name="Picture 1477">
          <a:extLst>
            <a:ext uri="{FF2B5EF4-FFF2-40B4-BE49-F238E27FC236}">
              <a16:creationId xmlns:a16="http://schemas.microsoft.com/office/drawing/2014/main" id="{2DD3F186-19D4-40BB-988D-756856B65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304800" cy="304800"/>
    <xdr:sp macro="" textlink="">
      <xdr:nvSpPr>
        <xdr:cNvPr id="1479" name="AutoShape 419">
          <a:extLst>
            <a:ext uri="{FF2B5EF4-FFF2-40B4-BE49-F238E27FC236}">
              <a16:creationId xmlns:a16="http://schemas.microsoft.com/office/drawing/2014/main" id="{58927E3C-C38E-48BC-9E18-671A0D2361C1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9525" cy="9525"/>
    <xdr:pic>
      <xdr:nvPicPr>
        <xdr:cNvPr id="1480" name="Picture 1479">
          <a:extLst>
            <a:ext uri="{FF2B5EF4-FFF2-40B4-BE49-F238E27FC236}">
              <a16:creationId xmlns:a16="http://schemas.microsoft.com/office/drawing/2014/main" id="{F0F91B9B-4A04-44FB-B65F-18DE6EC70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304800" cy="304800"/>
    <xdr:sp macro="" textlink="">
      <xdr:nvSpPr>
        <xdr:cNvPr id="1481" name="AutoShape 475">
          <a:extLst>
            <a:ext uri="{FF2B5EF4-FFF2-40B4-BE49-F238E27FC236}">
              <a16:creationId xmlns:a16="http://schemas.microsoft.com/office/drawing/2014/main" id="{BBE863D9-F1EF-45CF-BCD4-1DFD3D6D071C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7</xdr:row>
      <xdr:rowOff>0</xdr:rowOff>
    </xdr:from>
    <xdr:ext cx="9525" cy="9525"/>
    <xdr:pic>
      <xdr:nvPicPr>
        <xdr:cNvPr id="1482" name="Picture 1481">
          <a:extLst>
            <a:ext uri="{FF2B5EF4-FFF2-40B4-BE49-F238E27FC236}">
              <a16:creationId xmlns:a16="http://schemas.microsoft.com/office/drawing/2014/main" id="{41D897C2-D3D0-4C9B-88C2-5303DEF82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9525" cy="9525"/>
    <xdr:pic>
      <xdr:nvPicPr>
        <xdr:cNvPr id="1483" name="Picture 1482">
          <a:extLst>
            <a:ext uri="{FF2B5EF4-FFF2-40B4-BE49-F238E27FC236}">
              <a16:creationId xmlns:a16="http://schemas.microsoft.com/office/drawing/2014/main" id="{21232E55-7981-4052-96F7-3E6F62EC8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9525" cy="9525"/>
    <xdr:pic>
      <xdr:nvPicPr>
        <xdr:cNvPr id="1484" name="Picture 1483">
          <a:extLst>
            <a:ext uri="{FF2B5EF4-FFF2-40B4-BE49-F238E27FC236}">
              <a16:creationId xmlns:a16="http://schemas.microsoft.com/office/drawing/2014/main" id="{5AA5ED8B-43E4-4EA7-BB6A-1ED328DDA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4800"/>
    <xdr:sp macro="" textlink="">
      <xdr:nvSpPr>
        <xdr:cNvPr id="1485" name="AutoShape 183">
          <a:extLst>
            <a:ext uri="{FF2B5EF4-FFF2-40B4-BE49-F238E27FC236}">
              <a16:creationId xmlns:a16="http://schemas.microsoft.com/office/drawing/2014/main" id="{5B2BA5EB-3531-4E03-87C1-4B89EB24D74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15</xdr:row>
      <xdr:rowOff>0</xdr:rowOff>
    </xdr:from>
    <xdr:ext cx="9525" cy="9525"/>
    <xdr:pic>
      <xdr:nvPicPr>
        <xdr:cNvPr id="1486" name="Picture 1485">
          <a:extLst>
            <a:ext uri="{FF2B5EF4-FFF2-40B4-BE49-F238E27FC236}">
              <a16:creationId xmlns:a16="http://schemas.microsoft.com/office/drawing/2014/main" id="{47B74DAF-B70B-467D-BF3C-626FCB63E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4800"/>
    <xdr:sp macro="" textlink="">
      <xdr:nvSpPr>
        <xdr:cNvPr id="1487" name="AutoShape 209">
          <a:extLst>
            <a:ext uri="{FF2B5EF4-FFF2-40B4-BE49-F238E27FC236}">
              <a16:creationId xmlns:a16="http://schemas.microsoft.com/office/drawing/2014/main" id="{FA0DDC8A-A8F1-4B87-9ACE-4444E3914E63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15</xdr:row>
      <xdr:rowOff>0</xdr:rowOff>
    </xdr:from>
    <xdr:ext cx="9525" cy="9525"/>
    <xdr:pic>
      <xdr:nvPicPr>
        <xdr:cNvPr id="1488" name="Picture 1487">
          <a:extLst>
            <a:ext uri="{FF2B5EF4-FFF2-40B4-BE49-F238E27FC236}">
              <a16:creationId xmlns:a16="http://schemas.microsoft.com/office/drawing/2014/main" id="{B68AEE50-788A-42B1-B9FE-F31340A9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4800"/>
    <xdr:sp macro="" textlink="">
      <xdr:nvSpPr>
        <xdr:cNvPr id="1489" name="AutoShape 233">
          <a:extLst>
            <a:ext uri="{FF2B5EF4-FFF2-40B4-BE49-F238E27FC236}">
              <a16:creationId xmlns:a16="http://schemas.microsoft.com/office/drawing/2014/main" id="{04AA24D8-3939-404D-8120-DB6DFB5D72D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15</xdr:row>
      <xdr:rowOff>0</xdr:rowOff>
    </xdr:from>
    <xdr:ext cx="9525" cy="9525"/>
    <xdr:pic>
      <xdr:nvPicPr>
        <xdr:cNvPr id="1490" name="Picture 1489">
          <a:extLst>
            <a:ext uri="{FF2B5EF4-FFF2-40B4-BE49-F238E27FC236}">
              <a16:creationId xmlns:a16="http://schemas.microsoft.com/office/drawing/2014/main" id="{2451E085-16BC-46FA-8C46-3D0A071E6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4800"/>
    <xdr:sp macro="" textlink="">
      <xdr:nvSpPr>
        <xdr:cNvPr id="1491" name="AutoShape 259">
          <a:extLst>
            <a:ext uri="{FF2B5EF4-FFF2-40B4-BE49-F238E27FC236}">
              <a16:creationId xmlns:a16="http://schemas.microsoft.com/office/drawing/2014/main" id="{479A67B5-6EE2-43D5-BD1A-6E27B99CCF58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15</xdr:row>
      <xdr:rowOff>0</xdr:rowOff>
    </xdr:from>
    <xdr:ext cx="9525" cy="9525"/>
    <xdr:pic>
      <xdr:nvPicPr>
        <xdr:cNvPr id="1492" name="Picture 1491">
          <a:extLst>
            <a:ext uri="{FF2B5EF4-FFF2-40B4-BE49-F238E27FC236}">
              <a16:creationId xmlns:a16="http://schemas.microsoft.com/office/drawing/2014/main" id="{5D3E3BAC-1D9D-43A6-970B-DD2713D0E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4800"/>
    <xdr:sp macro="" textlink="">
      <xdr:nvSpPr>
        <xdr:cNvPr id="1493" name="AutoShape 311">
          <a:extLst>
            <a:ext uri="{FF2B5EF4-FFF2-40B4-BE49-F238E27FC236}">
              <a16:creationId xmlns:a16="http://schemas.microsoft.com/office/drawing/2014/main" id="{3B486A9A-AC32-409D-852E-DB22A141F55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15</xdr:row>
      <xdr:rowOff>0</xdr:rowOff>
    </xdr:from>
    <xdr:ext cx="9525" cy="9525"/>
    <xdr:pic>
      <xdr:nvPicPr>
        <xdr:cNvPr id="1494" name="Picture 1493">
          <a:extLst>
            <a:ext uri="{FF2B5EF4-FFF2-40B4-BE49-F238E27FC236}">
              <a16:creationId xmlns:a16="http://schemas.microsoft.com/office/drawing/2014/main" id="{2B533032-CAFD-40A7-A7DC-6EC43B419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4800"/>
    <xdr:sp macro="" textlink="">
      <xdr:nvSpPr>
        <xdr:cNvPr id="1495" name="AutoShape 363">
          <a:extLst>
            <a:ext uri="{FF2B5EF4-FFF2-40B4-BE49-F238E27FC236}">
              <a16:creationId xmlns:a16="http://schemas.microsoft.com/office/drawing/2014/main" id="{E180DD75-872C-4B0D-B87E-D8FDD6EBAEB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15</xdr:row>
      <xdr:rowOff>0</xdr:rowOff>
    </xdr:from>
    <xdr:ext cx="9525" cy="9525"/>
    <xdr:pic>
      <xdr:nvPicPr>
        <xdr:cNvPr id="1496" name="Picture 1495">
          <a:extLst>
            <a:ext uri="{FF2B5EF4-FFF2-40B4-BE49-F238E27FC236}">
              <a16:creationId xmlns:a16="http://schemas.microsoft.com/office/drawing/2014/main" id="{E6B7A219-8EFB-4C32-810C-83CF67537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4800"/>
    <xdr:sp macro="" textlink="">
      <xdr:nvSpPr>
        <xdr:cNvPr id="1497" name="AutoShape 419">
          <a:extLst>
            <a:ext uri="{FF2B5EF4-FFF2-40B4-BE49-F238E27FC236}">
              <a16:creationId xmlns:a16="http://schemas.microsoft.com/office/drawing/2014/main" id="{A87F2ED0-C4E4-40EF-A793-7CBF3ACC70A2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15</xdr:row>
      <xdr:rowOff>0</xdr:rowOff>
    </xdr:from>
    <xdr:ext cx="9525" cy="9525"/>
    <xdr:pic>
      <xdr:nvPicPr>
        <xdr:cNvPr id="1498" name="Picture 1497">
          <a:extLst>
            <a:ext uri="{FF2B5EF4-FFF2-40B4-BE49-F238E27FC236}">
              <a16:creationId xmlns:a16="http://schemas.microsoft.com/office/drawing/2014/main" id="{9692B59E-0ED4-4E3B-94FE-1E1ADD86C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4800"/>
    <xdr:sp macro="" textlink="">
      <xdr:nvSpPr>
        <xdr:cNvPr id="1499" name="AutoShape 475">
          <a:extLst>
            <a:ext uri="{FF2B5EF4-FFF2-40B4-BE49-F238E27FC236}">
              <a16:creationId xmlns:a16="http://schemas.microsoft.com/office/drawing/2014/main" id="{9D072A93-776C-4E39-82E5-4131ED6F0EF4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15</xdr:row>
      <xdr:rowOff>0</xdr:rowOff>
    </xdr:from>
    <xdr:ext cx="9525" cy="9525"/>
    <xdr:pic>
      <xdr:nvPicPr>
        <xdr:cNvPr id="1500" name="Picture 1499">
          <a:extLst>
            <a:ext uri="{FF2B5EF4-FFF2-40B4-BE49-F238E27FC236}">
              <a16:creationId xmlns:a16="http://schemas.microsoft.com/office/drawing/2014/main" id="{00927A60-AC8B-45BA-9B45-537E25E9E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304800" cy="304800"/>
    <xdr:sp macro="" textlink="">
      <xdr:nvSpPr>
        <xdr:cNvPr id="1501" name="AutoShape 154">
          <a:extLst>
            <a:ext uri="{FF2B5EF4-FFF2-40B4-BE49-F238E27FC236}">
              <a16:creationId xmlns:a16="http://schemas.microsoft.com/office/drawing/2014/main" id="{8217C18D-BC35-4CD4-8AE0-FC3FD81D9BED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21</xdr:row>
      <xdr:rowOff>0</xdr:rowOff>
    </xdr:from>
    <xdr:ext cx="304800" cy="304800"/>
    <xdr:sp macro="" textlink="">
      <xdr:nvSpPr>
        <xdr:cNvPr id="1502" name="AutoShape 505">
          <a:extLst>
            <a:ext uri="{FF2B5EF4-FFF2-40B4-BE49-F238E27FC236}">
              <a16:creationId xmlns:a16="http://schemas.microsoft.com/office/drawing/2014/main" id="{127705C7-20AC-45F4-952E-A54EFAADC37C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21</xdr:row>
      <xdr:rowOff>0</xdr:rowOff>
    </xdr:from>
    <xdr:ext cx="9525" cy="9525"/>
    <xdr:pic>
      <xdr:nvPicPr>
        <xdr:cNvPr id="1503" name="Picture 1502">
          <a:extLst>
            <a:ext uri="{FF2B5EF4-FFF2-40B4-BE49-F238E27FC236}">
              <a16:creationId xmlns:a16="http://schemas.microsoft.com/office/drawing/2014/main" id="{C263995D-2182-4DE1-8D99-FBE096103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9525" cy="9525"/>
    <xdr:pic>
      <xdr:nvPicPr>
        <xdr:cNvPr id="1504" name="Picture 1503">
          <a:extLst>
            <a:ext uri="{FF2B5EF4-FFF2-40B4-BE49-F238E27FC236}">
              <a16:creationId xmlns:a16="http://schemas.microsoft.com/office/drawing/2014/main" id="{188FD17D-1287-4304-A5BE-0764BFF82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304800" cy="304800"/>
    <xdr:sp macro="" textlink="">
      <xdr:nvSpPr>
        <xdr:cNvPr id="1505" name="AutoShape 183">
          <a:extLst>
            <a:ext uri="{FF2B5EF4-FFF2-40B4-BE49-F238E27FC236}">
              <a16:creationId xmlns:a16="http://schemas.microsoft.com/office/drawing/2014/main" id="{AB09EC93-B75A-46FA-8EE7-53063692BFF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21</xdr:row>
      <xdr:rowOff>0</xdr:rowOff>
    </xdr:from>
    <xdr:ext cx="9525" cy="9525"/>
    <xdr:pic>
      <xdr:nvPicPr>
        <xdr:cNvPr id="1506" name="Picture 1505">
          <a:extLst>
            <a:ext uri="{FF2B5EF4-FFF2-40B4-BE49-F238E27FC236}">
              <a16:creationId xmlns:a16="http://schemas.microsoft.com/office/drawing/2014/main" id="{02879DCA-9088-40A5-949C-956A56F5A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304800" cy="304800"/>
    <xdr:sp macro="" textlink="">
      <xdr:nvSpPr>
        <xdr:cNvPr id="1507" name="AutoShape 209">
          <a:extLst>
            <a:ext uri="{FF2B5EF4-FFF2-40B4-BE49-F238E27FC236}">
              <a16:creationId xmlns:a16="http://schemas.microsoft.com/office/drawing/2014/main" id="{21106AD0-4999-4E7D-BD0A-D3D71A0D4251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21</xdr:row>
      <xdr:rowOff>0</xdr:rowOff>
    </xdr:from>
    <xdr:ext cx="9525" cy="9525"/>
    <xdr:pic>
      <xdr:nvPicPr>
        <xdr:cNvPr id="1508" name="Picture 1507">
          <a:extLst>
            <a:ext uri="{FF2B5EF4-FFF2-40B4-BE49-F238E27FC236}">
              <a16:creationId xmlns:a16="http://schemas.microsoft.com/office/drawing/2014/main" id="{592262D2-4611-4EDE-93B9-DF158642D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304800" cy="304800"/>
    <xdr:sp macro="" textlink="">
      <xdr:nvSpPr>
        <xdr:cNvPr id="1509" name="AutoShape 233">
          <a:extLst>
            <a:ext uri="{FF2B5EF4-FFF2-40B4-BE49-F238E27FC236}">
              <a16:creationId xmlns:a16="http://schemas.microsoft.com/office/drawing/2014/main" id="{0F11621F-A973-4F55-BE1B-E90582584DF2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21</xdr:row>
      <xdr:rowOff>0</xdr:rowOff>
    </xdr:from>
    <xdr:ext cx="9525" cy="9525"/>
    <xdr:pic>
      <xdr:nvPicPr>
        <xdr:cNvPr id="1510" name="Picture 1509">
          <a:extLst>
            <a:ext uri="{FF2B5EF4-FFF2-40B4-BE49-F238E27FC236}">
              <a16:creationId xmlns:a16="http://schemas.microsoft.com/office/drawing/2014/main" id="{8A432563-EA62-4BB4-BC7C-1757F6989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304800" cy="304800"/>
    <xdr:sp macro="" textlink="">
      <xdr:nvSpPr>
        <xdr:cNvPr id="1511" name="AutoShape 259">
          <a:extLst>
            <a:ext uri="{FF2B5EF4-FFF2-40B4-BE49-F238E27FC236}">
              <a16:creationId xmlns:a16="http://schemas.microsoft.com/office/drawing/2014/main" id="{2FEE5F64-8893-4294-A954-8969BA591E65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21</xdr:row>
      <xdr:rowOff>0</xdr:rowOff>
    </xdr:from>
    <xdr:ext cx="9525" cy="9525"/>
    <xdr:pic>
      <xdr:nvPicPr>
        <xdr:cNvPr id="1512" name="Picture 1511">
          <a:extLst>
            <a:ext uri="{FF2B5EF4-FFF2-40B4-BE49-F238E27FC236}">
              <a16:creationId xmlns:a16="http://schemas.microsoft.com/office/drawing/2014/main" id="{6057D8CA-2C92-43E2-9D8E-AEFE09CEF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304800" cy="304800"/>
    <xdr:sp macro="" textlink="">
      <xdr:nvSpPr>
        <xdr:cNvPr id="1513" name="AutoShape 311">
          <a:extLst>
            <a:ext uri="{FF2B5EF4-FFF2-40B4-BE49-F238E27FC236}">
              <a16:creationId xmlns:a16="http://schemas.microsoft.com/office/drawing/2014/main" id="{DE87E3C0-4347-46F1-8793-29BE76567C3E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21</xdr:row>
      <xdr:rowOff>0</xdr:rowOff>
    </xdr:from>
    <xdr:ext cx="9525" cy="9525"/>
    <xdr:pic>
      <xdr:nvPicPr>
        <xdr:cNvPr id="1514" name="Picture 1513">
          <a:extLst>
            <a:ext uri="{FF2B5EF4-FFF2-40B4-BE49-F238E27FC236}">
              <a16:creationId xmlns:a16="http://schemas.microsoft.com/office/drawing/2014/main" id="{812DA84C-2FB1-4200-B333-AA9F80478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304800" cy="304800"/>
    <xdr:sp macro="" textlink="">
      <xdr:nvSpPr>
        <xdr:cNvPr id="1515" name="AutoShape 363">
          <a:extLst>
            <a:ext uri="{FF2B5EF4-FFF2-40B4-BE49-F238E27FC236}">
              <a16:creationId xmlns:a16="http://schemas.microsoft.com/office/drawing/2014/main" id="{B48D01D9-DC61-4379-873F-DE6F01CCA5DA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21</xdr:row>
      <xdr:rowOff>0</xdr:rowOff>
    </xdr:from>
    <xdr:ext cx="9525" cy="9525"/>
    <xdr:pic>
      <xdr:nvPicPr>
        <xdr:cNvPr id="1516" name="Picture 1515">
          <a:extLst>
            <a:ext uri="{FF2B5EF4-FFF2-40B4-BE49-F238E27FC236}">
              <a16:creationId xmlns:a16="http://schemas.microsoft.com/office/drawing/2014/main" id="{D7BDFB47-FD99-413E-B9BA-0D629F183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304800" cy="304800"/>
    <xdr:sp macro="" textlink="">
      <xdr:nvSpPr>
        <xdr:cNvPr id="1517" name="AutoShape 419">
          <a:extLst>
            <a:ext uri="{FF2B5EF4-FFF2-40B4-BE49-F238E27FC236}">
              <a16:creationId xmlns:a16="http://schemas.microsoft.com/office/drawing/2014/main" id="{CD1843A0-0813-427C-80B3-648414A6D67D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21</xdr:row>
      <xdr:rowOff>0</xdr:rowOff>
    </xdr:from>
    <xdr:ext cx="9525" cy="9525"/>
    <xdr:pic>
      <xdr:nvPicPr>
        <xdr:cNvPr id="1518" name="Picture 1517">
          <a:extLst>
            <a:ext uri="{FF2B5EF4-FFF2-40B4-BE49-F238E27FC236}">
              <a16:creationId xmlns:a16="http://schemas.microsoft.com/office/drawing/2014/main" id="{930A5396-48B3-446B-BE6E-05DF3584C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304800" cy="304800"/>
    <xdr:sp macro="" textlink="">
      <xdr:nvSpPr>
        <xdr:cNvPr id="1519" name="AutoShape 475">
          <a:extLst>
            <a:ext uri="{FF2B5EF4-FFF2-40B4-BE49-F238E27FC236}">
              <a16:creationId xmlns:a16="http://schemas.microsoft.com/office/drawing/2014/main" id="{4176C0B3-663F-429C-B9A3-7652BDBDBBE3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21</xdr:row>
      <xdr:rowOff>0</xdr:rowOff>
    </xdr:from>
    <xdr:ext cx="9525" cy="9525"/>
    <xdr:pic>
      <xdr:nvPicPr>
        <xdr:cNvPr id="1520" name="Picture 1519">
          <a:extLst>
            <a:ext uri="{FF2B5EF4-FFF2-40B4-BE49-F238E27FC236}">
              <a16:creationId xmlns:a16="http://schemas.microsoft.com/office/drawing/2014/main" id="{2AF9185A-29F4-435E-9866-E0C1B4164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9525" cy="9525"/>
    <xdr:pic>
      <xdr:nvPicPr>
        <xdr:cNvPr id="1521" name="Picture 1520">
          <a:extLst>
            <a:ext uri="{FF2B5EF4-FFF2-40B4-BE49-F238E27FC236}">
              <a16:creationId xmlns:a16="http://schemas.microsoft.com/office/drawing/2014/main" id="{71670EF2-C07E-4366-9954-2413EB28F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3440"/>
    <xdr:sp macro="" textlink="">
      <xdr:nvSpPr>
        <xdr:cNvPr id="1522" name="AutoShape 169">
          <a:extLst>
            <a:ext uri="{FF2B5EF4-FFF2-40B4-BE49-F238E27FC236}">
              <a16:creationId xmlns:a16="http://schemas.microsoft.com/office/drawing/2014/main" id="{788C274D-B3D6-4628-ACFF-932921C05AF3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16</xdr:row>
      <xdr:rowOff>0</xdr:rowOff>
    </xdr:from>
    <xdr:ext cx="304800" cy="303439"/>
    <xdr:sp macro="" textlink="">
      <xdr:nvSpPr>
        <xdr:cNvPr id="1523" name="AutoShape 171">
          <a:extLst>
            <a:ext uri="{FF2B5EF4-FFF2-40B4-BE49-F238E27FC236}">
              <a16:creationId xmlns:a16="http://schemas.microsoft.com/office/drawing/2014/main" id="{F00AA58A-C7F0-4B23-9081-07DEC4DFA4FC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16</xdr:row>
      <xdr:rowOff>0</xdr:rowOff>
    </xdr:from>
    <xdr:ext cx="9525" cy="9525"/>
    <xdr:pic>
      <xdr:nvPicPr>
        <xdr:cNvPr id="1524" name="Picture 1523">
          <a:extLst>
            <a:ext uri="{FF2B5EF4-FFF2-40B4-BE49-F238E27FC236}">
              <a16:creationId xmlns:a16="http://schemas.microsoft.com/office/drawing/2014/main" id="{F98A6FA1-6621-405F-BEE8-4ED67E4E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3440"/>
    <xdr:sp macro="" textlink="">
      <xdr:nvSpPr>
        <xdr:cNvPr id="1525" name="AutoShape 199">
          <a:extLst>
            <a:ext uri="{FF2B5EF4-FFF2-40B4-BE49-F238E27FC236}">
              <a16:creationId xmlns:a16="http://schemas.microsoft.com/office/drawing/2014/main" id="{BDB4CB5A-7A41-46CD-BEFF-291B96B393AA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16</xdr:row>
      <xdr:rowOff>0</xdr:rowOff>
    </xdr:from>
    <xdr:ext cx="9525" cy="9525"/>
    <xdr:pic>
      <xdr:nvPicPr>
        <xdr:cNvPr id="1526" name="Picture 1525">
          <a:extLst>
            <a:ext uri="{FF2B5EF4-FFF2-40B4-BE49-F238E27FC236}">
              <a16:creationId xmlns:a16="http://schemas.microsoft.com/office/drawing/2014/main" id="{4DABBD06-E58D-47E3-829E-EEE979B60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9525" cy="9525"/>
    <xdr:pic>
      <xdr:nvPicPr>
        <xdr:cNvPr id="1527" name="Picture 1526">
          <a:extLst>
            <a:ext uri="{FF2B5EF4-FFF2-40B4-BE49-F238E27FC236}">
              <a16:creationId xmlns:a16="http://schemas.microsoft.com/office/drawing/2014/main" id="{F668284D-C1CB-4298-99D7-3111D7486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3440"/>
    <xdr:sp macro="" textlink="">
      <xdr:nvSpPr>
        <xdr:cNvPr id="1528" name="AutoShape 249">
          <a:extLst>
            <a:ext uri="{FF2B5EF4-FFF2-40B4-BE49-F238E27FC236}">
              <a16:creationId xmlns:a16="http://schemas.microsoft.com/office/drawing/2014/main" id="{FB998C64-4DDA-48A3-854E-9E504BE87772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16</xdr:row>
      <xdr:rowOff>0</xdr:rowOff>
    </xdr:from>
    <xdr:ext cx="9525" cy="9525"/>
    <xdr:pic>
      <xdr:nvPicPr>
        <xdr:cNvPr id="1529" name="Picture 1528">
          <a:extLst>
            <a:ext uri="{FF2B5EF4-FFF2-40B4-BE49-F238E27FC236}">
              <a16:creationId xmlns:a16="http://schemas.microsoft.com/office/drawing/2014/main" id="{77E66457-C819-4770-9EF8-248FF64FA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3440"/>
    <xdr:sp macro="" textlink="">
      <xdr:nvSpPr>
        <xdr:cNvPr id="1530" name="AutoShape 275">
          <a:extLst>
            <a:ext uri="{FF2B5EF4-FFF2-40B4-BE49-F238E27FC236}">
              <a16:creationId xmlns:a16="http://schemas.microsoft.com/office/drawing/2014/main" id="{F878EA88-C704-45D9-97CA-5F684D7F20B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16</xdr:row>
      <xdr:rowOff>0</xdr:rowOff>
    </xdr:from>
    <xdr:ext cx="9525" cy="9525"/>
    <xdr:pic>
      <xdr:nvPicPr>
        <xdr:cNvPr id="1531" name="Picture 1530">
          <a:extLst>
            <a:ext uri="{FF2B5EF4-FFF2-40B4-BE49-F238E27FC236}">
              <a16:creationId xmlns:a16="http://schemas.microsoft.com/office/drawing/2014/main" id="{E14E6082-ABD8-4216-9EC5-A98B4F615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3440"/>
    <xdr:sp macro="" textlink="">
      <xdr:nvSpPr>
        <xdr:cNvPr id="1532" name="AutoShape 327">
          <a:extLst>
            <a:ext uri="{FF2B5EF4-FFF2-40B4-BE49-F238E27FC236}">
              <a16:creationId xmlns:a16="http://schemas.microsoft.com/office/drawing/2014/main" id="{BF6FC871-727C-47EF-BEDF-47B3EFA0A9A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16</xdr:row>
      <xdr:rowOff>0</xdr:rowOff>
    </xdr:from>
    <xdr:ext cx="9525" cy="9525"/>
    <xdr:pic>
      <xdr:nvPicPr>
        <xdr:cNvPr id="1533" name="Picture 1532">
          <a:extLst>
            <a:ext uri="{FF2B5EF4-FFF2-40B4-BE49-F238E27FC236}">
              <a16:creationId xmlns:a16="http://schemas.microsoft.com/office/drawing/2014/main" id="{19A82950-8539-4BCB-B5C5-F0209055F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3440"/>
    <xdr:sp macro="" textlink="">
      <xdr:nvSpPr>
        <xdr:cNvPr id="1534" name="AutoShape 379">
          <a:extLst>
            <a:ext uri="{FF2B5EF4-FFF2-40B4-BE49-F238E27FC236}">
              <a16:creationId xmlns:a16="http://schemas.microsoft.com/office/drawing/2014/main" id="{5179D844-B7D8-4EFC-8968-49093EA5CCB6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16</xdr:row>
      <xdr:rowOff>0</xdr:rowOff>
    </xdr:from>
    <xdr:ext cx="304800" cy="303439"/>
    <xdr:sp macro="" textlink="">
      <xdr:nvSpPr>
        <xdr:cNvPr id="1535" name="AutoShape 381">
          <a:extLst>
            <a:ext uri="{FF2B5EF4-FFF2-40B4-BE49-F238E27FC236}">
              <a16:creationId xmlns:a16="http://schemas.microsoft.com/office/drawing/2014/main" id="{4A095984-BEDF-4430-9A02-0BF00923A1A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16</xdr:row>
      <xdr:rowOff>0</xdr:rowOff>
    </xdr:from>
    <xdr:ext cx="9525" cy="9525"/>
    <xdr:pic>
      <xdr:nvPicPr>
        <xdr:cNvPr id="1536" name="Picture 1535">
          <a:extLst>
            <a:ext uri="{FF2B5EF4-FFF2-40B4-BE49-F238E27FC236}">
              <a16:creationId xmlns:a16="http://schemas.microsoft.com/office/drawing/2014/main" id="{C1C90CF9-3035-4C94-8D9E-C90A8701A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3440"/>
    <xdr:sp macro="" textlink="">
      <xdr:nvSpPr>
        <xdr:cNvPr id="1537" name="AutoShape 435">
          <a:extLst>
            <a:ext uri="{FF2B5EF4-FFF2-40B4-BE49-F238E27FC236}">
              <a16:creationId xmlns:a16="http://schemas.microsoft.com/office/drawing/2014/main" id="{4D21C43A-61C7-414A-B899-0E798D810C6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16</xdr:row>
      <xdr:rowOff>0</xdr:rowOff>
    </xdr:from>
    <xdr:ext cx="304800" cy="303439"/>
    <xdr:sp macro="" textlink="">
      <xdr:nvSpPr>
        <xdr:cNvPr id="1538" name="AutoShape 437">
          <a:extLst>
            <a:ext uri="{FF2B5EF4-FFF2-40B4-BE49-F238E27FC236}">
              <a16:creationId xmlns:a16="http://schemas.microsoft.com/office/drawing/2014/main" id="{3DD7D437-3DB3-4798-9BDB-F60FE8FFFD1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16</xdr:row>
      <xdr:rowOff>0</xdr:rowOff>
    </xdr:from>
    <xdr:ext cx="9525" cy="9525"/>
    <xdr:pic>
      <xdr:nvPicPr>
        <xdr:cNvPr id="1539" name="Picture 1538">
          <a:extLst>
            <a:ext uri="{FF2B5EF4-FFF2-40B4-BE49-F238E27FC236}">
              <a16:creationId xmlns:a16="http://schemas.microsoft.com/office/drawing/2014/main" id="{7FF47377-8B03-4A80-8F83-C197B8093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3440"/>
    <xdr:sp macro="" textlink="">
      <xdr:nvSpPr>
        <xdr:cNvPr id="1540" name="AutoShape 491">
          <a:extLst>
            <a:ext uri="{FF2B5EF4-FFF2-40B4-BE49-F238E27FC236}">
              <a16:creationId xmlns:a16="http://schemas.microsoft.com/office/drawing/2014/main" id="{75BFD3F2-BE09-4607-8118-D8E02220F896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16</xdr:row>
      <xdr:rowOff>0</xdr:rowOff>
    </xdr:from>
    <xdr:ext cx="304800" cy="303439"/>
    <xdr:sp macro="" textlink="">
      <xdr:nvSpPr>
        <xdr:cNvPr id="1541" name="AutoShape 493">
          <a:extLst>
            <a:ext uri="{FF2B5EF4-FFF2-40B4-BE49-F238E27FC236}">
              <a16:creationId xmlns:a16="http://schemas.microsoft.com/office/drawing/2014/main" id="{E2C51BF4-2615-49F1-9875-E208E1FF6429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16</xdr:row>
      <xdr:rowOff>0</xdr:rowOff>
    </xdr:from>
    <xdr:ext cx="9525" cy="9525"/>
    <xdr:pic>
      <xdr:nvPicPr>
        <xdr:cNvPr id="1542" name="Picture 1541">
          <a:extLst>
            <a:ext uri="{FF2B5EF4-FFF2-40B4-BE49-F238E27FC236}">
              <a16:creationId xmlns:a16="http://schemas.microsoft.com/office/drawing/2014/main" id="{C45A17D8-373D-46A9-B8B4-1CB7F6BC5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3440"/>
    <xdr:sp macro="" textlink="">
      <xdr:nvSpPr>
        <xdr:cNvPr id="1543" name="AutoShape 525">
          <a:extLst>
            <a:ext uri="{FF2B5EF4-FFF2-40B4-BE49-F238E27FC236}">
              <a16:creationId xmlns:a16="http://schemas.microsoft.com/office/drawing/2014/main" id="{358B4538-06D3-46C7-9B44-87A1B5C2D25A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16</xdr:row>
      <xdr:rowOff>0</xdr:rowOff>
    </xdr:from>
    <xdr:ext cx="304800" cy="303439"/>
    <xdr:sp macro="" textlink="">
      <xdr:nvSpPr>
        <xdr:cNvPr id="1544" name="AutoShape 527">
          <a:extLst>
            <a:ext uri="{FF2B5EF4-FFF2-40B4-BE49-F238E27FC236}">
              <a16:creationId xmlns:a16="http://schemas.microsoft.com/office/drawing/2014/main" id="{A5A054F1-461E-47A8-9A7C-FC652822954C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19</xdr:row>
      <xdr:rowOff>0</xdr:rowOff>
    </xdr:from>
    <xdr:ext cx="9525" cy="9525"/>
    <xdr:pic>
      <xdr:nvPicPr>
        <xdr:cNvPr id="1545" name="Picture 1544">
          <a:extLst>
            <a:ext uri="{FF2B5EF4-FFF2-40B4-BE49-F238E27FC236}">
              <a16:creationId xmlns:a16="http://schemas.microsoft.com/office/drawing/2014/main" id="{76324B15-23B1-4C8D-A70D-92DDA6664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304800" cy="303440"/>
    <xdr:sp macro="" textlink="">
      <xdr:nvSpPr>
        <xdr:cNvPr id="1546" name="AutoShape 173">
          <a:extLst>
            <a:ext uri="{FF2B5EF4-FFF2-40B4-BE49-F238E27FC236}">
              <a16:creationId xmlns:a16="http://schemas.microsoft.com/office/drawing/2014/main" id="{B5B4E4A7-0593-42F4-BD85-9518001812EC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653643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20</xdr:row>
      <xdr:rowOff>0</xdr:rowOff>
    </xdr:from>
    <xdr:ext cx="9525" cy="9525"/>
    <xdr:pic>
      <xdr:nvPicPr>
        <xdr:cNvPr id="1547" name="Picture 1546">
          <a:extLst>
            <a:ext uri="{FF2B5EF4-FFF2-40B4-BE49-F238E27FC236}">
              <a16:creationId xmlns:a16="http://schemas.microsoft.com/office/drawing/2014/main" id="{B2025349-1AF0-41B3-853D-F92828EBC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9525" cy="9525"/>
    <xdr:pic>
      <xdr:nvPicPr>
        <xdr:cNvPr id="1548" name="Picture 1547">
          <a:extLst>
            <a:ext uri="{FF2B5EF4-FFF2-40B4-BE49-F238E27FC236}">
              <a16:creationId xmlns:a16="http://schemas.microsoft.com/office/drawing/2014/main" id="{2A792326-A073-452A-9A66-F7EC15CC5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9525" cy="9525"/>
    <xdr:pic>
      <xdr:nvPicPr>
        <xdr:cNvPr id="1549" name="Picture 1548">
          <a:extLst>
            <a:ext uri="{FF2B5EF4-FFF2-40B4-BE49-F238E27FC236}">
              <a16:creationId xmlns:a16="http://schemas.microsoft.com/office/drawing/2014/main" id="{A2ADA0B8-33F9-411D-8FB6-66BCE3F58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9525" cy="9525"/>
    <xdr:pic>
      <xdr:nvPicPr>
        <xdr:cNvPr id="1550" name="Picture 1549">
          <a:extLst>
            <a:ext uri="{FF2B5EF4-FFF2-40B4-BE49-F238E27FC236}">
              <a16:creationId xmlns:a16="http://schemas.microsoft.com/office/drawing/2014/main" id="{A156B08B-E75C-4BA1-9FC5-DFA8495C6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9525" cy="9525"/>
    <xdr:pic>
      <xdr:nvPicPr>
        <xdr:cNvPr id="1551" name="Picture 1550">
          <a:extLst>
            <a:ext uri="{FF2B5EF4-FFF2-40B4-BE49-F238E27FC236}">
              <a16:creationId xmlns:a16="http://schemas.microsoft.com/office/drawing/2014/main" id="{BA0D09E3-7783-4E47-884F-C67D5ABDA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9525" cy="9525"/>
    <xdr:pic>
      <xdr:nvPicPr>
        <xdr:cNvPr id="1552" name="Picture 1551">
          <a:extLst>
            <a:ext uri="{FF2B5EF4-FFF2-40B4-BE49-F238E27FC236}">
              <a16:creationId xmlns:a16="http://schemas.microsoft.com/office/drawing/2014/main" id="{6994BBBC-20C4-407F-A6C6-641682D45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20</xdr:row>
      <xdr:rowOff>0</xdr:rowOff>
    </xdr:from>
    <xdr:ext cx="9525" cy="9525"/>
    <xdr:pic>
      <xdr:nvPicPr>
        <xdr:cNvPr id="1553" name="Picture 1552">
          <a:extLst>
            <a:ext uri="{FF2B5EF4-FFF2-40B4-BE49-F238E27FC236}">
              <a16:creationId xmlns:a16="http://schemas.microsoft.com/office/drawing/2014/main" id="{9939286B-D832-41C4-98A4-1E8D2A272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9525" cy="9525"/>
    <xdr:pic>
      <xdr:nvPicPr>
        <xdr:cNvPr id="1554" name="Picture 1553">
          <a:extLst>
            <a:ext uri="{FF2B5EF4-FFF2-40B4-BE49-F238E27FC236}">
              <a16:creationId xmlns:a16="http://schemas.microsoft.com/office/drawing/2014/main" id="{147C2467-4FCF-417B-8326-5C5B96F15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20</xdr:row>
      <xdr:rowOff>0</xdr:rowOff>
    </xdr:from>
    <xdr:ext cx="9525" cy="9525"/>
    <xdr:pic>
      <xdr:nvPicPr>
        <xdr:cNvPr id="1555" name="Picture 1554">
          <a:extLst>
            <a:ext uri="{FF2B5EF4-FFF2-40B4-BE49-F238E27FC236}">
              <a16:creationId xmlns:a16="http://schemas.microsoft.com/office/drawing/2014/main" id="{C2817EB7-00B2-4121-9C3D-B270FFBA1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9525" cy="9525"/>
    <xdr:pic>
      <xdr:nvPicPr>
        <xdr:cNvPr id="1556" name="Picture 1555">
          <a:extLst>
            <a:ext uri="{FF2B5EF4-FFF2-40B4-BE49-F238E27FC236}">
              <a16:creationId xmlns:a16="http://schemas.microsoft.com/office/drawing/2014/main" id="{845423E7-BFCD-463D-83D4-EDFC75B62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20</xdr:row>
      <xdr:rowOff>0</xdr:rowOff>
    </xdr:from>
    <xdr:ext cx="9525" cy="9525"/>
    <xdr:pic>
      <xdr:nvPicPr>
        <xdr:cNvPr id="1557" name="Picture 1556">
          <a:extLst>
            <a:ext uri="{FF2B5EF4-FFF2-40B4-BE49-F238E27FC236}">
              <a16:creationId xmlns:a16="http://schemas.microsoft.com/office/drawing/2014/main" id="{6A1F5F7F-15A9-4B01-B86E-33909AE5B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9525" cy="9525"/>
    <xdr:pic>
      <xdr:nvPicPr>
        <xdr:cNvPr id="1558" name="Picture 1557">
          <a:extLst>
            <a:ext uri="{FF2B5EF4-FFF2-40B4-BE49-F238E27FC236}">
              <a16:creationId xmlns:a16="http://schemas.microsoft.com/office/drawing/2014/main" id="{CD02372E-9356-4D0F-B899-CB0F7BA6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304800" cy="303439"/>
    <xdr:sp macro="" textlink="">
      <xdr:nvSpPr>
        <xdr:cNvPr id="1559" name="AutoShape 529">
          <a:extLst>
            <a:ext uri="{FF2B5EF4-FFF2-40B4-BE49-F238E27FC236}">
              <a16:creationId xmlns:a16="http://schemas.microsoft.com/office/drawing/2014/main" id="{9695B67C-6FBF-4B24-BDCF-B2BB0EF80CBC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6536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20</xdr:row>
      <xdr:rowOff>0</xdr:rowOff>
    </xdr:from>
    <xdr:ext cx="9525" cy="9525"/>
    <xdr:pic>
      <xdr:nvPicPr>
        <xdr:cNvPr id="1560" name="Picture 1559">
          <a:extLst>
            <a:ext uri="{FF2B5EF4-FFF2-40B4-BE49-F238E27FC236}">
              <a16:creationId xmlns:a16="http://schemas.microsoft.com/office/drawing/2014/main" id="{8807743E-504E-42D8-BF41-E03BB6DFD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304800" cy="303439"/>
    <xdr:sp macro="" textlink="">
      <xdr:nvSpPr>
        <xdr:cNvPr id="1561" name="AutoShape 531">
          <a:extLst>
            <a:ext uri="{FF2B5EF4-FFF2-40B4-BE49-F238E27FC236}">
              <a16:creationId xmlns:a16="http://schemas.microsoft.com/office/drawing/2014/main" id="{A8EB712D-01BF-46FB-90F8-D163055BEA03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8441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9525" cy="9525"/>
    <xdr:pic>
      <xdr:nvPicPr>
        <xdr:cNvPr id="1562" name="Picture 1561">
          <a:extLst>
            <a:ext uri="{FF2B5EF4-FFF2-40B4-BE49-F238E27FC236}">
              <a16:creationId xmlns:a16="http://schemas.microsoft.com/office/drawing/2014/main" id="{40686A2C-ED26-41B7-9B5D-BA455B06E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</xdr:row>
      <xdr:rowOff>0</xdr:rowOff>
    </xdr:from>
    <xdr:ext cx="304800" cy="303439"/>
    <xdr:sp macro="" textlink="">
      <xdr:nvSpPr>
        <xdr:cNvPr id="1563" name="AutoShape 165">
          <a:extLst>
            <a:ext uri="{FF2B5EF4-FFF2-40B4-BE49-F238E27FC236}">
              <a16:creationId xmlns:a16="http://schemas.microsoft.com/office/drawing/2014/main" id="{CC4F022E-A9DA-495F-9E6A-6C1981C207E5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9525" cy="9525"/>
    <xdr:pic>
      <xdr:nvPicPr>
        <xdr:cNvPr id="1564" name="Picture 1563">
          <a:extLst>
            <a:ext uri="{FF2B5EF4-FFF2-40B4-BE49-F238E27FC236}">
              <a16:creationId xmlns:a16="http://schemas.microsoft.com/office/drawing/2014/main" id="{1CBC3FAF-E7DC-4A25-9BB1-1860E7A47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304800" cy="304800"/>
    <xdr:sp macro="" textlink="">
      <xdr:nvSpPr>
        <xdr:cNvPr id="1565" name="AutoShape 193">
          <a:extLst>
            <a:ext uri="{FF2B5EF4-FFF2-40B4-BE49-F238E27FC236}">
              <a16:creationId xmlns:a16="http://schemas.microsoft.com/office/drawing/2014/main" id="{D716B87A-0588-46E0-B029-D5B94D636FB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304800" cy="303439"/>
    <xdr:sp macro="" textlink="">
      <xdr:nvSpPr>
        <xdr:cNvPr id="1566" name="AutoShape 195">
          <a:extLst>
            <a:ext uri="{FF2B5EF4-FFF2-40B4-BE49-F238E27FC236}">
              <a16:creationId xmlns:a16="http://schemas.microsoft.com/office/drawing/2014/main" id="{3C340BEA-0B67-40D2-99F3-DDEBFDD5ED65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9525" cy="9525"/>
    <xdr:pic>
      <xdr:nvPicPr>
        <xdr:cNvPr id="1567" name="Picture 1566">
          <a:extLst>
            <a:ext uri="{FF2B5EF4-FFF2-40B4-BE49-F238E27FC236}">
              <a16:creationId xmlns:a16="http://schemas.microsoft.com/office/drawing/2014/main" id="{30531729-8EF7-4829-AAD0-FCCE8F9EA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304800" cy="304800"/>
    <xdr:sp macro="" textlink="">
      <xdr:nvSpPr>
        <xdr:cNvPr id="1568" name="AutoShape 219">
          <a:extLst>
            <a:ext uri="{FF2B5EF4-FFF2-40B4-BE49-F238E27FC236}">
              <a16:creationId xmlns:a16="http://schemas.microsoft.com/office/drawing/2014/main" id="{A34A7B6F-5ECE-4F6B-90E6-2C6529267F4E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304800" cy="303439"/>
    <xdr:sp macro="" textlink="">
      <xdr:nvSpPr>
        <xdr:cNvPr id="1569" name="AutoShape 221">
          <a:extLst>
            <a:ext uri="{FF2B5EF4-FFF2-40B4-BE49-F238E27FC236}">
              <a16:creationId xmlns:a16="http://schemas.microsoft.com/office/drawing/2014/main" id="{1773026D-F4EF-4FED-870B-9EBC77C71C4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9525" cy="9525"/>
    <xdr:pic>
      <xdr:nvPicPr>
        <xdr:cNvPr id="1570" name="Picture 1569">
          <a:extLst>
            <a:ext uri="{FF2B5EF4-FFF2-40B4-BE49-F238E27FC236}">
              <a16:creationId xmlns:a16="http://schemas.microsoft.com/office/drawing/2014/main" id="{60F174A5-5F9E-417F-A479-FF7151E9D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304800" cy="304800"/>
    <xdr:sp macro="" textlink="">
      <xdr:nvSpPr>
        <xdr:cNvPr id="1571" name="AutoShape 243">
          <a:extLst>
            <a:ext uri="{FF2B5EF4-FFF2-40B4-BE49-F238E27FC236}">
              <a16:creationId xmlns:a16="http://schemas.microsoft.com/office/drawing/2014/main" id="{47D34173-1BB4-4560-8493-60F274EA5B2E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304800" cy="303439"/>
    <xdr:sp macro="" textlink="">
      <xdr:nvSpPr>
        <xdr:cNvPr id="1572" name="AutoShape 245">
          <a:extLst>
            <a:ext uri="{FF2B5EF4-FFF2-40B4-BE49-F238E27FC236}">
              <a16:creationId xmlns:a16="http://schemas.microsoft.com/office/drawing/2014/main" id="{7EE3EF2E-84D3-46BB-B52C-152447C0C019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9525" cy="9525"/>
    <xdr:pic>
      <xdr:nvPicPr>
        <xdr:cNvPr id="1573" name="Picture 1572">
          <a:extLst>
            <a:ext uri="{FF2B5EF4-FFF2-40B4-BE49-F238E27FC236}">
              <a16:creationId xmlns:a16="http://schemas.microsoft.com/office/drawing/2014/main" id="{0ECCF0FC-F8F0-4755-BD3C-6DFDF6BBA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304800" cy="304800"/>
    <xdr:sp macro="" textlink="">
      <xdr:nvSpPr>
        <xdr:cNvPr id="1574" name="AutoShape 269">
          <a:extLst>
            <a:ext uri="{FF2B5EF4-FFF2-40B4-BE49-F238E27FC236}">
              <a16:creationId xmlns:a16="http://schemas.microsoft.com/office/drawing/2014/main" id="{CE6691F4-C42E-4A4F-AB32-7055B01BF192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304800" cy="303439"/>
    <xdr:sp macro="" textlink="">
      <xdr:nvSpPr>
        <xdr:cNvPr id="1575" name="AutoShape 271">
          <a:extLst>
            <a:ext uri="{FF2B5EF4-FFF2-40B4-BE49-F238E27FC236}">
              <a16:creationId xmlns:a16="http://schemas.microsoft.com/office/drawing/2014/main" id="{3C69D574-8FEC-4F9A-9943-CED73CB1A4B8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9525" cy="9525"/>
    <xdr:pic>
      <xdr:nvPicPr>
        <xdr:cNvPr id="1576" name="Picture 1575">
          <a:extLst>
            <a:ext uri="{FF2B5EF4-FFF2-40B4-BE49-F238E27FC236}">
              <a16:creationId xmlns:a16="http://schemas.microsoft.com/office/drawing/2014/main" id="{80505E81-35E3-4B2C-8458-9816942F2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304800" cy="304800"/>
    <xdr:sp macro="" textlink="">
      <xdr:nvSpPr>
        <xdr:cNvPr id="1577" name="AutoShape 321">
          <a:extLst>
            <a:ext uri="{FF2B5EF4-FFF2-40B4-BE49-F238E27FC236}">
              <a16:creationId xmlns:a16="http://schemas.microsoft.com/office/drawing/2014/main" id="{3CDCD3C4-07E8-44D6-AF66-ADABEDFC81A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304800" cy="303439"/>
    <xdr:sp macro="" textlink="">
      <xdr:nvSpPr>
        <xdr:cNvPr id="1578" name="AutoShape 323">
          <a:extLst>
            <a:ext uri="{FF2B5EF4-FFF2-40B4-BE49-F238E27FC236}">
              <a16:creationId xmlns:a16="http://schemas.microsoft.com/office/drawing/2014/main" id="{4D17844F-2FBE-4C85-89D2-ED82141A9554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9525" cy="9525"/>
    <xdr:pic>
      <xdr:nvPicPr>
        <xdr:cNvPr id="1579" name="Picture 1578">
          <a:extLst>
            <a:ext uri="{FF2B5EF4-FFF2-40B4-BE49-F238E27FC236}">
              <a16:creationId xmlns:a16="http://schemas.microsoft.com/office/drawing/2014/main" id="{7D7DE7E9-8FA3-412B-8C42-39E1777FC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304800" cy="304800"/>
    <xdr:sp macro="" textlink="">
      <xdr:nvSpPr>
        <xdr:cNvPr id="1580" name="AutoShape 373">
          <a:extLst>
            <a:ext uri="{FF2B5EF4-FFF2-40B4-BE49-F238E27FC236}">
              <a16:creationId xmlns:a16="http://schemas.microsoft.com/office/drawing/2014/main" id="{196095F5-099C-4CC4-8108-8BA9E6E6EFDE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304800" cy="303439"/>
    <xdr:sp macro="" textlink="">
      <xdr:nvSpPr>
        <xdr:cNvPr id="1581" name="AutoShape 375">
          <a:extLst>
            <a:ext uri="{FF2B5EF4-FFF2-40B4-BE49-F238E27FC236}">
              <a16:creationId xmlns:a16="http://schemas.microsoft.com/office/drawing/2014/main" id="{5FFFA07A-703D-4DDA-BE73-844B3174F292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9525" cy="9525"/>
    <xdr:pic>
      <xdr:nvPicPr>
        <xdr:cNvPr id="1582" name="Picture 1581">
          <a:extLst>
            <a:ext uri="{FF2B5EF4-FFF2-40B4-BE49-F238E27FC236}">
              <a16:creationId xmlns:a16="http://schemas.microsoft.com/office/drawing/2014/main" id="{28297784-C719-4B81-A21C-57C8B92DD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304800" cy="304800"/>
    <xdr:sp macro="" textlink="">
      <xdr:nvSpPr>
        <xdr:cNvPr id="1583" name="AutoShape 429">
          <a:extLst>
            <a:ext uri="{FF2B5EF4-FFF2-40B4-BE49-F238E27FC236}">
              <a16:creationId xmlns:a16="http://schemas.microsoft.com/office/drawing/2014/main" id="{76286209-985B-436C-B48A-77B394EDA3FC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304800" cy="303439"/>
    <xdr:sp macro="" textlink="">
      <xdr:nvSpPr>
        <xdr:cNvPr id="1584" name="AutoShape 431">
          <a:extLst>
            <a:ext uri="{FF2B5EF4-FFF2-40B4-BE49-F238E27FC236}">
              <a16:creationId xmlns:a16="http://schemas.microsoft.com/office/drawing/2014/main" id="{4AD86274-64E1-40E7-9A0C-786A62D4794C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9525" cy="9525"/>
    <xdr:pic>
      <xdr:nvPicPr>
        <xdr:cNvPr id="1585" name="Picture 1584">
          <a:extLst>
            <a:ext uri="{FF2B5EF4-FFF2-40B4-BE49-F238E27FC236}">
              <a16:creationId xmlns:a16="http://schemas.microsoft.com/office/drawing/2014/main" id="{C21243F4-7CE1-445F-AC08-F54E6A0A7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304800" cy="304800"/>
    <xdr:sp macro="" textlink="">
      <xdr:nvSpPr>
        <xdr:cNvPr id="1586" name="AutoShape 485">
          <a:extLst>
            <a:ext uri="{FF2B5EF4-FFF2-40B4-BE49-F238E27FC236}">
              <a16:creationId xmlns:a16="http://schemas.microsoft.com/office/drawing/2014/main" id="{F58CEB29-C246-4B86-A6F4-C524854B3C2E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304800" cy="303439"/>
    <xdr:sp macro="" textlink="">
      <xdr:nvSpPr>
        <xdr:cNvPr id="1587" name="AutoShape 487">
          <a:extLst>
            <a:ext uri="{FF2B5EF4-FFF2-40B4-BE49-F238E27FC236}">
              <a16:creationId xmlns:a16="http://schemas.microsoft.com/office/drawing/2014/main" id="{95F17339-22C4-4346-A1E7-95913D9EFF6D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9525" cy="9525"/>
    <xdr:pic>
      <xdr:nvPicPr>
        <xdr:cNvPr id="1588" name="Picture 1587">
          <a:extLst>
            <a:ext uri="{FF2B5EF4-FFF2-40B4-BE49-F238E27FC236}">
              <a16:creationId xmlns:a16="http://schemas.microsoft.com/office/drawing/2014/main" id="{A11C8C4F-1F0B-4ADF-BBAA-EF0DB4903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304800" cy="304800"/>
    <xdr:sp macro="" textlink="">
      <xdr:nvSpPr>
        <xdr:cNvPr id="1589" name="AutoShape 519">
          <a:extLst>
            <a:ext uri="{FF2B5EF4-FFF2-40B4-BE49-F238E27FC236}">
              <a16:creationId xmlns:a16="http://schemas.microsoft.com/office/drawing/2014/main" id="{68361512-B8DA-4683-A43F-FF18F6A29B4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304800" cy="303439"/>
    <xdr:sp macro="" textlink="">
      <xdr:nvSpPr>
        <xdr:cNvPr id="1590" name="AutoShape 521">
          <a:extLst>
            <a:ext uri="{FF2B5EF4-FFF2-40B4-BE49-F238E27FC236}">
              <a16:creationId xmlns:a16="http://schemas.microsoft.com/office/drawing/2014/main" id="{C4542CA1-CAD2-461F-B438-36307FF2DFBE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18</xdr:row>
      <xdr:rowOff>0</xdr:rowOff>
    </xdr:from>
    <xdr:ext cx="9525" cy="9525"/>
    <xdr:pic>
      <xdr:nvPicPr>
        <xdr:cNvPr id="1591" name="Picture 1590">
          <a:extLst>
            <a:ext uri="{FF2B5EF4-FFF2-40B4-BE49-F238E27FC236}">
              <a16:creationId xmlns:a16="http://schemas.microsoft.com/office/drawing/2014/main" id="{3266646C-32F4-4821-896B-DDE2BF01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304800" cy="304800"/>
    <xdr:sp macro="" textlink="">
      <xdr:nvSpPr>
        <xdr:cNvPr id="1592" name="AutoShape 159">
          <a:extLst>
            <a:ext uri="{FF2B5EF4-FFF2-40B4-BE49-F238E27FC236}">
              <a16:creationId xmlns:a16="http://schemas.microsoft.com/office/drawing/2014/main" id="{982A5A89-C048-47AB-9F47-B36AA093B488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18</xdr:row>
      <xdr:rowOff>0</xdr:rowOff>
    </xdr:from>
    <xdr:ext cx="9525" cy="9525"/>
    <xdr:pic>
      <xdr:nvPicPr>
        <xdr:cNvPr id="1593" name="Picture 1592">
          <a:extLst>
            <a:ext uri="{FF2B5EF4-FFF2-40B4-BE49-F238E27FC236}">
              <a16:creationId xmlns:a16="http://schemas.microsoft.com/office/drawing/2014/main" id="{ED9863BA-29FC-40CB-9625-B5FB03D1F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9525" cy="9525"/>
    <xdr:pic>
      <xdr:nvPicPr>
        <xdr:cNvPr id="1594" name="Picture 1593">
          <a:extLst>
            <a:ext uri="{FF2B5EF4-FFF2-40B4-BE49-F238E27FC236}">
              <a16:creationId xmlns:a16="http://schemas.microsoft.com/office/drawing/2014/main" id="{DCC34898-64D2-4E8D-A491-9D371625F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9525" cy="9525"/>
    <xdr:pic>
      <xdr:nvPicPr>
        <xdr:cNvPr id="1595" name="Picture 1594">
          <a:extLst>
            <a:ext uri="{FF2B5EF4-FFF2-40B4-BE49-F238E27FC236}">
              <a16:creationId xmlns:a16="http://schemas.microsoft.com/office/drawing/2014/main" id="{EC19A008-EE7C-4C30-8682-0B2D2FDF6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9525" cy="9525"/>
    <xdr:pic>
      <xdr:nvPicPr>
        <xdr:cNvPr id="1596" name="Picture 1595">
          <a:extLst>
            <a:ext uri="{FF2B5EF4-FFF2-40B4-BE49-F238E27FC236}">
              <a16:creationId xmlns:a16="http://schemas.microsoft.com/office/drawing/2014/main" id="{6F1765DA-7702-4966-86A0-BB527ED63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9525" cy="9525"/>
    <xdr:pic>
      <xdr:nvPicPr>
        <xdr:cNvPr id="1597" name="Picture 1596">
          <a:extLst>
            <a:ext uri="{FF2B5EF4-FFF2-40B4-BE49-F238E27FC236}">
              <a16:creationId xmlns:a16="http://schemas.microsoft.com/office/drawing/2014/main" id="{FFC45F2F-FDEA-41F5-A741-16278AADA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9525" cy="9525"/>
    <xdr:pic>
      <xdr:nvPicPr>
        <xdr:cNvPr id="1598" name="Picture 1597">
          <a:extLst>
            <a:ext uri="{FF2B5EF4-FFF2-40B4-BE49-F238E27FC236}">
              <a16:creationId xmlns:a16="http://schemas.microsoft.com/office/drawing/2014/main" id="{61C5B023-F651-471D-ABF9-4696B977B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9525" cy="9525"/>
    <xdr:pic>
      <xdr:nvPicPr>
        <xdr:cNvPr id="1599" name="Picture 1598">
          <a:extLst>
            <a:ext uri="{FF2B5EF4-FFF2-40B4-BE49-F238E27FC236}">
              <a16:creationId xmlns:a16="http://schemas.microsoft.com/office/drawing/2014/main" id="{D83788EE-8CF1-467E-AFCC-1A1889C14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9525" cy="9525"/>
    <xdr:pic>
      <xdr:nvPicPr>
        <xdr:cNvPr id="1600" name="Picture 1599">
          <a:extLst>
            <a:ext uri="{FF2B5EF4-FFF2-40B4-BE49-F238E27FC236}">
              <a16:creationId xmlns:a16="http://schemas.microsoft.com/office/drawing/2014/main" id="{B4ECD718-B9D9-4761-B221-3089D2074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9525" cy="9525"/>
    <xdr:pic>
      <xdr:nvPicPr>
        <xdr:cNvPr id="1601" name="Picture 1600">
          <a:extLst>
            <a:ext uri="{FF2B5EF4-FFF2-40B4-BE49-F238E27FC236}">
              <a16:creationId xmlns:a16="http://schemas.microsoft.com/office/drawing/2014/main" id="{0F648EE7-7298-4042-97B3-65931B5C5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</xdr:row>
      <xdr:rowOff>0</xdr:rowOff>
    </xdr:from>
    <xdr:ext cx="304800" cy="304800"/>
    <xdr:sp macro="" textlink="">
      <xdr:nvSpPr>
        <xdr:cNvPr id="1602" name="AutoShape 509">
          <a:extLst>
            <a:ext uri="{FF2B5EF4-FFF2-40B4-BE49-F238E27FC236}">
              <a16:creationId xmlns:a16="http://schemas.microsoft.com/office/drawing/2014/main" id="{A36842E8-E764-4666-8FF8-D983CC5C0A29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4359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18</xdr:row>
      <xdr:rowOff>0</xdr:rowOff>
    </xdr:from>
    <xdr:ext cx="304800" cy="304800"/>
    <xdr:sp macro="" textlink="">
      <xdr:nvSpPr>
        <xdr:cNvPr id="1603" name="AutoShape 511">
          <a:extLst>
            <a:ext uri="{FF2B5EF4-FFF2-40B4-BE49-F238E27FC236}">
              <a16:creationId xmlns:a16="http://schemas.microsoft.com/office/drawing/2014/main" id="{7370EE2F-68B4-425B-8CE6-3253DB9C3415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9</xdr:row>
      <xdr:rowOff>0</xdr:rowOff>
    </xdr:from>
    <xdr:ext cx="9525" cy="9525"/>
    <xdr:pic>
      <xdr:nvPicPr>
        <xdr:cNvPr id="1604" name="Picture 1603">
          <a:extLst>
            <a:ext uri="{FF2B5EF4-FFF2-40B4-BE49-F238E27FC236}">
              <a16:creationId xmlns:a16="http://schemas.microsoft.com/office/drawing/2014/main" id="{FBF1C576-9D39-48AD-A09E-B1F87417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304800" cy="304800"/>
    <xdr:sp macro="" textlink="">
      <xdr:nvSpPr>
        <xdr:cNvPr id="1605" name="AutoShape 159">
          <a:extLst>
            <a:ext uri="{FF2B5EF4-FFF2-40B4-BE49-F238E27FC236}">
              <a16:creationId xmlns:a16="http://schemas.microsoft.com/office/drawing/2014/main" id="{3A355143-847C-4DE1-B865-D0A20A63632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9</xdr:row>
      <xdr:rowOff>0</xdr:rowOff>
    </xdr:from>
    <xdr:ext cx="9525" cy="9525"/>
    <xdr:pic>
      <xdr:nvPicPr>
        <xdr:cNvPr id="1606" name="Picture 1605">
          <a:extLst>
            <a:ext uri="{FF2B5EF4-FFF2-40B4-BE49-F238E27FC236}">
              <a16:creationId xmlns:a16="http://schemas.microsoft.com/office/drawing/2014/main" id="{7C5F959E-83CE-4AA1-A509-B4320E642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9525" cy="9525"/>
    <xdr:pic>
      <xdr:nvPicPr>
        <xdr:cNvPr id="1607" name="Picture 1606">
          <a:extLst>
            <a:ext uri="{FF2B5EF4-FFF2-40B4-BE49-F238E27FC236}">
              <a16:creationId xmlns:a16="http://schemas.microsoft.com/office/drawing/2014/main" id="{7933D06B-7447-4F6A-818E-1711C4E2D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9525" cy="9525"/>
    <xdr:pic>
      <xdr:nvPicPr>
        <xdr:cNvPr id="1608" name="Picture 1607">
          <a:extLst>
            <a:ext uri="{FF2B5EF4-FFF2-40B4-BE49-F238E27FC236}">
              <a16:creationId xmlns:a16="http://schemas.microsoft.com/office/drawing/2014/main" id="{0EA11498-B361-407F-A1A5-8169839BD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9525" cy="9525"/>
    <xdr:pic>
      <xdr:nvPicPr>
        <xdr:cNvPr id="1609" name="Picture 1608">
          <a:extLst>
            <a:ext uri="{FF2B5EF4-FFF2-40B4-BE49-F238E27FC236}">
              <a16:creationId xmlns:a16="http://schemas.microsoft.com/office/drawing/2014/main" id="{223D6DAD-5800-486F-9AB6-0C5DFDED9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9525" cy="9525"/>
    <xdr:pic>
      <xdr:nvPicPr>
        <xdr:cNvPr id="1610" name="Picture 1609">
          <a:extLst>
            <a:ext uri="{FF2B5EF4-FFF2-40B4-BE49-F238E27FC236}">
              <a16:creationId xmlns:a16="http://schemas.microsoft.com/office/drawing/2014/main" id="{307C4A49-E14F-4BE0-A7AF-68B0D35E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9525" cy="9525"/>
    <xdr:pic>
      <xdr:nvPicPr>
        <xdr:cNvPr id="1611" name="Picture 1610">
          <a:extLst>
            <a:ext uri="{FF2B5EF4-FFF2-40B4-BE49-F238E27FC236}">
              <a16:creationId xmlns:a16="http://schemas.microsoft.com/office/drawing/2014/main" id="{F9A9DCC4-B334-4607-9D9B-8DF457BF3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9525" cy="9525"/>
    <xdr:pic>
      <xdr:nvPicPr>
        <xdr:cNvPr id="1612" name="Picture 1611">
          <a:extLst>
            <a:ext uri="{FF2B5EF4-FFF2-40B4-BE49-F238E27FC236}">
              <a16:creationId xmlns:a16="http://schemas.microsoft.com/office/drawing/2014/main" id="{E1E4B1F1-2DE8-438F-95CD-F3814EAEA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9525" cy="9525"/>
    <xdr:pic>
      <xdr:nvPicPr>
        <xdr:cNvPr id="1613" name="Picture 1612">
          <a:extLst>
            <a:ext uri="{FF2B5EF4-FFF2-40B4-BE49-F238E27FC236}">
              <a16:creationId xmlns:a16="http://schemas.microsoft.com/office/drawing/2014/main" id="{2C08198D-A914-4D01-BB9D-EBA0E9B50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9525" cy="9525"/>
    <xdr:pic>
      <xdr:nvPicPr>
        <xdr:cNvPr id="1614" name="Picture 1613">
          <a:extLst>
            <a:ext uri="{FF2B5EF4-FFF2-40B4-BE49-F238E27FC236}">
              <a16:creationId xmlns:a16="http://schemas.microsoft.com/office/drawing/2014/main" id="{DB1A8B17-C223-4F83-B371-D471AF0E6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304800" cy="303439"/>
    <xdr:sp macro="" textlink="">
      <xdr:nvSpPr>
        <xdr:cNvPr id="1615" name="AutoShape 513">
          <a:extLst>
            <a:ext uri="{FF2B5EF4-FFF2-40B4-BE49-F238E27FC236}">
              <a16:creationId xmlns:a16="http://schemas.microsoft.com/office/drawing/2014/main" id="{3D2327AD-990F-4B55-8F34-3076133977ED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54453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9525" cy="9525"/>
    <xdr:pic>
      <xdr:nvPicPr>
        <xdr:cNvPr id="1616" name="Picture 1615">
          <a:extLst>
            <a:ext uri="{FF2B5EF4-FFF2-40B4-BE49-F238E27FC236}">
              <a16:creationId xmlns:a16="http://schemas.microsoft.com/office/drawing/2014/main" id="{F14E7C43-128C-47C8-BAD9-D240DA667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</xdr:row>
      <xdr:rowOff>0</xdr:rowOff>
    </xdr:from>
    <xdr:ext cx="9525" cy="9525"/>
    <xdr:pic>
      <xdr:nvPicPr>
        <xdr:cNvPr id="1617" name="Picture 1616">
          <a:extLst>
            <a:ext uri="{FF2B5EF4-FFF2-40B4-BE49-F238E27FC236}">
              <a16:creationId xmlns:a16="http://schemas.microsoft.com/office/drawing/2014/main" id="{B311963A-81D9-4741-8F41-C9266FD1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304800" cy="304800"/>
    <xdr:sp macro="" textlink="">
      <xdr:nvSpPr>
        <xdr:cNvPr id="1618" name="AutoShape 191">
          <a:extLst>
            <a:ext uri="{FF2B5EF4-FFF2-40B4-BE49-F238E27FC236}">
              <a16:creationId xmlns:a16="http://schemas.microsoft.com/office/drawing/2014/main" id="{BE275AFB-07AC-4B23-8218-788926274F25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304800" cy="304800"/>
    <xdr:sp macro="" textlink="">
      <xdr:nvSpPr>
        <xdr:cNvPr id="1619" name="AutoShape 193">
          <a:extLst>
            <a:ext uri="{FF2B5EF4-FFF2-40B4-BE49-F238E27FC236}">
              <a16:creationId xmlns:a16="http://schemas.microsoft.com/office/drawing/2014/main" id="{6BDB0362-EACA-423C-BCBA-5E65D3BB4CF5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9525" cy="9525"/>
    <xdr:pic>
      <xdr:nvPicPr>
        <xdr:cNvPr id="1620" name="Picture 1619">
          <a:extLst>
            <a:ext uri="{FF2B5EF4-FFF2-40B4-BE49-F238E27FC236}">
              <a16:creationId xmlns:a16="http://schemas.microsoft.com/office/drawing/2014/main" id="{9EE4F319-B5B6-463C-88F6-123390B40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304800" cy="304800"/>
    <xdr:sp macro="" textlink="">
      <xdr:nvSpPr>
        <xdr:cNvPr id="1621" name="AutoShape 217">
          <a:extLst>
            <a:ext uri="{FF2B5EF4-FFF2-40B4-BE49-F238E27FC236}">
              <a16:creationId xmlns:a16="http://schemas.microsoft.com/office/drawing/2014/main" id="{4BDC89FB-71A5-493A-ADE1-482F784D053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304800" cy="304800"/>
    <xdr:sp macro="" textlink="">
      <xdr:nvSpPr>
        <xdr:cNvPr id="1622" name="AutoShape 219">
          <a:extLst>
            <a:ext uri="{FF2B5EF4-FFF2-40B4-BE49-F238E27FC236}">
              <a16:creationId xmlns:a16="http://schemas.microsoft.com/office/drawing/2014/main" id="{17D51B36-87DB-4370-A488-9C319F88F5A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9525" cy="9525"/>
    <xdr:pic>
      <xdr:nvPicPr>
        <xdr:cNvPr id="1623" name="Picture 1622">
          <a:extLst>
            <a:ext uri="{FF2B5EF4-FFF2-40B4-BE49-F238E27FC236}">
              <a16:creationId xmlns:a16="http://schemas.microsoft.com/office/drawing/2014/main" id="{16C48968-499A-4100-BA20-2E096A51E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304800" cy="304800"/>
    <xdr:sp macro="" textlink="">
      <xdr:nvSpPr>
        <xdr:cNvPr id="1624" name="AutoShape 241">
          <a:extLst>
            <a:ext uri="{FF2B5EF4-FFF2-40B4-BE49-F238E27FC236}">
              <a16:creationId xmlns:a16="http://schemas.microsoft.com/office/drawing/2014/main" id="{395106E8-AC18-4C61-8D58-553A9B8F0BA3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304800" cy="304800"/>
    <xdr:sp macro="" textlink="">
      <xdr:nvSpPr>
        <xdr:cNvPr id="1625" name="AutoShape 243">
          <a:extLst>
            <a:ext uri="{FF2B5EF4-FFF2-40B4-BE49-F238E27FC236}">
              <a16:creationId xmlns:a16="http://schemas.microsoft.com/office/drawing/2014/main" id="{A60246BB-CAC8-406B-9C63-88503193286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9525" cy="9525"/>
    <xdr:pic>
      <xdr:nvPicPr>
        <xdr:cNvPr id="1626" name="Picture 1625">
          <a:extLst>
            <a:ext uri="{FF2B5EF4-FFF2-40B4-BE49-F238E27FC236}">
              <a16:creationId xmlns:a16="http://schemas.microsoft.com/office/drawing/2014/main" id="{677DA668-F41E-42B5-A5CE-9B5B4E16A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304800" cy="304800"/>
    <xdr:sp macro="" textlink="">
      <xdr:nvSpPr>
        <xdr:cNvPr id="1627" name="AutoShape 267">
          <a:extLst>
            <a:ext uri="{FF2B5EF4-FFF2-40B4-BE49-F238E27FC236}">
              <a16:creationId xmlns:a16="http://schemas.microsoft.com/office/drawing/2014/main" id="{6DC68001-095C-475A-B4AA-91B3C7B8D109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304800" cy="304800"/>
    <xdr:sp macro="" textlink="">
      <xdr:nvSpPr>
        <xdr:cNvPr id="1628" name="AutoShape 269">
          <a:extLst>
            <a:ext uri="{FF2B5EF4-FFF2-40B4-BE49-F238E27FC236}">
              <a16:creationId xmlns:a16="http://schemas.microsoft.com/office/drawing/2014/main" id="{417AA9EC-1226-446C-8F14-2F4992AC97A4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9525" cy="9525"/>
    <xdr:pic>
      <xdr:nvPicPr>
        <xdr:cNvPr id="1629" name="Picture 1628">
          <a:extLst>
            <a:ext uri="{FF2B5EF4-FFF2-40B4-BE49-F238E27FC236}">
              <a16:creationId xmlns:a16="http://schemas.microsoft.com/office/drawing/2014/main" id="{DAC81B83-4C14-4318-AAEB-449706ADD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304800" cy="304800"/>
    <xdr:sp macro="" textlink="">
      <xdr:nvSpPr>
        <xdr:cNvPr id="1630" name="AutoShape 319">
          <a:extLst>
            <a:ext uri="{FF2B5EF4-FFF2-40B4-BE49-F238E27FC236}">
              <a16:creationId xmlns:a16="http://schemas.microsoft.com/office/drawing/2014/main" id="{D18293C4-BA12-4951-AE2A-FBE1A328E00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9525" cy="9525"/>
    <xdr:pic>
      <xdr:nvPicPr>
        <xdr:cNvPr id="1631" name="Picture 1630">
          <a:extLst>
            <a:ext uri="{FF2B5EF4-FFF2-40B4-BE49-F238E27FC236}">
              <a16:creationId xmlns:a16="http://schemas.microsoft.com/office/drawing/2014/main" id="{2CADB7E8-939E-4DEC-9F7A-55954DFE5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</xdr:row>
      <xdr:rowOff>0</xdr:rowOff>
    </xdr:from>
    <xdr:ext cx="9525" cy="9525"/>
    <xdr:pic>
      <xdr:nvPicPr>
        <xdr:cNvPr id="1632" name="Picture 1631">
          <a:extLst>
            <a:ext uri="{FF2B5EF4-FFF2-40B4-BE49-F238E27FC236}">
              <a16:creationId xmlns:a16="http://schemas.microsoft.com/office/drawing/2014/main" id="{A5A0F441-0099-46FA-8C94-F4D5B07A1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</xdr:row>
      <xdr:rowOff>0</xdr:rowOff>
    </xdr:from>
    <xdr:ext cx="9525" cy="9525"/>
    <xdr:pic>
      <xdr:nvPicPr>
        <xdr:cNvPr id="1633" name="Picture 1632">
          <a:extLst>
            <a:ext uri="{FF2B5EF4-FFF2-40B4-BE49-F238E27FC236}">
              <a16:creationId xmlns:a16="http://schemas.microsoft.com/office/drawing/2014/main" id="{40FF4152-D82A-40E3-A2E3-9CDDD6E79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</xdr:row>
      <xdr:rowOff>0</xdr:rowOff>
    </xdr:from>
    <xdr:ext cx="9525" cy="9525"/>
    <xdr:pic>
      <xdr:nvPicPr>
        <xdr:cNvPr id="1634" name="Picture 1633">
          <a:extLst>
            <a:ext uri="{FF2B5EF4-FFF2-40B4-BE49-F238E27FC236}">
              <a16:creationId xmlns:a16="http://schemas.microsoft.com/office/drawing/2014/main" id="{00E706E9-2875-45E4-9E3F-6939E47E0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</xdr:row>
      <xdr:rowOff>0</xdr:rowOff>
    </xdr:from>
    <xdr:ext cx="9525" cy="9525"/>
    <xdr:pic>
      <xdr:nvPicPr>
        <xdr:cNvPr id="1635" name="Picture 1634">
          <a:extLst>
            <a:ext uri="{FF2B5EF4-FFF2-40B4-BE49-F238E27FC236}">
              <a16:creationId xmlns:a16="http://schemas.microsoft.com/office/drawing/2014/main" id="{8E905B11-808A-40AA-ABF5-BC53BD3A8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979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9525" cy="9525"/>
    <xdr:pic>
      <xdr:nvPicPr>
        <xdr:cNvPr id="1636" name="Picture 1635">
          <a:extLst>
            <a:ext uri="{FF2B5EF4-FFF2-40B4-BE49-F238E27FC236}">
              <a16:creationId xmlns:a16="http://schemas.microsoft.com/office/drawing/2014/main" id="{F15C22CD-BB50-4D8E-986D-2B9DCF80A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9525" cy="9525"/>
    <xdr:pic>
      <xdr:nvPicPr>
        <xdr:cNvPr id="1637" name="Picture 1636">
          <a:extLst>
            <a:ext uri="{FF2B5EF4-FFF2-40B4-BE49-F238E27FC236}">
              <a16:creationId xmlns:a16="http://schemas.microsoft.com/office/drawing/2014/main" id="{1AF4C5FF-E071-4683-BA2F-484514FAE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9525" cy="9525"/>
    <xdr:pic>
      <xdr:nvPicPr>
        <xdr:cNvPr id="1638" name="Picture 1637">
          <a:extLst>
            <a:ext uri="{FF2B5EF4-FFF2-40B4-BE49-F238E27FC236}">
              <a16:creationId xmlns:a16="http://schemas.microsoft.com/office/drawing/2014/main" id="{A882827C-4A72-4E35-A41F-64BA488CD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9525" cy="9525"/>
    <xdr:pic>
      <xdr:nvPicPr>
        <xdr:cNvPr id="1639" name="Picture 1638">
          <a:extLst>
            <a:ext uri="{FF2B5EF4-FFF2-40B4-BE49-F238E27FC236}">
              <a16:creationId xmlns:a16="http://schemas.microsoft.com/office/drawing/2014/main" id="{C3F353CF-0647-4CF3-897C-136E23519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9525" cy="9525"/>
    <xdr:pic>
      <xdr:nvPicPr>
        <xdr:cNvPr id="1640" name="Picture 1639">
          <a:extLst>
            <a:ext uri="{FF2B5EF4-FFF2-40B4-BE49-F238E27FC236}">
              <a16:creationId xmlns:a16="http://schemas.microsoft.com/office/drawing/2014/main" id="{D20338A6-7EBA-4D95-A2BC-287AE9E20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9525" cy="9525"/>
    <xdr:pic>
      <xdr:nvPicPr>
        <xdr:cNvPr id="1641" name="Picture 1640">
          <a:extLst>
            <a:ext uri="{FF2B5EF4-FFF2-40B4-BE49-F238E27FC236}">
              <a16:creationId xmlns:a16="http://schemas.microsoft.com/office/drawing/2014/main" id="{D2DD283B-F196-4577-B11A-24AFF5980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9525" cy="9525"/>
    <xdr:pic>
      <xdr:nvPicPr>
        <xdr:cNvPr id="1642" name="Picture 1641">
          <a:extLst>
            <a:ext uri="{FF2B5EF4-FFF2-40B4-BE49-F238E27FC236}">
              <a16:creationId xmlns:a16="http://schemas.microsoft.com/office/drawing/2014/main" id="{CDF034D0-82DA-4D6E-B334-49B134B23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9525" cy="9525"/>
    <xdr:pic>
      <xdr:nvPicPr>
        <xdr:cNvPr id="1643" name="Picture 1642">
          <a:extLst>
            <a:ext uri="{FF2B5EF4-FFF2-40B4-BE49-F238E27FC236}">
              <a16:creationId xmlns:a16="http://schemas.microsoft.com/office/drawing/2014/main" id="{84FB9608-F5C7-406A-8F8B-4CE5F2AFC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9525" cy="9525"/>
    <xdr:pic>
      <xdr:nvPicPr>
        <xdr:cNvPr id="1644" name="Picture 1643">
          <a:extLst>
            <a:ext uri="{FF2B5EF4-FFF2-40B4-BE49-F238E27FC236}">
              <a16:creationId xmlns:a16="http://schemas.microsoft.com/office/drawing/2014/main" id="{EAC82243-FC63-429C-9E9F-777EF3B56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9525" cy="9525"/>
    <xdr:pic>
      <xdr:nvPicPr>
        <xdr:cNvPr id="1645" name="Picture 1644">
          <a:extLst>
            <a:ext uri="{FF2B5EF4-FFF2-40B4-BE49-F238E27FC236}">
              <a16:creationId xmlns:a16="http://schemas.microsoft.com/office/drawing/2014/main" id="{05B434A0-6090-469E-8816-600FC87B5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304800" cy="303439"/>
    <xdr:sp macro="" textlink="">
      <xdr:nvSpPr>
        <xdr:cNvPr id="1646" name="AutoShape 513">
          <a:extLst>
            <a:ext uri="{FF2B5EF4-FFF2-40B4-BE49-F238E27FC236}">
              <a16:creationId xmlns:a16="http://schemas.microsoft.com/office/drawing/2014/main" id="{C975F88F-7DEB-4320-8EF3-F61617875E3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26596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22</xdr:row>
      <xdr:rowOff>0</xdr:rowOff>
    </xdr:from>
    <xdr:ext cx="304800" cy="304800"/>
    <xdr:sp macro="" textlink="">
      <xdr:nvSpPr>
        <xdr:cNvPr id="1647" name="AutoShape 515">
          <a:extLst>
            <a:ext uri="{FF2B5EF4-FFF2-40B4-BE49-F238E27FC236}">
              <a16:creationId xmlns:a16="http://schemas.microsoft.com/office/drawing/2014/main" id="{6A3D92D4-A080-4759-89B9-0B2228F32E09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23</xdr:row>
      <xdr:rowOff>0</xdr:rowOff>
    </xdr:from>
    <xdr:ext cx="9525" cy="9525"/>
    <xdr:pic>
      <xdr:nvPicPr>
        <xdr:cNvPr id="1648" name="Picture 1647">
          <a:extLst>
            <a:ext uri="{FF2B5EF4-FFF2-40B4-BE49-F238E27FC236}">
              <a16:creationId xmlns:a16="http://schemas.microsoft.com/office/drawing/2014/main" id="{E4D1F218-78ED-443E-BFC4-150535E2F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9525" cy="9525"/>
    <xdr:pic>
      <xdr:nvPicPr>
        <xdr:cNvPr id="1649" name="Picture 1648">
          <a:extLst>
            <a:ext uri="{FF2B5EF4-FFF2-40B4-BE49-F238E27FC236}">
              <a16:creationId xmlns:a16="http://schemas.microsoft.com/office/drawing/2014/main" id="{A83A047A-85F9-463C-884D-FA03D133A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650" name="AutoShape 191">
          <a:extLst>
            <a:ext uri="{FF2B5EF4-FFF2-40B4-BE49-F238E27FC236}">
              <a16:creationId xmlns:a16="http://schemas.microsoft.com/office/drawing/2014/main" id="{C9CB5491-D7FC-4919-A954-B5CDDA03766D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23</xdr:row>
      <xdr:rowOff>0</xdr:rowOff>
    </xdr:from>
    <xdr:ext cx="9525" cy="9525"/>
    <xdr:pic>
      <xdr:nvPicPr>
        <xdr:cNvPr id="1651" name="Picture 1650">
          <a:extLst>
            <a:ext uri="{FF2B5EF4-FFF2-40B4-BE49-F238E27FC236}">
              <a16:creationId xmlns:a16="http://schemas.microsoft.com/office/drawing/2014/main" id="{DD3B6B2B-A2CA-4677-8FB6-F2E933CC9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652" name="AutoShape 217">
          <a:extLst>
            <a:ext uri="{FF2B5EF4-FFF2-40B4-BE49-F238E27FC236}">
              <a16:creationId xmlns:a16="http://schemas.microsoft.com/office/drawing/2014/main" id="{135270AF-C85C-4C3D-8835-CDB28039BDF9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23</xdr:row>
      <xdr:rowOff>0</xdr:rowOff>
    </xdr:from>
    <xdr:ext cx="9525" cy="9525"/>
    <xdr:pic>
      <xdr:nvPicPr>
        <xdr:cNvPr id="1653" name="Picture 1652">
          <a:extLst>
            <a:ext uri="{FF2B5EF4-FFF2-40B4-BE49-F238E27FC236}">
              <a16:creationId xmlns:a16="http://schemas.microsoft.com/office/drawing/2014/main" id="{260AA648-58BB-4F29-A719-13872C8FF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654" name="AutoShape 241">
          <a:extLst>
            <a:ext uri="{FF2B5EF4-FFF2-40B4-BE49-F238E27FC236}">
              <a16:creationId xmlns:a16="http://schemas.microsoft.com/office/drawing/2014/main" id="{34D25E02-C865-4730-9D17-DCBB3B657861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23</xdr:row>
      <xdr:rowOff>0</xdr:rowOff>
    </xdr:from>
    <xdr:ext cx="9525" cy="9525"/>
    <xdr:pic>
      <xdr:nvPicPr>
        <xdr:cNvPr id="1655" name="Picture 1654">
          <a:extLst>
            <a:ext uri="{FF2B5EF4-FFF2-40B4-BE49-F238E27FC236}">
              <a16:creationId xmlns:a16="http://schemas.microsoft.com/office/drawing/2014/main" id="{09E9CC6B-B652-498B-A2FC-0FA8231D1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656" name="AutoShape 267">
          <a:extLst>
            <a:ext uri="{FF2B5EF4-FFF2-40B4-BE49-F238E27FC236}">
              <a16:creationId xmlns:a16="http://schemas.microsoft.com/office/drawing/2014/main" id="{5153EB1F-E4D2-4E6E-987A-AED60062A8AC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23</xdr:row>
      <xdr:rowOff>0</xdr:rowOff>
    </xdr:from>
    <xdr:ext cx="9525" cy="9525"/>
    <xdr:pic>
      <xdr:nvPicPr>
        <xdr:cNvPr id="1657" name="Picture 1656">
          <a:extLst>
            <a:ext uri="{FF2B5EF4-FFF2-40B4-BE49-F238E27FC236}">
              <a16:creationId xmlns:a16="http://schemas.microsoft.com/office/drawing/2014/main" id="{44AB6AEC-AAD2-4F24-9CD1-87FCE8499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658" name="AutoShape 319">
          <a:extLst>
            <a:ext uri="{FF2B5EF4-FFF2-40B4-BE49-F238E27FC236}">
              <a16:creationId xmlns:a16="http://schemas.microsoft.com/office/drawing/2014/main" id="{E800082A-68E9-4983-8E84-C234F0500DED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23</xdr:row>
      <xdr:rowOff>0</xdr:rowOff>
    </xdr:from>
    <xdr:ext cx="9525" cy="9525"/>
    <xdr:pic>
      <xdr:nvPicPr>
        <xdr:cNvPr id="1659" name="Picture 1658">
          <a:extLst>
            <a:ext uri="{FF2B5EF4-FFF2-40B4-BE49-F238E27FC236}">
              <a16:creationId xmlns:a16="http://schemas.microsoft.com/office/drawing/2014/main" id="{1FE7B33D-8686-40CB-92FD-E28A8D472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660" name="AutoShape 371">
          <a:extLst>
            <a:ext uri="{FF2B5EF4-FFF2-40B4-BE49-F238E27FC236}">
              <a16:creationId xmlns:a16="http://schemas.microsoft.com/office/drawing/2014/main" id="{390B8A4F-69BE-4F91-8C2D-4B749F30EE0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23</xdr:row>
      <xdr:rowOff>0</xdr:rowOff>
    </xdr:from>
    <xdr:ext cx="9525" cy="9525"/>
    <xdr:pic>
      <xdr:nvPicPr>
        <xdr:cNvPr id="1661" name="Picture 1660">
          <a:extLst>
            <a:ext uri="{FF2B5EF4-FFF2-40B4-BE49-F238E27FC236}">
              <a16:creationId xmlns:a16="http://schemas.microsoft.com/office/drawing/2014/main" id="{D462C9E2-8EC4-4E17-A240-015485F50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662" name="AutoShape 427">
          <a:extLst>
            <a:ext uri="{FF2B5EF4-FFF2-40B4-BE49-F238E27FC236}">
              <a16:creationId xmlns:a16="http://schemas.microsoft.com/office/drawing/2014/main" id="{E1E9DB32-BC34-4F36-AD16-BE49A98FC44E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23</xdr:row>
      <xdr:rowOff>0</xdr:rowOff>
    </xdr:from>
    <xdr:ext cx="9525" cy="9525"/>
    <xdr:pic>
      <xdr:nvPicPr>
        <xdr:cNvPr id="1663" name="Picture 1662">
          <a:extLst>
            <a:ext uri="{FF2B5EF4-FFF2-40B4-BE49-F238E27FC236}">
              <a16:creationId xmlns:a16="http://schemas.microsoft.com/office/drawing/2014/main" id="{C16318B2-C210-4509-8565-B5A7E6199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664" name="AutoShape 483">
          <a:extLst>
            <a:ext uri="{FF2B5EF4-FFF2-40B4-BE49-F238E27FC236}">
              <a16:creationId xmlns:a16="http://schemas.microsoft.com/office/drawing/2014/main" id="{2A63857B-0714-4B84-914A-B2451CC10314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23</xdr:row>
      <xdr:rowOff>0</xdr:rowOff>
    </xdr:from>
    <xdr:ext cx="9525" cy="9525"/>
    <xdr:pic>
      <xdr:nvPicPr>
        <xdr:cNvPr id="1665" name="Picture 1664">
          <a:extLst>
            <a:ext uri="{FF2B5EF4-FFF2-40B4-BE49-F238E27FC236}">
              <a16:creationId xmlns:a16="http://schemas.microsoft.com/office/drawing/2014/main" id="{4A35F5ED-28BD-4696-A49E-CF5DCEF42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304800" cy="304800"/>
    <xdr:sp macro="" textlink="">
      <xdr:nvSpPr>
        <xdr:cNvPr id="1666" name="AutoShape 515">
          <a:extLst>
            <a:ext uri="{FF2B5EF4-FFF2-40B4-BE49-F238E27FC236}">
              <a16:creationId xmlns:a16="http://schemas.microsoft.com/office/drawing/2014/main" id="{B5930F77-7C2D-4559-B2CB-3508C5582E8C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667" name="AutoShape 517">
          <a:extLst>
            <a:ext uri="{FF2B5EF4-FFF2-40B4-BE49-F238E27FC236}">
              <a16:creationId xmlns:a16="http://schemas.microsoft.com/office/drawing/2014/main" id="{8AAEA143-0244-455B-B5EB-9966E6968981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9525" cy="9525"/>
    <xdr:pic>
      <xdr:nvPicPr>
        <xdr:cNvPr id="1668" name="Picture 1667">
          <a:extLst>
            <a:ext uri="{FF2B5EF4-FFF2-40B4-BE49-F238E27FC236}">
              <a16:creationId xmlns:a16="http://schemas.microsoft.com/office/drawing/2014/main" id="{05D953B2-AB31-4DC4-BD22-2F5BB0A93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24</xdr:row>
      <xdr:rowOff>0</xdr:rowOff>
    </xdr:from>
    <xdr:ext cx="304800" cy="303440"/>
    <xdr:sp macro="" textlink="">
      <xdr:nvSpPr>
        <xdr:cNvPr id="1669" name="AutoShape 169">
          <a:extLst>
            <a:ext uri="{FF2B5EF4-FFF2-40B4-BE49-F238E27FC236}">
              <a16:creationId xmlns:a16="http://schemas.microsoft.com/office/drawing/2014/main" id="{4C88CEAB-830C-496F-AC1D-CC7890BCA238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9525" cy="9525"/>
    <xdr:pic>
      <xdr:nvPicPr>
        <xdr:cNvPr id="1670" name="Picture 1669">
          <a:extLst>
            <a:ext uri="{FF2B5EF4-FFF2-40B4-BE49-F238E27FC236}">
              <a16:creationId xmlns:a16="http://schemas.microsoft.com/office/drawing/2014/main" id="{CA72175D-7A60-4067-91F5-9AE3A4DE9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24</xdr:row>
      <xdr:rowOff>0</xdr:rowOff>
    </xdr:from>
    <xdr:ext cx="304800" cy="303440"/>
    <xdr:sp macro="" textlink="">
      <xdr:nvSpPr>
        <xdr:cNvPr id="1671" name="AutoShape 199">
          <a:extLst>
            <a:ext uri="{FF2B5EF4-FFF2-40B4-BE49-F238E27FC236}">
              <a16:creationId xmlns:a16="http://schemas.microsoft.com/office/drawing/2014/main" id="{75485037-F70C-43AF-9DC5-69171E6E6A9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9525" cy="9525"/>
    <xdr:pic>
      <xdr:nvPicPr>
        <xdr:cNvPr id="1672" name="Picture 1671">
          <a:extLst>
            <a:ext uri="{FF2B5EF4-FFF2-40B4-BE49-F238E27FC236}">
              <a16:creationId xmlns:a16="http://schemas.microsoft.com/office/drawing/2014/main" id="{18EB7C34-4A4F-407E-8271-A66407DBD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673" name="AutoShape 223">
          <a:extLst>
            <a:ext uri="{FF2B5EF4-FFF2-40B4-BE49-F238E27FC236}">
              <a16:creationId xmlns:a16="http://schemas.microsoft.com/office/drawing/2014/main" id="{C1834646-A896-4EAD-A78E-DE1929535CBD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9525" cy="9525"/>
    <xdr:pic>
      <xdr:nvPicPr>
        <xdr:cNvPr id="1674" name="Picture 1673">
          <a:extLst>
            <a:ext uri="{FF2B5EF4-FFF2-40B4-BE49-F238E27FC236}">
              <a16:creationId xmlns:a16="http://schemas.microsoft.com/office/drawing/2014/main" id="{C82E4761-346F-428B-8F01-CB574BF70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675" name="AutoShape 247">
          <a:extLst>
            <a:ext uri="{FF2B5EF4-FFF2-40B4-BE49-F238E27FC236}">
              <a16:creationId xmlns:a16="http://schemas.microsoft.com/office/drawing/2014/main" id="{48D77F1A-A1CA-4F13-A0C0-07EEE2B851E5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304800" cy="303440"/>
    <xdr:sp macro="" textlink="">
      <xdr:nvSpPr>
        <xdr:cNvPr id="1676" name="AutoShape 249">
          <a:extLst>
            <a:ext uri="{FF2B5EF4-FFF2-40B4-BE49-F238E27FC236}">
              <a16:creationId xmlns:a16="http://schemas.microsoft.com/office/drawing/2014/main" id="{ED0FBFC0-81C3-4EC6-B5A2-4D0AC92A11C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9525" cy="9525"/>
    <xdr:pic>
      <xdr:nvPicPr>
        <xdr:cNvPr id="1677" name="Picture 1676">
          <a:extLst>
            <a:ext uri="{FF2B5EF4-FFF2-40B4-BE49-F238E27FC236}">
              <a16:creationId xmlns:a16="http://schemas.microsoft.com/office/drawing/2014/main" id="{098BCCCE-AA60-4B2F-B59C-35384425C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678" name="AutoShape 273">
          <a:extLst>
            <a:ext uri="{FF2B5EF4-FFF2-40B4-BE49-F238E27FC236}">
              <a16:creationId xmlns:a16="http://schemas.microsoft.com/office/drawing/2014/main" id="{2698FC72-63CA-48CF-850F-D2D38164C3F2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304800" cy="303440"/>
    <xdr:sp macro="" textlink="">
      <xdr:nvSpPr>
        <xdr:cNvPr id="1679" name="AutoShape 275">
          <a:extLst>
            <a:ext uri="{FF2B5EF4-FFF2-40B4-BE49-F238E27FC236}">
              <a16:creationId xmlns:a16="http://schemas.microsoft.com/office/drawing/2014/main" id="{484F91F4-5352-407A-B790-949B63C48D1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9525" cy="9525"/>
    <xdr:pic>
      <xdr:nvPicPr>
        <xdr:cNvPr id="1680" name="Picture 1679">
          <a:extLst>
            <a:ext uri="{FF2B5EF4-FFF2-40B4-BE49-F238E27FC236}">
              <a16:creationId xmlns:a16="http://schemas.microsoft.com/office/drawing/2014/main" id="{19DCFEF6-FB64-48B1-A2A9-2AB667B5D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681" name="AutoShape 325">
          <a:extLst>
            <a:ext uri="{FF2B5EF4-FFF2-40B4-BE49-F238E27FC236}">
              <a16:creationId xmlns:a16="http://schemas.microsoft.com/office/drawing/2014/main" id="{3E95B99C-64C5-451E-B6B8-8D978DE1FCF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304800" cy="303440"/>
    <xdr:sp macro="" textlink="">
      <xdr:nvSpPr>
        <xdr:cNvPr id="1682" name="AutoShape 327">
          <a:extLst>
            <a:ext uri="{FF2B5EF4-FFF2-40B4-BE49-F238E27FC236}">
              <a16:creationId xmlns:a16="http://schemas.microsoft.com/office/drawing/2014/main" id="{9268AC3D-46B0-4F0D-BED5-26F941C4190E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9525" cy="9525"/>
    <xdr:pic>
      <xdr:nvPicPr>
        <xdr:cNvPr id="1683" name="Picture 1682">
          <a:extLst>
            <a:ext uri="{FF2B5EF4-FFF2-40B4-BE49-F238E27FC236}">
              <a16:creationId xmlns:a16="http://schemas.microsoft.com/office/drawing/2014/main" id="{573D9239-766E-4E45-B554-D4C6527F7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684" name="AutoShape 377">
          <a:extLst>
            <a:ext uri="{FF2B5EF4-FFF2-40B4-BE49-F238E27FC236}">
              <a16:creationId xmlns:a16="http://schemas.microsoft.com/office/drawing/2014/main" id="{19067C80-2344-4AC0-BC0B-76FE2B013AB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304800" cy="303440"/>
    <xdr:sp macro="" textlink="">
      <xdr:nvSpPr>
        <xdr:cNvPr id="1685" name="AutoShape 379">
          <a:extLst>
            <a:ext uri="{FF2B5EF4-FFF2-40B4-BE49-F238E27FC236}">
              <a16:creationId xmlns:a16="http://schemas.microsoft.com/office/drawing/2014/main" id="{EDD77D0A-2191-4F83-BD2C-FE05EE08F11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9525" cy="9525"/>
    <xdr:pic>
      <xdr:nvPicPr>
        <xdr:cNvPr id="1686" name="Picture 1685">
          <a:extLst>
            <a:ext uri="{FF2B5EF4-FFF2-40B4-BE49-F238E27FC236}">
              <a16:creationId xmlns:a16="http://schemas.microsoft.com/office/drawing/2014/main" id="{95F3EEBB-181A-4B14-8CE3-66E011770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687" name="AutoShape 433">
          <a:extLst>
            <a:ext uri="{FF2B5EF4-FFF2-40B4-BE49-F238E27FC236}">
              <a16:creationId xmlns:a16="http://schemas.microsoft.com/office/drawing/2014/main" id="{CB67DA65-4293-4DF2-9D73-225569A733A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304800" cy="303440"/>
    <xdr:sp macro="" textlink="">
      <xdr:nvSpPr>
        <xdr:cNvPr id="1688" name="AutoShape 435">
          <a:extLst>
            <a:ext uri="{FF2B5EF4-FFF2-40B4-BE49-F238E27FC236}">
              <a16:creationId xmlns:a16="http://schemas.microsoft.com/office/drawing/2014/main" id="{B4B581F3-5DF1-4899-9D05-156AAED2723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9525" cy="9525"/>
    <xdr:pic>
      <xdr:nvPicPr>
        <xdr:cNvPr id="1689" name="Picture 1688">
          <a:extLst>
            <a:ext uri="{FF2B5EF4-FFF2-40B4-BE49-F238E27FC236}">
              <a16:creationId xmlns:a16="http://schemas.microsoft.com/office/drawing/2014/main" id="{7464767C-DE58-4D10-961D-EC4A5BB0B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690" name="AutoShape 489">
          <a:extLst>
            <a:ext uri="{FF2B5EF4-FFF2-40B4-BE49-F238E27FC236}">
              <a16:creationId xmlns:a16="http://schemas.microsoft.com/office/drawing/2014/main" id="{0604473A-233B-46ED-8289-B9864682E0C8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304800" cy="303440"/>
    <xdr:sp macro="" textlink="">
      <xdr:nvSpPr>
        <xdr:cNvPr id="1691" name="AutoShape 491">
          <a:extLst>
            <a:ext uri="{FF2B5EF4-FFF2-40B4-BE49-F238E27FC236}">
              <a16:creationId xmlns:a16="http://schemas.microsoft.com/office/drawing/2014/main" id="{D5238602-952A-4B28-823F-7FC2EE119BAA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9525" cy="9525"/>
    <xdr:pic>
      <xdr:nvPicPr>
        <xdr:cNvPr id="1692" name="Picture 1691">
          <a:extLst>
            <a:ext uri="{FF2B5EF4-FFF2-40B4-BE49-F238E27FC236}">
              <a16:creationId xmlns:a16="http://schemas.microsoft.com/office/drawing/2014/main" id="{488EF486-A45D-4A94-835D-03D913E49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693" name="AutoShape 523">
          <a:extLst>
            <a:ext uri="{FF2B5EF4-FFF2-40B4-BE49-F238E27FC236}">
              <a16:creationId xmlns:a16="http://schemas.microsoft.com/office/drawing/2014/main" id="{61787CD5-A52D-4B17-B5F1-FB9F67354B7A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304800" cy="303440"/>
    <xdr:sp macro="" textlink="">
      <xdr:nvSpPr>
        <xdr:cNvPr id="1694" name="AutoShape 525">
          <a:extLst>
            <a:ext uri="{FF2B5EF4-FFF2-40B4-BE49-F238E27FC236}">
              <a16:creationId xmlns:a16="http://schemas.microsoft.com/office/drawing/2014/main" id="{358883D5-2804-4581-92CF-27C34E4580BD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3</xdr:row>
      <xdr:rowOff>0</xdr:rowOff>
    </xdr:from>
    <xdr:ext cx="9525" cy="9525"/>
    <xdr:pic>
      <xdr:nvPicPr>
        <xdr:cNvPr id="1695" name="Picture 1694">
          <a:extLst>
            <a:ext uri="{FF2B5EF4-FFF2-40B4-BE49-F238E27FC236}">
              <a16:creationId xmlns:a16="http://schemas.microsoft.com/office/drawing/2014/main" id="{0561412B-5A6A-4145-9BDF-5D3696D5C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</xdr:row>
      <xdr:rowOff>0</xdr:rowOff>
    </xdr:from>
    <xdr:ext cx="304800" cy="303439"/>
    <xdr:sp macro="" textlink="">
      <xdr:nvSpPr>
        <xdr:cNvPr id="1696" name="AutoShape 25">
          <a:extLst>
            <a:ext uri="{FF2B5EF4-FFF2-40B4-BE49-F238E27FC236}">
              <a16:creationId xmlns:a16="http://schemas.microsoft.com/office/drawing/2014/main" id="{9D22E257-FCED-40C9-9485-E10B781F5478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4</xdr:row>
      <xdr:rowOff>0</xdr:rowOff>
    </xdr:from>
    <xdr:ext cx="9525" cy="9525"/>
    <xdr:pic>
      <xdr:nvPicPr>
        <xdr:cNvPr id="1697" name="Picture 1696">
          <a:extLst>
            <a:ext uri="{FF2B5EF4-FFF2-40B4-BE49-F238E27FC236}">
              <a16:creationId xmlns:a16="http://schemas.microsoft.com/office/drawing/2014/main" id="{DB588B6E-04B5-4F66-A3B3-4DF2C9B9A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9525" cy="9525"/>
    <xdr:pic>
      <xdr:nvPicPr>
        <xdr:cNvPr id="1698" name="Picture 1697">
          <a:extLst>
            <a:ext uri="{FF2B5EF4-FFF2-40B4-BE49-F238E27FC236}">
              <a16:creationId xmlns:a16="http://schemas.microsoft.com/office/drawing/2014/main" id="{0A43783A-FD8B-484B-9AAE-DE1E233BB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9525" cy="9525"/>
    <xdr:pic>
      <xdr:nvPicPr>
        <xdr:cNvPr id="1699" name="Picture 1698">
          <a:extLst>
            <a:ext uri="{FF2B5EF4-FFF2-40B4-BE49-F238E27FC236}">
              <a16:creationId xmlns:a16="http://schemas.microsoft.com/office/drawing/2014/main" id="{6B39FED9-73F8-4B08-BC74-9CC9BF769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304800" cy="304800"/>
    <xdr:sp macro="" textlink="">
      <xdr:nvSpPr>
        <xdr:cNvPr id="1700" name="AutoShape 29">
          <a:extLst>
            <a:ext uri="{FF2B5EF4-FFF2-40B4-BE49-F238E27FC236}">
              <a16:creationId xmlns:a16="http://schemas.microsoft.com/office/drawing/2014/main" id="{E78B3FAF-86E2-475E-ACA7-1C98C1375F9A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01" name="Picture 1700">
          <a:extLst>
            <a:ext uri="{FF2B5EF4-FFF2-40B4-BE49-F238E27FC236}">
              <a16:creationId xmlns:a16="http://schemas.microsoft.com/office/drawing/2014/main" id="{A789DE27-F2B6-49FD-B554-1B8ADB7B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9525" cy="9525"/>
    <xdr:pic>
      <xdr:nvPicPr>
        <xdr:cNvPr id="1702" name="Picture 1701">
          <a:extLst>
            <a:ext uri="{FF2B5EF4-FFF2-40B4-BE49-F238E27FC236}">
              <a16:creationId xmlns:a16="http://schemas.microsoft.com/office/drawing/2014/main" id="{77438A29-96FC-433A-9869-394EC62FA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304800" cy="303440"/>
    <xdr:sp macro="" textlink="">
      <xdr:nvSpPr>
        <xdr:cNvPr id="1703" name="AutoShape 32">
          <a:extLst>
            <a:ext uri="{FF2B5EF4-FFF2-40B4-BE49-F238E27FC236}">
              <a16:creationId xmlns:a16="http://schemas.microsoft.com/office/drawing/2014/main" id="{D92C8543-ACD6-4560-9589-6EC4F7C0B72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04" name="Picture 1703">
          <a:extLst>
            <a:ext uri="{FF2B5EF4-FFF2-40B4-BE49-F238E27FC236}">
              <a16:creationId xmlns:a16="http://schemas.microsoft.com/office/drawing/2014/main" id="{4BBC804D-2588-4181-833F-936B299D1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05" name="Picture 1704">
          <a:extLst>
            <a:ext uri="{FF2B5EF4-FFF2-40B4-BE49-F238E27FC236}">
              <a16:creationId xmlns:a16="http://schemas.microsoft.com/office/drawing/2014/main" id="{6E652F7F-0436-4A73-A9B5-7EA9040CF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06" name="Picture 1705">
          <a:extLst>
            <a:ext uri="{FF2B5EF4-FFF2-40B4-BE49-F238E27FC236}">
              <a16:creationId xmlns:a16="http://schemas.microsoft.com/office/drawing/2014/main" id="{7C193B43-0A77-4257-85B2-001B4C1C2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07" name="Picture 1706">
          <a:extLst>
            <a:ext uri="{FF2B5EF4-FFF2-40B4-BE49-F238E27FC236}">
              <a16:creationId xmlns:a16="http://schemas.microsoft.com/office/drawing/2014/main" id="{F60D2F11-B5C6-482E-BA3A-7F0F34781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08" name="Picture 1707">
          <a:extLst>
            <a:ext uri="{FF2B5EF4-FFF2-40B4-BE49-F238E27FC236}">
              <a16:creationId xmlns:a16="http://schemas.microsoft.com/office/drawing/2014/main" id="{1C701157-80D0-4AC6-B5D6-8B2FEFB69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709" name="AutoShape 38">
          <a:extLst>
            <a:ext uri="{FF2B5EF4-FFF2-40B4-BE49-F238E27FC236}">
              <a16:creationId xmlns:a16="http://schemas.microsoft.com/office/drawing/2014/main" id="{B6F46E16-B946-41E1-BF1B-97EC65916F9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10" name="Picture 1709">
          <a:extLst>
            <a:ext uri="{FF2B5EF4-FFF2-40B4-BE49-F238E27FC236}">
              <a16:creationId xmlns:a16="http://schemas.microsoft.com/office/drawing/2014/main" id="{A86B11AE-6DF1-4DDA-BA71-87596892D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711" name="AutoShape 40">
          <a:extLst>
            <a:ext uri="{FF2B5EF4-FFF2-40B4-BE49-F238E27FC236}">
              <a16:creationId xmlns:a16="http://schemas.microsoft.com/office/drawing/2014/main" id="{633C7612-F06E-4481-87CA-0FF322125FDA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9525" cy="9525"/>
    <xdr:pic>
      <xdr:nvPicPr>
        <xdr:cNvPr id="1712" name="Picture 1711">
          <a:extLst>
            <a:ext uri="{FF2B5EF4-FFF2-40B4-BE49-F238E27FC236}">
              <a16:creationId xmlns:a16="http://schemas.microsoft.com/office/drawing/2014/main" id="{B3E09F12-96CD-4B50-8646-A8B454346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</xdr:row>
      <xdr:rowOff>0</xdr:rowOff>
    </xdr:from>
    <xdr:ext cx="304800" cy="303439"/>
    <xdr:sp macro="" textlink="">
      <xdr:nvSpPr>
        <xdr:cNvPr id="1713" name="AutoShape 42">
          <a:extLst>
            <a:ext uri="{FF2B5EF4-FFF2-40B4-BE49-F238E27FC236}">
              <a16:creationId xmlns:a16="http://schemas.microsoft.com/office/drawing/2014/main" id="{DC12C15A-714F-4E39-99BA-058DA76DA6F8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1714" name="AutoShape 44">
          <a:extLst>
            <a:ext uri="{FF2B5EF4-FFF2-40B4-BE49-F238E27FC236}">
              <a16:creationId xmlns:a16="http://schemas.microsoft.com/office/drawing/2014/main" id="{4234121A-5A8A-4851-97C8-6CF68927ED9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15" name="Picture 1714">
          <a:extLst>
            <a:ext uri="{FF2B5EF4-FFF2-40B4-BE49-F238E27FC236}">
              <a16:creationId xmlns:a16="http://schemas.microsoft.com/office/drawing/2014/main" id="{D3246F23-4E9E-4AA7-9D50-3B94022B1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27</xdr:row>
      <xdr:rowOff>0</xdr:rowOff>
    </xdr:from>
    <xdr:ext cx="9525" cy="9525"/>
    <xdr:pic>
      <xdr:nvPicPr>
        <xdr:cNvPr id="1716" name="Picture 1715">
          <a:extLst>
            <a:ext uri="{FF2B5EF4-FFF2-40B4-BE49-F238E27FC236}">
              <a16:creationId xmlns:a16="http://schemas.microsoft.com/office/drawing/2014/main" id="{94A7775F-56F0-49C4-A8AA-CE2334B3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</xdr:row>
      <xdr:rowOff>0</xdr:rowOff>
    </xdr:from>
    <xdr:ext cx="9525" cy="9525"/>
    <xdr:pic>
      <xdr:nvPicPr>
        <xdr:cNvPr id="1717" name="Picture 1716">
          <a:extLst>
            <a:ext uri="{FF2B5EF4-FFF2-40B4-BE49-F238E27FC236}">
              <a16:creationId xmlns:a16="http://schemas.microsoft.com/office/drawing/2014/main" id="{5D55CEB8-9DF0-49BC-BEE7-90FD1AA61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</xdr:row>
      <xdr:rowOff>0</xdr:rowOff>
    </xdr:from>
    <xdr:ext cx="304800" cy="303439"/>
    <xdr:sp macro="" textlink="">
      <xdr:nvSpPr>
        <xdr:cNvPr id="1718" name="AutoShape 48">
          <a:extLst>
            <a:ext uri="{FF2B5EF4-FFF2-40B4-BE49-F238E27FC236}">
              <a16:creationId xmlns:a16="http://schemas.microsoft.com/office/drawing/2014/main" id="{2ECA6A69-40AB-4239-8784-1CDE4C8B8AD3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4</xdr:row>
      <xdr:rowOff>0</xdr:rowOff>
    </xdr:from>
    <xdr:ext cx="9525" cy="9525"/>
    <xdr:pic>
      <xdr:nvPicPr>
        <xdr:cNvPr id="1719" name="Picture 1718">
          <a:extLst>
            <a:ext uri="{FF2B5EF4-FFF2-40B4-BE49-F238E27FC236}">
              <a16:creationId xmlns:a16="http://schemas.microsoft.com/office/drawing/2014/main" id="{023951BB-592C-4DA2-973D-8DE714402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9525" cy="9525"/>
    <xdr:pic>
      <xdr:nvPicPr>
        <xdr:cNvPr id="1720" name="Picture 1719">
          <a:extLst>
            <a:ext uri="{FF2B5EF4-FFF2-40B4-BE49-F238E27FC236}">
              <a16:creationId xmlns:a16="http://schemas.microsoft.com/office/drawing/2014/main" id="{DAF4628D-148D-4BB7-A2EE-B3C443277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9525" cy="9525"/>
    <xdr:pic>
      <xdr:nvPicPr>
        <xdr:cNvPr id="1721" name="Picture 1720">
          <a:extLst>
            <a:ext uri="{FF2B5EF4-FFF2-40B4-BE49-F238E27FC236}">
              <a16:creationId xmlns:a16="http://schemas.microsoft.com/office/drawing/2014/main" id="{AE201FE5-AA3B-4486-BBB7-A18201E4B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304800" cy="304800"/>
    <xdr:sp macro="" textlink="">
      <xdr:nvSpPr>
        <xdr:cNvPr id="1722" name="AutoShape 52">
          <a:extLst>
            <a:ext uri="{FF2B5EF4-FFF2-40B4-BE49-F238E27FC236}">
              <a16:creationId xmlns:a16="http://schemas.microsoft.com/office/drawing/2014/main" id="{88224C76-7125-4A7E-B7AA-EE75BF6D33C6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23" name="Picture 1722">
          <a:extLst>
            <a:ext uri="{FF2B5EF4-FFF2-40B4-BE49-F238E27FC236}">
              <a16:creationId xmlns:a16="http://schemas.microsoft.com/office/drawing/2014/main" id="{B9C4A4B9-0D62-4ADD-8093-0ECA0560A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9525" cy="9525"/>
    <xdr:pic>
      <xdr:nvPicPr>
        <xdr:cNvPr id="1724" name="Picture 1723">
          <a:extLst>
            <a:ext uri="{FF2B5EF4-FFF2-40B4-BE49-F238E27FC236}">
              <a16:creationId xmlns:a16="http://schemas.microsoft.com/office/drawing/2014/main" id="{89EC3FEB-5748-438E-88CE-6C1D6230F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304800" cy="303440"/>
    <xdr:sp macro="" textlink="">
      <xdr:nvSpPr>
        <xdr:cNvPr id="1725" name="AutoShape 55">
          <a:extLst>
            <a:ext uri="{FF2B5EF4-FFF2-40B4-BE49-F238E27FC236}">
              <a16:creationId xmlns:a16="http://schemas.microsoft.com/office/drawing/2014/main" id="{06CA3B2F-F64A-45E2-8B8A-CBFB097B65F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26" name="Picture 1725">
          <a:extLst>
            <a:ext uri="{FF2B5EF4-FFF2-40B4-BE49-F238E27FC236}">
              <a16:creationId xmlns:a16="http://schemas.microsoft.com/office/drawing/2014/main" id="{1A92B330-E2B6-49F7-BB6F-B07BA8BC5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27" name="Picture 1726">
          <a:extLst>
            <a:ext uri="{FF2B5EF4-FFF2-40B4-BE49-F238E27FC236}">
              <a16:creationId xmlns:a16="http://schemas.microsoft.com/office/drawing/2014/main" id="{6BF1EB22-27DA-46B5-A246-8E9327B3A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28" name="Picture 1727">
          <a:extLst>
            <a:ext uri="{FF2B5EF4-FFF2-40B4-BE49-F238E27FC236}">
              <a16:creationId xmlns:a16="http://schemas.microsoft.com/office/drawing/2014/main" id="{FC142290-1D33-4001-AACE-FFC68EF7A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29" name="Picture 1728">
          <a:extLst>
            <a:ext uri="{FF2B5EF4-FFF2-40B4-BE49-F238E27FC236}">
              <a16:creationId xmlns:a16="http://schemas.microsoft.com/office/drawing/2014/main" id="{AA7F9561-3EC3-4352-A4C3-D7BD42357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30" name="Picture 1729">
          <a:extLst>
            <a:ext uri="{FF2B5EF4-FFF2-40B4-BE49-F238E27FC236}">
              <a16:creationId xmlns:a16="http://schemas.microsoft.com/office/drawing/2014/main" id="{69C97C94-F8C7-4EAA-9399-FDC62F1AF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731" name="AutoShape 61">
          <a:extLst>
            <a:ext uri="{FF2B5EF4-FFF2-40B4-BE49-F238E27FC236}">
              <a16:creationId xmlns:a16="http://schemas.microsoft.com/office/drawing/2014/main" id="{C69E9EB6-8CC0-42A8-B2A0-6B93785A4235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32" name="Picture 1731">
          <a:extLst>
            <a:ext uri="{FF2B5EF4-FFF2-40B4-BE49-F238E27FC236}">
              <a16:creationId xmlns:a16="http://schemas.microsoft.com/office/drawing/2014/main" id="{92A28BA2-F09C-4BBE-9F39-257D19E0D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733" name="AutoShape 63">
          <a:extLst>
            <a:ext uri="{FF2B5EF4-FFF2-40B4-BE49-F238E27FC236}">
              <a16:creationId xmlns:a16="http://schemas.microsoft.com/office/drawing/2014/main" id="{9947B62E-0808-44F9-B8F5-A4E28569BC14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9525" cy="9525"/>
    <xdr:pic>
      <xdr:nvPicPr>
        <xdr:cNvPr id="1734" name="Picture 1733">
          <a:extLst>
            <a:ext uri="{FF2B5EF4-FFF2-40B4-BE49-F238E27FC236}">
              <a16:creationId xmlns:a16="http://schemas.microsoft.com/office/drawing/2014/main" id="{E866B6D7-9BC5-49DE-A864-E35624CB1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</xdr:row>
      <xdr:rowOff>0</xdr:rowOff>
    </xdr:from>
    <xdr:ext cx="304800" cy="303439"/>
    <xdr:sp macro="" textlink="">
      <xdr:nvSpPr>
        <xdr:cNvPr id="1735" name="AutoShape 65">
          <a:extLst>
            <a:ext uri="{FF2B5EF4-FFF2-40B4-BE49-F238E27FC236}">
              <a16:creationId xmlns:a16="http://schemas.microsoft.com/office/drawing/2014/main" id="{D231E91E-6AFE-4E64-90DA-5E12C9B114D4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1736" name="AutoShape 67">
          <a:extLst>
            <a:ext uri="{FF2B5EF4-FFF2-40B4-BE49-F238E27FC236}">
              <a16:creationId xmlns:a16="http://schemas.microsoft.com/office/drawing/2014/main" id="{EEF8D1CB-F226-4C0B-9D17-0D241BB81AC2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37" name="Picture 1736">
          <a:extLst>
            <a:ext uri="{FF2B5EF4-FFF2-40B4-BE49-F238E27FC236}">
              <a16:creationId xmlns:a16="http://schemas.microsoft.com/office/drawing/2014/main" id="{B68ECDC8-7B03-446C-809A-69FA71FC5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1738" name="AutoShape 69">
          <a:extLst>
            <a:ext uri="{FF2B5EF4-FFF2-40B4-BE49-F238E27FC236}">
              <a16:creationId xmlns:a16="http://schemas.microsoft.com/office/drawing/2014/main" id="{76B40836-0C44-40F6-B023-671AC2A9C9A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27</xdr:row>
      <xdr:rowOff>0</xdr:rowOff>
    </xdr:from>
    <xdr:ext cx="9525" cy="9525"/>
    <xdr:pic>
      <xdr:nvPicPr>
        <xdr:cNvPr id="1739" name="Picture 1738">
          <a:extLst>
            <a:ext uri="{FF2B5EF4-FFF2-40B4-BE49-F238E27FC236}">
              <a16:creationId xmlns:a16="http://schemas.microsoft.com/office/drawing/2014/main" id="{F17672D1-2C5C-406C-A75A-8795A5963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40" name="Picture 1739">
          <a:extLst>
            <a:ext uri="{FF2B5EF4-FFF2-40B4-BE49-F238E27FC236}">
              <a16:creationId xmlns:a16="http://schemas.microsoft.com/office/drawing/2014/main" id="{841096A0-8C88-4420-819B-334C2B342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</xdr:row>
      <xdr:rowOff>0</xdr:rowOff>
    </xdr:from>
    <xdr:ext cx="9525" cy="9525"/>
    <xdr:pic>
      <xdr:nvPicPr>
        <xdr:cNvPr id="1741" name="Picture 1740">
          <a:extLst>
            <a:ext uri="{FF2B5EF4-FFF2-40B4-BE49-F238E27FC236}">
              <a16:creationId xmlns:a16="http://schemas.microsoft.com/office/drawing/2014/main" id="{6F215138-68C6-403F-B1B7-CDB6DDC3C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</xdr:row>
      <xdr:rowOff>0</xdr:rowOff>
    </xdr:from>
    <xdr:ext cx="304800" cy="303439"/>
    <xdr:sp macro="" textlink="">
      <xdr:nvSpPr>
        <xdr:cNvPr id="1742" name="AutoShape 98">
          <a:extLst>
            <a:ext uri="{FF2B5EF4-FFF2-40B4-BE49-F238E27FC236}">
              <a16:creationId xmlns:a16="http://schemas.microsoft.com/office/drawing/2014/main" id="{81A52A38-C099-40D6-8720-9ECC4A8BB5C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4</xdr:row>
      <xdr:rowOff>0</xdr:rowOff>
    </xdr:from>
    <xdr:ext cx="9525" cy="9525"/>
    <xdr:pic>
      <xdr:nvPicPr>
        <xdr:cNvPr id="1743" name="Picture 1742">
          <a:extLst>
            <a:ext uri="{FF2B5EF4-FFF2-40B4-BE49-F238E27FC236}">
              <a16:creationId xmlns:a16="http://schemas.microsoft.com/office/drawing/2014/main" id="{F8C95F9D-BC19-46DD-AE06-C3D02FAC8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9525" cy="9525"/>
    <xdr:pic>
      <xdr:nvPicPr>
        <xdr:cNvPr id="1744" name="Picture 1743">
          <a:extLst>
            <a:ext uri="{FF2B5EF4-FFF2-40B4-BE49-F238E27FC236}">
              <a16:creationId xmlns:a16="http://schemas.microsoft.com/office/drawing/2014/main" id="{D95CFD3C-F9FB-4528-B531-9770F5D7C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9525" cy="9525"/>
    <xdr:pic>
      <xdr:nvPicPr>
        <xdr:cNvPr id="1745" name="Picture 1744">
          <a:extLst>
            <a:ext uri="{FF2B5EF4-FFF2-40B4-BE49-F238E27FC236}">
              <a16:creationId xmlns:a16="http://schemas.microsoft.com/office/drawing/2014/main" id="{AC0D95F9-53CB-4C9D-AFCD-361CDEA73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304800" cy="304800"/>
    <xdr:sp macro="" textlink="">
      <xdr:nvSpPr>
        <xdr:cNvPr id="1746" name="AutoShape 102">
          <a:extLst>
            <a:ext uri="{FF2B5EF4-FFF2-40B4-BE49-F238E27FC236}">
              <a16:creationId xmlns:a16="http://schemas.microsoft.com/office/drawing/2014/main" id="{D84AC989-580E-49DB-9FE7-89AEA8138214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47" name="Picture 1746">
          <a:extLst>
            <a:ext uri="{FF2B5EF4-FFF2-40B4-BE49-F238E27FC236}">
              <a16:creationId xmlns:a16="http://schemas.microsoft.com/office/drawing/2014/main" id="{6AA4CFAB-6890-4F88-B4DA-D947882DA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9525" cy="9525"/>
    <xdr:pic>
      <xdr:nvPicPr>
        <xdr:cNvPr id="1748" name="Picture 1747">
          <a:extLst>
            <a:ext uri="{FF2B5EF4-FFF2-40B4-BE49-F238E27FC236}">
              <a16:creationId xmlns:a16="http://schemas.microsoft.com/office/drawing/2014/main" id="{37E46D63-BB55-4BB1-B159-47214A0E0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304800" cy="303440"/>
    <xdr:sp macro="" textlink="">
      <xdr:nvSpPr>
        <xdr:cNvPr id="1749" name="AutoShape 105">
          <a:extLst>
            <a:ext uri="{FF2B5EF4-FFF2-40B4-BE49-F238E27FC236}">
              <a16:creationId xmlns:a16="http://schemas.microsoft.com/office/drawing/2014/main" id="{ECCCB4EE-9F32-4609-828B-3CFE7DDEFF36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50" name="Picture 1749">
          <a:extLst>
            <a:ext uri="{FF2B5EF4-FFF2-40B4-BE49-F238E27FC236}">
              <a16:creationId xmlns:a16="http://schemas.microsoft.com/office/drawing/2014/main" id="{8D49785F-0201-4B01-9177-1EAFEB690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51" name="Picture 1750">
          <a:extLst>
            <a:ext uri="{FF2B5EF4-FFF2-40B4-BE49-F238E27FC236}">
              <a16:creationId xmlns:a16="http://schemas.microsoft.com/office/drawing/2014/main" id="{1835616A-F944-430E-B6CC-1ACC051FF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52" name="Picture 1751">
          <a:extLst>
            <a:ext uri="{FF2B5EF4-FFF2-40B4-BE49-F238E27FC236}">
              <a16:creationId xmlns:a16="http://schemas.microsoft.com/office/drawing/2014/main" id="{8BFDDB0C-1568-46BB-B1E6-74CB2DC33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53" name="Picture 1752">
          <a:extLst>
            <a:ext uri="{FF2B5EF4-FFF2-40B4-BE49-F238E27FC236}">
              <a16:creationId xmlns:a16="http://schemas.microsoft.com/office/drawing/2014/main" id="{0206DC1A-E7B4-4AA9-908F-F1ED5A62D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54" name="Picture 1753">
          <a:extLst>
            <a:ext uri="{FF2B5EF4-FFF2-40B4-BE49-F238E27FC236}">
              <a16:creationId xmlns:a16="http://schemas.microsoft.com/office/drawing/2014/main" id="{D613C92D-E614-495E-9072-BCE143C3F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755" name="AutoShape 111">
          <a:extLst>
            <a:ext uri="{FF2B5EF4-FFF2-40B4-BE49-F238E27FC236}">
              <a16:creationId xmlns:a16="http://schemas.microsoft.com/office/drawing/2014/main" id="{B269181D-A9EC-4E28-B25D-4A39B91A4AC3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56" name="Picture 1755">
          <a:extLst>
            <a:ext uri="{FF2B5EF4-FFF2-40B4-BE49-F238E27FC236}">
              <a16:creationId xmlns:a16="http://schemas.microsoft.com/office/drawing/2014/main" id="{094B60B9-E89F-4560-A385-C2D90AC58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757" name="AutoShape 113">
          <a:extLst>
            <a:ext uri="{FF2B5EF4-FFF2-40B4-BE49-F238E27FC236}">
              <a16:creationId xmlns:a16="http://schemas.microsoft.com/office/drawing/2014/main" id="{76627368-33E9-41ED-B133-13BD2C8B06F3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9525" cy="9525"/>
    <xdr:pic>
      <xdr:nvPicPr>
        <xdr:cNvPr id="1758" name="Picture 1757">
          <a:extLst>
            <a:ext uri="{FF2B5EF4-FFF2-40B4-BE49-F238E27FC236}">
              <a16:creationId xmlns:a16="http://schemas.microsoft.com/office/drawing/2014/main" id="{06922D89-31A1-4946-98EF-3FAC7E1F1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</xdr:row>
      <xdr:rowOff>0</xdr:rowOff>
    </xdr:from>
    <xdr:ext cx="304800" cy="303439"/>
    <xdr:sp macro="" textlink="">
      <xdr:nvSpPr>
        <xdr:cNvPr id="1759" name="AutoShape 115">
          <a:extLst>
            <a:ext uri="{FF2B5EF4-FFF2-40B4-BE49-F238E27FC236}">
              <a16:creationId xmlns:a16="http://schemas.microsoft.com/office/drawing/2014/main" id="{1289536F-2EB1-4308-92B4-A197A7CE57A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60" name="Picture 1759">
          <a:extLst>
            <a:ext uri="{FF2B5EF4-FFF2-40B4-BE49-F238E27FC236}">
              <a16:creationId xmlns:a16="http://schemas.microsoft.com/office/drawing/2014/main" id="{F8B8C058-C3A8-47D9-9E56-1776E0EB7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1761" name="AutoShape 117">
          <a:extLst>
            <a:ext uri="{FF2B5EF4-FFF2-40B4-BE49-F238E27FC236}">
              <a16:creationId xmlns:a16="http://schemas.microsoft.com/office/drawing/2014/main" id="{A4834D13-31AD-4326-A655-AF61CD9FA175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62" name="Picture 1761">
          <a:extLst>
            <a:ext uri="{FF2B5EF4-FFF2-40B4-BE49-F238E27FC236}">
              <a16:creationId xmlns:a16="http://schemas.microsoft.com/office/drawing/2014/main" id="{039A707E-DFF2-43E2-A3A1-624583A50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1763" name="AutoShape 119">
          <a:extLst>
            <a:ext uri="{FF2B5EF4-FFF2-40B4-BE49-F238E27FC236}">
              <a16:creationId xmlns:a16="http://schemas.microsoft.com/office/drawing/2014/main" id="{48A1D7E3-52D1-4982-AF6C-E6874758F735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27</xdr:row>
      <xdr:rowOff>0</xdr:rowOff>
    </xdr:from>
    <xdr:ext cx="9525" cy="9525"/>
    <xdr:pic>
      <xdr:nvPicPr>
        <xdr:cNvPr id="1764" name="Picture 1763">
          <a:extLst>
            <a:ext uri="{FF2B5EF4-FFF2-40B4-BE49-F238E27FC236}">
              <a16:creationId xmlns:a16="http://schemas.microsoft.com/office/drawing/2014/main" id="{CF3CF1CA-E3D7-4DFF-82D0-738EF4578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65" name="Picture 1764">
          <a:extLst>
            <a:ext uri="{FF2B5EF4-FFF2-40B4-BE49-F238E27FC236}">
              <a16:creationId xmlns:a16="http://schemas.microsoft.com/office/drawing/2014/main" id="{3FBD737E-DA28-4F92-98DC-6B96DBA9F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</xdr:row>
      <xdr:rowOff>0</xdr:rowOff>
    </xdr:from>
    <xdr:ext cx="9525" cy="9525"/>
    <xdr:pic>
      <xdr:nvPicPr>
        <xdr:cNvPr id="1766" name="Picture 1765">
          <a:extLst>
            <a:ext uri="{FF2B5EF4-FFF2-40B4-BE49-F238E27FC236}">
              <a16:creationId xmlns:a16="http://schemas.microsoft.com/office/drawing/2014/main" id="{197D194B-E412-483B-BFA3-E3673E71D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</xdr:row>
      <xdr:rowOff>0</xdr:rowOff>
    </xdr:from>
    <xdr:ext cx="304800" cy="303439"/>
    <xdr:sp macro="" textlink="">
      <xdr:nvSpPr>
        <xdr:cNvPr id="1767" name="AutoShape 123">
          <a:extLst>
            <a:ext uri="{FF2B5EF4-FFF2-40B4-BE49-F238E27FC236}">
              <a16:creationId xmlns:a16="http://schemas.microsoft.com/office/drawing/2014/main" id="{40611F04-52B0-4855-9203-C12FDD724DB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4</xdr:row>
      <xdr:rowOff>0</xdr:rowOff>
    </xdr:from>
    <xdr:ext cx="9525" cy="9525"/>
    <xdr:pic>
      <xdr:nvPicPr>
        <xdr:cNvPr id="1768" name="Picture 1767">
          <a:extLst>
            <a:ext uri="{FF2B5EF4-FFF2-40B4-BE49-F238E27FC236}">
              <a16:creationId xmlns:a16="http://schemas.microsoft.com/office/drawing/2014/main" id="{093B65B7-90F7-4049-9BB8-13E9E576D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9525" cy="9525"/>
    <xdr:pic>
      <xdr:nvPicPr>
        <xdr:cNvPr id="1769" name="Picture 1768">
          <a:extLst>
            <a:ext uri="{FF2B5EF4-FFF2-40B4-BE49-F238E27FC236}">
              <a16:creationId xmlns:a16="http://schemas.microsoft.com/office/drawing/2014/main" id="{0401E07E-E5EB-49CC-BD1F-270B0EFE9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9525" cy="9525"/>
    <xdr:pic>
      <xdr:nvPicPr>
        <xdr:cNvPr id="1770" name="Picture 1769">
          <a:extLst>
            <a:ext uri="{FF2B5EF4-FFF2-40B4-BE49-F238E27FC236}">
              <a16:creationId xmlns:a16="http://schemas.microsoft.com/office/drawing/2014/main" id="{45EB4099-AD3D-4427-BC77-B8BD5B68F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</xdr:row>
      <xdr:rowOff>0</xdr:rowOff>
    </xdr:from>
    <xdr:ext cx="304800" cy="304800"/>
    <xdr:sp macro="" textlink="">
      <xdr:nvSpPr>
        <xdr:cNvPr id="1771" name="AutoShape 127">
          <a:extLst>
            <a:ext uri="{FF2B5EF4-FFF2-40B4-BE49-F238E27FC236}">
              <a16:creationId xmlns:a16="http://schemas.microsoft.com/office/drawing/2014/main" id="{E297108B-D814-411F-A68A-2DD6D31710A1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72" name="Picture 1771">
          <a:extLst>
            <a:ext uri="{FF2B5EF4-FFF2-40B4-BE49-F238E27FC236}">
              <a16:creationId xmlns:a16="http://schemas.microsoft.com/office/drawing/2014/main" id="{9C96B2E5-9772-4B2F-B18F-3E9E6CA4C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26</xdr:row>
      <xdr:rowOff>0</xdr:rowOff>
    </xdr:from>
    <xdr:ext cx="9525" cy="9525"/>
    <xdr:pic>
      <xdr:nvPicPr>
        <xdr:cNvPr id="1773" name="Picture 1772">
          <a:extLst>
            <a:ext uri="{FF2B5EF4-FFF2-40B4-BE49-F238E27FC236}">
              <a16:creationId xmlns:a16="http://schemas.microsoft.com/office/drawing/2014/main" id="{11A85310-3FC1-4639-815F-5F9D36DDD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</xdr:row>
      <xdr:rowOff>0</xdr:rowOff>
    </xdr:from>
    <xdr:ext cx="304800" cy="303440"/>
    <xdr:sp macro="" textlink="">
      <xdr:nvSpPr>
        <xdr:cNvPr id="1774" name="AutoShape 130">
          <a:extLst>
            <a:ext uri="{FF2B5EF4-FFF2-40B4-BE49-F238E27FC236}">
              <a16:creationId xmlns:a16="http://schemas.microsoft.com/office/drawing/2014/main" id="{DD0CED98-D182-4F2B-B622-D85B384C8271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75" name="Picture 1774">
          <a:extLst>
            <a:ext uri="{FF2B5EF4-FFF2-40B4-BE49-F238E27FC236}">
              <a16:creationId xmlns:a16="http://schemas.microsoft.com/office/drawing/2014/main" id="{387BC050-6AFE-41DD-AC21-AF56FC088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76" name="Picture 1775">
          <a:extLst>
            <a:ext uri="{FF2B5EF4-FFF2-40B4-BE49-F238E27FC236}">
              <a16:creationId xmlns:a16="http://schemas.microsoft.com/office/drawing/2014/main" id="{594255DA-D387-41F8-AE1D-519449C98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77" name="Picture 1776">
          <a:extLst>
            <a:ext uri="{FF2B5EF4-FFF2-40B4-BE49-F238E27FC236}">
              <a16:creationId xmlns:a16="http://schemas.microsoft.com/office/drawing/2014/main" id="{3862BA2D-DBC9-4DBF-AFF9-3C2EE890E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78" name="Picture 1777">
          <a:extLst>
            <a:ext uri="{FF2B5EF4-FFF2-40B4-BE49-F238E27FC236}">
              <a16:creationId xmlns:a16="http://schemas.microsoft.com/office/drawing/2014/main" id="{2CE7E54F-85B4-4DED-B13D-35ED7FE37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79" name="Picture 1778">
          <a:extLst>
            <a:ext uri="{FF2B5EF4-FFF2-40B4-BE49-F238E27FC236}">
              <a16:creationId xmlns:a16="http://schemas.microsoft.com/office/drawing/2014/main" id="{37E729D9-7DB2-4E8D-884B-716A39CC7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780" name="AutoShape 136">
          <a:extLst>
            <a:ext uri="{FF2B5EF4-FFF2-40B4-BE49-F238E27FC236}">
              <a16:creationId xmlns:a16="http://schemas.microsoft.com/office/drawing/2014/main" id="{8BF795F8-C056-4716-9F80-F742A5AD3C44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81" name="Picture 1780">
          <a:extLst>
            <a:ext uri="{FF2B5EF4-FFF2-40B4-BE49-F238E27FC236}">
              <a16:creationId xmlns:a16="http://schemas.microsoft.com/office/drawing/2014/main" id="{B8757D02-0BCC-4CE8-A4D4-46456C803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1782" name="AutoShape 138">
          <a:extLst>
            <a:ext uri="{FF2B5EF4-FFF2-40B4-BE49-F238E27FC236}">
              <a16:creationId xmlns:a16="http://schemas.microsoft.com/office/drawing/2014/main" id="{F7CE06CC-17AE-4BBC-A4A7-4385432DAF58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9525" cy="9525"/>
    <xdr:pic>
      <xdr:nvPicPr>
        <xdr:cNvPr id="1783" name="Picture 1782">
          <a:extLst>
            <a:ext uri="{FF2B5EF4-FFF2-40B4-BE49-F238E27FC236}">
              <a16:creationId xmlns:a16="http://schemas.microsoft.com/office/drawing/2014/main" id="{41D95A28-87AA-41F7-A6CF-1B13A11D6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</xdr:row>
      <xdr:rowOff>0</xdr:rowOff>
    </xdr:from>
    <xdr:ext cx="304800" cy="303439"/>
    <xdr:sp macro="" textlink="">
      <xdr:nvSpPr>
        <xdr:cNvPr id="1784" name="AutoShape 140">
          <a:extLst>
            <a:ext uri="{FF2B5EF4-FFF2-40B4-BE49-F238E27FC236}">
              <a16:creationId xmlns:a16="http://schemas.microsoft.com/office/drawing/2014/main" id="{7FFCD387-6B07-4FCC-99B9-03A966FB2308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85" name="Picture 1784">
          <a:extLst>
            <a:ext uri="{FF2B5EF4-FFF2-40B4-BE49-F238E27FC236}">
              <a16:creationId xmlns:a16="http://schemas.microsoft.com/office/drawing/2014/main" id="{5ADE04A8-691F-48FD-9965-31BD1CBF5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1786" name="AutoShape 142">
          <a:extLst>
            <a:ext uri="{FF2B5EF4-FFF2-40B4-BE49-F238E27FC236}">
              <a16:creationId xmlns:a16="http://schemas.microsoft.com/office/drawing/2014/main" id="{C72F012C-A231-49FC-9743-40EFB6DBCEB6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87" name="Picture 1786">
          <a:extLst>
            <a:ext uri="{FF2B5EF4-FFF2-40B4-BE49-F238E27FC236}">
              <a16:creationId xmlns:a16="http://schemas.microsoft.com/office/drawing/2014/main" id="{6C40C1FC-1C43-4FA9-8817-90CD17FDB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1788" name="AutoShape 144">
          <a:extLst>
            <a:ext uri="{FF2B5EF4-FFF2-40B4-BE49-F238E27FC236}">
              <a16:creationId xmlns:a16="http://schemas.microsoft.com/office/drawing/2014/main" id="{3A5AC226-7872-4604-AE0E-A92D0C11DB7C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27</xdr:row>
      <xdr:rowOff>0</xdr:rowOff>
    </xdr:from>
    <xdr:ext cx="9525" cy="9525"/>
    <xdr:pic>
      <xdr:nvPicPr>
        <xdr:cNvPr id="1789" name="Picture 1788">
          <a:extLst>
            <a:ext uri="{FF2B5EF4-FFF2-40B4-BE49-F238E27FC236}">
              <a16:creationId xmlns:a16="http://schemas.microsoft.com/office/drawing/2014/main" id="{4BC5C72F-246A-446A-96E5-625E80CCF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1790" name="Picture 1789">
          <a:extLst>
            <a:ext uri="{FF2B5EF4-FFF2-40B4-BE49-F238E27FC236}">
              <a16:creationId xmlns:a16="http://schemas.microsoft.com/office/drawing/2014/main" id="{FBD5D863-5150-4367-A6D7-989D32E25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9525" cy="9525"/>
    <xdr:pic>
      <xdr:nvPicPr>
        <xdr:cNvPr id="1791" name="Picture 1790">
          <a:extLst>
            <a:ext uri="{FF2B5EF4-FFF2-40B4-BE49-F238E27FC236}">
              <a16:creationId xmlns:a16="http://schemas.microsoft.com/office/drawing/2014/main" id="{EB1ED24C-03D6-4877-AB55-10DDEF47F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9525" cy="9525"/>
    <xdr:pic>
      <xdr:nvPicPr>
        <xdr:cNvPr id="1792" name="Picture 1791">
          <a:extLst>
            <a:ext uri="{FF2B5EF4-FFF2-40B4-BE49-F238E27FC236}">
              <a16:creationId xmlns:a16="http://schemas.microsoft.com/office/drawing/2014/main" id="{37E48437-B308-4A1C-B169-89620DDF9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9525" cy="9525"/>
    <xdr:pic>
      <xdr:nvPicPr>
        <xdr:cNvPr id="1793" name="Picture 1792">
          <a:extLst>
            <a:ext uri="{FF2B5EF4-FFF2-40B4-BE49-F238E27FC236}">
              <a16:creationId xmlns:a16="http://schemas.microsoft.com/office/drawing/2014/main" id="{1255FF6B-8D41-4D36-9F16-E1856D216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</xdr:row>
      <xdr:rowOff>0</xdr:rowOff>
    </xdr:from>
    <xdr:ext cx="9525" cy="9525"/>
    <xdr:pic>
      <xdr:nvPicPr>
        <xdr:cNvPr id="1794" name="Picture 1793">
          <a:extLst>
            <a:ext uri="{FF2B5EF4-FFF2-40B4-BE49-F238E27FC236}">
              <a16:creationId xmlns:a16="http://schemas.microsoft.com/office/drawing/2014/main" id="{0AE1F4B3-AD48-4013-9EC3-47A91830E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9525" cy="9525"/>
    <xdr:pic>
      <xdr:nvPicPr>
        <xdr:cNvPr id="1795" name="Picture 1794">
          <a:extLst>
            <a:ext uri="{FF2B5EF4-FFF2-40B4-BE49-F238E27FC236}">
              <a16:creationId xmlns:a16="http://schemas.microsoft.com/office/drawing/2014/main" id="{24DAB345-BF2C-430A-B34D-21B244083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9525" cy="9525"/>
    <xdr:pic>
      <xdr:nvPicPr>
        <xdr:cNvPr id="1796" name="Picture 1795">
          <a:extLst>
            <a:ext uri="{FF2B5EF4-FFF2-40B4-BE49-F238E27FC236}">
              <a16:creationId xmlns:a16="http://schemas.microsoft.com/office/drawing/2014/main" id="{B392DBFD-B43D-46D5-9DEA-344A7E0BB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9525" cy="9525"/>
    <xdr:pic>
      <xdr:nvPicPr>
        <xdr:cNvPr id="1797" name="Picture 1796">
          <a:extLst>
            <a:ext uri="{FF2B5EF4-FFF2-40B4-BE49-F238E27FC236}">
              <a16:creationId xmlns:a16="http://schemas.microsoft.com/office/drawing/2014/main" id="{3187F09A-8557-459A-AFDB-E6810C2DE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9525" cy="9525"/>
    <xdr:pic>
      <xdr:nvPicPr>
        <xdr:cNvPr id="1798" name="Picture 1797">
          <a:extLst>
            <a:ext uri="{FF2B5EF4-FFF2-40B4-BE49-F238E27FC236}">
              <a16:creationId xmlns:a16="http://schemas.microsoft.com/office/drawing/2014/main" id="{1CA573E6-F157-43F4-AF06-3A9F325D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9525" cy="9525"/>
    <xdr:pic>
      <xdr:nvPicPr>
        <xdr:cNvPr id="1799" name="Picture 1798">
          <a:extLst>
            <a:ext uri="{FF2B5EF4-FFF2-40B4-BE49-F238E27FC236}">
              <a16:creationId xmlns:a16="http://schemas.microsoft.com/office/drawing/2014/main" id="{B98BE9BF-ADEE-4A1C-967B-A025BDE52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9525" cy="9525"/>
    <xdr:pic>
      <xdr:nvPicPr>
        <xdr:cNvPr id="1800" name="Picture 1799">
          <a:extLst>
            <a:ext uri="{FF2B5EF4-FFF2-40B4-BE49-F238E27FC236}">
              <a16:creationId xmlns:a16="http://schemas.microsoft.com/office/drawing/2014/main" id="{10834B73-9631-421C-9D9A-66B423311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9525" cy="9525"/>
    <xdr:pic>
      <xdr:nvPicPr>
        <xdr:cNvPr id="1801" name="Picture 1800">
          <a:extLst>
            <a:ext uri="{FF2B5EF4-FFF2-40B4-BE49-F238E27FC236}">
              <a16:creationId xmlns:a16="http://schemas.microsoft.com/office/drawing/2014/main" id="{B74A512A-386A-40C2-A6FA-B17669BE7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0</xdr:rowOff>
    </xdr:from>
    <xdr:ext cx="9525" cy="9525"/>
    <xdr:pic>
      <xdr:nvPicPr>
        <xdr:cNvPr id="1802" name="Picture 1801">
          <a:extLst>
            <a:ext uri="{FF2B5EF4-FFF2-40B4-BE49-F238E27FC236}">
              <a16:creationId xmlns:a16="http://schemas.microsoft.com/office/drawing/2014/main" id="{5E168C05-F11B-4755-858C-AA2333EF9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9525" cy="9525"/>
    <xdr:pic>
      <xdr:nvPicPr>
        <xdr:cNvPr id="1803" name="Picture 1802">
          <a:extLst>
            <a:ext uri="{FF2B5EF4-FFF2-40B4-BE49-F238E27FC236}">
              <a16:creationId xmlns:a16="http://schemas.microsoft.com/office/drawing/2014/main" id="{1C76DDB7-320E-4825-9664-578386C3E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9525" cy="9525"/>
    <xdr:pic>
      <xdr:nvPicPr>
        <xdr:cNvPr id="1804" name="Picture 1803">
          <a:extLst>
            <a:ext uri="{FF2B5EF4-FFF2-40B4-BE49-F238E27FC236}">
              <a16:creationId xmlns:a16="http://schemas.microsoft.com/office/drawing/2014/main" id="{D4387C1F-96BA-4086-8024-60FC12F14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3440"/>
    <xdr:sp macro="" textlink="">
      <xdr:nvSpPr>
        <xdr:cNvPr id="1805" name="AutoShape 69">
          <a:extLst>
            <a:ext uri="{FF2B5EF4-FFF2-40B4-BE49-F238E27FC236}">
              <a16:creationId xmlns:a16="http://schemas.microsoft.com/office/drawing/2014/main" id="{45DCC44D-154A-4171-8B3E-65567E2F6B91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16</xdr:row>
      <xdr:rowOff>0</xdr:rowOff>
    </xdr:from>
    <xdr:ext cx="9525" cy="9525"/>
    <xdr:pic>
      <xdr:nvPicPr>
        <xdr:cNvPr id="1806" name="Picture 1805">
          <a:extLst>
            <a:ext uri="{FF2B5EF4-FFF2-40B4-BE49-F238E27FC236}">
              <a16:creationId xmlns:a16="http://schemas.microsoft.com/office/drawing/2014/main" id="{485FE831-20FB-494A-A854-43957F9FB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3440"/>
    <xdr:sp macro="" textlink="">
      <xdr:nvSpPr>
        <xdr:cNvPr id="1807" name="AutoShape 119">
          <a:extLst>
            <a:ext uri="{FF2B5EF4-FFF2-40B4-BE49-F238E27FC236}">
              <a16:creationId xmlns:a16="http://schemas.microsoft.com/office/drawing/2014/main" id="{51BBA287-897D-4D3C-89A9-0B97D2B477E1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16</xdr:row>
      <xdr:rowOff>0</xdr:rowOff>
    </xdr:from>
    <xdr:ext cx="9525" cy="9525"/>
    <xdr:pic>
      <xdr:nvPicPr>
        <xdr:cNvPr id="1808" name="Picture 1807">
          <a:extLst>
            <a:ext uri="{FF2B5EF4-FFF2-40B4-BE49-F238E27FC236}">
              <a16:creationId xmlns:a16="http://schemas.microsoft.com/office/drawing/2014/main" id="{7C9E7258-91A5-48D4-ACBF-9A256219C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</xdr:row>
      <xdr:rowOff>0</xdr:rowOff>
    </xdr:from>
    <xdr:ext cx="304800" cy="303440"/>
    <xdr:sp macro="" textlink="">
      <xdr:nvSpPr>
        <xdr:cNvPr id="1809" name="AutoShape 144">
          <a:extLst>
            <a:ext uri="{FF2B5EF4-FFF2-40B4-BE49-F238E27FC236}">
              <a16:creationId xmlns:a16="http://schemas.microsoft.com/office/drawing/2014/main" id="{55C6EFB7-6AD6-44E0-9093-545338A254E1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19</xdr:row>
      <xdr:rowOff>0</xdr:rowOff>
    </xdr:from>
    <xdr:ext cx="9525" cy="9525"/>
    <xdr:pic>
      <xdr:nvPicPr>
        <xdr:cNvPr id="1810" name="Picture 1809">
          <a:extLst>
            <a:ext uri="{FF2B5EF4-FFF2-40B4-BE49-F238E27FC236}">
              <a16:creationId xmlns:a16="http://schemas.microsoft.com/office/drawing/2014/main" id="{D53BF338-EFDD-4C52-9426-4461F8B8A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9525" cy="9525"/>
    <xdr:pic>
      <xdr:nvPicPr>
        <xdr:cNvPr id="1811" name="Picture 1810">
          <a:extLst>
            <a:ext uri="{FF2B5EF4-FFF2-40B4-BE49-F238E27FC236}">
              <a16:creationId xmlns:a16="http://schemas.microsoft.com/office/drawing/2014/main" id="{D2706273-DED8-441B-96DD-36E8F670A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</xdr:row>
      <xdr:rowOff>0</xdr:rowOff>
    </xdr:from>
    <xdr:ext cx="9525" cy="9525"/>
    <xdr:pic>
      <xdr:nvPicPr>
        <xdr:cNvPr id="1812" name="Picture 1811">
          <a:extLst>
            <a:ext uri="{FF2B5EF4-FFF2-40B4-BE49-F238E27FC236}">
              <a16:creationId xmlns:a16="http://schemas.microsoft.com/office/drawing/2014/main" id="{1625753E-2103-452C-983E-9BCBBF167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</xdr:row>
      <xdr:rowOff>0</xdr:rowOff>
    </xdr:from>
    <xdr:ext cx="9525" cy="9525"/>
    <xdr:pic>
      <xdr:nvPicPr>
        <xdr:cNvPr id="1813" name="Picture 1812">
          <a:extLst>
            <a:ext uri="{FF2B5EF4-FFF2-40B4-BE49-F238E27FC236}">
              <a16:creationId xmlns:a16="http://schemas.microsoft.com/office/drawing/2014/main" id="{8DF2D3AE-7F3B-4111-B2E5-A73908B8C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304800" cy="304800"/>
    <xdr:sp macro="" textlink="">
      <xdr:nvSpPr>
        <xdr:cNvPr id="1814" name="AutoShape 40">
          <a:extLst>
            <a:ext uri="{FF2B5EF4-FFF2-40B4-BE49-F238E27FC236}">
              <a16:creationId xmlns:a16="http://schemas.microsoft.com/office/drawing/2014/main" id="{8BAFF081-2225-4136-B0C0-72789CC7C7B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304800" cy="303439"/>
    <xdr:sp macro="" textlink="">
      <xdr:nvSpPr>
        <xdr:cNvPr id="1815" name="AutoShape 42">
          <a:extLst>
            <a:ext uri="{FF2B5EF4-FFF2-40B4-BE49-F238E27FC236}">
              <a16:creationId xmlns:a16="http://schemas.microsoft.com/office/drawing/2014/main" id="{2D25BB1F-1052-4F9B-936A-8DBD690BE2BD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9525" cy="9525"/>
    <xdr:pic>
      <xdr:nvPicPr>
        <xdr:cNvPr id="1816" name="Picture 1815">
          <a:extLst>
            <a:ext uri="{FF2B5EF4-FFF2-40B4-BE49-F238E27FC236}">
              <a16:creationId xmlns:a16="http://schemas.microsoft.com/office/drawing/2014/main" id="{E75632F1-E0EC-48EB-BD86-A08471853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304800" cy="304800"/>
    <xdr:sp macro="" textlink="">
      <xdr:nvSpPr>
        <xdr:cNvPr id="1817" name="AutoShape 63">
          <a:extLst>
            <a:ext uri="{FF2B5EF4-FFF2-40B4-BE49-F238E27FC236}">
              <a16:creationId xmlns:a16="http://schemas.microsoft.com/office/drawing/2014/main" id="{BFAB4FB8-1713-418D-BF0B-8706442DE55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304800" cy="303439"/>
    <xdr:sp macro="" textlink="">
      <xdr:nvSpPr>
        <xdr:cNvPr id="1818" name="AutoShape 65">
          <a:extLst>
            <a:ext uri="{FF2B5EF4-FFF2-40B4-BE49-F238E27FC236}">
              <a16:creationId xmlns:a16="http://schemas.microsoft.com/office/drawing/2014/main" id="{23CC596E-D634-4BDF-AE4B-3506D10E5C4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9525" cy="9525"/>
    <xdr:pic>
      <xdr:nvPicPr>
        <xdr:cNvPr id="1819" name="Picture 1818">
          <a:extLst>
            <a:ext uri="{FF2B5EF4-FFF2-40B4-BE49-F238E27FC236}">
              <a16:creationId xmlns:a16="http://schemas.microsoft.com/office/drawing/2014/main" id="{093450CB-54EA-4D2D-BDFB-217029B7F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304800" cy="304800"/>
    <xdr:sp macro="" textlink="">
      <xdr:nvSpPr>
        <xdr:cNvPr id="1820" name="AutoShape 113">
          <a:extLst>
            <a:ext uri="{FF2B5EF4-FFF2-40B4-BE49-F238E27FC236}">
              <a16:creationId xmlns:a16="http://schemas.microsoft.com/office/drawing/2014/main" id="{9B64C484-DABF-456D-8FB1-B258EA34218D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304800" cy="303439"/>
    <xdr:sp macro="" textlink="">
      <xdr:nvSpPr>
        <xdr:cNvPr id="1821" name="AutoShape 115">
          <a:extLst>
            <a:ext uri="{FF2B5EF4-FFF2-40B4-BE49-F238E27FC236}">
              <a16:creationId xmlns:a16="http://schemas.microsoft.com/office/drawing/2014/main" id="{41C2E78C-322F-48E6-9A98-D6A6F2BA8B4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9525" cy="9525"/>
    <xdr:pic>
      <xdr:nvPicPr>
        <xdr:cNvPr id="1822" name="Picture 1821">
          <a:extLst>
            <a:ext uri="{FF2B5EF4-FFF2-40B4-BE49-F238E27FC236}">
              <a16:creationId xmlns:a16="http://schemas.microsoft.com/office/drawing/2014/main" id="{041BA959-276D-4ED6-87B3-197BE7F99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</xdr:row>
      <xdr:rowOff>0</xdr:rowOff>
    </xdr:from>
    <xdr:ext cx="304800" cy="304800"/>
    <xdr:sp macro="" textlink="">
      <xdr:nvSpPr>
        <xdr:cNvPr id="1823" name="AutoShape 138">
          <a:extLst>
            <a:ext uri="{FF2B5EF4-FFF2-40B4-BE49-F238E27FC236}">
              <a16:creationId xmlns:a16="http://schemas.microsoft.com/office/drawing/2014/main" id="{166A6B03-571A-4E67-8173-562DE65B55CE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17</xdr:row>
      <xdr:rowOff>0</xdr:rowOff>
    </xdr:from>
    <xdr:ext cx="304800" cy="303439"/>
    <xdr:sp macro="" textlink="">
      <xdr:nvSpPr>
        <xdr:cNvPr id="1824" name="AutoShape 140">
          <a:extLst>
            <a:ext uri="{FF2B5EF4-FFF2-40B4-BE49-F238E27FC236}">
              <a16:creationId xmlns:a16="http://schemas.microsoft.com/office/drawing/2014/main" id="{28CFB923-D0C2-4FF4-8128-6257D69ED574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18</xdr:row>
      <xdr:rowOff>0</xdr:rowOff>
    </xdr:from>
    <xdr:ext cx="9525" cy="9525"/>
    <xdr:pic>
      <xdr:nvPicPr>
        <xdr:cNvPr id="1825" name="Picture 1824">
          <a:extLst>
            <a:ext uri="{FF2B5EF4-FFF2-40B4-BE49-F238E27FC236}">
              <a16:creationId xmlns:a16="http://schemas.microsoft.com/office/drawing/2014/main" id="{A342F770-11C5-4F75-8CBA-B2BF64E9C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9525" cy="9525"/>
    <xdr:pic>
      <xdr:nvPicPr>
        <xdr:cNvPr id="1826" name="Picture 1825">
          <a:extLst>
            <a:ext uri="{FF2B5EF4-FFF2-40B4-BE49-F238E27FC236}">
              <a16:creationId xmlns:a16="http://schemas.microsoft.com/office/drawing/2014/main" id="{D92A9CEC-DFAD-48E6-ADFB-E2D3E5AC7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9525" cy="9525"/>
    <xdr:pic>
      <xdr:nvPicPr>
        <xdr:cNvPr id="1827" name="Picture 1826">
          <a:extLst>
            <a:ext uri="{FF2B5EF4-FFF2-40B4-BE49-F238E27FC236}">
              <a16:creationId xmlns:a16="http://schemas.microsoft.com/office/drawing/2014/main" id="{44D834E2-EAE1-46F1-822A-E547DC9CD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18</xdr:row>
      <xdr:rowOff>0</xdr:rowOff>
    </xdr:from>
    <xdr:ext cx="9525" cy="9525"/>
    <xdr:pic>
      <xdr:nvPicPr>
        <xdr:cNvPr id="1828" name="Picture 1827">
          <a:extLst>
            <a:ext uri="{FF2B5EF4-FFF2-40B4-BE49-F238E27FC236}">
              <a16:creationId xmlns:a16="http://schemas.microsoft.com/office/drawing/2014/main" id="{45C6A644-149E-4C52-AC08-F4081E620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9525" cy="9525"/>
    <xdr:pic>
      <xdr:nvPicPr>
        <xdr:cNvPr id="1829" name="Picture 1828">
          <a:extLst>
            <a:ext uri="{FF2B5EF4-FFF2-40B4-BE49-F238E27FC236}">
              <a16:creationId xmlns:a16="http://schemas.microsoft.com/office/drawing/2014/main" id="{B92D4C07-2555-479C-B2AD-EA481C28F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9525" cy="9525"/>
    <xdr:pic>
      <xdr:nvPicPr>
        <xdr:cNvPr id="1830" name="Picture 1829">
          <a:extLst>
            <a:ext uri="{FF2B5EF4-FFF2-40B4-BE49-F238E27FC236}">
              <a16:creationId xmlns:a16="http://schemas.microsoft.com/office/drawing/2014/main" id="{EF920316-5573-45D4-9DCD-7370C31FF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9525" cy="9525"/>
    <xdr:pic>
      <xdr:nvPicPr>
        <xdr:cNvPr id="1831" name="Picture 1830">
          <a:extLst>
            <a:ext uri="{FF2B5EF4-FFF2-40B4-BE49-F238E27FC236}">
              <a16:creationId xmlns:a16="http://schemas.microsoft.com/office/drawing/2014/main" id="{E63B7779-4043-402B-92D2-75E2E717D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9525" cy="9525"/>
    <xdr:pic>
      <xdr:nvPicPr>
        <xdr:cNvPr id="1832" name="Picture 1831">
          <a:extLst>
            <a:ext uri="{FF2B5EF4-FFF2-40B4-BE49-F238E27FC236}">
              <a16:creationId xmlns:a16="http://schemas.microsoft.com/office/drawing/2014/main" id="{92403C3F-263C-48BA-82C9-C133F193B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</xdr:row>
      <xdr:rowOff>0</xdr:rowOff>
    </xdr:from>
    <xdr:ext cx="9525" cy="9525"/>
    <xdr:pic>
      <xdr:nvPicPr>
        <xdr:cNvPr id="1833" name="Picture 1832">
          <a:extLst>
            <a:ext uri="{FF2B5EF4-FFF2-40B4-BE49-F238E27FC236}">
              <a16:creationId xmlns:a16="http://schemas.microsoft.com/office/drawing/2014/main" id="{4406C2F1-1684-41D1-B130-EABAB4E03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304800" cy="304800"/>
    <xdr:sp macro="" textlink="">
      <xdr:nvSpPr>
        <xdr:cNvPr id="1834" name="AutoShape 38">
          <a:extLst>
            <a:ext uri="{FF2B5EF4-FFF2-40B4-BE49-F238E27FC236}">
              <a16:creationId xmlns:a16="http://schemas.microsoft.com/office/drawing/2014/main" id="{E2A48A0B-6B0C-4074-90AD-BEFEF6F41B71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304800" cy="304800"/>
    <xdr:sp macro="" textlink="">
      <xdr:nvSpPr>
        <xdr:cNvPr id="1835" name="AutoShape 40">
          <a:extLst>
            <a:ext uri="{FF2B5EF4-FFF2-40B4-BE49-F238E27FC236}">
              <a16:creationId xmlns:a16="http://schemas.microsoft.com/office/drawing/2014/main" id="{67655A48-52F3-43A9-ABE6-792BAA5C29A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9525" cy="9525"/>
    <xdr:pic>
      <xdr:nvPicPr>
        <xdr:cNvPr id="1836" name="Picture 1835">
          <a:extLst>
            <a:ext uri="{FF2B5EF4-FFF2-40B4-BE49-F238E27FC236}">
              <a16:creationId xmlns:a16="http://schemas.microsoft.com/office/drawing/2014/main" id="{1987F84C-260C-4E2A-83C5-3199B906A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304800" cy="304800"/>
    <xdr:sp macro="" textlink="">
      <xdr:nvSpPr>
        <xdr:cNvPr id="1837" name="AutoShape 61">
          <a:extLst>
            <a:ext uri="{FF2B5EF4-FFF2-40B4-BE49-F238E27FC236}">
              <a16:creationId xmlns:a16="http://schemas.microsoft.com/office/drawing/2014/main" id="{D8C7980D-3D28-49FA-A03F-B5FB423A43B3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304800" cy="304800"/>
    <xdr:sp macro="" textlink="">
      <xdr:nvSpPr>
        <xdr:cNvPr id="1838" name="AutoShape 63">
          <a:extLst>
            <a:ext uri="{FF2B5EF4-FFF2-40B4-BE49-F238E27FC236}">
              <a16:creationId xmlns:a16="http://schemas.microsoft.com/office/drawing/2014/main" id="{87C044F3-7419-4875-B622-2A66FBFA6649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9525" cy="9525"/>
    <xdr:pic>
      <xdr:nvPicPr>
        <xdr:cNvPr id="1839" name="Picture 1838">
          <a:extLst>
            <a:ext uri="{FF2B5EF4-FFF2-40B4-BE49-F238E27FC236}">
              <a16:creationId xmlns:a16="http://schemas.microsoft.com/office/drawing/2014/main" id="{CFC5EB9E-998E-460D-B8E5-E203C05D3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304800" cy="304800"/>
    <xdr:sp macro="" textlink="">
      <xdr:nvSpPr>
        <xdr:cNvPr id="1840" name="AutoShape 111">
          <a:extLst>
            <a:ext uri="{FF2B5EF4-FFF2-40B4-BE49-F238E27FC236}">
              <a16:creationId xmlns:a16="http://schemas.microsoft.com/office/drawing/2014/main" id="{427D10F8-642A-47DB-9AE0-0964D2DDDB7C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304800" cy="304800"/>
    <xdr:sp macro="" textlink="">
      <xdr:nvSpPr>
        <xdr:cNvPr id="1841" name="AutoShape 113">
          <a:extLst>
            <a:ext uri="{FF2B5EF4-FFF2-40B4-BE49-F238E27FC236}">
              <a16:creationId xmlns:a16="http://schemas.microsoft.com/office/drawing/2014/main" id="{25F1328E-4940-4D27-9ECD-75EA5363247A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9525" cy="9525"/>
    <xdr:pic>
      <xdr:nvPicPr>
        <xdr:cNvPr id="1842" name="Picture 1841">
          <a:extLst>
            <a:ext uri="{FF2B5EF4-FFF2-40B4-BE49-F238E27FC236}">
              <a16:creationId xmlns:a16="http://schemas.microsoft.com/office/drawing/2014/main" id="{D731FE6C-C6B0-46A9-87EF-43B0C3331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</xdr:row>
      <xdr:rowOff>0</xdr:rowOff>
    </xdr:from>
    <xdr:ext cx="304800" cy="304800"/>
    <xdr:sp macro="" textlink="">
      <xdr:nvSpPr>
        <xdr:cNvPr id="1843" name="AutoShape 136">
          <a:extLst>
            <a:ext uri="{FF2B5EF4-FFF2-40B4-BE49-F238E27FC236}">
              <a16:creationId xmlns:a16="http://schemas.microsoft.com/office/drawing/2014/main" id="{AD8E527B-D1E9-4AF6-A163-9C9D7151B576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304800" cy="304800"/>
    <xdr:sp macro="" textlink="">
      <xdr:nvSpPr>
        <xdr:cNvPr id="1844" name="AutoShape 138">
          <a:extLst>
            <a:ext uri="{FF2B5EF4-FFF2-40B4-BE49-F238E27FC236}">
              <a16:creationId xmlns:a16="http://schemas.microsoft.com/office/drawing/2014/main" id="{27BB6E25-17F9-4B8A-BFD2-23CD98AC1F46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22</xdr:row>
      <xdr:rowOff>0</xdr:rowOff>
    </xdr:from>
    <xdr:ext cx="9525" cy="9525"/>
    <xdr:pic>
      <xdr:nvPicPr>
        <xdr:cNvPr id="1845" name="Picture 1844">
          <a:extLst>
            <a:ext uri="{FF2B5EF4-FFF2-40B4-BE49-F238E27FC236}">
              <a16:creationId xmlns:a16="http://schemas.microsoft.com/office/drawing/2014/main" id="{25BBA498-5C59-49A6-BC15-BC6D2E10C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9525" cy="9525"/>
    <xdr:pic>
      <xdr:nvPicPr>
        <xdr:cNvPr id="1846" name="Picture 1845">
          <a:extLst>
            <a:ext uri="{FF2B5EF4-FFF2-40B4-BE49-F238E27FC236}">
              <a16:creationId xmlns:a16="http://schemas.microsoft.com/office/drawing/2014/main" id="{36FB6783-54F8-431E-8400-2672194B2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9525" cy="9525"/>
    <xdr:pic>
      <xdr:nvPicPr>
        <xdr:cNvPr id="1847" name="Picture 1846">
          <a:extLst>
            <a:ext uri="{FF2B5EF4-FFF2-40B4-BE49-F238E27FC236}">
              <a16:creationId xmlns:a16="http://schemas.microsoft.com/office/drawing/2014/main" id="{24E16E33-69E8-461B-AC85-9462FD727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22</xdr:row>
      <xdr:rowOff>0</xdr:rowOff>
    </xdr:from>
    <xdr:ext cx="9525" cy="9525"/>
    <xdr:pic>
      <xdr:nvPicPr>
        <xdr:cNvPr id="1848" name="Picture 1847">
          <a:extLst>
            <a:ext uri="{FF2B5EF4-FFF2-40B4-BE49-F238E27FC236}">
              <a16:creationId xmlns:a16="http://schemas.microsoft.com/office/drawing/2014/main" id="{6B6A9100-5DC0-4FB4-AD5C-742A8E06A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9525" cy="9525"/>
    <xdr:pic>
      <xdr:nvPicPr>
        <xdr:cNvPr id="1849" name="Picture 1848">
          <a:extLst>
            <a:ext uri="{FF2B5EF4-FFF2-40B4-BE49-F238E27FC236}">
              <a16:creationId xmlns:a16="http://schemas.microsoft.com/office/drawing/2014/main" id="{D16EAC8A-3400-4FD2-9955-182821C1A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850" name="AutoShape 38">
          <a:extLst>
            <a:ext uri="{FF2B5EF4-FFF2-40B4-BE49-F238E27FC236}">
              <a16:creationId xmlns:a16="http://schemas.microsoft.com/office/drawing/2014/main" id="{D2546F95-E768-487A-821D-06F7FE4FDF9E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23</xdr:row>
      <xdr:rowOff>0</xdr:rowOff>
    </xdr:from>
    <xdr:ext cx="9525" cy="9525"/>
    <xdr:pic>
      <xdr:nvPicPr>
        <xdr:cNvPr id="1851" name="Picture 1850">
          <a:extLst>
            <a:ext uri="{FF2B5EF4-FFF2-40B4-BE49-F238E27FC236}">
              <a16:creationId xmlns:a16="http://schemas.microsoft.com/office/drawing/2014/main" id="{B133F670-DDDB-44D1-ACC2-20775C8C5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852" name="AutoShape 61">
          <a:extLst>
            <a:ext uri="{FF2B5EF4-FFF2-40B4-BE49-F238E27FC236}">
              <a16:creationId xmlns:a16="http://schemas.microsoft.com/office/drawing/2014/main" id="{14BAB438-E269-4B11-B7EE-3A1AA4E38E62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23</xdr:row>
      <xdr:rowOff>0</xdr:rowOff>
    </xdr:from>
    <xdr:ext cx="9525" cy="9525"/>
    <xdr:pic>
      <xdr:nvPicPr>
        <xdr:cNvPr id="1853" name="Picture 1852">
          <a:extLst>
            <a:ext uri="{FF2B5EF4-FFF2-40B4-BE49-F238E27FC236}">
              <a16:creationId xmlns:a16="http://schemas.microsoft.com/office/drawing/2014/main" id="{6B304F9D-58B0-4BCB-B510-C4D4F4FA1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854" name="AutoShape 111">
          <a:extLst>
            <a:ext uri="{FF2B5EF4-FFF2-40B4-BE49-F238E27FC236}">
              <a16:creationId xmlns:a16="http://schemas.microsoft.com/office/drawing/2014/main" id="{CA9B8943-0F7C-4DE4-9516-588ED25B9D80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23</xdr:row>
      <xdr:rowOff>0</xdr:rowOff>
    </xdr:from>
    <xdr:ext cx="9525" cy="9525"/>
    <xdr:pic>
      <xdr:nvPicPr>
        <xdr:cNvPr id="1855" name="Picture 1854">
          <a:extLst>
            <a:ext uri="{FF2B5EF4-FFF2-40B4-BE49-F238E27FC236}">
              <a16:creationId xmlns:a16="http://schemas.microsoft.com/office/drawing/2014/main" id="{0E6AF7E3-6C08-4C89-A8D3-7DFC5F0EC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856" name="AutoShape 136">
          <a:extLst>
            <a:ext uri="{FF2B5EF4-FFF2-40B4-BE49-F238E27FC236}">
              <a16:creationId xmlns:a16="http://schemas.microsoft.com/office/drawing/2014/main" id="{07E27A34-51D2-42B8-B657-48DCB9096636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857" name="AutoShape 44">
          <a:extLst>
            <a:ext uri="{FF2B5EF4-FFF2-40B4-BE49-F238E27FC236}">
              <a16:creationId xmlns:a16="http://schemas.microsoft.com/office/drawing/2014/main" id="{4864796E-62F5-4496-8062-6EE917189343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858" name="AutoShape 67">
          <a:extLst>
            <a:ext uri="{FF2B5EF4-FFF2-40B4-BE49-F238E27FC236}">
              <a16:creationId xmlns:a16="http://schemas.microsoft.com/office/drawing/2014/main" id="{9D651710-D9E6-426F-B51D-A6D85168EBF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304800" cy="303440"/>
    <xdr:sp macro="" textlink="">
      <xdr:nvSpPr>
        <xdr:cNvPr id="1859" name="AutoShape 69">
          <a:extLst>
            <a:ext uri="{FF2B5EF4-FFF2-40B4-BE49-F238E27FC236}">
              <a16:creationId xmlns:a16="http://schemas.microsoft.com/office/drawing/2014/main" id="{B4F1D04A-7D9A-495A-8D5B-A78BAB1F7813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9525" cy="9525"/>
    <xdr:pic>
      <xdr:nvPicPr>
        <xdr:cNvPr id="1860" name="Picture 1859">
          <a:extLst>
            <a:ext uri="{FF2B5EF4-FFF2-40B4-BE49-F238E27FC236}">
              <a16:creationId xmlns:a16="http://schemas.microsoft.com/office/drawing/2014/main" id="{C4D875C4-B27F-4E42-8792-E51C649EA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861" name="AutoShape 117">
          <a:extLst>
            <a:ext uri="{FF2B5EF4-FFF2-40B4-BE49-F238E27FC236}">
              <a16:creationId xmlns:a16="http://schemas.microsoft.com/office/drawing/2014/main" id="{7FF549CD-FE34-4014-9638-DA3096B7431B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304800" cy="303440"/>
    <xdr:sp macro="" textlink="">
      <xdr:nvSpPr>
        <xdr:cNvPr id="1862" name="AutoShape 119">
          <a:extLst>
            <a:ext uri="{FF2B5EF4-FFF2-40B4-BE49-F238E27FC236}">
              <a16:creationId xmlns:a16="http://schemas.microsoft.com/office/drawing/2014/main" id="{8F9F15F0-3702-4531-B329-5511B0BD50C7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9525" cy="9525"/>
    <xdr:pic>
      <xdr:nvPicPr>
        <xdr:cNvPr id="1863" name="Picture 1862">
          <a:extLst>
            <a:ext uri="{FF2B5EF4-FFF2-40B4-BE49-F238E27FC236}">
              <a16:creationId xmlns:a16="http://schemas.microsoft.com/office/drawing/2014/main" id="{73216417-9629-4E7F-B0A3-120E424F6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778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</xdr:row>
      <xdr:rowOff>0</xdr:rowOff>
    </xdr:from>
    <xdr:ext cx="304800" cy="304800"/>
    <xdr:sp macro="" textlink="">
      <xdr:nvSpPr>
        <xdr:cNvPr id="1864" name="AutoShape 142">
          <a:extLst>
            <a:ext uri="{FF2B5EF4-FFF2-40B4-BE49-F238E27FC236}">
              <a16:creationId xmlns:a16="http://schemas.microsoft.com/office/drawing/2014/main" id="{15905E68-4B10-4EF1-B844-7B03927A7012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24</xdr:row>
      <xdr:rowOff>0</xdr:rowOff>
    </xdr:from>
    <xdr:ext cx="304800" cy="303440"/>
    <xdr:sp macro="" textlink="">
      <xdr:nvSpPr>
        <xdr:cNvPr id="1865" name="AutoShape 144">
          <a:extLst>
            <a:ext uri="{FF2B5EF4-FFF2-40B4-BE49-F238E27FC236}">
              <a16:creationId xmlns:a16="http://schemas.microsoft.com/office/drawing/2014/main" id="{F10A917C-C1ED-4C18-88C9-A555B2745A0F}"/>
            </a:ext>
          </a:extLst>
        </xdr:cNvPr>
        <xdr:cNvSpPr>
          <a:spLocks noChangeAspect="1" noChangeArrowheads="1"/>
        </xdr:cNvSpPr>
      </xdr:nvSpPr>
      <xdr:spPr bwMode="auto">
        <a:xfrm>
          <a:off x="3616778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3</xdr:row>
      <xdr:rowOff>0</xdr:rowOff>
    </xdr:from>
    <xdr:ext cx="9525" cy="9525"/>
    <xdr:pic>
      <xdr:nvPicPr>
        <xdr:cNvPr id="1866" name="Picture 1865">
          <a:extLst>
            <a:ext uri="{FF2B5EF4-FFF2-40B4-BE49-F238E27FC236}">
              <a16:creationId xmlns:a16="http://schemas.microsoft.com/office/drawing/2014/main" id="{B51DA963-59A6-41FB-9105-78E6B22BD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</xdr:row>
      <xdr:rowOff>0</xdr:rowOff>
    </xdr:from>
    <xdr:ext cx="304800" cy="303439"/>
    <xdr:sp macro="" textlink="">
      <xdr:nvSpPr>
        <xdr:cNvPr id="1867" name="AutoShape 148">
          <a:extLst>
            <a:ext uri="{FF2B5EF4-FFF2-40B4-BE49-F238E27FC236}">
              <a16:creationId xmlns:a16="http://schemas.microsoft.com/office/drawing/2014/main" id="{09CF5AE3-9672-4370-921F-F0D741018F31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3</xdr:row>
      <xdr:rowOff>0</xdr:rowOff>
    </xdr:from>
    <xdr:ext cx="304800" cy="304800"/>
    <xdr:sp macro="" textlink="">
      <xdr:nvSpPr>
        <xdr:cNvPr id="1868" name="AutoShape 150">
          <a:extLst>
            <a:ext uri="{FF2B5EF4-FFF2-40B4-BE49-F238E27FC236}">
              <a16:creationId xmlns:a16="http://schemas.microsoft.com/office/drawing/2014/main" id="{1DF858AC-71A7-49C2-9EC1-65B52840A44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5</xdr:row>
      <xdr:rowOff>0</xdr:rowOff>
    </xdr:from>
    <xdr:ext cx="9525" cy="9525"/>
    <xdr:pic>
      <xdr:nvPicPr>
        <xdr:cNvPr id="1869" name="Picture 1868">
          <a:extLst>
            <a:ext uri="{FF2B5EF4-FFF2-40B4-BE49-F238E27FC236}">
              <a16:creationId xmlns:a16="http://schemas.microsoft.com/office/drawing/2014/main" id="{829EF69F-2EC4-4D86-8AC6-AF5031C4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6</xdr:row>
      <xdr:rowOff>0</xdr:rowOff>
    </xdr:from>
    <xdr:ext cx="9525" cy="9525"/>
    <xdr:pic>
      <xdr:nvPicPr>
        <xdr:cNvPr id="1870" name="Picture 1869">
          <a:extLst>
            <a:ext uri="{FF2B5EF4-FFF2-40B4-BE49-F238E27FC236}">
              <a16:creationId xmlns:a16="http://schemas.microsoft.com/office/drawing/2014/main" id="{00C4DBA1-D9C4-4A2D-9AEF-F7231EEF8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871" name="Picture 1870">
          <a:extLst>
            <a:ext uri="{FF2B5EF4-FFF2-40B4-BE49-F238E27FC236}">
              <a16:creationId xmlns:a16="http://schemas.microsoft.com/office/drawing/2014/main" id="{59587759-AD49-457D-9E31-803DB68A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6</xdr:row>
      <xdr:rowOff>0</xdr:rowOff>
    </xdr:from>
    <xdr:ext cx="304800" cy="304800"/>
    <xdr:sp macro="" textlink="">
      <xdr:nvSpPr>
        <xdr:cNvPr id="1872" name="AutoShape 154">
          <a:extLst>
            <a:ext uri="{FF2B5EF4-FFF2-40B4-BE49-F238E27FC236}">
              <a16:creationId xmlns:a16="http://schemas.microsoft.com/office/drawing/2014/main" id="{BBFBB2C7-2FCF-426E-B082-BBFCDCC94F4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26</xdr:row>
      <xdr:rowOff>0</xdr:rowOff>
    </xdr:from>
    <xdr:ext cx="9525" cy="9525"/>
    <xdr:pic>
      <xdr:nvPicPr>
        <xdr:cNvPr id="1873" name="Picture 1872">
          <a:extLst>
            <a:ext uri="{FF2B5EF4-FFF2-40B4-BE49-F238E27FC236}">
              <a16:creationId xmlns:a16="http://schemas.microsoft.com/office/drawing/2014/main" id="{409095A5-7D31-4672-BBFE-4BBCCFCFA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25</xdr:row>
      <xdr:rowOff>0</xdr:rowOff>
    </xdr:from>
    <xdr:ext cx="304800" cy="303440"/>
    <xdr:sp macro="" textlink="">
      <xdr:nvSpPr>
        <xdr:cNvPr id="1874" name="AutoShape 156">
          <a:extLst>
            <a:ext uri="{FF2B5EF4-FFF2-40B4-BE49-F238E27FC236}">
              <a16:creationId xmlns:a16="http://schemas.microsoft.com/office/drawing/2014/main" id="{8F6A3125-2F1E-4BB7-8814-E94A83A5A1E2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875" name="Picture 1874">
          <a:extLst>
            <a:ext uri="{FF2B5EF4-FFF2-40B4-BE49-F238E27FC236}">
              <a16:creationId xmlns:a16="http://schemas.microsoft.com/office/drawing/2014/main" id="{4A00B140-898B-4AE5-BF40-F8B55D318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876" name="Picture 1875">
          <a:extLst>
            <a:ext uri="{FF2B5EF4-FFF2-40B4-BE49-F238E27FC236}">
              <a16:creationId xmlns:a16="http://schemas.microsoft.com/office/drawing/2014/main" id="{7196AB7D-F750-465F-A5DD-7E63A0D26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1877" name="AutoShape 159">
          <a:extLst>
            <a:ext uri="{FF2B5EF4-FFF2-40B4-BE49-F238E27FC236}">
              <a16:creationId xmlns:a16="http://schemas.microsoft.com/office/drawing/2014/main" id="{E5BF73B1-2093-4F2F-9C26-0F5E2772F38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878" name="Picture 1877">
          <a:extLst>
            <a:ext uri="{FF2B5EF4-FFF2-40B4-BE49-F238E27FC236}">
              <a16:creationId xmlns:a16="http://schemas.microsoft.com/office/drawing/2014/main" id="{7150C486-3132-4C29-97F7-9B02EC313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879" name="Picture 1878">
          <a:extLst>
            <a:ext uri="{FF2B5EF4-FFF2-40B4-BE49-F238E27FC236}">
              <a16:creationId xmlns:a16="http://schemas.microsoft.com/office/drawing/2014/main" id="{A97B74B3-CD1D-4353-867C-6B1B0BF2C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880" name="Picture 1879">
          <a:extLst>
            <a:ext uri="{FF2B5EF4-FFF2-40B4-BE49-F238E27FC236}">
              <a16:creationId xmlns:a16="http://schemas.microsoft.com/office/drawing/2014/main" id="{616BB794-F7AF-4A66-93BB-30216AEF1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881" name="Picture 1880">
          <a:extLst>
            <a:ext uri="{FF2B5EF4-FFF2-40B4-BE49-F238E27FC236}">
              <a16:creationId xmlns:a16="http://schemas.microsoft.com/office/drawing/2014/main" id="{A18868BE-CB3E-483E-AE99-19F5F43C0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13</xdr:row>
      <xdr:rowOff>0</xdr:rowOff>
    </xdr:from>
    <xdr:ext cx="9525" cy="9525"/>
    <xdr:pic>
      <xdr:nvPicPr>
        <xdr:cNvPr id="1882" name="Picture 1881">
          <a:extLst>
            <a:ext uri="{FF2B5EF4-FFF2-40B4-BE49-F238E27FC236}">
              <a16:creationId xmlns:a16="http://schemas.microsoft.com/office/drawing/2014/main" id="{8130B456-EEA3-4FBF-9911-C599F6630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12</xdr:row>
      <xdr:rowOff>0</xdr:rowOff>
    </xdr:from>
    <xdr:ext cx="304800" cy="303439"/>
    <xdr:sp macro="" textlink="">
      <xdr:nvSpPr>
        <xdr:cNvPr id="1883" name="AutoShape 165">
          <a:extLst>
            <a:ext uri="{FF2B5EF4-FFF2-40B4-BE49-F238E27FC236}">
              <a16:creationId xmlns:a16="http://schemas.microsoft.com/office/drawing/2014/main" id="{78E8F9C6-B3A3-47D7-8D50-0D31947A05D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884" name="Picture 1883">
          <a:extLst>
            <a:ext uri="{FF2B5EF4-FFF2-40B4-BE49-F238E27FC236}">
              <a16:creationId xmlns:a16="http://schemas.microsoft.com/office/drawing/2014/main" id="{21E73A2C-06FC-4F05-8DB2-BE9D81456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885" name="Picture 1884">
          <a:extLst>
            <a:ext uri="{FF2B5EF4-FFF2-40B4-BE49-F238E27FC236}">
              <a16:creationId xmlns:a16="http://schemas.microsoft.com/office/drawing/2014/main" id="{61A1D577-626C-45F0-9E4A-971CA3509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1886" name="AutoShape 169">
          <a:extLst>
            <a:ext uri="{FF2B5EF4-FFF2-40B4-BE49-F238E27FC236}">
              <a16:creationId xmlns:a16="http://schemas.microsoft.com/office/drawing/2014/main" id="{95B845C6-B642-4E6E-B06C-42346BB13C90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27</xdr:row>
      <xdr:rowOff>0</xdr:rowOff>
    </xdr:from>
    <xdr:ext cx="9525" cy="9525"/>
    <xdr:pic>
      <xdr:nvPicPr>
        <xdr:cNvPr id="1887" name="Picture 1886">
          <a:extLst>
            <a:ext uri="{FF2B5EF4-FFF2-40B4-BE49-F238E27FC236}">
              <a16:creationId xmlns:a16="http://schemas.microsoft.com/office/drawing/2014/main" id="{54E737E5-2C5A-468C-A306-37AF8057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26</xdr:row>
      <xdr:rowOff>0</xdr:rowOff>
    </xdr:from>
    <xdr:ext cx="304800" cy="303439"/>
    <xdr:sp macro="" textlink="">
      <xdr:nvSpPr>
        <xdr:cNvPr id="1888" name="AutoShape 171">
          <a:extLst>
            <a:ext uri="{FF2B5EF4-FFF2-40B4-BE49-F238E27FC236}">
              <a16:creationId xmlns:a16="http://schemas.microsoft.com/office/drawing/2014/main" id="{C73F06BE-85A0-49F4-A0FB-28BAA67272C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889" name="Picture 1888">
          <a:extLst>
            <a:ext uri="{FF2B5EF4-FFF2-40B4-BE49-F238E27FC236}">
              <a16:creationId xmlns:a16="http://schemas.microsoft.com/office/drawing/2014/main" id="{F0B5A84C-1A21-4DF5-B6B6-39D9CC8BE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27</xdr:row>
      <xdr:rowOff>0</xdr:rowOff>
    </xdr:from>
    <xdr:ext cx="304800" cy="303440"/>
    <xdr:sp macro="" textlink="">
      <xdr:nvSpPr>
        <xdr:cNvPr id="1890" name="AutoShape 173">
          <a:extLst>
            <a:ext uri="{FF2B5EF4-FFF2-40B4-BE49-F238E27FC236}">
              <a16:creationId xmlns:a16="http://schemas.microsoft.com/office/drawing/2014/main" id="{E0B28D3D-37A3-40CA-BC75-4CFEFD3D7115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477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891" name="Picture 1890">
          <a:extLst>
            <a:ext uri="{FF2B5EF4-FFF2-40B4-BE49-F238E27FC236}">
              <a16:creationId xmlns:a16="http://schemas.microsoft.com/office/drawing/2014/main" id="{04BDAEAA-DD23-4A71-B2B0-6BFA49215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892" name="Picture 1891">
          <a:extLst>
            <a:ext uri="{FF2B5EF4-FFF2-40B4-BE49-F238E27FC236}">
              <a16:creationId xmlns:a16="http://schemas.microsoft.com/office/drawing/2014/main" id="{84FC4E09-4C2C-416C-9262-150307C9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3</xdr:row>
      <xdr:rowOff>0</xdr:rowOff>
    </xdr:from>
    <xdr:ext cx="9525" cy="9525"/>
    <xdr:pic>
      <xdr:nvPicPr>
        <xdr:cNvPr id="1893" name="Picture 1892">
          <a:extLst>
            <a:ext uri="{FF2B5EF4-FFF2-40B4-BE49-F238E27FC236}">
              <a16:creationId xmlns:a16="http://schemas.microsoft.com/office/drawing/2014/main" id="{03ABAE7D-477E-49B8-ACF0-55C0BF08C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</xdr:row>
      <xdr:rowOff>0</xdr:rowOff>
    </xdr:from>
    <xdr:ext cx="304800" cy="303439"/>
    <xdr:sp macro="" textlink="">
      <xdr:nvSpPr>
        <xdr:cNvPr id="1894" name="AutoShape 177">
          <a:extLst>
            <a:ext uri="{FF2B5EF4-FFF2-40B4-BE49-F238E27FC236}">
              <a16:creationId xmlns:a16="http://schemas.microsoft.com/office/drawing/2014/main" id="{867545DE-81F8-4D83-8BDE-78005B51277F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4</xdr:row>
      <xdr:rowOff>0</xdr:rowOff>
    </xdr:from>
    <xdr:ext cx="9525" cy="9525"/>
    <xdr:pic>
      <xdr:nvPicPr>
        <xdr:cNvPr id="1895" name="Picture 1894">
          <a:extLst>
            <a:ext uri="{FF2B5EF4-FFF2-40B4-BE49-F238E27FC236}">
              <a16:creationId xmlns:a16="http://schemas.microsoft.com/office/drawing/2014/main" id="{A0E3CAB8-13B2-430B-8304-D2083E0CC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9525" cy="9525"/>
    <xdr:pic>
      <xdr:nvPicPr>
        <xdr:cNvPr id="1896" name="Picture 1895">
          <a:extLst>
            <a:ext uri="{FF2B5EF4-FFF2-40B4-BE49-F238E27FC236}">
              <a16:creationId xmlns:a16="http://schemas.microsoft.com/office/drawing/2014/main" id="{5A09D78A-478A-42B7-A74D-D0DFF9DF4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6</xdr:row>
      <xdr:rowOff>0</xdr:rowOff>
    </xdr:from>
    <xdr:ext cx="9525" cy="9525"/>
    <xdr:pic>
      <xdr:nvPicPr>
        <xdr:cNvPr id="1897" name="Picture 1896">
          <a:extLst>
            <a:ext uri="{FF2B5EF4-FFF2-40B4-BE49-F238E27FC236}">
              <a16:creationId xmlns:a16="http://schemas.microsoft.com/office/drawing/2014/main" id="{64F43805-D9DB-46D4-A2E8-D04F6A3F9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304800" cy="304800"/>
    <xdr:sp macro="" textlink="">
      <xdr:nvSpPr>
        <xdr:cNvPr id="1898" name="AutoShape 181">
          <a:extLst>
            <a:ext uri="{FF2B5EF4-FFF2-40B4-BE49-F238E27FC236}">
              <a16:creationId xmlns:a16="http://schemas.microsoft.com/office/drawing/2014/main" id="{D5272BDC-C458-41DD-AAE8-7F2EAEC4F32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899" name="Picture 1898">
          <a:extLst>
            <a:ext uri="{FF2B5EF4-FFF2-40B4-BE49-F238E27FC236}">
              <a16:creationId xmlns:a16="http://schemas.microsoft.com/office/drawing/2014/main" id="{0CD07858-892D-4F6D-882A-C43EB99EC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24</xdr:row>
      <xdr:rowOff>0</xdr:rowOff>
    </xdr:from>
    <xdr:ext cx="304800" cy="304800"/>
    <xdr:sp macro="" textlink="">
      <xdr:nvSpPr>
        <xdr:cNvPr id="1900" name="AutoShape 183">
          <a:extLst>
            <a:ext uri="{FF2B5EF4-FFF2-40B4-BE49-F238E27FC236}">
              <a16:creationId xmlns:a16="http://schemas.microsoft.com/office/drawing/2014/main" id="{59C0E6FF-15A6-4E9F-BE44-F5C5D382ED9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26</xdr:row>
      <xdr:rowOff>0</xdr:rowOff>
    </xdr:from>
    <xdr:ext cx="9525" cy="9525"/>
    <xdr:pic>
      <xdr:nvPicPr>
        <xdr:cNvPr id="1901" name="Picture 1900">
          <a:extLst>
            <a:ext uri="{FF2B5EF4-FFF2-40B4-BE49-F238E27FC236}">
              <a16:creationId xmlns:a16="http://schemas.microsoft.com/office/drawing/2014/main" id="{0F509174-7713-4659-AC41-6488FB233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25</xdr:row>
      <xdr:rowOff>0</xdr:rowOff>
    </xdr:from>
    <xdr:ext cx="304800" cy="303440"/>
    <xdr:sp macro="" textlink="">
      <xdr:nvSpPr>
        <xdr:cNvPr id="1902" name="AutoShape 185">
          <a:extLst>
            <a:ext uri="{FF2B5EF4-FFF2-40B4-BE49-F238E27FC236}">
              <a16:creationId xmlns:a16="http://schemas.microsoft.com/office/drawing/2014/main" id="{25338BA6-B5BB-42C0-9470-862408795F6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03" name="Picture 1902">
          <a:extLst>
            <a:ext uri="{FF2B5EF4-FFF2-40B4-BE49-F238E27FC236}">
              <a16:creationId xmlns:a16="http://schemas.microsoft.com/office/drawing/2014/main" id="{5BE9A40C-5917-438C-82CB-2D6DFA119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04" name="Picture 1903">
          <a:extLst>
            <a:ext uri="{FF2B5EF4-FFF2-40B4-BE49-F238E27FC236}">
              <a16:creationId xmlns:a16="http://schemas.microsoft.com/office/drawing/2014/main" id="{C798B8BB-9286-4B45-A1D8-2C0E9F3F1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05" name="Picture 1904">
          <a:extLst>
            <a:ext uri="{FF2B5EF4-FFF2-40B4-BE49-F238E27FC236}">
              <a16:creationId xmlns:a16="http://schemas.microsoft.com/office/drawing/2014/main" id="{84CE1D1B-CB4E-4F9A-A99F-4813A3D7B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06" name="Picture 1905">
          <a:extLst>
            <a:ext uri="{FF2B5EF4-FFF2-40B4-BE49-F238E27FC236}">
              <a16:creationId xmlns:a16="http://schemas.microsoft.com/office/drawing/2014/main" id="{3FC2E249-E3ED-42B6-8201-1D41B2D09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07" name="Picture 1906">
          <a:extLst>
            <a:ext uri="{FF2B5EF4-FFF2-40B4-BE49-F238E27FC236}">
              <a16:creationId xmlns:a16="http://schemas.microsoft.com/office/drawing/2014/main" id="{1534851C-0EB0-4E31-B50D-B427EE35F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1908" name="AutoShape 191">
          <a:extLst>
            <a:ext uri="{FF2B5EF4-FFF2-40B4-BE49-F238E27FC236}">
              <a16:creationId xmlns:a16="http://schemas.microsoft.com/office/drawing/2014/main" id="{53F5F579-2E29-47EA-B434-4B52AAFDD30B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09" name="Picture 1908">
          <a:extLst>
            <a:ext uri="{FF2B5EF4-FFF2-40B4-BE49-F238E27FC236}">
              <a16:creationId xmlns:a16="http://schemas.microsoft.com/office/drawing/2014/main" id="{4E996DF2-9D81-46BE-841B-D9DC426B5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1910" name="AutoShape 193">
          <a:extLst>
            <a:ext uri="{FF2B5EF4-FFF2-40B4-BE49-F238E27FC236}">
              <a16:creationId xmlns:a16="http://schemas.microsoft.com/office/drawing/2014/main" id="{56A91860-F74A-4A86-ADAC-C2BBCF53FD0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9525" cy="9525"/>
    <xdr:pic>
      <xdr:nvPicPr>
        <xdr:cNvPr id="1911" name="Picture 1910">
          <a:extLst>
            <a:ext uri="{FF2B5EF4-FFF2-40B4-BE49-F238E27FC236}">
              <a16:creationId xmlns:a16="http://schemas.microsoft.com/office/drawing/2014/main" id="{3550E697-70AF-48FB-821B-26AFC9093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12</xdr:row>
      <xdr:rowOff>0</xdr:rowOff>
    </xdr:from>
    <xdr:ext cx="304800" cy="303439"/>
    <xdr:sp macro="" textlink="">
      <xdr:nvSpPr>
        <xdr:cNvPr id="1912" name="AutoShape 195">
          <a:extLst>
            <a:ext uri="{FF2B5EF4-FFF2-40B4-BE49-F238E27FC236}">
              <a16:creationId xmlns:a16="http://schemas.microsoft.com/office/drawing/2014/main" id="{B4B6A9D4-5EA0-4A5B-831A-C836519FF02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13" name="Picture 1912">
          <a:extLst>
            <a:ext uri="{FF2B5EF4-FFF2-40B4-BE49-F238E27FC236}">
              <a16:creationId xmlns:a16="http://schemas.microsoft.com/office/drawing/2014/main" id="{9595D8AE-7D4D-4021-8C73-14D6072A5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14" name="Picture 1913">
          <a:extLst>
            <a:ext uri="{FF2B5EF4-FFF2-40B4-BE49-F238E27FC236}">
              <a16:creationId xmlns:a16="http://schemas.microsoft.com/office/drawing/2014/main" id="{7AC28BC3-F7B7-4BE7-97F2-4B54F85FA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1915" name="AutoShape 199">
          <a:extLst>
            <a:ext uri="{FF2B5EF4-FFF2-40B4-BE49-F238E27FC236}">
              <a16:creationId xmlns:a16="http://schemas.microsoft.com/office/drawing/2014/main" id="{AA300B64-F371-4D2E-9E37-A894E7293E3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27</xdr:row>
      <xdr:rowOff>0</xdr:rowOff>
    </xdr:from>
    <xdr:ext cx="9525" cy="9525"/>
    <xdr:pic>
      <xdr:nvPicPr>
        <xdr:cNvPr id="1916" name="Picture 1915">
          <a:extLst>
            <a:ext uri="{FF2B5EF4-FFF2-40B4-BE49-F238E27FC236}">
              <a16:creationId xmlns:a16="http://schemas.microsoft.com/office/drawing/2014/main" id="{B5CE724D-9691-49B4-A77D-FE0DE9600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17" name="Picture 1916">
          <a:extLst>
            <a:ext uri="{FF2B5EF4-FFF2-40B4-BE49-F238E27FC236}">
              <a16:creationId xmlns:a16="http://schemas.microsoft.com/office/drawing/2014/main" id="{52FFF274-7EAC-4C44-9595-F3EA6EC12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3</xdr:row>
      <xdr:rowOff>0</xdr:rowOff>
    </xdr:from>
    <xdr:ext cx="9525" cy="9525"/>
    <xdr:pic>
      <xdr:nvPicPr>
        <xdr:cNvPr id="1918" name="Picture 1917">
          <a:extLst>
            <a:ext uri="{FF2B5EF4-FFF2-40B4-BE49-F238E27FC236}">
              <a16:creationId xmlns:a16="http://schemas.microsoft.com/office/drawing/2014/main" id="{25A45916-E043-4B72-9F1F-4A14026B3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</xdr:row>
      <xdr:rowOff>0</xdr:rowOff>
    </xdr:from>
    <xdr:ext cx="304800" cy="303439"/>
    <xdr:sp macro="" textlink="">
      <xdr:nvSpPr>
        <xdr:cNvPr id="1919" name="AutoShape 203">
          <a:extLst>
            <a:ext uri="{FF2B5EF4-FFF2-40B4-BE49-F238E27FC236}">
              <a16:creationId xmlns:a16="http://schemas.microsoft.com/office/drawing/2014/main" id="{4C3AD213-3CD5-41DD-9290-DAA8E3108B5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4</xdr:row>
      <xdr:rowOff>0</xdr:rowOff>
    </xdr:from>
    <xdr:ext cx="9525" cy="9525"/>
    <xdr:pic>
      <xdr:nvPicPr>
        <xdr:cNvPr id="1920" name="Picture 1919">
          <a:extLst>
            <a:ext uri="{FF2B5EF4-FFF2-40B4-BE49-F238E27FC236}">
              <a16:creationId xmlns:a16="http://schemas.microsoft.com/office/drawing/2014/main" id="{5AEBB356-0413-4789-87CC-0E4F5D331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9525" cy="9525"/>
    <xdr:pic>
      <xdr:nvPicPr>
        <xdr:cNvPr id="1921" name="Picture 1920">
          <a:extLst>
            <a:ext uri="{FF2B5EF4-FFF2-40B4-BE49-F238E27FC236}">
              <a16:creationId xmlns:a16="http://schemas.microsoft.com/office/drawing/2014/main" id="{932BAD6C-F95C-459D-A85D-DFB4E7960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6</xdr:row>
      <xdr:rowOff>0</xdr:rowOff>
    </xdr:from>
    <xdr:ext cx="9525" cy="9525"/>
    <xdr:pic>
      <xdr:nvPicPr>
        <xdr:cNvPr id="1922" name="Picture 1921">
          <a:extLst>
            <a:ext uri="{FF2B5EF4-FFF2-40B4-BE49-F238E27FC236}">
              <a16:creationId xmlns:a16="http://schemas.microsoft.com/office/drawing/2014/main" id="{7FEC263E-FD3C-4E89-9CEB-3A562BD64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304800" cy="304800"/>
    <xdr:sp macro="" textlink="">
      <xdr:nvSpPr>
        <xdr:cNvPr id="1923" name="AutoShape 207">
          <a:extLst>
            <a:ext uri="{FF2B5EF4-FFF2-40B4-BE49-F238E27FC236}">
              <a16:creationId xmlns:a16="http://schemas.microsoft.com/office/drawing/2014/main" id="{18A58BEB-5F80-4008-B19C-CA4EC9C54A46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24" name="Picture 1923">
          <a:extLst>
            <a:ext uri="{FF2B5EF4-FFF2-40B4-BE49-F238E27FC236}">
              <a16:creationId xmlns:a16="http://schemas.microsoft.com/office/drawing/2014/main" id="{1134871D-551D-4818-A1BE-61A122AC2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24</xdr:row>
      <xdr:rowOff>0</xdr:rowOff>
    </xdr:from>
    <xdr:ext cx="304800" cy="304800"/>
    <xdr:sp macro="" textlink="">
      <xdr:nvSpPr>
        <xdr:cNvPr id="1925" name="AutoShape 209">
          <a:extLst>
            <a:ext uri="{FF2B5EF4-FFF2-40B4-BE49-F238E27FC236}">
              <a16:creationId xmlns:a16="http://schemas.microsoft.com/office/drawing/2014/main" id="{9987FA47-A5BC-41E6-8116-DDEA32B19BAB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26</xdr:row>
      <xdr:rowOff>0</xdr:rowOff>
    </xdr:from>
    <xdr:ext cx="9525" cy="9525"/>
    <xdr:pic>
      <xdr:nvPicPr>
        <xdr:cNvPr id="1926" name="Picture 1925">
          <a:extLst>
            <a:ext uri="{FF2B5EF4-FFF2-40B4-BE49-F238E27FC236}">
              <a16:creationId xmlns:a16="http://schemas.microsoft.com/office/drawing/2014/main" id="{CD7F312D-04D4-4A19-85B6-B64171D35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25</xdr:row>
      <xdr:rowOff>0</xdr:rowOff>
    </xdr:from>
    <xdr:ext cx="304800" cy="303440"/>
    <xdr:sp macro="" textlink="">
      <xdr:nvSpPr>
        <xdr:cNvPr id="1927" name="AutoShape 211">
          <a:extLst>
            <a:ext uri="{FF2B5EF4-FFF2-40B4-BE49-F238E27FC236}">
              <a16:creationId xmlns:a16="http://schemas.microsoft.com/office/drawing/2014/main" id="{EE07FE11-6284-4688-B630-147C76F11725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28" name="Picture 1927">
          <a:extLst>
            <a:ext uri="{FF2B5EF4-FFF2-40B4-BE49-F238E27FC236}">
              <a16:creationId xmlns:a16="http://schemas.microsoft.com/office/drawing/2014/main" id="{AED0F951-4B23-4E18-A7C8-4CB223325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29" name="Picture 1928">
          <a:extLst>
            <a:ext uri="{FF2B5EF4-FFF2-40B4-BE49-F238E27FC236}">
              <a16:creationId xmlns:a16="http://schemas.microsoft.com/office/drawing/2014/main" id="{4D5389CB-8773-4256-8667-D018D517A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30" name="Picture 1929">
          <a:extLst>
            <a:ext uri="{FF2B5EF4-FFF2-40B4-BE49-F238E27FC236}">
              <a16:creationId xmlns:a16="http://schemas.microsoft.com/office/drawing/2014/main" id="{E8CE9B16-1F6B-4A83-8C02-19FABE138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31" name="Picture 1930">
          <a:extLst>
            <a:ext uri="{FF2B5EF4-FFF2-40B4-BE49-F238E27FC236}">
              <a16:creationId xmlns:a16="http://schemas.microsoft.com/office/drawing/2014/main" id="{3C67B00B-C3E5-4A02-B7EE-15EF332DB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32" name="Picture 1931">
          <a:extLst>
            <a:ext uri="{FF2B5EF4-FFF2-40B4-BE49-F238E27FC236}">
              <a16:creationId xmlns:a16="http://schemas.microsoft.com/office/drawing/2014/main" id="{59A4241B-2E53-48DC-A95A-457BFE8FB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1933" name="AutoShape 217">
          <a:extLst>
            <a:ext uri="{FF2B5EF4-FFF2-40B4-BE49-F238E27FC236}">
              <a16:creationId xmlns:a16="http://schemas.microsoft.com/office/drawing/2014/main" id="{4941D84E-30F2-4444-A7D4-A041E8D845E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34" name="Picture 1933">
          <a:extLst>
            <a:ext uri="{FF2B5EF4-FFF2-40B4-BE49-F238E27FC236}">
              <a16:creationId xmlns:a16="http://schemas.microsoft.com/office/drawing/2014/main" id="{88A72B76-E269-46C2-BC2B-1A2FEAF95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1935" name="AutoShape 219">
          <a:extLst>
            <a:ext uri="{FF2B5EF4-FFF2-40B4-BE49-F238E27FC236}">
              <a16:creationId xmlns:a16="http://schemas.microsoft.com/office/drawing/2014/main" id="{D94BA25D-D9C4-476C-8AB4-8DED00D6FD0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9525" cy="9525"/>
    <xdr:pic>
      <xdr:nvPicPr>
        <xdr:cNvPr id="1936" name="Picture 1935">
          <a:extLst>
            <a:ext uri="{FF2B5EF4-FFF2-40B4-BE49-F238E27FC236}">
              <a16:creationId xmlns:a16="http://schemas.microsoft.com/office/drawing/2014/main" id="{5C396314-1070-47CC-849C-F93C9AA68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12</xdr:row>
      <xdr:rowOff>0</xdr:rowOff>
    </xdr:from>
    <xdr:ext cx="304800" cy="303439"/>
    <xdr:sp macro="" textlink="">
      <xdr:nvSpPr>
        <xdr:cNvPr id="1937" name="AutoShape 221">
          <a:extLst>
            <a:ext uri="{FF2B5EF4-FFF2-40B4-BE49-F238E27FC236}">
              <a16:creationId xmlns:a16="http://schemas.microsoft.com/office/drawing/2014/main" id="{7559DD62-FA45-4826-B5E6-A5CB088C1D00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38" name="Picture 1937">
          <a:extLst>
            <a:ext uri="{FF2B5EF4-FFF2-40B4-BE49-F238E27FC236}">
              <a16:creationId xmlns:a16="http://schemas.microsoft.com/office/drawing/2014/main" id="{26CE6375-2015-44B9-A6C4-D618A233E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1939" name="AutoShape 223">
          <a:extLst>
            <a:ext uri="{FF2B5EF4-FFF2-40B4-BE49-F238E27FC236}">
              <a16:creationId xmlns:a16="http://schemas.microsoft.com/office/drawing/2014/main" id="{749EDFD9-A991-4B59-BE4C-508FE886393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40" name="Picture 1939">
          <a:extLst>
            <a:ext uri="{FF2B5EF4-FFF2-40B4-BE49-F238E27FC236}">
              <a16:creationId xmlns:a16="http://schemas.microsoft.com/office/drawing/2014/main" id="{62FBAE72-EE1A-4098-8634-3F6E5F7B2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27</xdr:row>
      <xdr:rowOff>0</xdr:rowOff>
    </xdr:from>
    <xdr:ext cx="9525" cy="9525"/>
    <xdr:pic>
      <xdr:nvPicPr>
        <xdr:cNvPr id="1941" name="Picture 1940">
          <a:extLst>
            <a:ext uri="{FF2B5EF4-FFF2-40B4-BE49-F238E27FC236}">
              <a16:creationId xmlns:a16="http://schemas.microsoft.com/office/drawing/2014/main" id="{E0444D16-EC90-4FF1-A1B2-FFC724779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3</xdr:row>
      <xdr:rowOff>0</xdr:rowOff>
    </xdr:from>
    <xdr:ext cx="9525" cy="9525"/>
    <xdr:pic>
      <xdr:nvPicPr>
        <xdr:cNvPr id="1942" name="Picture 1941">
          <a:extLst>
            <a:ext uri="{FF2B5EF4-FFF2-40B4-BE49-F238E27FC236}">
              <a16:creationId xmlns:a16="http://schemas.microsoft.com/office/drawing/2014/main" id="{78605D50-B081-4F90-9BD3-DC2184CC1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</xdr:row>
      <xdr:rowOff>0</xdr:rowOff>
    </xdr:from>
    <xdr:ext cx="304800" cy="303439"/>
    <xdr:sp macro="" textlink="">
      <xdr:nvSpPr>
        <xdr:cNvPr id="1943" name="AutoShape 227">
          <a:extLst>
            <a:ext uri="{FF2B5EF4-FFF2-40B4-BE49-F238E27FC236}">
              <a16:creationId xmlns:a16="http://schemas.microsoft.com/office/drawing/2014/main" id="{298D1992-180E-4E83-A05C-BFA8C3C6114C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4</xdr:row>
      <xdr:rowOff>0</xdr:rowOff>
    </xdr:from>
    <xdr:ext cx="9525" cy="9525"/>
    <xdr:pic>
      <xdr:nvPicPr>
        <xdr:cNvPr id="1944" name="Picture 1943">
          <a:extLst>
            <a:ext uri="{FF2B5EF4-FFF2-40B4-BE49-F238E27FC236}">
              <a16:creationId xmlns:a16="http://schemas.microsoft.com/office/drawing/2014/main" id="{6F09B1BB-7C8D-439F-B56A-64DDA4C33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9525" cy="9525"/>
    <xdr:pic>
      <xdr:nvPicPr>
        <xdr:cNvPr id="1945" name="Picture 1944">
          <a:extLst>
            <a:ext uri="{FF2B5EF4-FFF2-40B4-BE49-F238E27FC236}">
              <a16:creationId xmlns:a16="http://schemas.microsoft.com/office/drawing/2014/main" id="{2EF4AB7E-7348-413D-A336-4BC7AB6BA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6</xdr:row>
      <xdr:rowOff>0</xdr:rowOff>
    </xdr:from>
    <xdr:ext cx="9525" cy="9525"/>
    <xdr:pic>
      <xdr:nvPicPr>
        <xdr:cNvPr id="1946" name="Picture 1945">
          <a:extLst>
            <a:ext uri="{FF2B5EF4-FFF2-40B4-BE49-F238E27FC236}">
              <a16:creationId xmlns:a16="http://schemas.microsoft.com/office/drawing/2014/main" id="{C960C427-1B29-4A7B-A3C7-A6C7583CA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304800" cy="304800"/>
    <xdr:sp macro="" textlink="">
      <xdr:nvSpPr>
        <xdr:cNvPr id="1947" name="AutoShape 231">
          <a:extLst>
            <a:ext uri="{FF2B5EF4-FFF2-40B4-BE49-F238E27FC236}">
              <a16:creationId xmlns:a16="http://schemas.microsoft.com/office/drawing/2014/main" id="{B5F8B342-2425-47F4-8115-D9A89F3A7336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48" name="Picture 1947">
          <a:extLst>
            <a:ext uri="{FF2B5EF4-FFF2-40B4-BE49-F238E27FC236}">
              <a16:creationId xmlns:a16="http://schemas.microsoft.com/office/drawing/2014/main" id="{A2ECD540-D39D-493F-8701-45B068D17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24</xdr:row>
      <xdr:rowOff>0</xdr:rowOff>
    </xdr:from>
    <xdr:ext cx="304800" cy="304800"/>
    <xdr:sp macro="" textlink="">
      <xdr:nvSpPr>
        <xdr:cNvPr id="1949" name="AutoShape 233">
          <a:extLst>
            <a:ext uri="{FF2B5EF4-FFF2-40B4-BE49-F238E27FC236}">
              <a16:creationId xmlns:a16="http://schemas.microsoft.com/office/drawing/2014/main" id="{83A30C40-5F03-411B-AB0C-E6BB9E8FA1CF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26</xdr:row>
      <xdr:rowOff>0</xdr:rowOff>
    </xdr:from>
    <xdr:ext cx="9525" cy="9525"/>
    <xdr:pic>
      <xdr:nvPicPr>
        <xdr:cNvPr id="1950" name="Picture 1949">
          <a:extLst>
            <a:ext uri="{FF2B5EF4-FFF2-40B4-BE49-F238E27FC236}">
              <a16:creationId xmlns:a16="http://schemas.microsoft.com/office/drawing/2014/main" id="{47DB16ED-F0F2-40A0-A0E1-DBC9CAFE7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25</xdr:row>
      <xdr:rowOff>0</xdr:rowOff>
    </xdr:from>
    <xdr:ext cx="304800" cy="303440"/>
    <xdr:sp macro="" textlink="">
      <xdr:nvSpPr>
        <xdr:cNvPr id="1951" name="AutoShape 235">
          <a:extLst>
            <a:ext uri="{FF2B5EF4-FFF2-40B4-BE49-F238E27FC236}">
              <a16:creationId xmlns:a16="http://schemas.microsoft.com/office/drawing/2014/main" id="{67B0DB7E-97EC-421E-A252-3EA0D707B98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52" name="Picture 1951">
          <a:extLst>
            <a:ext uri="{FF2B5EF4-FFF2-40B4-BE49-F238E27FC236}">
              <a16:creationId xmlns:a16="http://schemas.microsoft.com/office/drawing/2014/main" id="{0EB89DCF-AE6A-4136-916F-00919BAD1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53" name="Picture 1952">
          <a:extLst>
            <a:ext uri="{FF2B5EF4-FFF2-40B4-BE49-F238E27FC236}">
              <a16:creationId xmlns:a16="http://schemas.microsoft.com/office/drawing/2014/main" id="{45CC1398-1876-4499-8CC6-4F0B4B25A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54" name="Picture 1953">
          <a:extLst>
            <a:ext uri="{FF2B5EF4-FFF2-40B4-BE49-F238E27FC236}">
              <a16:creationId xmlns:a16="http://schemas.microsoft.com/office/drawing/2014/main" id="{94976833-F579-4C7A-94D0-E5EC542C1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55" name="Picture 1954">
          <a:extLst>
            <a:ext uri="{FF2B5EF4-FFF2-40B4-BE49-F238E27FC236}">
              <a16:creationId xmlns:a16="http://schemas.microsoft.com/office/drawing/2014/main" id="{C5FEEABA-61DF-4370-9C0B-556D81B40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56" name="Picture 1955">
          <a:extLst>
            <a:ext uri="{FF2B5EF4-FFF2-40B4-BE49-F238E27FC236}">
              <a16:creationId xmlns:a16="http://schemas.microsoft.com/office/drawing/2014/main" id="{6A9C5C1A-F621-4BC5-AA73-E19A0D083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1957" name="AutoShape 241">
          <a:extLst>
            <a:ext uri="{FF2B5EF4-FFF2-40B4-BE49-F238E27FC236}">
              <a16:creationId xmlns:a16="http://schemas.microsoft.com/office/drawing/2014/main" id="{0B36BA40-6232-464E-904A-272F42A53203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58" name="Picture 1957">
          <a:extLst>
            <a:ext uri="{FF2B5EF4-FFF2-40B4-BE49-F238E27FC236}">
              <a16:creationId xmlns:a16="http://schemas.microsoft.com/office/drawing/2014/main" id="{600E65B7-7617-45F5-B311-1FE31918C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1959" name="AutoShape 243">
          <a:extLst>
            <a:ext uri="{FF2B5EF4-FFF2-40B4-BE49-F238E27FC236}">
              <a16:creationId xmlns:a16="http://schemas.microsoft.com/office/drawing/2014/main" id="{10ABC150-8CA2-4E84-80A1-33AB9CE8735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9525" cy="9525"/>
    <xdr:pic>
      <xdr:nvPicPr>
        <xdr:cNvPr id="1960" name="Picture 1959">
          <a:extLst>
            <a:ext uri="{FF2B5EF4-FFF2-40B4-BE49-F238E27FC236}">
              <a16:creationId xmlns:a16="http://schemas.microsoft.com/office/drawing/2014/main" id="{359934A2-4EC3-45C2-BC36-23DFCAB9E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12</xdr:row>
      <xdr:rowOff>0</xdr:rowOff>
    </xdr:from>
    <xdr:ext cx="304800" cy="303439"/>
    <xdr:sp macro="" textlink="">
      <xdr:nvSpPr>
        <xdr:cNvPr id="1961" name="AutoShape 245">
          <a:extLst>
            <a:ext uri="{FF2B5EF4-FFF2-40B4-BE49-F238E27FC236}">
              <a16:creationId xmlns:a16="http://schemas.microsoft.com/office/drawing/2014/main" id="{80802532-FB34-4E3D-A542-E69916E8A15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62" name="Picture 1961">
          <a:extLst>
            <a:ext uri="{FF2B5EF4-FFF2-40B4-BE49-F238E27FC236}">
              <a16:creationId xmlns:a16="http://schemas.microsoft.com/office/drawing/2014/main" id="{158B1EC2-C6B0-4784-B8E4-D22C148FC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1963" name="AutoShape 247">
          <a:extLst>
            <a:ext uri="{FF2B5EF4-FFF2-40B4-BE49-F238E27FC236}">
              <a16:creationId xmlns:a16="http://schemas.microsoft.com/office/drawing/2014/main" id="{79FAB21C-B73C-40E5-9201-AEB66FC531F6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64" name="Picture 1963">
          <a:extLst>
            <a:ext uri="{FF2B5EF4-FFF2-40B4-BE49-F238E27FC236}">
              <a16:creationId xmlns:a16="http://schemas.microsoft.com/office/drawing/2014/main" id="{CD18E317-25A6-4C4D-825D-2C1C0895D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1965" name="AutoShape 249">
          <a:extLst>
            <a:ext uri="{FF2B5EF4-FFF2-40B4-BE49-F238E27FC236}">
              <a16:creationId xmlns:a16="http://schemas.microsoft.com/office/drawing/2014/main" id="{F41723BF-D156-4BF5-8DF8-E050E9BBC6B0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27</xdr:row>
      <xdr:rowOff>0</xdr:rowOff>
    </xdr:from>
    <xdr:ext cx="9525" cy="9525"/>
    <xdr:pic>
      <xdr:nvPicPr>
        <xdr:cNvPr id="1966" name="Picture 1965">
          <a:extLst>
            <a:ext uri="{FF2B5EF4-FFF2-40B4-BE49-F238E27FC236}">
              <a16:creationId xmlns:a16="http://schemas.microsoft.com/office/drawing/2014/main" id="{C1A7BEDC-7C88-4909-8067-E8F1A6EE4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67" name="Picture 1966">
          <a:extLst>
            <a:ext uri="{FF2B5EF4-FFF2-40B4-BE49-F238E27FC236}">
              <a16:creationId xmlns:a16="http://schemas.microsoft.com/office/drawing/2014/main" id="{5B721805-7F22-497B-862E-C8915AE81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3</xdr:row>
      <xdr:rowOff>0</xdr:rowOff>
    </xdr:from>
    <xdr:ext cx="9525" cy="9525"/>
    <xdr:pic>
      <xdr:nvPicPr>
        <xdr:cNvPr id="1968" name="Picture 1967">
          <a:extLst>
            <a:ext uri="{FF2B5EF4-FFF2-40B4-BE49-F238E27FC236}">
              <a16:creationId xmlns:a16="http://schemas.microsoft.com/office/drawing/2014/main" id="{700575E0-9756-4AD4-88CB-4A89F8A2A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</xdr:row>
      <xdr:rowOff>0</xdr:rowOff>
    </xdr:from>
    <xdr:ext cx="304800" cy="303439"/>
    <xdr:sp macro="" textlink="">
      <xdr:nvSpPr>
        <xdr:cNvPr id="1969" name="AutoShape 253">
          <a:extLst>
            <a:ext uri="{FF2B5EF4-FFF2-40B4-BE49-F238E27FC236}">
              <a16:creationId xmlns:a16="http://schemas.microsoft.com/office/drawing/2014/main" id="{777D01DC-FB2D-415C-AB40-283612CE8A78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4</xdr:row>
      <xdr:rowOff>0</xdr:rowOff>
    </xdr:from>
    <xdr:ext cx="9525" cy="9525"/>
    <xdr:pic>
      <xdr:nvPicPr>
        <xdr:cNvPr id="1970" name="Picture 1969">
          <a:extLst>
            <a:ext uri="{FF2B5EF4-FFF2-40B4-BE49-F238E27FC236}">
              <a16:creationId xmlns:a16="http://schemas.microsoft.com/office/drawing/2014/main" id="{F5A0BED0-75AA-4FDF-9D3B-F53A69187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9525" cy="9525"/>
    <xdr:pic>
      <xdr:nvPicPr>
        <xdr:cNvPr id="1971" name="Picture 1970">
          <a:extLst>
            <a:ext uri="{FF2B5EF4-FFF2-40B4-BE49-F238E27FC236}">
              <a16:creationId xmlns:a16="http://schemas.microsoft.com/office/drawing/2014/main" id="{1153CF3B-7B56-4D53-9ED6-627BB42DD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6</xdr:row>
      <xdr:rowOff>0</xdr:rowOff>
    </xdr:from>
    <xdr:ext cx="9525" cy="9525"/>
    <xdr:pic>
      <xdr:nvPicPr>
        <xdr:cNvPr id="1972" name="Picture 1971">
          <a:extLst>
            <a:ext uri="{FF2B5EF4-FFF2-40B4-BE49-F238E27FC236}">
              <a16:creationId xmlns:a16="http://schemas.microsoft.com/office/drawing/2014/main" id="{ECCB556B-3EA7-42F1-BBEA-C0A5C3DAA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304800" cy="304800"/>
    <xdr:sp macro="" textlink="">
      <xdr:nvSpPr>
        <xdr:cNvPr id="1973" name="AutoShape 257">
          <a:extLst>
            <a:ext uri="{FF2B5EF4-FFF2-40B4-BE49-F238E27FC236}">
              <a16:creationId xmlns:a16="http://schemas.microsoft.com/office/drawing/2014/main" id="{0E7B7851-EB0F-492B-9E91-C917134BA30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74" name="Picture 1973">
          <a:extLst>
            <a:ext uri="{FF2B5EF4-FFF2-40B4-BE49-F238E27FC236}">
              <a16:creationId xmlns:a16="http://schemas.microsoft.com/office/drawing/2014/main" id="{81E8AE82-1844-4131-9B84-DDBFF7AC1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24</xdr:row>
      <xdr:rowOff>0</xdr:rowOff>
    </xdr:from>
    <xdr:ext cx="304800" cy="304800"/>
    <xdr:sp macro="" textlink="">
      <xdr:nvSpPr>
        <xdr:cNvPr id="1975" name="AutoShape 259">
          <a:extLst>
            <a:ext uri="{FF2B5EF4-FFF2-40B4-BE49-F238E27FC236}">
              <a16:creationId xmlns:a16="http://schemas.microsoft.com/office/drawing/2014/main" id="{8BE346A8-5EBA-425E-83BF-A6B61EC6922C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26</xdr:row>
      <xdr:rowOff>0</xdr:rowOff>
    </xdr:from>
    <xdr:ext cx="9525" cy="9525"/>
    <xdr:pic>
      <xdr:nvPicPr>
        <xdr:cNvPr id="1976" name="Picture 1975">
          <a:extLst>
            <a:ext uri="{FF2B5EF4-FFF2-40B4-BE49-F238E27FC236}">
              <a16:creationId xmlns:a16="http://schemas.microsoft.com/office/drawing/2014/main" id="{38A82FE7-DBF7-40B8-8DB2-341658AA5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25</xdr:row>
      <xdr:rowOff>0</xdr:rowOff>
    </xdr:from>
    <xdr:ext cx="304800" cy="303440"/>
    <xdr:sp macro="" textlink="">
      <xdr:nvSpPr>
        <xdr:cNvPr id="1977" name="AutoShape 261">
          <a:extLst>
            <a:ext uri="{FF2B5EF4-FFF2-40B4-BE49-F238E27FC236}">
              <a16:creationId xmlns:a16="http://schemas.microsoft.com/office/drawing/2014/main" id="{92591989-F6D6-4C0C-B563-17C7ACD2B2B0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78" name="Picture 1977">
          <a:extLst>
            <a:ext uri="{FF2B5EF4-FFF2-40B4-BE49-F238E27FC236}">
              <a16:creationId xmlns:a16="http://schemas.microsoft.com/office/drawing/2014/main" id="{92BE5917-BECA-4A29-99E6-1BF5450BA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79" name="Picture 1978">
          <a:extLst>
            <a:ext uri="{FF2B5EF4-FFF2-40B4-BE49-F238E27FC236}">
              <a16:creationId xmlns:a16="http://schemas.microsoft.com/office/drawing/2014/main" id="{B59E5F73-5E7B-4572-951D-1C959C2AF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80" name="Picture 1979">
          <a:extLst>
            <a:ext uri="{FF2B5EF4-FFF2-40B4-BE49-F238E27FC236}">
              <a16:creationId xmlns:a16="http://schemas.microsoft.com/office/drawing/2014/main" id="{0FC93A68-83EC-40B3-B539-02AB5D88A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81" name="Picture 1980">
          <a:extLst>
            <a:ext uri="{FF2B5EF4-FFF2-40B4-BE49-F238E27FC236}">
              <a16:creationId xmlns:a16="http://schemas.microsoft.com/office/drawing/2014/main" id="{29E512D1-640D-458E-8296-D6816DDF6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82" name="Picture 1981">
          <a:extLst>
            <a:ext uri="{FF2B5EF4-FFF2-40B4-BE49-F238E27FC236}">
              <a16:creationId xmlns:a16="http://schemas.microsoft.com/office/drawing/2014/main" id="{EAB96C1B-1C02-40C7-B32F-140B01DD2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1983" name="AutoShape 267">
          <a:extLst>
            <a:ext uri="{FF2B5EF4-FFF2-40B4-BE49-F238E27FC236}">
              <a16:creationId xmlns:a16="http://schemas.microsoft.com/office/drawing/2014/main" id="{BE25D3A8-C63E-45E5-B405-D567C21827E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84" name="Picture 1983">
          <a:extLst>
            <a:ext uri="{FF2B5EF4-FFF2-40B4-BE49-F238E27FC236}">
              <a16:creationId xmlns:a16="http://schemas.microsoft.com/office/drawing/2014/main" id="{BA298BE2-E5C3-4A6F-9948-1AA788B11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1985" name="AutoShape 269">
          <a:extLst>
            <a:ext uri="{FF2B5EF4-FFF2-40B4-BE49-F238E27FC236}">
              <a16:creationId xmlns:a16="http://schemas.microsoft.com/office/drawing/2014/main" id="{7FFD562A-BD76-4704-B223-5D2EC28D6AE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9525" cy="9525"/>
    <xdr:pic>
      <xdr:nvPicPr>
        <xdr:cNvPr id="1986" name="Picture 1985">
          <a:extLst>
            <a:ext uri="{FF2B5EF4-FFF2-40B4-BE49-F238E27FC236}">
              <a16:creationId xmlns:a16="http://schemas.microsoft.com/office/drawing/2014/main" id="{D577657D-BAA9-4D31-8268-43FA1E085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12</xdr:row>
      <xdr:rowOff>0</xdr:rowOff>
    </xdr:from>
    <xdr:ext cx="304800" cy="303439"/>
    <xdr:sp macro="" textlink="">
      <xdr:nvSpPr>
        <xdr:cNvPr id="1987" name="AutoShape 271">
          <a:extLst>
            <a:ext uri="{FF2B5EF4-FFF2-40B4-BE49-F238E27FC236}">
              <a16:creationId xmlns:a16="http://schemas.microsoft.com/office/drawing/2014/main" id="{FE4167BE-ECCA-4578-BF81-EAEA2FDDD9D8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88" name="Picture 1987">
          <a:extLst>
            <a:ext uri="{FF2B5EF4-FFF2-40B4-BE49-F238E27FC236}">
              <a16:creationId xmlns:a16="http://schemas.microsoft.com/office/drawing/2014/main" id="{02715632-CA0D-4E93-9915-4CB3E96AD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1989" name="AutoShape 273">
          <a:extLst>
            <a:ext uri="{FF2B5EF4-FFF2-40B4-BE49-F238E27FC236}">
              <a16:creationId xmlns:a16="http://schemas.microsoft.com/office/drawing/2014/main" id="{5C848339-B909-43B3-9398-C178EEE48671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90" name="Picture 1989">
          <a:extLst>
            <a:ext uri="{FF2B5EF4-FFF2-40B4-BE49-F238E27FC236}">
              <a16:creationId xmlns:a16="http://schemas.microsoft.com/office/drawing/2014/main" id="{D296515E-022F-4613-A56E-7FC1BC5F0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1991" name="AutoShape 275">
          <a:extLst>
            <a:ext uri="{FF2B5EF4-FFF2-40B4-BE49-F238E27FC236}">
              <a16:creationId xmlns:a16="http://schemas.microsoft.com/office/drawing/2014/main" id="{9CD054E2-0C71-4F21-850D-4E98533C3313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27</xdr:row>
      <xdr:rowOff>0</xdr:rowOff>
    </xdr:from>
    <xdr:ext cx="9525" cy="9525"/>
    <xdr:pic>
      <xdr:nvPicPr>
        <xdr:cNvPr id="1992" name="Picture 1991">
          <a:extLst>
            <a:ext uri="{FF2B5EF4-FFF2-40B4-BE49-F238E27FC236}">
              <a16:creationId xmlns:a16="http://schemas.microsoft.com/office/drawing/2014/main" id="{212052AC-2BA3-4B00-98AB-F1D773503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1993" name="Picture 1992">
          <a:extLst>
            <a:ext uri="{FF2B5EF4-FFF2-40B4-BE49-F238E27FC236}">
              <a16:creationId xmlns:a16="http://schemas.microsoft.com/office/drawing/2014/main" id="{BB03F661-0A31-40CA-8D36-EC7455B00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3</xdr:row>
      <xdr:rowOff>0</xdr:rowOff>
    </xdr:from>
    <xdr:ext cx="9525" cy="9525"/>
    <xdr:pic>
      <xdr:nvPicPr>
        <xdr:cNvPr id="1994" name="Picture 1993">
          <a:extLst>
            <a:ext uri="{FF2B5EF4-FFF2-40B4-BE49-F238E27FC236}">
              <a16:creationId xmlns:a16="http://schemas.microsoft.com/office/drawing/2014/main" id="{3BB0E56C-48DC-4E2B-897F-DF477B51A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</xdr:row>
      <xdr:rowOff>0</xdr:rowOff>
    </xdr:from>
    <xdr:ext cx="304800" cy="303439"/>
    <xdr:sp macro="" textlink="">
      <xdr:nvSpPr>
        <xdr:cNvPr id="1995" name="AutoShape 305">
          <a:extLst>
            <a:ext uri="{FF2B5EF4-FFF2-40B4-BE49-F238E27FC236}">
              <a16:creationId xmlns:a16="http://schemas.microsoft.com/office/drawing/2014/main" id="{69D8A949-56B5-4E6A-88DF-00688CD5B21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4</xdr:row>
      <xdr:rowOff>0</xdr:rowOff>
    </xdr:from>
    <xdr:ext cx="9525" cy="9525"/>
    <xdr:pic>
      <xdr:nvPicPr>
        <xdr:cNvPr id="1996" name="Picture 1995">
          <a:extLst>
            <a:ext uri="{FF2B5EF4-FFF2-40B4-BE49-F238E27FC236}">
              <a16:creationId xmlns:a16="http://schemas.microsoft.com/office/drawing/2014/main" id="{C17E6C32-DAAD-4C93-829F-DE32630DC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9525" cy="9525"/>
    <xdr:pic>
      <xdr:nvPicPr>
        <xdr:cNvPr id="1997" name="Picture 1996">
          <a:extLst>
            <a:ext uri="{FF2B5EF4-FFF2-40B4-BE49-F238E27FC236}">
              <a16:creationId xmlns:a16="http://schemas.microsoft.com/office/drawing/2014/main" id="{EF7E7494-325A-4EB3-8AB8-DAC0655FC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6</xdr:row>
      <xdr:rowOff>0</xdr:rowOff>
    </xdr:from>
    <xdr:ext cx="9525" cy="9525"/>
    <xdr:pic>
      <xdr:nvPicPr>
        <xdr:cNvPr id="1998" name="Picture 1997">
          <a:extLst>
            <a:ext uri="{FF2B5EF4-FFF2-40B4-BE49-F238E27FC236}">
              <a16:creationId xmlns:a16="http://schemas.microsoft.com/office/drawing/2014/main" id="{FE104DE6-D356-426C-8F6A-BAF7B9DD9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304800" cy="304800"/>
    <xdr:sp macro="" textlink="">
      <xdr:nvSpPr>
        <xdr:cNvPr id="1999" name="AutoShape 309">
          <a:extLst>
            <a:ext uri="{FF2B5EF4-FFF2-40B4-BE49-F238E27FC236}">
              <a16:creationId xmlns:a16="http://schemas.microsoft.com/office/drawing/2014/main" id="{BA607743-8270-4453-AB0A-DF8FE3EAB82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00" name="Picture 1999">
          <a:extLst>
            <a:ext uri="{FF2B5EF4-FFF2-40B4-BE49-F238E27FC236}">
              <a16:creationId xmlns:a16="http://schemas.microsoft.com/office/drawing/2014/main" id="{DA3EE3DB-5AAC-4E23-9908-DE900AE02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24</xdr:row>
      <xdr:rowOff>0</xdr:rowOff>
    </xdr:from>
    <xdr:ext cx="304800" cy="304800"/>
    <xdr:sp macro="" textlink="">
      <xdr:nvSpPr>
        <xdr:cNvPr id="2001" name="AutoShape 311">
          <a:extLst>
            <a:ext uri="{FF2B5EF4-FFF2-40B4-BE49-F238E27FC236}">
              <a16:creationId xmlns:a16="http://schemas.microsoft.com/office/drawing/2014/main" id="{F9B4F8FF-27E3-42DC-A87E-D642950A05F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26</xdr:row>
      <xdr:rowOff>0</xdr:rowOff>
    </xdr:from>
    <xdr:ext cx="9525" cy="9525"/>
    <xdr:pic>
      <xdr:nvPicPr>
        <xdr:cNvPr id="2002" name="Picture 2001">
          <a:extLst>
            <a:ext uri="{FF2B5EF4-FFF2-40B4-BE49-F238E27FC236}">
              <a16:creationId xmlns:a16="http://schemas.microsoft.com/office/drawing/2014/main" id="{179F09C4-E6FB-44DA-BDBD-FD3CB3981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25</xdr:row>
      <xdr:rowOff>0</xdr:rowOff>
    </xdr:from>
    <xdr:ext cx="304800" cy="303440"/>
    <xdr:sp macro="" textlink="">
      <xdr:nvSpPr>
        <xdr:cNvPr id="2003" name="AutoShape 313">
          <a:extLst>
            <a:ext uri="{FF2B5EF4-FFF2-40B4-BE49-F238E27FC236}">
              <a16:creationId xmlns:a16="http://schemas.microsoft.com/office/drawing/2014/main" id="{CC0F9E90-4B92-4CE4-8C88-7687B871827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04" name="Picture 2003">
          <a:extLst>
            <a:ext uri="{FF2B5EF4-FFF2-40B4-BE49-F238E27FC236}">
              <a16:creationId xmlns:a16="http://schemas.microsoft.com/office/drawing/2014/main" id="{FF85B085-73C9-4EDC-B6D9-699538114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05" name="Picture 2004">
          <a:extLst>
            <a:ext uri="{FF2B5EF4-FFF2-40B4-BE49-F238E27FC236}">
              <a16:creationId xmlns:a16="http://schemas.microsoft.com/office/drawing/2014/main" id="{17760EBC-0EBE-4A7F-A49A-9B92B1372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06" name="Picture 2005">
          <a:extLst>
            <a:ext uri="{FF2B5EF4-FFF2-40B4-BE49-F238E27FC236}">
              <a16:creationId xmlns:a16="http://schemas.microsoft.com/office/drawing/2014/main" id="{FC757688-171B-4425-BAAC-D26D0A6F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07" name="Picture 2006">
          <a:extLst>
            <a:ext uri="{FF2B5EF4-FFF2-40B4-BE49-F238E27FC236}">
              <a16:creationId xmlns:a16="http://schemas.microsoft.com/office/drawing/2014/main" id="{0E5109A3-695F-495E-9432-EBFBD4E39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08" name="Picture 2007">
          <a:extLst>
            <a:ext uri="{FF2B5EF4-FFF2-40B4-BE49-F238E27FC236}">
              <a16:creationId xmlns:a16="http://schemas.microsoft.com/office/drawing/2014/main" id="{A910A37E-EEA1-47DB-A5C2-3775F8B72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009" name="AutoShape 319">
          <a:extLst>
            <a:ext uri="{FF2B5EF4-FFF2-40B4-BE49-F238E27FC236}">
              <a16:creationId xmlns:a16="http://schemas.microsoft.com/office/drawing/2014/main" id="{8AE2B7CA-58A1-4227-8BDF-2BB8B700C9C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10" name="Picture 2009">
          <a:extLst>
            <a:ext uri="{FF2B5EF4-FFF2-40B4-BE49-F238E27FC236}">
              <a16:creationId xmlns:a16="http://schemas.microsoft.com/office/drawing/2014/main" id="{1F6BC6D0-7615-4F5A-9E84-551493564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011" name="AutoShape 321">
          <a:extLst>
            <a:ext uri="{FF2B5EF4-FFF2-40B4-BE49-F238E27FC236}">
              <a16:creationId xmlns:a16="http://schemas.microsoft.com/office/drawing/2014/main" id="{064D079A-808A-47E4-A74F-1D13F9301B25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9525" cy="9525"/>
    <xdr:pic>
      <xdr:nvPicPr>
        <xdr:cNvPr id="2012" name="Picture 2011">
          <a:extLst>
            <a:ext uri="{FF2B5EF4-FFF2-40B4-BE49-F238E27FC236}">
              <a16:creationId xmlns:a16="http://schemas.microsoft.com/office/drawing/2014/main" id="{1BE8BC31-A9B7-48BE-9A04-A28DCC806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12</xdr:row>
      <xdr:rowOff>0</xdr:rowOff>
    </xdr:from>
    <xdr:ext cx="304800" cy="303439"/>
    <xdr:sp macro="" textlink="">
      <xdr:nvSpPr>
        <xdr:cNvPr id="2013" name="AutoShape 323">
          <a:extLst>
            <a:ext uri="{FF2B5EF4-FFF2-40B4-BE49-F238E27FC236}">
              <a16:creationId xmlns:a16="http://schemas.microsoft.com/office/drawing/2014/main" id="{948BDC36-E620-430F-B83F-5E54EE9651D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14" name="Picture 2013">
          <a:extLst>
            <a:ext uri="{FF2B5EF4-FFF2-40B4-BE49-F238E27FC236}">
              <a16:creationId xmlns:a16="http://schemas.microsoft.com/office/drawing/2014/main" id="{95ED15E7-DFA6-4240-B5DA-28746DEA0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2015" name="AutoShape 325">
          <a:extLst>
            <a:ext uri="{FF2B5EF4-FFF2-40B4-BE49-F238E27FC236}">
              <a16:creationId xmlns:a16="http://schemas.microsoft.com/office/drawing/2014/main" id="{77E9CB98-1F99-406A-ABA8-5C8531608FA8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16" name="Picture 2015">
          <a:extLst>
            <a:ext uri="{FF2B5EF4-FFF2-40B4-BE49-F238E27FC236}">
              <a16:creationId xmlns:a16="http://schemas.microsoft.com/office/drawing/2014/main" id="{D4724B9E-A2EB-4C74-8054-F2D1521A5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2017" name="AutoShape 327">
          <a:extLst>
            <a:ext uri="{FF2B5EF4-FFF2-40B4-BE49-F238E27FC236}">
              <a16:creationId xmlns:a16="http://schemas.microsoft.com/office/drawing/2014/main" id="{07CF2888-BAA2-4AE7-B513-C5640B0A85CC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27</xdr:row>
      <xdr:rowOff>0</xdr:rowOff>
    </xdr:from>
    <xdr:ext cx="9525" cy="9525"/>
    <xdr:pic>
      <xdr:nvPicPr>
        <xdr:cNvPr id="2018" name="Picture 2017">
          <a:extLst>
            <a:ext uri="{FF2B5EF4-FFF2-40B4-BE49-F238E27FC236}">
              <a16:creationId xmlns:a16="http://schemas.microsoft.com/office/drawing/2014/main" id="{9EE18C5C-656F-4DEA-8959-18FBDCC59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19" name="Picture 2018">
          <a:extLst>
            <a:ext uri="{FF2B5EF4-FFF2-40B4-BE49-F238E27FC236}">
              <a16:creationId xmlns:a16="http://schemas.microsoft.com/office/drawing/2014/main" id="{A62906DE-0733-4C77-897E-6CA0A2E2D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3</xdr:row>
      <xdr:rowOff>0</xdr:rowOff>
    </xdr:from>
    <xdr:ext cx="9525" cy="9525"/>
    <xdr:pic>
      <xdr:nvPicPr>
        <xdr:cNvPr id="2020" name="Picture 2019">
          <a:extLst>
            <a:ext uri="{FF2B5EF4-FFF2-40B4-BE49-F238E27FC236}">
              <a16:creationId xmlns:a16="http://schemas.microsoft.com/office/drawing/2014/main" id="{4EC67423-45CB-4E5A-A3B4-01E21001B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</xdr:row>
      <xdr:rowOff>0</xdr:rowOff>
    </xdr:from>
    <xdr:ext cx="304800" cy="303439"/>
    <xdr:sp macro="" textlink="">
      <xdr:nvSpPr>
        <xdr:cNvPr id="2021" name="AutoShape 357">
          <a:extLst>
            <a:ext uri="{FF2B5EF4-FFF2-40B4-BE49-F238E27FC236}">
              <a16:creationId xmlns:a16="http://schemas.microsoft.com/office/drawing/2014/main" id="{8B40F028-5959-4AB5-A516-5DCFBDAE8CE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4</xdr:row>
      <xdr:rowOff>0</xdr:rowOff>
    </xdr:from>
    <xdr:ext cx="9525" cy="9525"/>
    <xdr:pic>
      <xdr:nvPicPr>
        <xdr:cNvPr id="2022" name="Picture 2021">
          <a:extLst>
            <a:ext uri="{FF2B5EF4-FFF2-40B4-BE49-F238E27FC236}">
              <a16:creationId xmlns:a16="http://schemas.microsoft.com/office/drawing/2014/main" id="{A6ED193C-4425-43CF-8867-A019F6D5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9525" cy="9525"/>
    <xdr:pic>
      <xdr:nvPicPr>
        <xdr:cNvPr id="2023" name="Picture 2022">
          <a:extLst>
            <a:ext uri="{FF2B5EF4-FFF2-40B4-BE49-F238E27FC236}">
              <a16:creationId xmlns:a16="http://schemas.microsoft.com/office/drawing/2014/main" id="{439F80A3-D088-4E9F-9484-9E559307A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6</xdr:row>
      <xdr:rowOff>0</xdr:rowOff>
    </xdr:from>
    <xdr:ext cx="9525" cy="9525"/>
    <xdr:pic>
      <xdr:nvPicPr>
        <xdr:cNvPr id="2024" name="Picture 2023">
          <a:extLst>
            <a:ext uri="{FF2B5EF4-FFF2-40B4-BE49-F238E27FC236}">
              <a16:creationId xmlns:a16="http://schemas.microsoft.com/office/drawing/2014/main" id="{0982B9FD-87AC-4F28-8BAB-B103B0093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304800" cy="304800"/>
    <xdr:sp macro="" textlink="">
      <xdr:nvSpPr>
        <xdr:cNvPr id="2025" name="AutoShape 361">
          <a:extLst>
            <a:ext uri="{FF2B5EF4-FFF2-40B4-BE49-F238E27FC236}">
              <a16:creationId xmlns:a16="http://schemas.microsoft.com/office/drawing/2014/main" id="{9AC606D3-0B04-4951-BCFB-508D9BEB3ED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26" name="Picture 2025">
          <a:extLst>
            <a:ext uri="{FF2B5EF4-FFF2-40B4-BE49-F238E27FC236}">
              <a16:creationId xmlns:a16="http://schemas.microsoft.com/office/drawing/2014/main" id="{8D6E04FD-901D-4A29-9690-63AB76BE3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24</xdr:row>
      <xdr:rowOff>0</xdr:rowOff>
    </xdr:from>
    <xdr:ext cx="304800" cy="304800"/>
    <xdr:sp macro="" textlink="">
      <xdr:nvSpPr>
        <xdr:cNvPr id="2027" name="AutoShape 363">
          <a:extLst>
            <a:ext uri="{FF2B5EF4-FFF2-40B4-BE49-F238E27FC236}">
              <a16:creationId xmlns:a16="http://schemas.microsoft.com/office/drawing/2014/main" id="{546ABFCF-04D6-428A-8A45-43D09D96B372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26</xdr:row>
      <xdr:rowOff>0</xdr:rowOff>
    </xdr:from>
    <xdr:ext cx="9525" cy="9525"/>
    <xdr:pic>
      <xdr:nvPicPr>
        <xdr:cNvPr id="2028" name="Picture 2027">
          <a:extLst>
            <a:ext uri="{FF2B5EF4-FFF2-40B4-BE49-F238E27FC236}">
              <a16:creationId xmlns:a16="http://schemas.microsoft.com/office/drawing/2014/main" id="{3A28AA45-F8B4-4C67-9E05-02340D060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25</xdr:row>
      <xdr:rowOff>0</xdr:rowOff>
    </xdr:from>
    <xdr:ext cx="304800" cy="303440"/>
    <xdr:sp macro="" textlink="">
      <xdr:nvSpPr>
        <xdr:cNvPr id="2029" name="AutoShape 365">
          <a:extLst>
            <a:ext uri="{FF2B5EF4-FFF2-40B4-BE49-F238E27FC236}">
              <a16:creationId xmlns:a16="http://schemas.microsoft.com/office/drawing/2014/main" id="{90000F70-BEE6-46F0-94AF-4C3F68E441F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30" name="Picture 2029">
          <a:extLst>
            <a:ext uri="{FF2B5EF4-FFF2-40B4-BE49-F238E27FC236}">
              <a16:creationId xmlns:a16="http://schemas.microsoft.com/office/drawing/2014/main" id="{EDB9EF4D-C9F4-48EF-A604-3C95764A5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31" name="Picture 2030">
          <a:extLst>
            <a:ext uri="{FF2B5EF4-FFF2-40B4-BE49-F238E27FC236}">
              <a16:creationId xmlns:a16="http://schemas.microsoft.com/office/drawing/2014/main" id="{C624184D-30A2-4524-AE8A-8159F8CBF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32" name="Picture 2031">
          <a:extLst>
            <a:ext uri="{FF2B5EF4-FFF2-40B4-BE49-F238E27FC236}">
              <a16:creationId xmlns:a16="http://schemas.microsoft.com/office/drawing/2014/main" id="{A18A78EB-3A15-4874-9D51-1ACFE850A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33" name="Picture 2032">
          <a:extLst>
            <a:ext uri="{FF2B5EF4-FFF2-40B4-BE49-F238E27FC236}">
              <a16:creationId xmlns:a16="http://schemas.microsoft.com/office/drawing/2014/main" id="{FBC091CC-104B-439B-91E1-3197EF401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34" name="Picture 2033">
          <a:extLst>
            <a:ext uri="{FF2B5EF4-FFF2-40B4-BE49-F238E27FC236}">
              <a16:creationId xmlns:a16="http://schemas.microsoft.com/office/drawing/2014/main" id="{FE69272F-C0F5-43A8-9760-0A1C935CB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035" name="AutoShape 371">
          <a:extLst>
            <a:ext uri="{FF2B5EF4-FFF2-40B4-BE49-F238E27FC236}">
              <a16:creationId xmlns:a16="http://schemas.microsoft.com/office/drawing/2014/main" id="{1AD38181-4ECF-406A-912E-73675C74CE22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36" name="Picture 2035">
          <a:extLst>
            <a:ext uri="{FF2B5EF4-FFF2-40B4-BE49-F238E27FC236}">
              <a16:creationId xmlns:a16="http://schemas.microsoft.com/office/drawing/2014/main" id="{D424374A-81A3-40F2-B8F5-B7A713B45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037" name="AutoShape 373">
          <a:extLst>
            <a:ext uri="{FF2B5EF4-FFF2-40B4-BE49-F238E27FC236}">
              <a16:creationId xmlns:a16="http://schemas.microsoft.com/office/drawing/2014/main" id="{F1CE43EA-89E0-4A02-B5F8-6AA67244F376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9525" cy="9525"/>
    <xdr:pic>
      <xdr:nvPicPr>
        <xdr:cNvPr id="2038" name="Picture 2037">
          <a:extLst>
            <a:ext uri="{FF2B5EF4-FFF2-40B4-BE49-F238E27FC236}">
              <a16:creationId xmlns:a16="http://schemas.microsoft.com/office/drawing/2014/main" id="{7AACA5AA-09CA-452E-9559-6C4771B0E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12</xdr:row>
      <xdr:rowOff>0</xdr:rowOff>
    </xdr:from>
    <xdr:ext cx="304800" cy="303439"/>
    <xdr:sp macro="" textlink="">
      <xdr:nvSpPr>
        <xdr:cNvPr id="2039" name="AutoShape 375">
          <a:extLst>
            <a:ext uri="{FF2B5EF4-FFF2-40B4-BE49-F238E27FC236}">
              <a16:creationId xmlns:a16="http://schemas.microsoft.com/office/drawing/2014/main" id="{414BBD1B-38E2-442C-B9A7-3330407B079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40" name="Picture 2039">
          <a:extLst>
            <a:ext uri="{FF2B5EF4-FFF2-40B4-BE49-F238E27FC236}">
              <a16:creationId xmlns:a16="http://schemas.microsoft.com/office/drawing/2014/main" id="{1AB5D95A-2B79-44E2-949E-35E964A98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2041" name="AutoShape 377">
          <a:extLst>
            <a:ext uri="{FF2B5EF4-FFF2-40B4-BE49-F238E27FC236}">
              <a16:creationId xmlns:a16="http://schemas.microsoft.com/office/drawing/2014/main" id="{56FE2D1B-5141-40A6-A9F1-517B208BEAC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42" name="Picture 2041">
          <a:extLst>
            <a:ext uri="{FF2B5EF4-FFF2-40B4-BE49-F238E27FC236}">
              <a16:creationId xmlns:a16="http://schemas.microsoft.com/office/drawing/2014/main" id="{CA93B1D5-9A68-42FB-8093-D5A50E556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2043" name="AutoShape 379">
          <a:extLst>
            <a:ext uri="{FF2B5EF4-FFF2-40B4-BE49-F238E27FC236}">
              <a16:creationId xmlns:a16="http://schemas.microsoft.com/office/drawing/2014/main" id="{1A57DDCC-9BAA-4AD4-88A3-06EF9AE2D74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27</xdr:row>
      <xdr:rowOff>0</xdr:rowOff>
    </xdr:from>
    <xdr:ext cx="9525" cy="9525"/>
    <xdr:pic>
      <xdr:nvPicPr>
        <xdr:cNvPr id="2044" name="Picture 2043">
          <a:extLst>
            <a:ext uri="{FF2B5EF4-FFF2-40B4-BE49-F238E27FC236}">
              <a16:creationId xmlns:a16="http://schemas.microsoft.com/office/drawing/2014/main" id="{1FA20918-DB6E-4C82-9D18-68024C93E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26</xdr:row>
      <xdr:rowOff>0</xdr:rowOff>
    </xdr:from>
    <xdr:ext cx="304800" cy="303439"/>
    <xdr:sp macro="" textlink="">
      <xdr:nvSpPr>
        <xdr:cNvPr id="2045" name="AutoShape 381">
          <a:extLst>
            <a:ext uri="{FF2B5EF4-FFF2-40B4-BE49-F238E27FC236}">
              <a16:creationId xmlns:a16="http://schemas.microsoft.com/office/drawing/2014/main" id="{C0B654DA-C69C-4BAD-A352-CEB07909162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46" name="Picture 2045">
          <a:extLst>
            <a:ext uri="{FF2B5EF4-FFF2-40B4-BE49-F238E27FC236}">
              <a16:creationId xmlns:a16="http://schemas.microsoft.com/office/drawing/2014/main" id="{1101C8AB-54D1-478F-AFE3-C0361F1DD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47" name="Picture 2046">
          <a:extLst>
            <a:ext uri="{FF2B5EF4-FFF2-40B4-BE49-F238E27FC236}">
              <a16:creationId xmlns:a16="http://schemas.microsoft.com/office/drawing/2014/main" id="{B3E44792-4FA3-4339-B8B5-415499FCE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3</xdr:row>
      <xdr:rowOff>0</xdr:rowOff>
    </xdr:from>
    <xdr:ext cx="9525" cy="9525"/>
    <xdr:pic>
      <xdr:nvPicPr>
        <xdr:cNvPr id="2048" name="Picture 2047">
          <a:extLst>
            <a:ext uri="{FF2B5EF4-FFF2-40B4-BE49-F238E27FC236}">
              <a16:creationId xmlns:a16="http://schemas.microsoft.com/office/drawing/2014/main" id="{9DEAFA03-834E-49D9-B276-ED27FAB04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</xdr:row>
      <xdr:rowOff>0</xdr:rowOff>
    </xdr:from>
    <xdr:ext cx="304800" cy="303439"/>
    <xdr:sp macro="" textlink="">
      <xdr:nvSpPr>
        <xdr:cNvPr id="2049" name="AutoShape 413">
          <a:extLst>
            <a:ext uri="{FF2B5EF4-FFF2-40B4-BE49-F238E27FC236}">
              <a16:creationId xmlns:a16="http://schemas.microsoft.com/office/drawing/2014/main" id="{738C6DF6-EBCF-4F3E-8BA5-09EDA470349C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4</xdr:row>
      <xdr:rowOff>0</xdr:rowOff>
    </xdr:from>
    <xdr:ext cx="9525" cy="9525"/>
    <xdr:pic>
      <xdr:nvPicPr>
        <xdr:cNvPr id="2050" name="Picture 2049">
          <a:extLst>
            <a:ext uri="{FF2B5EF4-FFF2-40B4-BE49-F238E27FC236}">
              <a16:creationId xmlns:a16="http://schemas.microsoft.com/office/drawing/2014/main" id="{A33D090F-DDA4-4CDA-9E81-95CF167EF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9525" cy="9525"/>
    <xdr:pic>
      <xdr:nvPicPr>
        <xdr:cNvPr id="2051" name="Picture 2050">
          <a:extLst>
            <a:ext uri="{FF2B5EF4-FFF2-40B4-BE49-F238E27FC236}">
              <a16:creationId xmlns:a16="http://schemas.microsoft.com/office/drawing/2014/main" id="{67226E85-7324-49FF-A0B2-D57F19881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6</xdr:row>
      <xdr:rowOff>0</xdr:rowOff>
    </xdr:from>
    <xdr:ext cx="9525" cy="9525"/>
    <xdr:pic>
      <xdr:nvPicPr>
        <xdr:cNvPr id="2052" name="Picture 2051">
          <a:extLst>
            <a:ext uri="{FF2B5EF4-FFF2-40B4-BE49-F238E27FC236}">
              <a16:creationId xmlns:a16="http://schemas.microsoft.com/office/drawing/2014/main" id="{0F01ED08-1824-43D4-8AD8-88F508AC3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304800" cy="304800"/>
    <xdr:sp macro="" textlink="">
      <xdr:nvSpPr>
        <xdr:cNvPr id="2053" name="AutoShape 417">
          <a:extLst>
            <a:ext uri="{FF2B5EF4-FFF2-40B4-BE49-F238E27FC236}">
              <a16:creationId xmlns:a16="http://schemas.microsoft.com/office/drawing/2014/main" id="{1D0CA1C0-E14B-4A4E-ABB7-6FF243382FE0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54" name="Picture 2053">
          <a:extLst>
            <a:ext uri="{FF2B5EF4-FFF2-40B4-BE49-F238E27FC236}">
              <a16:creationId xmlns:a16="http://schemas.microsoft.com/office/drawing/2014/main" id="{C895B8C0-4F11-4FE5-9F5A-786174B1C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24</xdr:row>
      <xdr:rowOff>0</xdr:rowOff>
    </xdr:from>
    <xdr:ext cx="304800" cy="304800"/>
    <xdr:sp macro="" textlink="">
      <xdr:nvSpPr>
        <xdr:cNvPr id="2055" name="AutoShape 419">
          <a:extLst>
            <a:ext uri="{FF2B5EF4-FFF2-40B4-BE49-F238E27FC236}">
              <a16:creationId xmlns:a16="http://schemas.microsoft.com/office/drawing/2014/main" id="{FCD97F87-1DA4-48A5-9650-5B5CF9AD985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26</xdr:row>
      <xdr:rowOff>0</xdr:rowOff>
    </xdr:from>
    <xdr:ext cx="9525" cy="9525"/>
    <xdr:pic>
      <xdr:nvPicPr>
        <xdr:cNvPr id="2056" name="Picture 2055">
          <a:extLst>
            <a:ext uri="{FF2B5EF4-FFF2-40B4-BE49-F238E27FC236}">
              <a16:creationId xmlns:a16="http://schemas.microsoft.com/office/drawing/2014/main" id="{3AFB52D3-CF04-4338-94B0-38B4C9F86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25</xdr:row>
      <xdr:rowOff>0</xdr:rowOff>
    </xdr:from>
    <xdr:ext cx="304800" cy="303440"/>
    <xdr:sp macro="" textlink="">
      <xdr:nvSpPr>
        <xdr:cNvPr id="2057" name="AutoShape 421">
          <a:extLst>
            <a:ext uri="{FF2B5EF4-FFF2-40B4-BE49-F238E27FC236}">
              <a16:creationId xmlns:a16="http://schemas.microsoft.com/office/drawing/2014/main" id="{A1DF6A31-EF7E-411C-AE03-C5FB0C97595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58" name="Picture 2057">
          <a:extLst>
            <a:ext uri="{FF2B5EF4-FFF2-40B4-BE49-F238E27FC236}">
              <a16:creationId xmlns:a16="http://schemas.microsoft.com/office/drawing/2014/main" id="{8D04E81E-02A0-41F4-A76B-F4C111A69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59" name="Picture 2058">
          <a:extLst>
            <a:ext uri="{FF2B5EF4-FFF2-40B4-BE49-F238E27FC236}">
              <a16:creationId xmlns:a16="http://schemas.microsoft.com/office/drawing/2014/main" id="{F27C6BA7-505B-4CBE-9140-24AF3ACE7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60" name="Picture 2059">
          <a:extLst>
            <a:ext uri="{FF2B5EF4-FFF2-40B4-BE49-F238E27FC236}">
              <a16:creationId xmlns:a16="http://schemas.microsoft.com/office/drawing/2014/main" id="{A5640494-90D5-4711-91A4-FE7253578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61" name="Picture 2060">
          <a:extLst>
            <a:ext uri="{FF2B5EF4-FFF2-40B4-BE49-F238E27FC236}">
              <a16:creationId xmlns:a16="http://schemas.microsoft.com/office/drawing/2014/main" id="{BE2674A4-1553-4940-BE4F-7A78E9956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62" name="Picture 2061">
          <a:extLst>
            <a:ext uri="{FF2B5EF4-FFF2-40B4-BE49-F238E27FC236}">
              <a16:creationId xmlns:a16="http://schemas.microsoft.com/office/drawing/2014/main" id="{AEB47554-3FE6-45C1-A491-936EAB858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063" name="AutoShape 427">
          <a:extLst>
            <a:ext uri="{FF2B5EF4-FFF2-40B4-BE49-F238E27FC236}">
              <a16:creationId xmlns:a16="http://schemas.microsoft.com/office/drawing/2014/main" id="{15D37DF5-4321-4DA1-B8CA-7EBC7DAB12E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64" name="Picture 2063">
          <a:extLst>
            <a:ext uri="{FF2B5EF4-FFF2-40B4-BE49-F238E27FC236}">
              <a16:creationId xmlns:a16="http://schemas.microsoft.com/office/drawing/2014/main" id="{2ACE191B-F2F7-4D33-940E-9E649A5C1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065" name="AutoShape 429">
          <a:extLst>
            <a:ext uri="{FF2B5EF4-FFF2-40B4-BE49-F238E27FC236}">
              <a16:creationId xmlns:a16="http://schemas.microsoft.com/office/drawing/2014/main" id="{47EDD2F4-5E9F-421F-94E0-4C490BFE10C5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9525" cy="9525"/>
    <xdr:pic>
      <xdr:nvPicPr>
        <xdr:cNvPr id="2066" name="Picture 2065">
          <a:extLst>
            <a:ext uri="{FF2B5EF4-FFF2-40B4-BE49-F238E27FC236}">
              <a16:creationId xmlns:a16="http://schemas.microsoft.com/office/drawing/2014/main" id="{23DBF23F-C917-4EC9-8484-A5E91C851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12</xdr:row>
      <xdr:rowOff>0</xdr:rowOff>
    </xdr:from>
    <xdr:ext cx="304800" cy="303439"/>
    <xdr:sp macro="" textlink="">
      <xdr:nvSpPr>
        <xdr:cNvPr id="2067" name="AutoShape 431">
          <a:extLst>
            <a:ext uri="{FF2B5EF4-FFF2-40B4-BE49-F238E27FC236}">
              <a16:creationId xmlns:a16="http://schemas.microsoft.com/office/drawing/2014/main" id="{80F74387-AC02-4ACD-98DA-07B373724DF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68" name="Picture 2067">
          <a:extLst>
            <a:ext uri="{FF2B5EF4-FFF2-40B4-BE49-F238E27FC236}">
              <a16:creationId xmlns:a16="http://schemas.microsoft.com/office/drawing/2014/main" id="{CEEAB6EE-E077-45B6-A60B-6B04FE759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2069" name="AutoShape 433">
          <a:extLst>
            <a:ext uri="{FF2B5EF4-FFF2-40B4-BE49-F238E27FC236}">
              <a16:creationId xmlns:a16="http://schemas.microsoft.com/office/drawing/2014/main" id="{19DF2F55-3A1C-4C5A-A8C9-5EE53594F0F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70" name="Picture 2069">
          <a:extLst>
            <a:ext uri="{FF2B5EF4-FFF2-40B4-BE49-F238E27FC236}">
              <a16:creationId xmlns:a16="http://schemas.microsoft.com/office/drawing/2014/main" id="{A3C26068-DDE7-4367-9FA9-CB39A48CE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2071" name="AutoShape 435">
          <a:extLst>
            <a:ext uri="{FF2B5EF4-FFF2-40B4-BE49-F238E27FC236}">
              <a16:creationId xmlns:a16="http://schemas.microsoft.com/office/drawing/2014/main" id="{F678E6BC-0C09-4620-B775-A2C69D500C4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27</xdr:row>
      <xdr:rowOff>0</xdr:rowOff>
    </xdr:from>
    <xdr:ext cx="9525" cy="9525"/>
    <xdr:pic>
      <xdr:nvPicPr>
        <xdr:cNvPr id="2072" name="Picture 2071">
          <a:extLst>
            <a:ext uri="{FF2B5EF4-FFF2-40B4-BE49-F238E27FC236}">
              <a16:creationId xmlns:a16="http://schemas.microsoft.com/office/drawing/2014/main" id="{0E46D0AE-2AB5-466B-9244-4CF0AB6F9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26</xdr:row>
      <xdr:rowOff>0</xdr:rowOff>
    </xdr:from>
    <xdr:ext cx="304800" cy="303439"/>
    <xdr:sp macro="" textlink="">
      <xdr:nvSpPr>
        <xdr:cNvPr id="2073" name="AutoShape 437">
          <a:extLst>
            <a:ext uri="{FF2B5EF4-FFF2-40B4-BE49-F238E27FC236}">
              <a16:creationId xmlns:a16="http://schemas.microsoft.com/office/drawing/2014/main" id="{CD3AC7F3-4DF4-438B-86ED-9B6E173B902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74" name="Picture 2073">
          <a:extLst>
            <a:ext uri="{FF2B5EF4-FFF2-40B4-BE49-F238E27FC236}">
              <a16:creationId xmlns:a16="http://schemas.microsoft.com/office/drawing/2014/main" id="{CDD16744-3AE8-43B5-8D4D-7FAE6184D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75" name="Picture 2074">
          <a:extLst>
            <a:ext uri="{FF2B5EF4-FFF2-40B4-BE49-F238E27FC236}">
              <a16:creationId xmlns:a16="http://schemas.microsoft.com/office/drawing/2014/main" id="{B8A3F9D5-6042-49EF-8B6C-2A998081E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3</xdr:row>
      <xdr:rowOff>0</xdr:rowOff>
    </xdr:from>
    <xdr:ext cx="9525" cy="9525"/>
    <xdr:pic>
      <xdr:nvPicPr>
        <xdr:cNvPr id="2076" name="Picture 2075">
          <a:extLst>
            <a:ext uri="{FF2B5EF4-FFF2-40B4-BE49-F238E27FC236}">
              <a16:creationId xmlns:a16="http://schemas.microsoft.com/office/drawing/2014/main" id="{7B8719FC-B5F2-41AE-A0ED-DA8902605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</xdr:row>
      <xdr:rowOff>0</xdr:rowOff>
    </xdr:from>
    <xdr:ext cx="304800" cy="303439"/>
    <xdr:sp macro="" textlink="">
      <xdr:nvSpPr>
        <xdr:cNvPr id="2077" name="AutoShape 469">
          <a:extLst>
            <a:ext uri="{FF2B5EF4-FFF2-40B4-BE49-F238E27FC236}">
              <a16:creationId xmlns:a16="http://schemas.microsoft.com/office/drawing/2014/main" id="{CB34208E-F209-450F-B41A-A51C84A0CB36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4</xdr:row>
      <xdr:rowOff>0</xdr:rowOff>
    </xdr:from>
    <xdr:ext cx="9525" cy="9525"/>
    <xdr:pic>
      <xdr:nvPicPr>
        <xdr:cNvPr id="2078" name="Picture 2077">
          <a:extLst>
            <a:ext uri="{FF2B5EF4-FFF2-40B4-BE49-F238E27FC236}">
              <a16:creationId xmlns:a16="http://schemas.microsoft.com/office/drawing/2014/main" id="{AD1BA0C3-51AB-425E-97EF-D661BC1EC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9525" cy="9525"/>
    <xdr:pic>
      <xdr:nvPicPr>
        <xdr:cNvPr id="2079" name="Picture 2078">
          <a:extLst>
            <a:ext uri="{FF2B5EF4-FFF2-40B4-BE49-F238E27FC236}">
              <a16:creationId xmlns:a16="http://schemas.microsoft.com/office/drawing/2014/main" id="{D0DD89BB-E6C2-4009-968C-EEB736FB0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6</xdr:row>
      <xdr:rowOff>0</xdr:rowOff>
    </xdr:from>
    <xdr:ext cx="9525" cy="9525"/>
    <xdr:pic>
      <xdr:nvPicPr>
        <xdr:cNvPr id="2080" name="Picture 2079">
          <a:extLst>
            <a:ext uri="{FF2B5EF4-FFF2-40B4-BE49-F238E27FC236}">
              <a16:creationId xmlns:a16="http://schemas.microsoft.com/office/drawing/2014/main" id="{0A1B2CF0-8787-47F7-AC53-64FC6A049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304800" cy="304800"/>
    <xdr:sp macro="" textlink="">
      <xdr:nvSpPr>
        <xdr:cNvPr id="2081" name="AutoShape 473">
          <a:extLst>
            <a:ext uri="{FF2B5EF4-FFF2-40B4-BE49-F238E27FC236}">
              <a16:creationId xmlns:a16="http://schemas.microsoft.com/office/drawing/2014/main" id="{C20581A9-4F04-4857-A514-E428F20D9FD8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82" name="Picture 2081">
          <a:extLst>
            <a:ext uri="{FF2B5EF4-FFF2-40B4-BE49-F238E27FC236}">
              <a16:creationId xmlns:a16="http://schemas.microsoft.com/office/drawing/2014/main" id="{7D35639B-67D4-425E-9B54-764EFD3EB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24</xdr:row>
      <xdr:rowOff>0</xdr:rowOff>
    </xdr:from>
    <xdr:ext cx="304800" cy="304800"/>
    <xdr:sp macro="" textlink="">
      <xdr:nvSpPr>
        <xdr:cNvPr id="2083" name="AutoShape 475">
          <a:extLst>
            <a:ext uri="{FF2B5EF4-FFF2-40B4-BE49-F238E27FC236}">
              <a16:creationId xmlns:a16="http://schemas.microsoft.com/office/drawing/2014/main" id="{53FEE1C0-E98A-4189-8B5A-7A493E9A5B61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26</xdr:row>
      <xdr:rowOff>0</xdr:rowOff>
    </xdr:from>
    <xdr:ext cx="9525" cy="9525"/>
    <xdr:pic>
      <xdr:nvPicPr>
        <xdr:cNvPr id="2084" name="Picture 2083">
          <a:extLst>
            <a:ext uri="{FF2B5EF4-FFF2-40B4-BE49-F238E27FC236}">
              <a16:creationId xmlns:a16="http://schemas.microsoft.com/office/drawing/2014/main" id="{C3EB3808-B941-4E9D-ADFA-6BC6438AE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25</xdr:row>
      <xdr:rowOff>0</xdr:rowOff>
    </xdr:from>
    <xdr:ext cx="304800" cy="303440"/>
    <xdr:sp macro="" textlink="">
      <xdr:nvSpPr>
        <xdr:cNvPr id="2085" name="AutoShape 477">
          <a:extLst>
            <a:ext uri="{FF2B5EF4-FFF2-40B4-BE49-F238E27FC236}">
              <a16:creationId xmlns:a16="http://schemas.microsoft.com/office/drawing/2014/main" id="{0F33AD67-2D64-460B-9BCD-1807361BC9A5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86" name="Picture 2085">
          <a:extLst>
            <a:ext uri="{FF2B5EF4-FFF2-40B4-BE49-F238E27FC236}">
              <a16:creationId xmlns:a16="http://schemas.microsoft.com/office/drawing/2014/main" id="{7C5EEE11-C07B-4687-BDAD-789F31DE9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87" name="Picture 2086">
          <a:extLst>
            <a:ext uri="{FF2B5EF4-FFF2-40B4-BE49-F238E27FC236}">
              <a16:creationId xmlns:a16="http://schemas.microsoft.com/office/drawing/2014/main" id="{AD685C33-BA3F-4176-8096-E2B43584A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88" name="Picture 2087">
          <a:extLst>
            <a:ext uri="{FF2B5EF4-FFF2-40B4-BE49-F238E27FC236}">
              <a16:creationId xmlns:a16="http://schemas.microsoft.com/office/drawing/2014/main" id="{F60B952B-11D1-4BDA-9E71-D831F707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89" name="Picture 2088">
          <a:extLst>
            <a:ext uri="{FF2B5EF4-FFF2-40B4-BE49-F238E27FC236}">
              <a16:creationId xmlns:a16="http://schemas.microsoft.com/office/drawing/2014/main" id="{52C173D9-3215-46F2-AEBE-B187EE340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90" name="Picture 2089">
          <a:extLst>
            <a:ext uri="{FF2B5EF4-FFF2-40B4-BE49-F238E27FC236}">
              <a16:creationId xmlns:a16="http://schemas.microsoft.com/office/drawing/2014/main" id="{64BDDCE1-FDE4-4AFD-83CF-E86FC3F93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091" name="AutoShape 483">
          <a:extLst>
            <a:ext uri="{FF2B5EF4-FFF2-40B4-BE49-F238E27FC236}">
              <a16:creationId xmlns:a16="http://schemas.microsoft.com/office/drawing/2014/main" id="{48F3EB64-8EB7-4254-8179-E3B570AF84A3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92" name="Picture 2091">
          <a:extLst>
            <a:ext uri="{FF2B5EF4-FFF2-40B4-BE49-F238E27FC236}">
              <a16:creationId xmlns:a16="http://schemas.microsoft.com/office/drawing/2014/main" id="{F52A232D-2071-4D8D-8498-A023FB657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093" name="AutoShape 485">
          <a:extLst>
            <a:ext uri="{FF2B5EF4-FFF2-40B4-BE49-F238E27FC236}">
              <a16:creationId xmlns:a16="http://schemas.microsoft.com/office/drawing/2014/main" id="{B4B6BBC5-C4AC-45D0-8102-C65E0DEC39CC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9525" cy="9525"/>
    <xdr:pic>
      <xdr:nvPicPr>
        <xdr:cNvPr id="2094" name="Picture 2093">
          <a:extLst>
            <a:ext uri="{FF2B5EF4-FFF2-40B4-BE49-F238E27FC236}">
              <a16:creationId xmlns:a16="http://schemas.microsoft.com/office/drawing/2014/main" id="{18E1C5B7-1661-488C-B337-7D98CEAAD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12</xdr:row>
      <xdr:rowOff>0</xdr:rowOff>
    </xdr:from>
    <xdr:ext cx="304800" cy="303439"/>
    <xdr:sp macro="" textlink="">
      <xdr:nvSpPr>
        <xdr:cNvPr id="2095" name="AutoShape 487">
          <a:extLst>
            <a:ext uri="{FF2B5EF4-FFF2-40B4-BE49-F238E27FC236}">
              <a16:creationId xmlns:a16="http://schemas.microsoft.com/office/drawing/2014/main" id="{F822D80D-3EE0-4C34-8AFF-24164A9B41B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96" name="Picture 2095">
          <a:extLst>
            <a:ext uri="{FF2B5EF4-FFF2-40B4-BE49-F238E27FC236}">
              <a16:creationId xmlns:a16="http://schemas.microsoft.com/office/drawing/2014/main" id="{D696B8ED-857D-4DC6-9708-BE02A1137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097" name="Picture 2096">
          <a:extLst>
            <a:ext uri="{FF2B5EF4-FFF2-40B4-BE49-F238E27FC236}">
              <a16:creationId xmlns:a16="http://schemas.microsoft.com/office/drawing/2014/main" id="{2080E407-C238-4739-A3AE-6818F6570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2098" name="AutoShape 491">
          <a:extLst>
            <a:ext uri="{FF2B5EF4-FFF2-40B4-BE49-F238E27FC236}">
              <a16:creationId xmlns:a16="http://schemas.microsoft.com/office/drawing/2014/main" id="{CC263DB4-0777-4F3A-B70C-57ED62EB83C1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27</xdr:row>
      <xdr:rowOff>0</xdr:rowOff>
    </xdr:from>
    <xdr:ext cx="9525" cy="9525"/>
    <xdr:pic>
      <xdr:nvPicPr>
        <xdr:cNvPr id="2099" name="Picture 2098">
          <a:extLst>
            <a:ext uri="{FF2B5EF4-FFF2-40B4-BE49-F238E27FC236}">
              <a16:creationId xmlns:a16="http://schemas.microsoft.com/office/drawing/2014/main" id="{8FDC7319-A7D0-4B83-A0F4-F04F338E0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26</xdr:row>
      <xdr:rowOff>0</xdr:rowOff>
    </xdr:from>
    <xdr:ext cx="304800" cy="303439"/>
    <xdr:sp macro="" textlink="">
      <xdr:nvSpPr>
        <xdr:cNvPr id="2100" name="AutoShape 493">
          <a:extLst>
            <a:ext uri="{FF2B5EF4-FFF2-40B4-BE49-F238E27FC236}">
              <a16:creationId xmlns:a16="http://schemas.microsoft.com/office/drawing/2014/main" id="{9CBEA9FF-CE8A-4D93-995F-69EFE8D7D3C0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101" name="Picture 2100">
          <a:extLst>
            <a:ext uri="{FF2B5EF4-FFF2-40B4-BE49-F238E27FC236}">
              <a16:creationId xmlns:a16="http://schemas.microsoft.com/office/drawing/2014/main" id="{81133733-0811-418C-8696-8ADD956CF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102" name="Picture 2101">
          <a:extLst>
            <a:ext uri="{FF2B5EF4-FFF2-40B4-BE49-F238E27FC236}">
              <a16:creationId xmlns:a16="http://schemas.microsoft.com/office/drawing/2014/main" id="{A5A2C09F-AA07-4990-9281-140E0FBA0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3</xdr:row>
      <xdr:rowOff>0</xdr:rowOff>
    </xdr:from>
    <xdr:ext cx="9525" cy="9525"/>
    <xdr:pic>
      <xdr:nvPicPr>
        <xdr:cNvPr id="2103" name="Picture 2102">
          <a:extLst>
            <a:ext uri="{FF2B5EF4-FFF2-40B4-BE49-F238E27FC236}">
              <a16:creationId xmlns:a16="http://schemas.microsoft.com/office/drawing/2014/main" id="{455CF101-BCAD-4E07-B872-7527A8CAE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</xdr:row>
      <xdr:rowOff>0</xdr:rowOff>
    </xdr:from>
    <xdr:ext cx="304800" cy="303439"/>
    <xdr:sp macro="" textlink="">
      <xdr:nvSpPr>
        <xdr:cNvPr id="2104" name="AutoShape 497">
          <a:extLst>
            <a:ext uri="{FF2B5EF4-FFF2-40B4-BE49-F238E27FC236}">
              <a16:creationId xmlns:a16="http://schemas.microsoft.com/office/drawing/2014/main" id="{214FBFD7-0F4B-4BE2-B6C8-76CABA3B213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4</xdr:row>
      <xdr:rowOff>0</xdr:rowOff>
    </xdr:from>
    <xdr:ext cx="9525" cy="9525"/>
    <xdr:pic>
      <xdr:nvPicPr>
        <xdr:cNvPr id="2105" name="Picture 2104">
          <a:extLst>
            <a:ext uri="{FF2B5EF4-FFF2-40B4-BE49-F238E27FC236}">
              <a16:creationId xmlns:a16="http://schemas.microsoft.com/office/drawing/2014/main" id="{570B036E-2877-4536-9493-275EA4880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3</xdr:row>
      <xdr:rowOff>0</xdr:rowOff>
    </xdr:from>
    <xdr:ext cx="304800" cy="304800"/>
    <xdr:sp macro="" textlink="">
      <xdr:nvSpPr>
        <xdr:cNvPr id="2106" name="AutoShape 499">
          <a:extLst>
            <a:ext uri="{FF2B5EF4-FFF2-40B4-BE49-F238E27FC236}">
              <a16:creationId xmlns:a16="http://schemas.microsoft.com/office/drawing/2014/main" id="{891C46FD-E338-4942-8296-F5B1D1B5A28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5</xdr:row>
      <xdr:rowOff>0</xdr:rowOff>
    </xdr:from>
    <xdr:ext cx="9525" cy="9525"/>
    <xdr:pic>
      <xdr:nvPicPr>
        <xdr:cNvPr id="2107" name="Picture 2106">
          <a:extLst>
            <a:ext uri="{FF2B5EF4-FFF2-40B4-BE49-F238E27FC236}">
              <a16:creationId xmlns:a16="http://schemas.microsoft.com/office/drawing/2014/main" id="{C0598D80-AFB7-4411-A6AB-E7AFA371F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4</xdr:row>
      <xdr:rowOff>0</xdr:rowOff>
    </xdr:from>
    <xdr:ext cx="304800" cy="304800"/>
    <xdr:sp macro="" textlink="">
      <xdr:nvSpPr>
        <xdr:cNvPr id="2108" name="AutoShape 501">
          <a:extLst>
            <a:ext uri="{FF2B5EF4-FFF2-40B4-BE49-F238E27FC236}">
              <a16:creationId xmlns:a16="http://schemas.microsoft.com/office/drawing/2014/main" id="{9980629D-AC21-4E80-BF57-6500DBE02A6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537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6</xdr:row>
      <xdr:rowOff>0</xdr:rowOff>
    </xdr:from>
    <xdr:ext cx="9525" cy="9525"/>
    <xdr:pic>
      <xdr:nvPicPr>
        <xdr:cNvPr id="2109" name="Picture 2108">
          <a:extLst>
            <a:ext uri="{FF2B5EF4-FFF2-40B4-BE49-F238E27FC236}">
              <a16:creationId xmlns:a16="http://schemas.microsoft.com/office/drawing/2014/main" id="{3B691CC5-37ED-47C5-AD7D-E0FB3364D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304800" cy="304800"/>
    <xdr:sp macro="" textlink="">
      <xdr:nvSpPr>
        <xdr:cNvPr id="2110" name="AutoShape 503">
          <a:extLst>
            <a:ext uri="{FF2B5EF4-FFF2-40B4-BE49-F238E27FC236}">
              <a16:creationId xmlns:a16="http://schemas.microsoft.com/office/drawing/2014/main" id="{A4676C56-AFFD-4389-ADBF-68B176A58C1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111" name="Picture 2110">
          <a:extLst>
            <a:ext uri="{FF2B5EF4-FFF2-40B4-BE49-F238E27FC236}">
              <a16:creationId xmlns:a16="http://schemas.microsoft.com/office/drawing/2014/main" id="{BBD4A86B-C423-4383-9334-37166FE26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6</xdr:row>
      <xdr:rowOff>0</xdr:rowOff>
    </xdr:from>
    <xdr:ext cx="304800" cy="304800"/>
    <xdr:sp macro="" textlink="">
      <xdr:nvSpPr>
        <xdr:cNvPr id="2112" name="AutoShape 505">
          <a:extLst>
            <a:ext uri="{FF2B5EF4-FFF2-40B4-BE49-F238E27FC236}">
              <a16:creationId xmlns:a16="http://schemas.microsoft.com/office/drawing/2014/main" id="{63493455-8313-45ED-8E03-0688E53B5A53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26</xdr:row>
      <xdr:rowOff>0</xdr:rowOff>
    </xdr:from>
    <xdr:ext cx="9525" cy="9525"/>
    <xdr:pic>
      <xdr:nvPicPr>
        <xdr:cNvPr id="2113" name="Picture 2112">
          <a:extLst>
            <a:ext uri="{FF2B5EF4-FFF2-40B4-BE49-F238E27FC236}">
              <a16:creationId xmlns:a16="http://schemas.microsoft.com/office/drawing/2014/main" id="{C3C5CC9C-C805-49A2-AB85-AF8C5C5F1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25</xdr:row>
      <xdr:rowOff>0</xdr:rowOff>
    </xdr:from>
    <xdr:ext cx="304800" cy="303439"/>
    <xdr:sp macro="" textlink="">
      <xdr:nvSpPr>
        <xdr:cNvPr id="2114" name="AutoShape 507">
          <a:extLst>
            <a:ext uri="{FF2B5EF4-FFF2-40B4-BE49-F238E27FC236}">
              <a16:creationId xmlns:a16="http://schemas.microsoft.com/office/drawing/2014/main" id="{F0780CA3-442C-4798-9F8B-DC9CD5F63E1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06878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115" name="Picture 2114">
          <a:extLst>
            <a:ext uri="{FF2B5EF4-FFF2-40B4-BE49-F238E27FC236}">
              <a16:creationId xmlns:a16="http://schemas.microsoft.com/office/drawing/2014/main" id="{976AC7CF-BF85-4252-9821-4DD772EF6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26</xdr:row>
      <xdr:rowOff>0</xdr:rowOff>
    </xdr:from>
    <xdr:ext cx="304800" cy="304800"/>
    <xdr:sp macro="" textlink="">
      <xdr:nvSpPr>
        <xdr:cNvPr id="2116" name="AutoShape 509">
          <a:extLst>
            <a:ext uri="{FF2B5EF4-FFF2-40B4-BE49-F238E27FC236}">
              <a16:creationId xmlns:a16="http://schemas.microsoft.com/office/drawing/2014/main" id="{C16AAF2B-D804-43CD-8691-25B03FA9EA8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117" name="Picture 2116">
          <a:extLst>
            <a:ext uri="{FF2B5EF4-FFF2-40B4-BE49-F238E27FC236}">
              <a16:creationId xmlns:a16="http://schemas.microsoft.com/office/drawing/2014/main" id="{0BDE41B8-2B56-40B0-B8B4-F01464B91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118" name="AutoShape 511">
          <a:extLst>
            <a:ext uri="{FF2B5EF4-FFF2-40B4-BE49-F238E27FC236}">
              <a16:creationId xmlns:a16="http://schemas.microsoft.com/office/drawing/2014/main" id="{B78DA119-3C0C-4337-9ACE-F837478FA56C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119" name="Picture 2118">
          <a:extLst>
            <a:ext uri="{FF2B5EF4-FFF2-40B4-BE49-F238E27FC236}">
              <a16:creationId xmlns:a16="http://schemas.microsoft.com/office/drawing/2014/main" id="{8E115390-7263-4202-AC89-FFFABF10A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39"/>
    <xdr:sp macro="" textlink="">
      <xdr:nvSpPr>
        <xdr:cNvPr id="2120" name="AutoShape 513">
          <a:extLst>
            <a:ext uri="{FF2B5EF4-FFF2-40B4-BE49-F238E27FC236}">
              <a16:creationId xmlns:a16="http://schemas.microsoft.com/office/drawing/2014/main" id="{6E05822A-D354-4AEC-ADEA-A9F668C0940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121" name="Picture 2120">
          <a:extLst>
            <a:ext uri="{FF2B5EF4-FFF2-40B4-BE49-F238E27FC236}">
              <a16:creationId xmlns:a16="http://schemas.microsoft.com/office/drawing/2014/main" id="{18B2333F-E36D-43D2-958B-6C0E4D4B0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122" name="AutoShape 515">
          <a:extLst>
            <a:ext uri="{FF2B5EF4-FFF2-40B4-BE49-F238E27FC236}">
              <a16:creationId xmlns:a16="http://schemas.microsoft.com/office/drawing/2014/main" id="{4339D673-8D66-4B0E-AF90-17B5E62CC24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123" name="Picture 2122">
          <a:extLst>
            <a:ext uri="{FF2B5EF4-FFF2-40B4-BE49-F238E27FC236}">
              <a16:creationId xmlns:a16="http://schemas.microsoft.com/office/drawing/2014/main" id="{D27E7DAA-2D5B-4CAB-BDBA-F65E853BF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124" name="AutoShape 517">
          <a:extLst>
            <a:ext uri="{FF2B5EF4-FFF2-40B4-BE49-F238E27FC236}">
              <a16:creationId xmlns:a16="http://schemas.microsoft.com/office/drawing/2014/main" id="{744FA355-B713-49BF-B59C-522732CA2F98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125" name="Picture 2124">
          <a:extLst>
            <a:ext uri="{FF2B5EF4-FFF2-40B4-BE49-F238E27FC236}">
              <a16:creationId xmlns:a16="http://schemas.microsoft.com/office/drawing/2014/main" id="{6C24F357-99AB-4369-9015-1B68F8DEF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126" name="AutoShape 519">
          <a:extLst>
            <a:ext uri="{FF2B5EF4-FFF2-40B4-BE49-F238E27FC236}">
              <a16:creationId xmlns:a16="http://schemas.microsoft.com/office/drawing/2014/main" id="{288760C3-32C6-41A5-B038-CA672E5ED38F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127" name="Picture 2126">
          <a:extLst>
            <a:ext uri="{FF2B5EF4-FFF2-40B4-BE49-F238E27FC236}">
              <a16:creationId xmlns:a16="http://schemas.microsoft.com/office/drawing/2014/main" id="{DBFBFC10-B9D0-46CB-98CE-B74857FE2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128" name="Picture 2127">
          <a:extLst>
            <a:ext uri="{FF2B5EF4-FFF2-40B4-BE49-F238E27FC236}">
              <a16:creationId xmlns:a16="http://schemas.microsoft.com/office/drawing/2014/main" id="{4D656622-1648-4741-AFE5-ED9303298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2129" name="AutoShape 525">
          <a:extLst>
            <a:ext uri="{FF2B5EF4-FFF2-40B4-BE49-F238E27FC236}">
              <a16:creationId xmlns:a16="http://schemas.microsoft.com/office/drawing/2014/main" id="{FD40C375-5BC7-4821-8A8B-F867B8949F3B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27</xdr:row>
      <xdr:rowOff>0</xdr:rowOff>
    </xdr:from>
    <xdr:ext cx="9525" cy="9525"/>
    <xdr:pic>
      <xdr:nvPicPr>
        <xdr:cNvPr id="2130" name="Picture 2129">
          <a:extLst>
            <a:ext uri="{FF2B5EF4-FFF2-40B4-BE49-F238E27FC236}">
              <a16:creationId xmlns:a16="http://schemas.microsoft.com/office/drawing/2014/main" id="{AF284186-39C6-4B46-B5DD-6AED6E521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26</xdr:row>
      <xdr:rowOff>0</xdr:rowOff>
    </xdr:from>
    <xdr:ext cx="304800" cy="303439"/>
    <xdr:sp macro="" textlink="">
      <xdr:nvSpPr>
        <xdr:cNvPr id="2131" name="AutoShape 527">
          <a:extLst>
            <a:ext uri="{FF2B5EF4-FFF2-40B4-BE49-F238E27FC236}">
              <a16:creationId xmlns:a16="http://schemas.microsoft.com/office/drawing/2014/main" id="{EA11DA07-F112-4393-A0F4-ED2ABB89FFF3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132" name="Picture 2131">
          <a:extLst>
            <a:ext uri="{FF2B5EF4-FFF2-40B4-BE49-F238E27FC236}">
              <a16:creationId xmlns:a16="http://schemas.microsoft.com/office/drawing/2014/main" id="{A7642B08-7A80-4250-8BE3-72CCD6731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27</xdr:row>
      <xdr:rowOff>0</xdr:rowOff>
    </xdr:from>
    <xdr:ext cx="304800" cy="303439"/>
    <xdr:sp macro="" textlink="">
      <xdr:nvSpPr>
        <xdr:cNvPr id="2133" name="AutoShape 529">
          <a:extLst>
            <a:ext uri="{FF2B5EF4-FFF2-40B4-BE49-F238E27FC236}">
              <a16:creationId xmlns:a16="http://schemas.microsoft.com/office/drawing/2014/main" id="{14008F8D-B4E8-4DB4-B8F8-6B497A53950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477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134" name="Picture 2133">
          <a:extLst>
            <a:ext uri="{FF2B5EF4-FFF2-40B4-BE49-F238E27FC236}">
              <a16:creationId xmlns:a16="http://schemas.microsoft.com/office/drawing/2014/main" id="{149B8E2E-9EED-4916-A078-89995158D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39"/>
    <xdr:sp macro="" textlink="">
      <xdr:nvSpPr>
        <xdr:cNvPr id="2135" name="AutoShape 531">
          <a:extLst>
            <a:ext uri="{FF2B5EF4-FFF2-40B4-BE49-F238E27FC236}">
              <a16:creationId xmlns:a16="http://schemas.microsoft.com/office/drawing/2014/main" id="{C3B0E3B7-2088-4A2F-B4A4-1D46295F0B18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9525" cy="9525"/>
    <xdr:pic>
      <xdr:nvPicPr>
        <xdr:cNvPr id="2136" name="Picture 2135">
          <a:extLst>
            <a:ext uri="{FF2B5EF4-FFF2-40B4-BE49-F238E27FC236}">
              <a16:creationId xmlns:a16="http://schemas.microsoft.com/office/drawing/2014/main" id="{1019F75D-BB7D-4039-8EA3-E68E83750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7</xdr:row>
      <xdr:rowOff>0</xdr:rowOff>
    </xdr:from>
    <xdr:ext cx="9525" cy="9525"/>
    <xdr:pic>
      <xdr:nvPicPr>
        <xdr:cNvPr id="2137" name="Picture 2136">
          <a:extLst>
            <a:ext uri="{FF2B5EF4-FFF2-40B4-BE49-F238E27FC236}">
              <a16:creationId xmlns:a16="http://schemas.microsoft.com/office/drawing/2014/main" id="{24BB6500-C70E-4D41-8BE4-559503A6A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7</xdr:row>
      <xdr:rowOff>0</xdr:rowOff>
    </xdr:from>
    <xdr:ext cx="304800" cy="304800"/>
    <xdr:sp macro="" textlink="">
      <xdr:nvSpPr>
        <xdr:cNvPr id="2138" name="AutoShape 183">
          <a:extLst>
            <a:ext uri="{FF2B5EF4-FFF2-40B4-BE49-F238E27FC236}">
              <a16:creationId xmlns:a16="http://schemas.microsoft.com/office/drawing/2014/main" id="{5E8F8BF1-762B-4C40-AD10-E501EBDB7345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9525" cy="9525"/>
    <xdr:pic>
      <xdr:nvPicPr>
        <xdr:cNvPr id="2139" name="Picture 2138">
          <a:extLst>
            <a:ext uri="{FF2B5EF4-FFF2-40B4-BE49-F238E27FC236}">
              <a16:creationId xmlns:a16="http://schemas.microsoft.com/office/drawing/2014/main" id="{A1FA3A12-9C19-47F0-B585-D3A45C068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7</xdr:row>
      <xdr:rowOff>0</xdr:rowOff>
    </xdr:from>
    <xdr:ext cx="304800" cy="304800"/>
    <xdr:sp macro="" textlink="">
      <xdr:nvSpPr>
        <xdr:cNvPr id="2140" name="AutoShape 209">
          <a:extLst>
            <a:ext uri="{FF2B5EF4-FFF2-40B4-BE49-F238E27FC236}">
              <a16:creationId xmlns:a16="http://schemas.microsoft.com/office/drawing/2014/main" id="{F9FAC0EA-4542-49FB-90B4-7B47C353C0B6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9525" cy="9525"/>
    <xdr:pic>
      <xdr:nvPicPr>
        <xdr:cNvPr id="2141" name="Picture 2140">
          <a:extLst>
            <a:ext uri="{FF2B5EF4-FFF2-40B4-BE49-F238E27FC236}">
              <a16:creationId xmlns:a16="http://schemas.microsoft.com/office/drawing/2014/main" id="{8152D9F3-5F24-459B-8404-C2900F3BA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7</xdr:row>
      <xdr:rowOff>0</xdr:rowOff>
    </xdr:from>
    <xdr:ext cx="304800" cy="304800"/>
    <xdr:sp macro="" textlink="">
      <xdr:nvSpPr>
        <xdr:cNvPr id="2142" name="AutoShape 233">
          <a:extLst>
            <a:ext uri="{FF2B5EF4-FFF2-40B4-BE49-F238E27FC236}">
              <a16:creationId xmlns:a16="http://schemas.microsoft.com/office/drawing/2014/main" id="{F5997F60-43CF-44EB-BF41-F4532F18635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9525" cy="9525"/>
    <xdr:pic>
      <xdr:nvPicPr>
        <xdr:cNvPr id="2143" name="Picture 2142">
          <a:extLst>
            <a:ext uri="{FF2B5EF4-FFF2-40B4-BE49-F238E27FC236}">
              <a16:creationId xmlns:a16="http://schemas.microsoft.com/office/drawing/2014/main" id="{3C36CF95-FAF8-465D-B1C1-85FD87DA7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7</xdr:row>
      <xdr:rowOff>0</xdr:rowOff>
    </xdr:from>
    <xdr:ext cx="304800" cy="304800"/>
    <xdr:sp macro="" textlink="">
      <xdr:nvSpPr>
        <xdr:cNvPr id="2144" name="AutoShape 259">
          <a:extLst>
            <a:ext uri="{FF2B5EF4-FFF2-40B4-BE49-F238E27FC236}">
              <a16:creationId xmlns:a16="http://schemas.microsoft.com/office/drawing/2014/main" id="{D1A590C1-E6A6-4805-B8BC-5E630C8C14B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9525" cy="9525"/>
    <xdr:pic>
      <xdr:nvPicPr>
        <xdr:cNvPr id="2145" name="Picture 2144">
          <a:extLst>
            <a:ext uri="{FF2B5EF4-FFF2-40B4-BE49-F238E27FC236}">
              <a16:creationId xmlns:a16="http://schemas.microsoft.com/office/drawing/2014/main" id="{4470BA4D-5AE6-4A88-BB0B-DA0E15122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7</xdr:row>
      <xdr:rowOff>0</xdr:rowOff>
    </xdr:from>
    <xdr:ext cx="304800" cy="304800"/>
    <xdr:sp macro="" textlink="">
      <xdr:nvSpPr>
        <xdr:cNvPr id="2146" name="AutoShape 311">
          <a:extLst>
            <a:ext uri="{FF2B5EF4-FFF2-40B4-BE49-F238E27FC236}">
              <a16:creationId xmlns:a16="http://schemas.microsoft.com/office/drawing/2014/main" id="{73966EF4-1292-4148-AEF0-A4902561A0E1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9525" cy="9525"/>
    <xdr:pic>
      <xdr:nvPicPr>
        <xdr:cNvPr id="2147" name="Picture 2146">
          <a:extLst>
            <a:ext uri="{FF2B5EF4-FFF2-40B4-BE49-F238E27FC236}">
              <a16:creationId xmlns:a16="http://schemas.microsoft.com/office/drawing/2014/main" id="{C3EE82B9-1C61-4E34-BA58-3D049227E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7</xdr:row>
      <xdr:rowOff>0</xdr:rowOff>
    </xdr:from>
    <xdr:ext cx="304800" cy="304800"/>
    <xdr:sp macro="" textlink="">
      <xdr:nvSpPr>
        <xdr:cNvPr id="2148" name="AutoShape 363">
          <a:extLst>
            <a:ext uri="{FF2B5EF4-FFF2-40B4-BE49-F238E27FC236}">
              <a16:creationId xmlns:a16="http://schemas.microsoft.com/office/drawing/2014/main" id="{02C31F31-9E21-463E-B92E-EB9E5B21DC4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9525" cy="9525"/>
    <xdr:pic>
      <xdr:nvPicPr>
        <xdr:cNvPr id="2149" name="Picture 2148">
          <a:extLst>
            <a:ext uri="{FF2B5EF4-FFF2-40B4-BE49-F238E27FC236}">
              <a16:creationId xmlns:a16="http://schemas.microsoft.com/office/drawing/2014/main" id="{4F9E7AC9-B65B-4C3B-98F1-3B05FDA86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7</xdr:row>
      <xdr:rowOff>0</xdr:rowOff>
    </xdr:from>
    <xdr:ext cx="304800" cy="304800"/>
    <xdr:sp macro="" textlink="">
      <xdr:nvSpPr>
        <xdr:cNvPr id="2150" name="AutoShape 419">
          <a:extLst>
            <a:ext uri="{FF2B5EF4-FFF2-40B4-BE49-F238E27FC236}">
              <a16:creationId xmlns:a16="http://schemas.microsoft.com/office/drawing/2014/main" id="{97426643-2ACF-48BD-9732-B0CCF246548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9525" cy="9525"/>
    <xdr:pic>
      <xdr:nvPicPr>
        <xdr:cNvPr id="2151" name="Picture 2150">
          <a:extLst>
            <a:ext uri="{FF2B5EF4-FFF2-40B4-BE49-F238E27FC236}">
              <a16:creationId xmlns:a16="http://schemas.microsoft.com/office/drawing/2014/main" id="{69DA1FEA-6131-4B40-85A5-F24A7F2BA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7</xdr:row>
      <xdr:rowOff>0</xdr:rowOff>
    </xdr:from>
    <xdr:ext cx="304800" cy="304800"/>
    <xdr:sp macro="" textlink="">
      <xdr:nvSpPr>
        <xdr:cNvPr id="2152" name="AutoShape 475">
          <a:extLst>
            <a:ext uri="{FF2B5EF4-FFF2-40B4-BE49-F238E27FC236}">
              <a16:creationId xmlns:a16="http://schemas.microsoft.com/office/drawing/2014/main" id="{7FC80221-8927-4D32-979B-C4C476945A8B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7</xdr:row>
      <xdr:rowOff>0</xdr:rowOff>
    </xdr:from>
    <xdr:ext cx="9525" cy="9525"/>
    <xdr:pic>
      <xdr:nvPicPr>
        <xdr:cNvPr id="2153" name="Picture 2152">
          <a:extLst>
            <a:ext uri="{FF2B5EF4-FFF2-40B4-BE49-F238E27FC236}">
              <a16:creationId xmlns:a16="http://schemas.microsoft.com/office/drawing/2014/main" id="{4BC5D645-CC8C-49A2-A1DB-5C3EFAB05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9525" cy="9525"/>
    <xdr:pic>
      <xdr:nvPicPr>
        <xdr:cNvPr id="2154" name="Picture 2153">
          <a:extLst>
            <a:ext uri="{FF2B5EF4-FFF2-40B4-BE49-F238E27FC236}">
              <a16:creationId xmlns:a16="http://schemas.microsoft.com/office/drawing/2014/main" id="{F80B33CF-D86B-4F15-AA92-AC8633D9E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9525" cy="9525"/>
    <xdr:pic>
      <xdr:nvPicPr>
        <xdr:cNvPr id="2155" name="Picture 2154">
          <a:extLst>
            <a:ext uri="{FF2B5EF4-FFF2-40B4-BE49-F238E27FC236}">
              <a16:creationId xmlns:a16="http://schemas.microsoft.com/office/drawing/2014/main" id="{CD2A6A17-80CB-43B4-88C0-7CC21EA15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4800"/>
    <xdr:sp macro="" textlink="">
      <xdr:nvSpPr>
        <xdr:cNvPr id="2156" name="AutoShape 183">
          <a:extLst>
            <a:ext uri="{FF2B5EF4-FFF2-40B4-BE49-F238E27FC236}">
              <a16:creationId xmlns:a16="http://schemas.microsoft.com/office/drawing/2014/main" id="{092C16AF-7859-4E6C-8C81-02C8641BEF8B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15</xdr:row>
      <xdr:rowOff>0</xdr:rowOff>
    </xdr:from>
    <xdr:ext cx="9525" cy="9525"/>
    <xdr:pic>
      <xdr:nvPicPr>
        <xdr:cNvPr id="2157" name="Picture 2156">
          <a:extLst>
            <a:ext uri="{FF2B5EF4-FFF2-40B4-BE49-F238E27FC236}">
              <a16:creationId xmlns:a16="http://schemas.microsoft.com/office/drawing/2014/main" id="{4D9EE04D-53A8-49C1-8E84-8F5E93B39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4800"/>
    <xdr:sp macro="" textlink="">
      <xdr:nvSpPr>
        <xdr:cNvPr id="2158" name="AutoShape 209">
          <a:extLst>
            <a:ext uri="{FF2B5EF4-FFF2-40B4-BE49-F238E27FC236}">
              <a16:creationId xmlns:a16="http://schemas.microsoft.com/office/drawing/2014/main" id="{D305F6DA-4F16-49A1-B699-6A240F3B95A2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15</xdr:row>
      <xdr:rowOff>0</xdr:rowOff>
    </xdr:from>
    <xdr:ext cx="9525" cy="9525"/>
    <xdr:pic>
      <xdr:nvPicPr>
        <xdr:cNvPr id="2159" name="Picture 2158">
          <a:extLst>
            <a:ext uri="{FF2B5EF4-FFF2-40B4-BE49-F238E27FC236}">
              <a16:creationId xmlns:a16="http://schemas.microsoft.com/office/drawing/2014/main" id="{4B3AF861-CE9A-444F-A687-881F911FC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4800"/>
    <xdr:sp macro="" textlink="">
      <xdr:nvSpPr>
        <xdr:cNvPr id="2160" name="AutoShape 233">
          <a:extLst>
            <a:ext uri="{FF2B5EF4-FFF2-40B4-BE49-F238E27FC236}">
              <a16:creationId xmlns:a16="http://schemas.microsoft.com/office/drawing/2014/main" id="{47C45C1B-B0B7-4181-BEDD-E95C66DEDF31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15</xdr:row>
      <xdr:rowOff>0</xdr:rowOff>
    </xdr:from>
    <xdr:ext cx="9525" cy="9525"/>
    <xdr:pic>
      <xdr:nvPicPr>
        <xdr:cNvPr id="2161" name="Picture 2160">
          <a:extLst>
            <a:ext uri="{FF2B5EF4-FFF2-40B4-BE49-F238E27FC236}">
              <a16:creationId xmlns:a16="http://schemas.microsoft.com/office/drawing/2014/main" id="{EF1013C0-9A1F-4681-A98B-19AA99ABA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4800"/>
    <xdr:sp macro="" textlink="">
      <xdr:nvSpPr>
        <xdr:cNvPr id="2162" name="AutoShape 259">
          <a:extLst>
            <a:ext uri="{FF2B5EF4-FFF2-40B4-BE49-F238E27FC236}">
              <a16:creationId xmlns:a16="http://schemas.microsoft.com/office/drawing/2014/main" id="{68727109-F085-46CC-A0C5-C8B6A679D950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15</xdr:row>
      <xdr:rowOff>0</xdr:rowOff>
    </xdr:from>
    <xdr:ext cx="9525" cy="9525"/>
    <xdr:pic>
      <xdr:nvPicPr>
        <xdr:cNvPr id="2163" name="Picture 2162">
          <a:extLst>
            <a:ext uri="{FF2B5EF4-FFF2-40B4-BE49-F238E27FC236}">
              <a16:creationId xmlns:a16="http://schemas.microsoft.com/office/drawing/2014/main" id="{4495208A-4F72-44BB-A6F1-7CD51D4AB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4800"/>
    <xdr:sp macro="" textlink="">
      <xdr:nvSpPr>
        <xdr:cNvPr id="2164" name="AutoShape 311">
          <a:extLst>
            <a:ext uri="{FF2B5EF4-FFF2-40B4-BE49-F238E27FC236}">
              <a16:creationId xmlns:a16="http://schemas.microsoft.com/office/drawing/2014/main" id="{E6317639-49A5-4A80-909A-30A71E0BA4A5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15</xdr:row>
      <xdr:rowOff>0</xdr:rowOff>
    </xdr:from>
    <xdr:ext cx="9525" cy="9525"/>
    <xdr:pic>
      <xdr:nvPicPr>
        <xdr:cNvPr id="2165" name="Picture 2164">
          <a:extLst>
            <a:ext uri="{FF2B5EF4-FFF2-40B4-BE49-F238E27FC236}">
              <a16:creationId xmlns:a16="http://schemas.microsoft.com/office/drawing/2014/main" id="{18ECE325-75F7-4D0A-A1C2-D9905F2E1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4800"/>
    <xdr:sp macro="" textlink="">
      <xdr:nvSpPr>
        <xdr:cNvPr id="2166" name="AutoShape 363">
          <a:extLst>
            <a:ext uri="{FF2B5EF4-FFF2-40B4-BE49-F238E27FC236}">
              <a16:creationId xmlns:a16="http://schemas.microsoft.com/office/drawing/2014/main" id="{7F4F35DC-89F4-4B09-9250-6C148971477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15</xdr:row>
      <xdr:rowOff>0</xdr:rowOff>
    </xdr:from>
    <xdr:ext cx="9525" cy="9525"/>
    <xdr:pic>
      <xdr:nvPicPr>
        <xdr:cNvPr id="2167" name="Picture 2166">
          <a:extLst>
            <a:ext uri="{FF2B5EF4-FFF2-40B4-BE49-F238E27FC236}">
              <a16:creationId xmlns:a16="http://schemas.microsoft.com/office/drawing/2014/main" id="{656EE4DA-A3C4-4083-A8C9-8049B1260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4800"/>
    <xdr:sp macro="" textlink="">
      <xdr:nvSpPr>
        <xdr:cNvPr id="2168" name="AutoShape 419">
          <a:extLst>
            <a:ext uri="{FF2B5EF4-FFF2-40B4-BE49-F238E27FC236}">
              <a16:creationId xmlns:a16="http://schemas.microsoft.com/office/drawing/2014/main" id="{C6E16C95-264F-4523-91AC-ACB8ADBB36A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15</xdr:row>
      <xdr:rowOff>0</xdr:rowOff>
    </xdr:from>
    <xdr:ext cx="9525" cy="9525"/>
    <xdr:pic>
      <xdr:nvPicPr>
        <xdr:cNvPr id="2169" name="Picture 2168">
          <a:extLst>
            <a:ext uri="{FF2B5EF4-FFF2-40B4-BE49-F238E27FC236}">
              <a16:creationId xmlns:a16="http://schemas.microsoft.com/office/drawing/2014/main" id="{97FC9EE6-2C97-402F-8C0F-4501E3885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4800"/>
    <xdr:sp macro="" textlink="">
      <xdr:nvSpPr>
        <xdr:cNvPr id="2170" name="AutoShape 475">
          <a:extLst>
            <a:ext uri="{FF2B5EF4-FFF2-40B4-BE49-F238E27FC236}">
              <a16:creationId xmlns:a16="http://schemas.microsoft.com/office/drawing/2014/main" id="{663887C2-5848-42FA-9332-9755FF7FD70C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15</xdr:row>
      <xdr:rowOff>0</xdr:rowOff>
    </xdr:from>
    <xdr:ext cx="9525" cy="9525"/>
    <xdr:pic>
      <xdr:nvPicPr>
        <xdr:cNvPr id="2171" name="Picture 2170">
          <a:extLst>
            <a:ext uri="{FF2B5EF4-FFF2-40B4-BE49-F238E27FC236}">
              <a16:creationId xmlns:a16="http://schemas.microsoft.com/office/drawing/2014/main" id="{998EBC21-25B8-4E9E-AAE2-E30B323A4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21</xdr:row>
      <xdr:rowOff>0</xdr:rowOff>
    </xdr:from>
    <xdr:ext cx="304800" cy="304800"/>
    <xdr:sp macro="" textlink="">
      <xdr:nvSpPr>
        <xdr:cNvPr id="2172" name="AutoShape 154">
          <a:extLst>
            <a:ext uri="{FF2B5EF4-FFF2-40B4-BE49-F238E27FC236}">
              <a16:creationId xmlns:a16="http://schemas.microsoft.com/office/drawing/2014/main" id="{A78CF274-36E7-49B2-839E-1EEAA889BBAB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21</xdr:row>
      <xdr:rowOff>0</xdr:rowOff>
    </xdr:from>
    <xdr:ext cx="304800" cy="304800"/>
    <xdr:sp macro="" textlink="">
      <xdr:nvSpPr>
        <xdr:cNvPr id="2173" name="AutoShape 505">
          <a:extLst>
            <a:ext uri="{FF2B5EF4-FFF2-40B4-BE49-F238E27FC236}">
              <a16:creationId xmlns:a16="http://schemas.microsoft.com/office/drawing/2014/main" id="{ABBFE771-D046-4FFB-8E43-2037E141D653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21</xdr:row>
      <xdr:rowOff>0</xdr:rowOff>
    </xdr:from>
    <xdr:ext cx="9525" cy="9525"/>
    <xdr:pic>
      <xdr:nvPicPr>
        <xdr:cNvPr id="2174" name="Picture 2173">
          <a:extLst>
            <a:ext uri="{FF2B5EF4-FFF2-40B4-BE49-F238E27FC236}">
              <a16:creationId xmlns:a16="http://schemas.microsoft.com/office/drawing/2014/main" id="{7998FD80-2488-4001-A3F6-8735343DE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21</xdr:row>
      <xdr:rowOff>0</xdr:rowOff>
    </xdr:from>
    <xdr:ext cx="9525" cy="9525"/>
    <xdr:pic>
      <xdr:nvPicPr>
        <xdr:cNvPr id="2175" name="Picture 2174">
          <a:extLst>
            <a:ext uri="{FF2B5EF4-FFF2-40B4-BE49-F238E27FC236}">
              <a16:creationId xmlns:a16="http://schemas.microsoft.com/office/drawing/2014/main" id="{72BA85AD-09A2-48C7-9BB5-68CD8DAFB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21</xdr:row>
      <xdr:rowOff>0</xdr:rowOff>
    </xdr:from>
    <xdr:ext cx="304800" cy="304800"/>
    <xdr:sp macro="" textlink="">
      <xdr:nvSpPr>
        <xdr:cNvPr id="2176" name="AutoShape 183">
          <a:extLst>
            <a:ext uri="{FF2B5EF4-FFF2-40B4-BE49-F238E27FC236}">
              <a16:creationId xmlns:a16="http://schemas.microsoft.com/office/drawing/2014/main" id="{C1AEA137-BF6B-49C9-9F9A-29BCCE0DBE3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21</xdr:row>
      <xdr:rowOff>0</xdr:rowOff>
    </xdr:from>
    <xdr:ext cx="9525" cy="9525"/>
    <xdr:pic>
      <xdr:nvPicPr>
        <xdr:cNvPr id="2177" name="Picture 2176">
          <a:extLst>
            <a:ext uri="{FF2B5EF4-FFF2-40B4-BE49-F238E27FC236}">
              <a16:creationId xmlns:a16="http://schemas.microsoft.com/office/drawing/2014/main" id="{F69AB4AD-062C-45A1-B60A-C74A97395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21</xdr:row>
      <xdr:rowOff>0</xdr:rowOff>
    </xdr:from>
    <xdr:ext cx="304800" cy="304800"/>
    <xdr:sp macro="" textlink="">
      <xdr:nvSpPr>
        <xdr:cNvPr id="2178" name="AutoShape 209">
          <a:extLst>
            <a:ext uri="{FF2B5EF4-FFF2-40B4-BE49-F238E27FC236}">
              <a16:creationId xmlns:a16="http://schemas.microsoft.com/office/drawing/2014/main" id="{0FD2281C-1334-41DA-B261-D68B572413E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21</xdr:row>
      <xdr:rowOff>0</xdr:rowOff>
    </xdr:from>
    <xdr:ext cx="9525" cy="9525"/>
    <xdr:pic>
      <xdr:nvPicPr>
        <xdr:cNvPr id="2179" name="Picture 2178">
          <a:extLst>
            <a:ext uri="{FF2B5EF4-FFF2-40B4-BE49-F238E27FC236}">
              <a16:creationId xmlns:a16="http://schemas.microsoft.com/office/drawing/2014/main" id="{813C0E05-7AE9-40CA-A73A-99FE07FF6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21</xdr:row>
      <xdr:rowOff>0</xdr:rowOff>
    </xdr:from>
    <xdr:ext cx="304800" cy="304800"/>
    <xdr:sp macro="" textlink="">
      <xdr:nvSpPr>
        <xdr:cNvPr id="2180" name="AutoShape 233">
          <a:extLst>
            <a:ext uri="{FF2B5EF4-FFF2-40B4-BE49-F238E27FC236}">
              <a16:creationId xmlns:a16="http://schemas.microsoft.com/office/drawing/2014/main" id="{AEC9EE7D-2B86-4B3C-B308-3692EA82D241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21</xdr:row>
      <xdr:rowOff>0</xdr:rowOff>
    </xdr:from>
    <xdr:ext cx="9525" cy="9525"/>
    <xdr:pic>
      <xdr:nvPicPr>
        <xdr:cNvPr id="2181" name="Picture 2180">
          <a:extLst>
            <a:ext uri="{FF2B5EF4-FFF2-40B4-BE49-F238E27FC236}">
              <a16:creationId xmlns:a16="http://schemas.microsoft.com/office/drawing/2014/main" id="{3B91C11E-4560-40E1-AED5-06E24FE2C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21</xdr:row>
      <xdr:rowOff>0</xdr:rowOff>
    </xdr:from>
    <xdr:ext cx="304800" cy="304800"/>
    <xdr:sp macro="" textlink="">
      <xdr:nvSpPr>
        <xdr:cNvPr id="2182" name="AutoShape 259">
          <a:extLst>
            <a:ext uri="{FF2B5EF4-FFF2-40B4-BE49-F238E27FC236}">
              <a16:creationId xmlns:a16="http://schemas.microsoft.com/office/drawing/2014/main" id="{05CBE167-ABFE-49C4-89F6-08E372DD147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21</xdr:row>
      <xdr:rowOff>0</xdr:rowOff>
    </xdr:from>
    <xdr:ext cx="9525" cy="9525"/>
    <xdr:pic>
      <xdr:nvPicPr>
        <xdr:cNvPr id="2183" name="Picture 2182">
          <a:extLst>
            <a:ext uri="{FF2B5EF4-FFF2-40B4-BE49-F238E27FC236}">
              <a16:creationId xmlns:a16="http://schemas.microsoft.com/office/drawing/2014/main" id="{756BAC03-A645-462C-887F-5104764D7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21</xdr:row>
      <xdr:rowOff>0</xdr:rowOff>
    </xdr:from>
    <xdr:ext cx="304800" cy="304800"/>
    <xdr:sp macro="" textlink="">
      <xdr:nvSpPr>
        <xdr:cNvPr id="2184" name="AutoShape 311">
          <a:extLst>
            <a:ext uri="{FF2B5EF4-FFF2-40B4-BE49-F238E27FC236}">
              <a16:creationId xmlns:a16="http://schemas.microsoft.com/office/drawing/2014/main" id="{F4238032-6821-49CB-90D6-3F96676C57A6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21</xdr:row>
      <xdr:rowOff>0</xdr:rowOff>
    </xdr:from>
    <xdr:ext cx="9525" cy="9525"/>
    <xdr:pic>
      <xdr:nvPicPr>
        <xdr:cNvPr id="2185" name="Picture 2184">
          <a:extLst>
            <a:ext uri="{FF2B5EF4-FFF2-40B4-BE49-F238E27FC236}">
              <a16:creationId xmlns:a16="http://schemas.microsoft.com/office/drawing/2014/main" id="{4C115315-3CF8-4A3E-B25B-CE823D7BB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21</xdr:row>
      <xdr:rowOff>0</xdr:rowOff>
    </xdr:from>
    <xdr:ext cx="304800" cy="304800"/>
    <xdr:sp macro="" textlink="">
      <xdr:nvSpPr>
        <xdr:cNvPr id="2186" name="AutoShape 363">
          <a:extLst>
            <a:ext uri="{FF2B5EF4-FFF2-40B4-BE49-F238E27FC236}">
              <a16:creationId xmlns:a16="http://schemas.microsoft.com/office/drawing/2014/main" id="{589FD6D5-B8B4-40A4-9720-21E1E70A17D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21</xdr:row>
      <xdr:rowOff>0</xdr:rowOff>
    </xdr:from>
    <xdr:ext cx="9525" cy="9525"/>
    <xdr:pic>
      <xdr:nvPicPr>
        <xdr:cNvPr id="2187" name="Picture 2186">
          <a:extLst>
            <a:ext uri="{FF2B5EF4-FFF2-40B4-BE49-F238E27FC236}">
              <a16:creationId xmlns:a16="http://schemas.microsoft.com/office/drawing/2014/main" id="{04C06E65-C5F7-4914-B26E-33CFD4B60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21</xdr:row>
      <xdr:rowOff>0</xdr:rowOff>
    </xdr:from>
    <xdr:ext cx="304800" cy="304800"/>
    <xdr:sp macro="" textlink="">
      <xdr:nvSpPr>
        <xdr:cNvPr id="2188" name="AutoShape 419">
          <a:extLst>
            <a:ext uri="{FF2B5EF4-FFF2-40B4-BE49-F238E27FC236}">
              <a16:creationId xmlns:a16="http://schemas.microsoft.com/office/drawing/2014/main" id="{F60AA6A2-FDB1-423C-937B-DD1B4658CED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21</xdr:row>
      <xdr:rowOff>0</xdr:rowOff>
    </xdr:from>
    <xdr:ext cx="9525" cy="9525"/>
    <xdr:pic>
      <xdr:nvPicPr>
        <xdr:cNvPr id="2189" name="Picture 2188">
          <a:extLst>
            <a:ext uri="{FF2B5EF4-FFF2-40B4-BE49-F238E27FC236}">
              <a16:creationId xmlns:a16="http://schemas.microsoft.com/office/drawing/2014/main" id="{DB66C442-D700-45DB-A6B1-348CDDAB7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21</xdr:row>
      <xdr:rowOff>0</xdr:rowOff>
    </xdr:from>
    <xdr:ext cx="304800" cy="304800"/>
    <xdr:sp macro="" textlink="">
      <xdr:nvSpPr>
        <xdr:cNvPr id="2190" name="AutoShape 475">
          <a:extLst>
            <a:ext uri="{FF2B5EF4-FFF2-40B4-BE49-F238E27FC236}">
              <a16:creationId xmlns:a16="http://schemas.microsoft.com/office/drawing/2014/main" id="{E7D8B0F0-0B94-4D5B-AB7D-D0E31E6E69E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21</xdr:row>
      <xdr:rowOff>0</xdr:rowOff>
    </xdr:from>
    <xdr:ext cx="9525" cy="9525"/>
    <xdr:pic>
      <xdr:nvPicPr>
        <xdr:cNvPr id="2191" name="Picture 2190">
          <a:extLst>
            <a:ext uri="{FF2B5EF4-FFF2-40B4-BE49-F238E27FC236}">
              <a16:creationId xmlns:a16="http://schemas.microsoft.com/office/drawing/2014/main" id="{BE35B6BE-20F9-4846-BF73-8C487E727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16</xdr:row>
      <xdr:rowOff>0</xdr:rowOff>
    </xdr:from>
    <xdr:ext cx="9525" cy="9525"/>
    <xdr:pic>
      <xdr:nvPicPr>
        <xdr:cNvPr id="2192" name="Picture 2191">
          <a:extLst>
            <a:ext uri="{FF2B5EF4-FFF2-40B4-BE49-F238E27FC236}">
              <a16:creationId xmlns:a16="http://schemas.microsoft.com/office/drawing/2014/main" id="{28C34336-49CF-4D7B-B6B3-CEEE134C5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3440"/>
    <xdr:sp macro="" textlink="">
      <xdr:nvSpPr>
        <xdr:cNvPr id="2193" name="AutoShape 169">
          <a:extLst>
            <a:ext uri="{FF2B5EF4-FFF2-40B4-BE49-F238E27FC236}">
              <a16:creationId xmlns:a16="http://schemas.microsoft.com/office/drawing/2014/main" id="{3ED03445-8BA9-4C60-9B2B-2342AE0557D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16</xdr:row>
      <xdr:rowOff>0</xdr:rowOff>
    </xdr:from>
    <xdr:ext cx="304800" cy="303439"/>
    <xdr:sp macro="" textlink="">
      <xdr:nvSpPr>
        <xdr:cNvPr id="2194" name="AutoShape 171">
          <a:extLst>
            <a:ext uri="{FF2B5EF4-FFF2-40B4-BE49-F238E27FC236}">
              <a16:creationId xmlns:a16="http://schemas.microsoft.com/office/drawing/2014/main" id="{25F281AF-9A53-4BB1-B8F9-F1041CDC3FBF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16</xdr:row>
      <xdr:rowOff>0</xdr:rowOff>
    </xdr:from>
    <xdr:ext cx="9525" cy="9525"/>
    <xdr:pic>
      <xdr:nvPicPr>
        <xdr:cNvPr id="2195" name="Picture 2194">
          <a:extLst>
            <a:ext uri="{FF2B5EF4-FFF2-40B4-BE49-F238E27FC236}">
              <a16:creationId xmlns:a16="http://schemas.microsoft.com/office/drawing/2014/main" id="{D8AB427B-99ED-4D47-B341-CA051CF04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3440"/>
    <xdr:sp macro="" textlink="">
      <xdr:nvSpPr>
        <xdr:cNvPr id="2196" name="AutoShape 199">
          <a:extLst>
            <a:ext uri="{FF2B5EF4-FFF2-40B4-BE49-F238E27FC236}">
              <a16:creationId xmlns:a16="http://schemas.microsoft.com/office/drawing/2014/main" id="{D5D4DA07-4AD0-4391-805B-A8ECA2B41E36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16</xdr:row>
      <xdr:rowOff>0</xdr:rowOff>
    </xdr:from>
    <xdr:ext cx="9525" cy="9525"/>
    <xdr:pic>
      <xdr:nvPicPr>
        <xdr:cNvPr id="2197" name="Picture 2196">
          <a:extLst>
            <a:ext uri="{FF2B5EF4-FFF2-40B4-BE49-F238E27FC236}">
              <a16:creationId xmlns:a16="http://schemas.microsoft.com/office/drawing/2014/main" id="{36F82F61-B00B-4B7A-A11C-A38A3E48E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16</xdr:row>
      <xdr:rowOff>0</xdr:rowOff>
    </xdr:from>
    <xdr:ext cx="9525" cy="9525"/>
    <xdr:pic>
      <xdr:nvPicPr>
        <xdr:cNvPr id="2198" name="Picture 2197">
          <a:extLst>
            <a:ext uri="{FF2B5EF4-FFF2-40B4-BE49-F238E27FC236}">
              <a16:creationId xmlns:a16="http://schemas.microsoft.com/office/drawing/2014/main" id="{DA2FCB7C-F483-443D-959B-52E2667A5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3440"/>
    <xdr:sp macro="" textlink="">
      <xdr:nvSpPr>
        <xdr:cNvPr id="2199" name="AutoShape 249">
          <a:extLst>
            <a:ext uri="{FF2B5EF4-FFF2-40B4-BE49-F238E27FC236}">
              <a16:creationId xmlns:a16="http://schemas.microsoft.com/office/drawing/2014/main" id="{8849B4B2-1E25-4026-8BE0-8BA06E75632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16</xdr:row>
      <xdr:rowOff>0</xdr:rowOff>
    </xdr:from>
    <xdr:ext cx="9525" cy="9525"/>
    <xdr:pic>
      <xdr:nvPicPr>
        <xdr:cNvPr id="2200" name="Picture 2199">
          <a:extLst>
            <a:ext uri="{FF2B5EF4-FFF2-40B4-BE49-F238E27FC236}">
              <a16:creationId xmlns:a16="http://schemas.microsoft.com/office/drawing/2014/main" id="{9A152300-B281-4C6C-95AC-0ADE5436B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3440"/>
    <xdr:sp macro="" textlink="">
      <xdr:nvSpPr>
        <xdr:cNvPr id="2201" name="AutoShape 275">
          <a:extLst>
            <a:ext uri="{FF2B5EF4-FFF2-40B4-BE49-F238E27FC236}">
              <a16:creationId xmlns:a16="http://schemas.microsoft.com/office/drawing/2014/main" id="{A0C6D21E-F996-4AF7-BFEE-24441D3ED95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16</xdr:row>
      <xdr:rowOff>0</xdr:rowOff>
    </xdr:from>
    <xdr:ext cx="9525" cy="9525"/>
    <xdr:pic>
      <xdr:nvPicPr>
        <xdr:cNvPr id="2202" name="Picture 2201">
          <a:extLst>
            <a:ext uri="{FF2B5EF4-FFF2-40B4-BE49-F238E27FC236}">
              <a16:creationId xmlns:a16="http://schemas.microsoft.com/office/drawing/2014/main" id="{6558D774-D875-4D13-A910-9D854C7B7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3440"/>
    <xdr:sp macro="" textlink="">
      <xdr:nvSpPr>
        <xdr:cNvPr id="2203" name="AutoShape 327">
          <a:extLst>
            <a:ext uri="{FF2B5EF4-FFF2-40B4-BE49-F238E27FC236}">
              <a16:creationId xmlns:a16="http://schemas.microsoft.com/office/drawing/2014/main" id="{5317D3C3-9CC7-4022-AE19-029B5D7DDF43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16</xdr:row>
      <xdr:rowOff>0</xdr:rowOff>
    </xdr:from>
    <xdr:ext cx="9525" cy="9525"/>
    <xdr:pic>
      <xdr:nvPicPr>
        <xdr:cNvPr id="2204" name="Picture 2203">
          <a:extLst>
            <a:ext uri="{FF2B5EF4-FFF2-40B4-BE49-F238E27FC236}">
              <a16:creationId xmlns:a16="http://schemas.microsoft.com/office/drawing/2014/main" id="{D542A36B-3273-41CC-8A40-66B8C82B2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3440"/>
    <xdr:sp macro="" textlink="">
      <xdr:nvSpPr>
        <xdr:cNvPr id="2205" name="AutoShape 379">
          <a:extLst>
            <a:ext uri="{FF2B5EF4-FFF2-40B4-BE49-F238E27FC236}">
              <a16:creationId xmlns:a16="http://schemas.microsoft.com/office/drawing/2014/main" id="{BA48A8DE-8DFB-4525-AA11-FAF2C5FA111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16</xdr:row>
      <xdr:rowOff>0</xdr:rowOff>
    </xdr:from>
    <xdr:ext cx="304800" cy="303439"/>
    <xdr:sp macro="" textlink="">
      <xdr:nvSpPr>
        <xdr:cNvPr id="2206" name="AutoShape 381">
          <a:extLst>
            <a:ext uri="{FF2B5EF4-FFF2-40B4-BE49-F238E27FC236}">
              <a16:creationId xmlns:a16="http://schemas.microsoft.com/office/drawing/2014/main" id="{CD4E2747-7556-433C-AAF9-0427C97D2C7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16</xdr:row>
      <xdr:rowOff>0</xdr:rowOff>
    </xdr:from>
    <xdr:ext cx="9525" cy="9525"/>
    <xdr:pic>
      <xdr:nvPicPr>
        <xdr:cNvPr id="2207" name="Picture 2206">
          <a:extLst>
            <a:ext uri="{FF2B5EF4-FFF2-40B4-BE49-F238E27FC236}">
              <a16:creationId xmlns:a16="http://schemas.microsoft.com/office/drawing/2014/main" id="{49241B7F-9025-46CE-80C8-E10487770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3440"/>
    <xdr:sp macro="" textlink="">
      <xdr:nvSpPr>
        <xdr:cNvPr id="2208" name="AutoShape 435">
          <a:extLst>
            <a:ext uri="{FF2B5EF4-FFF2-40B4-BE49-F238E27FC236}">
              <a16:creationId xmlns:a16="http://schemas.microsoft.com/office/drawing/2014/main" id="{8D6C1BD5-DA02-4B74-81BE-B1B42181925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16</xdr:row>
      <xdr:rowOff>0</xdr:rowOff>
    </xdr:from>
    <xdr:ext cx="304800" cy="303439"/>
    <xdr:sp macro="" textlink="">
      <xdr:nvSpPr>
        <xdr:cNvPr id="2209" name="AutoShape 437">
          <a:extLst>
            <a:ext uri="{FF2B5EF4-FFF2-40B4-BE49-F238E27FC236}">
              <a16:creationId xmlns:a16="http://schemas.microsoft.com/office/drawing/2014/main" id="{680DD027-8D67-4607-B59B-446725B5A1D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16</xdr:row>
      <xdr:rowOff>0</xdr:rowOff>
    </xdr:from>
    <xdr:ext cx="9525" cy="9525"/>
    <xdr:pic>
      <xdr:nvPicPr>
        <xdr:cNvPr id="2210" name="Picture 2209">
          <a:extLst>
            <a:ext uri="{FF2B5EF4-FFF2-40B4-BE49-F238E27FC236}">
              <a16:creationId xmlns:a16="http://schemas.microsoft.com/office/drawing/2014/main" id="{1C961C57-3B1B-435D-BBAC-094B1B96F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3440"/>
    <xdr:sp macro="" textlink="">
      <xdr:nvSpPr>
        <xdr:cNvPr id="2211" name="AutoShape 491">
          <a:extLst>
            <a:ext uri="{FF2B5EF4-FFF2-40B4-BE49-F238E27FC236}">
              <a16:creationId xmlns:a16="http://schemas.microsoft.com/office/drawing/2014/main" id="{CE06B986-325B-4146-8C73-0A2DE4148E55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16</xdr:row>
      <xdr:rowOff>0</xdr:rowOff>
    </xdr:from>
    <xdr:ext cx="304800" cy="303439"/>
    <xdr:sp macro="" textlink="">
      <xdr:nvSpPr>
        <xdr:cNvPr id="2212" name="AutoShape 493">
          <a:extLst>
            <a:ext uri="{FF2B5EF4-FFF2-40B4-BE49-F238E27FC236}">
              <a16:creationId xmlns:a16="http://schemas.microsoft.com/office/drawing/2014/main" id="{AA36F52F-1473-4BBB-A5D1-990667E1B26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16</xdr:row>
      <xdr:rowOff>0</xdr:rowOff>
    </xdr:from>
    <xdr:ext cx="9525" cy="9525"/>
    <xdr:pic>
      <xdr:nvPicPr>
        <xdr:cNvPr id="2213" name="Picture 2212">
          <a:extLst>
            <a:ext uri="{FF2B5EF4-FFF2-40B4-BE49-F238E27FC236}">
              <a16:creationId xmlns:a16="http://schemas.microsoft.com/office/drawing/2014/main" id="{5C5F9D10-5C37-4C79-A764-A28E71ED6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3440"/>
    <xdr:sp macro="" textlink="">
      <xdr:nvSpPr>
        <xdr:cNvPr id="2214" name="AutoShape 525">
          <a:extLst>
            <a:ext uri="{FF2B5EF4-FFF2-40B4-BE49-F238E27FC236}">
              <a16:creationId xmlns:a16="http://schemas.microsoft.com/office/drawing/2014/main" id="{718DF48A-CF20-4AC8-BC68-898F8811D09C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16</xdr:row>
      <xdr:rowOff>0</xdr:rowOff>
    </xdr:from>
    <xdr:ext cx="304800" cy="303439"/>
    <xdr:sp macro="" textlink="">
      <xdr:nvSpPr>
        <xdr:cNvPr id="2215" name="AutoShape 527">
          <a:extLst>
            <a:ext uri="{FF2B5EF4-FFF2-40B4-BE49-F238E27FC236}">
              <a16:creationId xmlns:a16="http://schemas.microsoft.com/office/drawing/2014/main" id="{0A3DEA4A-04F6-4915-A53F-B63F73AB7B38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19</xdr:row>
      <xdr:rowOff>0</xdr:rowOff>
    </xdr:from>
    <xdr:ext cx="9525" cy="9525"/>
    <xdr:pic>
      <xdr:nvPicPr>
        <xdr:cNvPr id="2216" name="Picture 2215">
          <a:extLst>
            <a:ext uri="{FF2B5EF4-FFF2-40B4-BE49-F238E27FC236}">
              <a16:creationId xmlns:a16="http://schemas.microsoft.com/office/drawing/2014/main" id="{6E3B2DCF-4CCB-40C6-AAAC-4708263E4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18</xdr:row>
      <xdr:rowOff>0</xdr:rowOff>
    </xdr:from>
    <xdr:ext cx="304800" cy="303440"/>
    <xdr:sp macro="" textlink="">
      <xdr:nvSpPr>
        <xdr:cNvPr id="2217" name="AutoShape 173">
          <a:extLst>
            <a:ext uri="{FF2B5EF4-FFF2-40B4-BE49-F238E27FC236}">
              <a16:creationId xmlns:a16="http://schemas.microsoft.com/office/drawing/2014/main" id="{A45CCB72-3D2A-4ECA-9375-37118AAC36AC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653643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20</xdr:row>
      <xdr:rowOff>0</xdr:rowOff>
    </xdr:from>
    <xdr:ext cx="9525" cy="9525"/>
    <xdr:pic>
      <xdr:nvPicPr>
        <xdr:cNvPr id="2218" name="Picture 2217">
          <a:extLst>
            <a:ext uri="{FF2B5EF4-FFF2-40B4-BE49-F238E27FC236}">
              <a16:creationId xmlns:a16="http://schemas.microsoft.com/office/drawing/2014/main" id="{DEA8A73E-D8F4-4A86-8F55-40C233F6B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19</xdr:row>
      <xdr:rowOff>0</xdr:rowOff>
    </xdr:from>
    <xdr:ext cx="9525" cy="9525"/>
    <xdr:pic>
      <xdr:nvPicPr>
        <xdr:cNvPr id="2219" name="Picture 2218">
          <a:extLst>
            <a:ext uri="{FF2B5EF4-FFF2-40B4-BE49-F238E27FC236}">
              <a16:creationId xmlns:a16="http://schemas.microsoft.com/office/drawing/2014/main" id="{4910E533-1AD9-4FAD-8FFB-E2AE7C624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19</xdr:row>
      <xdr:rowOff>0</xdr:rowOff>
    </xdr:from>
    <xdr:ext cx="9525" cy="9525"/>
    <xdr:pic>
      <xdr:nvPicPr>
        <xdr:cNvPr id="2220" name="Picture 2219">
          <a:extLst>
            <a:ext uri="{FF2B5EF4-FFF2-40B4-BE49-F238E27FC236}">
              <a16:creationId xmlns:a16="http://schemas.microsoft.com/office/drawing/2014/main" id="{AB4C1981-5467-4E97-B109-D8652B0DE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19</xdr:row>
      <xdr:rowOff>0</xdr:rowOff>
    </xdr:from>
    <xdr:ext cx="9525" cy="9525"/>
    <xdr:pic>
      <xdr:nvPicPr>
        <xdr:cNvPr id="2221" name="Picture 2220">
          <a:extLst>
            <a:ext uri="{FF2B5EF4-FFF2-40B4-BE49-F238E27FC236}">
              <a16:creationId xmlns:a16="http://schemas.microsoft.com/office/drawing/2014/main" id="{8ECE29BC-4287-4EA4-9817-963E41ED7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19</xdr:row>
      <xdr:rowOff>0</xdr:rowOff>
    </xdr:from>
    <xdr:ext cx="9525" cy="9525"/>
    <xdr:pic>
      <xdr:nvPicPr>
        <xdr:cNvPr id="2222" name="Picture 2221">
          <a:extLst>
            <a:ext uri="{FF2B5EF4-FFF2-40B4-BE49-F238E27FC236}">
              <a16:creationId xmlns:a16="http://schemas.microsoft.com/office/drawing/2014/main" id="{1F24DBFA-F923-4200-BD78-A09F8B8D8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19</xdr:row>
      <xdr:rowOff>0</xdr:rowOff>
    </xdr:from>
    <xdr:ext cx="9525" cy="9525"/>
    <xdr:pic>
      <xdr:nvPicPr>
        <xdr:cNvPr id="2223" name="Picture 2222">
          <a:extLst>
            <a:ext uri="{FF2B5EF4-FFF2-40B4-BE49-F238E27FC236}">
              <a16:creationId xmlns:a16="http://schemas.microsoft.com/office/drawing/2014/main" id="{15A8E0BE-7FE1-4F46-A02E-3F82DA44C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20</xdr:row>
      <xdr:rowOff>0</xdr:rowOff>
    </xdr:from>
    <xdr:ext cx="9525" cy="9525"/>
    <xdr:pic>
      <xdr:nvPicPr>
        <xdr:cNvPr id="2224" name="Picture 2223">
          <a:extLst>
            <a:ext uri="{FF2B5EF4-FFF2-40B4-BE49-F238E27FC236}">
              <a16:creationId xmlns:a16="http://schemas.microsoft.com/office/drawing/2014/main" id="{866F9498-F4B3-46EF-ADDB-810B7210E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19</xdr:row>
      <xdr:rowOff>0</xdr:rowOff>
    </xdr:from>
    <xdr:ext cx="9525" cy="9525"/>
    <xdr:pic>
      <xdr:nvPicPr>
        <xdr:cNvPr id="2225" name="Picture 2224">
          <a:extLst>
            <a:ext uri="{FF2B5EF4-FFF2-40B4-BE49-F238E27FC236}">
              <a16:creationId xmlns:a16="http://schemas.microsoft.com/office/drawing/2014/main" id="{D434DC93-202C-45D3-88FF-34147DC06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20</xdr:row>
      <xdr:rowOff>0</xdr:rowOff>
    </xdr:from>
    <xdr:ext cx="9525" cy="9525"/>
    <xdr:pic>
      <xdr:nvPicPr>
        <xdr:cNvPr id="2226" name="Picture 2225">
          <a:extLst>
            <a:ext uri="{FF2B5EF4-FFF2-40B4-BE49-F238E27FC236}">
              <a16:creationId xmlns:a16="http://schemas.microsoft.com/office/drawing/2014/main" id="{8A973CCA-4C7F-4956-80EA-5A9CC5CA3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19</xdr:row>
      <xdr:rowOff>0</xdr:rowOff>
    </xdr:from>
    <xdr:ext cx="9525" cy="9525"/>
    <xdr:pic>
      <xdr:nvPicPr>
        <xdr:cNvPr id="2227" name="Picture 2226">
          <a:extLst>
            <a:ext uri="{FF2B5EF4-FFF2-40B4-BE49-F238E27FC236}">
              <a16:creationId xmlns:a16="http://schemas.microsoft.com/office/drawing/2014/main" id="{9FA42B50-B2B2-407C-8742-BA0A0DD54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20</xdr:row>
      <xdr:rowOff>0</xdr:rowOff>
    </xdr:from>
    <xdr:ext cx="9525" cy="9525"/>
    <xdr:pic>
      <xdr:nvPicPr>
        <xdr:cNvPr id="2228" name="Picture 2227">
          <a:extLst>
            <a:ext uri="{FF2B5EF4-FFF2-40B4-BE49-F238E27FC236}">
              <a16:creationId xmlns:a16="http://schemas.microsoft.com/office/drawing/2014/main" id="{05D9DD2C-51F0-4A12-B5FA-A41B9FF09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19</xdr:row>
      <xdr:rowOff>0</xdr:rowOff>
    </xdr:from>
    <xdr:ext cx="9525" cy="9525"/>
    <xdr:pic>
      <xdr:nvPicPr>
        <xdr:cNvPr id="2229" name="Picture 2228">
          <a:extLst>
            <a:ext uri="{FF2B5EF4-FFF2-40B4-BE49-F238E27FC236}">
              <a16:creationId xmlns:a16="http://schemas.microsoft.com/office/drawing/2014/main" id="{C54A8ADB-AD9E-4B9D-88D3-6E355036E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18</xdr:row>
      <xdr:rowOff>0</xdr:rowOff>
    </xdr:from>
    <xdr:ext cx="304800" cy="303439"/>
    <xdr:sp macro="" textlink="">
      <xdr:nvSpPr>
        <xdr:cNvPr id="2230" name="AutoShape 529">
          <a:extLst>
            <a:ext uri="{FF2B5EF4-FFF2-40B4-BE49-F238E27FC236}">
              <a16:creationId xmlns:a16="http://schemas.microsoft.com/office/drawing/2014/main" id="{4C8A9CB2-14F8-4CF6-8878-3E83BF5C5EA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6536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20</xdr:row>
      <xdr:rowOff>0</xdr:rowOff>
    </xdr:from>
    <xdr:ext cx="9525" cy="9525"/>
    <xdr:pic>
      <xdr:nvPicPr>
        <xdr:cNvPr id="2231" name="Picture 2230">
          <a:extLst>
            <a:ext uri="{FF2B5EF4-FFF2-40B4-BE49-F238E27FC236}">
              <a16:creationId xmlns:a16="http://schemas.microsoft.com/office/drawing/2014/main" id="{84D59F58-4F45-48DC-A401-0FF3C635F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19</xdr:row>
      <xdr:rowOff>0</xdr:rowOff>
    </xdr:from>
    <xdr:ext cx="304800" cy="303439"/>
    <xdr:sp macro="" textlink="">
      <xdr:nvSpPr>
        <xdr:cNvPr id="2232" name="AutoShape 531">
          <a:extLst>
            <a:ext uri="{FF2B5EF4-FFF2-40B4-BE49-F238E27FC236}">
              <a16:creationId xmlns:a16="http://schemas.microsoft.com/office/drawing/2014/main" id="{4EAC231F-05B5-41F5-9789-D2D5C9D1686C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8441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9525" cy="9525"/>
    <xdr:pic>
      <xdr:nvPicPr>
        <xdr:cNvPr id="2233" name="Picture 2232">
          <a:extLst>
            <a:ext uri="{FF2B5EF4-FFF2-40B4-BE49-F238E27FC236}">
              <a16:creationId xmlns:a16="http://schemas.microsoft.com/office/drawing/2014/main" id="{D3555691-F3C0-4587-8495-9C7352417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17</xdr:row>
      <xdr:rowOff>0</xdr:rowOff>
    </xdr:from>
    <xdr:ext cx="304800" cy="303439"/>
    <xdr:sp macro="" textlink="">
      <xdr:nvSpPr>
        <xdr:cNvPr id="2234" name="AutoShape 165">
          <a:extLst>
            <a:ext uri="{FF2B5EF4-FFF2-40B4-BE49-F238E27FC236}">
              <a16:creationId xmlns:a16="http://schemas.microsoft.com/office/drawing/2014/main" id="{FEF0F1AF-4E1A-4CD6-BC9E-1449ED5BCBEC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9525" cy="9525"/>
    <xdr:pic>
      <xdr:nvPicPr>
        <xdr:cNvPr id="2235" name="Picture 2234">
          <a:extLst>
            <a:ext uri="{FF2B5EF4-FFF2-40B4-BE49-F238E27FC236}">
              <a16:creationId xmlns:a16="http://schemas.microsoft.com/office/drawing/2014/main" id="{60A338B8-3B37-402E-848D-C8474FF75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16</xdr:row>
      <xdr:rowOff>0</xdr:rowOff>
    </xdr:from>
    <xdr:ext cx="304800" cy="304800"/>
    <xdr:sp macro="" textlink="">
      <xdr:nvSpPr>
        <xdr:cNvPr id="2236" name="AutoShape 193">
          <a:extLst>
            <a:ext uri="{FF2B5EF4-FFF2-40B4-BE49-F238E27FC236}">
              <a16:creationId xmlns:a16="http://schemas.microsoft.com/office/drawing/2014/main" id="{C4A3E718-5EB0-4416-AACD-8BFD29178A36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3439"/>
    <xdr:sp macro="" textlink="">
      <xdr:nvSpPr>
        <xdr:cNvPr id="2237" name="AutoShape 195">
          <a:extLst>
            <a:ext uri="{FF2B5EF4-FFF2-40B4-BE49-F238E27FC236}">
              <a16:creationId xmlns:a16="http://schemas.microsoft.com/office/drawing/2014/main" id="{932F7834-A07C-45BE-8D5A-DC1CD0B1B902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9525" cy="9525"/>
    <xdr:pic>
      <xdr:nvPicPr>
        <xdr:cNvPr id="2238" name="Picture 2237">
          <a:extLst>
            <a:ext uri="{FF2B5EF4-FFF2-40B4-BE49-F238E27FC236}">
              <a16:creationId xmlns:a16="http://schemas.microsoft.com/office/drawing/2014/main" id="{163D2CB2-B189-4719-A201-AD911C0CF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16</xdr:row>
      <xdr:rowOff>0</xdr:rowOff>
    </xdr:from>
    <xdr:ext cx="304800" cy="304800"/>
    <xdr:sp macro="" textlink="">
      <xdr:nvSpPr>
        <xdr:cNvPr id="2239" name="AutoShape 219">
          <a:extLst>
            <a:ext uri="{FF2B5EF4-FFF2-40B4-BE49-F238E27FC236}">
              <a16:creationId xmlns:a16="http://schemas.microsoft.com/office/drawing/2014/main" id="{D1F207F6-F733-472C-9999-DFBAE5D8559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3439"/>
    <xdr:sp macro="" textlink="">
      <xdr:nvSpPr>
        <xdr:cNvPr id="2240" name="AutoShape 221">
          <a:extLst>
            <a:ext uri="{FF2B5EF4-FFF2-40B4-BE49-F238E27FC236}">
              <a16:creationId xmlns:a16="http://schemas.microsoft.com/office/drawing/2014/main" id="{8054CAB2-B841-4B2A-94B0-670BBCFDB9C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9525" cy="9525"/>
    <xdr:pic>
      <xdr:nvPicPr>
        <xdr:cNvPr id="2241" name="Picture 2240">
          <a:extLst>
            <a:ext uri="{FF2B5EF4-FFF2-40B4-BE49-F238E27FC236}">
              <a16:creationId xmlns:a16="http://schemas.microsoft.com/office/drawing/2014/main" id="{1DDBC468-8C7D-4E99-811A-4B2EA6681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16</xdr:row>
      <xdr:rowOff>0</xdr:rowOff>
    </xdr:from>
    <xdr:ext cx="304800" cy="304800"/>
    <xdr:sp macro="" textlink="">
      <xdr:nvSpPr>
        <xdr:cNvPr id="2242" name="AutoShape 243">
          <a:extLst>
            <a:ext uri="{FF2B5EF4-FFF2-40B4-BE49-F238E27FC236}">
              <a16:creationId xmlns:a16="http://schemas.microsoft.com/office/drawing/2014/main" id="{9029D79A-AF85-49B2-BF18-E702A13DEF2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3439"/>
    <xdr:sp macro="" textlink="">
      <xdr:nvSpPr>
        <xdr:cNvPr id="2243" name="AutoShape 245">
          <a:extLst>
            <a:ext uri="{FF2B5EF4-FFF2-40B4-BE49-F238E27FC236}">
              <a16:creationId xmlns:a16="http://schemas.microsoft.com/office/drawing/2014/main" id="{983C73D6-C930-4BA9-A1B9-EBCC31D7EBB5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9525" cy="9525"/>
    <xdr:pic>
      <xdr:nvPicPr>
        <xdr:cNvPr id="2244" name="Picture 2243">
          <a:extLst>
            <a:ext uri="{FF2B5EF4-FFF2-40B4-BE49-F238E27FC236}">
              <a16:creationId xmlns:a16="http://schemas.microsoft.com/office/drawing/2014/main" id="{30410AED-6162-4C8A-83F1-65D5E7619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16</xdr:row>
      <xdr:rowOff>0</xdr:rowOff>
    </xdr:from>
    <xdr:ext cx="304800" cy="304800"/>
    <xdr:sp macro="" textlink="">
      <xdr:nvSpPr>
        <xdr:cNvPr id="2245" name="AutoShape 269">
          <a:extLst>
            <a:ext uri="{FF2B5EF4-FFF2-40B4-BE49-F238E27FC236}">
              <a16:creationId xmlns:a16="http://schemas.microsoft.com/office/drawing/2014/main" id="{DAD84F5E-B147-4962-9392-749341415356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3439"/>
    <xdr:sp macro="" textlink="">
      <xdr:nvSpPr>
        <xdr:cNvPr id="2246" name="AutoShape 271">
          <a:extLst>
            <a:ext uri="{FF2B5EF4-FFF2-40B4-BE49-F238E27FC236}">
              <a16:creationId xmlns:a16="http://schemas.microsoft.com/office/drawing/2014/main" id="{6E06945B-1A6A-46F6-8FB7-0A35C5962C71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9525" cy="9525"/>
    <xdr:pic>
      <xdr:nvPicPr>
        <xdr:cNvPr id="2247" name="Picture 2246">
          <a:extLst>
            <a:ext uri="{FF2B5EF4-FFF2-40B4-BE49-F238E27FC236}">
              <a16:creationId xmlns:a16="http://schemas.microsoft.com/office/drawing/2014/main" id="{0A5BB6A4-3A9E-4A5C-88D1-0E38D0E8F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16</xdr:row>
      <xdr:rowOff>0</xdr:rowOff>
    </xdr:from>
    <xdr:ext cx="304800" cy="304800"/>
    <xdr:sp macro="" textlink="">
      <xdr:nvSpPr>
        <xdr:cNvPr id="2248" name="AutoShape 321">
          <a:extLst>
            <a:ext uri="{FF2B5EF4-FFF2-40B4-BE49-F238E27FC236}">
              <a16:creationId xmlns:a16="http://schemas.microsoft.com/office/drawing/2014/main" id="{8BC23A2F-FC73-4103-9F5B-35A00572EB6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3439"/>
    <xdr:sp macro="" textlink="">
      <xdr:nvSpPr>
        <xdr:cNvPr id="2249" name="AutoShape 323">
          <a:extLst>
            <a:ext uri="{FF2B5EF4-FFF2-40B4-BE49-F238E27FC236}">
              <a16:creationId xmlns:a16="http://schemas.microsoft.com/office/drawing/2014/main" id="{DEE5C84A-66B6-45ED-A14D-F3FA6C763A7B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9525" cy="9525"/>
    <xdr:pic>
      <xdr:nvPicPr>
        <xdr:cNvPr id="2250" name="Picture 2249">
          <a:extLst>
            <a:ext uri="{FF2B5EF4-FFF2-40B4-BE49-F238E27FC236}">
              <a16:creationId xmlns:a16="http://schemas.microsoft.com/office/drawing/2014/main" id="{A3F678F1-047A-4D19-8C21-2BF31C123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16</xdr:row>
      <xdr:rowOff>0</xdr:rowOff>
    </xdr:from>
    <xdr:ext cx="304800" cy="304800"/>
    <xdr:sp macro="" textlink="">
      <xdr:nvSpPr>
        <xdr:cNvPr id="2251" name="AutoShape 373">
          <a:extLst>
            <a:ext uri="{FF2B5EF4-FFF2-40B4-BE49-F238E27FC236}">
              <a16:creationId xmlns:a16="http://schemas.microsoft.com/office/drawing/2014/main" id="{D8A516F4-E704-4A83-9C1C-5979FD87EEF2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3439"/>
    <xdr:sp macro="" textlink="">
      <xdr:nvSpPr>
        <xdr:cNvPr id="2252" name="AutoShape 375">
          <a:extLst>
            <a:ext uri="{FF2B5EF4-FFF2-40B4-BE49-F238E27FC236}">
              <a16:creationId xmlns:a16="http://schemas.microsoft.com/office/drawing/2014/main" id="{B4772EAC-537A-4DD1-ACE3-EDDEF2CA6E61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9525" cy="9525"/>
    <xdr:pic>
      <xdr:nvPicPr>
        <xdr:cNvPr id="2253" name="Picture 2252">
          <a:extLst>
            <a:ext uri="{FF2B5EF4-FFF2-40B4-BE49-F238E27FC236}">
              <a16:creationId xmlns:a16="http://schemas.microsoft.com/office/drawing/2014/main" id="{151806C7-CD72-4D59-95E6-288A227FD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16</xdr:row>
      <xdr:rowOff>0</xdr:rowOff>
    </xdr:from>
    <xdr:ext cx="304800" cy="304800"/>
    <xdr:sp macro="" textlink="">
      <xdr:nvSpPr>
        <xdr:cNvPr id="2254" name="AutoShape 429">
          <a:extLst>
            <a:ext uri="{FF2B5EF4-FFF2-40B4-BE49-F238E27FC236}">
              <a16:creationId xmlns:a16="http://schemas.microsoft.com/office/drawing/2014/main" id="{A4888DCD-3AB7-40B1-A0CB-C283CE9A8AD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3439"/>
    <xdr:sp macro="" textlink="">
      <xdr:nvSpPr>
        <xdr:cNvPr id="2255" name="AutoShape 431">
          <a:extLst>
            <a:ext uri="{FF2B5EF4-FFF2-40B4-BE49-F238E27FC236}">
              <a16:creationId xmlns:a16="http://schemas.microsoft.com/office/drawing/2014/main" id="{D6BD47E1-6F3E-48F6-8871-22F576799731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9525" cy="9525"/>
    <xdr:pic>
      <xdr:nvPicPr>
        <xdr:cNvPr id="2256" name="Picture 2255">
          <a:extLst>
            <a:ext uri="{FF2B5EF4-FFF2-40B4-BE49-F238E27FC236}">
              <a16:creationId xmlns:a16="http://schemas.microsoft.com/office/drawing/2014/main" id="{03E73EF0-C442-459A-AF65-1441B1B40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16</xdr:row>
      <xdr:rowOff>0</xdr:rowOff>
    </xdr:from>
    <xdr:ext cx="304800" cy="304800"/>
    <xdr:sp macro="" textlink="">
      <xdr:nvSpPr>
        <xdr:cNvPr id="2257" name="AutoShape 485">
          <a:extLst>
            <a:ext uri="{FF2B5EF4-FFF2-40B4-BE49-F238E27FC236}">
              <a16:creationId xmlns:a16="http://schemas.microsoft.com/office/drawing/2014/main" id="{D11D37B4-4584-422D-BC60-DCB1394E250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3439"/>
    <xdr:sp macro="" textlink="">
      <xdr:nvSpPr>
        <xdr:cNvPr id="2258" name="AutoShape 487">
          <a:extLst>
            <a:ext uri="{FF2B5EF4-FFF2-40B4-BE49-F238E27FC236}">
              <a16:creationId xmlns:a16="http://schemas.microsoft.com/office/drawing/2014/main" id="{5B54C4F7-193E-4B3C-9037-1C7EBE9B234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9525" cy="9525"/>
    <xdr:pic>
      <xdr:nvPicPr>
        <xdr:cNvPr id="2259" name="Picture 2258">
          <a:extLst>
            <a:ext uri="{FF2B5EF4-FFF2-40B4-BE49-F238E27FC236}">
              <a16:creationId xmlns:a16="http://schemas.microsoft.com/office/drawing/2014/main" id="{7A2D5CB8-EB05-4F09-A5DF-D0633B01F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16</xdr:row>
      <xdr:rowOff>0</xdr:rowOff>
    </xdr:from>
    <xdr:ext cx="304800" cy="304800"/>
    <xdr:sp macro="" textlink="">
      <xdr:nvSpPr>
        <xdr:cNvPr id="2260" name="AutoShape 519">
          <a:extLst>
            <a:ext uri="{FF2B5EF4-FFF2-40B4-BE49-F238E27FC236}">
              <a16:creationId xmlns:a16="http://schemas.microsoft.com/office/drawing/2014/main" id="{7D7CC5CB-31CE-4A1C-A28C-1D805015F5F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3439"/>
    <xdr:sp macro="" textlink="">
      <xdr:nvSpPr>
        <xdr:cNvPr id="2261" name="AutoShape 521">
          <a:extLst>
            <a:ext uri="{FF2B5EF4-FFF2-40B4-BE49-F238E27FC236}">
              <a16:creationId xmlns:a16="http://schemas.microsoft.com/office/drawing/2014/main" id="{7B6097FB-BC44-41E7-8CDD-D8395AF776CF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18</xdr:row>
      <xdr:rowOff>0</xdr:rowOff>
    </xdr:from>
    <xdr:ext cx="9525" cy="9525"/>
    <xdr:pic>
      <xdr:nvPicPr>
        <xdr:cNvPr id="2262" name="Picture 2261">
          <a:extLst>
            <a:ext uri="{FF2B5EF4-FFF2-40B4-BE49-F238E27FC236}">
              <a16:creationId xmlns:a16="http://schemas.microsoft.com/office/drawing/2014/main" id="{1672D5EB-2B86-48A7-86D0-8A2FA79BA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18</xdr:row>
      <xdr:rowOff>0</xdr:rowOff>
    </xdr:from>
    <xdr:ext cx="304800" cy="304800"/>
    <xdr:sp macro="" textlink="">
      <xdr:nvSpPr>
        <xdr:cNvPr id="2263" name="AutoShape 159">
          <a:extLst>
            <a:ext uri="{FF2B5EF4-FFF2-40B4-BE49-F238E27FC236}">
              <a16:creationId xmlns:a16="http://schemas.microsoft.com/office/drawing/2014/main" id="{B29587AF-709B-4082-9DD4-77A6AF8240B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18</xdr:row>
      <xdr:rowOff>0</xdr:rowOff>
    </xdr:from>
    <xdr:ext cx="9525" cy="9525"/>
    <xdr:pic>
      <xdr:nvPicPr>
        <xdr:cNvPr id="2264" name="Picture 2263">
          <a:extLst>
            <a:ext uri="{FF2B5EF4-FFF2-40B4-BE49-F238E27FC236}">
              <a16:creationId xmlns:a16="http://schemas.microsoft.com/office/drawing/2014/main" id="{0E514469-8816-483C-A725-9AE2F50A5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18</xdr:row>
      <xdr:rowOff>0</xdr:rowOff>
    </xdr:from>
    <xdr:ext cx="9525" cy="9525"/>
    <xdr:pic>
      <xdr:nvPicPr>
        <xdr:cNvPr id="2265" name="Picture 2264">
          <a:extLst>
            <a:ext uri="{FF2B5EF4-FFF2-40B4-BE49-F238E27FC236}">
              <a16:creationId xmlns:a16="http://schemas.microsoft.com/office/drawing/2014/main" id="{708BBDBA-B4A2-46D6-BA84-6929B4D07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18</xdr:row>
      <xdr:rowOff>0</xdr:rowOff>
    </xdr:from>
    <xdr:ext cx="9525" cy="9525"/>
    <xdr:pic>
      <xdr:nvPicPr>
        <xdr:cNvPr id="2266" name="Picture 2265">
          <a:extLst>
            <a:ext uri="{FF2B5EF4-FFF2-40B4-BE49-F238E27FC236}">
              <a16:creationId xmlns:a16="http://schemas.microsoft.com/office/drawing/2014/main" id="{66ABB3AF-28F8-4B31-A092-7179CF699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18</xdr:row>
      <xdr:rowOff>0</xdr:rowOff>
    </xdr:from>
    <xdr:ext cx="9525" cy="9525"/>
    <xdr:pic>
      <xdr:nvPicPr>
        <xdr:cNvPr id="2267" name="Picture 2266">
          <a:extLst>
            <a:ext uri="{FF2B5EF4-FFF2-40B4-BE49-F238E27FC236}">
              <a16:creationId xmlns:a16="http://schemas.microsoft.com/office/drawing/2014/main" id="{268194A9-051C-4AAB-82C6-6533CA5FC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18</xdr:row>
      <xdr:rowOff>0</xdr:rowOff>
    </xdr:from>
    <xdr:ext cx="9525" cy="9525"/>
    <xdr:pic>
      <xdr:nvPicPr>
        <xdr:cNvPr id="2268" name="Picture 2267">
          <a:extLst>
            <a:ext uri="{FF2B5EF4-FFF2-40B4-BE49-F238E27FC236}">
              <a16:creationId xmlns:a16="http://schemas.microsoft.com/office/drawing/2014/main" id="{3D82CF39-D0C2-4633-B4B6-4D57B0B7E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18</xdr:row>
      <xdr:rowOff>0</xdr:rowOff>
    </xdr:from>
    <xdr:ext cx="9525" cy="9525"/>
    <xdr:pic>
      <xdr:nvPicPr>
        <xdr:cNvPr id="2269" name="Picture 2268">
          <a:extLst>
            <a:ext uri="{FF2B5EF4-FFF2-40B4-BE49-F238E27FC236}">
              <a16:creationId xmlns:a16="http://schemas.microsoft.com/office/drawing/2014/main" id="{9B0AF170-5F50-4ADE-90F5-0103EF3F0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18</xdr:row>
      <xdr:rowOff>0</xdr:rowOff>
    </xdr:from>
    <xdr:ext cx="9525" cy="9525"/>
    <xdr:pic>
      <xdr:nvPicPr>
        <xdr:cNvPr id="2270" name="Picture 2269">
          <a:extLst>
            <a:ext uri="{FF2B5EF4-FFF2-40B4-BE49-F238E27FC236}">
              <a16:creationId xmlns:a16="http://schemas.microsoft.com/office/drawing/2014/main" id="{FFF8B549-1069-487E-828C-E47DED893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18</xdr:row>
      <xdr:rowOff>0</xdr:rowOff>
    </xdr:from>
    <xdr:ext cx="9525" cy="9525"/>
    <xdr:pic>
      <xdr:nvPicPr>
        <xdr:cNvPr id="2271" name="Picture 2270">
          <a:extLst>
            <a:ext uri="{FF2B5EF4-FFF2-40B4-BE49-F238E27FC236}">
              <a16:creationId xmlns:a16="http://schemas.microsoft.com/office/drawing/2014/main" id="{61BC8890-F902-4AB5-8A02-3AB1274B5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18</xdr:row>
      <xdr:rowOff>0</xdr:rowOff>
    </xdr:from>
    <xdr:ext cx="9525" cy="9525"/>
    <xdr:pic>
      <xdr:nvPicPr>
        <xdr:cNvPr id="2272" name="Picture 2271">
          <a:extLst>
            <a:ext uri="{FF2B5EF4-FFF2-40B4-BE49-F238E27FC236}">
              <a16:creationId xmlns:a16="http://schemas.microsoft.com/office/drawing/2014/main" id="{F1B5A583-DB0C-4A95-A39A-A7131E2B3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17</xdr:row>
      <xdr:rowOff>0</xdr:rowOff>
    </xdr:from>
    <xdr:ext cx="304800" cy="304800"/>
    <xdr:sp macro="" textlink="">
      <xdr:nvSpPr>
        <xdr:cNvPr id="2273" name="AutoShape 509">
          <a:extLst>
            <a:ext uri="{FF2B5EF4-FFF2-40B4-BE49-F238E27FC236}">
              <a16:creationId xmlns:a16="http://schemas.microsoft.com/office/drawing/2014/main" id="{9C2AAFBE-6760-4F77-93BD-2954F0F50C6C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4359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18</xdr:row>
      <xdr:rowOff>0</xdr:rowOff>
    </xdr:from>
    <xdr:ext cx="304800" cy="304800"/>
    <xdr:sp macro="" textlink="">
      <xdr:nvSpPr>
        <xdr:cNvPr id="2274" name="AutoShape 511">
          <a:extLst>
            <a:ext uri="{FF2B5EF4-FFF2-40B4-BE49-F238E27FC236}">
              <a16:creationId xmlns:a16="http://schemas.microsoft.com/office/drawing/2014/main" id="{C0D4D0F8-AA9C-49B5-8DD5-8C0F1CE4B110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9</xdr:row>
      <xdr:rowOff>0</xdr:rowOff>
    </xdr:from>
    <xdr:ext cx="9525" cy="9525"/>
    <xdr:pic>
      <xdr:nvPicPr>
        <xdr:cNvPr id="2275" name="Picture 2274">
          <a:extLst>
            <a:ext uri="{FF2B5EF4-FFF2-40B4-BE49-F238E27FC236}">
              <a16:creationId xmlns:a16="http://schemas.microsoft.com/office/drawing/2014/main" id="{1FF5AB11-F70C-40AA-AA94-A4B75EDF2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7</xdr:row>
      <xdr:rowOff>0</xdr:rowOff>
    </xdr:from>
    <xdr:ext cx="304800" cy="304800"/>
    <xdr:sp macro="" textlink="">
      <xdr:nvSpPr>
        <xdr:cNvPr id="2276" name="AutoShape 159">
          <a:extLst>
            <a:ext uri="{FF2B5EF4-FFF2-40B4-BE49-F238E27FC236}">
              <a16:creationId xmlns:a16="http://schemas.microsoft.com/office/drawing/2014/main" id="{821538A3-A45F-436E-B122-2554FACB340B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9</xdr:row>
      <xdr:rowOff>0</xdr:rowOff>
    </xdr:from>
    <xdr:ext cx="9525" cy="9525"/>
    <xdr:pic>
      <xdr:nvPicPr>
        <xdr:cNvPr id="2277" name="Picture 2276">
          <a:extLst>
            <a:ext uri="{FF2B5EF4-FFF2-40B4-BE49-F238E27FC236}">
              <a16:creationId xmlns:a16="http://schemas.microsoft.com/office/drawing/2014/main" id="{28521144-AAF5-437D-AF3A-3A958CD8D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9525" cy="9525"/>
    <xdr:pic>
      <xdr:nvPicPr>
        <xdr:cNvPr id="2278" name="Picture 2277">
          <a:extLst>
            <a:ext uri="{FF2B5EF4-FFF2-40B4-BE49-F238E27FC236}">
              <a16:creationId xmlns:a16="http://schemas.microsoft.com/office/drawing/2014/main" id="{4EA66A82-EAF2-427E-ACA2-BB85F063D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9525" cy="9525"/>
    <xdr:pic>
      <xdr:nvPicPr>
        <xdr:cNvPr id="2279" name="Picture 2278">
          <a:extLst>
            <a:ext uri="{FF2B5EF4-FFF2-40B4-BE49-F238E27FC236}">
              <a16:creationId xmlns:a16="http://schemas.microsoft.com/office/drawing/2014/main" id="{93D777FF-0795-4403-A060-7C7F3C26F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9525" cy="9525"/>
    <xdr:pic>
      <xdr:nvPicPr>
        <xdr:cNvPr id="2280" name="Picture 2279">
          <a:extLst>
            <a:ext uri="{FF2B5EF4-FFF2-40B4-BE49-F238E27FC236}">
              <a16:creationId xmlns:a16="http://schemas.microsoft.com/office/drawing/2014/main" id="{FC29BD58-0526-4C07-96E5-B3B3D2F2F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9525" cy="9525"/>
    <xdr:pic>
      <xdr:nvPicPr>
        <xdr:cNvPr id="2281" name="Picture 2280">
          <a:extLst>
            <a:ext uri="{FF2B5EF4-FFF2-40B4-BE49-F238E27FC236}">
              <a16:creationId xmlns:a16="http://schemas.microsoft.com/office/drawing/2014/main" id="{829A6364-D2AF-4B3B-9F4E-2B303A8FB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9525" cy="9525"/>
    <xdr:pic>
      <xdr:nvPicPr>
        <xdr:cNvPr id="2282" name="Picture 2281">
          <a:extLst>
            <a:ext uri="{FF2B5EF4-FFF2-40B4-BE49-F238E27FC236}">
              <a16:creationId xmlns:a16="http://schemas.microsoft.com/office/drawing/2014/main" id="{9E2E8764-7E1E-454F-B8A8-F7DC8FA6D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9525" cy="9525"/>
    <xdr:pic>
      <xdr:nvPicPr>
        <xdr:cNvPr id="2283" name="Picture 2282">
          <a:extLst>
            <a:ext uri="{FF2B5EF4-FFF2-40B4-BE49-F238E27FC236}">
              <a16:creationId xmlns:a16="http://schemas.microsoft.com/office/drawing/2014/main" id="{92BA2578-25C0-490B-AF55-956841DC2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9525" cy="9525"/>
    <xdr:pic>
      <xdr:nvPicPr>
        <xdr:cNvPr id="2284" name="Picture 2283">
          <a:extLst>
            <a:ext uri="{FF2B5EF4-FFF2-40B4-BE49-F238E27FC236}">
              <a16:creationId xmlns:a16="http://schemas.microsoft.com/office/drawing/2014/main" id="{EFE91C16-D309-47E2-8FF7-4E4DCBF63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9525" cy="9525"/>
    <xdr:pic>
      <xdr:nvPicPr>
        <xdr:cNvPr id="2285" name="Picture 2284">
          <a:extLst>
            <a:ext uri="{FF2B5EF4-FFF2-40B4-BE49-F238E27FC236}">
              <a16:creationId xmlns:a16="http://schemas.microsoft.com/office/drawing/2014/main" id="{2E658B49-5A21-485F-A415-FF93C3C32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304800" cy="303439"/>
    <xdr:sp macro="" textlink="">
      <xdr:nvSpPr>
        <xdr:cNvPr id="2286" name="AutoShape 513">
          <a:extLst>
            <a:ext uri="{FF2B5EF4-FFF2-40B4-BE49-F238E27FC236}">
              <a16:creationId xmlns:a16="http://schemas.microsoft.com/office/drawing/2014/main" id="{D30419A0-7C16-40A5-B2BE-36318C9293D8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54453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9525" cy="9525"/>
    <xdr:pic>
      <xdr:nvPicPr>
        <xdr:cNvPr id="2287" name="Picture 2286">
          <a:extLst>
            <a:ext uri="{FF2B5EF4-FFF2-40B4-BE49-F238E27FC236}">
              <a16:creationId xmlns:a16="http://schemas.microsoft.com/office/drawing/2014/main" id="{8CE672B1-87E9-4B02-8627-4A2DEA150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10</xdr:row>
      <xdr:rowOff>0</xdr:rowOff>
    </xdr:from>
    <xdr:ext cx="9525" cy="9525"/>
    <xdr:pic>
      <xdr:nvPicPr>
        <xdr:cNvPr id="2288" name="Picture 2287">
          <a:extLst>
            <a:ext uri="{FF2B5EF4-FFF2-40B4-BE49-F238E27FC236}">
              <a16:creationId xmlns:a16="http://schemas.microsoft.com/office/drawing/2014/main" id="{79874DC0-04C7-4ECB-AF35-21D981133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304800" cy="304800"/>
    <xdr:sp macro="" textlink="">
      <xdr:nvSpPr>
        <xdr:cNvPr id="2289" name="AutoShape 191">
          <a:extLst>
            <a:ext uri="{FF2B5EF4-FFF2-40B4-BE49-F238E27FC236}">
              <a16:creationId xmlns:a16="http://schemas.microsoft.com/office/drawing/2014/main" id="{F0286E48-8E46-4718-8CF4-C48DED2542A3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304800" cy="304800"/>
    <xdr:sp macro="" textlink="">
      <xdr:nvSpPr>
        <xdr:cNvPr id="2290" name="AutoShape 193">
          <a:extLst>
            <a:ext uri="{FF2B5EF4-FFF2-40B4-BE49-F238E27FC236}">
              <a16:creationId xmlns:a16="http://schemas.microsoft.com/office/drawing/2014/main" id="{77DA633C-46E3-46B0-9ADC-54859BD934D1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9525" cy="9525"/>
    <xdr:pic>
      <xdr:nvPicPr>
        <xdr:cNvPr id="2291" name="Picture 2290">
          <a:extLst>
            <a:ext uri="{FF2B5EF4-FFF2-40B4-BE49-F238E27FC236}">
              <a16:creationId xmlns:a16="http://schemas.microsoft.com/office/drawing/2014/main" id="{6A1B226A-E9AE-427E-8DE5-7D9995C01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304800" cy="304800"/>
    <xdr:sp macro="" textlink="">
      <xdr:nvSpPr>
        <xdr:cNvPr id="2292" name="AutoShape 217">
          <a:extLst>
            <a:ext uri="{FF2B5EF4-FFF2-40B4-BE49-F238E27FC236}">
              <a16:creationId xmlns:a16="http://schemas.microsoft.com/office/drawing/2014/main" id="{C67170A2-AD9F-4235-B37F-25DBA94DAFCF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304800" cy="304800"/>
    <xdr:sp macro="" textlink="">
      <xdr:nvSpPr>
        <xdr:cNvPr id="2293" name="AutoShape 219">
          <a:extLst>
            <a:ext uri="{FF2B5EF4-FFF2-40B4-BE49-F238E27FC236}">
              <a16:creationId xmlns:a16="http://schemas.microsoft.com/office/drawing/2014/main" id="{0BE16556-D187-4915-8A2D-290E1A70ACA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9525" cy="9525"/>
    <xdr:pic>
      <xdr:nvPicPr>
        <xdr:cNvPr id="2294" name="Picture 2293">
          <a:extLst>
            <a:ext uri="{FF2B5EF4-FFF2-40B4-BE49-F238E27FC236}">
              <a16:creationId xmlns:a16="http://schemas.microsoft.com/office/drawing/2014/main" id="{19271191-2737-4950-B1F7-675CEDE7E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304800" cy="304800"/>
    <xdr:sp macro="" textlink="">
      <xdr:nvSpPr>
        <xdr:cNvPr id="2295" name="AutoShape 241">
          <a:extLst>
            <a:ext uri="{FF2B5EF4-FFF2-40B4-BE49-F238E27FC236}">
              <a16:creationId xmlns:a16="http://schemas.microsoft.com/office/drawing/2014/main" id="{0C336E6C-68DC-45A8-8A5C-242FF4B5371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304800" cy="304800"/>
    <xdr:sp macro="" textlink="">
      <xdr:nvSpPr>
        <xdr:cNvPr id="2296" name="AutoShape 243">
          <a:extLst>
            <a:ext uri="{FF2B5EF4-FFF2-40B4-BE49-F238E27FC236}">
              <a16:creationId xmlns:a16="http://schemas.microsoft.com/office/drawing/2014/main" id="{237408D1-F95A-45DD-BBEB-027A115219A8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9525" cy="9525"/>
    <xdr:pic>
      <xdr:nvPicPr>
        <xdr:cNvPr id="2297" name="Picture 2296">
          <a:extLst>
            <a:ext uri="{FF2B5EF4-FFF2-40B4-BE49-F238E27FC236}">
              <a16:creationId xmlns:a16="http://schemas.microsoft.com/office/drawing/2014/main" id="{F9A7514E-9D7E-4EB2-987E-155C49ACF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304800" cy="304800"/>
    <xdr:sp macro="" textlink="">
      <xdr:nvSpPr>
        <xdr:cNvPr id="2298" name="AutoShape 267">
          <a:extLst>
            <a:ext uri="{FF2B5EF4-FFF2-40B4-BE49-F238E27FC236}">
              <a16:creationId xmlns:a16="http://schemas.microsoft.com/office/drawing/2014/main" id="{598AF689-B3DF-47BF-824A-D514ED952B1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304800" cy="304800"/>
    <xdr:sp macro="" textlink="">
      <xdr:nvSpPr>
        <xdr:cNvPr id="2299" name="AutoShape 269">
          <a:extLst>
            <a:ext uri="{FF2B5EF4-FFF2-40B4-BE49-F238E27FC236}">
              <a16:creationId xmlns:a16="http://schemas.microsoft.com/office/drawing/2014/main" id="{4CF9796B-D169-4E1B-898F-40225346C81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9525" cy="9525"/>
    <xdr:pic>
      <xdr:nvPicPr>
        <xdr:cNvPr id="2300" name="Picture 2299">
          <a:extLst>
            <a:ext uri="{FF2B5EF4-FFF2-40B4-BE49-F238E27FC236}">
              <a16:creationId xmlns:a16="http://schemas.microsoft.com/office/drawing/2014/main" id="{E86F99B4-A109-4F8A-987B-A2C72A87D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304800" cy="304800"/>
    <xdr:sp macro="" textlink="">
      <xdr:nvSpPr>
        <xdr:cNvPr id="2301" name="AutoShape 319">
          <a:extLst>
            <a:ext uri="{FF2B5EF4-FFF2-40B4-BE49-F238E27FC236}">
              <a16:creationId xmlns:a16="http://schemas.microsoft.com/office/drawing/2014/main" id="{39D2812A-3477-4C45-A1E2-6101A76410D8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9525" cy="9525"/>
    <xdr:pic>
      <xdr:nvPicPr>
        <xdr:cNvPr id="2302" name="Picture 2301">
          <a:extLst>
            <a:ext uri="{FF2B5EF4-FFF2-40B4-BE49-F238E27FC236}">
              <a16:creationId xmlns:a16="http://schemas.microsoft.com/office/drawing/2014/main" id="{7E6CC990-5C41-4AAD-B037-0C4DD5FDD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10</xdr:row>
      <xdr:rowOff>0</xdr:rowOff>
    </xdr:from>
    <xdr:ext cx="9525" cy="9525"/>
    <xdr:pic>
      <xdr:nvPicPr>
        <xdr:cNvPr id="2303" name="Picture 2302">
          <a:extLst>
            <a:ext uri="{FF2B5EF4-FFF2-40B4-BE49-F238E27FC236}">
              <a16:creationId xmlns:a16="http://schemas.microsoft.com/office/drawing/2014/main" id="{61986A99-2DDC-4DE9-BFA9-EECEEC48F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10</xdr:row>
      <xdr:rowOff>0</xdr:rowOff>
    </xdr:from>
    <xdr:ext cx="9525" cy="9525"/>
    <xdr:pic>
      <xdr:nvPicPr>
        <xdr:cNvPr id="2304" name="Picture 2303">
          <a:extLst>
            <a:ext uri="{FF2B5EF4-FFF2-40B4-BE49-F238E27FC236}">
              <a16:creationId xmlns:a16="http://schemas.microsoft.com/office/drawing/2014/main" id="{0873D402-C648-4D4C-9265-F0D1247BE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10</xdr:row>
      <xdr:rowOff>0</xdr:rowOff>
    </xdr:from>
    <xdr:ext cx="9525" cy="9525"/>
    <xdr:pic>
      <xdr:nvPicPr>
        <xdr:cNvPr id="2305" name="Picture 2304">
          <a:extLst>
            <a:ext uri="{FF2B5EF4-FFF2-40B4-BE49-F238E27FC236}">
              <a16:creationId xmlns:a16="http://schemas.microsoft.com/office/drawing/2014/main" id="{292D6A24-41D0-4A4A-95AB-E686F2A05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11</xdr:row>
      <xdr:rowOff>0</xdr:rowOff>
    </xdr:from>
    <xdr:ext cx="9525" cy="9525"/>
    <xdr:pic>
      <xdr:nvPicPr>
        <xdr:cNvPr id="2306" name="Picture 2305">
          <a:extLst>
            <a:ext uri="{FF2B5EF4-FFF2-40B4-BE49-F238E27FC236}">
              <a16:creationId xmlns:a16="http://schemas.microsoft.com/office/drawing/2014/main" id="{895627CA-2B25-4C52-BCA7-5B836E56F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979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22</xdr:row>
      <xdr:rowOff>0</xdr:rowOff>
    </xdr:from>
    <xdr:ext cx="9525" cy="9525"/>
    <xdr:pic>
      <xdr:nvPicPr>
        <xdr:cNvPr id="2307" name="Picture 2306">
          <a:extLst>
            <a:ext uri="{FF2B5EF4-FFF2-40B4-BE49-F238E27FC236}">
              <a16:creationId xmlns:a16="http://schemas.microsoft.com/office/drawing/2014/main" id="{B30B7185-34D9-4500-B697-EB26E19ED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22</xdr:row>
      <xdr:rowOff>0</xdr:rowOff>
    </xdr:from>
    <xdr:ext cx="9525" cy="9525"/>
    <xdr:pic>
      <xdr:nvPicPr>
        <xdr:cNvPr id="2308" name="Picture 2307">
          <a:extLst>
            <a:ext uri="{FF2B5EF4-FFF2-40B4-BE49-F238E27FC236}">
              <a16:creationId xmlns:a16="http://schemas.microsoft.com/office/drawing/2014/main" id="{0FC0D561-D86A-43C2-9301-13DDCC9C9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22</xdr:row>
      <xdr:rowOff>0</xdr:rowOff>
    </xdr:from>
    <xdr:ext cx="9525" cy="9525"/>
    <xdr:pic>
      <xdr:nvPicPr>
        <xdr:cNvPr id="2309" name="Picture 2308">
          <a:extLst>
            <a:ext uri="{FF2B5EF4-FFF2-40B4-BE49-F238E27FC236}">
              <a16:creationId xmlns:a16="http://schemas.microsoft.com/office/drawing/2014/main" id="{6E67C84C-520D-4409-8223-E7DE44868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22</xdr:row>
      <xdr:rowOff>0</xdr:rowOff>
    </xdr:from>
    <xdr:ext cx="9525" cy="9525"/>
    <xdr:pic>
      <xdr:nvPicPr>
        <xdr:cNvPr id="2310" name="Picture 2309">
          <a:extLst>
            <a:ext uri="{FF2B5EF4-FFF2-40B4-BE49-F238E27FC236}">
              <a16:creationId xmlns:a16="http://schemas.microsoft.com/office/drawing/2014/main" id="{F28D2473-225B-49B8-868F-3190FD78A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22</xdr:row>
      <xdr:rowOff>0</xdr:rowOff>
    </xdr:from>
    <xdr:ext cx="9525" cy="9525"/>
    <xdr:pic>
      <xdr:nvPicPr>
        <xdr:cNvPr id="2311" name="Picture 2310">
          <a:extLst>
            <a:ext uri="{FF2B5EF4-FFF2-40B4-BE49-F238E27FC236}">
              <a16:creationId xmlns:a16="http://schemas.microsoft.com/office/drawing/2014/main" id="{C2F7CBD9-8ABC-4EB3-94FE-C3927E07A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22</xdr:row>
      <xdr:rowOff>0</xdr:rowOff>
    </xdr:from>
    <xdr:ext cx="9525" cy="9525"/>
    <xdr:pic>
      <xdr:nvPicPr>
        <xdr:cNvPr id="2312" name="Picture 2311">
          <a:extLst>
            <a:ext uri="{FF2B5EF4-FFF2-40B4-BE49-F238E27FC236}">
              <a16:creationId xmlns:a16="http://schemas.microsoft.com/office/drawing/2014/main" id="{9DF28486-9B73-4A16-A469-D5E35769A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22</xdr:row>
      <xdr:rowOff>0</xdr:rowOff>
    </xdr:from>
    <xdr:ext cx="9525" cy="9525"/>
    <xdr:pic>
      <xdr:nvPicPr>
        <xdr:cNvPr id="2313" name="Picture 2312">
          <a:extLst>
            <a:ext uri="{FF2B5EF4-FFF2-40B4-BE49-F238E27FC236}">
              <a16:creationId xmlns:a16="http://schemas.microsoft.com/office/drawing/2014/main" id="{244827CA-6443-4E0D-85CC-7014B255E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22</xdr:row>
      <xdr:rowOff>0</xdr:rowOff>
    </xdr:from>
    <xdr:ext cx="9525" cy="9525"/>
    <xdr:pic>
      <xdr:nvPicPr>
        <xdr:cNvPr id="2314" name="Picture 2313">
          <a:extLst>
            <a:ext uri="{FF2B5EF4-FFF2-40B4-BE49-F238E27FC236}">
              <a16:creationId xmlns:a16="http://schemas.microsoft.com/office/drawing/2014/main" id="{AFC9703A-9477-45F1-ADDB-C00B99E6D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22</xdr:row>
      <xdr:rowOff>0</xdr:rowOff>
    </xdr:from>
    <xdr:ext cx="9525" cy="9525"/>
    <xdr:pic>
      <xdr:nvPicPr>
        <xdr:cNvPr id="2315" name="Picture 2314">
          <a:extLst>
            <a:ext uri="{FF2B5EF4-FFF2-40B4-BE49-F238E27FC236}">
              <a16:creationId xmlns:a16="http://schemas.microsoft.com/office/drawing/2014/main" id="{347E233A-5A23-4A34-8388-0ED0B2555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22</xdr:row>
      <xdr:rowOff>0</xdr:rowOff>
    </xdr:from>
    <xdr:ext cx="9525" cy="9525"/>
    <xdr:pic>
      <xdr:nvPicPr>
        <xdr:cNvPr id="2316" name="Picture 2315">
          <a:extLst>
            <a:ext uri="{FF2B5EF4-FFF2-40B4-BE49-F238E27FC236}">
              <a16:creationId xmlns:a16="http://schemas.microsoft.com/office/drawing/2014/main" id="{E057D04E-1C0A-4F54-969F-313C836A0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21</xdr:row>
      <xdr:rowOff>0</xdr:rowOff>
    </xdr:from>
    <xdr:ext cx="304800" cy="303439"/>
    <xdr:sp macro="" textlink="">
      <xdr:nvSpPr>
        <xdr:cNvPr id="2317" name="AutoShape 513">
          <a:extLst>
            <a:ext uri="{FF2B5EF4-FFF2-40B4-BE49-F238E27FC236}">
              <a16:creationId xmlns:a16="http://schemas.microsoft.com/office/drawing/2014/main" id="{7407F8E1-163A-4D6B-B921-5C5D3DD5A562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26596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22</xdr:row>
      <xdr:rowOff>0</xdr:rowOff>
    </xdr:from>
    <xdr:ext cx="304800" cy="304800"/>
    <xdr:sp macro="" textlink="">
      <xdr:nvSpPr>
        <xdr:cNvPr id="2318" name="AutoShape 515">
          <a:extLst>
            <a:ext uri="{FF2B5EF4-FFF2-40B4-BE49-F238E27FC236}">
              <a16:creationId xmlns:a16="http://schemas.microsoft.com/office/drawing/2014/main" id="{86CD6480-9454-4BE7-B156-E751F82EC8E6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23</xdr:row>
      <xdr:rowOff>0</xdr:rowOff>
    </xdr:from>
    <xdr:ext cx="9525" cy="9525"/>
    <xdr:pic>
      <xdr:nvPicPr>
        <xdr:cNvPr id="2319" name="Picture 2318">
          <a:extLst>
            <a:ext uri="{FF2B5EF4-FFF2-40B4-BE49-F238E27FC236}">
              <a16:creationId xmlns:a16="http://schemas.microsoft.com/office/drawing/2014/main" id="{4D962E4E-D7A1-43D1-8D10-C3DF97434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9525" cy="9525"/>
    <xdr:pic>
      <xdr:nvPicPr>
        <xdr:cNvPr id="2320" name="Picture 2319">
          <a:extLst>
            <a:ext uri="{FF2B5EF4-FFF2-40B4-BE49-F238E27FC236}">
              <a16:creationId xmlns:a16="http://schemas.microsoft.com/office/drawing/2014/main" id="{81AE8DC4-BB60-4A16-8E7F-38F5C4F67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321" name="AutoShape 191">
          <a:extLst>
            <a:ext uri="{FF2B5EF4-FFF2-40B4-BE49-F238E27FC236}">
              <a16:creationId xmlns:a16="http://schemas.microsoft.com/office/drawing/2014/main" id="{AF5CC1E8-C74E-4325-8236-D39C22FA7E72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23</xdr:row>
      <xdr:rowOff>0</xdr:rowOff>
    </xdr:from>
    <xdr:ext cx="9525" cy="9525"/>
    <xdr:pic>
      <xdr:nvPicPr>
        <xdr:cNvPr id="2322" name="Picture 2321">
          <a:extLst>
            <a:ext uri="{FF2B5EF4-FFF2-40B4-BE49-F238E27FC236}">
              <a16:creationId xmlns:a16="http://schemas.microsoft.com/office/drawing/2014/main" id="{C308F662-0713-4376-A533-AD3C08241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323" name="AutoShape 217">
          <a:extLst>
            <a:ext uri="{FF2B5EF4-FFF2-40B4-BE49-F238E27FC236}">
              <a16:creationId xmlns:a16="http://schemas.microsoft.com/office/drawing/2014/main" id="{A1E9FEBB-A3AE-4BC2-AF8D-8B98B7C7938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23</xdr:row>
      <xdr:rowOff>0</xdr:rowOff>
    </xdr:from>
    <xdr:ext cx="9525" cy="9525"/>
    <xdr:pic>
      <xdr:nvPicPr>
        <xdr:cNvPr id="2324" name="Picture 2323">
          <a:extLst>
            <a:ext uri="{FF2B5EF4-FFF2-40B4-BE49-F238E27FC236}">
              <a16:creationId xmlns:a16="http://schemas.microsoft.com/office/drawing/2014/main" id="{459F173A-2A64-40A6-AAF3-69DB94FC1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325" name="AutoShape 241">
          <a:extLst>
            <a:ext uri="{FF2B5EF4-FFF2-40B4-BE49-F238E27FC236}">
              <a16:creationId xmlns:a16="http://schemas.microsoft.com/office/drawing/2014/main" id="{167B45F2-82D4-4858-8A25-04769E3B1D1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23</xdr:row>
      <xdr:rowOff>0</xdr:rowOff>
    </xdr:from>
    <xdr:ext cx="9525" cy="9525"/>
    <xdr:pic>
      <xdr:nvPicPr>
        <xdr:cNvPr id="2326" name="Picture 2325">
          <a:extLst>
            <a:ext uri="{FF2B5EF4-FFF2-40B4-BE49-F238E27FC236}">
              <a16:creationId xmlns:a16="http://schemas.microsoft.com/office/drawing/2014/main" id="{CB88C2FC-5894-46B4-B1A3-716C12460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327" name="AutoShape 267">
          <a:extLst>
            <a:ext uri="{FF2B5EF4-FFF2-40B4-BE49-F238E27FC236}">
              <a16:creationId xmlns:a16="http://schemas.microsoft.com/office/drawing/2014/main" id="{F65E325C-0E5A-42B2-873E-4E1F2D196CF3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23</xdr:row>
      <xdr:rowOff>0</xdr:rowOff>
    </xdr:from>
    <xdr:ext cx="9525" cy="9525"/>
    <xdr:pic>
      <xdr:nvPicPr>
        <xdr:cNvPr id="2328" name="Picture 2327">
          <a:extLst>
            <a:ext uri="{FF2B5EF4-FFF2-40B4-BE49-F238E27FC236}">
              <a16:creationId xmlns:a16="http://schemas.microsoft.com/office/drawing/2014/main" id="{5BCACA95-3632-48E2-A7BA-5A8AF9EDD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329" name="AutoShape 319">
          <a:extLst>
            <a:ext uri="{FF2B5EF4-FFF2-40B4-BE49-F238E27FC236}">
              <a16:creationId xmlns:a16="http://schemas.microsoft.com/office/drawing/2014/main" id="{1E902698-A162-47DA-B561-991F76B79176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23</xdr:row>
      <xdr:rowOff>0</xdr:rowOff>
    </xdr:from>
    <xdr:ext cx="9525" cy="9525"/>
    <xdr:pic>
      <xdr:nvPicPr>
        <xdr:cNvPr id="2330" name="Picture 2329">
          <a:extLst>
            <a:ext uri="{FF2B5EF4-FFF2-40B4-BE49-F238E27FC236}">
              <a16:creationId xmlns:a16="http://schemas.microsoft.com/office/drawing/2014/main" id="{BEA1DF3F-2617-49C0-B3A6-68DF46DB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331" name="AutoShape 371">
          <a:extLst>
            <a:ext uri="{FF2B5EF4-FFF2-40B4-BE49-F238E27FC236}">
              <a16:creationId xmlns:a16="http://schemas.microsoft.com/office/drawing/2014/main" id="{151E3269-FF3E-4BE5-84C6-389F77108A4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23</xdr:row>
      <xdr:rowOff>0</xdr:rowOff>
    </xdr:from>
    <xdr:ext cx="9525" cy="9525"/>
    <xdr:pic>
      <xdr:nvPicPr>
        <xdr:cNvPr id="2332" name="Picture 2331">
          <a:extLst>
            <a:ext uri="{FF2B5EF4-FFF2-40B4-BE49-F238E27FC236}">
              <a16:creationId xmlns:a16="http://schemas.microsoft.com/office/drawing/2014/main" id="{855A6C44-7B73-4D69-A4DC-36710E7C9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333" name="AutoShape 427">
          <a:extLst>
            <a:ext uri="{FF2B5EF4-FFF2-40B4-BE49-F238E27FC236}">
              <a16:creationId xmlns:a16="http://schemas.microsoft.com/office/drawing/2014/main" id="{DD0DDC61-0296-49DC-B247-2798DD6E3C65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23</xdr:row>
      <xdr:rowOff>0</xdr:rowOff>
    </xdr:from>
    <xdr:ext cx="9525" cy="9525"/>
    <xdr:pic>
      <xdr:nvPicPr>
        <xdr:cNvPr id="2334" name="Picture 2333">
          <a:extLst>
            <a:ext uri="{FF2B5EF4-FFF2-40B4-BE49-F238E27FC236}">
              <a16:creationId xmlns:a16="http://schemas.microsoft.com/office/drawing/2014/main" id="{93CCE589-3D58-4D6A-9AE3-D1D54D11C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335" name="AutoShape 483">
          <a:extLst>
            <a:ext uri="{FF2B5EF4-FFF2-40B4-BE49-F238E27FC236}">
              <a16:creationId xmlns:a16="http://schemas.microsoft.com/office/drawing/2014/main" id="{74E62671-937A-4E5F-97B1-0791FAC01F16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23</xdr:row>
      <xdr:rowOff>0</xdr:rowOff>
    </xdr:from>
    <xdr:ext cx="9525" cy="9525"/>
    <xdr:pic>
      <xdr:nvPicPr>
        <xdr:cNvPr id="2336" name="Picture 2335">
          <a:extLst>
            <a:ext uri="{FF2B5EF4-FFF2-40B4-BE49-F238E27FC236}">
              <a16:creationId xmlns:a16="http://schemas.microsoft.com/office/drawing/2014/main" id="{59053CB8-411C-49B0-9C66-50BC325A7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22</xdr:row>
      <xdr:rowOff>0</xdr:rowOff>
    </xdr:from>
    <xdr:ext cx="304800" cy="304800"/>
    <xdr:sp macro="" textlink="">
      <xdr:nvSpPr>
        <xdr:cNvPr id="2337" name="AutoShape 515">
          <a:extLst>
            <a:ext uri="{FF2B5EF4-FFF2-40B4-BE49-F238E27FC236}">
              <a16:creationId xmlns:a16="http://schemas.microsoft.com/office/drawing/2014/main" id="{320654E1-6D37-49C6-B5CF-96F6932EC24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338" name="AutoShape 517">
          <a:extLst>
            <a:ext uri="{FF2B5EF4-FFF2-40B4-BE49-F238E27FC236}">
              <a16:creationId xmlns:a16="http://schemas.microsoft.com/office/drawing/2014/main" id="{86EB9E92-5696-462B-ADB2-EEFAB883C0D1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9525" cy="9525"/>
    <xdr:pic>
      <xdr:nvPicPr>
        <xdr:cNvPr id="2339" name="Picture 2338">
          <a:extLst>
            <a:ext uri="{FF2B5EF4-FFF2-40B4-BE49-F238E27FC236}">
              <a16:creationId xmlns:a16="http://schemas.microsoft.com/office/drawing/2014/main" id="{1FEFCD8F-D542-4EAD-ADA8-E2F4A3732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24</xdr:row>
      <xdr:rowOff>0</xdr:rowOff>
    </xdr:from>
    <xdr:ext cx="304800" cy="303440"/>
    <xdr:sp macro="" textlink="">
      <xdr:nvSpPr>
        <xdr:cNvPr id="2340" name="AutoShape 169">
          <a:extLst>
            <a:ext uri="{FF2B5EF4-FFF2-40B4-BE49-F238E27FC236}">
              <a16:creationId xmlns:a16="http://schemas.microsoft.com/office/drawing/2014/main" id="{3D214575-950C-40F2-935D-9126D25B4E83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9525" cy="9525"/>
    <xdr:pic>
      <xdr:nvPicPr>
        <xdr:cNvPr id="2341" name="Picture 2340">
          <a:extLst>
            <a:ext uri="{FF2B5EF4-FFF2-40B4-BE49-F238E27FC236}">
              <a16:creationId xmlns:a16="http://schemas.microsoft.com/office/drawing/2014/main" id="{33529306-1E41-4A36-B642-14E3C08ED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24</xdr:row>
      <xdr:rowOff>0</xdr:rowOff>
    </xdr:from>
    <xdr:ext cx="304800" cy="303440"/>
    <xdr:sp macro="" textlink="">
      <xdr:nvSpPr>
        <xdr:cNvPr id="2342" name="AutoShape 199">
          <a:extLst>
            <a:ext uri="{FF2B5EF4-FFF2-40B4-BE49-F238E27FC236}">
              <a16:creationId xmlns:a16="http://schemas.microsoft.com/office/drawing/2014/main" id="{9EA47073-5461-4432-8484-D6FB2DA316D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9525" cy="9525"/>
    <xdr:pic>
      <xdr:nvPicPr>
        <xdr:cNvPr id="2343" name="Picture 2342">
          <a:extLst>
            <a:ext uri="{FF2B5EF4-FFF2-40B4-BE49-F238E27FC236}">
              <a16:creationId xmlns:a16="http://schemas.microsoft.com/office/drawing/2014/main" id="{ACDDD17C-7B4C-4474-8AFB-0457DFFC4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344" name="AutoShape 223">
          <a:extLst>
            <a:ext uri="{FF2B5EF4-FFF2-40B4-BE49-F238E27FC236}">
              <a16:creationId xmlns:a16="http://schemas.microsoft.com/office/drawing/2014/main" id="{DED4BCE2-F56D-48E8-AEA6-AB50AE7F483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9525" cy="9525"/>
    <xdr:pic>
      <xdr:nvPicPr>
        <xdr:cNvPr id="2345" name="Picture 2344">
          <a:extLst>
            <a:ext uri="{FF2B5EF4-FFF2-40B4-BE49-F238E27FC236}">
              <a16:creationId xmlns:a16="http://schemas.microsoft.com/office/drawing/2014/main" id="{65346963-6027-4C4A-B443-4F01D1383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346" name="AutoShape 247">
          <a:extLst>
            <a:ext uri="{FF2B5EF4-FFF2-40B4-BE49-F238E27FC236}">
              <a16:creationId xmlns:a16="http://schemas.microsoft.com/office/drawing/2014/main" id="{6341A72D-FDCC-4A62-926D-856FF18DAE8F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304800" cy="303440"/>
    <xdr:sp macro="" textlink="">
      <xdr:nvSpPr>
        <xdr:cNvPr id="2347" name="AutoShape 249">
          <a:extLst>
            <a:ext uri="{FF2B5EF4-FFF2-40B4-BE49-F238E27FC236}">
              <a16:creationId xmlns:a16="http://schemas.microsoft.com/office/drawing/2014/main" id="{4E1E418A-4D6E-4493-9810-6F61DC98A01C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9525" cy="9525"/>
    <xdr:pic>
      <xdr:nvPicPr>
        <xdr:cNvPr id="2348" name="Picture 2347">
          <a:extLst>
            <a:ext uri="{FF2B5EF4-FFF2-40B4-BE49-F238E27FC236}">
              <a16:creationId xmlns:a16="http://schemas.microsoft.com/office/drawing/2014/main" id="{3DBE2897-2E35-4734-99E3-7B7BB41B6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349" name="AutoShape 273">
          <a:extLst>
            <a:ext uri="{FF2B5EF4-FFF2-40B4-BE49-F238E27FC236}">
              <a16:creationId xmlns:a16="http://schemas.microsoft.com/office/drawing/2014/main" id="{E53AD58C-8837-4ED6-972A-0EE061D2747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304800" cy="303440"/>
    <xdr:sp macro="" textlink="">
      <xdr:nvSpPr>
        <xdr:cNvPr id="2350" name="AutoShape 275">
          <a:extLst>
            <a:ext uri="{FF2B5EF4-FFF2-40B4-BE49-F238E27FC236}">
              <a16:creationId xmlns:a16="http://schemas.microsoft.com/office/drawing/2014/main" id="{D2B213EE-E424-4A6C-90B2-640C25EE87AC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9525" cy="9525"/>
    <xdr:pic>
      <xdr:nvPicPr>
        <xdr:cNvPr id="2351" name="Picture 2350">
          <a:extLst>
            <a:ext uri="{FF2B5EF4-FFF2-40B4-BE49-F238E27FC236}">
              <a16:creationId xmlns:a16="http://schemas.microsoft.com/office/drawing/2014/main" id="{A300087A-70F2-467D-A636-BF4FB52EA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352" name="AutoShape 325">
          <a:extLst>
            <a:ext uri="{FF2B5EF4-FFF2-40B4-BE49-F238E27FC236}">
              <a16:creationId xmlns:a16="http://schemas.microsoft.com/office/drawing/2014/main" id="{1D90EDFE-D477-4658-ACB8-6587DEAFAC8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304800" cy="303440"/>
    <xdr:sp macro="" textlink="">
      <xdr:nvSpPr>
        <xdr:cNvPr id="2353" name="AutoShape 327">
          <a:extLst>
            <a:ext uri="{FF2B5EF4-FFF2-40B4-BE49-F238E27FC236}">
              <a16:creationId xmlns:a16="http://schemas.microsoft.com/office/drawing/2014/main" id="{BA2E3485-AD21-47CC-98F1-90EDC07DF4A8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9525" cy="9525"/>
    <xdr:pic>
      <xdr:nvPicPr>
        <xdr:cNvPr id="2354" name="Picture 2353">
          <a:extLst>
            <a:ext uri="{FF2B5EF4-FFF2-40B4-BE49-F238E27FC236}">
              <a16:creationId xmlns:a16="http://schemas.microsoft.com/office/drawing/2014/main" id="{81E2E821-F6AC-4D97-A348-8318A74F8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355" name="AutoShape 377">
          <a:extLst>
            <a:ext uri="{FF2B5EF4-FFF2-40B4-BE49-F238E27FC236}">
              <a16:creationId xmlns:a16="http://schemas.microsoft.com/office/drawing/2014/main" id="{0B448131-38D5-40A2-A261-74974BDDB01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304800" cy="303440"/>
    <xdr:sp macro="" textlink="">
      <xdr:nvSpPr>
        <xdr:cNvPr id="2356" name="AutoShape 379">
          <a:extLst>
            <a:ext uri="{FF2B5EF4-FFF2-40B4-BE49-F238E27FC236}">
              <a16:creationId xmlns:a16="http://schemas.microsoft.com/office/drawing/2014/main" id="{7A18F7B3-731E-42D2-940E-B98C5C95624C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9525" cy="9525"/>
    <xdr:pic>
      <xdr:nvPicPr>
        <xdr:cNvPr id="2357" name="Picture 2356">
          <a:extLst>
            <a:ext uri="{FF2B5EF4-FFF2-40B4-BE49-F238E27FC236}">
              <a16:creationId xmlns:a16="http://schemas.microsoft.com/office/drawing/2014/main" id="{4F170EC1-B2C9-4773-BDE2-EDD72AC04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358" name="AutoShape 433">
          <a:extLst>
            <a:ext uri="{FF2B5EF4-FFF2-40B4-BE49-F238E27FC236}">
              <a16:creationId xmlns:a16="http://schemas.microsoft.com/office/drawing/2014/main" id="{B5F4FB6C-2A77-4B0E-AA83-22DE05FFAD1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304800" cy="303440"/>
    <xdr:sp macro="" textlink="">
      <xdr:nvSpPr>
        <xdr:cNvPr id="2359" name="AutoShape 435">
          <a:extLst>
            <a:ext uri="{FF2B5EF4-FFF2-40B4-BE49-F238E27FC236}">
              <a16:creationId xmlns:a16="http://schemas.microsoft.com/office/drawing/2014/main" id="{2FB7C371-B52F-48E6-AA8F-974423E90023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9525" cy="9525"/>
    <xdr:pic>
      <xdr:nvPicPr>
        <xdr:cNvPr id="2360" name="Picture 2359">
          <a:extLst>
            <a:ext uri="{FF2B5EF4-FFF2-40B4-BE49-F238E27FC236}">
              <a16:creationId xmlns:a16="http://schemas.microsoft.com/office/drawing/2014/main" id="{878F9AE1-8EA4-4228-8FCD-30D672B8B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361" name="AutoShape 489">
          <a:extLst>
            <a:ext uri="{FF2B5EF4-FFF2-40B4-BE49-F238E27FC236}">
              <a16:creationId xmlns:a16="http://schemas.microsoft.com/office/drawing/2014/main" id="{23936634-9B4F-46E7-83CE-59616A61FE16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304800" cy="303440"/>
    <xdr:sp macro="" textlink="">
      <xdr:nvSpPr>
        <xdr:cNvPr id="2362" name="AutoShape 491">
          <a:extLst>
            <a:ext uri="{FF2B5EF4-FFF2-40B4-BE49-F238E27FC236}">
              <a16:creationId xmlns:a16="http://schemas.microsoft.com/office/drawing/2014/main" id="{E92163C4-2071-472F-994A-6461E86E2995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9525" cy="9525"/>
    <xdr:pic>
      <xdr:nvPicPr>
        <xdr:cNvPr id="2363" name="Picture 2362">
          <a:extLst>
            <a:ext uri="{FF2B5EF4-FFF2-40B4-BE49-F238E27FC236}">
              <a16:creationId xmlns:a16="http://schemas.microsoft.com/office/drawing/2014/main" id="{AE9BA7EB-36D4-4837-948D-C86AA7783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364" name="AutoShape 523">
          <a:extLst>
            <a:ext uri="{FF2B5EF4-FFF2-40B4-BE49-F238E27FC236}">
              <a16:creationId xmlns:a16="http://schemas.microsoft.com/office/drawing/2014/main" id="{7C9DF92C-ACE1-4FCF-8BA4-25F2114CD058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304800" cy="303440"/>
    <xdr:sp macro="" textlink="">
      <xdr:nvSpPr>
        <xdr:cNvPr id="2365" name="AutoShape 525">
          <a:extLst>
            <a:ext uri="{FF2B5EF4-FFF2-40B4-BE49-F238E27FC236}">
              <a16:creationId xmlns:a16="http://schemas.microsoft.com/office/drawing/2014/main" id="{274A353C-0B10-4F10-AB7F-ADFC7002B83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3</xdr:row>
      <xdr:rowOff>0</xdr:rowOff>
    </xdr:from>
    <xdr:ext cx="9525" cy="9525"/>
    <xdr:pic>
      <xdr:nvPicPr>
        <xdr:cNvPr id="2366" name="Picture 2365">
          <a:extLst>
            <a:ext uri="{FF2B5EF4-FFF2-40B4-BE49-F238E27FC236}">
              <a16:creationId xmlns:a16="http://schemas.microsoft.com/office/drawing/2014/main" id="{8E850DD6-CDC4-4F28-98B6-A88E37162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</xdr:row>
      <xdr:rowOff>0</xdr:rowOff>
    </xdr:from>
    <xdr:ext cx="304800" cy="303439"/>
    <xdr:sp macro="" textlink="">
      <xdr:nvSpPr>
        <xdr:cNvPr id="2367" name="AutoShape 25">
          <a:extLst>
            <a:ext uri="{FF2B5EF4-FFF2-40B4-BE49-F238E27FC236}">
              <a16:creationId xmlns:a16="http://schemas.microsoft.com/office/drawing/2014/main" id="{0672E065-24BB-4258-AB44-6E01423E070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4</xdr:row>
      <xdr:rowOff>0</xdr:rowOff>
    </xdr:from>
    <xdr:ext cx="9525" cy="9525"/>
    <xdr:pic>
      <xdr:nvPicPr>
        <xdr:cNvPr id="2368" name="Picture 2367">
          <a:extLst>
            <a:ext uri="{FF2B5EF4-FFF2-40B4-BE49-F238E27FC236}">
              <a16:creationId xmlns:a16="http://schemas.microsoft.com/office/drawing/2014/main" id="{73D788F8-E2EE-4E8E-82B4-479FAB508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9525" cy="9525"/>
    <xdr:pic>
      <xdr:nvPicPr>
        <xdr:cNvPr id="2369" name="Picture 2368">
          <a:extLst>
            <a:ext uri="{FF2B5EF4-FFF2-40B4-BE49-F238E27FC236}">
              <a16:creationId xmlns:a16="http://schemas.microsoft.com/office/drawing/2014/main" id="{8FEB395D-C9B0-4685-AE82-9D74390D2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6</xdr:row>
      <xdr:rowOff>0</xdr:rowOff>
    </xdr:from>
    <xdr:ext cx="9525" cy="9525"/>
    <xdr:pic>
      <xdr:nvPicPr>
        <xdr:cNvPr id="2370" name="Picture 2369">
          <a:extLst>
            <a:ext uri="{FF2B5EF4-FFF2-40B4-BE49-F238E27FC236}">
              <a16:creationId xmlns:a16="http://schemas.microsoft.com/office/drawing/2014/main" id="{78FC0BE8-B19B-4205-8B55-37596E82D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304800" cy="304800"/>
    <xdr:sp macro="" textlink="">
      <xdr:nvSpPr>
        <xdr:cNvPr id="2371" name="AutoShape 29">
          <a:extLst>
            <a:ext uri="{FF2B5EF4-FFF2-40B4-BE49-F238E27FC236}">
              <a16:creationId xmlns:a16="http://schemas.microsoft.com/office/drawing/2014/main" id="{8910B34B-0D8F-4FE5-A97E-8E3E7E95D5A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372" name="Picture 2371">
          <a:extLst>
            <a:ext uri="{FF2B5EF4-FFF2-40B4-BE49-F238E27FC236}">
              <a16:creationId xmlns:a16="http://schemas.microsoft.com/office/drawing/2014/main" id="{F92D37AE-339E-4D27-A1A3-05C219580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26</xdr:row>
      <xdr:rowOff>0</xdr:rowOff>
    </xdr:from>
    <xdr:ext cx="9525" cy="9525"/>
    <xdr:pic>
      <xdr:nvPicPr>
        <xdr:cNvPr id="2373" name="Picture 2372">
          <a:extLst>
            <a:ext uri="{FF2B5EF4-FFF2-40B4-BE49-F238E27FC236}">
              <a16:creationId xmlns:a16="http://schemas.microsoft.com/office/drawing/2014/main" id="{0D21C0FC-5CF1-4166-8AAF-5959F5501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25</xdr:row>
      <xdr:rowOff>0</xdr:rowOff>
    </xdr:from>
    <xdr:ext cx="304800" cy="303440"/>
    <xdr:sp macro="" textlink="">
      <xdr:nvSpPr>
        <xdr:cNvPr id="2374" name="AutoShape 32">
          <a:extLst>
            <a:ext uri="{FF2B5EF4-FFF2-40B4-BE49-F238E27FC236}">
              <a16:creationId xmlns:a16="http://schemas.microsoft.com/office/drawing/2014/main" id="{8F5DF51D-6579-4FD0-9C39-076DED1FA581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375" name="Picture 2374">
          <a:extLst>
            <a:ext uri="{FF2B5EF4-FFF2-40B4-BE49-F238E27FC236}">
              <a16:creationId xmlns:a16="http://schemas.microsoft.com/office/drawing/2014/main" id="{6FC5FF86-8D62-49EB-99EB-5CE722226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376" name="Picture 2375">
          <a:extLst>
            <a:ext uri="{FF2B5EF4-FFF2-40B4-BE49-F238E27FC236}">
              <a16:creationId xmlns:a16="http://schemas.microsoft.com/office/drawing/2014/main" id="{E3E207BE-09BC-4AC2-B911-2327B190C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377" name="Picture 2376">
          <a:extLst>
            <a:ext uri="{FF2B5EF4-FFF2-40B4-BE49-F238E27FC236}">
              <a16:creationId xmlns:a16="http://schemas.microsoft.com/office/drawing/2014/main" id="{38858B9F-E645-4D0F-ACA3-697DA3312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378" name="Picture 2377">
          <a:extLst>
            <a:ext uri="{FF2B5EF4-FFF2-40B4-BE49-F238E27FC236}">
              <a16:creationId xmlns:a16="http://schemas.microsoft.com/office/drawing/2014/main" id="{FA7A10D0-3DBC-4B93-9D1A-98F7851ED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379" name="Picture 2378">
          <a:extLst>
            <a:ext uri="{FF2B5EF4-FFF2-40B4-BE49-F238E27FC236}">
              <a16:creationId xmlns:a16="http://schemas.microsoft.com/office/drawing/2014/main" id="{BCA916E2-CFB1-4CF6-9BC0-E58960C23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380" name="AutoShape 38">
          <a:extLst>
            <a:ext uri="{FF2B5EF4-FFF2-40B4-BE49-F238E27FC236}">
              <a16:creationId xmlns:a16="http://schemas.microsoft.com/office/drawing/2014/main" id="{36713F93-579E-481D-B742-224C934CA51C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381" name="Picture 2380">
          <a:extLst>
            <a:ext uri="{FF2B5EF4-FFF2-40B4-BE49-F238E27FC236}">
              <a16:creationId xmlns:a16="http://schemas.microsoft.com/office/drawing/2014/main" id="{944066A9-3064-4284-B322-E129CC6C1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382" name="AutoShape 40">
          <a:extLst>
            <a:ext uri="{FF2B5EF4-FFF2-40B4-BE49-F238E27FC236}">
              <a16:creationId xmlns:a16="http://schemas.microsoft.com/office/drawing/2014/main" id="{A3F4178C-0464-42D5-A987-0283CFD8C58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9525" cy="9525"/>
    <xdr:pic>
      <xdr:nvPicPr>
        <xdr:cNvPr id="2383" name="Picture 2382">
          <a:extLst>
            <a:ext uri="{FF2B5EF4-FFF2-40B4-BE49-F238E27FC236}">
              <a16:creationId xmlns:a16="http://schemas.microsoft.com/office/drawing/2014/main" id="{7B575D06-F49B-4FB3-B464-AA33E9783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12</xdr:row>
      <xdr:rowOff>0</xdr:rowOff>
    </xdr:from>
    <xdr:ext cx="304800" cy="303439"/>
    <xdr:sp macro="" textlink="">
      <xdr:nvSpPr>
        <xdr:cNvPr id="2384" name="AutoShape 42">
          <a:extLst>
            <a:ext uri="{FF2B5EF4-FFF2-40B4-BE49-F238E27FC236}">
              <a16:creationId xmlns:a16="http://schemas.microsoft.com/office/drawing/2014/main" id="{191BC1FD-94D7-4126-B804-F61DE449425F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2385" name="AutoShape 44">
          <a:extLst>
            <a:ext uri="{FF2B5EF4-FFF2-40B4-BE49-F238E27FC236}">
              <a16:creationId xmlns:a16="http://schemas.microsoft.com/office/drawing/2014/main" id="{2F7D51EF-03CD-461B-AFB1-00B3E5C63A1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386" name="Picture 2385">
          <a:extLst>
            <a:ext uri="{FF2B5EF4-FFF2-40B4-BE49-F238E27FC236}">
              <a16:creationId xmlns:a16="http://schemas.microsoft.com/office/drawing/2014/main" id="{AE8BD56E-2A2E-45B9-A624-44C99451E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27</xdr:row>
      <xdr:rowOff>0</xdr:rowOff>
    </xdr:from>
    <xdr:ext cx="9525" cy="9525"/>
    <xdr:pic>
      <xdr:nvPicPr>
        <xdr:cNvPr id="2387" name="Picture 2386">
          <a:extLst>
            <a:ext uri="{FF2B5EF4-FFF2-40B4-BE49-F238E27FC236}">
              <a16:creationId xmlns:a16="http://schemas.microsoft.com/office/drawing/2014/main" id="{D3489C4B-FB5A-4493-AAF1-1EF06B721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3</xdr:row>
      <xdr:rowOff>0</xdr:rowOff>
    </xdr:from>
    <xdr:ext cx="9525" cy="9525"/>
    <xdr:pic>
      <xdr:nvPicPr>
        <xdr:cNvPr id="2388" name="Picture 2387">
          <a:extLst>
            <a:ext uri="{FF2B5EF4-FFF2-40B4-BE49-F238E27FC236}">
              <a16:creationId xmlns:a16="http://schemas.microsoft.com/office/drawing/2014/main" id="{52894B74-D813-4054-A1EC-194A58640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</xdr:row>
      <xdr:rowOff>0</xdr:rowOff>
    </xdr:from>
    <xdr:ext cx="304800" cy="303439"/>
    <xdr:sp macro="" textlink="">
      <xdr:nvSpPr>
        <xdr:cNvPr id="2389" name="AutoShape 48">
          <a:extLst>
            <a:ext uri="{FF2B5EF4-FFF2-40B4-BE49-F238E27FC236}">
              <a16:creationId xmlns:a16="http://schemas.microsoft.com/office/drawing/2014/main" id="{BCB7499F-17A3-49D7-822E-EE7C6F8CABB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4</xdr:row>
      <xdr:rowOff>0</xdr:rowOff>
    </xdr:from>
    <xdr:ext cx="9525" cy="9525"/>
    <xdr:pic>
      <xdr:nvPicPr>
        <xdr:cNvPr id="2390" name="Picture 2389">
          <a:extLst>
            <a:ext uri="{FF2B5EF4-FFF2-40B4-BE49-F238E27FC236}">
              <a16:creationId xmlns:a16="http://schemas.microsoft.com/office/drawing/2014/main" id="{CD2B8D4E-92F9-45AC-919D-F3271B3E9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9525" cy="9525"/>
    <xdr:pic>
      <xdr:nvPicPr>
        <xdr:cNvPr id="2391" name="Picture 2390">
          <a:extLst>
            <a:ext uri="{FF2B5EF4-FFF2-40B4-BE49-F238E27FC236}">
              <a16:creationId xmlns:a16="http://schemas.microsoft.com/office/drawing/2014/main" id="{B18A9EAC-B962-4E5C-AD5B-34F1FD11D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6</xdr:row>
      <xdr:rowOff>0</xdr:rowOff>
    </xdr:from>
    <xdr:ext cx="9525" cy="9525"/>
    <xdr:pic>
      <xdr:nvPicPr>
        <xdr:cNvPr id="2392" name="Picture 2391">
          <a:extLst>
            <a:ext uri="{FF2B5EF4-FFF2-40B4-BE49-F238E27FC236}">
              <a16:creationId xmlns:a16="http://schemas.microsoft.com/office/drawing/2014/main" id="{5513A7DE-3FE0-4637-82B1-AC585DE5D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304800" cy="304800"/>
    <xdr:sp macro="" textlink="">
      <xdr:nvSpPr>
        <xdr:cNvPr id="2393" name="AutoShape 52">
          <a:extLst>
            <a:ext uri="{FF2B5EF4-FFF2-40B4-BE49-F238E27FC236}">
              <a16:creationId xmlns:a16="http://schemas.microsoft.com/office/drawing/2014/main" id="{A289EDDD-5AE7-4178-A0B1-8E708F9D921F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394" name="Picture 2393">
          <a:extLst>
            <a:ext uri="{FF2B5EF4-FFF2-40B4-BE49-F238E27FC236}">
              <a16:creationId xmlns:a16="http://schemas.microsoft.com/office/drawing/2014/main" id="{698E9B0C-F4C5-438C-AF55-9B0FDC316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26</xdr:row>
      <xdr:rowOff>0</xdr:rowOff>
    </xdr:from>
    <xdr:ext cx="9525" cy="9525"/>
    <xdr:pic>
      <xdr:nvPicPr>
        <xdr:cNvPr id="2395" name="Picture 2394">
          <a:extLst>
            <a:ext uri="{FF2B5EF4-FFF2-40B4-BE49-F238E27FC236}">
              <a16:creationId xmlns:a16="http://schemas.microsoft.com/office/drawing/2014/main" id="{5CAD09FC-51A9-4CD9-A039-B4EA33988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25</xdr:row>
      <xdr:rowOff>0</xdr:rowOff>
    </xdr:from>
    <xdr:ext cx="304800" cy="303440"/>
    <xdr:sp macro="" textlink="">
      <xdr:nvSpPr>
        <xdr:cNvPr id="2396" name="AutoShape 55">
          <a:extLst>
            <a:ext uri="{FF2B5EF4-FFF2-40B4-BE49-F238E27FC236}">
              <a16:creationId xmlns:a16="http://schemas.microsoft.com/office/drawing/2014/main" id="{7F2C2947-92D0-48FE-B2BF-23577F8B4E30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397" name="Picture 2396">
          <a:extLst>
            <a:ext uri="{FF2B5EF4-FFF2-40B4-BE49-F238E27FC236}">
              <a16:creationId xmlns:a16="http://schemas.microsoft.com/office/drawing/2014/main" id="{6082B3AD-6316-44C2-BA0E-5FF21833A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398" name="Picture 2397">
          <a:extLst>
            <a:ext uri="{FF2B5EF4-FFF2-40B4-BE49-F238E27FC236}">
              <a16:creationId xmlns:a16="http://schemas.microsoft.com/office/drawing/2014/main" id="{DC195477-6F95-435E-B9FF-BB06CBDD8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399" name="Picture 2398">
          <a:extLst>
            <a:ext uri="{FF2B5EF4-FFF2-40B4-BE49-F238E27FC236}">
              <a16:creationId xmlns:a16="http://schemas.microsoft.com/office/drawing/2014/main" id="{6FE442CF-992C-4509-99E2-E2A5D7223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00" name="Picture 2399">
          <a:extLst>
            <a:ext uri="{FF2B5EF4-FFF2-40B4-BE49-F238E27FC236}">
              <a16:creationId xmlns:a16="http://schemas.microsoft.com/office/drawing/2014/main" id="{3702E9F0-2344-4D22-AFB3-CFED8DDD7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01" name="Picture 2400">
          <a:extLst>
            <a:ext uri="{FF2B5EF4-FFF2-40B4-BE49-F238E27FC236}">
              <a16:creationId xmlns:a16="http://schemas.microsoft.com/office/drawing/2014/main" id="{A2DB06EB-18CC-4551-B0E7-F97D45D34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402" name="AutoShape 61">
          <a:extLst>
            <a:ext uri="{FF2B5EF4-FFF2-40B4-BE49-F238E27FC236}">
              <a16:creationId xmlns:a16="http://schemas.microsoft.com/office/drawing/2014/main" id="{C0FDD876-E8FE-4FEC-9EEB-68F7045F314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03" name="Picture 2402">
          <a:extLst>
            <a:ext uri="{FF2B5EF4-FFF2-40B4-BE49-F238E27FC236}">
              <a16:creationId xmlns:a16="http://schemas.microsoft.com/office/drawing/2014/main" id="{8B52439C-3EBB-4E9A-9694-E2B461A24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404" name="AutoShape 63">
          <a:extLst>
            <a:ext uri="{FF2B5EF4-FFF2-40B4-BE49-F238E27FC236}">
              <a16:creationId xmlns:a16="http://schemas.microsoft.com/office/drawing/2014/main" id="{808A7E78-66B9-4DEC-B6C5-11041E468A0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9525" cy="9525"/>
    <xdr:pic>
      <xdr:nvPicPr>
        <xdr:cNvPr id="2405" name="Picture 2404">
          <a:extLst>
            <a:ext uri="{FF2B5EF4-FFF2-40B4-BE49-F238E27FC236}">
              <a16:creationId xmlns:a16="http://schemas.microsoft.com/office/drawing/2014/main" id="{5536B09F-F6D4-4100-B537-970D13FB3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12</xdr:row>
      <xdr:rowOff>0</xdr:rowOff>
    </xdr:from>
    <xdr:ext cx="304800" cy="303439"/>
    <xdr:sp macro="" textlink="">
      <xdr:nvSpPr>
        <xdr:cNvPr id="2406" name="AutoShape 65">
          <a:extLst>
            <a:ext uri="{FF2B5EF4-FFF2-40B4-BE49-F238E27FC236}">
              <a16:creationId xmlns:a16="http://schemas.microsoft.com/office/drawing/2014/main" id="{AC9CF936-041D-4D01-8A0D-7F45F45B1EE3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2407" name="AutoShape 67">
          <a:extLst>
            <a:ext uri="{FF2B5EF4-FFF2-40B4-BE49-F238E27FC236}">
              <a16:creationId xmlns:a16="http://schemas.microsoft.com/office/drawing/2014/main" id="{BD849DC5-4A78-4394-8C0A-347C25C91825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08" name="Picture 2407">
          <a:extLst>
            <a:ext uri="{FF2B5EF4-FFF2-40B4-BE49-F238E27FC236}">
              <a16:creationId xmlns:a16="http://schemas.microsoft.com/office/drawing/2014/main" id="{7808A555-2D14-4DCC-96A2-B0005EAAD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2409" name="AutoShape 69">
          <a:extLst>
            <a:ext uri="{FF2B5EF4-FFF2-40B4-BE49-F238E27FC236}">
              <a16:creationId xmlns:a16="http://schemas.microsoft.com/office/drawing/2014/main" id="{EB81D6BA-C3BE-4E62-977A-2911A7F50C0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27</xdr:row>
      <xdr:rowOff>0</xdr:rowOff>
    </xdr:from>
    <xdr:ext cx="9525" cy="9525"/>
    <xdr:pic>
      <xdr:nvPicPr>
        <xdr:cNvPr id="2410" name="Picture 2409">
          <a:extLst>
            <a:ext uri="{FF2B5EF4-FFF2-40B4-BE49-F238E27FC236}">
              <a16:creationId xmlns:a16="http://schemas.microsoft.com/office/drawing/2014/main" id="{8E25C2C3-94BF-4D03-837D-C21E3A834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11" name="Picture 2410">
          <a:extLst>
            <a:ext uri="{FF2B5EF4-FFF2-40B4-BE49-F238E27FC236}">
              <a16:creationId xmlns:a16="http://schemas.microsoft.com/office/drawing/2014/main" id="{B1E949EB-E103-471F-A0D8-9668FF1EB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3</xdr:row>
      <xdr:rowOff>0</xdr:rowOff>
    </xdr:from>
    <xdr:ext cx="9525" cy="9525"/>
    <xdr:pic>
      <xdr:nvPicPr>
        <xdr:cNvPr id="2412" name="Picture 2411">
          <a:extLst>
            <a:ext uri="{FF2B5EF4-FFF2-40B4-BE49-F238E27FC236}">
              <a16:creationId xmlns:a16="http://schemas.microsoft.com/office/drawing/2014/main" id="{C16F5DE8-DB46-4CA9-8F03-71F24E565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</xdr:row>
      <xdr:rowOff>0</xdr:rowOff>
    </xdr:from>
    <xdr:ext cx="304800" cy="303439"/>
    <xdr:sp macro="" textlink="">
      <xdr:nvSpPr>
        <xdr:cNvPr id="2413" name="AutoShape 98">
          <a:extLst>
            <a:ext uri="{FF2B5EF4-FFF2-40B4-BE49-F238E27FC236}">
              <a16:creationId xmlns:a16="http://schemas.microsoft.com/office/drawing/2014/main" id="{E0B401CF-0540-48E8-95A5-77B77DC24248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4</xdr:row>
      <xdr:rowOff>0</xdr:rowOff>
    </xdr:from>
    <xdr:ext cx="9525" cy="9525"/>
    <xdr:pic>
      <xdr:nvPicPr>
        <xdr:cNvPr id="2414" name="Picture 2413">
          <a:extLst>
            <a:ext uri="{FF2B5EF4-FFF2-40B4-BE49-F238E27FC236}">
              <a16:creationId xmlns:a16="http://schemas.microsoft.com/office/drawing/2014/main" id="{26BD8CBB-8EE0-4E4B-A78C-C37D4EB05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9525" cy="9525"/>
    <xdr:pic>
      <xdr:nvPicPr>
        <xdr:cNvPr id="2415" name="Picture 2414">
          <a:extLst>
            <a:ext uri="{FF2B5EF4-FFF2-40B4-BE49-F238E27FC236}">
              <a16:creationId xmlns:a16="http://schemas.microsoft.com/office/drawing/2014/main" id="{4E443620-F8F9-48DF-8A7F-BA8DF89BA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6</xdr:row>
      <xdr:rowOff>0</xdr:rowOff>
    </xdr:from>
    <xdr:ext cx="9525" cy="9525"/>
    <xdr:pic>
      <xdr:nvPicPr>
        <xdr:cNvPr id="2416" name="Picture 2415">
          <a:extLst>
            <a:ext uri="{FF2B5EF4-FFF2-40B4-BE49-F238E27FC236}">
              <a16:creationId xmlns:a16="http://schemas.microsoft.com/office/drawing/2014/main" id="{FBE301A8-F6D7-40D5-92FD-5053EDD75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304800" cy="304800"/>
    <xdr:sp macro="" textlink="">
      <xdr:nvSpPr>
        <xdr:cNvPr id="2417" name="AutoShape 102">
          <a:extLst>
            <a:ext uri="{FF2B5EF4-FFF2-40B4-BE49-F238E27FC236}">
              <a16:creationId xmlns:a16="http://schemas.microsoft.com/office/drawing/2014/main" id="{1432C757-40BE-48B6-A46F-13C6689412D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18" name="Picture 2417">
          <a:extLst>
            <a:ext uri="{FF2B5EF4-FFF2-40B4-BE49-F238E27FC236}">
              <a16:creationId xmlns:a16="http://schemas.microsoft.com/office/drawing/2014/main" id="{534B8A02-C1AB-4310-83C6-C34ECAD29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26</xdr:row>
      <xdr:rowOff>0</xdr:rowOff>
    </xdr:from>
    <xdr:ext cx="9525" cy="9525"/>
    <xdr:pic>
      <xdr:nvPicPr>
        <xdr:cNvPr id="2419" name="Picture 2418">
          <a:extLst>
            <a:ext uri="{FF2B5EF4-FFF2-40B4-BE49-F238E27FC236}">
              <a16:creationId xmlns:a16="http://schemas.microsoft.com/office/drawing/2014/main" id="{1632ACE7-1C2C-454D-B3D6-D277C75A4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25</xdr:row>
      <xdr:rowOff>0</xdr:rowOff>
    </xdr:from>
    <xdr:ext cx="304800" cy="303440"/>
    <xdr:sp macro="" textlink="">
      <xdr:nvSpPr>
        <xdr:cNvPr id="2420" name="AutoShape 105">
          <a:extLst>
            <a:ext uri="{FF2B5EF4-FFF2-40B4-BE49-F238E27FC236}">
              <a16:creationId xmlns:a16="http://schemas.microsoft.com/office/drawing/2014/main" id="{6B5A34A5-13B3-4AF7-B5FC-53E86FE16AC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21" name="Picture 2420">
          <a:extLst>
            <a:ext uri="{FF2B5EF4-FFF2-40B4-BE49-F238E27FC236}">
              <a16:creationId xmlns:a16="http://schemas.microsoft.com/office/drawing/2014/main" id="{F1BD4F23-B53E-4344-9C92-04E5127CA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22" name="Picture 2421">
          <a:extLst>
            <a:ext uri="{FF2B5EF4-FFF2-40B4-BE49-F238E27FC236}">
              <a16:creationId xmlns:a16="http://schemas.microsoft.com/office/drawing/2014/main" id="{36534A16-B19D-43D2-B25F-A9208D26A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23" name="Picture 2422">
          <a:extLst>
            <a:ext uri="{FF2B5EF4-FFF2-40B4-BE49-F238E27FC236}">
              <a16:creationId xmlns:a16="http://schemas.microsoft.com/office/drawing/2014/main" id="{EB49A4DE-A42E-4E47-8E42-35CF69CC9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24" name="Picture 2423">
          <a:extLst>
            <a:ext uri="{FF2B5EF4-FFF2-40B4-BE49-F238E27FC236}">
              <a16:creationId xmlns:a16="http://schemas.microsoft.com/office/drawing/2014/main" id="{9E4EE689-3208-4DEA-ACC2-5895E5DCC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25" name="Picture 2424">
          <a:extLst>
            <a:ext uri="{FF2B5EF4-FFF2-40B4-BE49-F238E27FC236}">
              <a16:creationId xmlns:a16="http://schemas.microsoft.com/office/drawing/2014/main" id="{8D123D41-26AC-40E5-84C6-230A1C38F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426" name="AutoShape 111">
          <a:extLst>
            <a:ext uri="{FF2B5EF4-FFF2-40B4-BE49-F238E27FC236}">
              <a16:creationId xmlns:a16="http://schemas.microsoft.com/office/drawing/2014/main" id="{F9F08E27-97FF-463C-BA6F-CC11EBE858D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27" name="Picture 2426">
          <a:extLst>
            <a:ext uri="{FF2B5EF4-FFF2-40B4-BE49-F238E27FC236}">
              <a16:creationId xmlns:a16="http://schemas.microsoft.com/office/drawing/2014/main" id="{7A09A652-23BB-4DF3-96AC-6A468447A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428" name="AutoShape 113">
          <a:extLst>
            <a:ext uri="{FF2B5EF4-FFF2-40B4-BE49-F238E27FC236}">
              <a16:creationId xmlns:a16="http://schemas.microsoft.com/office/drawing/2014/main" id="{D402DFE8-B63F-4094-A5F8-825EE896E36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9525" cy="9525"/>
    <xdr:pic>
      <xdr:nvPicPr>
        <xdr:cNvPr id="2429" name="Picture 2428">
          <a:extLst>
            <a:ext uri="{FF2B5EF4-FFF2-40B4-BE49-F238E27FC236}">
              <a16:creationId xmlns:a16="http://schemas.microsoft.com/office/drawing/2014/main" id="{872BE0D8-1858-4602-95AB-F307B175C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12</xdr:row>
      <xdr:rowOff>0</xdr:rowOff>
    </xdr:from>
    <xdr:ext cx="304800" cy="303439"/>
    <xdr:sp macro="" textlink="">
      <xdr:nvSpPr>
        <xdr:cNvPr id="2430" name="AutoShape 115">
          <a:extLst>
            <a:ext uri="{FF2B5EF4-FFF2-40B4-BE49-F238E27FC236}">
              <a16:creationId xmlns:a16="http://schemas.microsoft.com/office/drawing/2014/main" id="{E807910E-E6B2-43F3-A464-32094052EEF2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31" name="Picture 2430">
          <a:extLst>
            <a:ext uri="{FF2B5EF4-FFF2-40B4-BE49-F238E27FC236}">
              <a16:creationId xmlns:a16="http://schemas.microsoft.com/office/drawing/2014/main" id="{CBEE0529-99C2-45F4-98DC-8CC2ECAA5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2432" name="AutoShape 117">
          <a:extLst>
            <a:ext uri="{FF2B5EF4-FFF2-40B4-BE49-F238E27FC236}">
              <a16:creationId xmlns:a16="http://schemas.microsoft.com/office/drawing/2014/main" id="{E5989CC1-298C-49F6-9388-661D0290B352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33" name="Picture 2432">
          <a:extLst>
            <a:ext uri="{FF2B5EF4-FFF2-40B4-BE49-F238E27FC236}">
              <a16:creationId xmlns:a16="http://schemas.microsoft.com/office/drawing/2014/main" id="{7E468827-E877-4891-9DD8-1DBB45B80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2434" name="AutoShape 119">
          <a:extLst>
            <a:ext uri="{FF2B5EF4-FFF2-40B4-BE49-F238E27FC236}">
              <a16:creationId xmlns:a16="http://schemas.microsoft.com/office/drawing/2014/main" id="{6E79227F-AC3E-4BBA-AAD1-43972BA946E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27</xdr:row>
      <xdr:rowOff>0</xdr:rowOff>
    </xdr:from>
    <xdr:ext cx="9525" cy="9525"/>
    <xdr:pic>
      <xdr:nvPicPr>
        <xdr:cNvPr id="2435" name="Picture 2434">
          <a:extLst>
            <a:ext uri="{FF2B5EF4-FFF2-40B4-BE49-F238E27FC236}">
              <a16:creationId xmlns:a16="http://schemas.microsoft.com/office/drawing/2014/main" id="{0B8DF85F-A611-4C99-B984-E99236FFA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36" name="Picture 2435">
          <a:extLst>
            <a:ext uri="{FF2B5EF4-FFF2-40B4-BE49-F238E27FC236}">
              <a16:creationId xmlns:a16="http://schemas.microsoft.com/office/drawing/2014/main" id="{CF66CD2E-8536-4B11-A591-0185584C5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3</xdr:row>
      <xdr:rowOff>0</xdr:rowOff>
    </xdr:from>
    <xdr:ext cx="9525" cy="9525"/>
    <xdr:pic>
      <xdr:nvPicPr>
        <xdr:cNvPr id="2437" name="Picture 2436">
          <a:extLst>
            <a:ext uri="{FF2B5EF4-FFF2-40B4-BE49-F238E27FC236}">
              <a16:creationId xmlns:a16="http://schemas.microsoft.com/office/drawing/2014/main" id="{6945C229-C9AF-40E2-99DF-0BBF42204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</xdr:row>
      <xdr:rowOff>0</xdr:rowOff>
    </xdr:from>
    <xdr:ext cx="304800" cy="303439"/>
    <xdr:sp macro="" textlink="">
      <xdr:nvSpPr>
        <xdr:cNvPr id="2438" name="AutoShape 123">
          <a:extLst>
            <a:ext uri="{FF2B5EF4-FFF2-40B4-BE49-F238E27FC236}">
              <a16:creationId xmlns:a16="http://schemas.microsoft.com/office/drawing/2014/main" id="{1FF14099-C426-45EF-9DB7-398B13BE4C41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4</xdr:row>
      <xdr:rowOff>0</xdr:rowOff>
    </xdr:from>
    <xdr:ext cx="9525" cy="9525"/>
    <xdr:pic>
      <xdr:nvPicPr>
        <xdr:cNvPr id="2439" name="Picture 2438">
          <a:extLst>
            <a:ext uri="{FF2B5EF4-FFF2-40B4-BE49-F238E27FC236}">
              <a16:creationId xmlns:a16="http://schemas.microsoft.com/office/drawing/2014/main" id="{E6D38F90-2A44-4C14-BA41-DA5FF314C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9525" cy="9525"/>
    <xdr:pic>
      <xdr:nvPicPr>
        <xdr:cNvPr id="2440" name="Picture 2439">
          <a:extLst>
            <a:ext uri="{FF2B5EF4-FFF2-40B4-BE49-F238E27FC236}">
              <a16:creationId xmlns:a16="http://schemas.microsoft.com/office/drawing/2014/main" id="{86AF6102-F63B-4A28-B0A1-549AD45E4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6</xdr:row>
      <xdr:rowOff>0</xdr:rowOff>
    </xdr:from>
    <xdr:ext cx="9525" cy="9525"/>
    <xdr:pic>
      <xdr:nvPicPr>
        <xdr:cNvPr id="2441" name="Picture 2440">
          <a:extLst>
            <a:ext uri="{FF2B5EF4-FFF2-40B4-BE49-F238E27FC236}">
              <a16:creationId xmlns:a16="http://schemas.microsoft.com/office/drawing/2014/main" id="{CB386C7C-B028-4AFE-B843-2C6BCEAE7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5</xdr:row>
      <xdr:rowOff>0</xdr:rowOff>
    </xdr:from>
    <xdr:ext cx="304800" cy="304800"/>
    <xdr:sp macro="" textlink="">
      <xdr:nvSpPr>
        <xdr:cNvPr id="2442" name="AutoShape 127">
          <a:extLst>
            <a:ext uri="{FF2B5EF4-FFF2-40B4-BE49-F238E27FC236}">
              <a16:creationId xmlns:a16="http://schemas.microsoft.com/office/drawing/2014/main" id="{54A6B0B4-8C9B-49A1-B2B5-0778CED2AD2C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43" name="Picture 2442">
          <a:extLst>
            <a:ext uri="{FF2B5EF4-FFF2-40B4-BE49-F238E27FC236}">
              <a16:creationId xmlns:a16="http://schemas.microsoft.com/office/drawing/2014/main" id="{07E694BA-57FE-451A-8C97-9FE133A40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26</xdr:row>
      <xdr:rowOff>0</xdr:rowOff>
    </xdr:from>
    <xdr:ext cx="9525" cy="9525"/>
    <xdr:pic>
      <xdr:nvPicPr>
        <xdr:cNvPr id="2444" name="Picture 2443">
          <a:extLst>
            <a:ext uri="{FF2B5EF4-FFF2-40B4-BE49-F238E27FC236}">
              <a16:creationId xmlns:a16="http://schemas.microsoft.com/office/drawing/2014/main" id="{209FFDC0-31D5-4FDE-B01D-5C4ACFD44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25</xdr:row>
      <xdr:rowOff>0</xdr:rowOff>
    </xdr:from>
    <xdr:ext cx="304800" cy="303440"/>
    <xdr:sp macro="" textlink="">
      <xdr:nvSpPr>
        <xdr:cNvPr id="2445" name="AutoShape 130">
          <a:extLst>
            <a:ext uri="{FF2B5EF4-FFF2-40B4-BE49-F238E27FC236}">
              <a16:creationId xmlns:a16="http://schemas.microsoft.com/office/drawing/2014/main" id="{BCE9B470-2866-431A-BEDB-D2A65272F68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46" name="Picture 2445">
          <a:extLst>
            <a:ext uri="{FF2B5EF4-FFF2-40B4-BE49-F238E27FC236}">
              <a16:creationId xmlns:a16="http://schemas.microsoft.com/office/drawing/2014/main" id="{B557AC9A-75A5-4AA4-AA87-7751E9B64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47" name="Picture 2446">
          <a:extLst>
            <a:ext uri="{FF2B5EF4-FFF2-40B4-BE49-F238E27FC236}">
              <a16:creationId xmlns:a16="http://schemas.microsoft.com/office/drawing/2014/main" id="{180B33BD-519E-4651-8FA9-E09197B1B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48" name="Picture 2447">
          <a:extLst>
            <a:ext uri="{FF2B5EF4-FFF2-40B4-BE49-F238E27FC236}">
              <a16:creationId xmlns:a16="http://schemas.microsoft.com/office/drawing/2014/main" id="{61D5C574-41A9-4FF9-96AA-137E71206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49" name="Picture 2448">
          <a:extLst>
            <a:ext uri="{FF2B5EF4-FFF2-40B4-BE49-F238E27FC236}">
              <a16:creationId xmlns:a16="http://schemas.microsoft.com/office/drawing/2014/main" id="{4EF434DC-EFDB-4A7E-89A0-3827EA554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50" name="Picture 2449">
          <a:extLst>
            <a:ext uri="{FF2B5EF4-FFF2-40B4-BE49-F238E27FC236}">
              <a16:creationId xmlns:a16="http://schemas.microsoft.com/office/drawing/2014/main" id="{A1041F7F-EC96-429F-B9C1-0BA393C4F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451" name="AutoShape 136">
          <a:extLst>
            <a:ext uri="{FF2B5EF4-FFF2-40B4-BE49-F238E27FC236}">
              <a16:creationId xmlns:a16="http://schemas.microsoft.com/office/drawing/2014/main" id="{D845B28C-8FD3-4298-9EF9-EBAEE0302D25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52" name="Picture 2451">
          <a:extLst>
            <a:ext uri="{FF2B5EF4-FFF2-40B4-BE49-F238E27FC236}">
              <a16:creationId xmlns:a16="http://schemas.microsoft.com/office/drawing/2014/main" id="{A6B0BE8F-D4A4-49AF-ACA6-9000882B0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2453" name="AutoShape 138">
          <a:extLst>
            <a:ext uri="{FF2B5EF4-FFF2-40B4-BE49-F238E27FC236}">
              <a16:creationId xmlns:a16="http://schemas.microsoft.com/office/drawing/2014/main" id="{C5518A28-03F7-456F-9F29-9037CC70A4D0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9525" cy="9525"/>
    <xdr:pic>
      <xdr:nvPicPr>
        <xdr:cNvPr id="2454" name="Picture 2453">
          <a:extLst>
            <a:ext uri="{FF2B5EF4-FFF2-40B4-BE49-F238E27FC236}">
              <a16:creationId xmlns:a16="http://schemas.microsoft.com/office/drawing/2014/main" id="{9D48AEFF-73C3-4404-83E9-D52B1FDE0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12</xdr:row>
      <xdr:rowOff>0</xdr:rowOff>
    </xdr:from>
    <xdr:ext cx="304800" cy="303439"/>
    <xdr:sp macro="" textlink="">
      <xdr:nvSpPr>
        <xdr:cNvPr id="2455" name="AutoShape 140">
          <a:extLst>
            <a:ext uri="{FF2B5EF4-FFF2-40B4-BE49-F238E27FC236}">
              <a16:creationId xmlns:a16="http://schemas.microsoft.com/office/drawing/2014/main" id="{5AC14CD7-8334-4A53-8E03-8C1EDE5FEA1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56" name="Picture 2455">
          <a:extLst>
            <a:ext uri="{FF2B5EF4-FFF2-40B4-BE49-F238E27FC236}">
              <a16:creationId xmlns:a16="http://schemas.microsoft.com/office/drawing/2014/main" id="{7966318C-5F27-4441-BA10-D8E19755D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2457" name="AutoShape 142">
          <a:extLst>
            <a:ext uri="{FF2B5EF4-FFF2-40B4-BE49-F238E27FC236}">
              <a16:creationId xmlns:a16="http://schemas.microsoft.com/office/drawing/2014/main" id="{399A938E-A013-4DDF-AC95-6DC30FA48F03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58" name="Picture 2457">
          <a:extLst>
            <a:ext uri="{FF2B5EF4-FFF2-40B4-BE49-F238E27FC236}">
              <a16:creationId xmlns:a16="http://schemas.microsoft.com/office/drawing/2014/main" id="{41970108-5FA7-4235-B0D0-27C5EA312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2459" name="AutoShape 144">
          <a:extLst>
            <a:ext uri="{FF2B5EF4-FFF2-40B4-BE49-F238E27FC236}">
              <a16:creationId xmlns:a16="http://schemas.microsoft.com/office/drawing/2014/main" id="{EDCBC384-D405-4CE9-9962-5CA49530C926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27</xdr:row>
      <xdr:rowOff>0</xdr:rowOff>
    </xdr:from>
    <xdr:ext cx="9525" cy="9525"/>
    <xdr:pic>
      <xdr:nvPicPr>
        <xdr:cNvPr id="2460" name="Picture 2459">
          <a:extLst>
            <a:ext uri="{FF2B5EF4-FFF2-40B4-BE49-F238E27FC236}">
              <a16:creationId xmlns:a16="http://schemas.microsoft.com/office/drawing/2014/main" id="{5A915235-5CEB-4D90-AFD0-310A4D935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2461" name="Picture 2460">
          <a:extLst>
            <a:ext uri="{FF2B5EF4-FFF2-40B4-BE49-F238E27FC236}">
              <a16:creationId xmlns:a16="http://schemas.microsoft.com/office/drawing/2014/main" id="{E1D51D2E-F3C2-4EBE-BEB1-B552D2A07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7</xdr:row>
      <xdr:rowOff>0</xdr:rowOff>
    </xdr:from>
    <xdr:ext cx="9525" cy="9525"/>
    <xdr:pic>
      <xdr:nvPicPr>
        <xdr:cNvPr id="2462" name="Picture 2461">
          <a:extLst>
            <a:ext uri="{FF2B5EF4-FFF2-40B4-BE49-F238E27FC236}">
              <a16:creationId xmlns:a16="http://schemas.microsoft.com/office/drawing/2014/main" id="{1C430527-7CAC-4742-96DF-7809A676D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7</xdr:row>
      <xdr:rowOff>0</xdr:rowOff>
    </xdr:from>
    <xdr:ext cx="9525" cy="9525"/>
    <xdr:pic>
      <xdr:nvPicPr>
        <xdr:cNvPr id="2463" name="Picture 2462">
          <a:extLst>
            <a:ext uri="{FF2B5EF4-FFF2-40B4-BE49-F238E27FC236}">
              <a16:creationId xmlns:a16="http://schemas.microsoft.com/office/drawing/2014/main" id="{82DFEE8F-E4C1-4993-BD38-4F036055D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7</xdr:row>
      <xdr:rowOff>0</xdr:rowOff>
    </xdr:from>
    <xdr:ext cx="9525" cy="9525"/>
    <xdr:pic>
      <xdr:nvPicPr>
        <xdr:cNvPr id="2464" name="Picture 2463">
          <a:extLst>
            <a:ext uri="{FF2B5EF4-FFF2-40B4-BE49-F238E27FC236}">
              <a16:creationId xmlns:a16="http://schemas.microsoft.com/office/drawing/2014/main" id="{C5CB6551-0C6A-42B7-B82E-3C98ECD4B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7</xdr:row>
      <xdr:rowOff>0</xdr:rowOff>
    </xdr:from>
    <xdr:ext cx="9525" cy="9525"/>
    <xdr:pic>
      <xdr:nvPicPr>
        <xdr:cNvPr id="2465" name="Picture 2464">
          <a:extLst>
            <a:ext uri="{FF2B5EF4-FFF2-40B4-BE49-F238E27FC236}">
              <a16:creationId xmlns:a16="http://schemas.microsoft.com/office/drawing/2014/main" id="{4BB1F096-E730-422F-93F4-C367F0E7B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9525" cy="9525"/>
    <xdr:pic>
      <xdr:nvPicPr>
        <xdr:cNvPr id="2466" name="Picture 2465">
          <a:extLst>
            <a:ext uri="{FF2B5EF4-FFF2-40B4-BE49-F238E27FC236}">
              <a16:creationId xmlns:a16="http://schemas.microsoft.com/office/drawing/2014/main" id="{A093D4D5-5061-4F73-8950-F697A5AAD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9525" cy="9525"/>
    <xdr:pic>
      <xdr:nvPicPr>
        <xdr:cNvPr id="2467" name="Picture 2466">
          <a:extLst>
            <a:ext uri="{FF2B5EF4-FFF2-40B4-BE49-F238E27FC236}">
              <a16:creationId xmlns:a16="http://schemas.microsoft.com/office/drawing/2014/main" id="{7B08376A-87A7-4033-8D2D-B52D10490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9525" cy="9525"/>
    <xdr:pic>
      <xdr:nvPicPr>
        <xdr:cNvPr id="2468" name="Picture 2467">
          <a:extLst>
            <a:ext uri="{FF2B5EF4-FFF2-40B4-BE49-F238E27FC236}">
              <a16:creationId xmlns:a16="http://schemas.microsoft.com/office/drawing/2014/main" id="{CB120A7B-7D56-4AE0-B441-D0297B3D6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9525" cy="9525"/>
    <xdr:pic>
      <xdr:nvPicPr>
        <xdr:cNvPr id="2469" name="Picture 2468">
          <a:extLst>
            <a:ext uri="{FF2B5EF4-FFF2-40B4-BE49-F238E27FC236}">
              <a16:creationId xmlns:a16="http://schemas.microsoft.com/office/drawing/2014/main" id="{B52891E9-5290-4E52-9B29-6BAEE17B8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21</xdr:row>
      <xdr:rowOff>0</xdr:rowOff>
    </xdr:from>
    <xdr:ext cx="9525" cy="9525"/>
    <xdr:pic>
      <xdr:nvPicPr>
        <xdr:cNvPr id="2470" name="Picture 2469">
          <a:extLst>
            <a:ext uri="{FF2B5EF4-FFF2-40B4-BE49-F238E27FC236}">
              <a16:creationId xmlns:a16="http://schemas.microsoft.com/office/drawing/2014/main" id="{A8389A86-481D-41E3-BCAE-C9B1CCD8E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21</xdr:row>
      <xdr:rowOff>0</xdr:rowOff>
    </xdr:from>
    <xdr:ext cx="9525" cy="9525"/>
    <xdr:pic>
      <xdr:nvPicPr>
        <xdr:cNvPr id="2471" name="Picture 2470">
          <a:extLst>
            <a:ext uri="{FF2B5EF4-FFF2-40B4-BE49-F238E27FC236}">
              <a16:creationId xmlns:a16="http://schemas.microsoft.com/office/drawing/2014/main" id="{3A4F01FC-5629-4C4B-A48E-E8280A83A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21</xdr:row>
      <xdr:rowOff>0</xdr:rowOff>
    </xdr:from>
    <xdr:ext cx="9525" cy="9525"/>
    <xdr:pic>
      <xdr:nvPicPr>
        <xdr:cNvPr id="2472" name="Picture 2471">
          <a:extLst>
            <a:ext uri="{FF2B5EF4-FFF2-40B4-BE49-F238E27FC236}">
              <a16:creationId xmlns:a16="http://schemas.microsoft.com/office/drawing/2014/main" id="{E9A53759-2E85-4073-AC9F-A9656DA25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21</xdr:row>
      <xdr:rowOff>0</xdr:rowOff>
    </xdr:from>
    <xdr:ext cx="9525" cy="9525"/>
    <xdr:pic>
      <xdr:nvPicPr>
        <xdr:cNvPr id="2473" name="Picture 2472">
          <a:extLst>
            <a:ext uri="{FF2B5EF4-FFF2-40B4-BE49-F238E27FC236}">
              <a16:creationId xmlns:a16="http://schemas.microsoft.com/office/drawing/2014/main" id="{8D83F1AB-A344-48C1-B5AC-972907290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16</xdr:row>
      <xdr:rowOff>0</xdr:rowOff>
    </xdr:from>
    <xdr:ext cx="9525" cy="9525"/>
    <xdr:pic>
      <xdr:nvPicPr>
        <xdr:cNvPr id="2474" name="Picture 2473">
          <a:extLst>
            <a:ext uri="{FF2B5EF4-FFF2-40B4-BE49-F238E27FC236}">
              <a16:creationId xmlns:a16="http://schemas.microsoft.com/office/drawing/2014/main" id="{F6C79293-B191-48B9-A81B-F60E60286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16</xdr:row>
      <xdr:rowOff>0</xdr:rowOff>
    </xdr:from>
    <xdr:ext cx="9525" cy="9525"/>
    <xdr:pic>
      <xdr:nvPicPr>
        <xdr:cNvPr id="2475" name="Picture 2474">
          <a:extLst>
            <a:ext uri="{FF2B5EF4-FFF2-40B4-BE49-F238E27FC236}">
              <a16:creationId xmlns:a16="http://schemas.microsoft.com/office/drawing/2014/main" id="{8B2D6E97-44E9-4197-8758-D040F2F7F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3440"/>
    <xdr:sp macro="" textlink="">
      <xdr:nvSpPr>
        <xdr:cNvPr id="2476" name="AutoShape 69">
          <a:extLst>
            <a:ext uri="{FF2B5EF4-FFF2-40B4-BE49-F238E27FC236}">
              <a16:creationId xmlns:a16="http://schemas.microsoft.com/office/drawing/2014/main" id="{E40E9478-102F-4571-8302-401F50059F73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16</xdr:row>
      <xdr:rowOff>0</xdr:rowOff>
    </xdr:from>
    <xdr:ext cx="9525" cy="9525"/>
    <xdr:pic>
      <xdr:nvPicPr>
        <xdr:cNvPr id="2477" name="Picture 2476">
          <a:extLst>
            <a:ext uri="{FF2B5EF4-FFF2-40B4-BE49-F238E27FC236}">
              <a16:creationId xmlns:a16="http://schemas.microsoft.com/office/drawing/2014/main" id="{AF22E2F6-D814-48C6-80D3-5FC20B627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3440"/>
    <xdr:sp macro="" textlink="">
      <xdr:nvSpPr>
        <xdr:cNvPr id="2478" name="AutoShape 119">
          <a:extLst>
            <a:ext uri="{FF2B5EF4-FFF2-40B4-BE49-F238E27FC236}">
              <a16:creationId xmlns:a16="http://schemas.microsoft.com/office/drawing/2014/main" id="{E716524C-F7D7-4445-97DC-4D264F4DB993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16</xdr:row>
      <xdr:rowOff>0</xdr:rowOff>
    </xdr:from>
    <xdr:ext cx="9525" cy="9525"/>
    <xdr:pic>
      <xdr:nvPicPr>
        <xdr:cNvPr id="2479" name="Picture 2478">
          <a:extLst>
            <a:ext uri="{FF2B5EF4-FFF2-40B4-BE49-F238E27FC236}">
              <a16:creationId xmlns:a16="http://schemas.microsoft.com/office/drawing/2014/main" id="{4F0003E6-1CC2-45BA-84DA-6BBB1FD25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15</xdr:row>
      <xdr:rowOff>0</xdr:rowOff>
    </xdr:from>
    <xdr:ext cx="304800" cy="303440"/>
    <xdr:sp macro="" textlink="">
      <xdr:nvSpPr>
        <xdr:cNvPr id="2480" name="AutoShape 144">
          <a:extLst>
            <a:ext uri="{FF2B5EF4-FFF2-40B4-BE49-F238E27FC236}">
              <a16:creationId xmlns:a16="http://schemas.microsoft.com/office/drawing/2014/main" id="{560CAA08-40E9-444C-AE95-14FA9B95D6C8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19</xdr:row>
      <xdr:rowOff>0</xdr:rowOff>
    </xdr:from>
    <xdr:ext cx="9525" cy="9525"/>
    <xdr:pic>
      <xdr:nvPicPr>
        <xdr:cNvPr id="2481" name="Picture 2480">
          <a:extLst>
            <a:ext uri="{FF2B5EF4-FFF2-40B4-BE49-F238E27FC236}">
              <a16:creationId xmlns:a16="http://schemas.microsoft.com/office/drawing/2014/main" id="{C758EEC5-535E-4570-9CBB-E52DB457F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19</xdr:row>
      <xdr:rowOff>0</xdr:rowOff>
    </xdr:from>
    <xdr:ext cx="9525" cy="9525"/>
    <xdr:pic>
      <xdr:nvPicPr>
        <xdr:cNvPr id="2482" name="Picture 2481">
          <a:extLst>
            <a:ext uri="{FF2B5EF4-FFF2-40B4-BE49-F238E27FC236}">
              <a16:creationId xmlns:a16="http://schemas.microsoft.com/office/drawing/2014/main" id="{2BE917A8-2316-4D7B-8DB5-BD2BD6830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19</xdr:row>
      <xdr:rowOff>0</xdr:rowOff>
    </xdr:from>
    <xdr:ext cx="9525" cy="9525"/>
    <xdr:pic>
      <xdr:nvPicPr>
        <xdr:cNvPr id="2483" name="Picture 2482">
          <a:extLst>
            <a:ext uri="{FF2B5EF4-FFF2-40B4-BE49-F238E27FC236}">
              <a16:creationId xmlns:a16="http://schemas.microsoft.com/office/drawing/2014/main" id="{82B0DD12-4BDD-435C-9DE8-530939AF1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17</xdr:row>
      <xdr:rowOff>0</xdr:rowOff>
    </xdr:from>
    <xdr:ext cx="9525" cy="9525"/>
    <xdr:pic>
      <xdr:nvPicPr>
        <xdr:cNvPr id="2484" name="Picture 2483">
          <a:extLst>
            <a:ext uri="{FF2B5EF4-FFF2-40B4-BE49-F238E27FC236}">
              <a16:creationId xmlns:a16="http://schemas.microsoft.com/office/drawing/2014/main" id="{08C4CBFF-8AED-444E-B045-9541D087A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16</xdr:row>
      <xdr:rowOff>0</xdr:rowOff>
    </xdr:from>
    <xdr:ext cx="304800" cy="304800"/>
    <xdr:sp macro="" textlink="">
      <xdr:nvSpPr>
        <xdr:cNvPr id="2485" name="AutoShape 40">
          <a:extLst>
            <a:ext uri="{FF2B5EF4-FFF2-40B4-BE49-F238E27FC236}">
              <a16:creationId xmlns:a16="http://schemas.microsoft.com/office/drawing/2014/main" id="{490B22DC-C508-4DA6-A22D-9BE15A7EF5B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3439"/>
    <xdr:sp macro="" textlink="">
      <xdr:nvSpPr>
        <xdr:cNvPr id="2486" name="AutoShape 42">
          <a:extLst>
            <a:ext uri="{FF2B5EF4-FFF2-40B4-BE49-F238E27FC236}">
              <a16:creationId xmlns:a16="http://schemas.microsoft.com/office/drawing/2014/main" id="{AB9C664E-5AC2-4E6C-868E-2A21A43F71FB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9525" cy="9525"/>
    <xdr:pic>
      <xdr:nvPicPr>
        <xdr:cNvPr id="2487" name="Picture 2486">
          <a:extLst>
            <a:ext uri="{FF2B5EF4-FFF2-40B4-BE49-F238E27FC236}">
              <a16:creationId xmlns:a16="http://schemas.microsoft.com/office/drawing/2014/main" id="{1525B129-293A-44F4-B145-7D34A6EB7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16</xdr:row>
      <xdr:rowOff>0</xdr:rowOff>
    </xdr:from>
    <xdr:ext cx="304800" cy="304800"/>
    <xdr:sp macro="" textlink="">
      <xdr:nvSpPr>
        <xdr:cNvPr id="2488" name="AutoShape 63">
          <a:extLst>
            <a:ext uri="{FF2B5EF4-FFF2-40B4-BE49-F238E27FC236}">
              <a16:creationId xmlns:a16="http://schemas.microsoft.com/office/drawing/2014/main" id="{D8383529-A5FF-430C-AAFA-FA647146AED2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3439"/>
    <xdr:sp macro="" textlink="">
      <xdr:nvSpPr>
        <xdr:cNvPr id="2489" name="AutoShape 65">
          <a:extLst>
            <a:ext uri="{FF2B5EF4-FFF2-40B4-BE49-F238E27FC236}">
              <a16:creationId xmlns:a16="http://schemas.microsoft.com/office/drawing/2014/main" id="{A490E30D-16BD-4C4C-9177-B154EEC9D9B1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9525" cy="9525"/>
    <xdr:pic>
      <xdr:nvPicPr>
        <xdr:cNvPr id="2490" name="Picture 2489">
          <a:extLst>
            <a:ext uri="{FF2B5EF4-FFF2-40B4-BE49-F238E27FC236}">
              <a16:creationId xmlns:a16="http://schemas.microsoft.com/office/drawing/2014/main" id="{003BD8ED-C41A-4967-8A90-24E978FD4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16</xdr:row>
      <xdr:rowOff>0</xdr:rowOff>
    </xdr:from>
    <xdr:ext cx="304800" cy="304800"/>
    <xdr:sp macro="" textlink="">
      <xdr:nvSpPr>
        <xdr:cNvPr id="2491" name="AutoShape 113">
          <a:extLst>
            <a:ext uri="{FF2B5EF4-FFF2-40B4-BE49-F238E27FC236}">
              <a16:creationId xmlns:a16="http://schemas.microsoft.com/office/drawing/2014/main" id="{20D045EA-5CFA-4D58-B162-ECBC1141575F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3439"/>
    <xdr:sp macro="" textlink="">
      <xdr:nvSpPr>
        <xdr:cNvPr id="2492" name="AutoShape 115">
          <a:extLst>
            <a:ext uri="{FF2B5EF4-FFF2-40B4-BE49-F238E27FC236}">
              <a16:creationId xmlns:a16="http://schemas.microsoft.com/office/drawing/2014/main" id="{F924F86C-DF5D-4E6D-8EB2-E870BE279ED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9525" cy="9525"/>
    <xdr:pic>
      <xdr:nvPicPr>
        <xdr:cNvPr id="2493" name="Picture 2492">
          <a:extLst>
            <a:ext uri="{FF2B5EF4-FFF2-40B4-BE49-F238E27FC236}">
              <a16:creationId xmlns:a16="http://schemas.microsoft.com/office/drawing/2014/main" id="{FAAC8B63-9D43-45CB-A154-2BCD7C46C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16</xdr:row>
      <xdr:rowOff>0</xdr:rowOff>
    </xdr:from>
    <xdr:ext cx="304800" cy="304800"/>
    <xdr:sp macro="" textlink="">
      <xdr:nvSpPr>
        <xdr:cNvPr id="2494" name="AutoShape 138">
          <a:extLst>
            <a:ext uri="{FF2B5EF4-FFF2-40B4-BE49-F238E27FC236}">
              <a16:creationId xmlns:a16="http://schemas.microsoft.com/office/drawing/2014/main" id="{521D26B7-B238-4FE0-AE59-592197B42658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17</xdr:row>
      <xdr:rowOff>0</xdr:rowOff>
    </xdr:from>
    <xdr:ext cx="304800" cy="303439"/>
    <xdr:sp macro="" textlink="">
      <xdr:nvSpPr>
        <xdr:cNvPr id="2495" name="AutoShape 140">
          <a:extLst>
            <a:ext uri="{FF2B5EF4-FFF2-40B4-BE49-F238E27FC236}">
              <a16:creationId xmlns:a16="http://schemas.microsoft.com/office/drawing/2014/main" id="{ED777727-6AA0-4F70-B7EF-6ED3880C2242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18</xdr:row>
      <xdr:rowOff>0</xdr:rowOff>
    </xdr:from>
    <xdr:ext cx="9525" cy="9525"/>
    <xdr:pic>
      <xdr:nvPicPr>
        <xdr:cNvPr id="2496" name="Picture 2495">
          <a:extLst>
            <a:ext uri="{FF2B5EF4-FFF2-40B4-BE49-F238E27FC236}">
              <a16:creationId xmlns:a16="http://schemas.microsoft.com/office/drawing/2014/main" id="{F9071653-EC98-4EF9-8BD9-E3A8CBF83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18</xdr:row>
      <xdr:rowOff>0</xdr:rowOff>
    </xdr:from>
    <xdr:ext cx="9525" cy="9525"/>
    <xdr:pic>
      <xdr:nvPicPr>
        <xdr:cNvPr id="2497" name="Picture 2496">
          <a:extLst>
            <a:ext uri="{FF2B5EF4-FFF2-40B4-BE49-F238E27FC236}">
              <a16:creationId xmlns:a16="http://schemas.microsoft.com/office/drawing/2014/main" id="{4A329150-F6F1-4E26-A3D6-56DD9C541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18</xdr:row>
      <xdr:rowOff>0</xdr:rowOff>
    </xdr:from>
    <xdr:ext cx="9525" cy="9525"/>
    <xdr:pic>
      <xdr:nvPicPr>
        <xdr:cNvPr id="2498" name="Picture 2497">
          <a:extLst>
            <a:ext uri="{FF2B5EF4-FFF2-40B4-BE49-F238E27FC236}">
              <a16:creationId xmlns:a16="http://schemas.microsoft.com/office/drawing/2014/main" id="{72538EB0-A647-450B-A006-8772BCACC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18</xdr:row>
      <xdr:rowOff>0</xdr:rowOff>
    </xdr:from>
    <xdr:ext cx="9525" cy="9525"/>
    <xdr:pic>
      <xdr:nvPicPr>
        <xdr:cNvPr id="2499" name="Picture 2498">
          <a:extLst>
            <a:ext uri="{FF2B5EF4-FFF2-40B4-BE49-F238E27FC236}">
              <a16:creationId xmlns:a16="http://schemas.microsoft.com/office/drawing/2014/main" id="{B6553E3C-BBBF-4B62-8A63-69B8CAAA1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9525" cy="9525"/>
    <xdr:pic>
      <xdr:nvPicPr>
        <xdr:cNvPr id="2500" name="Picture 2499">
          <a:extLst>
            <a:ext uri="{FF2B5EF4-FFF2-40B4-BE49-F238E27FC236}">
              <a16:creationId xmlns:a16="http://schemas.microsoft.com/office/drawing/2014/main" id="{416E8B98-F3B4-4A98-910D-993535CDC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9525" cy="9525"/>
    <xdr:pic>
      <xdr:nvPicPr>
        <xdr:cNvPr id="2501" name="Picture 2500">
          <a:extLst>
            <a:ext uri="{FF2B5EF4-FFF2-40B4-BE49-F238E27FC236}">
              <a16:creationId xmlns:a16="http://schemas.microsoft.com/office/drawing/2014/main" id="{284B8A5D-C925-4F07-8F80-1BD11BD02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9525" cy="9525"/>
    <xdr:pic>
      <xdr:nvPicPr>
        <xdr:cNvPr id="2502" name="Picture 2501">
          <a:extLst>
            <a:ext uri="{FF2B5EF4-FFF2-40B4-BE49-F238E27FC236}">
              <a16:creationId xmlns:a16="http://schemas.microsoft.com/office/drawing/2014/main" id="{BD0F869E-3009-4E46-9D7C-2E0CBE579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9525" cy="9525"/>
    <xdr:pic>
      <xdr:nvPicPr>
        <xdr:cNvPr id="2503" name="Picture 2502">
          <a:extLst>
            <a:ext uri="{FF2B5EF4-FFF2-40B4-BE49-F238E27FC236}">
              <a16:creationId xmlns:a16="http://schemas.microsoft.com/office/drawing/2014/main" id="{1316B423-93DE-40A9-9812-E972B1B0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10</xdr:row>
      <xdr:rowOff>0</xdr:rowOff>
    </xdr:from>
    <xdr:ext cx="9525" cy="9525"/>
    <xdr:pic>
      <xdr:nvPicPr>
        <xdr:cNvPr id="2504" name="Picture 2503">
          <a:extLst>
            <a:ext uri="{FF2B5EF4-FFF2-40B4-BE49-F238E27FC236}">
              <a16:creationId xmlns:a16="http://schemas.microsoft.com/office/drawing/2014/main" id="{043EAE56-815E-45CC-B9D2-87798F777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304800" cy="304800"/>
    <xdr:sp macro="" textlink="">
      <xdr:nvSpPr>
        <xdr:cNvPr id="2505" name="AutoShape 38">
          <a:extLst>
            <a:ext uri="{FF2B5EF4-FFF2-40B4-BE49-F238E27FC236}">
              <a16:creationId xmlns:a16="http://schemas.microsoft.com/office/drawing/2014/main" id="{E4211587-1A85-45EE-8AD2-45408F00E194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304800" cy="304800"/>
    <xdr:sp macro="" textlink="">
      <xdr:nvSpPr>
        <xdr:cNvPr id="2506" name="AutoShape 40">
          <a:extLst>
            <a:ext uri="{FF2B5EF4-FFF2-40B4-BE49-F238E27FC236}">
              <a16:creationId xmlns:a16="http://schemas.microsoft.com/office/drawing/2014/main" id="{E059A05C-69F9-4AE8-A3E3-35812941F0A1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9525" cy="9525"/>
    <xdr:pic>
      <xdr:nvPicPr>
        <xdr:cNvPr id="2507" name="Picture 2506">
          <a:extLst>
            <a:ext uri="{FF2B5EF4-FFF2-40B4-BE49-F238E27FC236}">
              <a16:creationId xmlns:a16="http://schemas.microsoft.com/office/drawing/2014/main" id="{D8A7356C-AA58-4DD8-BBDB-51E6BB051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304800" cy="304800"/>
    <xdr:sp macro="" textlink="">
      <xdr:nvSpPr>
        <xdr:cNvPr id="2508" name="AutoShape 61">
          <a:extLst>
            <a:ext uri="{FF2B5EF4-FFF2-40B4-BE49-F238E27FC236}">
              <a16:creationId xmlns:a16="http://schemas.microsoft.com/office/drawing/2014/main" id="{6E1CCB82-F99C-44C6-A82B-686F530A6470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304800" cy="304800"/>
    <xdr:sp macro="" textlink="">
      <xdr:nvSpPr>
        <xdr:cNvPr id="2509" name="AutoShape 63">
          <a:extLst>
            <a:ext uri="{FF2B5EF4-FFF2-40B4-BE49-F238E27FC236}">
              <a16:creationId xmlns:a16="http://schemas.microsoft.com/office/drawing/2014/main" id="{814A73D1-A246-49FE-A2BA-063149871DE0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9525" cy="9525"/>
    <xdr:pic>
      <xdr:nvPicPr>
        <xdr:cNvPr id="2510" name="Picture 2509">
          <a:extLst>
            <a:ext uri="{FF2B5EF4-FFF2-40B4-BE49-F238E27FC236}">
              <a16:creationId xmlns:a16="http://schemas.microsoft.com/office/drawing/2014/main" id="{98292519-08BD-4B8D-B6B8-71222E3F5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304800" cy="304800"/>
    <xdr:sp macro="" textlink="">
      <xdr:nvSpPr>
        <xdr:cNvPr id="2511" name="AutoShape 111">
          <a:extLst>
            <a:ext uri="{FF2B5EF4-FFF2-40B4-BE49-F238E27FC236}">
              <a16:creationId xmlns:a16="http://schemas.microsoft.com/office/drawing/2014/main" id="{635C5A61-A8B9-4426-93F5-B1D6E22885F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304800" cy="304800"/>
    <xdr:sp macro="" textlink="">
      <xdr:nvSpPr>
        <xdr:cNvPr id="2512" name="AutoShape 113">
          <a:extLst>
            <a:ext uri="{FF2B5EF4-FFF2-40B4-BE49-F238E27FC236}">
              <a16:creationId xmlns:a16="http://schemas.microsoft.com/office/drawing/2014/main" id="{101E3E29-72F6-4975-BE33-84B626AF06E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9525" cy="9525"/>
    <xdr:pic>
      <xdr:nvPicPr>
        <xdr:cNvPr id="2513" name="Picture 2512">
          <a:extLst>
            <a:ext uri="{FF2B5EF4-FFF2-40B4-BE49-F238E27FC236}">
              <a16:creationId xmlns:a16="http://schemas.microsoft.com/office/drawing/2014/main" id="{6F5C5DAD-A665-43C3-8D44-00BDF4C7A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9</xdr:row>
      <xdr:rowOff>0</xdr:rowOff>
    </xdr:from>
    <xdr:ext cx="304800" cy="304800"/>
    <xdr:sp macro="" textlink="">
      <xdr:nvSpPr>
        <xdr:cNvPr id="2514" name="AutoShape 136">
          <a:extLst>
            <a:ext uri="{FF2B5EF4-FFF2-40B4-BE49-F238E27FC236}">
              <a16:creationId xmlns:a16="http://schemas.microsoft.com/office/drawing/2014/main" id="{4E0451F4-E01A-44C6-B929-5585BF4E694A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304800" cy="304800"/>
    <xdr:sp macro="" textlink="">
      <xdr:nvSpPr>
        <xdr:cNvPr id="2515" name="AutoShape 138">
          <a:extLst>
            <a:ext uri="{FF2B5EF4-FFF2-40B4-BE49-F238E27FC236}">
              <a16:creationId xmlns:a16="http://schemas.microsoft.com/office/drawing/2014/main" id="{E89F0CD5-F01E-4375-AADD-A59B994D36A5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22</xdr:row>
      <xdr:rowOff>0</xdr:rowOff>
    </xdr:from>
    <xdr:ext cx="9525" cy="9525"/>
    <xdr:pic>
      <xdr:nvPicPr>
        <xdr:cNvPr id="2516" name="Picture 2515">
          <a:extLst>
            <a:ext uri="{FF2B5EF4-FFF2-40B4-BE49-F238E27FC236}">
              <a16:creationId xmlns:a16="http://schemas.microsoft.com/office/drawing/2014/main" id="{E305B84F-2E3E-43EA-BD24-306399D63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22</xdr:row>
      <xdr:rowOff>0</xdr:rowOff>
    </xdr:from>
    <xdr:ext cx="9525" cy="9525"/>
    <xdr:pic>
      <xdr:nvPicPr>
        <xdr:cNvPr id="2517" name="Picture 2516">
          <a:extLst>
            <a:ext uri="{FF2B5EF4-FFF2-40B4-BE49-F238E27FC236}">
              <a16:creationId xmlns:a16="http://schemas.microsoft.com/office/drawing/2014/main" id="{A4406EDD-A4E3-4962-BCB6-B7F4BA1FD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22</xdr:row>
      <xdr:rowOff>0</xdr:rowOff>
    </xdr:from>
    <xdr:ext cx="9525" cy="9525"/>
    <xdr:pic>
      <xdr:nvPicPr>
        <xdr:cNvPr id="2518" name="Picture 2517">
          <a:extLst>
            <a:ext uri="{FF2B5EF4-FFF2-40B4-BE49-F238E27FC236}">
              <a16:creationId xmlns:a16="http://schemas.microsoft.com/office/drawing/2014/main" id="{B90F3CFB-32E0-4832-9A91-A901758DA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22</xdr:row>
      <xdr:rowOff>0</xdr:rowOff>
    </xdr:from>
    <xdr:ext cx="9525" cy="9525"/>
    <xdr:pic>
      <xdr:nvPicPr>
        <xdr:cNvPr id="2519" name="Picture 2518">
          <a:extLst>
            <a:ext uri="{FF2B5EF4-FFF2-40B4-BE49-F238E27FC236}">
              <a16:creationId xmlns:a16="http://schemas.microsoft.com/office/drawing/2014/main" id="{9A0F1068-B8F0-48E0-8441-779BACD69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9525" cy="9525"/>
    <xdr:pic>
      <xdr:nvPicPr>
        <xdr:cNvPr id="2520" name="Picture 2519">
          <a:extLst>
            <a:ext uri="{FF2B5EF4-FFF2-40B4-BE49-F238E27FC236}">
              <a16:creationId xmlns:a16="http://schemas.microsoft.com/office/drawing/2014/main" id="{6E7D4541-B142-448F-94AD-D7B25522A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521" name="AutoShape 38">
          <a:extLst>
            <a:ext uri="{FF2B5EF4-FFF2-40B4-BE49-F238E27FC236}">
              <a16:creationId xmlns:a16="http://schemas.microsoft.com/office/drawing/2014/main" id="{A30B21F8-90F0-4901-8E5D-D84F569ADBE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23</xdr:row>
      <xdr:rowOff>0</xdr:rowOff>
    </xdr:from>
    <xdr:ext cx="9525" cy="9525"/>
    <xdr:pic>
      <xdr:nvPicPr>
        <xdr:cNvPr id="2522" name="Picture 2521">
          <a:extLst>
            <a:ext uri="{FF2B5EF4-FFF2-40B4-BE49-F238E27FC236}">
              <a16:creationId xmlns:a16="http://schemas.microsoft.com/office/drawing/2014/main" id="{60597BEF-15A1-4B5C-BA77-C13D19C1A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523" name="AutoShape 61">
          <a:extLst>
            <a:ext uri="{FF2B5EF4-FFF2-40B4-BE49-F238E27FC236}">
              <a16:creationId xmlns:a16="http://schemas.microsoft.com/office/drawing/2014/main" id="{DE001E75-621B-4EB3-AEE0-848753E59EC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23</xdr:row>
      <xdr:rowOff>0</xdr:rowOff>
    </xdr:from>
    <xdr:ext cx="9525" cy="9525"/>
    <xdr:pic>
      <xdr:nvPicPr>
        <xdr:cNvPr id="2524" name="Picture 2523">
          <a:extLst>
            <a:ext uri="{FF2B5EF4-FFF2-40B4-BE49-F238E27FC236}">
              <a16:creationId xmlns:a16="http://schemas.microsoft.com/office/drawing/2014/main" id="{99BA746D-15BE-42A2-9723-53CA202C1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525" name="AutoShape 111">
          <a:extLst>
            <a:ext uri="{FF2B5EF4-FFF2-40B4-BE49-F238E27FC236}">
              <a16:creationId xmlns:a16="http://schemas.microsoft.com/office/drawing/2014/main" id="{1B5E0DEF-0989-428F-91F9-86221FDA582D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23</xdr:row>
      <xdr:rowOff>0</xdr:rowOff>
    </xdr:from>
    <xdr:ext cx="9525" cy="9525"/>
    <xdr:pic>
      <xdr:nvPicPr>
        <xdr:cNvPr id="2526" name="Picture 2525">
          <a:extLst>
            <a:ext uri="{FF2B5EF4-FFF2-40B4-BE49-F238E27FC236}">
              <a16:creationId xmlns:a16="http://schemas.microsoft.com/office/drawing/2014/main" id="{E1934253-552D-4DBD-9AD3-DFF5CAA2E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527" name="AutoShape 136">
          <a:extLst>
            <a:ext uri="{FF2B5EF4-FFF2-40B4-BE49-F238E27FC236}">
              <a16:creationId xmlns:a16="http://schemas.microsoft.com/office/drawing/2014/main" id="{C31B2813-8B03-492E-B601-DD8725145BE7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528" name="AutoShape 44">
          <a:extLst>
            <a:ext uri="{FF2B5EF4-FFF2-40B4-BE49-F238E27FC236}">
              <a16:creationId xmlns:a16="http://schemas.microsoft.com/office/drawing/2014/main" id="{8314FD96-C4DA-42CF-BCD3-364F7AC29EB9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529" name="AutoShape 67">
          <a:extLst>
            <a:ext uri="{FF2B5EF4-FFF2-40B4-BE49-F238E27FC236}">
              <a16:creationId xmlns:a16="http://schemas.microsoft.com/office/drawing/2014/main" id="{B3AA6EFE-F957-4A51-9217-B372BB95BAC6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304800" cy="303440"/>
    <xdr:sp macro="" textlink="">
      <xdr:nvSpPr>
        <xdr:cNvPr id="2530" name="AutoShape 69">
          <a:extLst>
            <a:ext uri="{FF2B5EF4-FFF2-40B4-BE49-F238E27FC236}">
              <a16:creationId xmlns:a16="http://schemas.microsoft.com/office/drawing/2014/main" id="{0BDB1E53-780A-48CC-A866-B2E9E344D056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9525" cy="9525"/>
    <xdr:pic>
      <xdr:nvPicPr>
        <xdr:cNvPr id="2531" name="Picture 2530">
          <a:extLst>
            <a:ext uri="{FF2B5EF4-FFF2-40B4-BE49-F238E27FC236}">
              <a16:creationId xmlns:a16="http://schemas.microsoft.com/office/drawing/2014/main" id="{7FF876EC-6ACA-4857-BDA4-2E322AFFB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532" name="AutoShape 117">
          <a:extLst>
            <a:ext uri="{FF2B5EF4-FFF2-40B4-BE49-F238E27FC236}">
              <a16:creationId xmlns:a16="http://schemas.microsoft.com/office/drawing/2014/main" id="{64D32291-6165-4B03-B236-D6DC41072690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304800" cy="303440"/>
    <xdr:sp macro="" textlink="">
      <xdr:nvSpPr>
        <xdr:cNvPr id="2533" name="AutoShape 119">
          <a:extLst>
            <a:ext uri="{FF2B5EF4-FFF2-40B4-BE49-F238E27FC236}">
              <a16:creationId xmlns:a16="http://schemas.microsoft.com/office/drawing/2014/main" id="{3F8346E2-4B86-4183-AD76-E36D9457156E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9525" cy="9525"/>
    <xdr:pic>
      <xdr:nvPicPr>
        <xdr:cNvPr id="2534" name="Picture 2533">
          <a:extLst>
            <a:ext uri="{FF2B5EF4-FFF2-40B4-BE49-F238E27FC236}">
              <a16:creationId xmlns:a16="http://schemas.microsoft.com/office/drawing/2014/main" id="{6EB0D498-D361-4ACA-9230-0015E99F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7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304800" cy="304800"/>
    <xdr:sp macro="" textlink="">
      <xdr:nvSpPr>
        <xdr:cNvPr id="2535" name="AutoShape 142">
          <a:extLst>
            <a:ext uri="{FF2B5EF4-FFF2-40B4-BE49-F238E27FC236}">
              <a16:creationId xmlns:a16="http://schemas.microsoft.com/office/drawing/2014/main" id="{213DA91E-B78F-4F40-BD85-222AA6561F90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304800" cy="303440"/>
    <xdr:sp macro="" textlink="">
      <xdr:nvSpPr>
        <xdr:cNvPr id="2536" name="AutoShape 144">
          <a:extLst>
            <a:ext uri="{FF2B5EF4-FFF2-40B4-BE49-F238E27FC236}">
              <a16:creationId xmlns:a16="http://schemas.microsoft.com/office/drawing/2014/main" id="{81C761E2-C2BD-4E83-B44E-E8653541EA83}"/>
            </a:ext>
          </a:extLst>
        </xdr:cNvPr>
        <xdr:cNvSpPr>
          <a:spLocks noChangeAspect="1" noChangeArrowheads="1"/>
        </xdr:cNvSpPr>
      </xdr:nvSpPr>
      <xdr:spPr bwMode="auto">
        <a:xfrm>
          <a:off x="37787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3</xdr:row>
      <xdr:rowOff>0</xdr:rowOff>
    </xdr:from>
    <xdr:ext cx="9525" cy="9525"/>
    <xdr:pic>
      <xdr:nvPicPr>
        <xdr:cNvPr id="2537" name="Picture 2536">
          <a:extLst>
            <a:ext uri="{FF2B5EF4-FFF2-40B4-BE49-F238E27FC236}">
              <a16:creationId xmlns:a16="http://schemas.microsoft.com/office/drawing/2014/main" id="{2E0BAC1D-B13C-4D57-A372-5231AC3FD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</xdr:row>
      <xdr:rowOff>0</xdr:rowOff>
    </xdr:from>
    <xdr:ext cx="304800" cy="303439"/>
    <xdr:sp macro="" textlink="">
      <xdr:nvSpPr>
        <xdr:cNvPr id="2538" name="AutoShape 148">
          <a:extLst>
            <a:ext uri="{FF2B5EF4-FFF2-40B4-BE49-F238E27FC236}">
              <a16:creationId xmlns:a16="http://schemas.microsoft.com/office/drawing/2014/main" id="{148F3840-28F2-4299-8A54-65778BA5186E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3</xdr:row>
      <xdr:rowOff>0</xdr:rowOff>
    </xdr:from>
    <xdr:ext cx="304800" cy="304800"/>
    <xdr:sp macro="" textlink="">
      <xdr:nvSpPr>
        <xdr:cNvPr id="2539" name="AutoShape 150">
          <a:extLst>
            <a:ext uri="{FF2B5EF4-FFF2-40B4-BE49-F238E27FC236}">
              <a16:creationId xmlns:a16="http://schemas.microsoft.com/office/drawing/2014/main" id="{8AE6A4BB-9248-4DBD-9EE4-6333F4D7F105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9525" cy="9525"/>
    <xdr:pic>
      <xdr:nvPicPr>
        <xdr:cNvPr id="2540" name="Picture 2539">
          <a:extLst>
            <a:ext uri="{FF2B5EF4-FFF2-40B4-BE49-F238E27FC236}">
              <a16:creationId xmlns:a16="http://schemas.microsoft.com/office/drawing/2014/main" id="{7E636C8B-B857-4A0C-95D5-FF81C5DC4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6</xdr:row>
      <xdr:rowOff>0</xdr:rowOff>
    </xdr:from>
    <xdr:ext cx="9525" cy="9525"/>
    <xdr:pic>
      <xdr:nvPicPr>
        <xdr:cNvPr id="2541" name="Picture 2540">
          <a:extLst>
            <a:ext uri="{FF2B5EF4-FFF2-40B4-BE49-F238E27FC236}">
              <a16:creationId xmlns:a16="http://schemas.microsoft.com/office/drawing/2014/main" id="{F3550904-3534-4928-83D0-3D5A021B6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42" name="Picture 2541">
          <a:extLst>
            <a:ext uri="{FF2B5EF4-FFF2-40B4-BE49-F238E27FC236}">
              <a16:creationId xmlns:a16="http://schemas.microsoft.com/office/drawing/2014/main" id="{FCCA41B7-C31F-4DBD-ACFF-4FBD7E63B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6</xdr:row>
      <xdr:rowOff>0</xdr:rowOff>
    </xdr:from>
    <xdr:ext cx="304800" cy="304800"/>
    <xdr:sp macro="" textlink="">
      <xdr:nvSpPr>
        <xdr:cNvPr id="2543" name="AutoShape 154">
          <a:extLst>
            <a:ext uri="{FF2B5EF4-FFF2-40B4-BE49-F238E27FC236}">
              <a16:creationId xmlns:a16="http://schemas.microsoft.com/office/drawing/2014/main" id="{BBE66366-DB43-4B66-B492-3BC6A2C9BD2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26</xdr:row>
      <xdr:rowOff>0</xdr:rowOff>
    </xdr:from>
    <xdr:ext cx="9525" cy="9525"/>
    <xdr:pic>
      <xdr:nvPicPr>
        <xdr:cNvPr id="2544" name="Picture 2543">
          <a:extLst>
            <a:ext uri="{FF2B5EF4-FFF2-40B4-BE49-F238E27FC236}">
              <a16:creationId xmlns:a16="http://schemas.microsoft.com/office/drawing/2014/main" id="{76B8F292-77DE-4976-A86E-1B25E5919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25</xdr:row>
      <xdr:rowOff>0</xdr:rowOff>
    </xdr:from>
    <xdr:ext cx="304800" cy="303440"/>
    <xdr:sp macro="" textlink="">
      <xdr:nvSpPr>
        <xdr:cNvPr id="2545" name="AutoShape 156">
          <a:extLst>
            <a:ext uri="{FF2B5EF4-FFF2-40B4-BE49-F238E27FC236}">
              <a16:creationId xmlns:a16="http://schemas.microsoft.com/office/drawing/2014/main" id="{83A6F240-FBB3-446F-92F4-D2049020754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46" name="Picture 2545">
          <a:extLst>
            <a:ext uri="{FF2B5EF4-FFF2-40B4-BE49-F238E27FC236}">
              <a16:creationId xmlns:a16="http://schemas.microsoft.com/office/drawing/2014/main" id="{837DD8AF-20AA-4C11-B8F5-C92EAFA7A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47" name="Picture 2546">
          <a:extLst>
            <a:ext uri="{FF2B5EF4-FFF2-40B4-BE49-F238E27FC236}">
              <a16:creationId xmlns:a16="http://schemas.microsoft.com/office/drawing/2014/main" id="{5CEF615A-DB6C-4CA1-9503-C2DA8AEF5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548" name="AutoShape 159">
          <a:extLst>
            <a:ext uri="{FF2B5EF4-FFF2-40B4-BE49-F238E27FC236}">
              <a16:creationId xmlns:a16="http://schemas.microsoft.com/office/drawing/2014/main" id="{83E30A5E-AA04-46A6-97D8-9299A7AB228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49" name="Picture 2548">
          <a:extLst>
            <a:ext uri="{FF2B5EF4-FFF2-40B4-BE49-F238E27FC236}">
              <a16:creationId xmlns:a16="http://schemas.microsoft.com/office/drawing/2014/main" id="{1312CF5C-FBEE-405C-94DE-E09840B10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50" name="Picture 2549">
          <a:extLst>
            <a:ext uri="{FF2B5EF4-FFF2-40B4-BE49-F238E27FC236}">
              <a16:creationId xmlns:a16="http://schemas.microsoft.com/office/drawing/2014/main" id="{5C19DBD6-8512-4332-885F-1064C22F9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51" name="Picture 2550">
          <a:extLst>
            <a:ext uri="{FF2B5EF4-FFF2-40B4-BE49-F238E27FC236}">
              <a16:creationId xmlns:a16="http://schemas.microsoft.com/office/drawing/2014/main" id="{79B161BB-27A2-456C-B79A-4DD141B25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52" name="Picture 2551">
          <a:extLst>
            <a:ext uri="{FF2B5EF4-FFF2-40B4-BE49-F238E27FC236}">
              <a16:creationId xmlns:a16="http://schemas.microsoft.com/office/drawing/2014/main" id="{D0BEB4A0-7421-4102-9D13-C6D2F51F0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13</xdr:row>
      <xdr:rowOff>0</xdr:rowOff>
    </xdr:from>
    <xdr:ext cx="9525" cy="9525"/>
    <xdr:pic>
      <xdr:nvPicPr>
        <xdr:cNvPr id="2553" name="Picture 2552">
          <a:extLst>
            <a:ext uri="{FF2B5EF4-FFF2-40B4-BE49-F238E27FC236}">
              <a16:creationId xmlns:a16="http://schemas.microsoft.com/office/drawing/2014/main" id="{AE3B137C-5EB5-45C6-8B2F-4873BFCE2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12</xdr:row>
      <xdr:rowOff>0</xdr:rowOff>
    </xdr:from>
    <xdr:ext cx="304800" cy="303439"/>
    <xdr:sp macro="" textlink="">
      <xdr:nvSpPr>
        <xdr:cNvPr id="2554" name="AutoShape 165">
          <a:extLst>
            <a:ext uri="{FF2B5EF4-FFF2-40B4-BE49-F238E27FC236}">
              <a16:creationId xmlns:a16="http://schemas.microsoft.com/office/drawing/2014/main" id="{DA3EC2B4-C635-40AA-892D-4872E44E4410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55" name="Picture 2554">
          <a:extLst>
            <a:ext uri="{FF2B5EF4-FFF2-40B4-BE49-F238E27FC236}">
              <a16:creationId xmlns:a16="http://schemas.microsoft.com/office/drawing/2014/main" id="{E6C2948F-FE2F-4993-9370-BC517108F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56" name="Picture 2555">
          <a:extLst>
            <a:ext uri="{FF2B5EF4-FFF2-40B4-BE49-F238E27FC236}">
              <a16:creationId xmlns:a16="http://schemas.microsoft.com/office/drawing/2014/main" id="{7604B7E5-3B7D-4ECF-8C20-8261E11B9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3440"/>
    <xdr:sp macro="" textlink="">
      <xdr:nvSpPr>
        <xdr:cNvPr id="2557" name="AutoShape 169">
          <a:extLst>
            <a:ext uri="{FF2B5EF4-FFF2-40B4-BE49-F238E27FC236}">
              <a16:creationId xmlns:a16="http://schemas.microsoft.com/office/drawing/2014/main" id="{DA32D05A-2104-4F60-9C8B-B04805534F2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27</xdr:row>
      <xdr:rowOff>0</xdr:rowOff>
    </xdr:from>
    <xdr:ext cx="9525" cy="9525"/>
    <xdr:pic>
      <xdr:nvPicPr>
        <xdr:cNvPr id="2558" name="Picture 2557">
          <a:extLst>
            <a:ext uri="{FF2B5EF4-FFF2-40B4-BE49-F238E27FC236}">
              <a16:creationId xmlns:a16="http://schemas.microsoft.com/office/drawing/2014/main" id="{C0D84588-D3B8-44DB-A9D0-A7C087F20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26</xdr:row>
      <xdr:rowOff>0</xdr:rowOff>
    </xdr:from>
    <xdr:ext cx="304800" cy="303439"/>
    <xdr:sp macro="" textlink="">
      <xdr:nvSpPr>
        <xdr:cNvPr id="2559" name="AutoShape 171">
          <a:extLst>
            <a:ext uri="{FF2B5EF4-FFF2-40B4-BE49-F238E27FC236}">
              <a16:creationId xmlns:a16="http://schemas.microsoft.com/office/drawing/2014/main" id="{A084C9F8-1577-4097-95C0-7288D4426EE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60" name="Picture 2559">
          <a:extLst>
            <a:ext uri="{FF2B5EF4-FFF2-40B4-BE49-F238E27FC236}">
              <a16:creationId xmlns:a16="http://schemas.microsoft.com/office/drawing/2014/main" id="{2E552303-01C2-4CD1-8FD6-CD39D8330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27</xdr:row>
      <xdr:rowOff>0</xdr:rowOff>
    </xdr:from>
    <xdr:ext cx="304800" cy="303440"/>
    <xdr:sp macro="" textlink="">
      <xdr:nvSpPr>
        <xdr:cNvPr id="2561" name="AutoShape 173">
          <a:extLst>
            <a:ext uri="{FF2B5EF4-FFF2-40B4-BE49-F238E27FC236}">
              <a16:creationId xmlns:a16="http://schemas.microsoft.com/office/drawing/2014/main" id="{10CC9286-669F-401C-80FD-A3C2BC55315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477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62" name="Picture 2561">
          <a:extLst>
            <a:ext uri="{FF2B5EF4-FFF2-40B4-BE49-F238E27FC236}">
              <a16:creationId xmlns:a16="http://schemas.microsoft.com/office/drawing/2014/main" id="{C4AB9FB7-AEDE-44E9-A2ED-BB19EF405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63" name="Picture 2562">
          <a:extLst>
            <a:ext uri="{FF2B5EF4-FFF2-40B4-BE49-F238E27FC236}">
              <a16:creationId xmlns:a16="http://schemas.microsoft.com/office/drawing/2014/main" id="{CCC56FE4-7B94-4171-A006-BDC78BFFE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3</xdr:row>
      <xdr:rowOff>0</xdr:rowOff>
    </xdr:from>
    <xdr:ext cx="9525" cy="9525"/>
    <xdr:pic>
      <xdr:nvPicPr>
        <xdr:cNvPr id="2564" name="Picture 2563">
          <a:extLst>
            <a:ext uri="{FF2B5EF4-FFF2-40B4-BE49-F238E27FC236}">
              <a16:creationId xmlns:a16="http://schemas.microsoft.com/office/drawing/2014/main" id="{79118D22-FD63-4DF4-8902-1C6AFCF48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</xdr:row>
      <xdr:rowOff>0</xdr:rowOff>
    </xdr:from>
    <xdr:ext cx="304800" cy="303439"/>
    <xdr:sp macro="" textlink="">
      <xdr:nvSpPr>
        <xdr:cNvPr id="2565" name="AutoShape 177">
          <a:extLst>
            <a:ext uri="{FF2B5EF4-FFF2-40B4-BE49-F238E27FC236}">
              <a16:creationId xmlns:a16="http://schemas.microsoft.com/office/drawing/2014/main" id="{F29ED97D-DE05-4A87-8999-959DA514719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9525" cy="9525"/>
    <xdr:pic>
      <xdr:nvPicPr>
        <xdr:cNvPr id="2566" name="Picture 2565">
          <a:extLst>
            <a:ext uri="{FF2B5EF4-FFF2-40B4-BE49-F238E27FC236}">
              <a16:creationId xmlns:a16="http://schemas.microsoft.com/office/drawing/2014/main" id="{60B00389-D4B8-48E3-B8EF-F28A2CB1B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9525" cy="9525"/>
    <xdr:pic>
      <xdr:nvPicPr>
        <xdr:cNvPr id="2567" name="Picture 2566">
          <a:extLst>
            <a:ext uri="{FF2B5EF4-FFF2-40B4-BE49-F238E27FC236}">
              <a16:creationId xmlns:a16="http://schemas.microsoft.com/office/drawing/2014/main" id="{1BADC59A-13A1-4225-9B91-06391369F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6</xdr:row>
      <xdr:rowOff>0</xdr:rowOff>
    </xdr:from>
    <xdr:ext cx="9525" cy="9525"/>
    <xdr:pic>
      <xdr:nvPicPr>
        <xdr:cNvPr id="2568" name="Picture 2567">
          <a:extLst>
            <a:ext uri="{FF2B5EF4-FFF2-40B4-BE49-F238E27FC236}">
              <a16:creationId xmlns:a16="http://schemas.microsoft.com/office/drawing/2014/main" id="{5FE2C3B7-5CC5-485B-9578-BE6BB59FC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2569" name="AutoShape 181">
          <a:extLst>
            <a:ext uri="{FF2B5EF4-FFF2-40B4-BE49-F238E27FC236}">
              <a16:creationId xmlns:a16="http://schemas.microsoft.com/office/drawing/2014/main" id="{DDF37CA5-DBBC-4665-BA03-5163F90CDC9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70" name="Picture 2569">
          <a:extLst>
            <a:ext uri="{FF2B5EF4-FFF2-40B4-BE49-F238E27FC236}">
              <a16:creationId xmlns:a16="http://schemas.microsoft.com/office/drawing/2014/main" id="{54FF9628-C70E-4D10-8200-6ADC47A9A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24</xdr:row>
      <xdr:rowOff>0</xdr:rowOff>
    </xdr:from>
    <xdr:ext cx="304800" cy="304800"/>
    <xdr:sp macro="" textlink="">
      <xdr:nvSpPr>
        <xdr:cNvPr id="2571" name="AutoShape 183">
          <a:extLst>
            <a:ext uri="{FF2B5EF4-FFF2-40B4-BE49-F238E27FC236}">
              <a16:creationId xmlns:a16="http://schemas.microsoft.com/office/drawing/2014/main" id="{308FA10C-5E68-439A-BCB8-A60100DD0B4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26</xdr:row>
      <xdr:rowOff>0</xdr:rowOff>
    </xdr:from>
    <xdr:ext cx="9525" cy="9525"/>
    <xdr:pic>
      <xdr:nvPicPr>
        <xdr:cNvPr id="2572" name="Picture 2571">
          <a:extLst>
            <a:ext uri="{FF2B5EF4-FFF2-40B4-BE49-F238E27FC236}">
              <a16:creationId xmlns:a16="http://schemas.microsoft.com/office/drawing/2014/main" id="{764680CF-1F6C-4670-BE02-A6702BB0C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25</xdr:row>
      <xdr:rowOff>0</xdr:rowOff>
    </xdr:from>
    <xdr:ext cx="304800" cy="303440"/>
    <xdr:sp macro="" textlink="">
      <xdr:nvSpPr>
        <xdr:cNvPr id="2573" name="AutoShape 185">
          <a:extLst>
            <a:ext uri="{FF2B5EF4-FFF2-40B4-BE49-F238E27FC236}">
              <a16:creationId xmlns:a16="http://schemas.microsoft.com/office/drawing/2014/main" id="{B0C75069-046A-48F1-85B6-8C59FE125DD0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74" name="Picture 2573">
          <a:extLst>
            <a:ext uri="{FF2B5EF4-FFF2-40B4-BE49-F238E27FC236}">
              <a16:creationId xmlns:a16="http://schemas.microsoft.com/office/drawing/2014/main" id="{8218966A-ED67-4479-983E-56FE5864E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75" name="Picture 2574">
          <a:extLst>
            <a:ext uri="{FF2B5EF4-FFF2-40B4-BE49-F238E27FC236}">
              <a16:creationId xmlns:a16="http://schemas.microsoft.com/office/drawing/2014/main" id="{0E0D2E74-4F80-4382-9C19-CBF1C9729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76" name="Picture 2575">
          <a:extLst>
            <a:ext uri="{FF2B5EF4-FFF2-40B4-BE49-F238E27FC236}">
              <a16:creationId xmlns:a16="http://schemas.microsoft.com/office/drawing/2014/main" id="{DD6DA725-32C9-49E9-9386-D7993862C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77" name="Picture 2576">
          <a:extLst>
            <a:ext uri="{FF2B5EF4-FFF2-40B4-BE49-F238E27FC236}">
              <a16:creationId xmlns:a16="http://schemas.microsoft.com/office/drawing/2014/main" id="{7ED9FC5E-1B51-49BD-A9D8-6D2628F4D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78" name="Picture 2577">
          <a:extLst>
            <a:ext uri="{FF2B5EF4-FFF2-40B4-BE49-F238E27FC236}">
              <a16:creationId xmlns:a16="http://schemas.microsoft.com/office/drawing/2014/main" id="{24CF263E-73BC-4AB1-A93E-EF56C2A1F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579" name="AutoShape 191">
          <a:extLst>
            <a:ext uri="{FF2B5EF4-FFF2-40B4-BE49-F238E27FC236}">
              <a16:creationId xmlns:a16="http://schemas.microsoft.com/office/drawing/2014/main" id="{D1E561D9-D2CA-41E3-8FCD-67F3C964369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80" name="Picture 2579">
          <a:extLst>
            <a:ext uri="{FF2B5EF4-FFF2-40B4-BE49-F238E27FC236}">
              <a16:creationId xmlns:a16="http://schemas.microsoft.com/office/drawing/2014/main" id="{966A3573-BBFB-4356-96B2-686288C45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581" name="AutoShape 193">
          <a:extLst>
            <a:ext uri="{FF2B5EF4-FFF2-40B4-BE49-F238E27FC236}">
              <a16:creationId xmlns:a16="http://schemas.microsoft.com/office/drawing/2014/main" id="{559149DC-F524-4FE8-824C-23C7C25C687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13</xdr:row>
      <xdr:rowOff>0</xdr:rowOff>
    </xdr:from>
    <xdr:ext cx="9525" cy="9525"/>
    <xdr:pic>
      <xdr:nvPicPr>
        <xdr:cNvPr id="2582" name="Picture 2581">
          <a:extLst>
            <a:ext uri="{FF2B5EF4-FFF2-40B4-BE49-F238E27FC236}">
              <a16:creationId xmlns:a16="http://schemas.microsoft.com/office/drawing/2014/main" id="{437139A1-2D7A-45D4-88B1-C7799D7D0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12</xdr:row>
      <xdr:rowOff>0</xdr:rowOff>
    </xdr:from>
    <xdr:ext cx="304800" cy="303439"/>
    <xdr:sp macro="" textlink="">
      <xdr:nvSpPr>
        <xdr:cNvPr id="2583" name="AutoShape 195">
          <a:extLst>
            <a:ext uri="{FF2B5EF4-FFF2-40B4-BE49-F238E27FC236}">
              <a16:creationId xmlns:a16="http://schemas.microsoft.com/office/drawing/2014/main" id="{295BAA3C-FCE8-453F-AD97-A849FB37071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84" name="Picture 2583">
          <a:extLst>
            <a:ext uri="{FF2B5EF4-FFF2-40B4-BE49-F238E27FC236}">
              <a16:creationId xmlns:a16="http://schemas.microsoft.com/office/drawing/2014/main" id="{AEE2E91F-6071-423A-95B4-3A286D2CC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85" name="Picture 2584">
          <a:extLst>
            <a:ext uri="{FF2B5EF4-FFF2-40B4-BE49-F238E27FC236}">
              <a16:creationId xmlns:a16="http://schemas.microsoft.com/office/drawing/2014/main" id="{2F467D70-75F1-4451-B93C-B7711D724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3440"/>
    <xdr:sp macro="" textlink="">
      <xdr:nvSpPr>
        <xdr:cNvPr id="2586" name="AutoShape 199">
          <a:extLst>
            <a:ext uri="{FF2B5EF4-FFF2-40B4-BE49-F238E27FC236}">
              <a16:creationId xmlns:a16="http://schemas.microsoft.com/office/drawing/2014/main" id="{DA75DDAF-67E9-4885-98C2-7E00AA272FF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27</xdr:row>
      <xdr:rowOff>0</xdr:rowOff>
    </xdr:from>
    <xdr:ext cx="9525" cy="9525"/>
    <xdr:pic>
      <xdr:nvPicPr>
        <xdr:cNvPr id="2587" name="Picture 2586">
          <a:extLst>
            <a:ext uri="{FF2B5EF4-FFF2-40B4-BE49-F238E27FC236}">
              <a16:creationId xmlns:a16="http://schemas.microsoft.com/office/drawing/2014/main" id="{C9702C15-4EAF-4F66-AD2F-F3033AD10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88" name="Picture 2587">
          <a:extLst>
            <a:ext uri="{FF2B5EF4-FFF2-40B4-BE49-F238E27FC236}">
              <a16:creationId xmlns:a16="http://schemas.microsoft.com/office/drawing/2014/main" id="{4BF6D263-4407-49AB-BB49-076B7B2B9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3</xdr:row>
      <xdr:rowOff>0</xdr:rowOff>
    </xdr:from>
    <xdr:ext cx="9525" cy="9525"/>
    <xdr:pic>
      <xdr:nvPicPr>
        <xdr:cNvPr id="2589" name="Picture 2588">
          <a:extLst>
            <a:ext uri="{FF2B5EF4-FFF2-40B4-BE49-F238E27FC236}">
              <a16:creationId xmlns:a16="http://schemas.microsoft.com/office/drawing/2014/main" id="{F04F9A8C-7308-444D-A3B7-193ECB03F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</xdr:row>
      <xdr:rowOff>0</xdr:rowOff>
    </xdr:from>
    <xdr:ext cx="304800" cy="303439"/>
    <xdr:sp macro="" textlink="">
      <xdr:nvSpPr>
        <xdr:cNvPr id="2590" name="AutoShape 203">
          <a:extLst>
            <a:ext uri="{FF2B5EF4-FFF2-40B4-BE49-F238E27FC236}">
              <a16:creationId xmlns:a16="http://schemas.microsoft.com/office/drawing/2014/main" id="{449113AB-4906-4246-A0D5-E8462643ED15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9525" cy="9525"/>
    <xdr:pic>
      <xdr:nvPicPr>
        <xdr:cNvPr id="2591" name="Picture 2590">
          <a:extLst>
            <a:ext uri="{FF2B5EF4-FFF2-40B4-BE49-F238E27FC236}">
              <a16:creationId xmlns:a16="http://schemas.microsoft.com/office/drawing/2014/main" id="{994E5969-119B-479C-BD29-A825ACD53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9525" cy="9525"/>
    <xdr:pic>
      <xdr:nvPicPr>
        <xdr:cNvPr id="2592" name="Picture 2591">
          <a:extLst>
            <a:ext uri="{FF2B5EF4-FFF2-40B4-BE49-F238E27FC236}">
              <a16:creationId xmlns:a16="http://schemas.microsoft.com/office/drawing/2014/main" id="{CE25F06F-73F2-4A46-AA81-1D4632F9C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6</xdr:row>
      <xdr:rowOff>0</xdr:rowOff>
    </xdr:from>
    <xdr:ext cx="9525" cy="9525"/>
    <xdr:pic>
      <xdr:nvPicPr>
        <xdr:cNvPr id="2593" name="Picture 2592">
          <a:extLst>
            <a:ext uri="{FF2B5EF4-FFF2-40B4-BE49-F238E27FC236}">
              <a16:creationId xmlns:a16="http://schemas.microsoft.com/office/drawing/2014/main" id="{DCB0A2A1-D59A-4A61-B9FF-38C282CCD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2594" name="AutoShape 207">
          <a:extLst>
            <a:ext uri="{FF2B5EF4-FFF2-40B4-BE49-F238E27FC236}">
              <a16:creationId xmlns:a16="http://schemas.microsoft.com/office/drawing/2014/main" id="{4DCE66A2-9B8B-443B-AE74-608826475CE6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95" name="Picture 2594">
          <a:extLst>
            <a:ext uri="{FF2B5EF4-FFF2-40B4-BE49-F238E27FC236}">
              <a16:creationId xmlns:a16="http://schemas.microsoft.com/office/drawing/2014/main" id="{1A7D67FF-7231-4153-A330-DC08B812B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24</xdr:row>
      <xdr:rowOff>0</xdr:rowOff>
    </xdr:from>
    <xdr:ext cx="304800" cy="304800"/>
    <xdr:sp macro="" textlink="">
      <xdr:nvSpPr>
        <xdr:cNvPr id="2596" name="AutoShape 209">
          <a:extLst>
            <a:ext uri="{FF2B5EF4-FFF2-40B4-BE49-F238E27FC236}">
              <a16:creationId xmlns:a16="http://schemas.microsoft.com/office/drawing/2014/main" id="{EEC54DEF-F653-48BC-8A4E-5F11E71CE84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26</xdr:row>
      <xdr:rowOff>0</xdr:rowOff>
    </xdr:from>
    <xdr:ext cx="9525" cy="9525"/>
    <xdr:pic>
      <xdr:nvPicPr>
        <xdr:cNvPr id="2597" name="Picture 2596">
          <a:extLst>
            <a:ext uri="{FF2B5EF4-FFF2-40B4-BE49-F238E27FC236}">
              <a16:creationId xmlns:a16="http://schemas.microsoft.com/office/drawing/2014/main" id="{9511BDB5-D023-4C54-B1DF-DFB29A8D8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25</xdr:row>
      <xdr:rowOff>0</xdr:rowOff>
    </xdr:from>
    <xdr:ext cx="304800" cy="303440"/>
    <xdr:sp macro="" textlink="">
      <xdr:nvSpPr>
        <xdr:cNvPr id="2598" name="AutoShape 211">
          <a:extLst>
            <a:ext uri="{FF2B5EF4-FFF2-40B4-BE49-F238E27FC236}">
              <a16:creationId xmlns:a16="http://schemas.microsoft.com/office/drawing/2014/main" id="{0F95E8D8-6ECC-4E88-AE44-AD429A6BFAD4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599" name="Picture 2598">
          <a:extLst>
            <a:ext uri="{FF2B5EF4-FFF2-40B4-BE49-F238E27FC236}">
              <a16:creationId xmlns:a16="http://schemas.microsoft.com/office/drawing/2014/main" id="{B11BE3E6-AE64-4A77-A312-42A06008B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00" name="Picture 2599">
          <a:extLst>
            <a:ext uri="{FF2B5EF4-FFF2-40B4-BE49-F238E27FC236}">
              <a16:creationId xmlns:a16="http://schemas.microsoft.com/office/drawing/2014/main" id="{E13F133F-056F-4515-8DB9-A182D0722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01" name="Picture 2600">
          <a:extLst>
            <a:ext uri="{FF2B5EF4-FFF2-40B4-BE49-F238E27FC236}">
              <a16:creationId xmlns:a16="http://schemas.microsoft.com/office/drawing/2014/main" id="{49579CAF-8597-4B5B-B9ED-56C43A81B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02" name="Picture 2601">
          <a:extLst>
            <a:ext uri="{FF2B5EF4-FFF2-40B4-BE49-F238E27FC236}">
              <a16:creationId xmlns:a16="http://schemas.microsoft.com/office/drawing/2014/main" id="{C8F21948-F939-423E-84FB-4719062A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03" name="Picture 2602">
          <a:extLst>
            <a:ext uri="{FF2B5EF4-FFF2-40B4-BE49-F238E27FC236}">
              <a16:creationId xmlns:a16="http://schemas.microsoft.com/office/drawing/2014/main" id="{FB92F9EE-0537-49BA-8261-4D11FD07F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604" name="AutoShape 217">
          <a:extLst>
            <a:ext uri="{FF2B5EF4-FFF2-40B4-BE49-F238E27FC236}">
              <a16:creationId xmlns:a16="http://schemas.microsoft.com/office/drawing/2014/main" id="{2782EBCB-8997-4B92-BFBE-EE19ED3BCC0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05" name="Picture 2604">
          <a:extLst>
            <a:ext uri="{FF2B5EF4-FFF2-40B4-BE49-F238E27FC236}">
              <a16:creationId xmlns:a16="http://schemas.microsoft.com/office/drawing/2014/main" id="{5BA16697-5EA8-42F6-8350-EE98E8926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606" name="AutoShape 219">
          <a:extLst>
            <a:ext uri="{FF2B5EF4-FFF2-40B4-BE49-F238E27FC236}">
              <a16:creationId xmlns:a16="http://schemas.microsoft.com/office/drawing/2014/main" id="{0644C698-B154-421B-8C05-643EF78CA57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13</xdr:row>
      <xdr:rowOff>0</xdr:rowOff>
    </xdr:from>
    <xdr:ext cx="9525" cy="9525"/>
    <xdr:pic>
      <xdr:nvPicPr>
        <xdr:cNvPr id="2607" name="Picture 2606">
          <a:extLst>
            <a:ext uri="{FF2B5EF4-FFF2-40B4-BE49-F238E27FC236}">
              <a16:creationId xmlns:a16="http://schemas.microsoft.com/office/drawing/2014/main" id="{C84735F6-485C-4C82-9112-D6A2F952B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12</xdr:row>
      <xdr:rowOff>0</xdr:rowOff>
    </xdr:from>
    <xdr:ext cx="304800" cy="303439"/>
    <xdr:sp macro="" textlink="">
      <xdr:nvSpPr>
        <xdr:cNvPr id="2608" name="AutoShape 221">
          <a:extLst>
            <a:ext uri="{FF2B5EF4-FFF2-40B4-BE49-F238E27FC236}">
              <a16:creationId xmlns:a16="http://schemas.microsoft.com/office/drawing/2014/main" id="{B60DCD22-EA24-4CB0-9936-5B422DCF485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09" name="Picture 2608">
          <a:extLst>
            <a:ext uri="{FF2B5EF4-FFF2-40B4-BE49-F238E27FC236}">
              <a16:creationId xmlns:a16="http://schemas.microsoft.com/office/drawing/2014/main" id="{5395AA90-DD7D-45A9-97BE-DB4FF3352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13</xdr:row>
      <xdr:rowOff>0</xdr:rowOff>
    </xdr:from>
    <xdr:ext cx="304800" cy="304800"/>
    <xdr:sp macro="" textlink="">
      <xdr:nvSpPr>
        <xdr:cNvPr id="2610" name="AutoShape 223">
          <a:extLst>
            <a:ext uri="{FF2B5EF4-FFF2-40B4-BE49-F238E27FC236}">
              <a16:creationId xmlns:a16="http://schemas.microsoft.com/office/drawing/2014/main" id="{03574123-4B67-4479-AC32-7C20D26C80C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11" name="Picture 2610">
          <a:extLst>
            <a:ext uri="{FF2B5EF4-FFF2-40B4-BE49-F238E27FC236}">
              <a16:creationId xmlns:a16="http://schemas.microsoft.com/office/drawing/2014/main" id="{0A73C0D4-F810-4F5A-A5B2-AC8E3488F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27</xdr:row>
      <xdr:rowOff>0</xdr:rowOff>
    </xdr:from>
    <xdr:ext cx="9525" cy="9525"/>
    <xdr:pic>
      <xdr:nvPicPr>
        <xdr:cNvPr id="2612" name="Picture 2611">
          <a:extLst>
            <a:ext uri="{FF2B5EF4-FFF2-40B4-BE49-F238E27FC236}">
              <a16:creationId xmlns:a16="http://schemas.microsoft.com/office/drawing/2014/main" id="{E3A38813-7693-478F-A3F0-90CF80136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3</xdr:row>
      <xdr:rowOff>0</xdr:rowOff>
    </xdr:from>
    <xdr:ext cx="9525" cy="9525"/>
    <xdr:pic>
      <xdr:nvPicPr>
        <xdr:cNvPr id="2613" name="Picture 2612">
          <a:extLst>
            <a:ext uri="{FF2B5EF4-FFF2-40B4-BE49-F238E27FC236}">
              <a16:creationId xmlns:a16="http://schemas.microsoft.com/office/drawing/2014/main" id="{D4955F44-E5DF-4EE6-8583-57AA2DB3B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</xdr:row>
      <xdr:rowOff>0</xdr:rowOff>
    </xdr:from>
    <xdr:ext cx="304800" cy="303439"/>
    <xdr:sp macro="" textlink="">
      <xdr:nvSpPr>
        <xdr:cNvPr id="2614" name="AutoShape 227">
          <a:extLst>
            <a:ext uri="{FF2B5EF4-FFF2-40B4-BE49-F238E27FC236}">
              <a16:creationId xmlns:a16="http://schemas.microsoft.com/office/drawing/2014/main" id="{C89CF7CE-BA3C-4D8E-9B60-DB31C51BD2AF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9525" cy="9525"/>
    <xdr:pic>
      <xdr:nvPicPr>
        <xdr:cNvPr id="2615" name="Picture 2614">
          <a:extLst>
            <a:ext uri="{FF2B5EF4-FFF2-40B4-BE49-F238E27FC236}">
              <a16:creationId xmlns:a16="http://schemas.microsoft.com/office/drawing/2014/main" id="{9C14A386-7038-4B02-8F02-3F8F02A18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9525" cy="9525"/>
    <xdr:pic>
      <xdr:nvPicPr>
        <xdr:cNvPr id="2616" name="Picture 2615">
          <a:extLst>
            <a:ext uri="{FF2B5EF4-FFF2-40B4-BE49-F238E27FC236}">
              <a16:creationId xmlns:a16="http://schemas.microsoft.com/office/drawing/2014/main" id="{6E700A62-1970-4D33-A8E3-9639D508A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6</xdr:row>
      <xdr:rowOff>0</xdr:rowOff>
    </xdr:from>
    <xdr:ext cx="9525" cy="9525"/>
    <xdr:pic>
      <xdr:nvPicPr>
        <xdr:cNvPr id="2617" name="Picture 2616">
          <a:extLst>
            <a:ext uri="{FF2B5EF4-FFF2-40B4-BE49-F238E27FC236}">
              <a16:creationId xmlns:a16="http://schemas.microsoft.com/office/drawing/2014/main" id="{DC1E32D6-8E77-433F-96C7-BFF850891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2618" name="AutoShape 231">
          <a:extLst>
            <a:ext uri="{FF2B5EF4-FFF2-40B4-BE49-F238E27FC236}">
              <a16:creationId xmlns:a16="http://schemas.microsoft.com/office/drawing/2014/main" id="{EF2A8087-2AC6-4098-A635-F5175FA4C10B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19" name="Picture 2618">
          <a:extLst>
            <a:ext uri="{FF2B5EF4-FFF2-40B4-BE49-F238E27FC236}">
              <a16:creationId xmlns:a16="http://schemas.microsoft.com/office/drawing/2014/main" id="{31493B35-FB7F-4BE0-970F-9C7769895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24</xdr:row>
      <xdr:rowOff>0</xdr:rowOff>
    </xdr:from>
    <xdr:ext cx="304800" cy="304800"/>
    <xdr:sp macro="" textlink="">
      <xdr:nvSpPr>
        <xdr:cNvPr id="2620" name="AutoShape 233">
          <a:extLst>
            <a:ext uri="{FF2B5EF4-FFF2-40B4-BE49-F238E27FC236}">
              <a16:creationId xmlns:a16="http://schemas.microsoft.com/office/drawing/2014/main" id="{C853C485-D496-4559-9698-98771B35346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26</xdr:row>
      <xdr:rowOff>0</xdr:rowOff>
    </xdr:from>
    <xdr:ext cx="9525" cy="9525"/>
    <xdr:pic>
      <xdr:nvPicPr>
        <xdr:cNvPr id="2621" name="Picture 2620">
          <a:extLst>
            <a:ext uri="{FF2B5EF4-FFF2-40B4-BE49-F238E27FC236}">
              <a16:creationId xmlns:a16="http://schemas.microsoft.com/office/drawing/2014/main" id="{245A463D-1D97-4529-8C31-83B609DF2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25</xdr:row>
      <xdr:rowOff>0</xdr:rowOff>
    </xdr:from>
    <xdr:ext cx="304800" cy="303440"/>
    <xdr:sp macro="" textlink="">
      <xdr:nvSpPr>
        <xdr:cNvPr id="2622" name="AutoShape 235">
          <a:extLst>
            <a:ext uri="{FF2B5EF4-FFF2-40B4-BE49-F238E27FC236}">
              <a16:creationId xmlns:a16="http://schemas.microsoft.com/office/drawing/2014/main" id="{960972D4-72DD-4C9E-BFE0-68B26663703B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23" name="Picture 2622">
          <a:extLst>
            <a:ext uri="{FF2B5EF4-FFF2-40B4-BE49-F238E27FC236}">
              <a16:creationId xmlns:a16="http://schemas.microsoft.com/office/drawing/2014/main" id="{71B98461-965B-483A-A3C1-C2511A822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24" name="Picture 2623">
          <a:extLst>
            <a:ext uri="{FF2B5EF4-FFF2-40B4-BE49-F238E27FC236}">
              <a16:creationId xmlns:a16="http://schemas.microsoft.com/office/drawing/2014/main" id="{BB7604C3-3FE6-45ED-A328-FA318F087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25" name="Picture 2624">
          <a:extLst>
            <a:ext uri="{FF2B5EF4-FFF2-40B4-BE49-F238E27FC236}">
              <a16:creationId xmlns:a16="http://schemas.microsoft.com/office/drawing/2014/main" id="{89D89628-B494-4F7D-B587-53DABE0B1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26" name="Picture 2625">
          <a:extLst>
            <a:ext uri="{FF2B5EF4-FFF2-40B4-BE49-F238E27FC236}">
              <a16:creationId xmlns:a16="http://schemas.microsoft.com/office/drawing/2014/main" id="{579FEDCA-9634-4416-95EF-014E80CFA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27" name="Picture 2626">
          <a:extLst>
            <a:ext uri="{FF2B5EF4-FFF2-40B4-BE49-F238E27FC236}">
              <a16:creationId xmlns:a16="http://schemas.microsoft.com/office/drawing/2014/main" id="{AF30AA6B-3DDD-474F-97BE-5634554AC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628" name="AutoShape 241">
          <a:extLst>
            <a:ext uri="{FF2B5EF4-FFF2-40B4-BE49-F238E27FC236}">
              <a16:creationId xmlns:a16="http://schemas.microsoft.com/office/drawing/2014/main" id="{601049B2-8D2D-4A6F-BD43-F28A13978507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29" name="Picture 2628">
          <a:extLst>
            <a:ext uri="{FF2B5EF4-FFF2-40B4-BE49-F238E27FC236}">
              <a16:creationId xmlns:a16="http://schemas.microsoft.com/office/drawing/2014/main" id="{6A328C1C-AE3F-4EDF-B6E2-15D8AB539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630" name="AutoShape 243">
          <a:extLst>
            <a:ext uri="{FF2B5EF4-FFF2-40B4-BE49-F238E27FC236}">
              <a16:creationId xmlns:a16="http://schemas.microsoft.com/office/drawing/2014/main" id="{AB7E3F8C-2D59-43AD-9B54-FB6C756AF8A6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13</xdr:row>
      <xdr:rowOff>0</xdr:rowOff>
    </xdr:from>
    <xdr:ext cx="9525" cy="9525"/>
    <xdr:pic>
      <xdr:nvPicPr>
        <xdr:cNvPr id="2631" name="Picture 2630">
          <a:extLst>
            <a:ext uri="{FF2B5EF4-FFF2-40B4-BE49-F238E27FC236}">
              <a16:creationId xmlns:a16="http://schemas.microsoft.com/office/drawing/2014/main" id="{C4053DCD-2CB7-4171-870C-20082D143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12</xdr:row>
      <xdr:rowOff>0</xdr:rowOff>
    </xdr:from>
    <xdr:ext cx="304800" cy="303439"/>
    <xdr:sp macro="" textlink="">
      <xdr:nvSpPr>
        <xdr:cNvPr id="2632" name="AutoShape 245">
          <a:extLst>
            <a:ext uri="{FF2B5EF4-FFF2-40B4-BE49-F238E27FC236}">
              <a16:creationId xmlns:a16="http://schemas.microsoft.com/office/drawing/2014/main" id="{E46FB769-1B6B-4497-B4B4-E5C9F2F56E0A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33" name="Picture 2632">
          <a:extLst>
            <a:ext uri="{FF2B5EF4-FFF2-40B4-BE49-F238E27FC236}">
              <a16:creationId xmlns:a16="http://schemas.microsoft.com/office/drawing/2014/main" id="{2709C2FF-E2CC-449E-8EF6-77A44211D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13</xdr:row>
      <xdr:rowOff>0</xdr:rowOff>
    </xdr:from>
    <xdr:ext cx="304800" cy="304800"/>
    <xdr:sp macro="" textlink="">
      <xdr:nvSpPr>
        <xdr:cNvPr id="2634" name="AutoShape 247">
          <a:extLst>
            <a:ext uri="{FF2B5EF4-FFF2-40B4-BE49-F238E27FC236}">
              <a16:creationId xmlns:a16="http://schemas.microsoft.com/office/drawing/2014/main" id="{396F8525-0AC3-4323-84FB-808B27B2D52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35" name="Picture 2634">
          <a:extLst>
            <a:ext uri="{FF2B5EF4-FFF2-40B4-BE49-F238E27FC236}">
              <a16:creationId xmlns:a16="http://schemas.microsoft.com/office/drawing/2014/main" id="{35F452B2-E3C6-43C5-9F61-DFCD23D45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3440"/>
    <xdr:sp macro="" textlink="">
      <xdr:nvSpPr>
        <xdr:cNvPr id="2636" name="AutoShape 249">
          <a:extLst>
            <a:ext uri="{FF2B5EF4-FFF2-40B4-BE49-F238E27FC236}">
              <a16:creationId xmlns:a16="http://schemas.microsoft.com/office/drawing/2014/main" id="{2F718347-9225-40E5-A7E2-CCEF21169F4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27</xdr:row>
      <xdr:rowOff>0</xdr:rowOff>
    </xdr:from>
    <xdr:ext cx="9525" cy="9525"/>
    <xdr:pic>
      <xdr:nvPicPr>
        <xdr:cNvPr id="2637" name="Picture 2636">
          <a:extLst>
            <a:ext uri="{FF2B5EF4-FFF2-40B4-BE49-F238E27FC236}">
              <a16:creationId xmlns:a16="http://schemas.microsoft.com/office/drawing/2014/main" id="{7C3EE2E8-B4E4-487C-AB26-631383F59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38" name="Picture 2637">
          <a:extLst>
            <a:ext uri="{FF2B5EF4-FFF2-40B4-BE49-F238E27FC236}">
              <a16:creationId xmlns:a16="http://schemas.microsoft.com/office/drawing/2014/main" id="{A039CB7E-D722-44E6-AB02-064F017D7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3</xdr:row>
      <xdr:rowOff>0</xdr:rowOff>
    </xdr:from>
    <xdr:ext cx="9525" cy="9525"/>
    <xdr:pic>
      <xdr:nvPicPr>
        <xdr:cNvPr id="2639" name="Picture 2638">
          <a:extLst>
            <a:ext uri="{FF2B5EF4-FFF2-40B4-BE49-F238E27FC236}">
              <a16:creationId xmlns:a16="http://schemas.microsoft.com/office/drawing/2014/main" id="{E3D6E397-82AA-46D7-BC20-CB3C4C009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</xdr:row>
      <xdr:rowOff>0</xdr:rowOff>
    </xdr:from>
    <xdr:ext cx="304800" cy="303439"/>
    <xdr:sp macro="" textlink="">
      <xdr:nvSpPr>
        <xdr:cNvPr id="2640" name="AutoShape 253">
          <a:extLst>
            <a:ext uri="{FF2B5EF4-FFF2-40B4-BE49-F238E27FC236}">
              <a16:creationId xmlns:a16="http://schemas.microsoft.com/office/drawing/2014/main" id="{1548CF3E-CFF4-418A-85B5-AF572355105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9525" cy="9525"/>
    <xdr:pic>
      <xdr:nvPicPr>
        <xdr:cNvPr id="2641" name="Picture 2640">
          <a:extLst>
            <a:ext uri="{FF2B5EF4-FFF2-40B4-BE49-F238E27FC236}">
              <a16:creationId xmlns:a16="http://schemas.microsoft.com/office/drawing/2014/main" id="{B3173766-1935-456E-AEC7-8D9A0CECA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9525" cy="9525"/>
    <xdr:pic>
      <xdr:nvPicPr>
        <xdr:cNvPr id="2642" name="Picture 2641">
          <a:extLst>
            <a:ext uri="{FF2B5EF4-FFF2-40B4-BE49-F238E27FC236}">
              <a16:creationId xmlns:a16="http://schemas.microsoft.com/office/drawing/2014/main" id="{377E024A-DC56-43BE-A4D0-045425DE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6</xdr:row>
      <xdr:rowOff>0</xdr:rowOff>
    </xdr:from>
    <xdr:ext cx="9525" cy="9525"/>
    <xdr:pic>
      <xdr:nvPicPr>
        <xdr:cNvPr id="2643" name="Picture 2642">
          <a:extLst>
            <a:ext uri="{FF2B5EF4-FFF2-40B4-BE49-F238E27FC236}">
              <a16:creationId xmlns:a16="http://schemas.microsoft.com/office/drawing/2014/main" id="{F1E76C3F-AA4E-4E50-9E59-6506BEC05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2644" name="AutoShape 257">
          <a:extLst>
            <a:ext uri="{FF2B5EF4-FFF2-40B4-BE49-F238E27FC236}">
              <a16:creationId xmlns:a16="http://schemas.microsoft.com/office/drawing/2014/main" id="{17AE53F5-4C98-4CBB-B24E-95527406227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45" name="Picture 2644">
          <a:extLst>
            <a:ext uri="{FF2B5EF4-FFF2-40B4-BE49-F238E27FC236}">
              <a16:creationId xmlns:a16="http://schemas.microsoft.com/office/drawing/2014/main" id="{C50A1984-B719-4C3B-B904-CF13FB522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24</xdr:row>
      <xdr:rowOff>0</xdr:rowOff>
    </xdr:from>
    <xdr:ext cx="304800" cy="304800"/>
    <xdr:sp macro="" textlink="">
      <xdr:nvSpPr>
        <xdr:cNvPr id="2646" name="AutoShape 259">
          <a:extLst>
            <a:ext uri="{FF2B5EF4-FFF2-40B4-BE49-F238E27FC236}">
              <a16:creationId xmlns:a16="http://schemas.microsoft.com/office/drawing/2014/main" id="{0FD5007E-CBAF-4480-932E-7C9FD04FA500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26</xdr:row>
      <xdr:rowOff>0</xdr:rowOff>
    </xdr:from>
    <xdr:ext cx="9525" cy="9525"/>
    <xdr:pic>
      <xdr:nvPicPr>
        <xdr:cNvPr id="2647" name="Picture 2646">
          <a:extLst>
            <a:ext uri="{FF2B5EF4-FFF2-40B4-BE49-F238E27FC236}">
              <a16:creationId xmlns:a16="http://schemas.microsoft.com/office/drawing/2014/main" id="{E4FED6A0-D19C-49E1-983B-FD411C0D6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25</xdr:row>
      <xdr:rowOff>0</xdr:rowOff>
    </xdr:from>
    <xdr:ext cx="304800" cy="303440"/>
    <xdr:sp macro="" textlink="">
      <xdr:nvSpPr>
        <xdr:cNvPr id="2648" name="AutoShape 261">
          <a:extLst>
            <a:ext uri="{FF2B5EF4-FFF2-40B4-BE49-F238E27FC236}">
              <a16:creationId xmlns:a16="http://schemas.microsoft.com/office/drawing/2014/main" id="{F100EBC7-A14A-487E-B119-344A84A2A78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49" name="Picture 2648">
          <a:extLst>
            <a:ext uri="{FF2B5EF4-FFF2-40B4-BE49-F238E27FC236}">
              <a16:creationId xmlns:a16="http://schemas.microsoft.com/office/drawing/2014/main" id="{6B8F574C-70B8-4FEF-992D-6953DBB2E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50" name="Picture 2649">
          <a:extLst>
            <a:ext uri="{FF2B5EF4-FFF2-40B4-BE49-F238E27FC236}">
              <a16:creationId xmlns:a16="http://schemas.microsoft.com/office/drawing/2014/main" id="{071EB69E-F220-4951-8ADC-6CA3A596A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51" name="Picture 2650">
          <a:extLst>
            <a:ext uri="{FF2B5EF4-FFF2-40B4-BE49-F238E27FC236}">
              <a16:creationId xmlns:a16="http://schemas.microsoft.com/office/drawing/2014/main" id="{53ED618C-5B7F-42E4-988F-7A3DB77C4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52" name="Picture 2651">
          <a:extLst>
            <a:ext uri="{FF2B5EF4-FFF2-40B4-BE49-F238E27FC236}">
              <a16:creationId xmlns:a16="http://schemas.microsoft.com/office/drawing/2014/main" id="{C22AD712-2B5B-4F68-B9BF-19ABF21B5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53" name="Picture 2652">
          <a:extLst>
            <a:ext uri="{FF2B5EF4-FFF2-40B4-BE49-F238E27FC236}">
              <a16:creationId xmlns:a16="http://schemas.microsoft.com/office/drawing/2014/main" id="{D0C9580E-0330-426D-B406-59630F9A8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654" name="AutoShape 267">
          <a:extLst>
            <a:ext uri="{FF2B5EF4-FFF2-40B4-BE49-F238E27FC236}">
              <a16:creationId xmlns:a16="http://schemas.microsoft.com/office/drawing/2014/main" id="{B2E2A0EC-1260-4AF8-AD41-8CD5ED20EFD4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55" name="Picture 2654">
          <a:extLst>
            <a:ext uri="{FF2B5EF4-FFF2-40B4-BE49-F238E27FC236}">
              <a16:creationId xmlns:a16="http://schemas.microsoft.com/office/drawing/2014/main" id="{DA1BB2DF-A7E9-4055-A108-39245B2C2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656" name="AutoShape 269">
          <a:extLst>
            <a:ext uri="{FF2B5EF4-FFF2-40B4-BE49-F238E27FC236}">
              <a16:creationId xmlns:a16="http://schemas.microsoft.com/office/drawing/2014/main" id="{057A460F-EA3D-4FED-B520-0AC9BD5F932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13</xdr:row>
      <xdr:rowOff>0</xdr:rowOff>
    </xdr:from>
    <xdr:ext cx="9525" cy="9525"/>
    <xdr:pic>
      <xdr:nvPicPr>
        <xdr:cNvPr id="2657" name="Picture 2656">
          <a:extLst>
            <a:ext uri="{FF2B5EF4-FFF2-40B4-BE49-F238E27FC236}">
              <a16:creationId xmlns:a16="http://schemas.microsoft.com/office/drawing/2014/main" id="{8BA17BCE-1897-46C6-AA56-A1FC23CB9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12</xdr:row>
      <xdr:rowOff>0</xdr:rowOff>
    </xdr:from>
    <xdr:ext cx="304800" cy="303439"/>
    <xdr:sp macro="" textlink="">
      <xdr:nvSpPr>
        <xdr:cNvPr id="2658" name="AutoShape 271">
          <a:extLst>
            <a:ext uri="{FF2B5EF4-FFF2-40B4-BE49-F238E27FC236}">
              <a16:creationId xmlns:a16="http://schemas.microsoft.com/office/drawing/2014/main" id="{5DC6A15F-7E24-4AC8-86AC-FF11C5C815EE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59" name="Picture 2658">
          <a:extLst>
            <a:ext uri="{FF2B5EF4-FFF2-40B4-BE49-F238E27FC236}">
              <a16:creationId xmlns:a16="http://schemas.microsoft.com/office/drawing/2014/main" id="{EA49B3E4-A956-4E73-B08C-799E261DD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13</xdr:row>
      <xdr:rowOff>0</xdr:rowOff>
    </xdr:from>
    <xdr:ext cx="304800" cy="304800"/>
    <xdr:sp macro="" textlink="">
      <xdr:nvSpPr>
        <xdr:cNvPr id="2660" name="AutoShape 273">
          <a:extLst>
            <a:ext uri="{FF2B5EF4-FFF2-40B4-BE49-F238E27FC236}">
              <a16:creationId xmlns:a16="http://schemas.microsoft.com/office/drawing/2014/main" id="{6BC39FED-82FA-4379-879E-85DA1E0893B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61" name="Picture 2660">
          <a:extLst>
            <a:ext uri="{FF2B5EF4-FFF2-40B4-BE49-F238E27FC236}">
              <a16:creationId xmlns:a16="http://schemas.microsoft.com/office/drawing/2014/main" id="{1C725FC7-73F1-44AB-94F4-DF1D11A00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3440"/>
    <xdr:sp macro="" textlink="">
      <xdr:nvSpPr>
        <xdr:cNvPr id="2662" name="AutoShape 275">
          <a:extLst>
            <a:ext uri="{FF2B5EF4-FFF2-40B4-BE49-F238E27FC236}">
              <a16:creationId xmlns:a16="http://schemas.microsoft.com/office/drawing/2014/main" id="{D3C9C640-84A6-4C52-9CEA-DEB74307AD2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27</xdr:row>
      <xdr:rowOff>0</xdr:rowOff>
    </xdr:from>
    <xdr:ext cx="9525" cy="9525"/>
    <xdr:pic>
      <xdr:nvPicPr>
        <xdr:cNvPr id="2663" name="Picture 2662">
          <a:extLst>
            <a:ext uri="{FF2B5EF4-FFF2-40B4-BE49-F238E27FC236}">
              <a16:creationId xmlns:a16="http://schemas.microsoft.com/office/drawing/2014/main" id="{57458B6F-79C1-43BC-8686-D1E192A88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64" name="Picture 2663">
          <a:extLst>
            <a:ext uri="{FF2B5EF4-FFF2-40B4-BE49-F238E27FC236}">
              <a16:creationId xmlns:a16="http://schemas.microsoft.com/office/drawing/2014/main" id="{0CF4357C-86E5-4A4F-A0F7-3D87EBF7A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3</xdr:row>
      <xdr:rowOff>0</xdr:rowOff>
    </xdr:from>
    <xdr:ext cx="9525" cy="9525"/>
    <xdr:pic>
      <xdr:nvPicPr>
        <xdr:cNvPr id="2665" name="Picture 2664">
          <a:extLst>
            <a:ext uri="{FF2B5EF4-FFF2-40B4-BE49-F238E27FC236}">
              <a16:creationId xmlns:a16="http://schemas.microsoft.com/office/drawing/2014/main" id="{20B44C08-A569-4928-BE5A-CEAC958AF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</xdr:row>
      <xdr:rowOff>0</xdr:rowOff>
    </xdr:from>
    <xdr:ext cx="304800" cy="303439"/>
    <xdr:sp macro="" textlink="">
      <xdr:nvSpPr>
        <xdr:cNvPr id="2666" name="AutoShape 305">
          <a:extLst>
            <a:ext uri="{FF2B5EF4-FFF2-40B4-BE49-F238E27FC236}">
              <a16:creationId xmlns:a16="http://schemas.microsoft.com/office/drawing/2014/main" id="{4DB305F6-1A3B-4512-9404-03F22998B05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9525" cy="9525"/>
    <xdr:pic>
      <xdr:nvPicPr>
        <xdr:cNvPr id="2667" name="Picture 2666">
          <a:extLst>
            <a:ext uri="{FF2B5EF4-FFF2-40B4-BE49-F238E27FC236}">
              <a16:creationId xmlns:a16="http://schemas.microsoft.com/office/drawing/2014/main" id="{2763CCF5-405F-44A4-8184-D76CA243E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9525" cy="9525"/>
    <xdr:pic>
      <xdr:nvPicPr>
        <xdr:cNvPr id="2668" name="Picture 2667">
          <a:extLst>
            <a:ext uri="{FF2B5EF4-FFF2-40B4-BE49-F238E27FC236}">
              <a16:creationId xmlns:a16="http://schemas.microsoft.com/office/drawing/2014/main" id="{AAD85837-E806-4125-BDC8-D8800914C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6</xdr:row>
      <xdr:rowOff>0</xdr:rowOff>
    </xdr:from>
    <xdr:ext cx="9525" cy="9525"/>
    <xdr:pic>
      <xdr:nvPicPr>
        <xdr:cNvPr id="2669" name="Picture 2668">
          <a:extLst>
            <a:ext uri="{FF2B5EF4-FFF2-40B4-BE49-F238E27FC236}">
              <a16:creationId xmlns:a16="http://schemas.microsoft.com/office/drawing/2014/main" id="{4EF34787-954F-440D-B1CA-3636967FB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2670" name="AutoShape 309">
          <a:extLst>
            <a:ext uri="{FF2B5EF4-FFF2-40B4-BE49-F238E27FC236}">
              <a16:creationId xmlns:a16="http://schemas.microsoft.com/office/drawing/2014/main" id="{5C99BB7A-2E07-4577-BCEE-6B2C23228FD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71" name="Picture 2670">
          <a:extLst>
            <a:ext uri="{FF2B5EF4-FFF2-40B4-BE49-F238E27FC236}">
              <a16:creationId xmlns:a16="http://schemas.microsoft.com/office/drawing/2014/main" id="{A0366AA1-0A1D-4F6B-9CBB-9ACB2BA4C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24</xdr:row>
      <xdr:rowOff>0</xdr:rowOff>
    </xdr:from>
    <xdr:ext cx="304800" cy="304800"/>
    <xdr:sp macro="" textlink="">
      <xdr:nvSpPr>
        <xdr:cNvPr id="2672" name="AutoShape 311">
          <a:extLst>
            <a:ext uri="{FF2B5EF4-FFF2-40B4-BE49-F238E27FC236}">
              <a16:creationId xmlns:a16="http://schemas.microsoft.com/office/drawing/2014/main" id="{1C0164D6-B559-482E-BF6E-857FE8AB525F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26</xdr:row>
      <xdr:rowOff>0</xdr:rowOff>
    </xdr:from>
    <xdr:ext cx="9525" cy="9525"/>
    <xdr:pic>
      <xdr:nvPicPr>
        <xdr:cNvPr id="2673" name="Picture 2672">
          <a:extLst>
            <a:ext uri="{FF2B5EF4-FFF2-40B4-BE49-F238E27FC236}">
              <a16:creationId xmlns:a16="http://schemas.microsoft.com/office/drawing/2014/main" id="{1AE2209D-D7C3-4E6C-B507-B24C4DFEE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25</xdr:row>
      <xdr:rowOff>0</xdr:rowOff>
    </xdr:from>
    <xdr:ext cx="304800" cy="303440"/>
    <xdr:sp macro="" textlink="">
      <xdr:nvSpPr>
        <xdr:cNvPr id="2674" name="AutoShape 313">
          <a:extLst>
            <a:ext uri="{FF2B5EF4-FFF2-40B4-BE49-F238E27FC236}">
              <a16:creationId xmlns:a16="http://schemas.microsoft.com/office/drawing/2014/main" id="{532EA491-AA77-4CC4-8DEE-E7E3B7B6E97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75" name="Picture 2674">
          <a:extLst>
            <a:ext uri="{FF2B5EF4-FFF2-40B4-BE49-F238E27FC236}">
              <a16:creationId xmlns:a16="http://schemas.microsoft.com/office/drawing/2014/main" id="{B2E112F5-5789-487B-B192-300912F7B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76" name="Picture 2675">
          <a:extLst>
            <a:ext uri="{FF2B5EF4-FFF2-40B4-BE49-F238E27FC236}">
              <a16:creationId xmlns:a16="http://schemas.microsoft.com/office/drawing/2014/main" id="{DBED019A-443E-4DD0-84CB-76EA10D3D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77" name="Picture 2676">
          <a:extLst>
            <a:ext uri="{FF2B5EF4-FFF2-40B4-BE49-F238E27FC236}">
              <a16:creationId xmlns:a16="http://schemas.microsoft.com/office/drawing/2014/main" id="{8C52729C-4171-40C0-9EB0-783FBCD2A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78" name="Picture 2677">
          <a:extLst>
            <a:ext uri="{FF2B5EF4-FFF2-40B4-BE49-F238E27FC236}">
              <a16:creationId xmlns:a16="http://schemas.microsoft.com/office/drawing/2014/main" id="{E69B6602-2784-49A5-B6D9-15D4799FC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79" name="Picture 2678">
          <a:extLst>
            <a:ext uri="{FF2B5EF4-FFF2-40B4-BE49-F238E27FC236}">
              <a16:creationId xmlns:a16="http://schemas.microsoft.com/office/drawing/2014/main" id="{4E8DAD2D-D41C-47E4-A8A5-4D83F40BB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680" name="AutoShape 319">
          <a:extLst>
            <a:ext uri="{FF2B5EF4-FFF2-40B4-BE49-F238E27FC236}">
              <a16:creationId xmlns:a16="http://schemas.microsoft.com/office/drawing/2014/main" id="{FF76503F-FC43-420B-AFF6-A774397A989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81" name="Picture 2680">
          <a:extLst>
            <a:ext uri="{FF2B5EF4-FFF2-40B4-BE49-F238E27FC236}">
              <a16:creationId xmlns:a16="http://schemas.microsoft.com/office/drawing/2014/main" id="{2F4726D9-26EE-4EAB-96A5-FB6C8252B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682" name="AutoShape 321">
          <a:extLst>
            <a:ext uri="{FF2B5EF4-FFF2-40B4-BE49-F238E27FC236}">
              <a16:creationId xmlns:a16="http://schemas.microsoft.com/office/drawing/2014/main" id="{D3A9E508-25A4-4F25-A20D-306CFF39421E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13</xdr:row>
      <xdr:rowOff>0</xdr:rowOff>
    </xdr:from>
    <xdr:ext cx="9525" cy="9525"/>
    <xdr:pic>
      <xdr:nvPicPr>
        <xdr:cNvPr id="2683" name="Picture 2682">
          <a:extLst>
            <a:ext uri="{FF2B5EF4-FFF2-40B4-BE49-F238E27FC236}">
              <a16:creationId xmlns:a16="http://schemas.microsoft.com/office/drawing/2014/main" id="{ECF48D23-E00B-41E4-8E15-EE4C0C773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12</xdr:row>
      <xdr:rowOff>0</xdr:rowOff>
    </xdr:from>
    <xdr:ext cx="304800" cy="303439"/>
    <xdr:sp macro="" textlink="">
      <xdr:nvSpPr>
        <xdr:cNvPr id="2684" name="AutoShape 323">
          <a:extLst>
            <a:ext uri="{FF2B5EF4-FFF2-40B4-BE49-F238E27FC236}">
              <a16:creationId xmlns:a16="http://schemas.microsoft.com/office/drawing/2014/main" id="{1DABD920-D298-4DC3-BAEE-16BE3E36F2E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85" name="Picture 2684">
          <a:extLst>
            <a:ext uri="{FF2B5EF4-FFF2-40B4-BE49-F238E27FC236}">
              <a16:creationId xmlns:a16="http://schemas.microsoft.com/office/drawing/2014/main" id="{5A348585-4983-4A9D-9A96-0D18708CF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13</xdr:row>
      <xdr:rowOff>0</xdr:rowOff>
    </xdr:from>
    <xdr:ext cx="304800" cy="304800"/>
    <xdr:sp macro="" textlink="">
      <xdr:nvSpPr>
        <xdr:cNvPr id="2686" name="AutoShape 325">
          <a:extLst>
            <a:ext uri="{FF2B5EF4-FFF2-40B4-BE49-F238E27FC236}">
              <a16:creationId xmlns:a16="http://schemas.microsoft.com/office/drawing/2014/main" id="{7A8118A9-9B8F-42AE-B915-E95539B8B57A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87" name="Picture 2686">
          <a:extLst>
            <a:ext uri="{FF2B5EF4-FFF2-40B4-BE49-F238E27FC236}">
              <a16:creationId xmlns:a16="http://schemas.microsoft.com/office/drawing/2014/main" id="{1DBF4741-A267-4ED4-9541-7F510B4C0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3440"/>
    <xdr:sp macro="" textlink="">
      <xdr:nvSpPr>
        <xdr:cNvPr id="2688" name="AutoShape 327">
          <a:extLst>
            <a:ext uri="{FF2B5EF4-FFF2-40B4-BE49-F238E27FC236}">
              <a16:creationId xmlns:a16="http://schemas.microsoft.com/office/drawing/2014/main" id="{215C2BD0-F17E-4972-B36C-CA61DA9F113B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27</xdr:row>
      <xdr:rowOff>0</xdr:rowOff>
    </xdr:from>
    <xdr:ext cx="9525" cy="9525"/>
    <xdr:pic>
      <xdr:nvPicPr>
        <xdr:cNvPr id="2689" name="Picture 2688">
          <a:extLst>
            <a:ext uri="{FF2B5EF4-FFF2-40B4-BE49-F238E27FC236}">
              <a16:creationId xmlns:a16="http://schemas.microsoft.com/office/drawing/2014/main" id="{4265BACD-CC1E-46B5-8C8C-B4F0367AE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90" name="Picture 2689">
          <a:extLst>
            <a:ext uri="{FF2B5EF4-FFF2-40B4-BE49-F238E27FC236}">
              <a16:creationId xmlns:a16="http://schemas.microsoft.com/office/drawing/2014/main" id="{A7B7099A-CBA4-4995-BF13-93ACD379F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3</xdr:row>
      <xdr:rowOff>0</xdr:rowOff>
    </xdr:from>
    <xdr:ext cx="9525" cy="9525"/>
    <xdr:pic>
      <xdr:nvPicPr>
        <xdr:cNvPr id="2691" name="Picture 2690">
          <a:extLst>
            <a:ext uri="{FF2B5EF4-FFF2-40B4-BE49-F238E27FC236}">
              <a16:creationId xmlns:a16="http://schemas.microsoft.com/office/drawing/2014/main" id="{476D38CA-4EB1-43A9-BC9C-8C9F80AB0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</xdr:row>
      <xdr:rowOff>0</xdr:rowOff>
    </xdr:from>
    <xdr:ext cx="304800" cy="303439"/>
    <xdr:sp macro="" textlink="">
      <xdr:nvSpPr>
        <xdr:cNvPr id="2692" name="AutoShape 357">
          <a:extLst>
            <a:ext uri="{FF2B5EF4-FFF2-40B4-BE49-F238E27FC236}">
              <a16:creationId xmlns:a16="http://schemas.microsoft.com/office/drawing/2014/main" id="{F721EF5C-6BBB-40FB-98E7-B8A63AE3E1AA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9525" cy="9525"/>
    <xdr:pic>
      <xdr:nvPicPr>
        <xdr:cNvPr id="2693" name="Picture 2692">
          <a:extLst>
            <a:ext uri="{FF2B5EF4-FFF2-40B4-BE49-F238E27FC236}">
              <a16:creationId xmlns:a16="http://schemas.microsoft.com/office/drawing/2014/main" id="{22A1099E-4D1A-4DCE-90D2-23BE7BC59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9525" cy="9525"/>
    <xdr:pic>
      <xdr:nvPicPr>
        <xdr:cNvPr id="2694" name="Picture 2693">
          <a:extLst>
            <a:ext uri="{FF2B5EF4-FFF2-40B4-BE49-F238E27FC236}">
              <a16:creationId xmlns:a16="http://schemas.microsoft.com/office/drawing/2014/main" id="{D3B318AD-E4C1-4528-8AAA-66DDEF3EB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6</xdr:row>
      <xdr:rowOff>0</xdr:rowOff>
    </xdr:from>
    <xdr:ext cx="9525" cy="9525"/>
    <xdr:pic>
      <xdr:nvPicPr>
        <xdr:cNvPr id="2695" name="Picture 2694">
          <a:extLst>
            <a:ext uri="{FF2B5EF4-FFF2-40B4-BE49-F238E27FC236}">
              <a16:creationId xmlns:a16="http://schemas.microsoft.com/office/drawing/2014/main" id="{7F57E49D-C76F-443B-8716-E52AFC7FF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2696" name="AutoShape 361">
          <a:extLst>
            <a:ext uri="{FF2B5EF4-FFF2-40B4-BE49-F238E27FC236}">
              <a16:creationId xmlns:a16="http://schemas.microsoft.com/office/drawing/2014/main" id="{ECDB833C-049C-4290-8AA0-5464A1B24D6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697" name="Picture 2696">
          <a:extLst>
            <a:ext uri="{FF2B5EF4-FFF2-40B4-BE49-F238E27FC236}">
              <a16:creationId xmlns:a16="http://schemas.microsoft.com/office/drawing/2014/main" id="{CB7D4FF3-2C5F-4517-8CCB-904EB50E2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24</xdr:row>
      <xdr:rowOff>0</xdr:rowOff>
    </xdr:from>
    <xdr:ext cx="304800" cy="304800"/>
    <xdr:sp macro="" textlink="">
      <xdr:nvSpPr>
        <xdr:cNvPr id="2698" name="AutoShape 363">
          <a:extLst>
            <a:ext uri="{FF2B5EF4-FFF2-40B4-BE49-F238E27FC236}">
              <a16:creationId xmlns:a16="http://schemas.microsoft.com/office/drawing/2014/main" id="{24EFF019-F79F-40B8-B937-58D4060916F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26</xdr:row>
      <xdr:rowOff>0</xdr:rowOff>
    </xdr:from>
    <xdr:ext cx="9525" cy="9525"/>
    <xdr:pic>
      <xdr:nvPicPr>
        <xdr:cNvPr id="2699" name="Picture 2698">
          <a:extLst>
            <a:ext uri="{FF2B5EF4-FFF2-40B4-BE49-F238E27FC236}">
              <a16:creationId xmlns:a16="http://schemas.microsoft.com/office/drawing/2014/main" id="{94F7FCA3-0EF0-470C-B7E6-76D0F38E1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25</xdr:row>
      <xdr:rowOff>0</xdr:rowOff>
    </xdr:from>
    <xdr:ext cx="304800" cy="303440"/>
    <xdr:sp macro="" textlink="">
      <xdr:nvSpPr>
        <xdr:cNvPr id="2700" name="AutoShape 365">
          <a:extLst>
            <a:ext uri="{FF2B5EF4-FFF2-40B4-BE49-F238E27FC236}">
              <a16:creationId xmlns:a16="http://schemas.microsoft.com/office/drawing/2014/main" id="{ECED6FF2-261B-475A-B8AE-C1B39ECF5BE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01" name="Picture 2700">
          <a:extLst>
            <a:ext uri="{FF2B5EF4-FFF2-40B4-BE49-F238E27FC236}">
              <a16:creationId xmlns:a16="http://schemas.microsoft.com/office/drawing/2014/main" id="{940BA3B4-A8D6-4623-87F5-7B8BD7087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02" name="Picture 2701">
          <a:extLst>
            <a:ext uri="{FF2B5EF4-FFF2-40B4-BE49-F238E27FC236}">
              <a16:creationId xmlns:a16="http://schemas.microsoft.com/office/drawing/2014/main" id="{F581A013-AECA-4497-84D5-A84F4EE19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03" name="Picture 2702">
          <a:extLst>
            <a:ext uri="{FF2B5EF4-FFF2-40B4-BE49-F238E27FC236}">
              <a16:creationId xmlns:a16="http://schemas.microsoft.com/office/drawing/2014/main" id="{3C4C7790-ED1D-4F69-9AA0-E17E74CDA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04" name="Picture 2703">
          <a:extLst>
            <a:ext uri="{FF2B5EF4-FFF2-40B4-BE49-F238E27FC236}">
              <a16:creationId xmlns:a16="http://schemas.microsoft.com/office/drawing/2014/main" id="{6B3770A5-8F3B-4D0E-9C3C-B9182AEDC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05" name="Picture 2704">
          <a:extLst>
            <a:ext uri="{FF2B5EF4-FFF2-40B4-BE49-F238E27FC236}">
              <a16:creationId xmlns:a16="http://schemas.microsoft.com/office/drawing/2014/main" id="{C8AF1A36-ACF2-4F55-804B-9155B86E8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706" name="AutoShape 371">
          <a:extLst>
            <a:ext uri="{FF2B5EF4-FFF2-40B4-BE49-F238E27FC236}">
              <a16:creationId xmlns:a16="http://schemas.microsoft.com/office/drawing/2014/main" id="{9B1F75AA-84D0-41BF-A0EF-30A42E88E61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07" name="Picture 2706">
          <a:extLst>
            <a:ext uri="{FF2B5EF4-FFF2-40B4-BE49-F238E27FC236}">
              <a16:creationId xmlns:a16="http://schemas.microsoft.com/office/drawing/2014/main" id="{A60C725E-48D7-4AD4-8FDB-2D026F0A7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708" name="AutoShape 373">
          <a:extLst>
            <a:ext uri="{FF2B5EF4-FFF2-40B4-BE49-F238E27FC236}">
              <a16:creationId xmlns:a16="http://schemas.microsoft.com/office/drawing/2014/main" id="{C6EDA564-BF54-4F94-8311-ADC2BF2E1B1B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13</xdr:row>
      <xdr:rowOff>0</xdr:rowOff>
    </xdr:from>
    <xdr:ext cx="9525" cy="9525"/>
    <xdr:pic>
      <xdr:nvPicPr>
        <xdr:cNvPr id="2709" name="Picture 2708">
          <a:extLst>
            <a:ext uri="{FF2B5EF4-FFF2-40B4-BE49-F238E27FC236}">
              <a16:creationId xmlns:a16="http://schemas.microsoft.com/office/drawing/2014/main" id="{9532D9BA-7F3B-48A8-A53D-6AB322D0C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12</xdr:row>
      <xdr:rowOff>0</xdr:rowOff>
    </xdr:from>
    <xdr:ext cx="304800" cy="303439"/>
    <xdr:sp macro="" textlink="">
      <xdr:nvSpPr>
        <xdr:cNvPr id="2710" name="AutoShape 375">
          <a:extLst>
            <a:ext uri="{FF2B5EF4-FFF2-40B4-BE49-F238E27FC236}">
              <a16:creationId xmlns:a16="http://schemas.microsoft.com/office/drawing/2014/main" id="{379ED574-46BE-44FA-9B0E-55D0900E975F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11" name="Picture 2710">
          <a:extLst>
            <a:ext uri="{FF2B5EF4-FFF2-40B4-BE49-F238E27FC236}">
              <a16:creationId xmlns:a16="http://schemas.microsoft.com/office/drawing/2014/main" id="{96974FC3-9CE4-43C6-A48A-03B50D874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13</xdr:row>
      <xdr:rowOff>0</xdr:rowOff>
    </xdr:from>
    <xdr:ext cx="304800" cy="304800"/>
    <xdr:sp macro="" textlink="">
      <xdr:nvSpPr>
        <xdr:cNvPr id="2712" name="AutoShape 377">
          <a:extLst>
            <a:ext uri="{FF2B5EF4-FFF2-40B4-BE49-F238E27FC236}">
              <a16:creationId xmlns:a16="http://schemas.microsoft.com/office/drawing/2014/main" id="{F5C96971-48E1-4735-8FB3-200DDD38673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13" name="Picture 2712">
          <a:extLst>
            <a:ext uri="{FF2B5EF4-FFF2-40B4-BE49-F238E27FC236}">
              <a16:creationId xmlns:a16="http://schemas.microsoft.com/office/drawing/2014/main" id="{1502FD11-6E10-4E76-AFD9-87F17209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3440"/>
    <xdr:sp macro="" textlink="">
      <xdr:nvSpPr>
        <xdr:cNvPr id="2714" name="AutoShape 379">
          <a:extLst>
            <a:ext uri="{FF2B5EF4-FFF2-40B4-BE49-F238E27FC236}">
              <a16:creationId xmlns:a16="http://schemas.microsoft.com/office/drawing/2014/main" id="{28AA5273-88FD-4DBC-92E1-CAAAA4F8C35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27</xdr:row>
      <xdr:rowOff>0</xdr:rowOff>
    </xdr:from>
    <xdr:ext cx="9525" cy="9525"/>
    <xdr:pic>
      <xdr:nvPicPr>
        <xdr:cNvPr id="2715" name="Picture 2714">
          <a:extLst>
            <a:ext uri="{FF2B5EF4-FFF2-40B4-BE49-F238E27FC236}">
              <a16:creationId xmlns:a16="http://schemas.microsoft.com/office/drawing/2014/main" id="{C1BE1BDE-4AB7-4D92-8A2C-8AFDB5CA5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26</xdr:row>
      <xdr:rowOff>0</xdr:rowOff>
    </xdr:from>
    <xdr:ext cx="304800" cy="303439"/>
    <xdr:sp macro="" textlink="">
      <xdr:nvSpPr>
        <xdr:cNvPr id="2716" name="AutoShape 381">
          <a:extLst>
            <a:ext uri="{FF2B5EF4-FFF2-40B4-BE49-F238E27FC236}">
              <a16:creationId xmlns:a16="http://schemas.microsoft.com/office/drawing/2014/main" id="{10172B32-3320-4222-AB54-8A7F23EFBB0B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17" name="Picture 2716">
          <a:extLst>
            <a:ext uri="{FF2B5EF4-FFF2-40B4-BE49-F238E27FC236}">
              <a16:creationId xmlns:a16="http://schemas.microsoft.com/office/drawing/2014/main" id="{A010E48D-9BD6-4E19-B91B-5EEC627C9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18" name="Picture 2717">
          <a:extLst>
            <a:ext uri="{FF2B5EF4-FFF2-40B4-BE49-F238E27FC236}">
              <a16:creationId xmlns:a16="http://schemas.microsoft.com/office/drawing/2014/main" id="{B38A3541-20F4-40AB-A9F7-1A338FBA5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3</xdr:row>
      <xdr:rowOff>0</xdr:rowOff>
    </xdr:from>
    <xdr:ext cx="9525" cy="9525"/>
    <xdr:pic>
      <xdr:nvPicPr>
        <xdr:cNvPr id="2719" name="Picture 2718">
          <a:extLst>
            <a:ext uri="{FF2B5EF4-FFF2-40B4-BE49-F238E27FC236}">
              <a16:creationId xmlns:a16="http://schemas.microsoft.com/office/drawing/2014/main" id="{32B97746-EB52-478F-BF36-C16B4B0C4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</xdr:row>
      <xdr:rowOff>0</xdr:rowOff>
    </xdr:from>
    <xdr:ext cx="304800" cy="303439"/>
    <xdr:sp macro="" textlink="">
      <xdr:nvSpPr>
        <xdr:cNvPr id="2720" name="AutoShape 413">
          <a:extLst>
            <a:ext uri="{FF2B5EF4-FFF2-40B4-BE49-F238E27FC236}">
              <a16:creationId xmlns:a16="http://schemas.microsoft.com/office/drawing/2014/main" id="{4B881C8A-DE33-4A8B-B35A-D4EDC60DE95B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9525" cy="9525"/>
    <xdr:pic>
      <xdr:nvPicPr>
        <xdr:cNvPr id="2721" name="Picture 2720">
          <a:extLst>
            <a:ext uri="{FF2B5EF4-FFF2-40B4-BE49-F238E27FC236}">
              <a16:creationId xmlns:a16="http://schemas.microsoft.com/office/drawing/2014/main" id="{692D38F5-C577-4B83-A8A7-1D4344FF3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9525" cy="9525"/>
    <xdr:pic>
      <xdr:nvPicPr>
        <xdr:cNvPr id="2722" name="Picture 2721">
          <a:extLst>
            <a:ext uri="{FF2B5EF4-FFF2-40B4-BE49-F238E27FC236}">
              <a16:creationId xmlns:a16="http://schemas.microsoft.com/office/drawing/2014/main" id="{51300915-A192-4BC8-8D87-54369CBD2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6</xdr:row>
      <xdr:rowOff>0</xdr:rowOff>
    </xdr:from>
    <xdr:ext cx="9525" cy="9525"/>
    <xdr:pic>
      <xdr:nvPicPr>
        <xdr:cNvPr id="2723" name="Picture 2722">
          <a:extLst>
            <a:ext uri="{FF2B5EF4-FFF2-40B4-BE49-F238E27FC236}">
              <a16:creationId xmlns:a16="http://schemas.microsoft.com/office/drawing/2014/main" id="{A8E51CE8-1EA3-4E9F-8F5B-C50879B66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2724" name="AutoShape 417">
          <a:extLst>
            <a:ext uri="{FF2B5EF4-FFF2-40B4-BE49-F238E27FC236}">
              <a16:creationId xmlns:a16="http://schemas.microsoft.com/office/drawing/2014/main" id="{01CF94B7-5504-4382-A9F9-252AAEAD9B55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25" name="Picture 2724">
          <a:extLst>
            <a:ext uri="{FF2B5EF4-FFF2-40B4-BE49-F238E27FC236}">
              <a16:creationId xmlns:a16="http://schemas.microsoft.com/office/drawing/2014/main" id="{AB030B67-E64F-4DF0-A208-E89542B9A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24</xdr:row>
      <xdr:rowOff>0</xdr:rowOff>
    </xdr:from>
    <xdr:ext cx="304800" cy="304800"/>
    <xdr:sp macro="" textlink="">
      <xdr:nvSpPr>
        <xdr:cNvPr id="2726" name="AutoShape 419">
          <a:extLst>
            <a:ext uri="{FF2B5EF4-FFF2-40B4-BE49-F238E27FC236}">
              <a16:creationId xmlns:a16="http://schemas.microsoft.com/office/drawing/2014/main" id="{EFE7BF3F-47AC-4972-83D3-0E9E7894438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26</xdr:row>
      <xdr:rowOff>0</xdr:rowOff>
    </xdr:from>
    <xdr:ext cx="9525" cy="9525"/>
    <xdr:pic>
      <xdr:nvPicPr>
        <xdr:cNvPr id="2727" name="Picture 2726">
          <a:extLst>
            <a:ext uri="{FF2B5EF4-FFF2-40B4-BE49-F238E27FC236}">
              <a16:creationId xmlns:a16="http://schemas.microsoft.com/office/drawing/2014/main" id="{88766E71-BF6C-4CD2-AAF0-03754EF54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25</xdr:row>
      <xdr:rowOff>0</xdr:rowOff>
    </xdr:from>
    <xdr:ext cx="304800" cy="303440"/>
    <xdr:sp macro="" textlink="">
      <xdr:nvSpPr>
        <xdr:cNvPr id="2728" name="AutoShape 421">
          <a:extLst>
            <a:ext uri="{FF2B5EF4-FFF2-40B4-BE49-F238E27FC236}">
              <a16:creationId xmlns:a16="http://schemas.microsoft.com/office/drawing/2014/main" id="{BF206316-5E41-41E0-9301-70A40EC107EA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29" name="Picture 2728">
          <a:extLst>
            <a:ext uri="{FF2B5EF4-FFF2-40B4-BE49-F238E27FC236}">
              <a16:creationId xmlns:a16="http://schemas.microsoft.com/office/drawing/2014/main" id="{51DF9EF9-D24D-4FBA-B659-B7CD78B3C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30" name="Picture 2729">
          <a:extLst>
            <a:ext uri="{FF2B5EF4-FFF2-40B4-BE49-F238E27FC236}">
              <a16:creationId xmlns:a16="http://schemas.microsoft.com/office/drawing/2014/main" id="{62EB4AF7-8A87-4D63-8898-A4E77FCFD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31" name="Picture 2730">
          <a:extLst>
            <a:ext uri="{FF2B5EF4-FFF2-40B4-BE49-F238E27FC236}">
              <a16:creationId xmlns:a16="http://schemas.microsoft.com/office/drawing/2014/main" id="{FD13E98A-B5D5-4831-97AA-E2071DE54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32" name="Picture 2731">
          <a:extLst>
            <a:ext uri="{FF2B5EF4-FFF2-40B4-BE49-F238E27FC236}">
              <a16:creationId xmlns:a16="http://schemas.microsoft.com/office/drawing/2014/main" id="{118E2F7C-9658-48F0-8BF7-0DADC4118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33" name="Picture 2732">
          <a:extLst>
            <a:ext uri="{FF2B5EF4-FFF2-40B4-BE49-F238E27FC236}">
              <a16:creationId xmlns:a16="http://schemas.microsoft.com/office/drawing/2014/main" id="{8AC050CF-FBA9-417E-A84F-431B9411C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734" name="AutoShape 427">
          <a:extLst>
            <a:ext uri="{FF2B5EF4-FFF2-40B4-BE49-F238E27FC236}">
              <a16:creationId xmlns:a16="http://schemas.microsoft.com/office/drawing/2014/main" id="{1461EB2E-02E1-4C5D-8E09-C358A6208C66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35" name="Picture 2734">
          <a:extLst>
            <a:ext uri="{FF2B5EF4-FFF2-40B4-BE49-F238E27FC236}">
              <a16:creationId xmlns:a16="http://schemas.microsoft.com/office/drawing/2014/main" id="{F267D9DB-D494-4282-A27F-36DA4997B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736" name="AutoShape 429">
          <a:extLst>
            <a:ext uri="{FF2B5EF4-FFF2-40B4-BE49-F238E27FC236}">
              <a16:creationId xmlns:a16="http://schemas.microsoft.com/office/drawing/2014/main" id="{738978E8-BA04-4405-996B-A95D292ACCC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13</xdr:row>
      <xdr:rowOff>0</xdr:rowOff>
    </xdr:from>
    <xdr:ext cx="9525" cy="9525"/>
    <xdr:pic>
      <xdr:nvPicPr>
        <xdr:cNvPr id="2737" name="Picture 2736">
          <a:extLst>
            <a:ext uri="{FF2B5EF4-FFF2-40B4-BE49-F238E27FC236}">
              <a16:creationId xmlns:a16="http://schemas.microsoft.com/office/drawing/2014/main" id="{26AC83B7-D383-41DB-834B-9B6E1BAE6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12</xdr:row>
      <xdr:rowOff>0</xdr:rowOff>
    </xdr:from>
    <xdr:ext cx="304800" cy="303439"/>
    <xdr:sp macro="" textlink="">
      <xdr:nvSpPr>
        <xdr:cNvPr id="2738" name="AutoShape 431">
          <a:extLst>
            <a:ext uri="{FF2B5EF4-FFF2-40B4-BE49-F238E27FC236}">
              <a16:creationId xmlns:a16="http://schemas.microsoft.com/office/drawing/2014/main" id="{1F729B2A-FC6E-4129-B866-CD140A35953F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39" name="Picture 2738">
          <a:extLst>
            <a:ext uri="{FF2B5EF4-FFF2-40B4-BE49-F238E27FC236}">
              <a16:creationId xmlns:a16="http://schemas.microsoft.com/office/drawing/2014/main" id="{8FCDB796-2050-403F-AFFD-9CC33BF67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13</xdr:row>
      <xdr:rowOff>0</xdr:rowOff>
    </xdr:from>
    <xdr:ext cx="304800" cy="304800"/>
    <xdr:sp macro="" textlink="">
      <xdr:nvSpPr>
        <xdr:cNvPr id="2740" name="AutoShape 433">
          <a:extLst>
            <a:ext uri="{FF2B5EF4-FFF2-40B4-BE49-F238E27FC236}">
              <a16:creationId xmlns:a16="http://schemas.microsoft.com/office/drawing/2014/main" id="{D3BE4639-96E1-4F40-93F1-2ED148C86CC5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41" name="Picture 2740">
          <a:extLst>
            <a:ext uri="{FF2B5EF4-FFF2-40B4-BE49-F238E27FC236}">
              <a16:creationId xmlns:a16="http://schemas.microsoft.com/office/drawing/2014/main" id="{DB8389A2-57EE-4196-BCD2-077F0D4D6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3440"/>
    <xdr:sp macro="" textlink="">
      <xdr:nvSpPr>
        <xdr:cNvPr id="2742" name="AutoShape 435">
          <a:extLst>
            <a:ext uri="{FF2B5EF4-FFF2-40B4-BE49-F238E27FC236}">
              <a16:creationId xmlns:a16="http://schemas.microsoft.com/office/drawing/2014/main" id="{BCC2181D-624B-4CB4-A44D-1218513CFFC6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27</xdr:row>
      <xdr:rowOff>0</xdr:rowOff>
    </xdr:from>
    <xdr:ext cx="9525" cy="9525"/>
    <xdr:pic>
      <xdr:nvPicPr>
        <xdr:cNvPr id="2743" name="Picture 2742">
          <a:extLst>
            <a:ext uri="{FF2B5EF4-FFF2-40B4-BE49-F238E27FC236}">
              <a16:creationId xmlns:a16="http://schemas.microsoft.com/office/drawing/2014/main" id="{D1AECDB7-5CE0-4AA6-8895-2EBFC8476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26</xdr:row>
      <xdr:rowOff>0</xdr:rowOff>
    </xdr:from>
    <xdr:ext cx="304800" cy="303439"/>
    <xdr:sp macro="" textlink="">
      <xdr:nvSpPr>
        <xdr:cNvPr id="2744" name="AutoShape 437">
          <a:extLst>
            <a:ext uri="{FF2B5EF4-FFF2-40B4-BE49-F238E27FC236}">
              <a16:creationId xmlns:a16="http://schemas.microsoft.com/office/drawing/2014/main" id="{099FA623-8215-4BFC-ACD9-253913AA6537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45" name="Picture 2744">
          <a:extLst>
            <a:ext uri="{FF2B5EF4-FFF2-40B4-BE49-F238E27FC236}">
              <a16:creationId xmlns:a16="http://schemas.microsoft.com/office/drawing/2014/main" id="{2055E4D1-2505-467A-B07C-C124048E1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46" name="Picture 2745">
          <a:extLst>
            <a:ext uri="{FF2B5EF4-FFF2-40B4-BE49-F238E27FC236}">
              <a16:creationId xmlns:a16="http://schemas.microsoft.com/office/drawing/2014/main" id="{A2D0A546-9B36-4D08-93BD-8F857E284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3</xdr:row>
      <xdr:rowOff>0</xdr:rowOff>
    </xdr:from>
    <xdr:ext cx="9525" cy="9525"/>
    <xdr:pic>
      <xdr:nvPicPr>
        <xdr:cNvPr id="2747" name="Picture 2746">
          <a:extLst>
            <a:ext uri="{FF2B5EF4-FFF2-40B4-BE49-F238E27FC236}">
              <a16:creationId xmlns:a16="http://schemas.microsoft.com/office/drawing/2014/main" id="{CAE3C3E7-C19B-4EB1-B2DF-CA2D0D2E4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</xdr:row>
      <xdr:rowOff>0</xdr:rowOff>
    </xdr:from>
    <xdr:ext cx="304800" cy="303439"/>
    <xdr:sp macro="" textlink="">
      <xdr:nvSpPr>
        <xdr:cNvPr id="2748" name="AutoShape 469">
          <a:extLst>
            <a:ext uri="{FF2B5EF4-FFF2-40B4-BE49-F238E27FC236}">
              <a16:creationId xmlns:a16="http://schemas.microsoft.com/office/drawing/2014/main" id="{E72BA18D-CDBA-4FF6-875F-6B7A5195A9E7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9525" cy="9525"/>
    <xdr:pic>
      <xdr:nvPicPr>
        <xdr:cNvPr id="2749" name="Picture 2748">
          <a:extLst>
            <a:ext uri="{FF2B5EF4-FFF2-40B4-BE49-F238E27FC236}">
              <a16:creationId xmlns:a16="http://schemas.microsoft.com/office/drawing/2014/main" id="{698CDE70-F035-47B2-B37A-46A61D7B4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9525" cy="9525"/>
    <xdr:pic>
      <xdr:nvPicPr>
        <xdr:cNvPr id="2750" name="Picture 2749">
          <a:extLst>
            <a:ext uri="{FF2B5EF4-FFF2-40B4-BE49-F238E27FC236}">
              <a16:creationId xmlns:a16="http://schemas.microsoft.com/office/drawing/2014/main" id="{0624EC55-2678-48B0-B54C-C3B40BF77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6</xdr:row>
      <xdr:rowOff>0</xdr:rowOff>
    </xdr:from>
    <xdr:ext cx="9525" cy="9525"/>
    <xdr:pic>
      <xdr:nvPicPr>
        <xdr:cNvPr id="2751" name="Picture 2750">
          <a:extLst>
            <a:ext uri="{FF2B5EF4-FFF2-40B4-BE49-F238E27FC236}">
              <a16:creationId xmlns:a16="http://schemas.microsoft.com/office/drawing/2014/main" id="{CC66AA9F-24E7-495A-BFE3-A904EAEB1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2752" name="AutoShape 473">
          <a:extLst>
            <a:ext uri="{FF2B5EF4-FFF2-40B4-BE49-F238E27FC236}">
              <a16:creationId xmlns:a16="http://schemas.microsoft.com/office/drawing/2014/main" id="{D971AD06-CFB1-4C2E-B654-6319875044EF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53" name="Picture 2752">
          <a:extLst>
            <a:ext uri="{FF2B5EF4-FFF2-40B4-BE49-F238E27FC236}">
              <a16:creationId xmlns:a16="http://schemas.microsoft.com/office/drawing/2014/main" id="{66930D6E-27D4-4CF9-8E73-1664D6810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24</xdr:row>
      <xdr:rowOff>0</xdr:rowOff>
    </xdr:from>
    <xdr:ext cx="304800" cy="304800"/>
    <xdr:sp macro="" textlink="">
      <xdr:nvSpPr>
        <xdr:cNvPr id="2754" name="AutoShape 475">
          <a:extLst>
            <a:ext uri="{FF2B5EF4-FFF2-40B4-BE49-F238E27FC236}">
              <a16:creationId xmlns:a16="http://schemas.microsoft.com/office/drawing/2014/main" id="{0F56E25C-A10B-4980-B598-22E49FAB882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26</xdr:row>
      <xdr:rowOff>0</xdr:rowOff>
    </xdr:from>
    <xdr:ext cx="9525" cy="9525"/>
    <xdr:pic>
      <xdr:nvPicPr>
        <xdr:cNvPr id="2755" name="Picture 2754">
          <a:extLst>
            <a:ext uri="{FF2B5EF4-FFF2-40B4-BE49-F238E27FC236}">
              <a16:creationId xmlns:a16="http://schemas.microsoft.com/office/drawing/2014/main" id="{ECAC65A6-1DC2-4159-8695-50BB988EB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25</xdr:row>
      <xdr:rowOff>0</xdr:rowOff>
    </xdr:from>
    <xdr:ext cx="304800" cy="303440"/>
    <xdr:sp macro="" textlink="">
      <xdr:nvSpPr>
        <xdr:cNvPr id="2756" name="AutoShape 477">
          <a:extLst>
            <a:ext uri="{FF2B5EF4-FFF2-40B4-BE49-F238E27FC236}">
              <a16:creationId xmlns:a16="http://schemas.microsoft.com/office/drawing/2014/main" id="{EB01FBC7-106E-4A27-9236-7FABB989E7EF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57" name="Picture 2756">
          <a:extLst>
            <a:ext uri="{FF2B5EF4-FFF2-40B4-BE49-F238E27FC236}">
              <a16:creationId xmlns:a16="http://schemas.microsoft.com/office/drawing/2014/main" id="{3A2CE4BA-D0D8-4FFB-9793-F07527364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58" name="Picture 2757">
          <a:extLst>
            <a:ext uri="{FF2B5EF4-FFF2-40B4-BE49-F238E27FC236}">
              <a16:creationId xmlns:a16="http://schemas.microsoft.com/office/drawing/2014/main" id="{F3E158A9-07BD-4C00-B356-963090EBD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59" name="Picture 2758">
          <a:extLst>
            <a:ext uri="{FF2B5EF4-FFF2-40B4-BE49-F238E27FC236}">
              <a16:creationId xmlns:a16="http://schemas.microsoft.com/office/drawing/2014/main" id="{690378BB-BAE8-43AD-949B-7D70FF5D8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60" name="Picture 2759">
          <a:extLst>
            <a:ext uri="{FF2B5EF4-FFF2-40B4-BE49-F238E27FC236}">
              <a16:creationId xmlns:a16="http://schemas.microsoft.com/office/drawing/2014/main" id="{B9FD584F-13AD-482A-9F94-04E65FC50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61" name="Picture 2760">
          <a:extLst>
            <a:ext uri="{FF2B5EF4-FFF2-40B4-BE49-F238E27FC236}">
              <a16:creationId xmlns:a16="http://schemas.microsoft.com/office/drawing/2014/main" id="{87004B52-593C-46EC-A324-FE5DD6487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762" name="AutoShape 483">
          <a:extLst>
            <a:ext uri="{FF2B5EF4-FFF2-40B4-BE49-F238E27FC236}">
              <a16:creationId xmlns:a16="http://schemas.microsoft.com/office/drawing/2014/main" id="{1E7FE6DC-214A-4B61-848E-4694CF220F67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63" name="Picture 2762">
          <a:extLst>
            <a:ext uri="{FF2B5EF4-FFF2-40B4-BE49-F238E27FC236}">
              <a16:creationId xmlns:a16="http://schemas.microsoft.com/office/drawing/2014/main" id="{1936BA89-FD31-41C6-90A2-DEC00D965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764" name="AutoShape 485">
          <a:extLst>
            <a:ext uri="{FF2B5EF4-FFF2-40B4-BE49-F238E27FC236}">
              <a16:creationId xmlns:a16="http://schemas.microsoft.com/office/drawing/2014/main" id="{F9AFF922-F303-427A-94B1-C195B6F731B4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13</xdr:row>
      <xdr:rowOff>0</xdr:rowOff>
    </xdr:from>
    <xdr:ext cx="9525" cy="9525"/>
    <xdr:pic>
      <xdr:nvPicPr>
        <xdr:cNvPr id="2765" name="Picture 2764">
          <a:extLst>
            <a:ext uri="{FF2B5EF4-FFF2-40B4-BE49-F238E27FC236}">
              <a16:creationId xmlns:a16="http://schemas.microsoft.com/office/drawing/2014/main" id="{E7636385-C210-4525-BCE9-A6AACCEE0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12</xdr:row>
      <xdr:rowOff>0</xdr:rowOff>
    </xdr:from>
    <xdr:ext cx="304800" cy="303439"/>
    <xdr:sp macro="" textlink="">
      <xdr:nvSpPr>
        <xdr:cNvPr id="2766" name="AutoShape 487">
          <a:extLst>
            <a:ext uri="{FF2B5EF4-FFF2-40B4-BE49-F238E27FC236}">
              <a16:creationId xmlns:a16="http://schemas.microsoft.com/office/drawing/2014/main" id="{1893C703-9E45-4A56-A8D5-42236674838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67" name="Picture 2766">
          <a:extLst>
            <a:ext uri="{FF2B5EF4-FFF2-40B4-BE49-F238E27FC236}">
              <a16:creationId xmlns:a16="http://schemas.microsoft.com/office/drawing/2014/main" id="{D277E5A3-6069-4A2B-97E0-9C9035CF5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68" name="Picture 2767">
          <a:extLst>
            <a:ext uri="{FF2B5EF4-FFF2-40B4-BE49-F238E27FC236}">
              <a16:creationId xmlns:a16="http://schemas.microsoft.com/office/drawing/2014/main" id="{B969AD8F-B0C6-4946-A4BD-F990801F4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3440"/>
    <xdr:sp macro="" textlink="">
      <xdr:nvSpPr>
        <xdr:cNvPr id="2769" name="AutoShape 491">
          <a:extLst>
            <a:ext uri="{FF2B5EF4-FFF2-40B4-BE49-F238E27FC236}">
              <a16:creationId xmlns:a16="http://schemas.microsoft.com/office/drawing/2014/main" id="{12E06218-9664-4AD0-862C-F2433F9E4DAA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27</xdr:row>
      <xdr:rowOff>0</xdr:rowOff>
    </xdr:from>
    <xdr:ext cx="9525" cy="9525"/>
    <xdr:pic>
      <xdr:nvPicPr>
        <xdr:cNvPr id="2770" name="Picture 2769">
          <a:extLst>
            <a:ext uri="{FF2B5EF4-FFF2-40B4-BE49-F238E27FC236}">
              <a16:creationId xmlns:a16="http://schemas.microsoft.com/office/drawing/2014/main" id="{CB0E20D6-CF2D-490C-B6D5-9E1A869E3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26</xdr:row>
      <xdr:rowOff>0</xdr:rowOff>
    </xdr:from>
    <xdr:ext cx="304800" cy="303439"/>
    <xdr:sp macro="" textlink="">
      <xdr:nvSpPr>
        <xdr:cNvPr id="2771" name="AutoShape 493">
          <a:extLst>
            <a:ext uri="{FF2B5EF4-FFF2-40B4-BE49-F238E27FC236}">
              <a16:creationId xmlns:a16="http://schemas.microsoft.com/office/drawing/2014/main" id="{44F2CCFE-5F3F-49B3-AE3C-848FC9C8ED1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72" name="Picture 2771">
          <a:extLst>
            <a:ext uri="{FF2B5EF4-FFF2-40B4-BE49-F238E27FC236}">
              <a16:creationId xmlns:a16="http://schemas.microsoft.com/office/drawing/2014/main" id="{BC4B930F-E4D6-4C12-A38F-C3BF2CFA9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73" name="Picture 2772">
          <a:extLst>
            <a:ext uri="{FF2B5EF4-FFF2-40B4-BE49-F238E27FC236}">
              <a16:creationId xmlns:a16="http://schemas.microsoft.com/office/drawing/2014/main" id="{587BE63E-FE52-43B3-BBD7-474C72295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3</xdr:row>
      <xdr:rowOff>0</xdr:rowOff>
    </xdr:from>
    <xdr:ext cx="9525" cy="9525"/>
    <xdr:pic>
      <xdr:nvPicPr>
        <xdr:cNvPr id="2774" name="Picture 2773">
          <a:extLst>
            <a:ext uri="{FF2B5EF4-FFF2-40B4-BE49-F238E27FC236}">
              <a16:creationId xmlns:a16="http://schemas.microsoft.com/office/drawing/2014/main" id="{A4B2F435-E671-4295-94B7-CB8CE827A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</xdr:row>
      <xdr:rowOff>0</xdr:rowOff>
    </xdr:from>
    <xdr:ext cx="304800" cy="303439"/>
    <xdr:sp macro="" textlink="">
      <xdr:nvSpPr>
        <xdr:cNvPr id="2775" name="AutoShape 497">
          <a:extLst>
            <a:ext uri="{FF2B5EF4-FFF2-40B4-BE49-F238E27FC236}">
              <a16:creationId xmlns:a16="http://schemas.microsoft.com/office/drawing/2014/main" id="{4FB49BBA-31D8-4662-8948-EB53AC9C5F00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9525" cy="9525"/>
    <xdr:pic>
      <xdr:nvPicPr>
        <xdr:cNvPr id="2776" name="Picture 2775">
          <a:extLst>
            <a:ext uri="{FF2B5EF4-FFF2-40B4-BE49-F238E27FC236}">
              <a16:creationId xmlns:a16="http://schemas.microsoft.com/office/drawing/2014/main" id="{EC6DC179-1241-4D0B-8519-35A7BE687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3</xdr:row>
      <xdr:rowOff>0</xdr:rowOff>
    </xdr:from>
    <xdr:ext cx="304800" cy="304800"/>
    <xdr:sp macro="" textlink="">
      <xdr:nvSpPr>
        <xdr:cNvPr id="2777" name="AutoShape 499">
          <a:extLst>
            <a:ext uri="{FF2B5EF4-FFF2-40B4-BE49-F238E27FC236}">
              <a16:creationId xmlns:a16="http://schemas.microsoft.com/office/drawing/2014/main" id="{A57B54FE-E1B8-45BA-9D69-3465338349EB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5</xdr:row>
      <xdr:rowOff>0</xdr:rowOff>
    </xdr:from>
    <xdr:ext cx="9525" cy="9525"/>
    <xdr:pic>
      <xdr:nvPicPr>
        <xdr:cNvPr id="2778" name="Picture 2777">
          <a:extLst>
            <a:ext uri="{FF2B5EF4-FFF2-40B4-BE49-F238E27FC236}">
              <a16:creationId xmlns:a16="http://schemas.microsoft.com/office/drawing/2014/main" id="{921F9FD8-FFA3-4BE3-908A-019B8A2FE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2779" name="AutoShape 501">
          <a:extLst>
            <a:ext uri="{FF2B5EF4-FFF2-40B4-BE49-F238E27FC236}">
              <a16:creationId xmlns:a16="http://schemas.microsoft.com/office/drawing/2014/main" id="{9A7790B1-AFBD-4AAB-9061-B92FDFE6CA0B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537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6</xdr:row>
      <xdr:rowOff>0</xdr:rowOff>
    </xdr:from>
    <xdr:ext cx="9525" cy="9525"/>
    <xdr:pic>
      <xdr:nvPicPr>
        <xdr:cNvPr id="2780" name="Picture 2779">
          <a:extLst>
            <a:ext uri="{FF2B5EF4-FFF2-40B4-BE49-F238E27FC236}">
              <a16:creationId xmlns:a16="http://schemas.microsoft.com/office/drawing/2014/main" id="{4FC64DEB-577B-4C57-8097-F36700E16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2781" name="AutoShape 503">
          <a:extLst>
            <a:ext uri="{FF2B5EF4-FFF2-40B4-BE49-F238E27FC236}">
              <a16:creationId xmlns:a16="http://schemas.microsoft.com/office/drawing/2014/main" id="{225B56F5-F6D0-4FA1-8975-E6114F97D99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82" name="Picture 2781">
          <a:extLst>
            <a:ext uri="{FF2B5EF4-FFF2-40B4-BE49-F238E27FC236}">
              <a16:creationId xmlns:a16="http://schemas.microsoft.com/office/drawing/2014/main" id="{842A7CDE-F58B-4B9B-BCD0-F4302F9E5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6</xdr:row>
      <xdr:rowOff>0</xdr:rowOff>
    </xdr:from>
    <xdr:ext cx="304800" cy="304800"/>
    <xdr:sp macro="" textlink="">
      <xdr:nvSpPr>
        <xdr:cNvPr id="2783" name="AutoShape 505">
          <a:extLst>
            <a:ext uri="{FF2B5EF4-FFF2-40B4-BE49-F238E27FC236}">
              <a16:creationId xmlns:a16="http://schemas.microsoft.com/office/drawing/2014/main" id="{D8701860-A0F1-4B73-B78C-D708BE6ECC8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26</xdr:row>
      <xdr:rowOff>0</xdr:rowOff>
    </xdr:from>
    <xdr:ext cx="9525" cy="9525"/>
    <xdr:pic>
      <xdr:nvPicPr>
        <xdr:cNvPr id="2784" name="Picture 2783">
          <a:extLst>
            <a:ext uri="{FF2B5EF4-FFF2-40B4-BE49-F238E27FC236}">
              <a16:creationId xmlns:a16="http://schemas.microsoft.com/office/drawing/2014/main" id="{DB9450F5-3D00-4558-B3B3-54CA1FDE9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25</xdr:row>
      <xdr:rowOff>0</xdr:rowOff>
    </xdr:from>
    <xdr:ext cx="304800" cy="303439"/>
    <xdr:sp macro="" textlink="">
      <xdr:nvSpPr>
        <xdr:cNvPr id="2785" name="AutoShape 507">
          <a:extLst>
            <a:ext uri="{FF2B5EF4-FFF2-40B4-BE49-F238E27FC236}">
              <a16:creationId xmlns:a16="http://schemas.microsoft.com/office/drawing/2014/main" id="{1F315DA5-F56B-47E7-AE5D-80719181B3B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06878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86" name="Picture 2785">
          <a:extLst>
            <a:ext uri="{FF2B5EF4-FFF2-40B4-BE49-F238E27FC236}">
              <a16:creationId xmlns:a16="http://schemas.microsoft.com/office/drawing/2014/main" id="{A9B9CCB9-4F8C-4B75-B52E-F6FD3923E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26</xdr:row>
      <xdr:rowOff>0</xdr:rowOff>
    </xdr:from>
    <xdr:ext cx="304800" cy="304800"/>
    <xdr:sp macro="" textlink="">
      <xdr:nvSpPr>
        <xdr:cNvPr id="2787" name="AutoShape 509">
          <a:extLst>
            <a:ext uri="{FF2B5EF4-FFF2-40B4-BE49-F238E27FC236}">
              <a16:creationId xmlns:a16="http://schemas.microsoft.com/office/drawing/2014/main" id="{5C7549EB-5BE5-4261-BA43-964B14DE41A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88" name="Picture 2787">
          <a:extLst>
            <a:ext uri="{FF2B5EF4-FFF2-40B4-BE49-F238E27FC236}">
              <a16:creationId xmlns:a16="http://schemas.microsoft.com/office/drawing/2014/main" id="{94C36A27-93A9-4F3D-8193-AF7AE15EB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789" name="AutoShape 511">
          <a:extLst>
            <a:ext uri="{FF2B5EF4-FFF2-40B4-BE49-F238E27FC236}">
              <a16:creationId xmlns:a16="http://schemas.microsoft.com/office/drawing/2014/main" id="{F35D25D8-F0DE-4A57-88D9-4ED5DF373B5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90" name="Picture 2789">
          <a:extLst>
            <a:ext uri="{FF2B5EF4-FFF2-40B4-BE49-F238E27FC236}">
              <a16:creationId xmlns:a16="http://schemas.microsoft.com/office/drawing/2014/main" id="{127D4926-700A-4B68-928B-79F675E14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3439"/>
    <xdr:sp macro="" textlink="">
      <xdr:nvSpPr>
        <xdr:cNvPr id="2791" name="AutoShape 513">
          <a:extLst>
            <a:ext uri="{FF2B5EF4-FFF2-40B4-BE49-F238E27FC236}">
              <a16:creationId xmlns:a16="http://schemas.microsoft.com/office/drawing/2014/main" id="{6BE5F7C1-72FC-4C0F-9049-BE1D07576304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92" name="Picture 2791">
          <a:extLst>
            <a:ext uri="{FF2B5EF4-FFF2-40B4-BE49-F238E27FC236}">
              <a16:creationId xmlns:a16="http://schemas.microsoft.com/office/drawing/2014/main" id="{C858D677-547E-4217-922A-C527ECAA3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793" name="AutoShape 515">
          <a:extLst>
            <a:ext uri="{FF2B5EF4-FFF2-40B4-BE49-F238E27FC236}">
              <a16:creationId xmlns:a16="http://schemas.microsoft.com/office/drawing/2014/main" id="{D314F835-BC5A-4FEA-A7E4-35718B875CA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94" name="Picture 2793">
          <a:extLst>
            <a:ext uri="{FF2B5EF4-FFF2-40B4-BE49-F238E27FC236}">
              <a16:creationId xmlns:a16="http://schemas.microsoft.com/office/drawing/2014/main" id="{AFCDD193-864C-47B9-B11C-1DAF406DE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795" name="AutoShape 517">
          <a:extLst>
            <a:ext uri="{FF2B5EF4-FFF2-40B4-BE49-F238E27FC236}">
              <a16:creationId xmlns:a16="http://schemas.microsoft.com/office/drawing/2014/main" id="{6122B57E-1AC9-45C4-8CD0-DA66B0D8CB2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96" name="Picture 2795">
          <a:extLst>
            <a:ext uri="{FF2B5EF4-FFF2-40B4-BE49-F238E27FC236}">
              <a16:creationId xmlns:a16="http://schemas.microsoft.com/office/drawing/2014/main" id="{491153A6-8ECF-4D3E-B9AB-0DCA2B285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2797" name="AutoShape 519">
          <a:extLst>
            <a:ext uri="{FF2B5EF4-FFF2-40B4-BE49-F238E27FC236}">
              <a16:creationId xmlns:a16="http://schemas.microsoft.com/office/drawing/2014/main" id="{95093019-5634-40D1-8600-E8BDA6CC6526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98" name="Picture 2797">
          <a:extLst>
            <a:ext uri="{FF2B5EF4-FFF2-40B4-BE49-F238E27FC236}">
              <a16:creationId xmlns:a16="http://schemas.microsoft.com/office/drawing/2014/main" id="{319093F1-F403-4D52-B5F1-7131BDA20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799" name="Picture 2798">
          <a:extLst>
            <a:ext uri="{FF2B5EF4-FFF2-40B4-BE49-F238E27FC236}">
              <a16:creationId xmlns:a16="http://schemas.microsoft.com/office/drawing/2014/main" id="{D6BF5723-E135-43A8-BA1F-B4FF01401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3440"/>
    <xdr:sp macro="" textlink="">
      <xdr:nvSpPr>
        <xdr:cNvPr id="2800" name="AutoShape 525">
          <a:extLst>
            <a:ext uri="{FF2B5EF4-FFF2-40B4-BE49-F238E27FC236}">
              <a16:creationId xmlns:a16="http://schemas.microsoft.com/office/drawing/2014/main" id="{DCFAC24E-692F-4C09-AE73-A3F574BF5C8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27</xdr:row>
      <xdr:rowOff>0</xdr:rowOff>
    </xdr:from>
    <xdr:ext cx="9525" cy="9525"/>
    <xdr:pic>
      <xdr:nvPicPr>
        <xdr:cNvPr id="2801" name="Picture 2800">
          <a:extLst>
            <a:ext uri="{FF2B5EF4-FFF2-40B4-BE49-F238E27FC236}">
              <a16:creationId xmlns:a16="http://schemas.microsoft.com/office/drawing/2014/main" id="{2C97F392-0C0D-4BBA-9FB0-F10C7DDED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26</xdr:row>
      <xdr:rowOff>0</xdr:rowOff>
    </xdr:from>
    <xdr:ext cx="304800" cy="303439"/>
    <xdr:sp macro="" textlink="">
      <xdr:nvSpPr>
        <xdr:cNvPr id="2802" name="AutoShape 527">
          <a:extLst>
            <a:ext uri="{FF2B5EF4-FFF2-40B4-BE49-F238E27FC236}">
              <a16:creationId xmlns:a16="http://schemas.microsoft.com/office/drawing/2014/main" id="{7603F929-485D-4DB1-A09E-C5C9994F886E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803" name="Picture 2802">
          <a:extLst>
            <a:ext uri="{FF2B5EF4-FFF2-40B4-BE49-F238E27FC236}">
              <a16:creationId xmlns:a16="http://schemas.microsoft.com/office/drawing/2014/main" id="{EBBD3249-537E-4375-8F05-B7605A23B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27</xdr:row>
      <xdr:rowOff>0</xdr:rowOff>
    </xdr:from>
    <xdr:ext cx="304800" cy="303439"/>
    <xdr:sp macro="" textlink="">
      <xdr:nvSpPr>
        <xdr:cNvPr id="2804" name="AutoShape 529">
          <a:extLst>
            <a:ext uri="{FF2B5EF4-FFF2-40B4-BE49-F238E27FC236}">
              <a16:creationId xmlns:a16="http://schemas.microsoft.com/office/drawing/2014/main" id="{AD0FC637-1592-46E2-9BC5-7B568FC5601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477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2805" name="Picture 2804">
          <a:extLst>
            <a:ext uri="{FF2B5EF4-FFF2-40B4-BE49-F238E27FC236}">
              <a16:creationId xmlns:a16="http://schemas.microsoft.com/office/drawing/2014/main" id="{50D6457A-AEC3-4418-81BA-EADDB1538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3439"/>
    <xdr:sp macro="" textlink="">
      <xdr:nvSpPr>
        <xdr:cNvPr id="2806" name="AutoShape 531">
          <a:extLst>
            <a:ext uri="{FF2B5EF4-FFF2-40B4-BE49-F238E27FC236}">
              <a16:creationId xmlns:a16="http://schemas.microsoft.com/office/drawing/2014/main" id="{C2CFE924-63F8-44DC-B187-0CF59ECEC1BE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7</xdr:row>
      <xdr:rowOff>0</xdr:rowOff>
    </xdr:from>
    <xdr:ext cx="9525" cy="9525"/>
    <xdr:pic>
      <xdr:nvPicPr>
        <xdr:cNvPr id="2807" name="Picture 2806">
          <a:extLst>
            <a:ext uri="{FF2B5EF4-FFF2-40B4-BE49-F238E27FC236}">
              <a16:creationId xmlns:a16="http://schemas.microsoft.com/office/drawing/2014/main" id="{0946FA9E-0BAF-40EE-ACEF-49DE04D51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</xdr:row>
      <xdr:rowOff>0</xdr:rowOff>
    </xdr:from>
    <xdr:ext cx="9525" cy="9525"/>
    <xdr:pic>
      <xdr:nvPicPr>
        <xdr:cNvPr id="2808" name="Picture 2807">
          <a:extLst>
            <a:ext uri="{FF2B5EF4-FFF2-40B4-BE49-F238E27FC236}">
              <a16:creationId xmlns:a16="http://schemas.microsoft.com/office/drawing/2014/main" id="{77005DA7-2DF3-43B7-B0A1-CABD5D397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</xdr:row>
      <xdr:rowOff>0</xdr:rowOff>
    </xdr:from>
    <xdr:ext cx="304800" cy="304800"/>
    <xdr:sp macro="" textlink="">
      <xdr:nvSpPr>
        <xdr:cNvPr id="2809" name="AutoShape 183">
          <a:extLst>
            <a:ext uri="{FF2B5EF4-FFF2-40B4-BE49-F238E27FC236}">
              <a16:creationId xmlns:a16="http://schemas.microsoft.com/office/drawing/2014/main" id="{06E86C51-8117-46E9-9112-2FCC81864405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7</xdr:row>
      <xdr:rowOff>0</xdr:rowOff>
    </xdr:from>
    <xdr:ext cx="9525" cy="9525"/>
    <xdr:pic>
      <xdr:nvPicPr>
        <xdr:cNvPr id="2810" name="Picture 2809">
          <a:extLst>
            <a:ext uri="{FF2B5EF4-FFF2-40B4-BE49-F238E27FC236}">
              <a16:creationId xmlns:a16="http://schemas.microsoft.com/office/drawing/2014/main" id="{8B6F9E9A-F1C0-4DEE-89D4-8C7FB4077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</xdr:row>
      <xdr:rowOff>0</xdr:rowOff>
    </xdr:from>
    <xdr:ext cx="304800" cy="304800"/>
    <xdr:sp macro="" textlink="">
      <xdr:nvSpPr>
        <xdr:cNvPr id="2811" name="AutoShape 209">
          <a:extLst>
            <a:ext uri="{FF2B5EF4-FFF2-40B4-BE49-F238E27FC236}">
              <a16:creationId xmlns:a16="http://schemas.microsoft.com/office/drawing/2014/main" id="{791F9B33-D84C-476B-BEDD-A44644C82B3E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7</xdr:row>
      <xdr:rowOff>0</xdr:rowOff>
    </xdr:from>
    <xdr:ext cx="9525" cy="9525"/>
    <xdr:pic>
      <xdr:nvPicPr>
        <xdr:cNvPr id="2812" name="Picture 2811">
          <a:extLst>
            <a:ext uri="{FF2B5EF4-FFF2-40B4-BE49-F238E27FC236}">
              <a16:creationId xmlns:a16="http://schemas.microsoft.com/office/drawing/2014/main" id="{1C54FF58-34FA-485A-BA3D-A96B43A02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</xdr:row>
      <xdr:rowOff>0</xdr:rowOff>
    </xdr:from>
    <xdr:ext cx="304800" cy="304800"/>
    <xdr:sp macro="" textlink="">
      <xdr:nvSpPr>
        <xdr:cNvPr id="2813" name="AutoShape 233">
          <a:extLst>
            <a:ext uri="{FF2B5EF4-FFF2-40B4-BE49-F238E27FC236}">
              <a16:creationId xmlns:a16="http://schemas.microsoft.com/office/drawing/2014/main" id="{03AB6AD9-7200-4CCC-82A7-93E8399DB777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7</xdr:row>
      <xdr:rowOff>0</xdr:rowOff>
    </xdr:from>
    <xdr:ext cx="9525" cy="9525"/>
    <xdr:pic>
      <xdr:nvPicPr>
        <xdr:cNvPr id="2814" name="Picture 2813">
          <a:extLst>
            <a:ext uri="{FF2B5EF4-FFF2-40B4-BE49-F238E27FC236}">
              <a16:creationId xmlns:a16="http://schemas.microsoft.com/office/drawing/2014/main" id="{E314BCBF-3EC2-429A-AFB9-74942F5E6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</xdr:row>
      <xdr:rowOff>0</xdr:rowOff>
    </xdr:from>
    <xdr:ext cx="304800" cy="304800"/>
    <xdr:sp macro="" textlink="">
      <xdr:nvSpPr>
        <xdr:cNvPr id="2815" name="AutoShape 259">
          <a:extLst>
            <a:ext uri="{FF2B5EF4-FFF2-40B4-BE49-F238E27FC236}">
              <a16:creationId xmlns:a16="http://schemas.microsoft.com/office/drawing/2014/main" id="{01123895-F3B6-467A-8C6D-D6795C7414F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7</xdr:row>
      <xdr:rowOff>0</xdr:rowOff>
    </xdr:from>
    <xdr:ext cx="9525" cy="9525"/>
    <xdr:pic>
      <xdr:nvPicPr>
        <xdr:cNvPr id="2816" name="Picture 2815">
          <a:extLst>
            <a:ext uri="{FF2B5EF4-FFF2-40B4-BE49-F238E27FC236}">
              <a16:creationId xmlns:a16="http://schemas.microsoft.com/office/drawing/2014/main" id="{E144D253-CA40-452A-99CD-267780FD5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</xdr:row>
      <xdr:rowOff>0</xdr:rowOff>
    </xdr:from>
    <xdr:ext cx="304800" cy="304800"/>
    <xdr:sp macro="" textlink="">
      <xdr:nvSpPr>
        <xdr:cNvPr id="2817" name="AutoShape 311">
          <a:extLst>
            <a:ext uri="{FF2B5EF4-FFF2-40B4-BE49-F238E27FC236}">
              <a16:creationId xmlns:a16="http://schemas.microsoft.com/office/drawing/2014/main" id="{054AA004-B834-493E-9EA1-B7D6FA183520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7</xdr:row>
      <xdr:rowOff>0</xdr:rowOff>
    </xdr:from>
    <xdr:ext cx="9525" cy="9525"/>
    <xdr:pic>
      <xdr:nvPicPr>
        <xdr:cNvPr id="2818" name="Picture 2817">
          <a:extLst>
            <a:ext uri="{FF2B5EF4-FFF2-40B4-BE49-F238E27FC236}">
              <a16:creationId xmlns:a16="http://schemas.microsoft.com/office/drawing/2014/main" id="{359B3B6E-59A5-4C18-8F65-4F3719ED7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</xdr:row>
      <xdr:rowOff>0</xdr:rowOff>
    </xdr:from>
    <xdr:ext cx="304800" cy="304800"/>
    <xdr:sp macro="" textlink="">
      <xdr:nvSpPr>
        <xdr:cNvPr id="2819" name="AutoShape 363">
          <a:extLst>
            <a:ext uri="{FF2B5EF4-FFF2-40B4-BE49-F238E27FC236}">
              <a16:creationId xmlns:a16="http://schemas.microsoft.com/office/drawing/2014/main" id="{AA0C54A5-6BC4-4ADE-B70D-5798B3DF6D4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7</xdr:row>
      <xdr:rowOff>0</xdr:rowOff>
    </xdr:from>
    <xdr:ext cx="9525" cy="9525"/>
    <xdr:pic>
      <xdr:nvPicPr>
        <xdr:cNvPr id="2820" name="Picture 2819">
          <a:extLst>
            <a:ext uri="{FF2B5EF4-FFF2-40B4-BE49-F238E27FC236}">
              <a16:creationId xmlns:a16="http://schemas.microsoft.com/office/drawing/2014/main" id="{76EE6595-CC69-4AF6-8528-5E123827A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</xdr:row>
      <xdr:rowOff>0</xdr:rowOff>
    </xdr:from>
    <xdr:ext cx="304800" cy="304800"/>
    <xdr:sp macro="" textlink="">
      <xdr:nvSpPr>
        <xdr:cNvPr id="2821" name="AutoShape 419">
          <a:extLst>
            <a:ext uri="{FF2B5EF4-FFF2-40B4-BE49-F238E27FC236}">
              <a16:creationId xmlns:a16="http://schemas.microsoft.com/office/drawing/2014/main" id="{CF145911-A8AE-4C85-AD33-7FE2FA9C03F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7</xdr:row>
      <xdr:rowOff>0</xdr:rowOff>
    </xdr:from>
    <xdr:ext cx="9525" cy="9525"/>
    <xdr:pic>
      <xdr:nvPicPr>
        <xdr:cNvPr id="2822" name="Picture 2821">
          <a:extLst>
            <a:ext uri="{FF2B5EF4-FFF2-40B4-BE49-F238E27FC236}">
              <a16:creationId xmlns:a16="http://schemas.microsoft.com/office/drawing/2014/main" id="{DB1CC8DC-F44D-4F0A-ADBD-900518F25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</xdr:row>
      <xdr:rowOff>0</xdr:rowOff>
    </xdr:from>
    <xdr:ext cx="304800" cy="304800"/>
    <xdr:sp macro="" textlink="">
      <xdr:nvSpPr>
        <xdr:cNvPr id="2823" name="AutoShape 475">
          <a:extLst>
            <a:ext uri="{FF2B5EF4-FFF2-40B4-BE49-F238E27FC236}">
              <a16:creationId xmlns:a16="http://schemas.microsoft.com/office/drawing/2014/main" id="{00A335A9-6021-44BB-A1AA-41D697BAE52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7</xdr:row>
      <xdr:rowOff>0</xdr:rowOff>
    </xdr:from>
    <xdr:ext cx="9525" cy="9525"/>
    <xdr:pic>
      <xdr:nvPicPr>
        <xdr:cNvPr id="2824" name="Picture 2823">
          <a:extLst>
            <a:ext uri="{FF2B5EF4-FFF2-40B4-BE49-F238E27FC236}">
              <a16:creationId xmlns:a16="http://schemas.microsoft.com/office/drawing/2014/main" id="{46667276-7FEF-4977-819B-5B702C944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9525" cy="9525"/>
    <xdr:pic>
      <xdr:nvPicPr>
        <xdr:cNvPr id="2825" name="Picture 2824">
          <a:extLst>
            <a:ext uri="{FF2B5EF4-FFF2-40B4-BE49-F238E27FC236}">
              <a16:creationId xmlns:a16="http://schemas.microsoft.com/office/drawing/2014/main" id="{A0202B3D-6423-48A7-8D88-AB6173554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9525" cy="9525"/>
    <xdr:pic>
      <xdr:nvPicPr>
        <xdr:cNvPr id="2826" name="Picture 2825">
          <a:extLst>
            <a:ext uri="{FF2B5EF4-FFF2-40B4-BE49-F238E27FC236}">
              <a16:creationId xmlns:a16="http://schemas.microsoft.com/office/drawing/2014/main" id="{E83B909E-E29F-4180-8F91-67FF4CF05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4800"/>
    <xdr:sp macro="" textlink="">
      <xdr:nvSpPr>
        <xdr:cNvPr id="2827" name="AutoShape 183">
          <a:extLst>
            <a:ext uri="{FF2B5EF4-FFF2-40B4-BE49-F238E27FC236}">
              <a16:creationId xmlns:a16="http://schemas.microsoft.com/office/drawing/2014/main" id="{D2F6FE30-7D66-4F60-927F-D2A320CB7A7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15</xdr:row>
      <xdr:rowOff>0</xdr:rowOff>
    </xdr:from>
    <xdr:ext cx="9525" cy="9525"/>
    <xdr:pic>
      <xdr:nvPicPr>
        <xdr:cNvPr id="2828" name="Picture 2827">
          <a:extLst>
            <a:ext uri="{FF2B5EF4-FFF2-40B4-BE49-F238E27FC236}">
              <a16:creationId xmlns:a16="http://schemas.microsoft.com/office/drawing/2014/main" id="{D3C3ED68-AE45-4B8A-907C-85B544D51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4800"/>
    <xdr:sp macro="" textlink="">
      <xdr:nvSpPr>
        <xdr:cNvPr id="2829" name="AutoShape 209">
          <a:extLst>
            <a:ext uri="{FF2B5EF4-FFF2-40B4-BE49-F238E27FC236}">
              <a16:creationId xmlns:a16="http://schemas.microsoft.com/office/drawing/2014/main" id="{AEE0FD09-CE93-4225-B150-4E8322BA7ED4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15</xdr:row>
      <xdr:rowOff>0</xdr:rowOff>
    </xdr:from>
    <xdr:ext cx="9525" cy="9525"/>
    <xdr:pic>
      <xdr:nvPicPr>
        <xdr:cNvPr id="2830" name="Picture 2829">
          <a:extLst>
            <a:ext uri="{FF2B5EF4-FFF2-40B4-BE49-F238E27FC236}">
              <a16:creationId xmlns:a16="http://schemas.microsoft.com/office/drawing/2014/main" id="{2A7EA05E-7933-423C-BCE6-BB760EE89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4800"/>
    <xdr:sp macro="" textlink="">
      <xdr:nvSpPr>
        <xdr:cNvPr id="2831" name="AutoShape 233">
          <a:extLst>
            <a:ext uri="{FF2B5EF4-FFF2-40B4-BE49-F238E27FC236}">
              <a16:creationId xmlns:a16="http://schemas.microsoft.com/office/drawing/2014/main" id="{E12965DD-BD0E-4B5E-96EA-33ED63901D6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15</xdr:row>
      <xdr:rowOff>0</xdr:rowOff>
    </xdr:from>
    <xdr:ext cx="9525" cy="9525"/>
    <xdr:pic>
      <xdr:nvPicPr>
        <xdr:cNvPr id="2832" name="Picture 2831">
          <a:extLst>
            <a:ext uri="{FF2B5EF4-FFF2-40B4-BE49-F238E27FC236}">
              <a16:creationId xmlns:a16="http://schemas.microsoft.com/office/drawing/2014/main" id="{A7FE80A8-2550-4E6E-A691-618465D1F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4800"/>
    <xdr:sp macro="" textlink="">
      <xdr:nvSpPr>
        <xdr:cNvPr id="2833" name="AutoShape 259">
          <a:extLst>
            <a:ext uri="{FF2B5EF4-FFF2-40B4-BE49-F238E27FC236}">
              <a16:creationId xmlns:a16="http://schemas.microsoft.com/office/drawing/2014/main" id="{CEC0D7EA-3FC1-48E7-B3AC-51A4214B43C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15</xdr:row>
      <xdr:rowOff>0</xdr:rowOff>
    </xdr:from>
    <xdr:ext cx="9525" cy="9525"/>
    <xdr:pic>
      <xdr:nvPicPr>
        <xdr:cNvPr id="2834" name="Picture 2833">
          <a:extLst>
            <a:ext uri="{FF2B5EF4-FFF2-40B4-BE49-F238E27FC236}">
              <a16:creationId xmlns:a16="http://schemas.microsoft.com/office/drawing/2014/main" id="{D2C0378D-B1B8-43D3-BF4D-AC31CB089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4800"/>
    <xdr:sp macro="" textlink="">
      <xdr:nvSpPr>
        <xdr:cNvPr id="2835" name="AutoShape 311">
          <a:extLst>
            <a:ext uri="{FF2B5EF4-FFF2-40B4-BE49-F238E27FC236}">
              <a16:creationId xmlns:a16="http://schemas.microsoft.com/office/drawing/2014/main" id="{7288F662-06A6-427C-8BE6-59B0281634C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15</xdr:row>
      <xdr:rowOff>0</xdr:rowOff>
    </xdr:from>
    <xdr:ext cx="9525" cy="9525"/>
    <xdr:pic>
      <xdr:nvPicPr>
        <xdr:cNvPr id="2836" name="Picture 2835">
          <a:extLst>
            <a:ext uri="{FF2B5EF4-FFF2-40B4-BE49-F238E27FC236}">
              <a16:creationId xmlns:a16="http://schemas.microsoft.com/office/drawing/2014/main" id="{1C836605-3F1B-41C4-B0A5-62078D842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4800"/>
    <xdr:sp macro="" textlink="">
      <xdr:nvSpPr>
        <xdr:cNvPr id="2837" name="AutoShape 363">
          <a:extLst>
            <a:ext uri="{FF2B5EF4-FFF2-40B4-BE49-F238E27FC236}">
              <a16:creationId xmlns:a16="http://schemas.microsoft.com/office/drawing/2014/main" id="{0A0E6C50-B093-409E-89B4-838A04912A55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15</xdr:row>
      <xdr:rowOff>0</xdr:rowOff>
    </xdr:from>
    <xdr:ext cx="9525" cy="9525"/>
    <xdr:pic>
      <xdr:nvPicPr>
        <xdr:cNvPr id="2838" name="Picture 2837">
          <a:extLst>
            <a:ext uri="{FF2B5EF4-FFF2-40B4-BE49-F238E27FC236}">
              <a16:creationId xmlns:a16="http://schemas.microsoft.com/office/drawing/2014/main" id="{E87B6AE1-A028-49F8-B37F-A2CC4F8E7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4800"/>
    <xdr:sp macro="" textlink="">
      <xdr:nvSpPr>
        <xdr:cNvPr id="2839" name="AutoShape 419">
          <a:extLst>
            <a:ext uri="{FF2B5EF4-FFF2-40B4-BE49-F238E27FC236}">
              <a16:creationId xmlns:a16="http://schemas.microsoft.com/office/drawing/2014/main" id="{8B717AD8-BC4D-4FC1-B162-6E72C6C13C5B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15</xdr:row>
      <xdr:rowOff>0</xdr:rowOff>
    </xdr:from>
    <xdr:ext cx="9525" cy="9525"/>
    <xdr:pic>
      <xdr:nvPicPr>
        <xdr:cNvPr id="2840" name="Picture 2839">
          <a:extLst>
            <a:ext uri="{FF2B5EF4-FFF2-40B4-BE49-F238E27FC236}">
              <a16:creationId xmlns:a16="http://schemas.microsoft.com/office/drawing/2014/main" id="{2F01A8F6-FBDD-4126-A45B-3FA02B9A1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4800"/>
    <xdr:sp macro="" textlink="">
      <xdr:nvSpPr>
        <xdr:cNvPr id="2841" name="AutoShape 475">
          <a:extLst>
            <a:ext uri="{FF2B5EF4-FFF2-40B4-BE49-F238E27FC236}">
              <a16:creationId xmlns:a16="http://schemas.microsoft.com/office/drawing/2014/main" id="{7888F854-9029-4A13-9D7A-D7A7712FFF5E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15</xdr:row>
      <xdr:rowOff>0</xdr:rowOff>
    </xdr:from>
    <xdr:ext cx="9525" cy="9525"/>
    <xdr:pic>
      <xdr:nvPicPr>
        <xdr:cNvPr id="2842" name="Picture 2841">
          <a:extLst>
            <a:ext uri="{FF2B5EF4-FFF2-40B4-BE49-F238E27FC236}">
              <a16:creationId xmlns:a16="http://schemas.microsoft.com/office/drawing/2014/main" id="{DC84059A-B33E-441B-A9D2-75A85BC7F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21</xdr:row>
      <xdr:rowOff>0</xdr:rowOff>
    </xdr:from>
    <xdr:ext cx="304800" cy="304800"/>
    <xdr:sp macro="" textlink="">
      <xdr:nvSpPr>
        <xdr:cNvPr id="2843" name="AutoShape 154">
          <a:extLst>
            <a:ext uri="{FF2B5EF4-FFF2-40B4-BE49-F238E27FC236}">
              <a16:creationId xmlns:a16="http://schemas.microsoft.com/office/drawing/2014/main" id="{7D414D64-EB88-4214-BC25-957B0AF32C5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21</xdr:row>
      <xdr:rowOff>0</xdr:rowOff>
    </xdr:from>
    <xdr:ext cx="304800" cy="304800"/>
    <xdr:sp macro="" textlink="">
      <xdr:nvSpPr>
        <xdr:cNvPr id="2844" name="AutoShape 505">
          <a:extLst>
            <a:ext uri="{FF2B5EF4-FFF2-40B4-BE49-F238E27FC236}">
              <a16:creationId xmlns:a16="http://schemas.microsoft.com/office/drawing/2014/main" id="{0AF20C09-E131-455F-B1D5-9D8E7D578DC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21</xdr:row>
      <xdr:rowOff>0</xdr:rowOff>
    </xdr:from>
    <xdr:ext cx="9525" cy="9525"/>
    <xdr:pic>
      <xdr:nvPicPr>
        <xdr:cNvPr id="2845" name="Picture 2844">
          <a:extLst>
            <a:ext uri="{FF2B5EF4-FFF2-40B4-BE49-F238E27FC236}">
              <a16:creationId xmlns:a16="http://schemas.microsoft.com/office/drawing/2014/main" id="{5BD67DBF-AF24-4A52-BBF7-07485776C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21</xdr:row>
      <xdr:rowOff>0</xdr:rowOff>
    </xdr:from>
    <xdr:ext cx="9525" cy="9525"/>
    <xdr:pic>
      <xdr:nvPicPr>
        <xdr:cNvPr id="2846" name="Picture 2845">
          <a:extLst>
            <a:ext uri="{FF2B5EF4-FFF2-40B4-BE49-F238E27FC236}">
              <a16:creationId xmlns:a16="http://schemas.microsoft.com/office/drawing/2014/main" id="{16234966-16FE-40BA-BEF2-4CEE16A92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21</xdr:row>
      <xdr:rowOff>0</xdr:rowOff>
    </xdr:from>
    <xdr:ext cx="304800" cy="304800"/>
    <xdr:sp macro="" textlink="">
      <xdr:nvSpPr>
        <xdr:cNvPr id="2847" name="AutoShape 183">
          <a:extLst>
            <a:ext uri="{FF2B5EF4-FFF2-40B4-BE49-F238E27FC236}">
              <a16:creationId xmlns:a16="http://schemas.microsoft.com/office/drawing/2014/main" id="{2A957CF4-CD7E-45F6-9FBC-E1DA31EAB4A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21</xdr:row>
      <xdr:rowOff>0</xdr:rowOff>
    </xdr:from>
    <xdr:ext cx="9525" cy="9525"/>
    <xdr:pic>
      <xdr:nvPicPr>
        <xdr:cNvPr id="2848" name="Picture 2847">
          <a:extLst>
            <a:ext uri="{FF2B5EF4-FFF2-40B4-BE49-F238E27FC236}">
              <a16:creationId xmlns:a16="http://schemas.microsoft.com/office/drawing/2014/main" id="{066E0528-3F79-4451-BC11-8671B7616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21</xdr:row>
      <xdr:rowOff>0</xdr:rowOff>
    </xdr:from>
    <xdr:ext cx="304800" cy="304800"/>
    <xdr:sp macro="" textlink="">
      <xdr:nvSpPr>
        <xdr:cNvPr id="2849" name="AutoShape 209">
          <a:extLst>
            <a:ext uri="{FF2B5EF4-FFF2-40B4-BE49-F238E27FC236}">
              <a16:creationId xmlns:a16="http://schemas.microsoft.com/office/drawing/2014/main" id="{1D9D3672-1002-458E-8606-C1EDE3C1DA84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21</xdr:row>
      <xdr:rowOff>0</xdr:rowOff>
    </xdr:from>
    <xdr:ext cx="9525" cy="9525"/>
    <xdr:pic>
      <xdr:nvPicPr>
        <xdr:cNvPr id="2850" name="Picture 2849">
          <a:extLst>
            <a:ext uri="{FF2B5EF4-FFF2-40B4-BE49-F238E27FC236}">
              <a16:creationId xmlns:a16="http://schemas.microsoft.com/office/drawing/2014/main" id="{7F078EBC-D5A9-46FD-B087-E5A3AA1CB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21</xdr:row>
      <xdr:rowOff>0</xdr:rowOff>
    </xdr:from>
    <xdr:ext cx="304800" cy="304800"/>
    <xdr:sp macro="" textlink="">
      <xdr:nvSpPr>
        <xdr:cNvPr id="2851" name="AutoShape 233">
          <a:extLst>
            <a:ext uri="{FF2B5EF4-FFF2-40B4-BE49-F238E27FC236}">
              <a16:creationId xmlns:a16="http://schemas.microsoft.com/office/drawing/2014/main" id="{CE1C4C59-AC38-4D67-B34C-54FB248179E0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21</xdr:row>
      <xdr:rowOff>0</xdr:rowOff>
    </xdr:from>
    <xdr:ext cx="9525" cy="9525"/>
    <xdr:pic>
      <xdr:nvPicPr>
        <xdr:cNvPr id="2852" name="Picture 2851">
          <a:extLst>
            <a:ext uri="{FF2B5EF4-FFF2-40B4-BE49-F238E27FC236}">
              <a16:creationId xmlns:a16="http://schemas.microsoft.com/office/drawing/2014/main" id="{AC9449AE-88F7-4457-8FAF-FD389CF1E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21</xdr:row>
      <xdr:rowOff>0</xdr:rowOff>
    </xdr:from>
    <xdr:ext cx="304800" cy="304800"/>
    <xdr:sp macro="" textlink="">
      <xdr:nvSpPr>
        <xdr:cNvPr id="2853" name="AutoShape 259">
          <a:extLst>
            <a:ext uri="{FF2B5EF4-FFF2-40B4-BE49-F238E27FC236}">
              <a16:creationId xmlns:a16="http://schemas.microsoft.com/office/drawing/2014/main" id="{4CEEA637-3DAC-4985-A66C-388CA4796C8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21</xdr:row>
      <xdr:rowOff>0</xdr:rowOff>
    </xdr:from>
    <xdr:ext cx="9525" cy="9525"/>
    <xdr:pic>
      <xdr:nvPicPr>
        <xdr:cNvPr id="2854" name="Picture 2853">
          <a:extLst>
            <a:ext uri="{FF2B5EF4-FFF2-40B4-BE49-F238E27FC236}">
              <a16:creationId xmlns:a16="http://schemas.microsoft.com/office/drawing/2014/main" id="{7E884230-C27A-450A-8BF0-AF6498AB6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21</xdr:row>
      <xdr:rowOff>0</xdr:rowOff>
    </xdr:from>
    <xdr:ext cx="304800" cy="304800"/>
    <xdr:sp macro="" textlink="">
      <xdr:nvSpPr>
        <xdr:cNvPr id="2855" name="AutoShape 311">
          <a:extLst>
            <a:ext uri="{FF2B5EF4-FFF2-40B4-BE49-F238E27FC236}">
              <a16:creationId xmlns:a16="http://schemas.microsoft.com/office/drawing/2014/main" id="{345C0055-962B-4F92-A004-B51A2E2B72E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21</xdr:row>
      <xdr:rowOff>0</xdr:rowOff>
    </xdr:from>
    <xdr:ext cx="9525" cy="9525"/>
    <xdr:pic>
      <xdr:nvPicPr>
        <xdr:cNvPr id="2856" name="Picture 2855">
          <a:extLst>
            <a:ext uri="{FF2B5EF4-FFF2-40B4-BE49-F238E27FC236}">
              <a16:creationId xmlns:a16="http://schemas.microsoft.com/office/drawing/2014/main" id="{2CD992FD-8BE9-437D-A6D6-82A7427D0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21</xdr:row>
      <xdr:rowOff>0</xdr:rowOff>
    </xdr:from>
    <xdr:ext cx="304800" cy="304800"/>
    <xdr:sp macro="" textlink="">
      <xdr:nvSpPr>
        <xdr:cNvPr id="2857" name="AutoShape 363">
          <a:extLst>
            <a:ext uri="{FF2B5EF4-FFF2-40B4-BE49-F238E27FC236}">
              <a16:creationId xmlns:a16="http://schemas.microsoft.com/office/drawing/2014/main" id="{B6CFB5B1-B665-4B29-BDDA-EBE1D3715A2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21</xdr:row>
      <xdr:rowOff>0</xdr:rowOff>
    </xdr:from>
    <xdr:ext cx="9525" cy="9525"/>
    <xdr:pic>
      <xdr:nvPicPr>
        <xdr:cNvPr id="2858" name="Picture 2857">
          <a:extLst>
            <a:ext uri="{FF2B5EF4-FFF2-40B4-BE49-F238E27FC236}">
              <a16:creationId xmlns:a16="http://schemas.microsoft.com/office/drawing/2014/main" id="{9DF4F90F-0FCF-4738-8339-CD3E21F55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21</xdr:row>
      <xdr:rowOff>0</xdr:rowOff>
    </xdr:from>
    <xdr:ext cx="304800" cy="304800"/>
    <xdr:sp macro="" textlink="">
      <xdr:nvSpPr>
        <xdr:cNvPr id="2859" name="AutoShape 419">
          <a:extLst>
            <a:ext uri="{FF2B5EF4-FFF2-40B4-BE49-F238E27FC236}">
              <a16:creationId xmlns:a16="http://schemas.microsoft.com/office/drawing/2014/main" id="{F85D82E4-4703-42C3-BD80-3B62384FB714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21</xdr:row>
      <xdr:rowOff>0</xdr:rowOff>
    </xdr:from>
    <xdr:ext cx="9525" cy="9525"/>
    <xdr:pic>
      <xdr:nvPicPr>
        <xdr:cNvPr id="2860" name="Picture 2859">
          <a:extLst>
            <a:ext uri="{FF2B5EF4-FFF2-40B4-BE49-F238E27FC236}">
              <a16:creationId xmlns:a16="http://schemas.microsoft.com/office/drawing/2014/main" id="{C172B55E-CD41-4FCB-8C52-F942642F2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21</xdr:row>
      <xdr:rowOff>0</xdr:rowOff>
    </xdr:from>
    <xdr:ext cx="304800" cy="304800"/>
    <xdr:sp macro="" textlink="">
      <xdr:nvSpPr>
        <xdr:cNvPr id="2861" name="AutoShape 475">
          <a:extLst>
            <a:ext uri="{FF2B5EF4-FFF2-40B4-BE49-F238E27FC236}">
              <a16:creationId xmlns:a16="http://schemas.microsoft.com/office/drawing/2014/main" id="{B4289C99-EB7E-45DF-B6C3-46355C1462D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21</xdr:row>
      <xdr:rowOff>0</xdr:rowOff>
    </xdr:from>
    <xdr:ext cx="9525" cy="9525"/>
    <xdr:pic>
      <xdr:nvPicPr>
        <xdr:cNvPr id="2862" name="Picture 2861">
          <a:extLst>
            <a:ext uri="{FF2B5EF4-FFF2-40B4-BE49-F238E27FC236}">
              <a16:creationId xmlns:a16="http://schemas.microsoft.com/office/drawing/2014/main" id="{20B6CDFC-3061-4F7E-A56A-518E9BD18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16</xdr:row>
      <xdr:rowOff>0</xdr:rowOff>
    </xdr:from>
    <xdr:ext cx="9525" cy="9525"/>
    <xdr:pic>
      <xdr:nvPicPr>
        <xdr:cNvPr id="2863" name="Picture 2862">
          <a:extLst>
            <a:ext uri="{FF2B5EF4-FFF2-40B4-BE49-F238E27FC236}">
              <a16:creationId xmlns:a16="http://schemas.microsoft.com/office/drawing/2014/main" id="{44C48E89-A98F-4B67-9660-D4D641D68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3440"/>
    <xdr:sp macro="" textlink="">
      <xdr:nvSpPr>
        <xdr:cNvPr id="2864" name="AutoShape 169">
          <a:extLst>
            <a:ext uri="{FF2B5EF4-FFF2-40B4-BE49-F238E27FC236}">
              <a16:creationId xmlns:a16="http://schemas.microsoft.com/office/drawing/2014/main" id="{BE59817D-82C2-438C-AFDB-C71CD872297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16</xdr:row>
      <xdr:rowOff>0</xdr:rowOff>
    </xdr:from>
    <xdr:ext cx="304800" cy="303439"/>
    <xdr:sp macro="" textlink="">
      <xdr:nvSpPr>
        <xdr:cNvPr id="2865" name="AutoShape 171">
          <a:extLst>
            <a:ext uri="{FF2B5EF4-FFF2-40B4-BE49-F238E27FC236}">
              <a16:creationId xmlns:a16="http://schemas.microsoft.com/office/drawing/2014/main" id="{B661EA14-484F-48BE-BBF4-303533581604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16</xdr:row>
      <xdr:rowOff>0</xdr:rowOff>
    </xdr:from>
    <xdr:ext cx="9525" cy="9525"/>
    <xdr:pic>
      <xdr:nvPicPr>
        <xdr:cNvPr id="2866" name="Picture 2865">
          <a:extLst>
            <a:ext uri="{FF2B5EF4-FFF2-40B4-BE49-F238E27FC236}">
              <a16:creationId xmlns:a16="http://schemas.microsoft.com/office/drawing/2014/main" id="{39DE9EB3-4685-42D2-8604-97D460B9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3440"/>
    <xdr:sp macro="" textlink="">
      <xdr:nvSpPr>
        <xdr:cNvPr id="2867" name="AutoShape 199">
          <a:extLst>
            <a:ext uri="{FF2B5EF4-FFF2-40B4-BE49-F238E27FC236}">
              <a16:creationId xmlns:a16="http://schemas.microsoft.com/office/drawing/2014/main" id="{4A102023-E6FF-4571-9DE4-49ABDA291CB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16</xdr:row>
      <xdr:rowOff>0</xdr:rowOff>
    </xdr:from>
    <xdr:ext cx="9525" cy="9525"/>
    <xdr:pic>
      <xdr:nvPicPr>
        <xdr:cNvPr id="2868" name="Picture 2867">
          <a:extLst>
            <a:ext uri="{FF2B5EF4-FFF2-40B4-BE49-F238E27FC236}">
              <a16:creationId xmlns:a16="http://schemas.microsoft.com/office/drawing/2014/main" id="{0EDABAAE-7C88-45D3-8974-D17FACA7A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16</xdr:row>
      <xdr:rowOff>0</xdr:rowOff>
    </xdr:from>
    <xdr:ext cx="9525" cy="9525"/>
    <xdr:pic>
      <xdr:nvPicPr>
        <xdr:cNvPr id="2869" name="Picture 2868">
          <a:extLst>
            <a:ext uri="{FF2B5EF4-FFF2-40B4-BE49-F238E27FC236}">
              <a16:creationId xmlns:a16="http://schemas.microsoft.com/office/drawing/2014/main" id="{7557A570-E662-40C8-AA73-203FF3DB3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3440"/>
    <xdr:sp macro="" textlink="">
      <xdr:nvSpPr>
        <xdr:cNvPr id="2870" name="AutoShape 249">
          <a:extLst>
            <a:ext uri="{FF2B5EF4-FFF2-40B4-BE49-F238E27FC236}">
              <a16:creationId xmlns:a16="http://schemas.microsoft.com/office/drawing/2014/main" id="{F5CB4F0C-44A6-45BC-9EC0-6405E2EC9D3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16</xdr:row>
      <xdr:rowOff>0</xdr:rowOff>
    </xdr:from>
    <xdr:ext cx="9525" cy="9525"/>
    <xdr:pic>
      <xdr:nvPicPr>
        <xdr:cNvPr id="2871" name="Picture 2870">
          <a:extLst>
            <a:ext uri="{FF2B5EF4-FFF2-40B4-BE49-F238E27FC236}">
              <a16:creationId xmlns:a16="http://schemas.microsoft.com/office/drawing/2014/main" id="{F60D4851-6CBC-49F2-AC54-A09EC3031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3440"/>
    <xdr:sp macro="" textlink="">
      <xdr:nvSpPr>
        <xdr:cNvPr id="2872" name="AutoShape 275">
          <a:extLst>
            <a:ext uri="{FF2B5EF4-FFF2-40B4-BE49-F238E27FC236}">
              <a16:creationId xmlns:a16="http://schemas.microsoft.com/office/drawing/2014/main" id="{D6E372C8-F682-409C-B01F-31074EC4A06A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16</xdr:row>
      <xdr:rowOff>0</xdr:rowOff>
    </xdr:from>
    <xdr:ext cx="9525" cy="9525"/>
    <xdr:pic>
      <xdr:nvPicPr>
        <xdr:cNvPr id="2873" name="Picture 2872">
          <a:extLst>
            <a:ext uri="{FF2B5EF4-FFF2-40B4-BE49-F238E27FC236}">
              <a16:creationId xmlns:a16="http://schemas.microsoft.com/office/drawing/2014/main" id="{6CC17CB1-DFFB-4A2D-B717-8E854872B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3440"/>
    <xdr:sp macro="" textlink="">
      <xdr:nvSpPr>
        <xdr:cNvPr id="2874" name="AutoShape 327">
          <a:extLst>
            <a:ext uri="{FF2B5EF4-FFF2-40B4-BE49-F238E27FC236}">
              <a16:creationId xmlns:a16="http://schemas.microsoft.com/office/drawing/2014/main" id="{DA2F3C4C-1EBA-446A-8224-12D74C0EA574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16</xdr:row>
      <xdr:rowOff>0</xdr:rowOff>
    </xdr:from>
    <xdr:ext cx="9525" cy="9525"/>
    <xdr:pic>
      <xdr:nvPicPr>
        <xdr:cNvPr id="2875" name="Picture 2874">
          <a:extLst>
            <a:ext uri="{FF2B5EF4-FFF2-40B4-BE49-F238E27FC236}">
              <a16:creationId xmlns:a16="http://schemas.microsoft.com/office/drawing/2014/main" id="{BE4737D8-3ECB-4C14-A184-D287EB475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3440"/>
    <xdr:sp macro="" textlink="">
      <xdr:nvSpPr>
        <xdr:cNvPr id="2876" name="AutoShape 379">
          <a:extLst>
            <a:ext uri="{FF2B5EF4-FFF2-40B4-BE49-F238E27FC236}">
              <a16:creationId xmlns:a16="http://schemas.microsoft.com/office/drawing/2014/main" id="{D3E1C35F-870E-47CA-AA00-0992903F1B0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16</xdr:row>
      <xdr:rowOff>0</xdr:rowOff>
    </xdr:from>
    <xdr:ext cx="304800" cy="303439"/>
    <xdr:sp macro="" textlink="">
      <xdr:nvSpPr>
        <xdr:cNvPr id="2877" name="AutoShape 381">
          <a:extLst>
            <a:ext uri="{FF2B5EF4-FFF2-40B4-BE49-F238E27FC236}">
              <a16:creationId xmlns:a16="http://schemas.microsoft.com/office/drawing/2014/main" id="{AA1B6052-E4FD-419E-A193-FE70FE90401A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16</xdr:row>
      <xdr:rowOff>0</xdr:rowOff>
    </xdr:from>
    <xdr:ext cx="9525" cy="9525"/>
    <xdr:pic>
      <xdr:nvPicPr>
        <xdr:cNvPr id="2878" name="Picture 2877">
          <a:extLst>
            <a:ext uri="{FF2B5EF4-FFF2-40B4-BE49-F238E27FC236}">
              <a16:creationId xmlns:a16="http://schemas.microsoft.com/office/drawing/2014/main" id="{63854441-2604-47D9-866B-EE3C67AC7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3440"/>
    <xdr:sp macro="" textlink="">
      <xdr:nvSpPr>
        <xdr:cNvPr id="2879" name="AutoShape 435">
          <a:extLst>
            <a:ext uri="{FF2B5EF4-FFF2-40B4-BE49-F238E27FC236}">
              <a16:creationId xmlns:a16="http://schemas.microsoft.com/office/drawing/2014/main" id="{D2147EFF-907A-4EC8-A251-88F0141A924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16</xdr:row>
      <xdr:rowOff>0</xdr:rowOff>
    </xdr:from>
    <xdr:ext cx="304800" cy="303439"/>
    <xdr:sp macro="" textlink="">
      <xdr:nvSpPr>
        <xdr:cNvPr id="2880" name="AutoShape 437">
          <a:extLst>
            <a:ext uri="{FF2B5EF4-FFF2-40B4-BE49-F238E27FC236}">
              <a16:creationId xmlns:a16="http://schemas.microsoft.com/office/drawing/2014/main" id="{71C36D22-CA46-4CA5-808C-073F2A458B5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16</xdr:row>
      <xdr:rowOff>0</xdr:rowOff>
    </xdr:from>
    <xdr:ext cx="9525" cy="9525"/>
    <xdr:pic>
      <xdr:nvPicPr>
        <xdr:cNvPr id="2881" name="Picture 2880">
          <a:extLst>
            <a:ext uri="{FF2B5EF4-FFF2-40B4-BE49-F238E27FC236}">
              <a16:creationId xmlns:a16="http://schemas.microsoft.com/office/drawing/2014/main" id="{BC874F3A-4731-4403-B45D-B9D6BCC13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3440"/>
    <xdr:sp macro="" textlink="">
      <xdr:nvSpPr>
        <xdr:cNvPr id="2882" name="AutoShape 491">
          <a:extLst>
            <a:ext uri="{FF2B5EF4-FFF2-40B4-BE49-F238E27FC236}">
              <a16:creationId xmlns:a16="http://schemas.microsoft.com/office/drawing/2014/main" id="{67BFCC46-3D67-4DB7-8666-694D24691A64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16</xdr:row>
      <xdr:rowOff>0</xdr:rowOff>
    </xdr:from>
    <xdr:ext cx="304800" cy="303439"/>
    <xdr:sp macro="" textlink="">
      <xdr:nvSpPr>
        <xdr:cNvPr id="2883" name="AutoShape 493">
          <a:extLst>
            <a:ext uri="{FF2B5EF4-FFF2-40B4-BE49-F238E27FC236}">
              <a16:creationId xmlns:a16="http://schemas.microsoft.com/office/drawing/2014/main" id="{F6634793-7A5F-4630-94A9-8136D1E224C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16</xdr:row>
      <xdr:rowOff>0</xdr:rowOff>
    </xdr:from>
    <xdr:ext cx="9525" cy="9525"/>
    <xdr:pic>
      <xdr:nvPicPr>
        <xdr:cNvPr id="2884" name="Picture 2883">
          <a:extLst>
            <a:ext uri="{FF2B5EF4-FFF2-40B4-BE49-F238E27FC236}">
              <a16:creationId xmlns:a16="http://schemas.microsoft.com/office/drawing/2014/main" id="{4D5173EE-42F0-4229-974D-2AB474368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3440"/>
    <xdr:sp macro="" textlink="">
      <xdr:nvSpPr>
        <xdr:cNvPr id="2885" name="AutoShape 525">
          <a:extLst>
            <a:ext uri="{FF2B5EF4-FFF2-40B4-BE49-F238E27FC236}">
              <a16:creationId xmlns:a16="http://schemas.microsoft.com/office/drawing/2014/main" id="{86C5CB75-5212-455E-ABAD-9ECD80F153D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16</xdr:row>
      <xdr:rowOff>0</xdr:rowOff>
    </xdr:from>
    <xdr:ext cx="304800" cy="303439"/>
    <xdr:sp macro="" textlink="">
      <xdr:nvSpPr>
        <xdr:cNvPr id="2886" name="AutoShape 527">
          <a:extLst>
            <a:ext uri="{FF2B5EF4-FFF2-40B4-BE49-F238E27FC236}">
              <a16:creationId xmlns:a16="http://schemas.microsoft.com/office/drawing/2014/main" id="{C3B3F183-5144-4691-9718-162589367F2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19</xdr:row>
      <xdr:rowOff>0</xdr:rowOff>
    </xdr:from>
    <xdr:ext cx="9525" cy="9525"/>
    <xdr:pic>
      <xdr:nvPicPr>
        <xdr:cNvPr id="2887" name="Picture 2886">
          <a:extLst>
            <a:ext uri="{FF2B5EF4-FFF2-40B4-BE49-F238E27FC236}">
              <a16:creationId xmlns:a16="http://schemas.microsoft.com/office/drawing/2014/main" id="{3711BA09-4FBD-4551-8941-9F1904FD4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18</xdr:row>
      <xdr:rowOff>0</xdr:rowOff>
    </xdr:from>
    <xdr:ext cx="304800" cy="303440"/>
    <xdr:sp macro="" textlink="">
      <xdr:nvSpPr>
        <xdr:cNvPr id="2888" name="AutoShape 173">
          <a:extLst>
            <a:ext uri="{FF2B5EF4-FFF2-40B4-BE49-F238E27FC236}">
              <a16:creationId xmlns:a16="http://schemas.microsoft.com/office/drawing/2014/main" id="{BFC1D405-592E-4D27-A201-E7CAF72F891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653643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20</xdr:row>
      <xdr:rowOff>0</xdr:rowOff>
    </xdr:from>
    <xdr:ext cx="9525" cy="9525"/>
    <xdr:pic>
      <xdr:nvPicPr>
        <xdr:cNvPr id="2889" name="Picture 2888">
          <a:extLst>
            <a:ext uri="{FF2B5EF4-FFF2-40B4-BE49-F238E27FC236}">
              <a16:creationId xmlns:a16="http://schemas.microsoft.com/office/drawing/2014/main" id="{5ABAB4C0-FE6F-4308-BFED-3CC0607E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19</xdr:row>
      <xdr:rowOff>0</xdr:rowOff>
    </xdr:from>
    <xdr:ext cx="9525" cy="9525"/>
    <xdr:pic>
      <xdr:nvPicPr>
        <xdr:cNvPr id="2890" name="Picture 2889">
          <a:extLst>
            <a:ext uri="{FF2B5EF4-FFF2-40B4-BE49-F238E27FC236}">
              <a16:creationId xmlns:a16="http://schemas.microsoft.com/office/drawing/2014/main" id="{8AC86A41-567D-4298-8214-E502DA8D8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19</xdr:row>
      <xdr:rowOff>0</xdr:rowOff>
    </xdr:from>
    <xdr:ext cx="9525" cy="9525"/>
    <xdr:pic>
      <xdr:nvPicPr>
        <xdr:cNvPr id="2891" name="Picture 2890">
          <a:extLst>
            <a:ext uri="{FF2B5EF4-FFF2-40B4-BE49-F238E27FC236}">
              <a16:creationId xmlns:a16="http://schemas.microsoft.com/office/drawing/2014/main" id="{3468780B-56A5-4028-9CC3-B479038E9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19</xdr:row>
      <xdr:rowOff>0</xdr:rowOff>
    </xdr:from>
    <xdr:ext cx="9525" cy="9525"/>
    <xdr:pic>
      <xdr:nvPicPr>
        <xdr:cNvPr id="2892" name="Picture 2891">
          <a:extLst>
            <a:ext uri="{FF2B5EF4-FFF2-40B4-BE49-F238E27FC236}">
              <a16:creationId xmlns:a16="http://schemas.microsoft.com/office/drawing/2014/main" id="{47962555-C86B-4314-8B90-C0F2D7A3F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19</xdr:row>
      <xdr:rowOff>0</xdr:rowOff>
    </xdr:from>
    <xdr:ext cx="9525" cy="9525"/>
    <xdr:pic>
      <xdr:nvPicPr>
        <xdr:cNvPr id="2893" name="Picture 2892">
          <a:extLst>
            <a:ext uri="{FF2B5EF4-FFF2-40B4-BE49-F238E27FC236}">
              <a16:creationId xmlns:a16="http://schemas.microsoft.com/office/drawing/2014/main" id="{650C3A11-327A-4B5A-AB66-5DBC99D4F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19</xdr:row>
      <xdr:rowOff>0</xdr:rowOff>
    </xdr:from>
    <xdr:ext cx="9525" cy="9525"/>
    <xdr:pic>
      <xdr:nvPicPr>
        <xdr:cNvPr id="2894" name="Picture 2893">
          <a:extLst>
            <a:ext uri="{FF2B5EF4-FFF2-40B4-BE49-F238E27FC236}">
              <a16:creationId xmlns:a16="http://schemas.microsoft.com/office/drawing/2014/main" id="{157EF2F0-F7A9-4071-BCE7-1A7F397C2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20</xdr:row>
      <xdr:rowOff>0</xdr:rowOff>
    </xdr:from>
    <xdr:ext cx="9525" cy="9525"/>
    <xdr:pic>
      <xdr:nvPicPr>
        <xdr:cNvPr id="2895" name="Picture 2894">
          <a:extLst>
            <a:ext uri="{FF2B5EF4-FFF2-40B4-BE49-F238E27FC236}">
              <a16:creationId xmlns:a16="http://schemas.microsoft.com/office/drawing/2014/main" id="{B6B568FB-42A9-4F93-8298-3FBF2C605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19</xdr:row>
      <xdr:rowOff>0</xdr:rowOff>
    </xdr:from>
    <xdr:ext cx="9525" cy="9525"/>
    <xdr:pic>
      <xdr:nvPicPr>
        <xdr:cNvPr id="2896" name="Picture 2895">
          <a:extLst>
            <a:ext uri="{FF2B5EF4-FFF2-40B4-BE49-F238E27FC236}">
              <a16:creationId xmlns:a16="http://schemas.microsoft.com/office/drawing/2014/main" id="{F65E9C66-F754-47D1-9D20-88E07AED8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20</xdr:row>
      <xdr:rowOff>0</xdr:rowOff>
    </xdr:from>
    <xdr:ext cx="9525" cy="9525"/>
    <xdr:pic>
      <xdr:nvPicPr>
        <xdr:cNvPr id="2897" name="Picture 2896">
          <a:extLst>
            <a:ext uri="{FF2B5EF4-FFF2-40B4-BE49-F238E27FC236}">
              <a16:creationId xmlns:a16="http://schemas.microsoft.com/office/drawing/2014/main" id="{F3FBC8DE-D0D1-4724-A782-3A075D94B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19</xdr:row>
      <xdr:rowOff>0</xdr:rowOff>
    </xdr:from>
    <xdr:ext cx="9525" cy="9525"/>
    <xdr:pic>
      <xdr:nvPicPr>
        <xdr:cNvPr id="2898" name="Picture 2897">
          <a:extLst>
            <a:ext uri="{FF2B5EF4-FFF2-40B4-BE49-F238E27FC236}">
              <a16:creationId xmlns:a16="http://schemas.microsoft.com/office/drawing/2014/main" id="{383D40FA-B4DB-4E7E-BA4F-D830E7091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20</xdr:row>
      <xdr:rowOff>0</xdr:rowOff>
    </xdr:from>
    <xdr:ext cx="9525" cy="9525"/>
    <xdr:pic>
      <xdr:nvPicPr>
        <xdr:cNvPr id="2899" name="Picture 2898">
          <a:extLst>
            <a:ext uri="{FF2B5EF4-FFF2-40B4-BE49-F238E27FC236}">
              <a16:creationId xmlns:a16="http://schemas.microsoft.com/office/drawing/2014/main" id="{F97AE962-40A8-4838-9B91-96C9EA274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19</xdr:row>
      <xdr:rowOff>0</xdr:rowOff>
    </xdr:from>
    <xdr:ext cx="9525" cy="9525"/>
    <xdr:pic>
      <xdr:nvPicPr>
        <xdr:cNvPr id="2900" name="Picture 2899">
          <a:extLst>
            <a:ext uri="{FF2B5EF4-FFF2-40B4-BE49-F238E27FC236}">
              <a16:creationId xmlns:a16="http://schemas.microsoft.com/office/drawing/2014/main" id="{E92CF283-0F72-40B3-ABFA-8DD14BA7A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18</xdr:row>
      <xdr:rowOff>0</xdr:rowOff>
    </xdr:from>
    <xdr:ext cx="304800" cy="303439"/>
    <xdr:sp macro="" textlink="">
      <xdr:nvSpPr>
        <xdr:cNvPr id="2901" name="AutoShape 529">
          <a:extLst>
            <a:ext uri="{FF2B5EF4-FFF2-40B4-BE49-F238E27FC236}">
              <a16:creationId xmlns:a16="http://schemas.microsoft.com/office/drawing/2014/main" id="{925A5040-684F-47C1-8D43-368C69A5BCEF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6536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20</xdr:row>
      <xdr:rowOff>0</xdr:rowOff>
    </xdr:from>
    <xdr:ext cx="9525" cy="9525"/>
    <xdr:pic>
      <xdr:nvPicPr>
        <xdr:cNvPr id="2902" name="Picture 2901">
          <a:extLst>
            <a:ext uri="{FF2B5EF4-FFF2-40B4-BE49-F238E27FC236}">
              <a16:creationId xmlns:a16="http://schemas.microsoft.com/office/drawing/2014/main" id="{4BCE04EE-9D7E-4C04-8097-FB97C061C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19</xdr:row>
      <xdr:rowOff>0</xdr:rowOff>
    </xdr:from>
    <xdr:ext cx="304800" cy="303439"/>
    <xdr:sp macro="" textlink="">
      <xdr:nvSpPr>
        <xdr:cNvPr id="2903" name="AutoShape 531">
          <a:extLst>
            <a:ext uri="{FF2B5EF4-FFF2-40B4-BE49-F238E27FC236}">
              <a16:creationId xmlns:a16="http://schemas.microsoft.com/office/drawing/2014/main" id="{D87F8471-00A6-4ECA-8057-77296B452EB0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8441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9525" cy="9525"/>
    <xdr:pic>
      <xdr:nvPicPr>
        <xdr:cNvPr id="2904" name="Picture 2903">
          <a:extLst>
            <a:ext uri="{FF2B5EF4-FFF2-40B4-BE49-F238E27FC236}">
              <a16:creationId xmlns:a16="http://schemas.microsoft.com/office/drawing/2014/main" id="{FA5B4701-1804-4F6A-905C-B25A02CF8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17</xdr:row>
      <xdr:rowOff>0</xdr:rowOff>
    </xdr:from>
    <xdr:ext cx="304800" cy="303439"/>
    <xdr:sp macro="" textlink="">
      <xdr:nvSpPr>
        <xdr:cNvPr id="2905" name="AutoShape 165">
          <a:extLst>
            <a:ext uri="{FF2B5EF4-FFF2-40B4-BE49-F238E27FC236}">
              <a16:creationId xmlns:a16="http://schemas.microsoft.com/office/drawing/2014/main" id="{476F6702-640C-4999-868D-29301A9CC55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9525" cy="9525"/>
    <xdr:pic>
      <xdr:nvPicPr>
        <xdr:cNvPr id="2906" name="Picture 2905">
          <a:extLst>
            <a:ext uri="{FF2B5EF4-FFF2-40B4-BE49-F238E27FC236}">
              <a16:creationId xmlns:a16="http://schemas.microsoft.com/office/drawing/2014/main" id="{83EC0771-0462-4AF6-9B8B-D06FEB77B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16</xdr:row>
      <xdr:rowOff>0</xdr:rowOff>
    </xdr:from>
    <xdr:ext cx="304800" cy="304800"/>
    <xdr:sp macro="" textlink="">
      <xdr:nvSpPr>
        <xdr:cNvPr id="2907" name="AutoShape 193">
          <a:extLst>
            <a:ext uri="{FF2B5EF4-FFF2-40B4-BE49-F238E27FC236}">
              <a16:creationId xmlns:a16="http://schemas.microsoft.com/office/drawing/2014/main" id="{E583B238-96E4-4AB1-98F9-7F8DAA0708D6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304800" cy="303439"/>
    <xdr:sp macro="" textlink="">
      <xdr:nvSpPr>
        <xdr:cNvPr id="2908" name="AutoShape 195">
          <a:extLst>
            <a:ext uri="{FF2B5EF4-FFF2-40B4-BE49-F238E27FC236}">
              <a16:creationId xmlns:a16="http://schemas.microsoft.com/office/drawing/2014/main" id="{C5FFB5CF-0C35-4C76-AC6D-764B35D0DE1B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9525" cy="9525"/>
    <xdr:pic>
      <xdr:nvPicPr>
        <xdr:cNvPr id="2909" name="Picture 2908">
          <a:extLst>
            <a:ext uri="{FF2B5EF4-FFF2-40B4-BE49-F238E27FC236}">
              <a16:creationId xmlns:a16="http://schemas.microsoft.com/office/drawing/2014/main" id="{214D43A5-37F9-4CD0-8A2E-7EC2E0874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16</xdr:row>
      <xdr:rowOff>0</xdr:rowOff>
    </xdr:from>
    <xdr:ext cx="304800" cy="304800"/>
    <xdr:sp macro="" textlink="">
      <xdr:nvSpPr>
        <xdr:cNvPr id="2910" name="AutoShape 219">
          <a:extLst>
            <a:ext uri="{FF2B5EF4-FFF2-40B4-BE49-F238E27FC236}">
              <a16:creationId xmlns:a16="http://schemas.microsoft.com/office/drawing/2014/main" id="{7B03F613-0F67-44B0-A12A-9D6A4E7FB3CA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304800" cy="303439"/>
    <xdr:sp macro="" textlink="">
      <xdr:nvSpPr>
        <xdr:cNvPr id="2911" name="AutoShape 221">
          <a:extLst>
            <a:ext uri="{FF2B5EF4-FFF2-40B4-BE49-F238E27FC236}">
              <a16:creationId xmlns:a16="http://schemas.microsoft.com/office/drawing/2014/main" id="{C7269E1F-4722-4DC6-A69D-6286E39BC225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9525" cy="9525"/>
    <xdr:pic>
      <xdr:nvPicPr>
        <xdr:cNvPr id="2912" name="Picture 2911">
          <a:extLst>
            <a:ext uri="{FF2B5EF4-FFF2-40B4-BE49-F238E27FC236}">
              <a16:creationId xmlns:a16="http://schemas.microsoft.com/office/drawing/2014/main" id="{861F9FF7-600A-4625-900E-D4312FA21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16</xdr:row>
      <xdr:rowOff>0</xdr:rowOff>
    </xdr:from>
    <xdr:ext cx="304800" cy="304800"/>
    <xdr:sp macro="" textlink="">
      <xdr:nvSpPr>
        <xdr:cNvPr id="2913" name="AutoShape 243">
          <a:extLst>
            <a:ext uri="{FF2B5EF4-FFF2-40B4-BE49-F238E27FC236}">
              <a16:creationId xmlns:a16="http://schemas.microsoft.com/office/drawing/2014/main" id="{91DA75BC-676D-41BF-A90C-A44293BF8EC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304800" cy="303439"/>
    <xdr:sp macro="" textlink="">
      <xdr:nvSpPr>
        <xdr:cNvPr id="2914" name="AutoShape 245">
          <a:extLst>
            <a:ext uri="{FF2B5EF4-FFF2-40B4-BE49-F238E27FC236}">
              <a16:creationId xmlns:a16="http://schemas.microsoft.com/office/drawing/2014/main" id="{53022D1D-C677-449E-BCED-BF14D8CB9AFA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9525" cy="9525"/>
    <xdr:pic>
      <xdr:nvPicPr>
        <xdr:cNvPr id="2915" name="Picture 2914">
          <a:extLst>
            <a:ext uri="{FF2B5EF4-FFF2-40B4-BE49-F238E27FC236}">
              <a16:creationId xmlns:a16="http://schemas.microsoft.com/office/drawing/2014/main" id="{9F94F4DD-25A6-49B1-A23F-73BAAD459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16</xdr:row>
      <xdr:rowOff>0</xdr:rowOff>
    </xdr:from>
    <xdr:ext cx="304800" cy="304800"/>
    <xdr:sp macro="" textlink="">
      <xdr:nvSpPr>
        <xdr:cNvPr id="2916" name="AutoShape 269">
          <a:extLst>
            <a:ext uri="{FF2B5EF4-FFF2-40B4-BE49-F238E27FC236}">
              <a16:creationId xmlns:a16="http://schemas.microsoft.com/office/drawing/2014/main" id="{C27A881E-F5C2-492A-A539-D62C3A64093B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304800" cy="303439"/>
    <xdr:sp macro="" textlink="">
      <xdr:nvSpPr>
        <xdr:cNvPr id="2917" name="AutoShape 271">
          <a:extLst>
            <a:ext uri="{FF2B5EF4-FFF2-40B4-BE49-F238E27FC236}">
              <a16:creationId xmlns:a16="http://schemas.microsoft.com/office/drawing/2014/main" id="{0B8A26EA-E446-4112-AA73-CA8F43F7F6C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9525" cy="9525"/>
    <xdr:pic>
      <xdr:nvPicPr>
        <xdr:cNvPr id="2918" name="Picture 2917">
          <a:extLst>
            <a:ext uri="{FF2B5EF4-FFF2-40B4-BE49-F238E27FC236}">
              <a16:creationId xmlns:a16="http://schemas.microsoft.com/office/drawing/2014/main" id="{8CEA1D24-F41F-4ED4-B924-98E2749E3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16</xdr:row>
      <xdr:rowOff>0</xdr:rowOff>
    </xdr:from>
    <xdr:ext cx="304800" cy="304800"/>
    <xdr:sp macro="" textlink="">
      <xdr:nvSpPr>
        <xdr:cNvPr id="2919" name="AutoShape 321">
          <a:extLst>
            <a:ext uri="{FF2B5EF4-FFF2-40B4-BE49-F238E27FC236}">
              <a16:creationId xmlns:a16="http://schemas.microsoft.com/office/drawing/2014/main" id="{401531DF-55AB-4D9A-A91D-90D4A5690530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304800" cy="303439"/>
    <xdr:sp macro="" textlink="">
      <xdr:nvSpPr>
        <xdr:cNvPr id="2920" name="AutoShape 323">
          <a:extLst>
            <a:ext uri="{FF2B5EF4-FFF2-40B4-BE49-F238E27FC236}">
              <a16:creationId xmlns:a16="http://schemas.microsoft.com/office/drawing/2014/main" id="{3BA7D91E-0D2C-4FDD-BCBB-BB720DC5F167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9525" cy="9525"/>
    <xdr:pic>
      <xdr:nvPicPr>
        <xdr:cNvPr id="2921" name="Picture 2920">
          <a:extLst>
            <a:ext uri="{FF2B5EF4-FFF2-40B4-BE49-F238E27FC236}">
              <a16:creationId xmlns:a16="http://schemas.microsoft.com/office/drawing/2014/main" id="{8E34454F-5FDE-40DA-B960-6BFBA7BE3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16</xdr:row>
      <xdr:rowOff>0</xdr:rowOff>
    </xdr:from>
    <xdr:ext cx="304800" cy="304800"/>
    <xdr:sp macro="" textlink="">
      <xdr:nvSpPr>
        <xdr:cNvPr id="2922" name="AutoShape 373">
          <a:extLst>
            <a:ext uri="{FF2B5EF4-FFF2-40B4-BE49-F238E27FC236}">
              <a16:creationId xmlns:a16="http://schemas.microsoft.com/office/drawing/2014/main" id="{96CCE0D4-421C-4E04-9D9C-E51CFDEE35F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304800" cy="303439"/>
    <xdr:sp macro="" textlink="">
      <xdr:nvSpPr>
        <xdr:cNvPr id="2923" name="AutoShape 375">
          <a:extLst>
            <a:ext uri="{FF2B5EF4-FFF2-40B4-BE49-F238E27FC236}">
              <a16:creationId xmlns:a16="http://schemas.microsoft.com/office/drawing/2014/main" id="{D2C2BB23-88A0-463E-867A-1DB32775A126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9525" cy="9525"/>
    <xdr:pic>
      <xdr:nvPicPr>
        <xdr:cNvPr id="2924" name="Picture 2923">
          <a:extLst>
            <a:ext uri="{FF2B5EF4-FFF2-40B4-BE49-F238E27FC236}">
              <a16:creationId xmlns:a16="http://schemas.microsoft.com/office/drawing/2014/main" id="{15483FA6-6186-4D9B-A480-D91CB1118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16</xdr:row>
      <xdr:rowOff>0</xdr:rowOff>
    </xdr:from>
    <xdr:ext cx="304800" cy="304800"/>
    <xdr:sp macro="" textlink="">
      <xdr:nvSpPr>
        <xdr:cNvPr id="2925" name="AutoShape 429">
          <a:extLst>
            <a:ext uri="{FF2B5EF4-FFF2-40B4-BE49-F238E27FC236}">
              <a16:creationId xmlns:a16="http://schemas.microsoft.com/office/drawing/2014/main" id="{1CAE499A-245B-4D23-AA80-A19DA6E37D7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304800" cy="303439"/>
    <xdr:sp macro="" textlink="">
      <xdr:nvSpPr>
        <xdr:cNvPr id="2926" name="AutoShape 431">
          <a:extLst>
            <a:ext uri="{FF2B5EF4-FFF2-40B4-BE49-F238E27FC236}">
              <a16:creationId xmlns:a16="http://schemas.microsoft.com/office/drawing/2014/main" id="{F8F09588-F48B-4D55-BFE0-30442B67078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9525" cy="9525"/>
    <xdr:pic>
      <xdr:nvPicPr>
        <xdr:cNvPr id="2927" name="Picture 2926">
          <a:extLst>
            <a:ext uri="{FF2B5EF4-FFF2-40B4-BE49-F238E27FC236}">
              <a16:creationId xmlns:a16="http://schemas.microsoft.com/office/drawing/2014/main" id="{188FCDDF-DC39-439F-A0BD-BCE5404DF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16</xdr:row>
      <xdr:rowOff>0</xdr:rowOff>
    </xdr:from>
    <xdr:ext cx="304800" cy="304800"/>
    <xdr:sp macro="" textlink="">
      <xdr:nvSpPr>
        <xdr:cNvPr id="2928" name="AutoShape 485">
          <a:extLst>
            <a:ext uri="{FF2B5EF4-FFF2-40B4-BE49-F238E27FC236}">
              <a16:creationId xmlns:a16="http://schemas.microsoft.com/office/drawing/2014/main" id="{4C542D94-8037-4DAD-BEF0-5C816154951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304800" cy="303439"/>
    <xdr:sp macro="" textlink="">
      <xdr:nvSpPr>
        <xdr:cNvPr id="2929" name="AutoShape 487">
          <a:extLst>
            <a:ext uri="{FF2B5EF4-FFF2-40B4-BE49-F238E27FC236}">
              <a16:creationId xmlns:a16="http://schemas.microsoft.com/office/drawing/2014/main" id="{6D8B9FE5-428A-4BB3-BEFA-250EB545A40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9525" cy="9525"/>
    <xdr:pic>
      <xdr:nvPicPr>
        <xdr:cNvPr id="2930" name="Picture 2929">
          <a:extLst>
            <a:ext uri="{FF2B5EF4-FFF2-40B4-BE49-F238E27FC236}">
              <a16:creationId xmlns:a16="http://schemas.microsoft.com/office/drawing/2014/main" id="{2ACD7AAB-6981-47A8-874B-E2E41261C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16</xdr:row>
      <xdr:rowOff>0</xdr:rowOff>
    </xdr:from>
    <xdr:ext cx="304800" cy="304800"/>
    <xdr:sp macro="" textlink="">
      <xdr:nvSpPr>
        <xdr:cNvPr id="2931" name="AutoShape 519">
          <a:extLst>
            <a:ext uri="{FF2B5EF4-FFF2-40B4-BE49-F238E27FC236}">
              <a16:creationId xmlns:a16="http://schemas.microsoft.com/office/drawing/2014/main" id="{D1264A4A-1FB8-4A4A-A8C4-59223A61E02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304800" cy="303439"/>
    <xdr:sp macro="" textlink="">
      <xdr:nvSpPr>
        <xdr:cNvPr id="2932" name="AutoShape 521">
          <a:extLst>
            <a:ext uri="{FF2B5EF4-FFF2-40B4-BE49-F238E27FC236}">
              <a16:creationId xmlns:a16="http://schemas.microsoft.com/office/drawing/2014/main" id="{87FBE164-1A1C-408E-A28A-B0BF4B25C225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18</xdr:row>
      <xdr:rowOff>0</xdr:rowOff>
    </xdr:from>
    <xdr:ext cx="9525" cy="9525"/>
    <xdr:pic>
      <xdr:nvPicPr>
        <xdr:cNvPr id="2933" name="Picture 2932">
          <a:extLst>
            <a:ext uri="{FF2B5EF4-FFF2-40B4-BE49-F238E27FC236}">
              <a16:creationId xmlns:a16="http://schemas.microsoft.com/office/drawing/2014/main" id="{1F54341D-3453-4E17-951E-8599C84A4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18</xdr:row>
      <xdr:rowOff>0</xdr:rowOff>
    </xdr:from>
    <xdr:ext cx="304800" cy="304800"/>
    <xdr:sp macro="" textlink="">
      <xdr:nvSpPr>
        <xdr:cNvPr id="2934" name="AutoShape 159">
          <a:extLst>
            <a:ext uri="{FF2B5EF4-FFF2-40B4-BE49-F238E27FC236}">
              <a16:creationId xmlns:a16="http://schemas.microsoft.com/office/drawing/2014/main" id="{E65A684A-D5D8-4C6C-B072-9FB30F837B35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18</xdr:row>
      <xdr:rowOff>0</xdr:rowOff>
    </xdr:from>
    <xdr:ext cx="9525" cy="9525"/>
    <xdr:pic>
      <xdr:nvPicPr>
        <xdr:cNvPr id="2935" name="Picture 2934">
          <a:extLst>
            <a:ext uri="{FF2B5EF4-FFF2-40B4-BE49-F238E27FC236}">
              <a16:creationId xmlns:a16="http://schemas.microsoft.com/office/drawing/2014/main" id="{206246DF-4DB7-4AEF-9960-56D470E03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18</xdr:row>
      <xdr:rowOff>0</xdr:rowOff>
    </xdr:from>
    <xdr:ext cx="9525" cy="9525"/>
    <xdr:pic>
      <xdr:nvPicPr>
        <xdr:cNvPr id="2936" name="Picture 2935">
          <a:extLst>
            <a:ext uri="{FF2B5EF4-FFF2-40B4-BE49-F238E27FC236}">
              <a16:creationId xmlns:a16="http://schemas.microsoft.com/office/drawing/2014/main" id="{93C2A700-BAC8-4309-9A44-8DCCB8F7B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18</xdr:row>
      <xdr:rowOff>0</xdr:rowOff>
    </xdr:from>
    <xdr:ext cx="9525" cy="9525"/>
    <xdr:pic>
      <xdr:nvPicPr>
        <xdr:cNvPr id="2937" name="Picture 2936">
          <a:extLst>
            <a:ext uri="{FF2B5EF4-FFF2-40B4-BE49-F238E27FC236}">
              <a16:creationId xmlns:a16="http://schemas.microsoft.com/office/drawing/2014/main" id="{E7FE86B1-F67F-400E-866A-AC8998BDC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18</xdr:row>
      <xdr:rowOff>0</xdr:rowOff>
    </xdr:from>
    <xdr:ext cx="9525" cy="9525"/>
    <xdr:pic>
      <xdr:nvPicPr>
        <xdr:cNvPr id="2938" name="Picture 2937">
          <a:extLst>
            <a:ext uri="{FF2B5EF4-FFF2-40B4-BE49-F238E27FC236}">
              <a16:creationId xmlns:a16="http://schemas.microsoft.com/office/drawing/2014/main" id="{5F8DD8A4-7D05-4637-99CA-63D629B7D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18</xdr:row>
      <xdr:rowOff>0</xdr:rowOff>
    </xdr:from>
    <xdr:ext cx="9525" cy="9525"/>
    <xdr:pic>
      <xdr:nvPicPr>
        <xdr:cNvPr id="2939" name="Picture 2938">
          <a:extLst>
            <a:ext uri="{FF2B5EF4-FFF2-40B4-BE49-F238E27FC236}">
              <a16:creationId xmlns:a16="http://schemas.microsoft.com/office/drawing/2014/main" id="{2D755F67-0AFD-4079-AD08-FDB930B95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18</xdr:row>
      <xdr:rowOff>0</xdr:rowOff>
    </xdr:from>
    <xdr:ext cx="9525" cy="9525"/>
    <xdr:pic>
      <xdr:nvPicPr>
        <xdr:cNvPr id="2940" name="Picture 2939">
          <a:extLst>
            <a:ext uri="{FF2B5EF4-FFF2-40B4-BE49-F238E27FC236}">
              <a16:creationId xmlns:a16="http://schemas.microsoft.com/office/drawing/2014/main" id="{F770C52B-C2E8-49FF-8E13-39106D53E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18</xdr:row>
      <xdr:rowOff>0</xdr:rowOff>
    </xdr:from>
    <xdr:ext cx="9525" cy="9525"/>
    <xdr:pic>
      <xdr:nvPicPr>
        <xdr:cNvPr id="2941" name="Picture 2940">
          <a:extLst>
            <a:ext uri="{FF2B5EF4-FFF2-40B4-BE49-F238E27FC236}">
              <a16:creationId xmlns:a16="http://schemas.microsoft.com/office/drawing/2014/main" id="{D7CE6006-745E-4860-9BCB-9527DAE2A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18</xdr:row>
      <xdr:rowOff>0</xdr:rowOff>
    </xdr:from>
    <xdr:ext cx="9525" cy="9525"/>
    <xdr:pic>
      <xdr:nvPicPr>
        <xdr:cNvPr id="2942" name="Picture 2941">
          <a:extLst>
            <a:ext uri="{FF2B5EF4-FFF2-40B4-BE49-F238E27FC236}">
              <a16:creationId xmlns:a16="http://schemas.microsoft.com/office/drawing/2014/main" id="{D7296B36-9A5D-4435-BF25-F3C800D5E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18</xdr:row>
      <xdr:rowOff>0</xdr:rowOff>
    </xdr:from>
    <xdr:ext cx="9525" cy="9525"/>
    <xdr:pic>
      <xdr:nvPicPr>
        <xdr:cNvPr id="2943" name="Picture 2942">
          <a:extLst>
            <a:ext uri="{FF2B5EF4-FFF2-40B4-BE49-F238E27FC236}">
              <a16:creationId xmlns:a16="http://schemas.microsoft.com/office/drawing/2014/main" id="{4FBF08F3-7503-4D97-B038-1C5BBB748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17</xdr:row>
      <xdr:rowOff>0</xdr:rowOff>
    </xdr:from>
    <xdr:ext cx="304800" cy="304800"/>
    <xdr:sp macro="" textlink="">
      <xdr:nvSpPr>
        <xdr:cNvPr id="2944" name="AutoShape 509">
          <a:extLst>
            <a:ext uri="{FF2B5EF4-FFF2-40B4-BE49-F238E27FC236}">
              <a16:creationId xmlns:a16="http://schemas.microsoft.com/office/drawing/2014/main" id="{84B617F2-29CC-4D06-99B6-3CC0F702049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4359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18</xdr:row>
      <xdr:rowOff>0</xdr:rowOff>
    </xdr:from>
    <xdr:ext cx="304800" cy="304800"/>
    <xdr:sp macro="" textlink="">
      <xdr:nvSpPr>
        <xdr:cNvPr id="2945" name="AutoShape 511">
          <a:extLst>
            <a:ext uri="{FF2B5EF4-FFF2-40B4-BE49-F238E27FC236}">
              <a16:creationId xmlns:a16="http://schemas.microsoft.com/office/drawing/2014/main" id="{B35F82F3-B660-4F58-92FA-18372332CCDE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9</xdr:row>
      <xdr:rowOff>0</xdr:rowOff>
    </xdr:from>
    <xdr:ext cx="9525" cy="9525"/>
    <xdr:pic>
      <xdr:nvPicPr>
        <xdr:cNvPr id="2946" name="Picture 2945">
          <a:extLst>
            <a:ext uri="{FF2B5EF4-FFF2-40B4-BE49-F238E27FC236}">
              <a16:creationId xmlns:a16="http://schemas.microsoft.com/office/drawing/2014/main" id="{28126F3A-5CA9-42EE-BBB8-16AAFAAB9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</xdr:row>
      <xdr:rowOff>0</xdr:rowOff>
    </xdr:from>
    <xdr:ext cx="304800" cy="304800"/>
    <xdr:sp macro="" textlink="">
      <xdr:nvSpPr>
        <xdr:cNvPr id="2947" name="AutoShape 159">
          <a:extLst>
            <a:ext uri="{FF2B5EF4-FFF2-40B4-BE49-F238E27FC236}">
              <a16:creationId xmlns:a16="http://schemas.microsoft.com/office/drawing/2014/main" id="{EE58F871-858E-4F1E-B85F-DC252F40D0D4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9</xdr:row>
      <xdr:rowOff>0</xdr:rowOff>
    </xdr:from>
    <xdr:ext cx="9525" cy="9525"/>
    <xdr:pic>
      <xdr:nvPicPr>
        <xdr:cNvPr id="2948" name="Picture 2947">
          <a:extLst>
            <a:ext uri="{FF2B5EF4-FFF2-40B4-BE49-F238E27FC236}">
              <a16:creationId xmlns:a16="http://schemas.microsoft.com/office/drawing/2014/main" id="{3E54F018-9442-45FF-97B2-3F0B74CBB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9525" cy="9525"/>
    <xdr:pic>
      <xdr:nvPicPr>
        <xdr:cNvPr id="2949" name="Picture 2948">
          <a:extLst>
            <a:ext uri="{FF2B5EF4-FFF2-40B4-BE49-F238E27FC236}">
              <a16:creationId xmlns:a16="http://schemas.microsoft.com/office/drawing/2014/main" id="{2B91A318-FD20-4437-AB9D-401909614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9525" cy="9525"/>
    <xdr:pic>
      <xdr:nvPicPr>
        <xdr:cNvPr id="2950" name="Picture 2949">
          <a:extLst>
            <a:ext uri="{FF2B5EF4-FFF2-40B4-BE49-F238E27FC236}">
              <a16:creationId xmlns:a16="http://schemas.microsoft.com/office/drawing/2014/main" id="{13D71666-7933-4BCF-91FE-A450C231C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9525" cy="9525"/>
    <xdr:pic>
      <xdr:nvPicPr>
        <xdr:cNvPr id="2951" name="Picture 2950">
          <a:extLst>
            <a:ext uri="{FF2B5EF4-FFF2-40B4-BE49-F238E27FC236}">
              <a16:creationId xmlns:a16="http://schemas.microsoft.com/office/drawing/2014/main" id="{7CB2FFA5-B27C-4D10-98CE-3C9788F33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9525" cy="9525"/>
    <xdr:pic>
      <xdr:nvPicPr>
        <xdr:cNvPr id="2952" name="Picture 2951">
          <a:extLst>
            <a:ext uri="{FF2B5EF4-FFF2-40B4-BE49-F238E27FC236}">
              <a16:creationId xmlns:a16="http://schemas.microsoft.com/office/drawing/2014/main" id="{B9270908-A375-4E53-B027-6089EFDEA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9525" cy="9525"/>
    <xdr:pic>
      <xdr:nvPicPr>
        <xdr:cNvPr id="2953" name="Picture 2952">
          <a:extLst>
            <a:ext uri="{FF2B5EF4-FFF2-40B4-BE49-F238E27FC236}">
              <a16:creationId xmlns:a16="http://schemas.microsoft.com/office/drawing/2014/main" id="{882EB528-CCC1-4381-ADA1-AEC57D8D3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9525" cy="9525"/>
    <xdr:pic>
      <xdr:nvPicPr>
        <xdr:cNvPr id="2954" name="Picture 2953">
          <a:extLst>
            <a:ext uri="{FF2B5EF4-FFF2-40B4-BE49-F238E27FC236}">
              <a16:creationId xmlns:a16="http://schemas.microsoft.com/office/drawing/2014/main" id="{30E2353B-0473-483D-B0F7-B2C065B44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9525" cy="9525"/>
    <xdr:pic>
      <xdr:nvPicPr>
        <xdr:cNvPr id="2955" name="Picture 2954">
          <a:extLst>
            <a:ext uri="{FF2B5EF4-FFF2-40B4-BE49-F238E27FC236}">
              <a16:creationId xmlns:a16="http://schemas.microsoft.com/office/drawing/2014/main" id="{6C12C6C8-B7BA-43E4-BF9F-E62679522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9525" cy="9525"/>
    <xdr:pic>
      <xdr:nvPicPr>
        <xdr:cNvPr id="2956" name="Picture 2955">
          <a:extLst>
            <a:ext uri="{FF2B5EF4-FFF2-40B4-BE49-F238E27FC236}">
              <a16:creationId xmlns:a16="http://schemas.microsoft.com/office/drawing/2014/main" id="{C67038D6-437F-4088-8E8B-699BFFEF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304800" cy="303439"/>
    <xdr:sp macro="" textlink="">
      <xdr:nvSpPr>
        <xdr:cNvPr id="2957" name="AutoShape 513">
          <a:extLst>
            <a:ext uri="{FF2B5EF4-FFF2-40B4-BE49-F238E27FC236}">
              <a16:creationId xmlns:a16="http://schemas.microsoft.com/office/drawing/2014/main" id="{02BE73A5-7759-443A-9CAD-DB32449EE25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54453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9525" cy="9525"/>
    <xdr:pic>
      <xdr:nvPicPr>
        <xdr:cNvPr id="2958" name="Picture 2957">
          <a:extLst>
            <a:ext uri="{FF2B5EF4-FFF2-40B4-BE49-F238E27FC236}">
              <a16:creationId xmlns:a16="http://schemas.microsoft.com/office/drawing/2014/main" id="{1FF3EDC7-7E1C-4B58-AB88-CB23B12BB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10</xdr:row>
      <xdr:rowOff>0</xdr:rowOff>
    </xdr:from>
    <xdr:ext cx="9525" cy="9525"/>
    <xdr:pic>
      <xdr:nvPicPr>
        <xdr:cNvPr id="2959" name="Picture 2958">
          <a:extLst>
            <a:ext uri="{FF2B5EF4-FFF2-40B4-BE49-F238E27FC236}">
              <a16:creationId xmlns:a16="http://schemas.microsoft.com/office/drawing/2014/main" id="{77D97D7F-7AC4-4D75-B528-26B6F1CBE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304800" cy="304800"/>
    <xdr:sp macro="" textlink="">
      <xdr:nvSpPr>
        <xdr:cNvPr id="2960" name="AutoShape 191">
          <a:extLst>
            <a:ext uri="{FF2B5EF4-FFF2-40B4-BE49-F238E27FC236}">
              <a16:creationId xmlns:a16="http://schemas.microsoft.com/office/drawing/2014/main" id="{6EEFDB3E-3466-45A4-AF94-6EAAFFE36F20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304800" cy="304800"/>
    <xdr:sp macro="" textlink="">
      <xdr:nvSpPr>
        <xdr:cNvPr id="2961" name="AutoShape 193">
          <a:extLst>
            <a:ext uri="{FF2B5EF4-FFF2-40B4-BE49-F238E27FC236}">
              <a16:creationId xmlns:a16="http://schemas.microsoft.com/office/drawing/2014/main" id="{0EC60353-AF9F-41F9-BE75-8193378525A7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9525" cy="9525"/>
    <xdr:pic>
      <xdr:nvPicPr>
        <xdr:cNvPr id="2962" name="Picture 2961">
          <a:extLst>
            <a:ext uri="{FF2B5EF4-FFF2-40B4-BE49-F238E27FC236}">
              <a16:creationId xmlns:a16="http://schemas.microsoft.com/office/drawing/2014/main" id="{268F3E17-57C8-4FC7-9AFD-9996E85AF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304800" cy="304800"/>
    <xdr:sp macro="" textlink="">
      <xdr:nvSpPr>
        <xdr:cNvPr id="2963" name="AutoShape 217">
          <a:extLst>
            <a:ext uri="{FF2B5EF4-FFF2-40B4-BE49-F238E27FC236}">
              <a16:creationId xmlns:a16="http://schemas.microsoft.com/office/drawing/2014/main" id="{B8619517-71AF-4424-835C-E00555E8899E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304800" cy="304800"/>
    <xdr:sp macro="" textlink="">
      <xdr:nvSpPr>
        <xdr:cNvPr id="2964" name="AutoShape 219">
          <a:extLst>
            <a:ext uri="{FF2B5EF4-FFF2-40B4-BE49-F238E27FC236}">
              <a16:creationId xmlns:a16="http://schemas.microsoft.com/office/drawing/2014/main" id="{F352EEF4-68E0-4D2D-8101-3019C38F64AA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9525" cy="9525"/>
    <xdr:pic>
      <xdr:nvPicPr>
        <xdr:cNvPr id="2965" name="Picture 2964">
          <a:extLst>
            <a:ext uri="{FF2B5EF4-FFF2-40B4-BE49-F238E27FC236}">
              <a16:creationId xmlns:a16="http://schemas.microsoft.com/office/drawing/2014/main" id="{611B5F34-AB24-4799-9FA1-720B34454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304800" cy="304800"/>
    <xdr:sp macro="" textlink="">
      <xdr:nvSpPr>
        <xdr:cNvPr id="2966" name="AutoShape 241">
          <a:extLst>
            <a:ext uri="{FF2B5EF4-FFF2-40B4-BE49-F238E27FC236}">
              <a16:creationId xmlns:a16="http://schemas.microsoft.com/office/drawing/2014/main" id="{B352DAB2-140A-4745-BB7C-4A74D7008A90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304800" cy="304800"/>
    <xdr:sp macro="" textlink="">
      <xdr:nvSpPr>
        <xdr:cNvPr id="2967" name="AutoShape 243">
          <a:extLst>
            <a:ext uri="{FF2B5EF4-FFF2-40B4-BE49-F238E27FC236}">
              <a16:creationId xmlns:a16="http://schemas.microsoft.com/office/drawing/2014/main" id="{7971FD00-360E-4638-BA00-52A35D35859E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9525" cy="9525"/>
    <xdr:pic>
      <xdr:nvPicPr>
        <xdr:cNvPr id="2968" name="Picture 2967">
          <a:extLst>
            <a:ext uri="{FF2B5EF4-FFF2-40B4-BE49-F238E27FC236}">
              <a16:creationId xmlns:a16="http://schemas.microsoft.com/office/drawing/2014/main" id="{C7DC00D2-B975-4EC5-8324-7022AB2A2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304800" cy="304800"/>
    <xdr:sp macro="" textlink="">
      <xdr:nvSpPr>
        <xdr:cNvPr id="2969" name="AutoShape 267">
          <a:extLst>
            <a:ext uri="{FF2B5EF4-FFF2-40B4-BE49-F238E27FC236}">
              <a16:creationId xmlns:a16="http://schemas.microsoft.com/office/drawing/2014/main" id="{5E106EF4-5DC1-42A4-8070-E4DEDFEB2C2A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304800" cy="304800"/>
    <xdr:sp macro="" textlink="">
      <xdr:nvSpPr>
        <xdr:cNvPr id="2970" name="AutoShape 269">
          <a:extLst>
            <a:ext uri="{FF2B5EF4-FFF2-40B4-BE49-F238E27FC236}">
              <a16:creationId xmlns:a16="http://schemas.microsoft.com/office/drawing/2014/main" id="{6EE79EE2-E8BC-4C3B-A026-34022E04BC3A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9525" cy="9525"/>
    <xdr:pic>
      <xdr:nvPicPr>
        <xdr:cNvPr id="2971" name="Picture 2970">
          <a:extLst>
            <a:ext uri="{FF2B5EF4-FFF2-40B4-BE49-F238E27FC236}">
              <a16:creationId xmlns:a16="http://schemas.microsoft.com/office/drawing/2014/main" id="{4E0AC11D-491F-4A77-9B04-2C0490E93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304800" cy="304800"/>
    <xdr:sp macro="" textlink="">
      <xdr:nvSpPr>
        <xdr:cNvPr id="2972" name="AutoShape 319">
          <a:extLst>
            <a:ext uri="{FF2B5EF4-FFF2-40B4-BE49-F238E27FC236}">
              <a16:creationId xmlns:a16="http://schemas.microsoft.com/office/drawing/2014/main" id="{2F898AB9-2B13-4892-B5AE-67860EC6A73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9525" cy="9525"/>
    <xdr:pic>
      <xdr:nvPicPr>
        <xdr:cNvPr id="2973" name="Picture 2972">
          <a:extLst>
            <a:ext uri="{FF2B5EF4-FFF2-40B4-BE49-F238E27FC236}">
              <a16:creationId xmlns:a16="http://schemas.microsoft.com/office/drawing/2014/main" id="{10BA409C-014A-4C75-B761-0406AB5D8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10</xdr:row>
      <xdr:rowOff>0</xdr:rowOff>
    </xdr:from>
    <xdr:ext cx="9525" cy="9525"/>
    <xdr:pic>
      <xdr:nvPicPr>
        <xdr:cNvPr id="2974" name="Picture 2973">
          <a:extLst>
            <a:ext uri="{FF2B5EF4-FFF2-40B4-BE49-F238E27FC236}">
              <a16:creationId xmlns:a16="http://schemas.microsoft.com/office/drawing/2014/main" id="{831D2114-FFEF-4E1F-AC8E-6F03ACB68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10</xdr:row>
      <xdr:rowOff>0</xdr:rowOff>
    </xdr:from>
    <xdr:ext cx="9525" cy="9525"/>
    <xdr:pic>
      <xdr:nvPicPr>
        <xdr:cNvPr id="2975" name="Picture 2974">
          <a:extLst>
            <a:ext uri="{FF2B5EF4-FFF2-40B4-BE49-F238E27FC236}">
              <a16:creationId xmlns:a16="http://schemas.microsoft.com/office/drawing/2014/main" id="{F6FD46A5-10AA-4CCB-937C-00A701AFD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10</xdr:row>
      <xdr:rowOff>0</xdr:rowOff>
    </xdr:from>
    <xdr:ext cx="9525" cy="9525"/>
    <xdr:pic>
      <xdr:nvPicPr>
        <xdr:cNvPr id="2976" name="Picture 2975">
          <a:extLst>
            <a:ext uri="{FF2B5EF4-FFF2-40B4-BE49-F238E27FC236}">
              <a16:creationId xmlns:a16="http://schemas.microsoft.com/office/drawing/2014/main" id="{2F973404-BF29-44A6-87CE-AD0CD1BB0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11</xdr:row>
      <xdr:rowOff>0</xdr:rowOff>
    </xdr:from>
    <xdr:ext cx="9525" cy="9525"/>
    <xdr:pic>
      <xdr:nvPicPr>
        <xdr:cNvPr id="2977" name="Picture 2976">
          <a:extLst>
            <a:ext uri="{FF2B5EF4-FFF2-40B4-BE49-F238E27FC236}">
              <a16:creationId xmlns:a16="http://schemas.microsoft.com/office/drawing/2014/main" id="{00DCF8B8-B69A-45B5-ABE5-86C9C9B0E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979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22</xdr:row>
      <xdr:rowOff>0</xdr:rowOff>
    </xdr:from>
    <xdr:ext cx="9525" cy="9525"/>
    <xdr:pic>
      <xdr:nvPicPr>
        <xdr:cNvPr id="2978" name="Picture 2977">
          <a:extLst>
            <a:ext uri="{FF2B5EF4-FFF2-40B4-BE49-F238E27FC236}">
              <a16:creationId xmlns:a16="http://schemas.microsoft.com/office/drawing/2014/main" id="{DC7F48F7-916F-4B93-A442-3F66C5CD8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22</xdr:row>
      <xdr:rowOff>0</xdr:rowOff>
    </xdr:from>
    <xdr:ext cx="9525" cy="9525"/>
    <xdr:pic>
      <xdr:nvPicPr>
        <xdr:cNvPr id="2979" name="Picture 2978">
          <a:extLst>
            <a:ext uri="{FF2B5EF4-FFF2-40B4-BE49-F238E27FC236}">
              <a16:creationId xmlns:a16="http://schemas.microsoft.com/office/drawing/2014/main" id="{09BCAF61-4F24-4C10-90EA-509D80EDB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22</xdr:row>
      <xdr:rowOff>0</xdr:rowOff>
    </xdr:from>
    <xdr:ext cx="9525" cy="9525"/>
    <xdr:pic>
      <xdr:nvPicPr>
        <xdr:cNvPr id="2980" name="Picture 2979">
          <a:extLst>
            <a:ext uri="{FF2B5EF4-FFF2-40B4-BE49-F238E27FC236}">
              <a16:creationId xmlns:a16="http://schemas.microsoft.com/office/drawing/2014/main" id="{877E8086-9B95-44A7-BFF7-F4A0F68F2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22</xdr:row>
      <xdr:rowOff>0</xdr:rowOff>
    </xdr:from>
    <xdr:ext cx="9525" cy="9525"/>
    <xdr:pic>
      <xdr:nvPicPr>
        <xdr:cNvPr id="2981" name="Picture 2980">
          <a:extLst>
            <a:ext uri="{FF2B5EF4-FFF2-40B4-BE49-F238E27FC236}">
              <a16:creationId xmlns:a16="http://schemas.microsoft.com/office/drawing/2014/main" id="{A78606CB-B306-49A0-B837-59B103F7A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22</xdr:row>
      <xdr:rowOff>0</xdr:rowOff>
    </xdr:from>
    <xdr:ext cx="9525" cy="9525"/>
    <xdr:pic>
      <xdr:nvPicPr>
        <xdr:cNvPr id="2982" name="Picture 2981">
          <a:extLst>
            <a:ext uri="{FF2B5EF4-FFF2-40B4-BE49-F238E27FC236}">
              <a16:creationId xmlns:a16="http://schemas.microsoft.com/office/drawing/2014/main" id="{2A2ACE52-49C6-4BF0-B1BA-BA0940987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22</xdr:row>
      <xdr:rowOff>0</xdr:rowOff>
    </xdr:from>
    <xdr:ext cx="9525" cy="9525"/>
    <xdr:pic>
      <xdr:nvPicPr>
        <xdr:cNvPr id="2983" name="Picture 2982">
          <a:extLst>
            <a:ext uri="{FF2B5EF4-FFF2-40B4-BE49-F238E27FC236}">
              <a16:creationId xmlns:a16="http://schemas.microsoft.com/office/drawing/2014/main" id="{0C8F9771-832F-4BA3-90CE-4196925AD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22</xdr:row>
      <xdr:rowOff>0</xdr:rowOff>
    </xdr:from>
    <xdr:ext cx="9525" cy="9525"/>
    <xdr:pic>
      <xdr:nvPicPr>
        <xdr:cNvPr id="2984" name="Picture 2983">
          <a:extLst>
            <a:ext uri="{FF2B5EF4-FFF2-40B4-BE49-F238E27FC236}">
              <a16:creationId xmlns:a16="http://schemas.microsoft.com/office/drawing/2014/main" id="{324DE81D-3AA2-4803-89EA-8C64BB28E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22</xdr:row>
      <xdr:rowOff>0</xdr:rowOff>
    </xdr:from>
    <xdr:ext cx="9525" cy="9525"/>
    <xdr:pic>
      <xdr:nvPicPr>
        <xdr:cNvPr id="2985" name="Picture 2984">
          <a:extLst>
            <a:ext uri="{FF2B5EF4-FFF2-40B4-BE49-F238E27FC236}">
              <a16:creationId xmlns:a16="http://schemas.microsoft.com/office/drawing/2014/main" id="{42A22CDE-D9A2-4050-820D-DE992EECC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22</xdr:row>
      <xdr:rowOff>0</xdr:rowOff>
    </xdr:from>
    <xdr:ext cx="9525" cy="9525"/>
    <xdr:pic>
      <xdr:nvPicPr>
        <xdr:cNvPr id="2986" name="Picture 2985">
          <a:extLst>
            <a:ext uri="{FF2B5EF4-FFF2-40B4-BE49-F238E27FC236}">
              <a16:creationId xmlns:a16="http://schemas.microsoft.com/office/drawing/2014/main" id="{1AD55D3D-9766-459B-A98E-1768B45A0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22</xdr:row>
      <xdr:rowOff>0</xdr:rowOff>
    </xdr:from>
    <xdr:ext cx="9525" cy="9525"/>
    <xdr:pic>
      <xdr:nvPicPr>
        <xdr:cNvPr id="2987" name="Picture 2986">
          <a:extLst>
            <a:ext uri="{FF2B5EF4-FFF2-40B4-BE49-F238E27FC236}">
              <a16:creationId xmlns:a16="http://schemas.microsoft.com/office/drawing/2014/main" id="{4C302146-9C53-4EF5-A386-C76A32991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21</xdr:row>
      <xdr:rowOff>0</xdr:rowOff>
    </xdr:from>
    <xdr:ext cx="304800" cy="303439"/>
    <xdr:sp macro="" textlink="">
      <xdr:nvSpPr>
        <xdr:cNvPr id="2988" name="AutoShape 513">
          <a:extLst>
            <a:ext uri="{FF2B5EF4-FFF2-40B4-BE49-F238E27FC236}">
              <a16:creationId xmlns:a16="http://schemas.microsoft.com/office/drawing/2014/main" id="{BD5E4AD3-EA8E-4B22-BE34-1E342DDE083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26596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22</xdr:row>
      <xdr:rowOff>0</xdr:rowOff>
    </xdr:from>
    <xdr:ext cx="304800" cy="304800"/>
    <xdr:sp macro="" textlink="">
      <xdr:nvSpPr>
        <xdr:cNvPr id="2989" name="AutoShape 515">
          <a:extLst>
            <a:ext uri="{FF2B5EF4-FFF2-40B4-BE49-F238E27FC236}">
              <a16:creationId xmlns:a16="http://schemas.microsoft.com/office/drawing/2014/main" id="{A2B2A4F7-D7A8-4144-B01F-7119987279F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9525" cy="9525"/>
    <xdr:pic>
      <xdr:nvPicPr>
        <xdr:cNvPr id="2990" name="Picture 2989">
          <a:extLst>
            <a:ext uri="{FF2B5EF4-FFF2-40B4-BE49-F238E27FC236}">
              <a16:creationId xmlns:a16="http://schemas.microsoft.com/office/drawing/2014/main" id="{3997CC48-C445-4BBF-868E-398D20B76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9525" cy="9525"/>
    <xdr:pic>
      <xdr:nvPicPr>
        <xdr:cNvPr id="2991" name="Picture 2990">
          <a:extLst>
            <a:ext uri="{FF2B5EF4-FFF2-40B4-BE49-F238E27FC236}">
              <a16:creationId xmlns:a16="http://schemas.microsoft.com/office/drawing/2014/main" id="{A09646E7-7CB5-4015-AC9E-C4ECE1916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2992" name="AutoShape 191">
          <a:extLst>
            <a:ext uri="{FF2B5EF4-FFF2-40B4-BE49-F238E27FC236}">
              <a16:creationId xmlns:a16="http://schemas.microsoft.com/office/drawing/2014/main" id="{4483584A-8848-4D5A-A59F-16D64E52593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9525" cy="9525"/>
    <xdr:pic>
      <xdr:nvPicPr>
        <xdr:cNvPr id="2993" name="Picture 2992">
          <a:extLst>
            <a:ext uri="{FF2B5EF4-FFF2-40B4-BE49-F238E27FC236}">
              <a16:creationId xmlns:a16="http://schemas.microsoft.com/office/drawing/2014/main" id="{A59846EA-3A87-4B73-A630-68E1ACDC5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2994" name="AutoShape 217">
          <a:extLst>
            <a:ext uri="{FF2B5EF4-FFF2-40B4-BE49-F238E27FC236}">
              <a16:creationId xmlns:a16="http://schemas.microsoft.com/office/drawing/2014/main" id="{DCC3A058-EEB3-43A9-B973-08C8F4EDC35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9525" cy="9525"/>
    <xdr:pic>
      <xdr:nvPicPr>
        <xdr:cNvPr id="2995" name="Picture 2994">
          <a:extLst>
            <a:ext uri="{FF2B5EF4-FFF2-40B4-BE49-F238E27FC236}">
              <a16:creationId xmlns:a16="http://schemas.microsoft.com/office/drawing/2014/main" id="{21B9072A-03B8-416A-91D0-433921F1A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2996" name="AutoShape 241">
          <a:extLst>
            <a:ext uri="{FF2B5EF4-FFF2-40B4-BE49-F238E27FC236}">
              <a16:creationId xmlns:a16="http://schemas.microsoft.com/office/drawing/2014/main" id="{C8537ABD-281A-48A2-8962-E93BBDDB68E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9525" cy="9525"/>
    <xdr:pic>
      <xdr:nvPicPr>
        <xdr:cNvPr id="2997" name="Picture 2996">
          <a:extLst>
            <a:ext uri="{FF2B5EF4-FFF2-40B4-BE49-F238E27FC236}">
              <a16:creationId xmlns:a16="http://schemas.microsoft.com/office/drawing/2014/main" id="{236BE636-68D8-4102-83F5-3B6710D1D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2998" name="AutoShape 267">
          <a:extLst>
            <a:ext uri="{FF2B5EF4-FFF2-40B4-BE49-F238E27FC236}">
              <a16:creationId xmlns:a16="http://schemas.microsoft.com/office/drawing/2014/main" id="{7414F7EA-01A0-4741-A733-123BBA3B604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9525" cy="9525"/>
    <xdr:pic>
      <xdr:nvPicPr>
        <xdr:cNvPr id="2999" name="Picture 2998">
          <a:extLst>
            <a:ext uri="{FF2B5EF4-FFF2-40B4-BE49-F238E27FC236}">
              <a16:creationId xmlns:a16="http://schemas.microsoft.com/office/drawing/2014/main" id="{32E673DC-8E84-47FB-A67F-F01D6D66D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000" name="AutoShape 319">
          <a:extLst>
            <a:ext uri="{FF2B5EF4-FFF2-40B4-BE49-F238E27FC236}">
              <a16:creationId xmlns:a16="http://schemas.microsoft.com/office/drawing/2014/main" id="{99794609-C743-49DE-877B-BEEB1BBF89E6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9525" cy="9525"/>
    <xdr:pic>
      <xdr:nvPicPr>
        <xdr:cNvPr id="3001" name="Picture 3000">
          <a:extLst>
            <a:ext uri="{FF2B5EF4-FFF2-40B4-BE49-F238E27FC236}">
              <a16:creationId xmlns:a16="http://schemas.microsoft.com/office/drawing/2014/main" id="{3432EBC7-FEB7-4E20-AA59-445EFE1C5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002" name="AutoShape 371">
          <a:extLst>
            <a:ext uri="{FF2B5EF4-FFF2-40B4-BE49-F238E27FC236}">
              <a16:creationId xmlns:a16="http://schemas.microsoft.com/office/drawing/2014/main" id="{48DE385E-E0B9-439A-883C-535A628F7AEF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9525" cy="9525"/>
    <xdr:pic>
      <xdr:nvPicPr>
        <xdr:cNvPr id="3003" name="Picture 3002">
          <a:extLst>
            <a:ext uri="{FF2B5EF4-FFF2-40B4-BE49-F238E27FC236}">
              <a16:creationId xmlns:a16="http://schemas.microsoft.com/office/drawing/2014/main" id="{E40B3B8D-C1DD-4E19-B0CD-34ED0E093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004" name="AutoShape 427">
          <a:extLst>
            <a:ext uri="{FF2B5EF4-FFF2-40B4-BE49-F238E27FC236}">
              <a16:creationId xmlns:a16="http://schemas.microsoft.com/office/drawing/2014/main" id="{D7DD5790-486A-4025-A5EB-5FF75A1BA1B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9525" cy="9525"/>
    <xdr:pic>
      <xdr:nvPicPr>
        <xdr:cNvPr id="3005" name="Picture 3004">
          <a:extLst>
            <a:ext uri="{FF2B5EF4-FFF2-40B4-BE49-F238E27FC236}">
              <a16:creationId xmlns:a16="http://schemas.microsoft.com/office/drawing/2014/main" id="{5CCE2473-28A8-41A6-BAA0-311872E98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006" name="AutoShape 483">
          <a:extLst>
            <a:ext uri="{FF2B5EF4-FFF2-40B4-BE49-F238E27FC236}">
              <a16:creationId xmlns:a16="http://schemas.microsoft.com/office/drawing/2014/main" id="{E17EE19C-2C00-4391-B126-2D441B95A33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9525" cy="9525"/>
    <xdr:pic>
      <xdr:nvPicPr>
        <xdr:cNvPr id="3007" name="Picture 3006">
          <a:extLst>
            <a:ext uri="{FF2B5EF4-FFF2-40B4-BE49-F238E27FC236}">
              <a16:creationId xmlns:a16="http://schemas.microsoft.com/office/drawing/2014/main" id="{9A4C30D9-C1DF-4C85-99D3-C974F0142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22</xdr:row>
      <xdr:rowOff>0</xdr:rowOff>
    </xdr:from>
    <xdr:ext cx="304800" cy="304800"/>
    <xdr:sp macro="" textlink="">
      <xdr:nvSpPr>
        <xdr:cNvPr id="3008" name="AutoShape 515">
          <a:extLst>
            <a:ext uri="{FF2B5EF4-FFF2-40B4-BE49-F238E27FC236}">
              <a16:creationId xmlns:a16="http://schemas.microsoft.com/office/drawing/2014/main" id="{A6D6A05A-1BB1-4C3E-9CFA-0F3A9D290BC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009" name="AutoShape 517">
          <a:extLst>
            <a:ext uri="{FF2B5EF4-FFF2-40B4-BE49-F238E27FC236}">
              <a16:creationId xmlns:a16="http://schemas.microsoft.com/office/drawing/2014/main" id="{3FF2E6CE-B81F-4310-9BAD-A6A6B74DA897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9525" cy="9525"/>
    <xdr:pic>
      <xdr:nvPicPr>
        <xdr:cNvPr id="3010" name="Picture 3009">
          <a:extLst>
            <a:ext uri="{FF2B5EF4-FFF2-40B4-BE49-F238E27FC236}">
              <a16:creationId xmlns:a16="http://schemas.microsoft.com/office/drawing/2014/main" id="{E2971386-4533-4F8F-8DA7-E380C57A9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24</xdr:row>
      <xdr:rowOff>0</xdr:rowOff>
    </xdr:from>
    <xdr:ext cx="304800" cy="303440"/>
    <xdr:sp macro="" textlink="">
      <xdr:nvSpPr>
        <xdr:cNvPr id="3011" name="AutoShape 169">
          <a:extLst>
            <a:ext uri="{FF2B5EF4-FFF2-40B4-BE49-F238E27FC236}">
              <a16:creationId xmlns:a16="http://schemas.microsoft.com/office/drawing/2014/main" id="{A23C0F39-2FB7-45DC-A2B5-8B03A082C54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9525" cy="9525"/>
    <xdr:pic>
      <xdr:nvPicPr>
        <xdr:cNvPr id="3012" name="Picture 3011">
          <a:extLst>
            <a:ext uri="{FF2B5EF4-FFF2-40B4-BE49-F238E27FC236}">
              <a16:creationId xmlns:a16="http://schemas.microsoft.com/office/drawing/2014/main" id="{89FA8C7B-84B9-4E1A-A17C-1416F35B2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24</xdr:row>
      <xdr:rowOff>0</xdr:rowOff>
    </xdr:from>
    <xdr:ext cx="304800" cy="303440"/>
    <xdr:sp macro="" textlink="">
      <xdr:nvSpPr>
        <xdr:cNvPr id="3013" name="AutoShape 199">
          <a:extLst>
            <a:ext uri="{FF2B5EF4-FFF2-40B4-BE49-F238E27FC236}">
              <a16:creationId xmlns:a16="http://schemas.microsoft.com/office/drawing/2014/main" id="{067AA71D-9CA7-4696-8638-08A61352D10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9525" cy="9525"/>
    <xdr:pic>
      <xdr:nvPicPr>
        <xdr:cNvPr id="3014" name="Picture 3013">
          <a:extLst>
            <a:ext uri="{FF2B5EF4-FFF2-40B4-BE49-F238E27FC236}">
              <a16:creationId xmlns:a16="http://schemas.microsoft.com/office/drawing/2014/main" id="{7EC5A9FC-6AC9-4168-9134-F812D5A1B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015" name="AutoShape 223">
          <a:extLst>
            <a:ext uri="{FF2B5EF4-FFF2-40B4-BE49-F238E27FC236}">
              <a16:creationId xmlns:a16="http://schemas.microsoft.com/office/drawing/2014/main" id="{95659A4D-2A32-403D-B0E7-723422CC75C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9525" cy="9525"/>
    <xdr:pic>
      <xdr:nvPicPr>
        <xdr:cNvPr id="3016" name="Picture 3015">
          <a:extLst>
            <a:ext uri="{FF2B5EF4-FFF2-40B4-BE49-F238E27FC236}">
              <a16:creationId xmlns:a16="http://schemas.microsoft.com/office/drawing/2014/main" id="{E2E4DB4E-6F0B-42B9-9549-B1F420495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017" name="AutoShape 247">
          <a:extLst>
            <a:ext uri="{FF2B5EF4-FFF2-40B4-BE49-F238E27FC236}">
              <a16:creationId xmlns:a16="http://schemas.microsoft.com/office/drawing/2014/main" id="{997ADAA5-AB15-4AC1-84E2-0A2769A7031A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304800" cy="303440"/>
    <xdr:sp macro="" textlink="">
      <xdr:nvSpPr>
        <xdr:cNvPr id="3018" name="AutoShape 249">
          <a:extLst>
            <a:ext uri="{FF2B5EF4-FFF2-40B4-BE49-F238E27FC236}">
              <a16:creationId xmlns:a16="http://schemas.microsoft.com/office/drawing/2014/main" id="{8CEC51CB-FAF8-4629-8AA6-7333467FF315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9525" cy="9525"/>
    <xdr:pic>
      <xdr:nvPicPr>
        <xdr:cNvPr id="3019" name="Picture 3018">
          <a:extLst>
            <a:ext uri="{FF2B5EF4-FFF2-40B4-BE49-F238E27FC236}">
              <a16:creationId xmlns:a16="http://schemas.microsoft.com/office/drawing/2014/main" id="{DA848FD3-D022-4284-B389-A564D27CD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020" name="AutoShape 273">
          <a:extLst>
            <a:ext uri="{FF2B5EF4-FFF2-40B4-BE49-F238E27FC236}">
              <a16:creationId xmlns:a16="http://schemas.microsoft.com/office/drawing/2014/main" id="{6FE7D891-3DFB-4073-857A-C8FF99F6852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304800" cy="303440"/>
    <xdr:sp macro="" textlink="">
      <xdr:nvSpPr>
        <xdr:cNvPr id="3021" name="AutoShape 275">
          <a:extLst>
            <a:ext uri="{FF2B5EF4-FFF2-40B4-BE49-F238E27FC236}">
              <a16:creationId xmlns:a16="http://schemas.microsoft.com/office/drawing/2014/main" id="{192C7724-B6C9-469B-9F6B-BF8A36C69E1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9525" cy="9525"/>
    <xdr:pic>
      <xdr:nvPicPr>
        <xdr:cNvPr id="3022" name="Picture 3021">
          <a:extLst>
            <a:ext uri="{FF2B5EF4-FFF2-40B4-BE49-F238E27FC236}">
              <a16:creationId xmlns:a16="http://schemas.microsoft.com/office/drawing/2014/main" id="{F10B60BE-BF4F-42FB-BAE6-0DE31E1C6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023" name="AutoShape 325">
          <a:extLst>
            <a:ext uri="{FF2B5EF4-FFF2-40B4-BE49-F238E27FC236}">
              <a16:creationId xmlns:a16="http://schemas.microsoft.com/office/drawing/2014/main" id="{29AA7537-F4C7-4A08-BD6E-35155F63DC8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304800" cy="303440"/>
    <xdr:sp macro="" textlink="">
      <xdr:nvSpPr>
        <xdr:cNvPr id="3024" name="AutoShape 327">
          <a:extLst>
            <a:ext uri="{FF2B5EF4-FFF2-40B4-BE49-F238E27FC236}">
              <a16:creationId xmlns:a16="http://schemas.microsoft.com/office/drawing/2014/main" id="{03263FB4-E232-4D24-B130-9B6C3E6182AF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9525" cy="9525"/>
    <xdr:pic>
      <xdr:nvPicPr>
        <xdr:cNvPr id="3025" name="Picture 3024">
          <a:extLst>
            <a:ext uri="{FF2B5EF4-FFF2-40B4-BE49-F238E27FC236}">
              <a16:creationId xmlns:a16="http://schemas.microsoft.com/office/drawing/2014/main" id="{54098AF6-F509-498E-A1E2-F38CC1DAC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026" name="AutoShape 377">
          <a:extLst>
            <a:ext uri="{FF2B5EF4-FFF2-40B4-BE49-F238E27FC236}">
              <a16:creationId xmlns:a16="http://schemas.microsoft.com/office/drawing/2014/main" id="{691B2224-EC43-4653-B971-EFBAE14F6A0E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304800" cy="303440"/>
    <xdr:sp macro="" textlink="">
      <xdr:nvSpPr>
        <xdr:cNvPr id="3027" name="AutoShape 379">
          <a:extLst>
            <a:ext uri="{FF2B5EF4-FFF2-40B4-BE49-F238E27FC236}">
              <a16:creationId xmlns:a16="http://schemas.microsoft.com/office/drawing/2014/main" id="{69499B96-1F5F-49CC-B658-DF894BF4A06F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9525" cy="9525"/>
    <xdr:pic>
      <xdr:nvPicPr>
        <xdr:cNvPr id="3028" name="Picture 3027">
          <a:extLst>
            <a:ext uri="{FF2B5EF4-FFF2-40B4-BE49-F238E27FC236}">
              <a16:creationId xmlns:a16="http://schemas.microsoft.com/office/drawing/2014/main" id="{8D09A070-9655-4144-BA46-47837DB2A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029" name="AutoShape 433">
          <a:extLst>
            <a:ext uri="{FF2B5EF4-FFF2-40B4-BE49-F238E27FC236}">
              <a16:creationId xmlns:a16="http://schemas.microsoft.com/office/drawing/2014/main" id="{62E58DC1-6086-4020-B2F6-A883706A16A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304800" cy="303440"/>
    <xdr:sp macro="" textlink="">
      <xdr:nvSpPr>
        <xdr:cNvPr id="3030" name="AutoShape 435">
          <a:extLst>
            <a:ext uri="{FF2B5EF4-FFF2-40B4-BE49-F238E27FC236}">
              <a16:creationId xmlns:a16="http://schemas.microsoft.com/office/drawing/2014/main" id="{88E46BC1-76AD-4724-8F1F-3B7D007A6DB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9525" cy="9525"/>
    <xdr:pic>
      <xdr:nvPicPr>
        <xdr:cNvPr id="3031" name="Picture 3030">
          <a:extLst>
            <a:ext uri="{FF2B5EF4-FFF2-40B4-BE49-F238E27FC236}">
              <a16:creationId xmlns:a16="http://schemas.microsoft.com/office/drawing/2014/main" id="{0214CCAB-16A3-4099-AE44-E299E721B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032" name="AutoShape 489">
          <a:extLst>
            <a:ext uri="{FF2B5EF4-FFF2-40B4-BE49-F238E27FC236}">
              <a16:creationId xmlns:a16="http://schemas.microsoft.com/office/drawing/2014/main" id="{C32F55E5-B737-4B3E-ACAB-FEA75B21E8E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304800" cy="303440"/>
    <xdr:sp macro="" textlink="">
      <xdr:nvSpPr>
        <xdr:cNvPr id="3033" name="AutoShape 491">
          <a:extLst>
            <a:ext uri="{FF2B5EF4-FFF2-40B4-BE49-F238E27FC236}">
              <a16:creationId xmlns:a16="http://schemas.microsoft.com/office/drawing/2014/main" id="{F126DA2F-1BAA-404E-A5D9-E443A252EA3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9525" cy="9525"/>
    <xdr:pic>
      <xdr:nvPicPr>
        <xdr:cNvPr id="3034" name="Picture 3033">
          <a:extLst>
            <a:ext uri="{FF2B5EF4-FFF2-40B4-BE49-F238E27FC236}">
              <a16:creationId xmlns:a16="http://schemas.microsoft.com/office/drawing/2014/main" id="{B697E807-8B44-4857-9A9D-222700933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035" name="AutoShape 523">
          <a:extLst>
            <a:ext uri="{FF2B5EF4-FFF2-40B4-BE49-F238E27FC236}">
              <a16:creationId xmlns:a16="http://schemas.microsoft.com/office/drawing/2014/main" id="{737B8339-1AF5-4F6D-AF30-B6BEF5C3BF6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304800" cy="303440"/>
    <xdr:sp macro="" textlink="">
      <xdr:nvSpPr>
        <xdr:cNvPr id="3036" name="AutoShape 525">
          <a:extLst>
            <a:ext uri="{FF2B5EF4-FFF2-40B4-BE49-F238E27FC236}">
              <a16:creationId xmlns:a16="http://schemas.microsoft.com/office/drawing/2014/main" id="{9D5330AF-C1BA-4AF6-AF8B-1326BD3412A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3</xdr:row>
      <xdr:rowOff>0</xdr:rowOff>
    </xdr:from>
    <xdr:ext cx="9525" cy="9525"/>
    <xdr:pic>
      <xdr:nvPicPr>
        <xdr:cNvPr id="3037" name="Picture 3036">
          <a:extLst>
            <a:ext uri="{FF2B5EF4-FFF2-40B4-BE49-F238E27FC236}">
              <a16:creationId xmlns:a16="http://schemas.microsoft.com/office/drawing/2014/main" id="{928B0CC1-A564-4787-BF71-FB801D4B3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</xdr:row>
      <xdr:rowOff>0</xdr:rowOff>
    </xdr:from>
    <xdr:ext cx="304800" cy="303439"/>
    <xdr:sp macro="" textlink="">
      <xdr:nvSpPr>
        <xdr:cNvPr id="3038" name="AutoShape 25">
          <a:extLst>
            <a:ext uri="{FF2B5EF4-FFF2-40B4-BE49-F238E27FC236}">
              <a16:creationId xmlns:a16="http://schemas.microsoft.com/office/drawing/2014/main" id="{D200E88B-11B9-4FD9-9F59-4B0C279407D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9525" cy="9525"/>
    <xdr:pic>
      <xdr:nvPicPr>
        <xdr:cNvPr id="3039" name="Picture 3038">
          <a:extLst>
            <a:ext uri="{FF2B5EF4-FFF2-40B4-BE49-F238E27FC236}">
              <a16:creationId xmlns:a16="http://schemas.microsoft.com/office/drawing/2014/main" id="{A86EEE1F-7FB3-4B4B-A322-C12D55520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9525" cy="9525"/>
    <xdr:pic>
      <xdr:nvPicPr>
        <xdr:cNvPr id="3040" name="Picture 3039">
          <a:extLst>
            <a:ext uri="{FF2B5EF4-FFF2-40B4-BE49-F238E27FC236}">
              <a16:creationId xmlns:a16="http://schemas.microsoft.com/office/drawing/2014/main" id="{A586C259-22DC-4191-9DF9-1F6D5851B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6</xdr:row>
      <xdr:rowOff>0</xdr:rowOff>
    </xdr:from>
    <xdr:ext cx="9525" cy="9525"/>
    <xdr:pic>
      <xdr:nvPicPr>
        <xdr:cNvPr id="3041" name="Picture 3040">
          <a:extLst>
            <a:ext uri="{FF2B5EF4-FFF2-40B4-BE49-F238E27FC236}">
              <a16:creationId xmlns:a16="http://schemas.microsoft.com/office/drawing/2014/main" id="{0F5BC416-5ED1-44FD-A6D6-A8B9EEB30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3042" name="AutoShape 29">
          <a:extLst>
            <a:ext uri="{FF2B5EF4-FFF2-40B4-BE49-F238E27FC236}">
              <a16:creationId xmlns:a16="http://schemas.microsoft.com/office/drawing/2014/main" id="{91EFAE72-A894-43BD-8DD5-DC8ACC89210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43" name="Picture 3042">
          <a:extLst>
            <a:ext uri="{FF2B5EF4-FFF2-40B4-BE49-F238E27FC236}">
              <a16:creationId xmlns:a16="http://schemas.microsoft.com/office/drawing/2014/main" id="{4887BB0D-3518-424C-BA3B-849964F0F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26</xdr:row>
      <xdr:rowOff>0</xdr:rowOff>
    </xdr:from>
    <xdr:ext cx="9525" cy="9525"/>
    <xdr:pic>
      <xdr:nvPicPr>
        <xdr:cNvPr id="3044" name="Picture 3043">
          <a:extLst>
            <a:ext uri="{FF2B5EF4-FFF2-40B4-BE49-F238E27FC236}">
              <a16:creationId xmlns:a16="http://schemas.microsoft.com/office/drawing/2014/main" id="{28D803B2-0FE3-4CBF-9FD2-DF4C061DB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25</xdr:row>
      <xdr:rowOff>0</xdr:rowOff>
    </xdr:from>
    <xdr:ext cx="304800" cy="303440"/>
    <xdr:sp macro="" textlink="">
      <xdr:nvSpPr>
        <xdr:cNvPr id="3045" name="AutoShape 32">
          <a:extLst>
            <a:ext uri="{FF2B5EF4-FFF2-40B4-BE49-F238E27FC236}">
              <a16:creationId xmlns:a16="http://schemas.microsoft.com/office/drawing/2014/main" id="{F79C4D20-D3B0-4472-BF17-5C35D472E9A5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46" name="Picture 3045">
          <a:extLst>
            <a:ext uri="{FF2B5EF4-FFF2-40B4-BE49-F238E27FC236}">
              <a16:creationId xmlns:a16="http://schemas.microsoft.com/office/drawing/2014/main" id="{D38635D3-2DF6-4B82-93B9-16F865684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47" name="Picture 3046">
          <a:extLst>
            <a:ext uri="{FF2B5EF4-FFF2-40B4-BE49-F238E27FC236}">
              <a16:creationId xmlns:a16="http://schemas.microsoft.com/office/drawing/2014/main" id="{9BD0C89A-8C11-435A-8D22-C84EEDD3B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48" name="Picture 3047">
          <a:extLst>
            <a:ext uri="{FF2B5EF4-FFF2-40B4-BE49-F238E27FC236}">
              <a16:creationId xmlns:a16="http://schemas.microsoft.com/office/drawing/2014/main" id="{26BCFB05-2DDD-49B2-A27B-46A7CE89D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49" name="Picture 3048">
          <a:extLst>
            <a:ext uri="{FF2B5EF4-FFF2-40B4-BE49-F238E27FC236}">
              <a16:creationId xmlns:a16="http://schemas.microsoft.com/office/drawing/2014/main" id="{7231ADF8-F8FB-49BC-BA69-EA54C4245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50" name="Picture 3049">
          <a:extLst>
            <a:ext uri="{FF2B5EF4-FFF2-40B4-BE49-F238E27FC236}">
              <a16:creationId xmlns:a16="http://schemas.microsoft.com/office/drawing/2014/main" id="{0B5DDCC9-08E5-4FF5-85C9-8F2A4A0C4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3051" name="AutoShape 38">
          <a:extLst>
            <a:ext uri="{FF2B5EF4-FFF2-40B4-BE49-F238E27FC236}">
              <a16:creationId xmlns:a16="http://schemas.microsoft.com/office/drawing/2014/main" id="{71DF70F8-6183-416B-BFDF-BF62BB38542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52" name="Picture 3051">
          <a:extLst>
            <a:ext uri="{FF2B5EF4-FFF2-40B4-BE49-F238E27FC236}">
              <a16:creationId xmlns:a16="http://schemas.microsoft.com/office/drawing/2014/main" id="{E6845342-C494-4942-90D9-5CD4502AD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3053" name="AutoShape 40">
          <a:extLst>
            <a:ext uri="{FF2B5EF4-FFF2-40B4-BE49-F238E27FC236}">
              <a16:creationId xmlns:a16="http://schemas.microsoft.com/office/drawing/2014/main" id="{1AEF860E-D1EC-40D6-BFC1-B6C4090533A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13</xdr:row>
      <xdr:rowOff>0</xdr:rowOff>
    </xdr:from>
    <xdr:ext cx="9525" cy="9525"/>
    <xdr:pic>
      <xdr:nvPicPr>
        <xdr:cNvPr id="3054" name="Picture 3053">
          <a:extLst>
            <a:ext uri="{FF2B5EF4-FFF2-40B4-BE49-F238E27FC236}">
              <a16:creationId xmlns:a16="http://schemas.microsoft.com/office/drawing/2014/main" id="{EA079392-E612-476B-8F6C-BB0574AA8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12</xdr:row>
      <xdr:rowOff>0</xdr:rowOff>
    </xdr:from>
    <xdr:ext cx="304800" cy="303439"/>
    <xdr:sp macro="" textlink="">
      <xdr:nvSpPr>
        <xdr:cNvPr id="3055" name="AutoShape 42">
          <a:extLst>
            <a:ext uri="{FF2B5EF4-FFF2-40B4-BE49-F238E27FC236}">
              <a16:creationId xmlns:a16="http://schemas.microsoft.com/office/drawing/2014/main" id="{D86EA936-29EB-4479-B43D-0EEEE3A3E12A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13</xdr:row>
      <xdr:rowOff>0</xdr:rowOff>
    </xdr:from>
    <xdr:ext cx="304800" cy="304800"/>
    <xdr:sp macro="" textlink="">
      <xdr:nvSpPr>
        <xdr:cNvPr id="3056" name="AutoShape 44">
          <a:extLst>
            <a:ext uri="{FF2B5EF4-FFF2-40B4-BE49-F238E27FC236}">
              <a16:creationId xmlns:a16="http://schemas.microsoft.com/office/drawing/2014/main" id="{DAE8BD29-1A2F-4A6D-A582-8CCEBF7E0C30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57" name="Picture 3056">
          <a:extLst>
            <a:ext uri="{FF2B5EF4-FFF2-40B4-BE49-F238E27FC236}">
              <a16:creationId xmlns:a16="http://schemas.microsoft.com/office/drawing/2014/main" id="{AD25EAF7-D130-4DE1-A251-BCD278032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27</xdr:row>
      <xdr:rowOff>0</xdr:rowOff>
    </xdr:from>
    <xdr:ext cx="9525" cy="9525"/>
    <xdr:pic>
      <xdr:nvPicPr>
        <xdr:cNvPr id="3058" name="Picture 3057">
          <a:extLst>
            <a:ext uri="{FF2B5EF4-FFF2-40B4-BE49-F238E27FC236}">
              <a16:creationId xmlns:a16="http://schemas.microsoft.com/office/drawing/2014/main" id="{54F6CB5B-3C98-458B-828E-8D3E94D38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3</xdr:row>
      <xdr:rowOff>0</xdr:rowOff>
    </xdr:from>
    <xdr:ext cx="9525" cy="9525"/>
    <xdr:pic>
      <xdr:nvPicPr>
        <xdr:cNvPr id="3059" name="Picture 3058">
          <a:extLst>
            <a:ext uri="{FF2B5EF4-FFF2-40B4-BE49-F238E27FC236}">
              <a16:creationId xmlns:a16="http://schemas.microsoft.com/office/drawing/2014/main" id="{116A98F2-0741-46FE-8DA4-C44CF104C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</xdr:row>
      <xdr:rowOff>0</xdr:rowOff>
    </xdr:from>
    <xdr:ext cx="304800" cy="303439"/>
    <xdr:sp macro="" textlink="">
      <xdr:nvSpPr>
        <xdr:cNvPr id="3060" name="AutoShape 48">
          <a:extLst>
            <a:ext uri="{FF2B5EF4-FFF2-40B4-BE49-F238E27FC236}">
              <a16:creationId xmlns:a16="http://schemas.microsoft.com/office/drawing/2014/main" id="{D36E0AF5-2E9F-455C-8F95-90E730AB42F6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9525" cy="9525"/>
    <xdr:pic>
      <xdr:nvPicPr>
        <xdr:cNvPr id="3061" name="Picture 3060">
          <a:extLst>
            <a:ext uri="{FF2B5EF4-FFF2-40B4-BE49-F238E27FC236}">
              <a16:creationId xmlns:a16="http://schemas.microsoft.com/office/drawing/2014/main" id="{0B24B870-9B58-40A7-A477-9C5C30656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9525" cy="9525"/>
    <xdr:pic>
      <xdr:nvPicPr>
        <xdr:cNvPr id="3062" name="Picture 3061">
          <a:extLst>
            <a:ext uri="{FF2B5EF4-FFF2-40B4-BE49-F238E27FC236}">
              <a16:creationId xmlns:a16="http://schemas.microsoft.com/office/drawing/2014/main" id="{8B71C06A-9880-4099-A1F5-47D3F32A6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6</xdr:row>
      <xdr:rowOff>0</xdr:rowOff>
    </xdr:from>
    <xdr:ext cx="9525" cy="9525"/>
    <xdr:pic>
      <xdr:nvPicPr>
        <xdr:cNvPr id="3063" name="Picture 3062">
          <a:extLst>
            <a:ext uri="{FF2B5EF4-FFF2-40B4-BE49-F238E27FC236}">
              <a16:creationId xmlns:a16="http://schemas.microsoft.com/office/drawing/2014/main" id="{A38F4BBA-F680-4BC4-92C7-33363E8DB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3064" name="AutoShape 52">
          <a:extLst>
            <a:ext uri="{FF2B5EF4-FFF2-40B4-BE49-F238E27FC236}">
              <a16:creationId xmlns:a16="http://schemas.microsoft.com/office/drawing/2014/main" id="{54591732-3DFC-4C49-A6A9-ED2963965FB7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65" name="Picture 3064">
          <a:extLst>
            <a:ext uri="{FF2B5EF4-FFF2-40B4-BE49-F238E27FC236}">
              <a16:creationId xmlns:a16="http://schemas.microsoft.com/office/drawing/2014/main" id="{34321EBD-2371-4F3A-9891-1AB28D355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26</xdr:row>
      <xdr:rowOff>0</xdr:rowOff>
    </xdr:from>
    <xdr:ext cx="9525" cy="9525"/>
    <xdr:pic>
      <xdr:nvPicPr>
        <xdr:cNvPr id="3066" name="Picture 3065">
          <a:extLst>
            <a:ext uri="{FF2B5EF4-FFF2-40B4-BE49-F238E27FC236}">
              <a16:creationId xmlns:a16="http://schemas.microsoft.com/office/drawing/2014/main" id="{8A30DB4C-CFFA-48C9-BA15-67BC8482A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25</xdr:row>
      <xdr:rowOff>0</xdr:rowOff>
    </xdr:from>
    <xdr:ext cx="304800" cy="303440"/>
    <xdr:sp macro="" textlink="">
      <xdr:nvSpPr>
        <xdr:cNvPr id="3067" name="AutoShape 55">
          <a:extLst>
            <a:ext uri="{FF2B5EF4-FFF2-40B4-BE49-F238E27FC236}">
              <a16:creationId xmlns:a16="http://schemas.microsoft.com/office/drawing/2014/main" id="{117145D4-11AA-4C8A-A6A0-8EB8D3AC987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68" name="Picture 3067">
          <a:extLst>
            <a:ext uri="{FF2B5EF4-FFF2-40B4-BE49-F238E27FC236}">
              <a16:creationId xmlns:a16="http://schemas.microsoft.com/office/drawing/2014/main" id="{AEA0050F-1C8C-4446-8409-84467DFED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69" name="Picture 3068">
          <a:extLst>
            <a:ext uri="{FF2B5EF4-FFF2-40B4-BE49-F238E27FC236}">
              <a16:creationId xmlns:a16="http://schemas.microsoft.com/office/drawing/2014/main" id="{E9465498-8C46-4A7D-A182-2011D42D4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70" name="Picture 3069">
          <a:extLst>
            <a:ext uri="{FF2B5EF4-FFF2-40B4-BE49-F238E27FC236}">
              <a16:creationId xmlns:a16="http://schemas.microsoft.com/office/drawing/2014/main" id="{79D0A59A-D466-498C-B30A-87F6DD64C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71" name="Picture 3070">
          <a:extLst>
            <a:ext uri="{FF2B5EF4-FFF2-40B4-BE49-F238E27FC236}">
              <a16:creationId xmlns:a16="http://schemas.microsoft.com/office/drawing/2014/main" id="{DAC25ED7-732D-450C-9645-6A3762AA6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72" name="Picture 3071">
          <a:extLst>
            <a:ext uri="{FF2B5EF4-FFF2-40B4-BE49-F238E27FC236}">
              <a16:creationId xmlns:a16="http://schemas.microsoft.com/office/drawing/2014/main" id="{8B9800DD-BC61-4CFC-B375-9D795E2E6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3073" name="AutoShape 61">
          <a:extLst>
            <a:ext uri="{FF2B5EF4-FFF2-40B4-BE49-F238E27FC236}">
              <a16:creationId xmlns:a16="http://schemas.microsoft.com/office/drawing/2014/main" id="{2A78DEF1-C735-4458-B48A-F86D9D8D520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74" name="Picture 3073">
          <a:extLst>
            <a:ext uri="{FF2B5EF4-FFF2-40B4-BE49-F238E27FC236}">
              <a16:creationId xmlns:a16="http://schemas.microsoft.com/office/drawing/2014/main" id="{501E7DEE-86DE-42C7-B87F-227DFD8C8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3075" name="AutoShape 63">
          <a:extLst>
            <a:ext uri="{FF2B5EF4-FFF2-40B4-BE49-F238E27FC236}">
              <a16:creationId xmlns:a16="http://schemas.microsoft.com/office/drawing/2014/main" id="{E19A52DD-FDE9-46A8-A714-491072A702E0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13</xdr:row>
      <xdr:rowOff>0</xdr:rowOff>
    </xdr:from>
    <xdr:ext cx="9525" cy="9525"/>
    <xdr:pic>
      <xdr:nvPicPr>
        <xdr:cNvPr id="3076" name="Picture 3075">
          <a:extLst>
            <a:ext uri="{FF2B5EF4-FFF2-40B4-BE49-F238E27FC236}">
              <a16:creationId xmlns:a16="http://schemas.microsoft.com/office/drawing/2014/main" id="{6686D669-5F5C-4CA4-A4B9-80DB9D2B6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12</xdr:row>
      <xdr:rowOff>0</xdr:rowOff>
    </xdr:from>
    <xdr:ext cx="304800" cy="303439"/>
    <xdr:sp macro="" textlink="">
      <xdr:nvSpPr>
        <xdr:cNvPr id="3077" name="AutoShape 65">
          <a:extLst>
            <a:ext uri="{FF2B5EF4-FFF2-40B4-BE49-F238E27FC236}">
              <a16:creationId xmlns:a16="http://schemas.microsoft.com/office/drawing/2014/main" id="{D2E9D87D-394C-4A79-B4A2-FFE47D774675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13</xdr:row>
      <xdr:rowOff>0</xdr:rowOff>
    </xdr:from>
    <xdr:ext cx="304800" cy="304800"/>
    <xdr:sp macro="" textlink="">
      <xdr:nvSpPr>
        <xdr:cNvPr id="3078" name="AutoShape 67">
          <a:extLst>
            <a:ext uri="{FF2B5EF4-FFF2-40B4-BE49-F238E27FC236}">
              <a16:creationId xmlns:a16="http://schemas.microsoft.com/office/drawing/2014/main" id="{23E5B8EF-5373-4F0E-94DB-604B11B06630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79" name="Picture 3078">
          <a:extLst>
            <a:ext uri="{FF2B5EF4-FFF2-40B4-BE49-F238E27FC236}">
              <a16:creationId xmlns:a16="http://schemas.microsoft.com/office/drawing/2014/main" id="{BE4BA8D0-E298-484E-A1D9-C0E6D5C79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3440"/>
    <xdr:sp macro="" textlink="">
      <xdr:nvSpPr>
        <xdr:cNvPr id="3080" name="AutoShape 69">
          <a:extLst>
            <a:ext uri="{FF2B5EF4-FFF2-40B4-BE49-F238E27FC236}">
              <a16:creationId xmlns:a16="http://schemas.microsoft.com/office/drawing/2014/main" id="{6D6BC0E8-5380-4238-9FD5-397CE3FC624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27</xdr:row>
      <xdr:rowOff>0</xdr:rowOff>
    </xdr:from>
    <xdr:ext cx="9525" cy="9525"/>
    <xdr:pic>
      <xdr:nvPicPr>
        <xdr:cNvPr id="3081" name="Picture 3080">
          <a:extLst>
            <a:ext uri="{FF2B5EF4-FFF2-40B4-BE49-F238E27FC236}">
              <a16:creationId xmlns:a16="http://schemas.microsoft.com/office/drawing/2014/main" id="{CB62CF91-6DD6-41A4-862C-BB2FDF9A1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82" name="Picture 3081">
          <a:extLst>
            <a:ext uri="{FF2B5EF4-FFF2-40B4-BE49-F238E27FC236}">
              <a16:creationId xmlns:a16="http://schemas.microsoft.com/office/drawing/2014/main" id="{9F8057EF-1F7D-40DE-BCC5-22006F07B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3</xdr:row>
      <xdr:rowOff>0</xdr:rowOff>
    </xdr:from>
    <xdr:ext cx="9525" cy="9525"/>
    <xdr:pic>
      <xdr:nvPicPr>
        <xdr:cNvPr id="3083" name="Picture 3082">
          <a:extLst>
            <a:ext uri="{FF2B5EF4-FFF2-40B4-BE49-F238E27FC236}">
              <a16:creationId xmlns:a16="http://schemas.microsoft.com/office/drawing/2014/main" id="{71D615BE-1C13-4F4C-B763-C6431DDE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</xdr:row>
      <xdr:rowOff>0</xdr:rowOff>
    </xdr:from>
    <xdr:ext cx="304800" cy="303439"/>
    <xdr:sp macro="" textlink="">
      <xdr:nvSpPr>
        <xdr:cNvPr id="3084" name="AutoShape 98">
          <a:extLst>
            <a:ext uri="{FF2B5EF4-FFF2-40B4-BE49-F238E27FC236}">
              <a16:creationId xmlns:a16="http://schemas.microsoft.com/office/drawing/2014/main" id="{D885484D-9A04-4DFC-B8F7-7239DC2F2467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9525" cy="9525"/>
    <xdr:pic>
      <xdr:nvPicPr>
        <xdr:cNvPr id="3085" name="Picture 3084">
          <a:extLst>
            <a:ext uri="{FF2B5EF4-FFF2-40B4-BE49-F238E27FC236}">
              <a16:creationId xmlns:a16="http://schemas.microsoft.com/office/drawing/2014/main" id="{EA54A9D6-05FF-4790-A93F-A58E612CE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9525" cy="9525"/>
    <xdr:pic>
      <xdr:nvPicPr>
        <xdr:cNvPr id="3086" name="Picture 3085">
          <a:extLst>
            <a:ext uri="{FF2B5EF4-FFF2-40B4-BE49-F238E27FC236}">
              <a16:creationId xmlns:a16="http://schemas.microsoft.com/office/drawing/2014/main" id="{618252AE-AF93-4BED-861E-9ACFA62E7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6</xdr:row>
      <xdr:rowOff>0</xdr:rowOff>
    </xdr:from>
    <xdr:ext cx="9525" cy="9525"/>
    <xdr:pic>
      <xdr:nvPicPr>
        <xdr:cNvPr id="3087" name="Picture 3086">
          <a:extLst>
            <a:ext uri="{FF2B5EF4-FFF2-40B4-BE49-F238E27FC236}">
              <a16:creationId xmlns:a16="http://schemas.microsoft.com/office/drawing/2014/main" id="{BAED17A8-C6EA-481F-A3D6-16E6D6C35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3088" name="AutoShape 102">
          <a:extLst>
            <a:ext uri="{FF2B5EF4-FFF2-40B4-BE49-F238E27FC236}">
              <a16:creationId xmlns:a16="http://schemas.microsoft.com/office/drawing/2014/main" id="{B4B6E604-9A34-4ABB-880A-33339C3D9704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89" name="Picture 3088">
          <a:extLst>
            <a:ext uri="{FF2B5EF4-FFF2-40B4-BE49-F238E27FC236}">
              <a16:creationId xmlns:a16="http://schemas.microsoft.com/office/drawing/2014/main" id="{A7C3515A-8074-4C07-B024-541BFC83A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26</xdr:row>
      <xdr:rowOff>0</xdr:rowOff>
    </xdr:from>
    <xdr:ext cx="9525" cy="9525"/>
    <xdr:pic>
      <xdr:nvPicPr>
        <xdr:cNvPr id="3090" name="Picture 3089">
          <a:extLst>
            <a:ext uri="{FF2B5EF4-FFF2-40B4-BE49-F238E27FC236}">
              <a16:creationId xmlns:a16="http://schemas.microsoft.com/office/drawing/2014/main" id="{2EDCC586-48FB-4D53-80EF-31A8C1E46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25</xdr:row>
      <xdr:rowOff>0</xdr:rowOff>
    </xdr:from>
    <xdr:ext cx="304800" cy="303440"/>
    <xdr:sp macro="" textlink="">
      <xdr:nvSpPr>
        <xdr:cNvPr id="3091" name="AutoShape 105">
          <a:extLst>
            <a:ext uri="{FF2B5EF4-FFF2-40B4-BE49-F238E27FC236}">
              <a16:creationId xmlns:a16="http://schemas.microsoft.com/office/drawing/2014/main" id="{8534709A-07A5-4A19-9CE7-5FE426DA0A5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92" name="Picture 3091">
          <a:extLst>
            <a:ext uri="{FF2B5EF4-FFF2-40B4-BE49-F238E27FC236}">
              <a16:creationId xmlns:a16="http://schemas.microsoft.com/office/drawing/2014/main" id="{8FDFED21-D089-422D-9EEF-2D4FA967D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93" name="Picture 3092">
          <a:extLst>
            <a:ext uri="{FF2B5EF4-FFF2-40B4-BE49-F238E27FC236}">
              <a16:creationId xmlns:a16="http://schemas.microsoft.com/office/drawing/2014/main" id="{33DC7473-0A5A-4727-85BE-CBB31AAF0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94" name="Picture 3093">
          <a:extLst>
            <a:ext uri="{FF2B5EF4-FFF2-40B4-BE49-F238E27FC236}">
              <a16:creationId xmlns:a16="http://schemas.microsoft.com/office/drawing/2014/main" id="{B20E06C0-1C1B-473D-90CF-9387EC2D4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95" name="Picture 3094">
          <a:extLst>
            <a:ext uri="{FF2B5EF4-FFF2-40B4-BE49-F238E27FC236}">
              <a16:creationId xmlns:a16="http://schemas.microsoft.com/office/drawing/2014/main" id="{3A7F8FB0-575F-41A1-9C82-E1D4B8E7A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96" name="Picture 3095">
          <a:extLst>
            <a:ext uri="{FF2B5EF4-FFF2-40B4-BE49-F238E27FC236}">
              <a16:creationId xmlns:a16="http://schemas.microsoft.com/office/drawing/2014/main" id="{97B0BC3C-ECB6-4099-83D7-B299BB03F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3097" name="AutoShape 111">
          <a:extLst>
            <a:ext uri="{FF2B5EF4-FFF2-40B4-BE49-F238E27FC236}">
              <a16:creationId xmlns:a16="http://schemas.microsoft.com/office/drawing/2014/main" id="{33ABC2FD-5C05-42E9-BC20-65CE547F6280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098" name="Picture 3097">
          <a:extLst>
            <a:ext uri="{FF2B5EF4-FFF2-40B4-BE49-F238E27FC236}">
              <a16:creationId xmlns:a16="http://schemas.microsoft.com/office/drawing/2014/main" id="{F47451AF-7E15-4232-81BC-903BB54C0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3099" name="AutoShape 113">
          <a:extLst>
            <a:ext uri="{FF2B5EF4-FFF2-40B4-BE49-F238E27FC236}">
              <a16:creationId xmlns:a16="http://schemas.microsoft.com/office/drawing/2014/main" id="{7CC853C1-F620-45F3-BB93-376F3271FDE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13</xdr:row>
      <xdr:rowOff>0</xdr:rowOff>
    </xdr:from>
    <xdr:ext cx="9525" cy="9525"/>
    <xdr:pic>
      <xdr:nvPicPr>
        <xdr:cNvPr id="3100" name="Picture 3099">
          <a:extLst>
            <a:ext uri="{FF2B5EF4-FFF2-40B4-BE49-F238E27FC236}">
              <a16:creationId xmlns:a16="http://schemas.microsoft.com/office/drawing/2014/main" id="{CEC902C5-FE1C-4AA7-9D6B-FDC16CE80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12</xdr:row>
      <xdr:rowOff>0</xdr:rowOff>
    </xdr:from>
    <xdr:ext cx="304800" cy="303439"/>
    <xdr:sp macro="" textlink="">
      <xdr:nvSpPr>
        <xdr:cNvPr id="3101" name="AutoShape 115">
          <a:extLst>
            <a:ext uri="{FF2B5EF4-FFF2-40B4-BE49-F238E27FC236}">
              <a16:creationId xmlns:a16="http://schemas.microsoft.com/office/drawing/2014/main" id="{17F6B2BC-153C-4465-BF92-5AECC7E317E7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102" name="Picture 3101">
          <a:extLst>
            <a:ext uri="{FF2B5EF4-FFF2-40B4-BE49-F238E27FC236}">
              <a16:creationId xmlns:a16="http://schemas.microsoft.com/office/drawing/2014/main" id="{FACACF8C-F29A-4703-A7F1-644A3867C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13</xdr:row>
      <xdr:rowOff>0</xdr:rowOff>
    </xdr:from>
    <xdr:ext cx="304800" cy="304800"/>
    <xdr:sp macro="" textlink="">
      <xdr:nvSpPr>
        <xdr:cNvPr id="3103" name="AutoShape 117">
          <a:extLst>
            <a:ext uri="{FF2B5EF4-FFF2-40B4-BE49-F238E27FC236}">
              <a16:creationId xmlns:a16="http://schemas.microsoft.com/office/drawing/2014/main" id="{2F708B48-9ED1-4B38-B73D-F31E19A870A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104" name="Picture 3103">
          <a:extLst>
            <a:ext uri="{FF2B5EF4-FFF2-40B4-BE49-F238E27FC236}">
              <a16:creationId xmlns:a16="http://schemas.microsoft.com/office/drawing/2014/main" id="{102E43AD-E723-4E5C-9387-B48A0CD90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3440"/>
    <xdr:sp macro="" textlink="">
      <xdr:nvSpPr>
        <xdr:cNvPr id="3105" name="AutoShape 119">
          <a:extLst>
            <a:ext uri="{FF2B5EF4-FFF2-40B4-BE49-F238E27FC236}">
              <a16:creationId xmlns:a16="http://schemas.microsoft.com/office/drawing/2014/main" id="{0FF00A12-0554-4C78-8FF1-9B2108FA2D17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27</xdr:row>
      <xdr:rowOff>0</xdr:rowOff>
    </xdr:from>
    <xdr:ext cx="9525" cy="9525"/>
    <xdr:pic>
      <xdr:nvPicPr>
        <xdr:cNvPr id="3106" name="Picture 3105">
          <a:extLst>
            <a:ext uri="{FF2B5EF4-FFF2-40B4-BE49-F238E27FC236}">
              <a16:creationId xmlns:a16="http://schemas.microsoft.com/office/drawing/2014/main" id="{D1D4A6A7-595A-4B65-9E00-F1332579D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107" name="Picture 3106">
          <a:extLst>
            <a:ext uri="{FF2B5EF4-FFF2-40B4-BE49-F238E27FC236}">
              <a16:creationId xmlns:a16="http://schemas.microsoft.com/office/drawing/2014/main" id="{7BF4710A-7FFD-4F9A-8EDB-744A389F1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3</xdr:row>
      <xdr:rowOff>0</xdr:rowOff>
    </xdr:from>
    <xdr:ext cx="9525" cy="9525"/>
    <xdr:pic>
      <xdr:nvPicPr>
        <xdr:cNvPr id="3108" name="Picture 3107">
          <a:extLst>
            <a:ext uri="{FF2B5EF4-FFF2-40B4-BE49-F238E27FC236}">
              <a16:creationId xmlns:a16="http://schemas.microsoft.com/office/drawing/2014/main" id="{E5DBDEA6-55BB-4B89-B0AC-5F95DACC8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</xdr:row>
      <xdr:rowOff>0</xdr:rowOff>
    </xdr:from>
    <xdr:ext cx="304800" cy="303439"/>
    <xdr:sp macro="" textlink="">
      <xdr:nvSpPr>
        <xdr:cNvPr id="3109" name="AutoShape 123">
          <a:extLst>
            <a:ext uri="{FF2B5EF4-FFF2-40B4-BE49-F238E27FC236}">
              <a16:creationId xmlns:a16="http://schemas.microsoft.com/office/drawing/2014/main" id="{50664D13-4A7A-4887-AC11-281100D27E04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9525" cy="9525"/>
    <xdr:pic>
      <xdr:nvPicPr>
        <xdr:cNvPr id="3110" name="Picture 3109">
          <a:extLst>
            <a:ext uri="{FF2B5EF4-FFF2-40B4-BE49-F238E27FC236}">
              <a16:creationId xmlns:a16="http://schemas.microsoft.com/office/drawing/2014/main" id="{EC79EC6B-5FCB-40C4-B13B-ABBA471D2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9525" cy="9525"/>
    <xdr:pic>
      <xdr:nvPicPr>
        <xdr:cNvPr id="3111" name="Picture 3110">
          <a:extLst>
            <a:ext uri="{FF2B5EF4-FFF2-40B4-BE49-F238E27FC236}">
              <a16:creationId xmlns:a16="http://schemas.microsoft.com/office/drawing/2014/main" id="{A0EB2E76-261D-4B4D-BE53-166BF8CA6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6</xdr:row>
      <xdr:rowOff>0</xdr:rowOff>
    </xdr:from>
    <xdr:ext cx="9525" cy="9525"/>
    <xdr:pic>
      <xdr:nvPicPr>
        <xdr:cNvPr id="3112" name="Picture 3111">
          <a:extLst>
            <a:ext uri="{FF2B5EF4-FFF2-40B4-BE49-F238E27FC236}">
              <a16:creationId xmlns:a16="http://schemas.microsoft.com/office/drawing/2014/main" id="{265A745E-0EFF-4672-BE73-E7A6DB894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5</xdr:row>
      <xdr:rowOff>0</xdr:rowOff>
    </xdr:from>
    <xdr:ext cx="304800" cy="304800"/>
    <xdr:sp macro="" textlink="">
      <xdr:nvSpPr>
        <xdr:cNvPr id="3113" name="AutoShape 127">
          <a:extLst>
            <a:ext uri="{FF2B5EF4-FFF2-40B4-BE49-F238E27FC236}">
              <a16:creationId xmlns:a16="http://schemas.microsoft.com/office/drawing/2014/main" id="{B9D2C7AE-A252-41FF-BA59-4A8248513F2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114" name="Picture 3113">
          <a:extLst>
            <a:ext uri="{FF2B5EF4-FFF2-40B4-BE49-F238E27FC236}">
              <a16:creationId xmlns:a16="http://schemas.microsoft.com/office/drawing/2014/main" id="{3E388E8F-9EAE-47BC-AFD6-EB8200E32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26</xdr:row>
      <xdr:rowOff>0</xdr:rowOff>
    </xdr:from>
    <xdr:ext cx="9525" cy="9525"/>
    <xdr:pic>
      <xdr:nvPicPr>
        <xdr:cNvPr id="3115" name="Picture 3114">
          <a:extLst>
            <a:ext uri="{FF2B5EF4-FFF2-40B4-BE49-F238E27FC236}">
              <a16:creationId xmlns:a16="http://schemas.microsoft.com/office/drawing/2014/main" id="{F3F1E2EA-E83E-47EE-860B-A7AF52884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25</xdr:row>
      <xdr:rowOff>0</xdr:rowOff>
    </xdr:from>
    <xdr:ext cx="304800" cy="303440"/>
    <xdr:sp macro="" textlink="">
      <xdr:nvSpPr>
        <xdr:cNvPr id="3116" name="AutoShape 130">
          <a:extLst>
            <a:ext uri="{FF2B5EF4-FFF2-40B4-BE49-F238E27FC236}">
              <a16:creationId xmlns:a16="http://schemas.microsoft.com/office/drawing/2014/main" id="{B244C8CE-E815-4000-B5AD-836BCDA5145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117" name="Picture 3116">
          <a:extLst>
            <a:ext uri="{FF2B5EF4-FFF2-40B4-BE49-F238E27FC236}">
              <a16:creationId xmlns:a16="http://schemas.microsoft.com/office/drawing/2014/main" id="{A028A89B-ED14-4A85-8BF5-794E81AFC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118" name="Picture 3117">
          <a:extLst>
            <a:ext uri="{FF2B5EF4-FFF2-40B4-BE49-F238E27FC236}">
              <a16:creationId xmlns:a16="http://schemas.microsoft.com/office/drawing/2014/main" id="{D435FFE6-CBAB-418C-83DC-BBBC61F07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119" name="Picture 3118">
          <a:extLst>
            <a:ext uri="{FF2B5EF4-FFF2-40B4-BE49-F238E27FC236}">
              <a16:creationId xmlns:a16="http://schemas.microsoft.com/office/drawing/2014/main" id="{75508082-FF34-4863-8B76-EC8B42133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120" name="Picture 3119">
          <a:extLst>
            <a:ext uri="{FF2B5EF4-FFF2-40B4-BE49-F238E27FC236}">
              <a16:creationId xmlns:a16="http://schemas.microsoft.com/office/drawing/2014/main" id="{F6405BA8-A78B-4D52-8316-F693105D1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121" name="Picture 3120">
          <a:extLst>
            <a:ext uri="{FF2B5EF4-FFF2-40B4-BE49-F238E27FC236}">
              <a16:creationId xmlns:a16="http://schemas.microsoft.com/office/drawing/2014/main" id="{3893D917-BA7C-4982-B891-15052993E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3122" name="AutoShape 136">
          <a:extLst>
            <a:ext uri="{FF2B5EF4-FFF2-40B4-BE49-F238E27FC236}">
              <a16:creationId xmlns:a16="http://schemas.microsoft.com/office/drawing/2014/main" id="{2DB8FA41-1834-4881-8B79-F048A9AFBBE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123" name="Picture 3122">
          <a:extLst>
            <a:ext uri="{FF2B5EF4-FFF2-40B4-BE49-F238E27FC236}">
              <a16:creationId xmlns:a16="http://schemas.microsoft.com/office/drawing/2014/main" id="{1E079881-AC1C-4D93-8B44-C2176D1C2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4800"/>
    <xdr:sp macro="" textlink="">
      <xdr:nvSpPr>
        <xdr:cNvPr id="3124" name="AutoShape 138">
          <a:extLst>
            <a:ext uri="{FF2B5EF4-FFF2-40B4-BE49-F238E27FC236}">
              <a16:creationId xmlns:a16="http://schemas.microsoft.com/office/drawing/2014/main" id="{291745AA-8A53-42C9-ADF3-8CD89B8C19E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13</xdr:row>
      <xdr:rowOff>0</xdr:rowOff>
    </xdr:from>
    <xdr:ext cx="9525" cy="9525"/>
    <xdr:pic>
      <xdr:nvPicPr>
        <xdr:cNvPr id="3125" name="Picture 3124">
          <a:extLst>
            <a:ext uri="{FF2B5EF4-FFF2-40B4-BE49-F238E27FC236}">
              <a16:creationId xmlns:a16="http://schemas.microsoft.com/office/drawing/2014/main" id="{DC6BC07A-884D-4471-AF6E-60FD0B374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12</xdr:row>
      <xdr:rowOff>0</xdr:rowOff>
    </xdr:from>
    <xdr:ext cx="304800" cy="303439"/>
    <xdr:sp macro="" textlink="">
      <xdr:nvSpPr>
        <xdr:cNvPr id="3126" name="AutoShape 140">
          <a:extLst>
            <a:ext uri="{FF2B5EF4-FFF2-40B4-BE49-F238E27FC236}">
              <a16:creationId xmlns:a16="http://schemas.microsoft.com/office/drawing/2014/main" id="{364B8853-65F1-45A4-8194-5B2F0138929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127" name="Picture 3126">
          <a:extLst>
            <a:ext uri="{FF2B5EF4-FFF2-40B4-BE49-F238E27FC236}">
              <a16:creationId xmlns:a16="http://schemas.microsoft.com/office/drawing/2014/main" id="{559695A1-9726-483D-9BE2-D20E7E757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13</xdr:row>
      <xdr:rowOff>0</xdr:rowOff>
    </xdr:from>
    <xdr:ext cx="304800" cy="304800"/>
    <xdr:sp macro="" textlink="">
      <xdr:nvSpPr>
        <xdr:cNvPr id="3128" name="AutoShape 142">
          <a:extLst>
            <a:ext uri="{FF2B5EF4-FFF2-40B4-BE49-F238E27FC236}">
              <a16:creationId xmlns:a16="http://schemas.microsoft.com/office/drawing/2014/main" id="{99461905-4716-4A9F-9C85-EF19B4E0D9BE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129" name="Picture 3128">
          <a:extLst>
            <a:ext uri="{FF2B5EF4-FFF2-40B4-BE49-F238E27FC236}">
              <a16:creationId xmlns:a16="http://schemas.microsoft.com/office/drawing/2014/main" id="{2DA84FEC-82EC-4C60-9941-3100E6E94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304800" cy="303440"/>
    <xdr:sp macro="" textlink="">
      <xdr:nvSpPr>
        <xdr:cNvPr id="3130" name="AutoShape 144">
          <a:extLst>
            <a:ext uri="{FF2B5EF4-FFF2-40B4-BE49-F238E27FC236}">
              <a16:creationId xmlns:a16="http://schemas.microsoft.com/office/drawing/2014/main" id="{9C32D197-C23A-47C2-879A-606101ADF12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27</xdr:row>
      <xdr:rowOff>0</xdr:rowOff>
    </xdr:from>
    <xdr:ext cx="9525" cy="9525"/>
    <xdr:pic>
      <xdr:nvPicPr>
        <xdr:cNvPr id="3131" name="Picture 3130">
          <a:extLst>
            <a:ext uri="{FF2B5EF4-FFF2-40B4-BE49-F238E27FC236}">
              <a16:creationId xmlns:a16="http://schemas.microsoft.com/office/drawing/2014/main" id="{94A1C5DE-819B-4D6A-8492-3A5FDD15F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29</xdr:row>
      <xdr:rowOff>0</xdr:rowOff>
    </xdr:from>
    <xdr:ext cx="9525" cy="9525"/>
    <xdr:pic>
      <xdr:nvPicPr>
        <xdr:cNvPr id="3132" name="Picture 3131">
          <a:extLst>
            <a:ext uri="{FF2B5EF4-FFF2-40B4-BE49-F238E27FC236}">
              <a16:creationId xmlns:a16="http://schemas.microsoft.com/office/drawing/2014/main" id="{C46EB34E-1CA7-4C6D-B445-A4DF029BB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</xdr:row>
      <xdr:rowOff>0</xdr:rowOff>
    </xdr:from>
    <xdr:ext cx="9525" cy="9525"/>
    <xdr:pic>
      <xdr:nvPicPr>
        <xdr:cNvPr id="3133" name="Picture 3132">
          <a:extLst>
            <a:ext uri="{FF2B5EF4-FFF2-40B4-BE49-F238E27FC236}">
              <a16:creationId xmlns:a16="http://schemas.microsoft.com/office/drawing/2014/main" id="{1C07EC1C-C142-4994-B36A-DED4B3C52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</xdr:row>
      <xdr:rowOff>0</xdr:rowOff>
    </xdr:from>
    <xdr:ext cx="9525" cy="9525"/>
    <xdr:pic>
      <xdr:nvPicPr>
        <xdr:cNvPr id="3134" name="Picture 3133">
          <a:extLst>
            <a:ext uri="{FF2B5EF4-FFF2-40B4-BE49-F238E27FC236}">
              <a16:creationId xmlns:a16="http://schemas.microsoft.com/office/drawing/2014/main" id="{71825AB2-E49F-41F2-B0BB-0E94C6733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</xdr:row>
      <xdr:rowOff>0</xdr:rowOff>
    </xdr:from>
    <xdr:ext cx="9525" cy="9525"/>
    <xdr:pic>
      <xdr:nvPicPr>
        <xdr:cNvPr id="3135" name="Picture 3134">
          <a:extLst>
            <a:ext uri="{FF2B5EF4-FFF2-40B4-BE49-F238E27FC236}">
              <a16:creationId xmlns:a16="http://schemas.microsoft.com/office/drawing/2014/main" id="{8E9A7993-5965-4C9B-887F-5D3FC07F0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7</xdr:row>
      <xdr:rowOff>0</xdr:rowOff>
    </xdr:from>
    <xdr:ext cx="9525" cy="9525"/>
    <xdr:pic>
      <xdr:nvPicPr>
        <xdr:cNvPr id="3136" name="Picture 3135">
          <a:extLst>
            <a:ext uri="{FF2B5EF4-FFF2-40B4-BE49-F238E27FC236}">
              <a16:creationId xmlns:a16="http://schemas.microsoft.com/office/drawing/2014/main" id="{F2E7DFD9-0580-4EA4-ADCD-CF31FF8B3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9525" cy="9525"/>
    <xdr:pic>
      <xdr:nvPicPr>
        <xdr:cNvPr id="3137" name="Picture 3136">
          <a:extLst>
            <a:ext uri="{FF2B5EF4-FFF2-40B4-BE49-F238E27FC236}">
              <a16:creationId xmlns:a16="http://schemas.microsoft.com/office/drawing/2014/main" id="{1334FB1D-7CAB-4D0D-AE45-61348B9A4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9525" cy="9525"/>
    <xdr:pic>
      <xdr:nvPicPr>
        <xdr:cNvPr id="3138" name="Picture 3137">
          <a:extLst>
            <a:ext uri="{FF2B5EF4-FFF2-40B4-BE49-F238E27FC236}">
              <a16:creationId xmlns:a16="http://schemas.microsoft.com/office/drawing/2014/main" id="{C7C23AE4-5E1F-4DBC-8432-851ACBA3A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9525" cy="9525"/>
    <xdr:pic>
      <xdr:nvPicPr>
        <xdr:cNvPr id="3139" name="Picture 3138">
          <a:extLst>
            <a:ext uri="{FF2B5EF4-FFF2-40B4-BE49-F238E27FC236}">
              <a16:creationId xmlns:a16="http://schemas.microsoft.com/office/drawing/2014/main" id="{F4C65CC7-4925-480B-BB0F-7F71D85CD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9525" cy="9525"/>
    <xdr:pic>
      <xdr:nvPicPr>
        <xdr:cNvPr id="3140" name="Picture 3139">
          <a:extLst>
            <a:ext uri="{FF2B5EF4-FFF2-40B4-BE49-F238E27FC236}">
              <a16:creationId xmlns:a16="http://schemas.microsoft.com/office/drawing/2014/main" id="{7653AD6D-D6BA-49D9-967F-AAB62C73A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21</xdr:row>
      <xdr:rowOff>0</xdr:rowOff>
    </xdr:from>
    <xdr:ext cx="9525" cy="9525"/>
    <xdr:pic>
      <xdr:nvPicPr>
        <xdr:cNvPr id="3141" name="Picture 3140">
          <a:extLst>
            <a:ext uri="{FF2B5EF4-FFF2-40B4-BE49-F238E27FC236}">
              <a16:creationId xmlns:a16="http://schemas.microsoft.com/office/drawing/2014/main" id="{A225C161-D502-4D7A-8EA1-D8DF3C587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21</xdr:row>
      <xdr:rowOff>0</xdr:rowOff>
    </xdr:from>
    <xdr:ext cx="9525" cy="9525"/>
    <xdr:pic>
      <xdr:nvPicPr>
        <xdr:cNvPr id="3142" name="Picture 3141">
          <a:extLst>
            <a:ext uri="{FF2B5EF4-FFF2-40B4-BE49-F238E27FC236}">
              <a16:creationId xmlns:a16="http://schemas.microsoft.com/office/drawing/2014/main" id="{7C71FB33-D2B2-44DE-BAE3-387BB72DC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21</xdr:row>
      <xdr:rowOff>0</xdr:rowOff>
    </xdr:from>
    <xdr:ext cx="9525" cy="9525"/>
    <xdr:pic>
      <xdr:nvPicPr>
        <xdr:cNvPr id="3143" name="Picture 3142">
          <a:extLst>
            <a:ext uri="{FF2B5EF4-FFF2-40B4-BE49-F238E27FC236}">
              <a16:creationId xmlns:a16="http://schemas.microsoft.com/office/drawing/2014/main" id="{202045A7-66E4-4CD4-B449-1C0CBCF04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21</xdr:row>
      <xdr:rowOff>0</xdr:rowOff>
    </xdr:from>
    <xdr:ext cx="9525" cy="9525"/>
    <xdr:pic>
      <xdr:nvPicPr>
        <xdr:cNvPr id="3144" name="Picture 3143">
          <a:extLst>
            <a:ext uri="{FF2B5EF4-FFF2-40B4-BE49-F238E27FC236}">
              <a16:creationId xmlns:a16="http://schemas.microsoft.com/office/drawing/2014/main" id="{E8F1BB33-30F4-41F5-9ED9-0D7D77E73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16</xdr:row>
      <xdr:rowOff>0</xdr:rowOff>
    </xdr:from>
    <xdr:ext cx="9525" cy="9525"/>
    <xdr:pic>
      <xdr:nvPicPr>
        <xdr:cNvPr id="3145" name="Picture 3144">
          <a:extLst>
            <a:ext uri="{FF2B5EF4-FFF2-40B4-BE49-F238E27FC236}">
              <a16:creationId xmlns:a16="http://schemas.microsoft.com/office/drawing/2014/main" id="{C737DF3A-8E75-461F-8D9B-CE2BE9DEB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16</xdr:row>
      <xdr:rowOff>0</xdr:rowOff>
    </xdr:from>
    <xdr:ext cx="9525" cy="9525"/>
    <xdr:pic>
      <xdr:nvPicPr>
        <xdr:cNvPr id="3146" name="Picture 3145">
          <a:extLst>
            <a:ext uri="{FF2B5EF4-FFF2-40B4-BE49-F238E27FC236}">
              <a16:creationId xmlns:a16="http://schemas.microsoft.com/office/drawing/2014/main" id="{910C7A9A-C1EE-4A4B-8D74-7F7A357BA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3440"/>
    <xdr:sp macro="" textlink="">
      <xdr:nvSpPr>
        <xdr:cNvPr id="3147" name="AutoShape 69">
          <a:extLst>
            <a:ext uri="{FF2B5EF4-FFF2-40B4-BE49-F238E27FC236}">
              <a16:creationId xmlns:a16="http://schemas.microsoft.com/office/drawing/2014/main" id="{C1234E58-8763-4895-818A-3892B6AE05F0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16</xdr:row>
      <xdr:rowOff>0</xdr:rowOff>
    </xdr:from>
    <xdr:ext cx="9525" cy="9525"/>
    <xdr:pic>
      <xdr:nvPicPr>
        <xdr:cNvPr id="3148" name="Picture 3147">
          <a:extLst>
            <a:ext uri="{FF2B5EF4-FFF2-40B4-BE49-F238E27FC236}">
              <a16:creationId xmlns:a16="http://schemas.microsoft.com/office/drawing/2014/main" id="{C964C64B-40E9-47B4-B4EE-26B432F36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3440"/>
    <xdr:sp macro="" textlink="">
      <xdr:nvSpPr>
        <xdr:cNvPr id="3149" name="AutoShape 119">
          <a:extLst>
            <a:ext uri="{FF2B5EF4-FFF2-40B4-BE49-F238E27FC236}">
              <a16:creationId xmlns:a16="http://schemas.microsoft.com/office/drawing/2014/main" id="{D84FE85B-0A4F-4870-92BC-F5BEAA7947E9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16</xdr:row>
      <xdr:rowOff>0</xdr:rowOff>
    </xdr:from>
    <xdr:ext cx="9525" cy="9525"/>
    <xdr:pic>
      <xdr:nvPicPr>
        <xdr:cNvPr id="3150" name="Picture 3149">
          <a:extLst>
            <a:ext uri="{FF2B5EF4-FFF2-40B4-BE49-F238E27FC236}">
              <a16:creationId xmlns:a16="http://schemas.microsoft.com/office/drawing/2014/main" id="{16AEED40-B88F-42B4-80F6-FE7D2E097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15</xdr:row>
      <xdr:rowOff>0</xdr:rowOff>
    </xdr:from>
    <xdr:ext cx="304800" cy="303440"/>
    <xdr:sp macro="" textlink="">
      <xdr:nvSpPr>
        <xdr:cNvPr id="3151" name="AutoShape 144">
          <a:extLst>
            <a:ext uri="{FF2B5EF4-FFF2-40B4-BE49-F238E27FC236}">
              <a16:creationId xmlns:a16="http://schemas.microsoft.com/office/drawing/2014/main" id="{D088358D-766E-45F4-9F91-FC8DC934D5CA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19</xdr:row>
      <xdr:rowOff>0</xdr:rowOff>
    </xdr:from>
    <xdr:ext cx="9525" cy="9525"/>
    <xdr:pic>
      <xdr:nvPicPr>
        <xdr:cNvPr id="3152" name="Picture 3151">
          <a:extLst>
            <a:ext uri="{FF2B5EF4-FFF2-40B4-BE49-F238E27FC236}">
              <a16:creationId xmlns:a16="http://schemas.microsoft.com/office/drawing/2014/main" id="{E6FF31DE-D49C-41C4-ABCC-68FFD5FA1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19</xdr:row>
      <xdr:rowOff>0</xdr:rowOff>
    </xdr:from>
    <xdr:ext cx="9525" cy="9525"/>
    <xdr:pic>
      <xdr:nvPicPr>
        <xdr:cNvPr id="3153" name="Picture 3152">
          <a:extLst>
            <a:ext uri="{FF2B5EF4-FFF2-40B4-BE49-F238E27FC236}">
              <a16:creationId xmlns:a16="http://schemas.microsoft.com/office/drawing/2014/main" id="{D064072A-7CE3-4D4B-92B0-8CFA2F486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19</xdr:row>
      <xdr:rowOff>0</xdr:rowOff>
    </xdr:from>
    <xdr:ext cx="9525" cy="9525"/>
    <xdr:pic>
      <xdr:nvPicPr>
        <xdr:cNvPr id="3154" name="Picture 3153">
          <a:extLst>
            <a:ext uri="{FF2B5EF4-FFF2-40B4-BE49-F238E27FC236}">
              <a16:creationId xmlns:a16="http://schemas.microsoft.com/office/drawing/2014/main" id="{B224F209-298A-4ADF-93DE-5177B2D72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17</xdr:row>
      <xdr:rowOff>0</xdr:rowOff>
    </xdr:from>
    <xdr:ext cx="9525" cy="9525"/>
    <xdr:pic>
      <xdr:nvPicPr>
        <xdr:cNvPr id="3155" name="Picture 3154">
          <a:extLst>
            <a:ext uri="{FF2B5EF4-FFF2-40B4-BE49-F238E27FC236}">
              <a16:creationId xmlns:a16="http://schemas.microsoft.com/office/drawing/2014/main" id="{3B16CCE3-2775-46A9-8110-BC7EDAC36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16</xdr:row>
      <xdr:rowOff>0</xdr:rowOff>
    </xdr:from>
    <xdr:ext cx="304800" cy="304800"/>
    <xdr:sp macro="" textlink="">
      <xdr:nvSpPr>
        <xdr:cNvPr id="3156" name="AutoShape 40">
          <a:extLst>
            <a:ext uri="{FF2B5EF4-FFF2-40B4-BE49-F238E27FC236}">
              <a16:creationId xmlns:a16="http://schemas.microsoft.com/office/drawing/2014/main" id="{AF20906A-0B2A-41FA-AC3E-4ACF085E2A9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304800" cy="303439"/>
    <xdr:sp macro="" textlink="">
      <xdr:nvSpPr>
        <xdr:cNvPr id="3157" name="AutoShape 42">
          <a:extLst>
            <a:ext uri="{FF2B5EF4-FFF2-40B4-BE49-F238E27FC236}">
              <a16:creationId xmlns:a16="http://schemas.microsoft.com/office/drawing/2014/main" id="{BCFD420F-3E8E-47D5-8C87-BD103AEFCC14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9525" cy="9525"/>
    <xdr:pic>
      <xdr:nvPicPr>
        <xdr:cNvPr id="3158" name="Picture 3157">
          <a:extLst>
            <a:ext uri="{FF2B5EF4-FFF2-40B4-BE49-F238E27FC236}">
              <a16:creationId xmlns:a16="http://schemas.microsoft.com/office/drawing/2014/main" id="{BF20E32E-43D3-41C1-8BB1-4FA7D2C7B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16</xdr:row>
      <xdr:rowOff>0</xdr:rowOff>
    </xdr:from>
    <xdr:ext cx="304800" cy="304800"/>
    <xdr:sp macro="" textlink="">
      <xdr:nvSpPr>
        <xdr:cNvPr id="3159" name="AutoShape 63">
          <a:extLst>
            <a:ext uri="{FF2B5EF4-FFF2-40B4-BE49-F238E27FC236}">
              <a16:creationId xmlns:a16="http://schemas.microsoft.com/office/drawing/2014/main" id="{BCDBB59C-D3A6-4044-A28D-BA942A55D6F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304800" cy="303439"/>
    <xdr:sp macro="" textlink="">
      <xdr:nvSpPr>
        <xdr:cNvPr id="3160" name="AutoShape 65">
          <a:extLst>
            <a:ext uri="{FF2B5EF4-FFF2-40B4-BE49-F238E27FC236}">
              <a16:creationId xmlns:a16="http://schemas.microsoft.com/office/drawing/2014/main" id="{5549DCC9-8EAD-403E-BFB4-B2CB594C6067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9525" cy="9525"/>
    <xdr:pic>
      <xdr:nvPicPr>
        <xdr:cNvPr id="3161" name="Picture 3160">
          <a:extLst>
            <a:ext uri="{FF2B5EF4-FFF2-40B4-BE49-F238E27FC236}">
              <a16:creationId xmlns:a16="http://schemas.microsoft.com/office/drawing/2014/main" id="{29C7C377-C96C-422D-946D-D512F2ED2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16</xdr:row>
      <xdr:rowOff>0</xdr:rowOff>
    </xdr:from>
    <xdr:ext cx="304800" cy="304800"/>
    <xdr:sp macro="" textlink="">
      <xdr:nvSpPr>
        <xdr:cNvPr id="3162" name="AutoShape 113">
          <a:extLst>
            <a:ext uri="{FF2B5EF4-FFF2-40B4-BE49-F238E27FC236}">
              <a16:creationId xmlns:a16="http://schemas.microsoft.com/office/drawing/2014/main" id="{D2D85CAC-FAD3-4617-867B-6B1BBBF14351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304800" cy="303439"/>
    <xdr:sp macro="" textlink="">
      <xdr:nvSpPr>
        <xdr:cNvPr id="3163" name="AutoShape 115">
          <a:extLst>
            <a:ext uri="{FF2B5EF4-FFF2-40B4-BE49-F238E27FC236}">
              <a16:creationId xmlns:a16="http://schemas.microsoft.com/office/drawing/2014/main" id="{FDA14DB0-350C-4E6A-BA22-78E1103BBD5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9525" cy="9525"/>
    <xdr:pic>
      <xdr:nvPicPr>
        <xdr:cNvPr id="3164" name="Picture 3163">
          <a:extLst>
            <a:ext uri="{FF2B5EF4-FFF2-40B4-BE49-F238E27FC236}">
              <a16:creationId xmlns:a16="http://schemas.microsoft.com/office/drawing/2014/main" id="{91BA5606-ED36-486F-96FE-10F73015F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16</xdr:row>
      <xdr:rowOff>0</xdr:rowOff>
    </xdr:from>
    <xdr:ext cx="304800" cy="304800"/>
    <xdr:sp macro="" textlink="">
      <xdr:nvSpPr>
        <xdr:cNvPr id="3165" name="AutoShape 138">
          <a:extLst>
            <a:ext uri="{FF2B5EF4-FFF2-40B4-BE49-F238E27FC236}">
              <a16:creationId xmlns:a16="http://schemas.microsoft.com/office/drawing/2014/main" id="{29C78E28-7BDF-4371-86D7-7753F776C89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17</xdr:row>
      <xdr:rowOff>0</xdr:rowOff>
    </xdr:from>
    <xdr:ext cx="304800" cy="303439"/>
    <xdr:sp macro="" textlink="">
      <xdr:nvSpPr>
        <xdr:cNvPr id="3166" name="AutoShape 140">
          <a:extLst>
            <a:ext uri="{FF2B5EF4-FFF2-40B4-BE49-F238E27FC236}">
              <a16:creationId xmlns:a16="http://schemas.microsoft.com/office/drawing/2014/main" id="{DF08CAA3-7CA5-4441-99D8-3CFA5155FD9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18</xdr:row>
      <xdr:rowOff>0</xdr:rowOff>
    </xdr:from>
    <xdr:ext cx="9525" cy="9525"/>
    <xdr:pic>
      <xdr:nvPicPr>
        <xdr:cNvPr id="3167" name="Picture 3166">
          <a:extLst>
            <a:ext uri="{FF2B5EF4-FFF2-40B4-BE49-F238E27FC236}">
              <a16:creationId xmlns:a16="http://schemas.microsoft.com/office/drawing/2014/main" id="{3B394CA4-161D-4045-B9DC-A63CFE584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18</xdr:row>
      <xdr:rowOff>0</xdr:rowOff>
    </xdr:from>
    <xdr:ext cx="9525" cy="9525"/>
    <xdr:pic>
      <xdr:nvPicPr>
        <xdr:cNvPr id="3168" name="Picture 3167">
          <a:extLst>
            <a:ext uri="{FF2B5EF4-FFF2-40B4-BE49-F238E27FC236}">
              <a16:creationId xmlns:a16="http://schemas.microsoft.com/office/drawing/2014/main" id="{6ACAF478-EB28-4424-9C75-A25709B95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18</xdr:row>
      <xdr:rowOff>0</xdr:rowOff>
    </xdr:from>
    <xdr:ext cx="9525" cy="9525"/>
    <xdr:pic>
      <xdr:nvPicPr>
        <xdr:cNvPr id="3169" name="Picture 3168">
          <a:extLst>
            <a:ext uri="{FF2B5EF4-FFF2-40B4-BE49-F238E27FC236}">
              <a16:creationId xmlns:a16="http://schemas.microsoft.com/office/drawing/2014/main" id="{314B2B0C-D829-49FA-8B0C-61CB1CCCA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18</xdr:row>
      <xdr:rowOff>0</xdr:rowOff>
    </xdr:from>
    <xdr:ext cx="9525" cy="9525"/>
    <xdr:pic>
      <xdr:nvPicPr>
        <xdr:cNvPr id="3170" name="Picture 3169">
          <a:extLst>
            <a:ext uri="{FF2B5EF4-FFF2-40B4-BE49-F238E27FC236}">
              <a16:creationId xmlns:a16="http://schemas.microsoft.com/office/drawing/2014/main" id="{37367BF7-72A6-405B-8E5F-1FC12BA10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9525" cy="9525"/>
    <xdr:pic>
      <xdr:nvPicPr>
        <xdr:cNvPr id="3171" name="Picture 3170">
          <a:extLst>
            <a:ext uri="{FF2B5EF4-FFF2-40B4-BE49-F238E27FC236}">
              <a16:creationId xmlns:a16="http://schemas.microsoft.com/office/drawing/2014/main" id="{931CB056-CD9A-4E78-BAB3-041A09716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9525" cy="9525"/>
    <xdr:pic>
      <xdr:nvPicPr>
        <xdr:cNvPr id="3172" name="Picture 3171">
          <a:extLst>
            <a:ext uri="{FF2B5EF4-FFF2-40B4-BE49-F238E27FC236}">
              <a16:creationId xmlns:a16="http://schemas.microsoft.com/office/drawing/2014/main" id="{216EF3B0-357F-4619-9556-7A86243E4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9525" cy="9525"/>
    <xdr:pic>
      <xdr:nvPicPr>
        <xdr:cNvPr id="3173" name="Picture 3172">
          <a:extLst>
            <a:ext uri="{FF2B5EF4-FFF2-40B4-BE49-F238E27FC236}">
              <a16:creationId xmlns:a16="http://schemas.microsoft.com/office/drawing/2014/main" id="{DE499085-33F8-4FA7-A1BE-243D7BD15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9525" cy="9525"/>
    <xdr:pic>
      <xdr:nvPicPr>
        <xdr:cNvPr id="3174" name="Picture 3173">
          <a:extLst>
            <a:ext uri="{FF2B5EF4-FFF2-40B4-BE49-F238E27FC236}">
              <a16:creationId xmlns:a16="http://schemas.microsoft.com/office/drawing/2014/main" id="{12806EC2-0A8E-49AE-998D-73D0FA59F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10</xdr:row>
      <xdr:rowOff>0</xdr:rowOff>
    </xdr:from>
    <xdr:ext cx="9525" cy="9525"/>
    <xdr:pic>
      <xdr:nvPicPr>
        <xdr:cNvPr id="3175" name="Picture 3174">
          <a:extLst>
            <a:ext uri="{FF2B5EF4-FFF2-40B4-BE49-F238E27FC236}">
              <a16:creationId xmlns:a16="http://schemas.microsoft.com/office/drawing/2014/main" id="{D2EC1D12-10FE-4987-A061-117CC0136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304800" cy="304800"/>
    <xdr:sp macro="" textlink="">
      <xdr:nvSpPr>
        <xdr:cNvPr id="3176" name="AutoShape 38">
          <a:extLst>
            <a:ext uri="{FF2B5EF4-FFF2-40B4-BE49-F238E27FC236}">
              <a16:creationId xmlns:a16="http://schemas.microsoft.com/office/drawing/2014/main" id="{9C32AA22-8C3A-4A07-ADC3-598E594135EE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304800" cy="304800"/>
    <xdr:sp macro="" textlink="">
      <xdr:nvSpPr>
        <xdr:cNvPr id="3177" name="AutoShape 40">
          <a:extLst>
            <a:ext uri="{FF2B5EF4-FFF2-40B4-BE49-F238E27FC236}">
              <a16:creationId xmlns:a16="http://schemas.microsoft.com/office/drawing/2014/main" id="{3E5919BC-66DE-4AB8-AFCD-AEC9EE89BD6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9525" cy="9525"/>
    <xdr:pic>
      <xdr:nvPicPr>
        <xdr:cNvPr id="3178" name="Picture 3177">
          <a:extLst>
            <a:ext uri="{FF2B5EF4-FFF2-40B4-BE49-F238E27FC236}">
              <a16:creationId xmlns:a16="http://schemas.microsoft.com/office/drawing/2014/main" id="{7171E3D0-AC96-4EBC-B5B2-DBA83CF27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304800" cy="304800"/>
    <xdr:sp macro="" textlink="">
      <xdr:nvSpPr>
        <xdr:cNvPr id="3179" name="AutoShape 61">
          <a:extLst>
            <a:ext uri="{FF2B5EF4-FFF2-40B4-BE49-F238E27FC236}">
              <a16:creationId xmlns:a16="http://schemas.microsoft.com/office/drawing/2014/main" id="{8D5BE042-5975-401B-BCC9-BA4192490E48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304800" cy="304800"/>
    <xdr:sp macro="" textlink="">
      <xdr:nvSpPr>
        <xdr:cNvPr id="3180" name="AutoShape 63">
          <a:extLst>
            <a:ext uri="{FF2B5EF4-FFF2-40B4-BE49-F238E27FC236}">
              <a16:creationId xmlns:a16="http://schemas.microsoft.com/office/drawing/2014/main" id="{652EF9CA-0A60-4FFA-998D-367599947FAC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9525" cy="9525"/>
    <xdr:pic>
      <xdr:nvPicPr>
        <xdr:cNvPr id="3181" name="Picture 3180">
          <a:extLst>
            <a:ext uri="{FF2B5EF4-FFF2-40B4-BE49-F238E27FC236}">
              <a16:creationId xmlns:a16="http://schemas.microsoft.com/office/drawing/2014/main" id="{1CCBF8C7-6F74-47F7-B5FF-310597D73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304800" cy="304800"/>
    <xdr:sp macro="" textlink="">
      <xdr:nvSpPr>
        <xdr:cNvPr id="3182" name="AutoShape 111">
          <a:extLst>
            <a:ext uri="{FF2B5EF4-FFF2-40B4-BE49-F238E27FC236}">
              <a16:creationId xmlns:a16="http://schemas.microsoft.com/office/drawing/2014/main" id="{7ABCA9FC-F2C4-43F7-BEE4-D6FBDD1663F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304800" cy="304800"/>
    <xdr:sp macro="" textlink="">
      <xdr:nvSpPr>
        <xdr:cNvPr id="3183" name="AutoShape 113">
          <a:extLst>
            <a:ext uri="{FF2B5EF4-FFF2-40B4-BE49-F238E27FC236}">
              <a16:creationId xmlns:a16="http://schemas.microsoft.com/office/drawing/2014/main" id="{40D618B0-FAB3-4A37-BFA0-DC4A00A3DA73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9525" cy="9525"/>
    <xdr:pic>
      <xdr:nvPicPr>
        <xdr:cNvPr id="3184" name="Picture 3183">
          <a:extLst>
            <a:ext uri="{FF2B5EF4-FFF2-40B4-BE49-F238E27FC236}">
              <a16:creationId xmlns:a16="http://schemas.microsoft.com/office/drawing/2014/main" id="{B76E14FD-69C7-40B9-A7E9-DC23AF187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9</xdr:row>
      <xdr:rowOff>0</xdr:rowOff>
    </xdr:from>
    <xdr:ext cx="304800" cy="304800"/>
    <xdr:sp macro="" textlink="">
      <xdr:nvSpPr>
        <xdr:cNvPr id="3185" name="AutoShape 136">
          <a:extLst>
            <a:ext uri="{FF2B5EF4-FFF2-40B4-BE49-F238E27FC236}">
              <a16:creationId xmlns:a16="http://schemas.microsoft.com/office/drawing/2014/main" id="{65ED01AD-3DB2-4006-B511-F379404F0B2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304800" cy="304800"/>
    <xdr:sp macro="" textlink="">
      <xdr:nvSpPr>
        <xdr:cNvPr id="3186" name="AutoShape 138">
          <a:extLst>
            <a:ext uri="{FF2B5EF4-FFF2-40B4-BE49-F238E27FC236}">
              <a16:creationId xmlns:a16="http://schemas.microsoft.com/office/drawing/2014/main" id="{1F0FB2D5-3E60-4B19-82C0-1CB17BC310E6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22</xdr:row>
      <xdr:rowOff>0</xdr:rowOff>
    </xdr:from>
    <xdr:ext cx="9525" cy="9525"/>
    <xdr:pic>
      <xdr:nvPicPr>
        <xdr:cNvPr id="3187" name="Picture 3186">
          <a:extLst>
            <a:ext uri="{FF2B5EF4-FFF2-40B4-BE49-F238E27FC236}">
              <a16:creationId xmlns:a16="http://schemas.microsoft.com/office/drawing/2014/main" id="{D9F24B4D-A68F-4AD9-97A0-9288041CB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22</xdr:row>
      <xdr:rowOff>0</xdr:rowOff>
    </xdr:from>
    <xdr:ext cx="9525" cy="9525"/>
    <xdr:pic>
      <xdr:nvPicPr>
        <xdr:cNvPr id="3188" name="Picture 3187">
          <a:extLst>
            <a:ext uri="{FF2B5EF4-FFF2-40B4-BE49-F238E27FC236}">
              <a16:creationId xmlns:a16="http://schemas.microsoft.com/office/drawing/2014/main" id="{5EA39C11-5DB9-4C1C-B06E-919DC46A5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22</xdr:row>
      <xdr:rowOff>0</xdr:rowOff>
    </xdr:from>
    <xdr:ext cx="9525" cy="9525"/>
    <xdr:pic>
      <xdr:nvPicPr>
        <xdr:cNvPr id="3189" name="Picture 3188">
          <a:extLst>
            <a:ext uri="{FF2B5EF4-FFF2-40B4-BE49-F238E27FC236}">
              <a16:creationId xmlns:a16="http://schemas.microsoft.com/office/drawing/2014/main" id="{117BB4FB-16E6-4038-A815-8B52C708E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22</xdr:row>
      <xdr:rowOff>0</xdr:rowOff>
    </xdr:from>
    <xdr:ext cx="9525" cy="9525"/>
    <xdr:pic>
      <xdr:nvPicPr>
        <xdr:cNvPr id="3190" name="Picture 3189">
          <a:extLst>
            <a:ext uri="{FF2B5EF4-FFF2-40B4-BE49-F238E27FC236}">
              <a16:creationId xmlns:a16="http://schemas.microsoft.com/office/drawing/2014/main" id="{6F8E7DD2-C7BB-45A0-9BB2-ADCE007BA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9525" cy="9525"/>
    <xdr:pic>
      <xdr:nvPicPr>
        <xdr:cNvPr id="3191" name="Picture 3190">
          <a:extLst>
            <a:ext uri="{FF2B5EF4-FFF2-40B4-BE49-F238E27FC236}">
              <a16:creationId xmlns:a16="http://schemas.microsoft.com/office/drawing/2014/main" id="{B894E3C3-0F77-4FD3-8AC4-B6F6B12A8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192" name="AutoShape 38">
          <a:extLst>
            <a:ext uri="{FF2B5EF4-FFF2-40B4-BE49-F238E27FC236}">
              <a16:creationId xmlns:a16="http://schemas.microsoft.com/office/drawing/2014/main" id="{F21BC51F-9897-41EF-A81C-90D60A3F4DED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9525" cy="9525"/>
    <xdr:pic>
      <xdr:nvPicPr>
        <xdr:cNvPr id="3193" name="Picture 3192">
          <a:extLst>
            <a:ext uri="{FF2B5EF4-FFF2-40B4-BE49-F238E27FC236}">
              <a16:creationId xmlns:a16="http://schemas.microsoft.com/office/drawing/2014/main" id="{A00B477A-3842-4A0E-B020-5E8E3A73C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194" name="AutoShape 61">
          <a:extLst>
            <a:ext uri="{FF2B5EF4-FFF2-40B4-BE49-F238E27FC236}">
              <a16:creationId xmlns:a16="http://schemas.microsoft.com/office/drawing/2014/main" id="{AF9E3149-3F11-402D-9356-19B1740EFA85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9525" cy="9525"/>
    <xdr:pic>
      <xdr:nvPicPr>
        <xdr:cNvPr id="3195" name="Picture 3194">
          <a:extLst>
            <a:ext uri="{FF2B5EF4-FFF2-40B4-BE49-F238E27FC236}">
              <a16:creationId xmlns:a16="http://schemas.microsoft.com/office/drawing/2014/main" id="{77EFE8AA-A980-4EBE-BB51-785157430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196" name="AutoShape 111">
          <a:extLst>
            <a:ext uri="{FF2B5EF4-FFF2-40B4-BE49-F238E27FC236}">
              <a16:creationId xmlns:a16="http://schemas.microsoft.com/office/drawing/2014/main" id="{55B251F4-3A18-4147-A5F4-1307FC34967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9525" cy="9525"/>
    <xdr:pic>
      <xdr:nvPicPr>
        <xdr:cNvPr id="3197" name="Picture 3196">
          <a:extLst>
            <a:ext uri="{FF2B5EF4-FFF2-40B4-BE49-F238E27FC236}">
              <a16:creationId xmlns:a16="http://schemas.microsoft.com/office/drawing/2014/main" id="{C671817B-6C19-492B-B268-B3CBED407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198" name="AutoShape 136">
          <a:extLst>
            <a:ext uri="{FF2B5EF4-FFF2-40B4-BE49-F238E27FC236}">
              <a16:creationId xmlns:a16="http://schemas.microsoft.com/office/drawing/2014/main" id="{9C62A5B9-CA9A-49BC-AC50-64F9785719C6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199" name="AutoShape 44">
          <a:extLst>
            <a:ext uri="{FF2B5EF4-FFF2-40B4-BE49-F238E27FC236}">
              <a16:creationId xmlns:a16="http://schemas.microsoft.com/office/drawing/2014/main" id="{BEF2DBA1-48DA-4F00-9654-D834BD5821E5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200" name="AutoShape 67">
          <a:extLst>
            <a:ext uri="{FF2B5EF4-FFF2-40B4-BE49-F238E27FC236}">
              <a16:creationId xmlns:a16="http://schemas.microsoft.com/office/drawing/2014/main" id="{0BD55D9E-6069-447D-929B-91021CC3EF50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304800" cy="303440"/>
    <xdr:sp macro="" textlink="">
      <xdr:nvSpPr>
        <xdr:cNvPr id="3201" name="AutoShape 69">
          <a:extLst>
            <a:ext uri="{FF2B5EF4-FFF2-40B4-BE49-F238E27FC236}">
              <a16:creationId xmlns:a16="http://schemas.microsoft.com/office/drawing/2014/main" id="{FEDC50A1-4F57-4047-9B5E-5AA31352E372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9525" cy="9525"/>
    <xdr:pic>
      <xdr:nvPicPr>
        <xdr:cNvPr id="3202" name="Picture 3201">
          <a:extLst>
            <a:ext uri="{FF2B5EF4-FFF2-40B4-BE49-F238E27FC236}">
              <a16:creationId xmlns:a16="http://schemas.microsoft.com/office/drawing/2014/main" id="{D5E263BA-7643-4FCA-B406-88ACD817D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203" name="AutoShape 117">
          <a:extLst>
            <a:ext uri="{FF2B5EF4-FFF2-40B4-BE49-F238E27FC236}">
              <a16:creationId xmlns:a16="http://schemas.microsoft.com/office/drawing/2014/main" id="{A94C82EF-891C-4AB6-8DFA-D30818A63CF4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304800" cy="303440"/>
    <xdr:sp macro="" textlink="">
      <xdr:nvSpPr>
        <xdr:cNvPr id="3204" name="AutoShape 119">
          <a:extLst>
            <a:ext uri="{FF2B5EF4-FFF2-40B4-BE49-F238E27FC236}">
              <a16:creationId xmlns:a16="http://schemas.microsoft.com/office/drawing/2014/main" id="{5FE0B863-766C-472C-B516-79E40DC07D9E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9525" cy="9525"/>
    <xdr:pic>
      <xdr:nvPicPr>
        <xdr:cNvPr id="3205" name="Picture 3204">
          <a:extLst>
            <a:ext uri="{FF2B5EF4-FFF2-40B4-BE49-F238E27FC236}">
              <a16:creationId xmlns:a16="http://schemas.microsoft.com/office/drawing/2014/main" id="{70F44713-057E-4F44-AD0F-778726035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0</xdr:colOff>
      <xdr:row>23</xdr:row>
      <xdr:rowOff>0</xdr:rowOff>
    </xdr:from>
    <xdr:ext cx="304800" cy="304800"/>
    <xdr:sp macro="" textlink="">
      <xdr:nvSpPr>
        <xdr:cNvPr id="3206" name="AutoShape 142">
          <a:extLst>
            <a:ext uri="{FF2B5EF4-FFF2-40B4-BE49-F238E27FC236}">
              <a16:creationId xmlns:a16="http://schemas.microsoft.com/office/drawing/2014/main" id="{61C51431-9D9A-46D9-B739-C3F0F2918E64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24</xdr:row>
      <xdr:rowOff>0</xdr:rowOff>
    </xdr:from>
    <xdr:ext cx="304800" cy="303440"/>
    <xdr:sp macro="" textlink="">
      <xdr:nvSpPr>
        <xdr:cNvPr id="3207" name="AutoShape 144">
          <a:extLst>
            <a:ext uri="{FF2B5EF4-FFF2-40B4-BE49-F238E27FC236}">
              <a16:creationId xmlns:a16="http://schemas.microsoft.com/office/drawing/2014/main" id="{3C0D5C78-7CBB-4A8A-B881-D36C64B64E4A}"/>
            </a:ext>
          </a:extLst>
        </xdr:cNvPr>
        <xdr:cNvSpPr>
          <a:spLocks noChangeAspect="1" noChangeArrowheads="1"/>
        </xdr:cNvSpPr>
      </xdr:nvSpPr>
      <xdr:spPr bwMode="auto">
        <a:xfrm>
          <a:off x="39188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304800" cy="304800"/>
    <xdr:sp macro="" textlink="">
      <xdr:nvSpPr>
        <xdr:cNvPr id="3208" name="AutoShape 223">
          <a:extLst>
            <a:ext uri="{FF2B5EF4-FFF2-40B4-BE49-F238E27FC236}">
              <a16:creationId xmlns:a16="http://schemas.microsoft.com/office/drawing/2014/main" id="{35991799-72E3-477D-A160-33B7385E92D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304800" cy="304800"/>
    <xdr:sp macro="" textlink="">
      <xdr:nvSpPr>
        <xdr:cNvPr id="3209" name="AutoShape 247">
          <a:extLst>
            <a:ext uri="{FF2B5EF4-FFF2-40B4-BE49-F238E27FC236}">
              <a16:creationId xmlns:a16="http://schemas.microsoft.com/office/drawing/2014/main" id="{196A65FC-22E9-426D-A2E7-5C34AEE5D16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304800" cy="304800"/>
    <xdr:sp macro="" textlink="">
      <xdr:nvSpPr>
        <xdr:cNvPr id="3210" name="AutoShape 273">
          <a:extLst>
            <a:ext uri="{FF2B5EF4-FFF2-40B4-BE49-F238E27FC236}">
              <a16:creationId xmlns:a16="http://schemas.microsoft.com/office/drawing/2014/main" id="{FF6C5FA4-0995-4E1A-8443-3BB5E0BBAE8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304800" cy="304800"/>
    <xdr:sp macro="" textlink="">
      <xdr:nvSpPr>
        <xdr:cNvPr id="3211" name="AutoShape 325">
          <a:extLst>
            <a:ext uri="{FF2B5EF4-FFF2-40B4-BE49-F238E27FC236}">
              <a16:creationId xmlns:a16="http://schemas.microsoft.com/office/drawing/2014/main" id="{90E37B22-FCCB-4946-B682-E7149CFC7B7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304800" cy="304800"/>
    <xdr:sp macro="" textlink="">
      <xdr:nvSpPr>
        <xdr:cNvPr id="3212" name="AutoShape 377">
          <a:extLst>
            <a:ext uri="{FF2B5EF4-FFF2-40B4-BE49-F238E27FC236}">
              <a16:creationId xmlns:a16="http://schemas.microsoft.com/office/drawing/2014/main" id="{D8543325-D052-48BC-9F8C-75F3A2D256C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304800" cy="304800"/>
    <xdr:sp macro="" textlink="">
      <xdr:nvSpPr>
        <xdr:cNvPr id="3213" name="AutoShape 433">
          <a:extLst>
            <a:ext uri="{FF2B5EF4-FFF2-40B4-BE49-F238E27FC236}">
              <a16:creationId xmlns:a16="http://schemas.microsoft.com/office/drawing/2014/main" id="{598F3679-D7DF-4BB0-9A2D-B231D6DC9B1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304800" cy="304800"/>
    <xdr:sp macro="" textlink="">
      <xdr:nvSpPr>
        <xdr:cNvPr id="3214" name="AutoShape 44">
          <a:extLst>
            <a:ext uri="{FF2B5EF4-FFF2-40B4-BE49-F238E27FC236}">
              <a16:creationId xmlns:a16="http://schemas.microsoft.com/office/drawing/2014/main" id="{964797F1-2969-46BB-85E5-E755C7AD8A7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304800" cy="304800"/>
    <xdr:sp macro="" textlink="">
      <xdr:nvSpPr>
        <xdr:cNvPr id="3215" name="AutoShape 67">
          <a:extLst>
            <a:ext uri="{FF2B5EF4-FFF2-40B4-BE49-F238E27FC236}">
              <a16:creationId xmlns:a16="http://schemas.microsoft.com/office/drawing/2014/main" id="{2D1ECA54-ED24-4CB1-BD60-5B6E775C9B8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304800" cy="304800"/>
    <xdr:sp macro="" textlink="">
      <xdr:nvSpPr>
        <xdr:cNvPr id="3216" name="AutoShape 117">
          <a:extLst>
            <a:ext uri="{FF2B5EF4-FFF2-40B4-BE49-F238E27FC236}">
              <a16:creationId xmlns:a16="http://schemas.microsoft.com/office/drawing/2014/main" id="{1260CAE9-ED75-4510-A3B7-769DD9E2D60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304800" cy="304800"/>
    <xdr:sp macro="" textlink="">
      <xdr:nvSpPr>
        <xdr:cNvPr id="3217" name="AutoShape 142">
          <a:extLst>
            <a:ext uri="{FF2B5EF4-FFF2-40B4-BE49-F238E27FC236}">
              <a16:creationId xmlns:a16="http://schemas.microsoft.com/office/drawing/2014/main" id="{A0EE1CEF-7769-47C7-8F4B-DCDBF48D999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3218" name="AutoShape 223">
          <a:extLst>
            <a:ext uri="{FF2B5EF4-FFF2-40B4-BE49-F238E27FC236}">
              <a16:creationId xmlns:a16="http://schemas.microsoft.com/office/drawing/2014/main" id="{3819CE93-CEE1-4492-A39B-06E2C4A9DE0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3219" name="AutoShape 247">
          <a:extLst>
            <a:ext uri="{FF2B5EF4-FFF2-40B4-BE49-F238E27FC236}">
              <a16:creationId xmlns:a16="http://schemas.microsoft.com/office/drawing/2014/main" id="{A285B19A-0C1D-482E-BA3A-8197694E1F4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3220" name="AutoShape 273">
          <a:extLst>
            <a:ext uri="{FF2B5EF4-FFF2-40B4-BE49-F238E27FC236}">
              <a16:creationId xmlns:a16="http://schemas.microsoft.com/office/drawing/2014/main" id="{A9884048-012D-4872-B01C-7AC2EFFCE9B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3221" name="AutoShape 325">
          <a:extLst>
            <a:ext uri="{FF2B5EF4-FFF2-40B4-BE49-F238E27FC236}">
              <a16:creationId xmlns:a16="http://schemas.microsoft.com/office/drawing/2014/main" id="{383647DB-75EE-4F4E-9BB0-B3E8461A9D0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3222" name="AutoShape 377">
          <a:extLst>
            <a:ext uri="{FF2B5EF4-FFF2-40B4-BE49-F238E27FC236}">
              <a16:creationId xmlns:a16="http://schemas.microsoft.com/office/drawing/2014/main" id="{63ECD539-9ACF-4967-90E5-0B480947022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3223" name="AutoShape 433">
          <a:extLst>
            <a:ext uri="{FF2B5EF4-FFF2-40B4-BE49-F238E27FC236}">
              <a16:creationId xmlns:a16="http://schemas.microsoft.com/office/drawing/2014/main" id="{4DA649FD-E4EC-41AE-B18D-7C62DC2F271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3224" name="AutoShape 44">
          <a:extLst>
            <a:ext uri="{FF2B5EF4-FFF2-40B4-BE49-F238E27FC236}">
              <a16:creationId xmlns:a16="http://schemas.microsoft.com/office/drawing/2014/main" id="{96D7A7CA-06AC-4206-80B7-5FC161BB459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3225" name="AutoShape 67">
          <a:extLst>
            <a:ext uri="{FF2B5EF4-FFF2-40B4-BE49-F238E27FC236}">
              <a16:creationId xmlns:a16="http://schemas.microsoft.com/office/drawing/2014/main" id="{18530D91-28F0-4D25-9301-DE0B4F6519A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3226" name="AutoShape 117">
          <a:extLst>
            <a:ext uri="{FF2B5EF4-FFF2-40B4-BE49-F238E27FC236}">
              <a16:creationId xmlns:a16="http://schemas.microsoft.com/office/drawing/2014/main" id="{BFA62CE6-3082-4730-92B8-AB97EE55A8C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3227" name="AutoShape 142">
          <a:extLst>
            <a:ext uri="{FF2B5EF4-FFF2-40B4-BE49-F238E27FC236}">
              <a16:creationId xmlns:a16="http://schemas.microsoft.com/office/drawing/2014/main" id="{DD8C0477-CB47-4022-A944-FDAE5BEDFCE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3228" name="AutoShape 223">
          <a:extLst>
            <a:ext uri="{FF2B5EF4-FFF2-40B4-BE49-F238E27FC236}">
              <a16:creationId xmlns:a16="http://schemas.microsoft.com/office/drawing/2014/main" id="{BB46B1CE-8AF2-43DF-8E09-0EB47880122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3229" name="AutoShape 247">
          <a:extLst>
            <a:ext uri="{FF2B5EF4-FFF2-40B4-BE49-F238E27FC236}">
              <a16:creationId xmlns:a16="http://schemas.microsoft.com/office/drawing/2014/main" id="{BF3E2E24-8818-4BAE-B588-388F049948D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3230" name="AutoShape 273">
          <a:extLst>
            <a:ext uri="{FF2B5EF4-FFF2-40B4-BE49-F238E27FC236}">
              <a16:creationId xmlns:a16="http://schemas.microsoft.com/office/drawing/2014/main" id="{BB13EF93-1A3F-4286-AC3F-C60005C7ADA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3231" name="AutoShape 325">
          <a:extLst>
            <a:ext uri="{FF2B5EF4-FFF2-40B4-BE49-F238E27FC236}">
              <a16:creationId xmlns:a16="http://schemas.microsoft.com/office/drawing/2014/main" id="{54651FFC-5FE4-4954-968D-D50D2B9D455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3232" name="AutoShape 377">
          <a:extLst>
            <a:ext uri="{FF2B5EF4-FFF2-40B4-BE49-F238E27FC236}">
              <a16:creationId xmlns:a16="http://schemas.microsoft.com/office/drawing/2014/main" id="{C1D8118C-9C3A-43E3-A762-99920EFFD90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3233" name="AutoShape 433">
          <a:extLst>
            <a:ext uri="{FF2B5EF4-FFF2-40B4-BE49-F238E27FC236}">
              <a16:creationId xmlns:a16="http://schemas.microsoft.com/office/drawing/2014/main" id="{F1172B42-E802-48DD-A318-15D2BDE99FA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3234" name="AutoShape 44">
          <a:extLst>
            <a:ext uri="{FF2B5EF4-FFF2-40B4-BE49-F238E27FC236}">
              <a16:creationId xmlns:a16="http://schemas.microsoft.com/office/drawing/2014/main" id="{EA0B6F62-DBFB-4A58-8F8D-7AE9AD8F2ED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3235" name="AutoShape 67">
          <a:extLst>
            <a:ext uri="{FF2B5EF4-FFF2-40B4-BE49-F238E27FC236}">
              <a16:creationId xmlns:a16="http://schemas.microsoft.com/office/drawing/2014/main" id="{8B4BC899-F43E-4F4A-8401-26DAA3DF086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3236" name="AutoShape 117">
          <a:extLst>
            <a:ext uri="{FF2B5EF4-FFF2-40B4-BE49-F238E27FC236}">
              <a16:creationId xmlns:a16="http://schemas.microsoft.com/office/drawing/2014/main" id="{DBD52C88-9170-409B-8CD2-6138B3601ED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3237" name="AutoShape 142">
          <a:extLst>
            <a:ext uri="{FF2B5EF4-FFF2-40B4-BE49-F238E27FC236}">
              <a16:creationId xmlns:a16="http://schemas.microsoft.com/office/drawing/2014/main" id="{2CC1979F-AE31-4FA7-98CD-1B7515B3CF9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38" name="Picture 3237">
          <a:extLst>
            <a:ext uri="{FF2B5EF4-FFF2-40B4-BE49-F238E27FC236}">
              <a16:creationId xmlns:a16="http://schemas.microsoft.com/office/drawing/2014/main" id="{17980098-8DDF-466C-B594-7BE26EE17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39" name="Picture 3238">
          <a:extLst>
            <a:ext uri="{FF2B5EF4-FFF2-40B4-BE49-F238E27FC236}">
              <a16:creationId xmlns:a16="http://schemas.microsoft.com/office/drawing/2014/main" id="{B44A2BBD-0921-4B12-963E-96BE6DC4E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40" name="Picture 3239">
          <a:extLst>
            <a:ext uri="{FF2B5EF4-FFF2-40B4-BE49-F238E27FC236}">
              <a16:creationId xmlns:a16="http://schemas.microsoft.com/office/drawing/2014/main" id="{0A92771D-EB1F-4795-8145-92DAA794B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241" name="AutoShape 159">
          <a:extLst>
            <a:ext uri="{FF2B5EF4-FFF2-40B4-BE49-F238E27FC236}">
              <a16:creationId xmlns:a16="http://schemas.microsoft.com/office/drawing/2014/main" id="{A7F0B404-E7CF-4705-A46A-8CB03431E5A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42" name="Picture 3241">
          <a:extLst>
            <a:ext uri="{FF2B5EF4-FFF2-40B4-BE49-F238E27FC236}">
              <a16:creationId xmlns:a16="http://schemas.microsoft.com/office/drawing/2014/main" id="{DE472FE6-4447-4C8D-94B1-4F95A0143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43" name="Picture 3242">
          <a:extLst>
            <a:ext uri="{FF2B5EF4-FFF2-40B4-BE49-F238E27FC236}">
              <a16:creationId xmlns:a16="http://schemas.microsoft.com/office/drawing/2014/main" id="{8E5EFB23-9A6D-4ECD-9086-27EB272ED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44" name="Picture 3243">
          <a:extLst>
            <a:ext uri="{FF2B5EF4-FFF2-40B4-BE49-F238E27FC236}">
              <a16:creationId xmlns:a16="http://schemas.microsoft.com/office/drawing/2014/main" id="{DB83586A-3932-4E18-A740-3FCDB4247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45" name="Picture 3244">
          <a:extLst>
            <a:ext uri="{FF2B5EF4-FFF2-40B4-BE49-F238E27FC236}">
              <a16:creationId xmlns:a16="http://schemas.microsoft.com/office/drawing/2014/main" id="{E4B2EBE5-1847-42CF-A3AD-5F98AA952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46" name="Picture 3245">
          <a:extLst>
            <a:ext uri="{FF2B5EF4-FFF2-40B4-BE49-F238E27FC236}">
              <a16:creationId xmlns:a16="http://schemas.microsoft.com/office/drawing/2014/main" id="{E81698D2-8695-41E7-B191-5080B2AB3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47" name="Picture 3246">
          <a:extLst>
            <a:ext uri="{FF2B5EF4-FFF2-40B4-BE49-F238E27FC236}">
              <a16:creationId xmlns:a16="http://schemas.microsoft.com/office/drawing/2014/main" id="{FDEA63AB-8A92-45E2-B2C8-9CFFECBB7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3440"/>
    <xdr:sp macro="" textlink="">
      <xdr:nvSpPr>
        <xdr:cNvPr id="3248" name="AutoShape 169">
          <a:extLst>
            <a:ext uri="{FF2B5EF4-FFF2-40B4-BE49-F238E27FC236}">
              <a16:creationId xmlns:a16="http://schemas.microsoft.com/office/drawing/2014/main" id="{DBD7A6D0-9160-4116-9EA9-CB794BF11C9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49" name="Picture 3248">
          <a:extLst>
            <a:ext uri="{FF2B5EF4-FFF2-40B4-BE49-F238E27FC236}">
              <a16:creationId xmlns:a16="http://schemas.microsoft.com/office/drawing/2014/main" id="{C7943C59-D72F-423F-BC68-9FBC450C6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50" name="Picture 3249">
          <a:extLst>
            <a:ext uri="{FF2B5EF4-FFF2-40B4-BE49-F238E27FC236}">
              <a16:creationId xmlns:a16="http://schemas.microsoft.com/office/drawing/2014/main" id="{54B0DDB4-CCC0-4C8B-A7AD-282B392AF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51" name="Picture 3250">
          <a:extLst>
            <a:ext uri="{FF2B5EF4-FFF2-40B4-BE49-F238E27FC236}">
              <a16:creationId xmlns:a16="http://schemas.microsoft.com/office/drawing/2014/main" id="{997339E1-EC1B-4A4B-8DD8-C2A27ACEB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52" name="Picture 3251">
          <a:extLst>
            <a:ext uri="{FF2B5EF4-FFF2-40B4-BE49-F238E27FC236}">
              <a16:creationId xmlns:a16="http://schemas.microsoft.com/office/drawing/2014/main" id="{B4A08826-E48A-4CEE-BDDA-C5DEF9B01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53" name="Picture 3252">
          <a:extLst>
            <a:ext uri="{FF2B5EF4-FFF2-40B4-BE49-F238E27FC236}">
              <a16:creationId xmlns:a16="http://schemas.microsoft.com/office/drawing/2014/main" id="{7FA37C7F-84F6-4DE6-845F-A68B07C24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54" name="Picture 3253">
          <a:extLst>
            <a:ext uri="{FF2B5EF4-FFF2-40B4-BE49-F238E27FC236}">
              <a16:creationId xmlns:a16="http://schemas.microsoft.com/office/drawing/2014/main" id="{889A4E5C-5D86-4A53-B252-27478E65E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55" name="Picture 3254">
          <a:extLst>
            <a:ext uri="{FF2B5EF4-FFF2-40B4-BE49-F238E27FC236}">
              <a16:creationId xmlns:a16="http://schemas.microsoft.com/office/drawing/2014/main" id="{72625ED0-AEE1-4C77-B9EC-868EBB22A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56" name="Picture 3255">
          <a:extLst>
            <a:ext uri="{FF2B5EF4-FFF2-40B4-BE49-F238E27FC236}">
              <a16:creationId xmlns:a16="http://schemas.microsoft.com/office/drawing/2014/main" id="{25311E08-4C9C-44A1-8D11-5917739C4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57" name="Picture 3256">
          <a:extLst>
            <a:ext uri="{FF2B5EF4-FFF2-40B4-BE49-F238E27FC236}">
              <a16:creationId xmlns:a16="http://schemas.microsoft.com/office/drawing/2014/main" id="{D253B4BF-1073-468C-AEE7-D989A765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258" name="AutoShape 191">
          <a:extLst>
            <a:ext uri="{FF2B5EF4-FFF2-40B4-BE49-F238E27FC236}">
              <a16:creationId xmlns:a16="http://schemas.microsoft.com/office/drawing/2014/main" id="{48ADE5DA-719B-4394-BB32-B6C7E62F66F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59" name="Picture 3258">
          <a:extLst>
            <a:ext uri="{FF2B5EF4-FFF2-40B4-BE49-F238E27FC236}">
              <a16:creationId xmlns:a16="http://schemas.microsoft.com/office/drawing/2014/main" id="{BEC9701A-67F5-4A9E-AFD8-1C4D476CD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260" name="AutoShape 193">
          <a:extLst>
            <a:ext uri="{FF2B5EF4-FFF2-40B4-BE49-F238E27FC236}">
              <a16:creationId xmlns:a16="http://schemas.microsoft.com/office/drawing/2014/main" id="{2D3F4B7D-D0B6-4A1F-8C30-E6619BDAA25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61" name="Picture 3260">
          <a:extLst>
            <a:ext uri="{FF2B5EF4-FFF2-40B4-BE49-F238E27FC236}">
              <a16:creationId xmlns:a16="http://schemas.microsoft.com/office/drawing/2014/main" id="{18831857-26CC-46A5-8FAD-A725F7287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62" name="Picture 3261">
          <a:extLst>
            <a:ext uri="{FF2B5EF4-FFF2-40B4-BE49-F238E27FC236}">
              <a16:creationId xmlns:a16="http://schemas.microsoft.com/office/drawing/2014/main" id="{344B22AB-C61B-4527-9FD9-1F02C8CB1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3440"/>
    <xdr:sp macro="" textlink="">
      <xdr:nvSpPr>
        <xdr:cNvPr id="3263" name="AutoShape 199">
          <a:extLst>
            <a:ext uri="{FF2B5EF4-FFF2-40B4-BE49-F238E27FC236}">
              <a16:creationId xmlns:a16="http://schemas.microsoft.com/office/drawing/2014/main" id="{6EE90295-2EF9-4B13-8254-5F5F7FCE48B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64" name="Picture 3263">
          <a:extLst>
            <a:ext uri="{FF2B5EF4-FFF2-40B4-BE49-F238E27FC236}">
              <a16:creationId xmlns:a16="http://schemas.microsoft.com/office/drawing/2014/main" id="{0A6C4C5E-9CF6-4133-865B-20D34DB6B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65" name="Picture 3264">
          <a:extLst>
            <a:ext uri="{FF2B5EF4-FFF2-40B4-BE49-F238E27FC236}">
              <a16:creationId xmlns:a16="http://schemas.microsoft.com/office/drawing/2014/main" id="{F85BAB5C-AD40-43B2-B6AD-2B4E7FBD4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66" name="Picture 3265">
          <a:extLst>
            <a:ext uri="{FF2B5EF4-FFF2-40B4-BE49-F238E27FC236}">
              <a16:creationId xmlns:a16="http://schemas.microsoft.com/office/drawing/2014/main" id="{0BB0963A-69FC-4B1A-ADE8-F8B95E829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67" name="Picture 3266">
          <a:extLst>
            <a:ext uri="{FF2B5EF4-FFF2-40B4-BE49-F238E27FC236}">
              <a16:creationId xmlns:a16="http://schemas.microsoft.com/office/drawing/2014/main" id="{AF302EC1-5E29-45CD-8806-B3885D3ED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68" name="Picture 3267">
          <a:extLst>
            <a:ext uri="{FF2B5EF4-FFF2-40B4-BE49-F238E27FC236}">
              <a16:creationId xmlns:a16="http://schemas.microsoft.com/office/drawing/2014/main" id="{12F7BFDE-57E9-4960-8663-213D8859C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69" name="Picture 3268">
          <a:extLst>
            <a:ext uri="{FF2B5EF4-FFF2-40B4-BE49-F238E27FC236}">
              <a16:creationId xmlns:a16="http://schemas.microsoft.com/office/drawing/2014/main" id="{DB3A4D44-2607-4EED-96E9-7BFE8B4B6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70" name="Picture 3269">
          <a:extLst>
            <a:ext uri="{FF2B5EF4-FFF2-40B4-BE49-F238E27FC236}">
              <a16:creationId xmlns:a16="http://schemas.microsoft.com/office/drawing/2014/main" id="{94843EA0-FEF8-488A-ACA4-376C2FFC5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271" name="AutoShape 217">
          <a:extLst>
            <a:ext uri="{FF2B5EF4-FFF2-40B4-BE49-F238E27FC236}">
              <a16:creationId xmlns:a16="http://schemas.microsoft.com/office/drawing/2014/main" id="{834FC3E9-A345-4545-8361-3F0D99EB4F6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72" name="Picture 3271">
          <a:extLst>
            <a:ext uri="{FF2B5EF4-FFF2-40B4-BE49-F238E27FC236}">
              <a16:creationId xmlns:a16="http://schemas.microsoft.com/office/drawing/2014/main" id="{BB793528-2D8B-4348-B471-7A80D37AF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273" name="AutoShape 219">
          <a:extLst>
            <a:ext uri="{FF2B5EF4-FFF2-40B4-BE49-F238E27FC236}">
              <a16:creationId xmlns:a16="http://schemas.microsoft.com/office/drawing/2014/main" id="{C9B6A521-2531-414A-ADCF-FB3016AA5C0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74" name="Picture 3273">
          <a:extLst>
            <a:ext uri="{FF2B5EF4-FFF2-40B4-BE49-F238E27FC236}">
              <a16:creationId xmlns:a16="http://schemas.microsoft.com/office/drawing/2014/main" id="{B6DB8578-400F-470C-9C65-7B36007E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75" name="Picture 3274">
          <a:extLst>
            <a:ext uri="{FF2B5EF4-FFF2-40B4-BE49-F238E27FC236}">
              <a16:creationId xmlns:a16="http://schemas.microsoft.com/office/drawing/2014/main" id="{3D3484FB-7E81-4B25-A44A-BD30D5B99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76" name="Picture 3275">
          <a:extLst>
            <a:ext uri="{FF2B5EF4-FFF2-40B4-BE49-F238E27FC236}">
              <a16:creationId xmlns:a16="http://schemas.microsoft.com/office/drawing/2014/main" id="{5E780F77-36D7-4A23-8C17-746B71693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77" name="Picture 3276">
          <a:extLst>
            <a:ext uri="{FF2B5EF4-FFF2-40B4-BE49-F238E27FC236}">
              <a16:creationId xmlns:a16="http://schemas.microsoft.com/office/drawing/2014/main" id="{74DE174F-B9B2-4878-9277-B3C760BB9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78" name="Picture 3277">
          <a:extLst>
            <a:ext uri="{FF2B5EF4-FFF2-40B4-BE49-F238E27FC236}">
              <a16:creationId xmlns:a16="http://schemas.microsoft.com/office/drawing/2014/main" id="{76A420CD-E136-4197-8574-67EAE28A9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79" name="Picture 3278">
          <a:extLst>
            <a:ext uri="{FF2B5EF4-FFF2-40B4-BE49-F238E27FC236}">
              <a16:creationId xmlns:a16="http://schemas.microsoft.com/office/drawing/2014/main" id="{F6EE436D-F4C2-451E-BA2C-29DC9D2BB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80" name="Picture 3279">
          <a:extLst>
            <a:ext uri="{FF2B5EF4-FFF2-40B4-BE49-F238E27FC236}">
              <a16:creationId xmlns:a16="http://schemas.microsoft.com/office/drawing/2014/main" id="{B97A7BF9-2D4D-4BD3-A77D-A1C27105D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81" name="Picture 3280">
          <a:extLst>
            <a:ext uri="{FF2B5EF4-FFF2-40B4-BE49-F238E27FC236}">
              <a16:creationId xmlns:a16="http://schemas.microsoft.com/office/drawing/2014/main" id="{115EF3F4-DA3E-4F40-BCEB-0DA8B77B7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282" name="AutoShape 241">
          <a:extLst>
            <a:ext uri="{FF2B5EF4-FFF2-40B4-BE49-F238E27FC236}">
              <a16:creationId xmlns:a16="http://schemas.microsoft.com/office/drawing/2014/main" id="{D309759B-4A38-4B7C-BB68-B923143A505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83" name="Picture 3282">
          <a:extLst>
            <a:ext uri="{FF2B5EF4-FFF2-40B4-BE49-F238E27FC236}">
              <a16:creationId xmlns:a16="http://schemas.microsoft.com/office/drawing/2014/main" id="{9FB6C7E2-5BC2-4D22-BBE3-5A0B9A765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284" name="AutoShape 243">
          <a:extLst>
            <a:ext uri="{FF2B5EF4-FFF2-40B4-BE49-F238E27FC236}">
              <a16:creationId xmlns:a16="http://schemas.microsoft.com/office/drawing/2014/main" id="{6AEB91A8-E4E0-4CF3-A683-147B69BDEA7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85" name="Picture 3284">
          <a:extLst>
            <a:ext uri="{FF2B5EF4-FFF2-40B4-BE49-F238E27FC236}">
              <a16:creationId xmlns:a16="http://schemas.microsoft.com/office/drawing/2014/main" id="{BEF739C6-B6AD-4BA6-AF97-57BF6D21B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86" name="Picture 3285">
          <a:extLst>
            <a:ext uri="{FF2B5EF4-FFF2-40B4-BE49-F238E27FC236}">
              <a16:creationId xmlns:a16="http://schemas.microsoft.com/office/drawing/2014/main" id="{13765450-856B-4FEB-BB19-F6745963C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3440"/>
    <xdr:sp macro="" textlink="">
      <xdr:nvSpPr>
        <xdr:cNvPr id="3287" name="AutoShape 249">
          <a:extLst>
            <a:ext uri="{FF2B5EF4-FFF2-40B4-BE49-F238E27FC236}">
              <a16:creationId xmlns:a16="http://schemas.microsoft.com/office/drawing/2014/main" id="{80C41CD9-FD25-44A3-BDEE-5210795B90E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88" name="Picture 3287">
          <a:extLst>
            <a:ext uri="{FF2B5EF4-FFF2-40B4-BE49-F238E27FC236}">
              <a16:creationId xmlns:a16="http://schemas.microsoft.com/office/drawing/2014/main" id="{8A643002-BACE-4ED4-B2B2-A1F0B56ED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89" name="Picture 3288">
          <a:extLst>
            <a:ext uri="{FF2B5EF4-FFF2-40B4-BE49-F238E27FC236}">
              <a16:creationId xmlns:a16="http://schemas.microsoft.com/office/drawing/2014/main" id="{387E858B-7277-4DFA-833E-F41565914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90" name="Picture 3289">
          <a:extLst>
            <a:ext uri="{FF2B5EF4-FFF2-40B4-BE49-F238E27FC236}">
              <a16:creationId xmlns:a16="http://schemas.microsoft.com/office/drawing/2014/main" id="{348274BF-2928-4ECF-9B98-6ED4C5310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91" name="Picture 3290">
          <a:extLst>
            <a:ext uri="{FF2B5EF4-FFF2-40B4-BE49-F238E27FC236}">
              <a16:creationId xmlns:a16="http://schemas.microsoft.com/office/drawing/2014/main" id="{D43597A4-AF8B-4AA1-B67A-09DFD0090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92" name="Picture 3291">
          <a:extLst>
            <a:ext uri="{FF2B5EF4-FFF2-40B4-BE49-F238E27FC236}">
              <a16:creationId xmlns:a16="http://schemas.microsoft.com/office/drawing/2014/main" id="{5C331FEB-D432-4F3F-8D1E-F642C162B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93" name="Picture 3292">
          <a:extLst>
            <a:ext uri="{FF2B5EF4-FFF2-40B4-BE49-F238E27FC236}">
              <a16:creationId xmlns:a16="http://schemas.microsoft.com/office/drawing/2014/main" id="{BBDEA154-53FA-4C11-A815-4A968A4F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94" name="Picture 3293">
          <a:extLst>
            <a:ext uri="{FF2B5EF4-FFF2-40B4-BE49-F238E27FC236}">
              <a16:creationId xmlns:a16="http://schemas.microsoft.com/office/drawing/2014/main" id="{15738E40-D7B6-4EE2-B4A0-CFCC1F07E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295" name="AutoShape 267">
          <a:extLst>
            <a:ext uri="{FF2B5EF4-FFF2-40B4-BE49-F238E27FC236}">
              <a16:creationId xmlns:a16="http://schemas.microsoft.com/office/drawing/2014/main" id="{8A51D5A2-A3CF-4697-910F-FD25365B030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96" name="Picture 3295">
          <a:extLst>
            <a:ext uri="{FF2B5EF4-FFF2-40B4-BE49-F238E27FC236}">
              <a16:creationId xmlns:a16="http://schemas.microsoft.com/office/drawing/2014/main" id="{140525C2-5A82-46AD-AF18-63C2745CC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297" name="AutoShape 269">
          <a:extLst>
            <a:ext uri="{FF2B5EF4-FFF2-40B4-BE49-F238E27FC236}">
              <a16:creationId xmlns:a16="http://schemas.microsoft.com/office/drawing/2014/main" id="{3E3CC945-0F54-4B4F-95BC-FC51AF81AA8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98" name="Picture 3297">
          <a:extLst>
            <a:ext uri="{FF2B5EF4-FFF2-40B4-BE49-F238E27FC236}">
              <a16:creationId xmlns:a16="http://schemas.microsoft.com/office/drawing/2014/main" id="{EE76ECC3-9DBA-481E-BACE-D72AC7DE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299" name="Picture 3298">
          <a:extLst>
            <a:ext uri="{FF2B5EF4-FFF2-40B4-BE49-F238E27FC236}">
              <a16:creationId xmlns:a16="http://schemas.microsoft.com/office/drawing/2014/main" id="{C3667585-5588-4413-BB4A-8D2974365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3440"/>
    <xdr:sp macro="" textlink="">
      <xdr:nvSpPr>
        <xdr:cNvPr id="3300" name="AutoShape 275">
          <a:extLst>
            <a:ext uri="{FF2B5EF4-FFF2-40B4-BE49-F238E27FC236}">
              <a16:creationId xmlns:a16="http://schemas.microsoft.com/office/drawing/2014/main" id="{1E03A8E0-F554-4598-93A4-28F54393A4B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01" name="Picture 3300">
          <a:extLst>
            <a:ext uri="{FF2B5EF4-FFF2-40B4-BE49-F238E27FC236}">
              <a16:creationId xmlns:a16="http://schemas.microsoft.com/office/drawing/2014/main" id="{B90C72B7-9EA2-475B-AB42-0605F20B7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02" name="Picture 3301">
          <a:extLst>
            <a:ext uri="{FF2B5EF4-FFF2-40B4-BE49-F238E27FC236}">
              <a16:creationId xmlns:a16="http://schemas.microsoft.com/office/drawing/2014/main" id="{D5F37C9E-B44F-4322-AEA8-90FF74EEF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03" name="Picture 3302">
          <a:extLst>
            <a:ext uri="{FF2B5EF4-FFF2-40B4-BE49-F238E27FC236}">
              <a16:creationId xmlns:a16="http://schemas.microsoft.com/office/drawing/2014/main" id="{1A152F97-FF58-4264-B79F-1257DAB8F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04" name="Picture 3303">
          <a:extLst>
            <a:ext uri="{FF2B5EF4-FFF2-40B4-BE49-F238E27FC236}">
              <a16:creationId xmlns:a16="http://schemas.microsoft.com/office/drawing/2014/main" id="{6FA31273-785A-4737-B15D-89DBCC59C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05" name="Picture 3304">
          <a:extLst>
            <a:ext uri="{FF2B5EF4-FFF2-40B4-BE49-F238E27FC236}">
              <a16:creationId xmlns:a16="http://schemas.microsoft.com/office/drawing/2014/main" id="{540F808B-1523-4DB8-9532-276EB6311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06" name="Picture 3305">
          <a:extLst>
            <a:ext uri="{FF2B5EF4-FFF2-40B4-BE49-F238E27FC236}">
              <a16:creationId xmlns:a16="http://schemas.microsoft.com/office/drawing/2014/main" id="{F293A737-BD64-492F-A0BC-74C2CCE3F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07" name="Picture 3306">
          <a:extLst>
            <a:ext uri="{FF2B5EF4-FFF2-40B4-BE49-F238E27FC236}">
              <a16:creationId xmlns:a16="http://schemas.microsoft.com/office/drawing/2014/main" id="{4B22A61A-86B5-495F-A47C-56ED1F074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308" name="AutoShape 319">
          <a:extLst>
            <a:ext uri="{FF2B5EF4-FFF2-40B4-BE49-F238E27FC236}">
              <a16:creationId xmlns:a16="http://schemas.microsoft.com/office/drawing/2014/main" id="{21AB5A28-FB9F-4357-9E0B-9DF768E81D4E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09" name="Picture 3308">
          <a:extLst>
            <a:ext uri="{FF2B5EF4-FFF2-40B4-BE49-F238E27FC236}">
              <a16:creationId xmlns:a16="http://schemas.microsoft.com/office/drawing/2014/main" id="{D806A847-8CEE-4056-A753-819EFF7CE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310" name="AutoShape 321">
          <a:extLst>
            <a:ext uri="{FF2B5EF4-FFF2-40B4-BE49-F238E27FC236}">
              <a16:creationId xmlns:a16="http://schemas.microsoft.com/office/drawing/2014/main" id="{28E53474-5E17-4474-9D66-17DD811F8FB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11" name="Picture 3310">
          <a:extLst>
            <a:ext uri="{FF2B5EF4-FFF2-40B4-BE49-F238E27FC236}">
              <a16:creationId xmlns:a16="http://schemas.microsoft.com/office/drawing/2014/main" id="{CE23ECF2-4871-44BC-9D4F-C397FEAFB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12" name="Picture 3311">
          <a:extLst>
            <a:ext uri="{FF2B5EF4-FFF2-40B4-BE49-F238E27FC236}">
              <a16:creationId xmlns:a16="http://schemas.microsoft.com/office/drawing/2014/main" id="{8AD4200C-0CAD-4DA9-BC77-BABCDE650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3440"/>
    <xdr:sp macro="" textlink="">
      <xdr:nvSpPr>
        <xdr:cNvPr id="3313" name="AutoShape 327">
          <a:extLst>
            <a:ext uri="{FF2B5EF4-FFF2-40B4-BE49-F238E27FC236}">
              <a16:creationId xmlns:a16="http://schemas.microsoft.com/office/drawing/2014/main" id="{66DE4954-ED20-46D4-9725-9D586AFACC4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14" name="Picture 3313">
          <a:extLst>
            <a:ext uri="{FF2B5EF4-FFF2-40B4-BE49-F238E27FC236}">
              <a16:creationId xmlns:a16="http://schemas.microsoft.com/office/drawing/2014/main" id="{AA327D65-C926-40B7-A248-1B3FAE27D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15" name="Picture 3314">
          <a:extLst>
            <a:ext uri="{FF2B5EF4-FFF2-40B4-BE49-F238E27FC236}">
              <a16:creationId xmlns:a16="http://schemas.microsoft.com/office/drawing/2014/main" id="{58F815F7-BDF3-40EF-AB22-3C894AC2F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16" name="Picture 3315">
          <a:extLst>
            <a:ext uri="{FF2B5EF4-FFF2-40B4-BE49-F238E27FC236}">
              <a16:creationId xmlns:a16="http://schemas.microsoft.com/office/drawing/2014/main" id="{8FC199EE-09AE-44B9-96A8-49FA4350B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17" name="Picture 3316">
          <a:extLst>
            <a:ext uri="{FF2B5EF4-FFF2-40B4-BE49-F238E27FC236}">
              <a16:creationId xmlns:a16="http://schemas.microsoft.com/office/drawing/2014/main" id="{EC01D1A2-04E2-49D6-BA55-9D030C82B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18" name="Picture 3317">
          <a:extLst>
            <a:ext uri="{FF2B5EF4-FFF2-40B4-BE49-F238E27FC236}">
              <a16:creationId xmlns:a16="http://schemas.microsoft.com/office/drawing/2014/main" id="{9BE103CE-16A5-4FAA-9423-EE1E03F41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19" name="Picture 3318">
          <a:extLst>
            <a:ext uri="{FF2B5EF4-FFF2-40B4-BE49-F238E27FC236}">
              <a16:creationId xmlns:a16="http://schemas.microsoft.com/office/drawing/2014/main" id="{F92E979D-4F92-40FD-8A68-7B61A61DE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20" name="Picture 3319">
          <a:extLst>
            <a:ext uri="{FF2B5EF4-FFF2-40B4-BE49-F238E27FC236}">
              <a16:creationId xmlns:a16="http://schemas.microsoft.com/office/drawing/2014/main" id="{3E37AD5B-D521-4E0C-B6C2-4250931E0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321" name="AutoShape 371">
          <a:extLst>
            <a:ext uri="{FF2B5EF4-FFF2-40B4-BE49-F238E27FC236}">
              <a16:creationId xmlns:a16="http://schemas.microsoft.com/office/drawing/2014/main" id="{28EA7B30-FC81-46C3-9B66-AF42ACC4E0FE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22" name="Picture 3321">
          <a:extLst>
            <a:ext uri="{FF2B5EF4-FFF2-40B4-BE49-F238E27FC236}">
              <a16:creationId xmlns:a16="http://schemas.microsoft.com/office/drawing/2014/main" id="{7613523F-CAAF-43D5-B056-16C9C9E76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323" name="AutoShape 373">
          <a:extLst>
            <a:ext uri="{FF2B5EF4-FFF2-40B4-BE49-F238E27FC236}">
              <a16:creationId xmlns:a16="http://schemas.microsoft.com/office/drawing/2014/main" id="{523110D0-6923-41D8-9A5B-AF208CCC904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24" name="Picture 3323">
          <a:extLst>
            <a:ext uri="{FF2B5EF4-FFF2-40B4-BE49-F238E27FC236}">
              <a16:creationId xmlns:a16="http://schemas.microsoft.com/office/drawing/2014/main" id="{26D1900D-73F6-4859-ADA7-73353168F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25" name="Picture 3324">
          <a:extLst>
            <a:ext uri="{FF2B5EF4-FFF2-40B4-BE49-F238E27FC236}">
              <a16:creationId xmlns:a16="http://schemas.microsoft.com/office/drawing/2014/main" id="{E6103297-2C35-49CC-82AD-B90BB4F3D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3440"/>
    <xdr:sp macro="" textlink="">
      <xdr:nvSpPr>
        <xdr:cNvPr id="3326" name="AutoShape 379">
          <a:extLst>
            <a:ext uri="{FF2B5EF4-FFF2-40B4-BE49-F238E27FC236}">
              <a16:creationId xmlns:a16="http://schemas.microsoft.com/office/drawing/2014/main" id="{872A0953-ED59-4DE9-8A9F-F6507C3093E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27" name="Picture 3326">
          <a:extLst>
            <a:ext uri="{FF2B5EF4-FFF2-40B4-BE49-F238E27FC236}">
              <a16:creationId xmlns:a16="http://schemas.microsoft.com/office/drawing/2014/main" id="{D5BF1E29-281A-4462-96D6-3552B91E3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28" name="Picture 3327">
          <a:extLst>
            <a:ext uri="{FF2B5EF4-FFF2-40B4-BE49-F238E27FC236}">
              <a16:creationId xmlns:a16="http://schemas.microsoft.com/office/drawing/2014/main" id="{05A96977-E890-4E33-88AF-2873F1FD2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29" name="Picture 3328">
          <a:extLst>
            <a:ext uri="{FF2B5EF4-FFF2-40B4-BE49-F238E27FC236}">
              <a16:creationId xmlns:a16="http://schemas.microsoft.com/office/drawing/2014/main" id="{54EF9510-71AC-4346-ACF0-5DA7DD5BD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30" name="Picture 3329">
          <a:extLst>
            <a:ext uri="{FF2B5EF4-FFF2-40B4-BE49-F238E27FC236}">
              <a16:creationId xmlns:a16="http://schemas.microsoft.com/office/drawing/2014/main" id="{5D43AC92-65BA-4088-B854-B047DA437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31" name="Picture 3330">
          <a:extLst>
            <a:ext uri="{FF2B5EF4-FFF2-40B4-BE49-F238E27FC236}">
              <a16:creationId xmlns:a16="http://schemas.microsoft.com/office/drawing/2014/main" id="{5EBC111C-14AA-4329-A88D-C05AB1237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32" name="Picture 3331">
          <a:extLst>
            <a:ext uri="{FF2B5EF4-FFF2-40B4-BE49-F238E27FC236}">
              <a16:creationId xmlns:a16="http://schemas.microsoft.com/office/drawing/2014/main" id="{52973360-26CE-4BBA-9503-040F3B417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33" name="Picture 3332">
          <a:extLst>
            <a:ext uri="{FF2B5EF4-FFF2-40B4-BE49-F238E27FC236}">
              <a16:creationId xmlns:a16="http://schemas.microsoft.com/office/drawing/2014/main" id="{EAC9FDC6-2227-49B9-8A5F-BC4A625A4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34" name="Picture 3333">
          <a:extLst>
            <a:ext uri="{FF2B5EF4-FFF2-40B4-BE49-F238E27FC236}">
              <a16:creationId xmlns:a16="http://schemas.microsoft.com/office/drawing/2014/main" id="{C145EF71-2E4E-4027-BC34-CEC83762C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335" name="AutoShape 427">
          <a:extLst>
            <a:ext uri="{FF2B5EF4-FFF2-40B4-BE49-F238E27FC236}">
              <a16:creationId xmlns:a16="http://schemas.microsoft.com/office/drawing/2014/main" id="{9F8711E2-35B4-451D-B2EE-39C39D56548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36" name="Picture 3335">
          <a:extLst>
            <a:ext uri="{FF2B5EF4-FFF2-40B4-BE49-F238E27FC236}">
              <a16:creationId xmlns:a16="http://schemas.microsoft.com/office/drawing/2014/main" id="{0C92ACF2-DAEE-431E-9D1F-9A8994A1C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337" name="AutoShape 429">
          <a:extLst>
            <a:ext uri="{FF2B5EF4-FFF2-40B4-BE49-F238E27FC236}">
              <a16:creationId xmlns:a16="http://schemas.microsoft.com/office/drawing/2014/main" id="{9765AF0B-8E5D-479B-A0DC-5577E8B31CF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38" name="Picture 3337">
          <a:extLst>
            <a:ext uri="{FF2B5EF4-FFF2-40B4-BE49-F238E27FC236}">
              <a16:creationId xmlns:a16="http://schemas.microsoft.com/office/drawing/2014/main" id="{57A14617-84AA-49EA-B39B-D711459C2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39" name="Picture 3338">
          <a:extLst>
            <a:ext uri="{FF2B5EF4-FFF2-40B4-BE49-F238E27FC236}">
              <a16:creationId xmlns:a16="http://schemas.microsoft.com/office/drawing/2014/main" id="{9A63144F-E9C8-4278-AF42-8D5736F45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3440"/>
    <xdr:sp macro="" textlink="">
      <xdr:nvSpPr>
        <xdr:cNvPr id="3340" name="AutoShape 435">
          <a:extLst>
            <a:ext uri="{FF2B5EF4-FFF2-40B4-BE49-F238E27FC236}">
              <a16:creationId xmlns:a16="http://schemas.microsoft.com/office/drawing/2014/main" id="{CC310F69-FD69-4425-8BE5-D50E7A65129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41" name="Picture 3340">
          <a:extLst>
            <a:ext uri="{FF2B5EF4-FFF2-40B4-BE49-F238E27FC236}">
              <a16:creationId xmlns:a16="http://schemas.microsoft.com/office/drawing/2014/main" id="{A36DA2E8-F90A-4000-B702-0F7C52EF1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42" name="Picture 3341">
          <a:extLst>
            <a:ext uri="{FF2B5EF4-FFF2-40B4-BE49-F238E27FC236}">
              <a16:creationId xmlns:a16="http://schemas.microsoft.com/office/drawing/2014/main" id="{151EF405-90AA-4163-A666-6A0D78417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43" name="Picture 3342">
          <a:extLst>
            <a:ext uri="{FF2B5EF4-FFF2-40B4-BE49-F238E27FC236}">
              <a16:creationId xmlns:a16="http://schemas.microsoft.com/office/drawing/2014/main" id="{152E7C1B-A09E-4F3E-A58C-A9BD4C9BE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44" name="Picture 3343">
          <a:extLst>
            <a:ext uri="{FF2B5EF4-FFF2-40B4-BE49-F238E27FC236}">
              <a16:creationId xmlns:a16="http://schemas.microsoft.com/office/drawing/2014/main" id="{96C1B04E-5F46-458C-A480-B1C9DFE3F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45" name="Picture 3344">
          <a:extLst>
            <a:ext uri="{FF2B5EF4-FFF2-40B4-BE49-F238E27FC236}">
              <a16:creationId xmlns:a16="http://schemas.microsoft.com/office/drawing/2014/main" id="{E1B69D5B-D592-48AB-A5F3-8A2433048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46" name="Picture 3345">
          <a:extLst>
            <a:ext uri="{FF2B5EF4-FFF2-40B4-BE49-F238E27FC236}">
              <a16:creationId xmlns:a16="http://schemas.microsoft.com/office/drawing/2014/main" id="{997A4D2B-CA97-4B75-8A90-6C2337012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47" name="Picture 3346">
          <a:extLst>
            <a:ext uri="{FF2B5EF4-FFF2-40B4-BE49-F238E27FC236}">
              <a16:creationId xmlns:a16="http://schemas.microsoft.com/office/drawing/2014/main" id="{0A5D12CE-C84A-4692-93F8-3B75670EF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48" name="Picture 3347">
          <a:extLst>
            <a:ext uri="{FF2B5EF4-FFF2-40B4-BE49-F238E27FC236}">
              <a16:creationId xmlns:a16="http://schemas.microsoft.com/office/drawing/2014/main" id="{FA9A075D-71E5-426D-92B5-280BC49FB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349" name="AutoShape 483">
          <a:extLst>
            <a:ext uri="{FF2B5EF4-FFF2-40B4-BE49-F238E27FC236}">
              <a16:creationId xmlns:a16="http://schemas.microsoft.com/office/drawing/2014/main" id="{9F967B5B-3859-498C-BF41-E47EDA843B1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50" name="Picture 3349">
          <a:extLst>
            <a:ext uri="{FF2B5EF4-FFF2-40B4-BE49-F238E27FC236}">
              <a16:creationId xmlns:a16="http://schemas.microsoft.com/office/drawing/2014/main" id="{1A8DD334-A42A-4196-9E68-E81A901A7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351" name="AutoShape 485">
          <a:extLst>
            <a:ext uri="{FF2B5EF4-FFF2-40B4-BE49-F238E27FC236}">
              <a16:creationId xmlns:a16="http://schemas.microsoft.com/office/drawing/2014/main" id="{E605F143-DC88-4D1B-B750-5401A8CCCFB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52" name="Picture 3351">
          <a:extLst>
            <a:ext uri="{FF2B5EF4-FFF2-40B4-BE49-F238E27FC236}">
              <a16:creationId xmlns:a16="http://schemas.microsoft.com/office/drawing/2014/main" id="{EB5CDF16-F89F-4387-BC9D-3AE19FDE9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53" name="Picture 3352">
          <a:extLst>
            <a:ext uri="{FF2B5EF4-FFF2-40B4-BE49-F238E27FC236}">
              <a16:creationId xmlns:a16="http://schemas.microsoft.com/office/drawing/2014/main" id="{51404952-FBA0-4411-9F22-A36AC0DE0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3440"/>
    <xdr:sp macro="" textlink="">
      <xdr:nvSpPr>
        <xdr:cNvPr id="3354" name="AutoShape 491">
          <a:extLst>
            <a:ext uri="{FF2B5EF4-FFF2-40B4-BE49-F238E27FC236}">
              <a16:creationId xmlns:a16="http://schemas.microsoft.com/office/drawing/2014/main" id="{FB314035-55E3-4F58-A6B7-C16AD571BAE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55" name="Picture 3354">
          <a:extLst>
            <a:ext uri="{FF2B5EF4-FFF2-40B4-BE49-F238E27FC236}">
              <a16:creationId xmlns:a16="http://schemas.microsoft.com/office/drawing/2014/main" id="{F3D73BD3-D9AD-4CF3-908E-839652F2D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56" name="Picture 3355">
          <a:extLst>
            <a:ext uri="{FF2B5EF4-FFF2-40B4-BE49-F238E27FC236}">
              <a16:creationId xmlns:a16="http://schemas.microsoft.com/office/drawing/2014/main" id="{00A72CFE-46B1-4F63-8505-0FCF58C27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57" name="Picture 3356">
          <a:extLst>
            <a:ext uri="{FF2B5EF4-FFF2-40B4-BE49-F238E27FC236}">
              <a16:creationId xmlns:a16="http://schemas.microsoft.com/office/drawing/2014/main" id="{FA44D804-9946-45B0-899F-C4726B954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58" name="Picture 3357">
          <a:extLst>
            <a:ext uri="{FF2B5EF4-FFF2-40B4-BE49-F238E27FC236}">
              <a16:creationId xmlns:a16="http://schemas.microsoft.com/office/drawing/2014/main" id="{41A62BF9-3C95-43E2-9E8B-646978BD9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59" name="Picture 3358">
          <a:extLst>
            <a:ext uri="{FF2B5EF4-FFF2-40B4-BE49-F238E27FC236}">
              <a16:creationId xmlns:a16="http://schemas.microsoft.com/office/drawing/2014/main" id="{3A11E959-7589-4EF1-AFD7-94BD3D63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360" name="AutoShape 511">
          <a:extLst>
            <a:ext uri="{FF2B5EF4-FFF2-40B4-BE49-F238E27FC236}">
              <a16:creationId xmlns:a16="http://schemas.microsoft.com/office/drawing/2014/main" id="{C710F11B-42CF-49A8-95FF-293CD70D434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61" name="Picture 3360">
          <a:extLst>
            <a:ext uri="{FF2B5EF4-FFF2-40B4-BE49-F238E27FC236}">
              <a16:creationId xmlns:a16="http://schemas.microsoft.com/office/drawing/2014/main" id="{06D3ADC9-33E0-4DDF-A3D3-AAE6DD2F4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3439"/>
    <xdr:sp macro="" textlink="">
      <xdr:nvSpPr>
        <xdr:cNvPr id="3362" name="AutoShape 513">
          <a:extLst>
            <a:ext uri="{FF2B5EF4-FFF2-40B4-BE49-F238E27FC236}">
              <a16:creationId xmlns:a16="http://schemas.microsoft.com/office/drawing/2014/main" id="{78BEEF5F-2B83-40E9-90DC-681BFE9E15B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63" name="Picture 3362">
          <a:extLst>
            <a:ext uri="{FF2B5EF4-FFF2-40B4-BE49-F238E27FC236}">
              <a16:creationId xmlns:a16="http://schemas.microsoft.com/office/drawing/2014/main" id="{24934262-9958-4A92-989E-2669C767B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364" name="AutoShape 515">
          <a:extLst>
            <a:ext uri="{FF2B5EF4-FFF2-40B4-BE49-F238E27FC236}">
              <a16:creationId xmlns:a16="http://schemas.microsoft.com/office/drawing/2014/main" id="{7DF9822C-6971-4F7D-B3F5-C3BA6A19A2A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65" name="Picture 3364">
          <a:extLst>
            <a:ext uri="{FF2B5EF4-FFF2-40B4-BE49-F238E27FC236}">
              <a16:creationId xmlns:a16="http://schemas.microsoft.com/office/drawing/2014/main" id="{06711511-EEB0-4B40-8318-D3AC95883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366" name="AutoShape 517">
          <a:extLst>
            <a:ext uri="{FF2B5EF4-FFF2-40B4-BE49-F238E27FC236}">
              <a16:creationId xmlns:a16="http://schemas.microsoft.com/office/drawing/2014/main" id="{6709CD6E-7E62-4DDC-87AD-D64DD7BCC2F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67" name="Picture 3366">
          <a:extLst>
            <a:ext uri="{FF2B5EF4-FFF2-40B4-BE49-F238E27FC236}">
              <a16:creationId xmlns:a16="http://schemas.microsoft.com/office/drawing/2014/main" id="{A97694F9-2912-40D9-BBFB-EB935AB0F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368" name="AutoShape 519">
          <a:extLst>
            <a:ext uri="{FF2B5EF4-FFF2-40B4-BE49-F238E27FC236}">
              <a16:creationId xmlns:a16="http://schemas.microsoft.com/office/drawing/2014/main" id="{609E6D16-2D1C-4C4B-A027-D94D82AB9A9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69" name="Picture 3368">
          <a:extLst>
            <a:ext uri="{FF2B5EF4-FFF2-40B4-BE49-F238E27FC236}">
              <a16:creationId xmlns:a16="http://schemas.microsoft.com/office/drawing/2014/main" id="{EF5702E1-0DC4-475A-A213-78F74FF33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70" name="Picture 3369">
          <a:extLst>
            <a:ext uri="{FF2B5EF4-FFF2-40B4-BE49-F238E27FC236}">
              <a16:creationId xmlns:a16="http://schemas.microsoft.com/office/drawing/2014/main" id="{A0DA305C-D4A0-4D31-B753-1EE5E6FF6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3440"/>
    <xdr:sp macro="" textlink="">
      <xdr:nvSpPr>
        <xdr:cNvPr id="3371" name="AutoShape 525">
          <a:extLst>
            <a:ext uri="{FF2B5EF4-FFF2-40B4-BE49-F238E27FC236}">
              <a16:creationId xmlns:a16="http://schemas.microsoft.com/office/drawing/2014/main" id="{033A075F-779E-4BDD-90D6-0C67464F954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72" name="Picture 3371">
          <a:extLst>
            <a:ext uri="{FF2B5EF4-FFF2-40B4-BE49-F238E27FC236}">
              <a16:creationId xmlns:a16="http://schemas.microsoft.com/office/drawing/2014/main" id="{97E729FE-F6CB-4B6E-A668-C20882459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73" name="Picture 3372">
          <a:extLst>
            <a:ext uri="{FF2B5EF4-FFF2-40B4-BE49-F238E27FC236}">
              <a16:creationId xmlns:a16="http://schemas.microsoft.com/office/drawing/2014/main" id="{8C595327-0DBE-4488-8B47-240CEAD2B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3439"/>
    <xdr:sp macro="" textlink="">
      <xdr:nvSpPr>
        <xdr:cNvPr id="3374" name="AutoShape 531">
          <a:extLst>
            <a:ext uri="{FF2B5EF4-FFF2-40B4-BE49-F238E27FC236}">
              <a16:creationId xmlns:a16="http://schemas.microsoft.com/office/drawing/2014/main" id="{8AB68454-1EB7-48D1-A2C2-F565D2D60AF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75" name="Picture 3374">
          <a:extLst>
            <a:ext uri="{FF2B5EF4-FFF2-40B4-BE49-F238E27FC236}">
              <a16:creationId xmlns:a16="http://schemas.microsoft.com/office/drawing/2014/main" id="{B0DE2018-62B3-448C-AAA8-F0EBBE8FE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76" name="Picture 3375">
          <a:extLst>
            <a:ext uri="{FF2B5EF4-FFF2-40B4-BE49-F238E27FC236}">
              <a16:creationId xmlns:a16="http://schemas.microsoft.com/office/drawing/2014/main" id="{1CB15459-EBF6-4D13-A7C3-07584D110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77" name="Picture 3376">
          <a:extLst>
            <a:ext uri="{FF2B5EF4-FFF2-40B4-BE49-F238E27FC236}">
              <a16:creationId xmlns:a16="http://schemas.microsoft.com/office/drawing/2014/main" id="{1D223985-4359-4F13-8D01-3654F6976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78" name="Picture 3377">
          <a:extLst>
            <a:ext uri="{FF2B5EF4-FFF2-40B4-BE49-F238E27FC236}">
              <a16:creationId xmlns:a16="http://schemas.microsoft.com/office/drawing/2014/main" id="{E0E2F45B-6260-497B-BDEC-06393AC78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79" name="Picture 3378">
          <a:extLst>
            <a:ext uri="{FF2B5EF4-FFF2-40B4-BE49-F238E27FC236}">
              <a16:creationId xmlns:a16="http://schemas.microsoft.com/office/drawing/2014/main" id="{34322625-4BCA-426F-85FD-1C385079B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80" name="Picture 3379">
          <a:extLst>
            <a:ext uri="{FF2B5EF4-FFF2-40B4-BE49-F238E27FC236}">
              <a16:creationId xmlns:a16="http://schemas.microsoft.com/office/drawing/2014/main" id="{F3AAE265-11EA-4A00-8A42-325A1C183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381" name="AutoShape 38">
          <a:extLst>
            <a:ext uri="{FF2B5EF4-FFF2-40B4-BE49-F238E27FC236}">
              <a16:creationId xmlns:a16="http://schemas.microsoft.com/office/drawing/2014/main" id="{C26D36B3-C23A-4B78-A08E-6AFC6B60A21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82" name="Picture 3381">
          <a:extLst>
            <a:ext uri="{FF2B5EF4-FFF2-40B4-BE49-F238E27FC236}">
              <a16:creationId xmlns:a16="http://schemas.microsoft.com/office/drawing/2014/main" id="{0BA04900-3E09-44E1-B915-976BF45F2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383" name="AutoShape 40">
          <a:extLst>
            <a:ext uri="{FF2B5EF4-FFF2-40B4-BE49-F238E27FC236}">
              <a16:creationId xmlns:a16="http://schemas.microsoft.com/office/drawing/2014/main" id="{9447F122-8951-4BC3-9CCA-B01D0013866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84" name="Picture 3383">
          <a:extLst>
            <a:ext uri="{FF2B5EF4-FFF2-40B4-BE49-F238E27FC236}">
              <a16:creationId xmlns:a16="http://schemas.microsoft.com/office/drawing/2014/main" id="{9256A065-9837-4D16-A479-29ADD3D78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85" name="Picture 3384">
          <a:extLst>
            <a:ext uri="{FF2B5EF4-FFF2-40B4-BE49-F238E27FC236}">
              <a16:creationId xmlns:a16="http://schemas.microsoft.com/office/drawing/2014/main" id="{016FFB03-888E-46B3-BA79-DB564E73D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86" name="Picture 3385">
          <a:extLst>
            <a:ext uri="{FF2B5EF4-FFF2-40B4-BE49-F238E27FC236}">
              <a16:creationId xmlns:a16="http://schemas.microsoft.com/office/drawing/2014/main" id="{ADEBAA4C-ED10-46A8-AC7F-D45E9EF33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87" name="Picture 3386">
          <a:extLst>
            <a:ext uri="{FF2B5EF4-FFF2-40B4-BE49-F238E27FC236}">
              <a16:creationId xmlns:a16="http://schemas.microsoft.com/office/drawing/2014/main" id="{BCF45BD0-4D08-4695-9CF3-C2832B3BF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88" name="Picture 3387">
          <a:extLst>
            <a:ext uri="{FF2B5EF4-FFF2-40B4-BE49-F238E27FC236}">
              <a16:creationId xmlns:a16="http://schemas.microsoft.com/office/drawing/2014/main" id="{2418F883-9829-44D0-A69C-8DEB93025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89" name="Picture 3388">
          <a:extLst>
            <a:ext uri="{FF2B5EF4-FFF2-40B4-BE49-F238E27FC236}">
              <a16:creationId xmlns:a16="http://schemas.microsoft.com/office/drawing/2014/main" id="{C0564EA9-ADBC-4C1E-82BB-576CAF492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90" name="Picture 3389">
          <a:extLst>
            <a:ext uri="{FF2B5EF4-FFF2-40B4-BE49-F238E27FC236}">
              <a16:creationId xmlns:a16="http://schemas.microsoft.com/office/drawing/2014/main" id="{D7C32ED9-6FF7-4E81-BB6C-75DCFAE93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391" name="AutoShape 61">
          <a:extLst>
            <a:ext uri="{FF2B5EF4-FFF2-40B4-BE49-F238E27FC236}">
              <a16:creationId xmlns:a16="http://schemas.microsoft.com/office/drawing/2014/main" id="{EF820B5A-BD9B-48E0-A7DD-D725EF363AB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92" name="Picture 3391">
          <a:extLst>
            <a:ext uri="{FF2B5EF4-FFF2-40B4-BE49-F238E27FC236}">
              <a16:creationId xmlns:a16="http://schemas.microsoft.com/office/drawing/2014/main" id="{F8B02803-5B08-4EBD-9C33-F58B014D0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393" name="AutoShape 63">
          <a:extLst>
            <a:ext uri="{FF2B5EF4-FFF2-40B4-BE49-F238E27FC236}">
              <a16:creationId xmlns:a16="http://schemas.microsoft.com/office/drawing/2014/main" id="{1CB84208-748F-4440-9CE9-46C34208A88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94" name="Picture 3393">
          <a:extLst>
            <a:ext uri="{FF2B5EF4-FFF2-40B4-BE49-F238E27FC236}">
              <a16:creationId xmlns:a16="http://schemas.microsoft.com/office/drawing/2014/main" id="{69AF603D-5A2F-4D68-A32F-8B1117122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3440"/>
    <xdr:sp macro="" textlink="">
      <xdr:nvSpPr>
        <xdr:cNvPr id="3395" name="AutoShape 69">
          <a:extLst>
            <a:ext uri="{FF2B5EF4-FFF2-40B4-BE49-F238E27FC236}">
              <a16:creationId xmlns:a16="http://schemas.microsoft.com/office/drawing/2014/main" id="{0E6AA01D-595A-4AFA-8596-012B0770BD0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96" name="Picture 3395">
          <a:extLst>
            <a:ext uri="{FF2B5EF4-FFF2-40B4-BE49-F238E27FC236}">
              <a16:creationId xmlns:a16="http://schemas.microsoft.com/office/drawing/2014/main" id="{003C11E2-E3A9-469E-879D-E180BBD3F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97" name="Picture 3396">
          <a:extLst>
            <a:ext uri="{FF2B5EF4-FFF2-40B4-BE49-F238E27FC236}">
              <a16:creationId xmlns:a16="http://schemas.microsoft.com/office/drawing/2014/main" id="{F0902887-04DC-47B0-B682-4DDBC4546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98" name="Picture 3397">
          <a:extLst>
            <a:ext uri="{FF2B5EF4-FFF2-40B4-BE49-F238E27FC236}">
              <a16:creationId xmlns:a16="http://schemas.microsoft.com/office/drawing/2014/main" id="{BCEC8A40-4DF8-4AD2-B477-EA66BAB66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399" name="Picture 3398">
          <a:extLst>
            <a:ext uri="{FF2B5EF4-FFF2-40B4-BE49-F238E27FC236}">
              <a16:creationId xmlns:a16="http://schemas.microsoft.com/office/drawing/2014/main" id="{1FF605B8-D650-43E0-8990-113054609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400" name="Picture 3399">
          <a:extLst>
            <a:ext uri="{FF2B5EF4-FFF2-40B4-BE49-F238E27FC236}">
              <a16:creationId xmlns:a16="http://schemas.microsoft.com/office/drawing/2014/main" id="{BD10A885-0E2D-47F4-A481-209521902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401" name="Picture 3400">
          <a:extLst>
            <a:ext uri="{FF2B5EF4-FFF2-40B4-BE49-F238E27FC236}">
              <a16:creationId xmlns:a16="http://schemas.microsoft.com/office/drawing/2014/main" id="{490957FD-B4F6-47E5-A6F2-043240959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402" name="Picture 3401">
          <a:extLst>
            <a:ext uri="{FF2B5EF4-FFF2-40B4-BE49-F238E27FC236}">
              <a16:creationId xmlns:a16="http://schemas.microsoft.com/office/drawing/2014/main" id="{E84F0FEF-527C-4F91-995F-95D1924D5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403" name="AutoShape 111">
          <a:extLst>
            <a:ext uri="{FF2B5EF4-FFF2-40B4-BE49-F238E27FC236}">
              <a16:creationId xmlns:a16="http://schemas.microsoft.com/office/drawing/2014/main" id="{3FA5B200-84F8-487F-B2A8-277AE3DAC38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404" name="Picture 3403">
          <a:extLst>
            <a:ext uri="{FF2B5EF4-FFF2-40B4-BE49-F238E27FC236}">
              <a16:creationId xmlns:a16="http://schemas.microsoft.com/office/drawing/2014/main" id="{80761685-6923-4012-B467-AED499502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405" name="AutoShape 113">
          <a:extLst>
            <a:ext uri="{FF2B5EF4-FFF2-40B4-BE49-F238E27FC236}">
              <a16:creationId xmlns:a16="http://schemas.microsoft.com/office/drawing/2014/main" id="{78EBA879-CA02-44EA-A6CC-90AD060F347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406" name="Picture 3405">
          <a:extLst>
            <a:ext uri="{FF2B5EF4-FFF2-40B4-BE49-F238E27FC236}">
              <a16:creationId xmlns:a16="http://schemas.microsoft.com/office/drawing/2014/main" id="{F1521D0B-0435-4B83-A4AA-3FD016D99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407" name="Picture 3406">
          <a:extLst>
            <a:ext uri="{FF2B5EF4-FFF2-40B4-BE49-F238E27FC236}">
              <a16:creationId xmlns:a16="http://schemas.microsoft.com/office/drawing/2014/main" id="{3A161ED4-2161-4179-B05F-1D6CA4F3E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3440"/>
    <xdr:sp macro="" textlink="">
      <xdr:nvSpPr>
        <xdr:cNvPr id="3408" name="AutoShape 119">
          <a:extLst>
            <a:ext uri="{FF2B5EF4-FFF2-40B4-BE49-F238E27FC236}">
              <a16:creationId xmlns:a16="http://schemas.microsoft.com/office/drawing/2014/main" id="{8A122BE5-AC7B-4B80-BACC-289E508EBF6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409" name="Picture 3408">
          <a:extLst>
            <a:ext uri="{FF2B5EF4-FFF2-40B4-BE49-F238E27FC236}">
              <a16:creationId xmlns:a16="http://schemas.microsoft.com/office/drawing/2014/main" id="{1CA687E5-083E-4EC4-8E63-A321CB310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410" name="Picture 3409">
          <a:extLst>
            <a:ext uri="{FF2B5EF4-FFF2-40B4-BE49-F238E27FC236}">
              <a16:creationId xmlns:a16="http://schemas.microsoft.com/office/drawing/2014/main" id="{F40FA69A-A344-4881-8785-95AE3D254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411" name="Picture 3410">
          <a:extLst>
            <a:ext uri="{FF2B5EF4-FFF2-40B4-BE49-F238E27FC236}">
              <a16:creationId xmlns:a16="http://schemas.microsoft.com/office/drawing/2014/main" id="{1F47E173-80F9-4CCA-BC5E-F71A7848F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412" name="Picture 3411">
          <a:extLst>
            <a:ext uri="{FF2B5EF4-FFF2-40B4-BE49-F238E27FC236}">
              <a16:creationId xmlns:a16="http://schemas.microsoft.com/office/drawing/2014/main" id="{51632D3A-2117-495D-AFF7-33B208F8E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413" name="Picture 3412">
          <a:extLst>
            <a:ext uri="{FF2B5EF4-FFF2-40B4-BE49-F238E27FC236}">
              <a16:creationId xmlns:a16="http://schemas.microsoft.com/office/drawing/2014/main" id="{C75580C2-FA54-45D3-AC1E-2F146BF5E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414" name="Picture 3413">
          <a:extLst>
            <a:ext uri="{FF2B5EF4-FFF2-40B4-BE49-F238E27FC236}">
              <a16:creationId xmlns:a16="http://schemas.microsoft.com/office/drawing/2014/main" id="{97BF5277-1D60-4EF0-9FF9-277B7B255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415" name="Picture 3414">
          <a:extLst>
            <a:ext uri="{FF2B5EF4-FFF2-40B4-BE49-F238E27FC236}">
              <a16:creationId xmlns:a16="http://schemas.microsoft.com/office/drawing/2014/main" id="{C07A8353-22DB-4A17-B632-81B03A125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416" name="AutoShape 136">
          <a:extLst>
            <a:ext uri="{FF2B5EF4-FFF2-40B4-BE49-F238E27FC236}">
              <a16:creationId xmlns:a16="http://schemas.microsoft.com/office/drawing/2014/main" id="{569F5E94-EA5E-433C-A177-A9E098E6898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417" name="Picture 3416">
          <a:extLst>
            <a:ext uri="{FF2B5EF4-FFF2-40B4-BE49-F238E27FC236}">
              <a16:creationId xmlns:a16="http://schemas.microsoft.com/office/drawing/2014/main" id="{8614A0FF-962C-4D1D-91C2-CF05EDC74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4800"/>
    <xdr:sp macro="" textlink="">
      <xdr:nvSpPr>
        <xdr:cNvPr id="3418" name="AutoShape 138">
          <a:extLst>
            <a:ext uri="{FF2B5EF4-FFF2-40B4-BE49-F238E27FC236}">
              <a16:creationId xmlns:a16="http://schemas.microsoft.com/office/drawing/2014/main" id="{606DF267-87FC-4D35-B62A-AA87E615F4F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419" name="Picture 3418">
          <a:extLst>
            <a:ext uri="{FF2B5EF4-FFF2-40B4-BE49-F238E27FC236}">
              <a16:creationId xmlns:a16="http://schemas.microsoft.com/office/drawing/2014/main" id="{209C2523-AE42-4A8D-8084-7312E3450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420" name="Picture 3419">
          <a:extLst>
            <a:ext uri="{FF2B5EF4-FFF2-40B4-BE49-F238E27FC236}">
              <a16:creationId xmlns:a16="http://schemas.microsoft.com/office/drawing/2014/main" id="{DF08267F-4F78-4D63-A711-11C07067A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29</xdr:row>
      <xdr:rowOff>0</xdr:rowOff>
    </xdr:from>
    <xdr:ext cx="304800" cy="303440"/>
    <xdr:sp macro="" textlink="">
      <xdr:nvSpPr>
        <xdr:cNvPr id="3421" name="AutoShape 144">
          <a:extLst>
            <a:ext uri="{FF2B5EF4-FFF2-40B4-BE49-F238E27FC236}">
              <a16:creationId xmlns:a16="http://schemas.microsoft.com/office/drawing/2014/main" id="{A4424E57-2AFA-4348-B148-0112970B4E2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9525" cy="9525"/>
    <xdr:pic>
      <xdr:nvPicPr>
        <xdr:cNvPr id="3422" name="Picture 3421">
          <a:extLst>
            <a:ext uri="{FF2B5EF4-FFF2-40B4-BE49-F238E27FC236}">
              <a16:creationId xmlns:a16="http://schemas.microsoft.com/office/drawing/2014/main" id="{A534748D-6A47-4894-B0C2-1BB60152A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23" name="Picture 3422">
          <a:extLst>
            <a:ext uri="{FF2B5EF4-FFF2-40B4-BE49-F238E27FC236}">
              <a16:creationId xmlns:a16="http://schemas.microsoft.com/office/drawing/2014/main" id="{28A72FC1-DE01-444A-B2F8-A57A75E3F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24" name="Picture 3423">
          <a:extLst>
            <a:ext uri="{FF2B5EF4-FFF2-40B4-BE49-F238E27FC236}">
              <a16:creationId xmlns:a16="http://schemas.microsoft.com/office/drawing/2014/main" id="{EB25973D-F113-4F19-BF22-4674AEC4F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25" name="Picture 3424">
          <a:extLst>
            <a:ext uri="{FF2B5EF4-FFF2-40B4-BE49-F238E27FC236}">
              <a16:creationId xmlns:a16="http://schemas.microsoft.com/office/drawing/2014/main" id="{A7F2D53E-B5C7-4F6D-8350-834C380AA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426" name="AutoShape 159">
          <a:extLst>
            <a:ext uri="{FF2B5EF4-FFF2-40B4-BE49-F238E27FC236}">
              <a16:creationId xmlns:a16="http://schemas.microsoft.com/office/drawing/2014/main" id="{84E05E36-A529-41F3-A543-B5097F22FFB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27" name="Picture 3426">
          <a:extLst>
            <a:ext uri="{FF2B5EF4-FFF2-40B4-BE49-F238E27FC236}">
              <a16:creationId xmlns:a16="http://schemas.microsoft.com/office/drawing/2014/main" id="{C6BD3ACA-0A99-4D46-B1DB-F398E69ED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28" name="Picture 3427">
          <a:extLst>
            <a:ext uri="{FF2B5EF4-FFF2-40B4-BE49-F238E27FC236}">
              <a16:creationId xmlns:a16="http://schemas.microsoft.com/office/drawing/2014/main" id="{BA520572-3712-475C-A312-05B2D1DA6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29" name="Picture 3428">
          <a:extLst>
            <a:ext uri="{FF2B5EF4-FFF2-40B4-BE49-F238E27FC236}">
              <a16:creationId xmlns:a16="http://schemas.microsoft.com/office/drawing/2014/main" id="{7C74C4A7-DAD5-4605-863D-B00802C84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30" name="Picture 3429">
          <a:extLst>
            <a:ext uri="{FF2B5EF4-FFF2-40B4-BE49-F238E27FC236}">
              <a16:creationId xmlns:a16="http://schemas.microsoft.com/office/drawing/2014/main" id="{0A741990-4943-44A5-9867-4758C8281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31" name="Picture 3430">
          <a:extLst>
            <a:ext uri="{FF2B5EF4-FFF2-40B4-BE49-F238E27FC236}">
              <a16:creationId xmlns:a16="http://schemas.microsoft.com/office/drawing/2014/main" id="{EAE2639B-3CBB-472A-8D5F-A65DAAF26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32" name="Picture 3431">
          <a:extLst>
            <a:ext uri="{FF2B5EF4-FFF2-40B4-BE49-F238E27FC236}">
              <a16:creationId xmlns:a16="http://schemas.microsoft.com/office/drawing/2014/main" id="{4ABA6367-4B67-4473-8C80-1442352E5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3433" name="AutoShape 169">
          <a:extLst>
            <a:ext uri="{FF2B5EF4-FFF2-40B4-BE49-F238E27FC236}">
              <a16:creationId xmlns:a16="http://schemas.microsoft.com/office/drawing/2014/main" id="{CEA7E024-D5EB-44DB-BFF2-47C0DD74422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34" name="Picture 3433">
          <a:extLst>
            <a:ext uri="{FF2B5EF4-FFF2-40B4-BE49-F238E27FC236}">
              <a16:creationId xmlns:a16="http://schemas.microsoft.com/office/drawing/2014/main" id="{8A46EE35-D76E-4A16-B149-86CA5E485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35" name="Picture 3434">
          <a:extLst>
            <a:ext uri="{FF2B5EF4-FFF2-40B4-BE49-F238E27FC236}">
              <a16:creationId xmlns:a16="http://schemas.microsoft.com/office/drawing/2014/main" id="{DECD441D-6906-4EF5-8556-C75B4B528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36" name="Picture 3435">
          <a:extLst>
            <a:ext uri="{FF2B5EF4-FFF2-40B4-BE49-F238E27FC236}">
              <a16:creationId xmlns:a16="http://schemas.microsoft.com/office/drawing/2014/main" id="{1A18D797-3F8E-4DD4-A491-A445F05FE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37" name="Picture 3436">
          <a:extLst>
            <a:ext uri="{FF2B5EF4-FFF2-40B4-BE49-F238E27FC236}">
              <a16:creationId xmlns:a16="http://schemas.microsoft.com/office/drawing/2014/main" id="{F7ED0EFE-BF96-4624-B7DC-251A3A4B2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38" name="Picture 3437">
          <a:extLst>
            <a:ext uri="{FF2B5EF4-FFF2-40B4-BE49-F238E27FC236}">
              <a16:creationId xmlns:a16="http://schemas.microsoft.com/office/drawing/2014/main" id="{2E36E3EE-8A30-4215-92F4-66E9E3037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39" name="Picture 3438">
          <a:extLst>
            <a:ext uri="{FF2B5EF4-FFF2-40B4-BE49-F238E27FC236}">
              <a16:creationId xmlns:a16="http://schemas.microsoft.com/office/drawing/2014/main" id="{F7B40FB3-8A09-488E-AAF7-91315D19F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40" name="Picture 3439">
          <a:extLst>
            <a:ext uri="{FF2B5EF4-FFF2-40B4-BE49-F238E27FC236}">
              <a16:creationId xmlns:a16="http://schemas.microsoft.com/office/drawing/2014/main" id="{DDF1BEDF-9899-43E4-937A-3A20B1241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41" name="Picture 3440">
          <a:extLst>
            <a:ext uri="{FF2B5EF4-FFF2-40B4-BE49-F238E27FC236}">
              <a16:creationId xmlns:a16="http://schemas.microsoft.com/office/drawing/2014/main" id="{FAE51181-6A85-4A4A-A087-D09ADAE2C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42" name="Picture 3441">
          <a:extLst>
            <a:ext uri="{FF2B5EF4-FFF2-40B4-BE49-F238E27FC236}">
              <a16:creationId xmlns:a16="http://schemas.microsoft.com/office/drawing/2014/main" id="{C8F7690A-EB7B-4D72-99F3-EF46D5A37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443" name="AutoShape 191">
          <a:extLst>
            <a:ext uri="{FF2B5EF4-FFF2-40B4-BE49-F238E27FC236}">
              <a16:creationId xmlns:a16="http://schemas.microsoft.com/office/drawing/2014/main" id="{D48B318F-3807-49FE-8B9C-22752CEADF6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44" name="Picture 3443">
          <a:extLst>
            <a:ext uri="{FF2B5EF4-FFF2-40B4-BE49-F238E27FC236}">
              <a16:creationId xmlns:a16="http://schemas.microsoft.com/office/drawing/2014/main" id="{1B7102F6-A478-4193-B656-E6EFE361B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445" name="AutoShape 193">
          <a:extLst>
            <a:ext uri="{FF2B5EF4-FFF2-40B4-BE49-F238E27FC236}">
              <a16:creationId xmlns:a16="http://schemas.microsoft.com/office/drawing/2014/main" id="{DA9831F5-4369-4A0C-953E-08EF55DCA40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46" name="Picture 3445">
          <a:extLst>
            <a:ext uri="{FF2B5EF4-FFF2-40B4-BE49-F238E27FC236}">
              <a16:creationId xmlns:a16="http://schemas.microsoft.com/office/drawing/2014/main" id="{6CF17CBE-8344-458C-A0EF-BCC84689D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47" name="Picture 3446">
          <a:extLst>
            <a:ext uri="{FF2B5EF4-FFF2-40B4-BE49-F238E27FC236}">
              <a16:creationId xmlns:a16="http://schemas.microsoft.com/office/drawing/2014/main" id="{C86D9B2C-6C9D-4394-961E-228F0ABCB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3448" name="AutoShape 199">
          <a:extLst>
            <a:ext uri="{FF2B5EF4-FFF2-40B4-BE49-F238E27FC236}">
              <a16:creationId xmlns:a16="http://schemas.microsoft.com/office/drawing/2014/main" id="{B6638070-1993-400D-A271-D1F8B881C6F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49" name="Picture 3448">
          <a:extLst>
            <a:ext uri="{FF2B5EF4-FFF2-40B4-BE49-F238E27FC236}">
              <a16:creationId xmlns:a16="http://schemas.microsoft.com/office/drawing/2014/main" id="{83C78EE1-E84A-46B3-8081-163B74B06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50" name="Picture 3449">
          <a:extLst>
            <a:ext uri="{FF2B5EF4-FFF2-40B4-BE49-F238E27FC236}">
              <a16:creationId xmlns:a16="http://schemas.microsoft.com/office/drawing/2014/main" id="{051621D2-BC81-4F34-916B-C9CCD4AFB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51" name="Picture 3450">
          <a:extLst>
            <a:ext uri="{FF2B5EF4-FFF2-40B4-BE49-F238E27FC236}">
              <a16:creationId xmlns:a16="http://schemas.microsoft.com/office/drawing/2014/main" id="{C025E873-3087-4AC4-B1FC-CA59A5B2F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52" name="Picture 3451">
          <a:extLst>
            <a:ext uri="{FF2B5EF4-FFF2-40B4-BE49-F238E27FC236}">
              <a16:creationId xmlns:a16="http://schemas.microsoft.com/office/drawing/2014/main" id="{526B779D-E3AD-4E2B-B127-3906A7F6F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53" name="Picture 3452">
          <a:extLst>
            <a:ext uri="{FF2B5EF4-FFF2-40B4-BE49-F238E27FC236}">
              <a16:creationId xmlns:a16="http://schemas.microsoft.com/office/drawing/2014/main" id="{07B2FA2C-8FD5-4D9D-B73B-B8F269FE6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54" name="Picture 3453">
          <a:extLst>
            <a:ext uri="{FF2B5EF4-FFF2-40B4-BE49-F238E27FC236}">
              <a16:creationId xmlns:a16="http://schemas.microsoft.com/office/drawing/2014/main" id="{3DE5AC4F-2D55-4F4C-AAFA-888B7FCEF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55" name="Picture 3454">
          <a:extLst>
            <a:ext uri="{FF2B5EF4-FFF2-40B4-BE49-F238E27FC236}">
              <a16:creationId xmlns:a16="http://schemas.microsoft.com/office/drawing/2014/main" id="{4FD6ED9E-D731-40CC-BADA-D6E9858F5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456" name="AutoShape 217">
          <a:extLst>
            <a:ext uri="{FF2B5EF4-FFF2-40B4-BE49-F238E27FC236}">
              <a16:creationId xmlns:a16="http://schemas.microsoft.com/office/drawing/2014/main" id="{2748A280-2BF0-449F-9F26-C369B46F375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57" name="Picture 3456">
          <a:extLst>
            <a:ext uri="{FF2B5EF4-FFF2-40B4-BE49-F238E27FC236}">
              <a16:creationId xmlns:a16="http://schemas.microsoft.com/office/drawing/2014/main" id="{E54248E6-1DAF-449C-9816-D08F8280C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458" name="AutoShape 219">
          <a:extLst>
            <a:ext uri="{FF2B5EF4-FFF2-40B4-BE49-F238E27FC236}">
              <a16:creationId xmlns:a16="http://schemas.microsoft.com/office/drawing/2014/main" id="{B91E27D7-069E-49B8-932F-17EC2F80992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59" name="Picture 3458">
          <a:extLst>
            <a:ext uri="{FF2B5EF4-FFF2-40B4-BE49-F238E27FC236}">
              <a16:creationId xmlns:a16="http://schemas.microsoft.com/office/drawing/2014/main" id="{8F010A50-9C8F-444E-BA79-C86DD9088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60" name="Picture 3459">
          <a:extLst>
            <a:ext uri="{FF2B5EF4-FFF2-40B4-BE49-F238E27FC236}">
              <a16:creationId xmlns:a16="http://schemas.microsoft.com/office/drawing/2014/main" id="{8C2D1D9A-A45E-4620-A5F9-E3B5DEAB7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61" name="Picture 3460">
          <a:extLst>
            <a:ext uri="{FF2B5EF4-FFF2-40B4-BE49-F238E27FC236}">
              <a16:creationId xmlns:a16="http://schemas.microsoft.com/office/drawing/2014/main" id="{1C6FC845-EAB3-4D2B-A1B0-3C6AF8326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62" name="Picture 3461">
          <a:extLst>
            <a:ext uri="{FF2B5EF4-FFF2-40B4-BE49-F238E27FC236}">
              <a16:creationId xmlns:a16="http://schemas.microsoft.com/office/drawing/2014/main" id="{79545ED1-8A26-4B05-A4FD-1ED74F525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63" name="Picture 3462">
          <a:extLst>
            <a:ext uri="{FF2B5EF4-FFF2-40B4-BE49-F238E27FC236}">
              <a16:creationId xmlns:a16="http://schemas.microsoft.com/office/drawing/2014/main" id="{0131C588-D2C0-4D8A-8490-1DC2E33B0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64" name="Picture 3463">
          <a:extLst>
            <a:ext uri="{FF2B5EF4-FFF2-40B4-BE49-F238E27FC236}">
              <a16:creationId xmlns:a16="http://schemas.microsoft.com/office/drawing/2014/main" id="{FC9E099E-B438-4988-90F5-83C71279A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65" name="Picture 3464">
          <a:extLst>
            <a:ext uri="{FF2B5EF4-FFF2-40B4-BE49-F238E27FC236}">
              <a16:creationId xmlns:a16="http://schemas.microsoft.com/office/drawing/2014/main" id="{00A8A11D-54C1-4864-A1AD-6366D057C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66" name="Picture 3465">
          <a:extLst>
            <a:ext uri="{FF2B5EF4-FFF2-40B4-BE49-F238E27FC236}">
              <a16:creationId xmlns:a16="http://schemas.microsoft.com/office/drawing/2014/main" id="{78BE410D-1889-4EA0-AE71-DB52E05F6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467" name="AutoShape 241">
          <a:extLst>
            <a:ext uri="{FF2B5EF4-FFF2-40B4-BE49-F238E27FC236}">
              <a16:creationId xmlns:a16="http://schemas.microsoft.com/office/drawing/2014/main" id="{D935F82C-45A6-4D61-82DE-F06F291E4FD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68" name="Picture 3467">
          <a:extLst>
            <a:ext uri="{FF2B5EF4-FFF2-40B4-BE49-F238E27FC236}">
              <a16:creationId xmlns:a16="http://schemas.microsoft.com/office/drawing/2014/main" id="{99657315-5CCC-43F3-8289-8351BF917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469" name="AutoShape 243">
          <a:extLst>
            <a:ext uri="{FF2B5EF4-FFF2-40B4-BE49-F238E27FC236}">
              <a16:creationId xmlns:a16="http://schemas.microsoft.com/office/drawing/2014/main" id="{A37653C1-3CA2-49B9-913C-B18694C80B2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70" name="Picture 3469">
          <a:extLst>
            <a:ext uri="{FF2B5EF4-FFF2-40B4-BE49-F238E27FC236}">
              <a16:creationId xmlns:a16="http://schemas.microsoft.com/office/drawing/2014/main" id="{738F2C6D-819C-453F-A8CD-E9CE2310A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71" name="Picture 3470">
          <a:extLst>
            <a:ext uri="{FF2B5EF4-FFF2-40B4-BE49-F238E27FC236}">
              <a16:creationId xmlns:a16="http://schemas.microsoft.com/office/drawing/2014/main" id="{0AFCA9BD-B454-4D01-A7D2-57D7D11E8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3472" name="AutoShape 249">
          <a:extLst>
            <a:ext uri="{FF2B5EF4-FFF2-40B4-BE49-F238E27FC236}">
              <a16:creationId xmlns:a16="http://schemas.microsoft.com/office/drawing/2014/main" id="{A7416F0C-7606-4582-9C32-18A23F0F0BC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73" name="Picture 3472">
          <a:extLst>
            <a:ext uri="{FF2B5EF4-FFF2-40B4-BE49-F238E27FC236}">
              <a16:creationId xmlns:a16="http://schemas.microsoft.com/office/drawing/2014/main" id="{1CAD8E70-BEB1-4B2B-92EF-B0B4A19FD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74" name="Picture 3473">
          <a:extLst>
            <a:ext uri="{FF2B5EF4-FFF2-40B4-BE49-F238E27FC236}">
              <a16:creationId xmlns:a16="http://schemas.microsoft.com/office/drawing/2014/main" id="{000FDD86-7839-43E6-981B-35386ACCA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75" name="Picture 3474">
          <a:extLst>
            <a:ext uri="{FF2B5EF4-FFF2-40B4-BE49-F238E27FC236}">
              <a16:creationId xmlns:a16="http://schemas.microsoft.com/office/drawing/2014/main" id="{5BEE8624-62B2-44F8-BF73-BE400936C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76" name="Picture 3475">
          <a:extLst>
            <a:ext uri="{FF2B5EF4-FFF2-40B4-BE49-F238E27FC236}">
              <a16:creationId xmlns:a16="http://schemas.microsoft.com/office/drawing/2014/main" id="{C5850957-AC4F-4598-8FC1-C26D6462C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77" name="Picture 3476">
          <a:extLst>
            <a:ext uri="{FF2B5EF4-FFF2-40B4-BE49-F238E27FC236}">
              <a16:creationId xmlns:a16="http://schemas.microsoft.com/office/drawing/2014/main" id="{2621AB76-8D7C-4B00-AF55-28EBF6864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78" name="Picture 3477">
          <a:extLst>
            <a:ext uri="{FF2B5EF4-FFF2-40B4-BE49-F238E27FC236}">
              <a16:creationId xmlns:a16="http://schemas.microsoft.com/office/drawing/2014/main" id="{14EF0C81-E663-4513-9717-24A06989B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79" name="Picture 3478">
          <a:extLst>
            <a:ext uri="{FF2B5EF4-FFF2-40B4-BE49-F238E27FC236}">
              <a16:creationId xmlns:a16="http://schemas.microsoft.com/office/drawing/2014/main" id="{D476C3A0-DDC7-43C5-AEF1-F4E36A879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480" name="AutoShape 267">
          <a:extLst>
            <a:ext uri="{FF2B5EF4-FFF2-40B4-BE49-F238E27FC236}">
              <a16:creationId xmlns:a16="http://schemas.microsoft.com/office/drawing/2014/main" id="{ED72E9DB-EAF2-4DC3-82DC-08B49281B78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81" name="Picture 3480">
          <a:extLst>
            <a:ext uri="{FF2B5EF4-FFF2-40B4-BE49-F238E27FC236}">
              <a16:creationId xmlns:a16="http://schemas.microsoft.com/office/drawing/2014/main" id="{BB0AB732-4713-40F3-9FF1-736D56A62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482" name="AutoShape 269">
          <a:extLst>
            <a:ext uri="{FF2B5EF4-FFF2-40B4-BE49-F238E27FC236}">
              <a16:creationId xmlns:a16="http://schemas.microsoft.com/office/drawing/2014/main" id="{535DFE82-D1CA-4111-A1D5-725F6291124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83" name="Picture 3482">
          <a:extLst>
            <a:ext uri="{FF2B5EF4-FFF2-40B4-BE49-F238E27FC236}">
              <a16:creationId xmlns:a16="http://schemas.microsoft.com/office/drawing/2014/main" id="{6403F3B9-8C74-47EF-B5F8-A16E733D2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84" name="Picture 3483">
          <a:extLst>
            <a:ext uri="{FF2B5EF4-FFF2-40B4-BE49-F238E27FC236}">
              <a16:creationId xmlns:a16="http://schemas.microsoft.com/office/drawing/2014/main" id="{DE32882F-9C26-4316-B490-88886FE58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3485" name="AutoShape 275">
          <a:extLst>
            <a:ext uri="{FF2B5EF4-FFF2-40B4-BE49-F238E27FC236}">
              <a16:creationId xmlns:a16="http://schemas.microsoft.com/office/drawing/2014/main" id="{447AE982-1484-45B2-8F29-1276FA4CD54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86" name="Picture 3485">
          <a:extLst>
            <a:ext uri="{FF2B5EF4-FFF2-40B4-BE49-F238E27FC236}">
              <a16:creationId xmlns:a16="http://schemas.microsoft.com/office/drawing/2014/main" id="{0DA58A7B-D383-4787-9DCC-C52D3153D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87" name="Picture 3486">
          <a:extLst>
            <a:ext uri="{FF2B5EF4-FFF2-40B4-BE49-F238E27FC236}">
              <a16:creationId xmlns:a16="http://schemas.microsoft.com/office/drawing/2014/main" id="{49F4720F-AB95-47DC-8B15-593FDF39F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88" name="Picture 3487">
          <a:extLst>
            <a:ext uri="{FF2B5EF4-FFF2-40B4-BE49-F238E27FC236}">
              <a16:creationId xmlns:a16="http://schemas.microsoft.com/office/drawing/2014/main" id="{7EA8FEF5-033E-4361-B79B-4A42CDAF4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89" name="Picture 3488">
          <a:extLst>
            <a:ext uri="{FF2B5EF4-FFF2-40B4-BE49-F238E27FC236}">
              <a16:creationId xmlns:a16="http://schemas.microsoft.com/office/drawing/2014/main" id="{178BD85F-A982-492E-9F43-53D7D49C4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90" name="Picture 3489">
          <a:extLst>
            <a:ext uri="{FF2B5EF4-FFF2-40B4-BE49-F238E27FC236}">
              <a16:creationId xmlns:a16="http://schemas.microsoft.com/office/drawing/2014/main" id="{BC542795-FDBA-4C43-A995-74629BA16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91" name="Picture 3490">
          <a:extLst>
            <a:ext uri="{FF2B5EF4-FFF2-40B4-BE49-F238E27FC236}">
              <a16:creationId xmlns:a16="http://schemas.microsoft.com/office/drawing/2014/main" id="{7A5C471E-B1AA-49BC-9BE7-A8C5A8B1D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92" name="Picture 3491">
          <a:extLst>
            <a:ext uri="{FF2B5EF4-FFF2-40B4-BE49-F238E27FC236}">
              <a16:creationId xmlns:a16="http://schemas.microsoft.com/office/drawing/2014/main" id="{F9687B32-E591-46CD-BE80-9E7C826EB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493" name="AutoShape 319">
          <a:extLst>
            <a:ext uri="{FF2B5EF4-FFF2-40B4-BE49-F238E27FC236}">
              <a16:creationId xmlns:a16="http://schemas.microsoft.com/office/drawing/2014/main" id="{FA34B4A8-CF4A-43D9-A51C-1209B4992BC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94" name="Picture 3493">
          <a:extLst>
            <a:ext uri="{FF2B5EF4-FFF2-40B4-BE49-F238E27FC236}">
              <a16:creationId xmlns:a16="http://schemas.microsoft.com/office/drawing/2014/main" id="{00D56958-7FFC-471D-9C6E-881FEB4E3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495" name="AutoShape 321">
          <a:extLst>
            <a:ext uri="{FF2B5EF4-FFF2-40B4-BE49-F238E27FC236}">
              <a16:creationId xmlns:a16="http://schemas.microsoft.com/office/drawing/2014/main" id="{85BD4A46-77B2-429A-94D1-DFAAA603A7D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96" name="Picture 3495">
          <a:extLst>
            <a:ext uri="{FF2B5EF4-FFF2-40B4-BE49-F238E27FC236}">
              <a16:creationId xmlns:a16="http://schemas.microsoft.com/office/drawing/2014/main" id="{8D261EB1-5FA0-43B1-8A4D-4F6C87E88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97" name="Picture 3496">
          <a:extLst>
            <a:ext uri="{FF2B5EF4-FFF2-40B4-BE49-F238E27FC236}">
              <a16:creationId xmlns:a16="http://schemas.microsoft.com/office/drawing/2014/main" id="{7F830CCA-DEBA-4E21-A5A8-FFEA961FA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3498" name="AutoShape 327">
          <a:extLst>
            <a:ext uri="{FF2B5EF4-FFF2-40B4-BE49-F238E27FC236}">
              <a16:creationId xmlns:a16="http://schemas.microsoft.com/office/drawing/2014/main" id="{D3370DC4-7EF9-4CA2-B549-1FAC3B456FE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499" name="Picture 3498">
          <a:extLst>
            <a:ext uri="{FF2B5EF4-FFF2-40B4-BE49-F238E27FC236}">
              <a16:creationId xmlns:a16="http://schemas.microsoft.com/office/drawing/2014/main" id="{88458155-0A4A-4645-A097-74E7EA57C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00" name="Picture 3499">
          <a:extLst>
            <a:ext uri="{FF2B5EF4-FFF2-40B4-BE49-F238E27FC236}">
              <a16:creationId xmlns:a16="http://schemas.microsoft.com/office/drawing/2014/main" id="{3F6EED7F-5A33-4C26-AC34-2C86EB4DC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01" name="Picture 3500">
          <a:extLst>
            <a:ext uri="{FF2B5EF4-FFF2-40B4-BE49-F238E27FC236}">
              <a16:creationId xmlns:a16="http://schemas.microsoft.com/office/drawing/2014/main" id="{F867C850-2765-4F27-8548-87DD4469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02" name="Picture 3501">
          <a:extLst>
            <a:ext uri="{FF2B5EF4-FFF2-40B4-BE49-F238E27FC236}">
              <a16:creationId xmlns:a16="http://schemas.microsoft.com/office/drawing/2014/main" id="{DD50565E-3A08-4C28-A53D-3256220F3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03" name="Picture 3502">
          <a:extLst>
            <a:ext uri="{FF2B5EF4-FFF2-40B4-BE49-F238E27FC236}">
              <a16:creationId xmlns:a16="http://schemas.microsoft.com/office/drawing/2014/main" id="{902ADF12-9A0A-488A-9C2D-6857B4D73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04" name="Picture 3503">
          <a:extLst>
            <a:ext uri="{FF2B5EF4-FFF2-40B4-BE49-F238E27FC236}">
              <a16:creationId xmlns:a16="http://schemas.microsoft.com/office/drawing/2014/main" id="{3A04B95C-5852-49C7-96D4-B860C29D6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05" name="Picture 3504">
          <a:extLst>
            <a:ext uri="{FF2B5EF4-FFF2-40B4-BE49-F238E27FC236}">
              <a16:creationId xmlns:a16="http://schemas.microsoft.com/office/drawing/2014/main" id="{6931F403-8254-4BB7-8ECD-1E7F1D56A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506" name="AutoShape 371">
          <a:extLst>
            <a:ext uri="{FF2B5EF4-FFF2-40B4-BE49-F238E27FC236}">
              <a16:creationId xmlns:a16="http://schemas.microsoft.com/office/drawing/2014/main" id="{66AEF58F-FEDA-4DFC-B3E1-A8E7C4AC778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07" name="Picture 3506">
          <a:extLst>
            <a:ext uri="{FF2B5EF4-FFF2-40B4-BE49-F238E27FC236}">
              <a16:creationId xmlns:a16="http://schemas.microsoft.com/office/drawing/2014/main" id="{8E49216D-6F58-438D-8631-D5400647B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508" name="AutoShape 373">
          <a:extLst>
            <a:ext uri="{FF2B5EF4-FFF2-40B4-BE49-F238E27FC236}">
              <a16:creationId xmlns:a16="http://schemas.microsoft.com/office/drawing/2014/main" id="{3C42588F-7950-4CB3-8D7E-B1E8B6DCE62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09" name="Picture 3508">
          <a:extLst>
            <a:ext uri="{FF2B5EF4-FFF2-40B4-BE49-F238E27FC236}">
              <a16:creationId xmlns:a16="http://schemas.microsoft.com/office/drawing/2014/main" id="{2947FC3D-91D1-410C-B480-CFFC2D316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10" name="Picture 3509">
          <a:extLst>
            <a:ext uri="{FF2B5EF4-FFF2-40B4-BE49-F238E27FC236}">
              <a16:creationId xmlns:a16="http://schemas.microsoft.com/office/drawing/2014/main" id="{86268E0B-2DC6-48F3-A2C8-5742A8C99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3511" name="AutoShape 379">
          <a:extLst>
            <a:ext uri="{FF2B5EF4-FFF2-40B4-BE49-F238E27FC236}">
              <a16:creationId xmlns:a16="http://schemas.microsoft.com/office/drawing/2014/main" id="{C91AD45D-D053-4E50-A353-D7A7DAE5A64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12" name="Picture 3511">
          <a:extLst>
            <a:ext uri="{FF2B5EF4-FFF2-40B4-BE49-F238E27FC236}">
              <a16:creationId xmlns:a16="http://schemas.microsoft.com/office/drawing/2014/main" id="{F271D182-F967-437D-AD3B-1BB622716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13" name="Picture 3512">
          <a:extLst>
            <a:ext uri="{FF2B5EF4-FFF2-40B4-BE49-F238E27FC236}">
              <a16:creationId xmlns:a16="http://schemas.microsoft.com/office/drawing/2014/main" id="{EEF3F110-CC54-4832-9B95-E95147333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14" name="Picture 3513">
          <a:extLst>
            <a:ext uri="{FF2B5EF4-FFF2-40B4-BE49-F238E27FC236}">
              <a16:creationId xmlns:a16="http://schemas.microsoft.com/office/drawing/2014/main" id="{98D78613-CEB9-437A-94E8-DFDB5D37D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15" name="Picture 3514">
          <a:extLst>
            <a:ext uri="{FF2B5EF4-FFF2-40B4-BE49-F238E27FC236}">
              <a16:creationId xmlns:a16="http://schemas.microsoft.com/office/drawing/2014/main" id="{CD39FDF8-1A22-4BCC-9B8C-EBF99EDAA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16" name="Picture 3515">
          <a:extLst>
            <a:ext uri="{FF2B5EF4-FFF2-40B4-BE49-F238E27FC236}">
              <a16:creationId xmlns:a16="http://schemas.microsoft.com/office/drawing/2014/main" id="{8AB9161B-BCF7-4D35-9E4F-C7BAE87F4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17" name="Picture 3516">
          <a:extLst>
            <a:ext uri="{FF2B5EF4-FFF2-40B4-BE49-F238E27FC236}">
              <a16:creationId xmlns:a16="http://schemas.microsoft.com/office/drawing/2014/main" id="{BFEC699D-9529-4E65-8243-6335FB046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18" name="Picture 3517">
          <a:extLst>
            <a:ext uri="{FF2B5EF4-FFF2-40B4-BE49-F238E27FC236}">
              <a16:creationId xmlns:a16="http://schemas.microsoft.com/office/drawing/2014/main" id="{95B1568B-EC75-4103-A419-E7D5DD0D0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19" name="Picture 3518">
          <a:extLst>
            <a:ext uri="{FF2B5EF4-FFF2-40B4-BE49-F238E27FC236}">
              <a16:creationId xmlns:a16="http://schemas.microsoft.com/office/drawing/2014/main" id="{ACE4EFF3-7304-4569-B91F-33EB0C32C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520" name="AutoShape 427">
          <a:extLst>
            <a:ext uri="{FF2B5EF4-FFF2-40B4-BE49-F238E27FC236}">
              <a16:creationId xmlns:a16="http://schemas.microsoft.com/office/drawing/2014/main" id="{EC6580F8-C00E-4488-9C30-3A7EA78B146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21" name="Picture 3520">
          <a:extLst>
            <a:ext uri="{FF2B5EF4-FFF2-40B4-BE49-F238E27FC236}">
              <a16:creationId xmlns:a16="http://schemas.microsoft.com/office/drawing/2014/main" id="{3F240F57-3EC0-4CE8-87A5-D400ED2F0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522" name="AutoShape 429">
          <a:extLst>
            <a:ext uri="{FF2B5EF4-FFF2-40B4-BE49-F238E27FC236}">
              <a16:creationId xmlns:a16="http://schemas.microsoft.com/office/drawing/2014/main" id="{75F25B97-FA40-4833-93FE-2B6755EF502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23" name="Picture 3522">
          <a:extLst>
            <a:ext uri="{FF2B5EF4-FFF2-40B4-BE49-F238E27FC236}">
              <a16:creationId xmlns:a16="http://schemas.microsoft.com/office/drawing/2014/main" id="{93BF2DEA-3305-4F53-A96E-45AEB957D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24" name="Picture 3523">
          <a:extLst>
            <a:ext uri="{FF2B5EF4-FFF2-40B4-BE49-F238E27FC236}">
              <a16:creationId xmlns:a16="http://schemas.microsoft.com/office/drawing/2014/main" id="{28A1F9CA-B324-4B1D-89C0-7DBC2F6D4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3525" name="AutoShape 435">
          <a:extLst>
            <a:ext uri="{FF2B5EF4-FFF2-40B4-BE49-F238E27FC236}">
              <a16:creationId xmlns:a16="http://schemas.microsoft.com/office/drawing/2014/main" id="{59CFD563-5C51-4B8E-A9A6-169A6EF5D71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26" name="Picture 3525">
          <a:extLst>
            <a:ext uri="{FF2B5EF4-FFF2-40B4-BE49-F238E27FC236}">
              <a16:creationId xmlns:a16="http://schemas.microsoft.com/office/drawing/2014/main" id="{CDE71F0B-4EE4-4B4F-8A73-E6DFFBDEB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27" name="Picture 3526">
          <a:extLst>
            <a:ext uri="{FF2B5EF4-FFF2-40B4-BE49-F238E27FC236}">
              <a16:creationId xmlns:a16="http://schemas.microsoft.com/office/drawing/2014/main" id="{03C788BF-45F2-4AB1-BEC3-6E2BA1549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28" name="Picture 3527">
          <a:extLst>
            <a:ext uri="{FF2B5EF4-FFF2-40B4-BE49-F238E27FC236}">
              <a16:creationId xmlns:a16="http://schemas.microsoft.com/office/drawing/2014/main" id="{3D5A39BA-08EC-4AEE-8706-6E4BED605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29" name="Picture 3528">
          <a:extLst>
            <a:ext uri="{FF2B5EF4-FFF2-40B4-BE49-F238E27FC236}">
              <a16:creationId xmlns:a16="http://schemas.microsoft.com/office/drawing/2014/main" id="{4B9B6CD4-8A73-4839-989A-6D2EF2655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30" name="Picture 3529">
          <a:extLst>
            <a:ext uri="{FF2B5EF4-FFF2-40B4-BE49-F238E27FC236}">
              <a16:creationId xmlns:a16="http://schemas.microsoft.com/office/drawing/2014/main" id="{A8684AA3-AE9E-4E64-B6EC-B59ECA373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31" name="Picture 3530">
          <a:extLst>
            <a:ext uri="{FF2B5EF4-FFF2-40B4-BE49-F238E27FC236}">
              <a16:creationId xmlns:a16="http://schemas.microsoft.com/office/drawing/2014/main" id="{190158D8-8E17-404D-9872-9303441C8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32" name="Picture 3531">
          <a:extLst>
            <a:ext uri="{FF2B5EF4-FFF2-40B4-BE49-F238E27FC236}">
              <a16:creationId xmlns:a16="http://schemas.microsoft.com/office/drawing/2014/main" id="{41E95D7F-9B6B-4D7D-8A8E-FF2AED223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33" name="Picture 3532">
          <a:extLst>
            <a:ext uri="{FF2B5EF4-FFF2-40B4-BE49-F238E27FC236}">
              <a16:creationId xmlns:a16="http://schemas.microsoft.com/office/drawing/2014/main" id="{1EF20B3D-E34F-4D4B-B282-CA46DD5D8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534" name="AutoShape 483">
          <a:extLst>
            <a:ext uri="{FF2B5EF4-FFF2-40B4-BE49-F238E27FC236}">
              <a16:creationId xmlns:a16="http://schemas.microsoft.com/office/drawing/2014/main" id="{7639DCCD-302C-446D-B268-0EC3BA68924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35" name="Picture 3534">
          <a:extLst>
            <a:ext uri="{FF2B5EF4-FFF2-40B4-BE49-F238E27FC236}">
              <a16:creationId xmlns:a16="http://schemas.microsoft.com/office/drawing/2014/main" id="{EE040315-87B9-47C0-A980-F1A38C52E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536" name="AutoShape 485">
          <a:extLst>
            <a:ext uri="{FF2B5EF4-FFF2-40B4-BE49-F238E27FC236}">
              <a16:creationId xmlns:a16="http://schemas.microsoft.com/office/drawing/2014/main" id="{1AD80554-0027-4AB5-9059-60779D028AE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37" name="Picture 3536">
          <a:extLst>
            <a:ext uri="{FF2B5EF4-FFF2-40B4-BE49-F238E27FC236}">
              <a16:creationId xmlns:a16="http://schemas.microsoft.com/office/drawing/2014/main" id="{3E7CC5C9-9973-4157-A68D-101E83943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38" name="Picture 3537">
          <a:extLst>
            <a:ext uri="{FF2B5EF4-FFF2-40B4-BE49-F238E27FC236}">
              <a16:creationId xmlns:a16="http://schemas.microsoft.com/office/drawing/2014/main" id="{2075E694-92F2-4DC5-B9D2-DB1AA31D6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3539" name="AutoShape 491">
          <a:extLst>
            <a:ext uri="{FF2B5EF4-FFF2-40B4-BE49-F238E27FC236}">
              <a16:creationId xmlns:a16="http://schemas.microsoft.com/office/drawing/2014/main" id="{18CEC4FF-BD70-4D59-B0F9-F1CE0B7846B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40" name="Picture 3539">
          <a:extLst>
            <a:ext uri="{FF2B5EF4-FFF2-40B4-BE49-F238E27FC236}">
              <a16:creationId xmlns:a16="http://schemas.microsoft.com/office/drawing/2014/main" id="{21FA7F02-FD6B-4AEB-937A-E9CD178D2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41" name="Picture 3540">
          <a:extLst>
            <a:ext uri="{FF2B5EF4-FFF2-40B4-BE49-F238E27FC236}">
              <a16:creationId xmlns:a16="http://schemas.microsoft.com/office/drawing/2014/main" id="{BBE30EE8-D570-4CBE-9494-21DDC4015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42" name="Picture 3541">
          <a:extLst>
            <a:ext uri="{FF2B5EF4-FFF2-40B4-BE49-F238E27FC236}">
              <a16:creationId xmlns:a16="http://schemas.microsoft.com/office/drawing/2014/main" id="{E0DD44AF-089A-43ED-BA90-3C84179E7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43" name="Picture 3542">
          <a:extLst>
            <a:ext uri="{FF2B5EF4-FFF2-40B4-BE49-F238E27FC236}">
              <a16:creationId xmlns:a16="http://schemas.microsoft.com/office/drawing/2014/main" id="{86A3C906-E50C-4058-BDB2-129682AB8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44" name="Picture 3543">
          <a:extLst>
            <a:ext uri="{FF2B5EF4-FFF2-40B4-BE49-F238E27FC236}">
              <a16:creationId xmlns:a16="http://schemas.microsoft.com/office/drawing/2014/main" id="{7D2215B9-BE84-47E2-B485-F44D86852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545" name="AutoShape 511">
          <a:extLst>
            <a:ext uri="{FF2B5EF4-FFF2-40B4-BE49-F238E27FC236}">
              <a16:creationId xmlns:a16="http://schemas.microsoft.com/office/drawing/2014/main" id="{14989A06-3333-470B-B4AE-C0461EE9B3F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46" name="Picture 3545">
          <a:extLst>
            <a:ext uri="{FF2B5EF4-FFF2-40B4-BE49-F238E27FC236}">
              <a16:creationId xmlns:a16="http://schemas.microsoft.com/office/drawing/2014/main" id="{994AE95A-4B8B-4B55-80A7-18EC452A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39"/>
    <xdr:sp macro="" textlink="">
      <xdr:nvSpPr>
        <xdr:cNvPr id="3547" name="AutoShape 513">
          <a:extLst>
            <a:ext uri="{FF2B5EF4-FFF2-40B4-BE49-F238E27FC236}">
              <a16:creationId xmlns:a16="http://schemas.microsoft.com/office/drawing/2014/main" id="{9E610E33-2C51-40ED-85DF-3F6A37CC6A1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48" name="Picture 3547">
          <a:extLst>
            <a:ext uri="{FF2B5EF4-FFF2-40B4-BE49-F238E27FC236}">
              <a16:creationId xmlns:a16="http://schemas.microsoft.com/office/drawing/2014/main" id="{DC2BC12D-9BB0-44B9-B13D-13A4F5733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549" name="AutoShape 515">
          <a:extLst>
            <a:ext uri="{FF2B5EF4-FFF2-40B4-BE49-F238E27FC236}">
              <a16:creationId xmlns:a16="http://schemas.microsoft.com/office/drawing/2014/main" id="{0B43121D-F038-4E28-9524-68E36353925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50" name="Picture 3549">
          <a:extLst>
            <a:ext uri="{FF2B5EF4-FFF2-40B4-BE49-F238E27FC236}">
              <a16:creationId xmlns:a16="http://schemas.microsoft.com/office/drawing/2014/main" id="{3C70E3BE-9CA1-4667-BB45-E5E78BC3E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551" name="AutoShape 517">
          <a:extLst>
            <a:ext uri="{FF2B5EF4-FFF2-40B4-BE49-F238E27FC236}">
              <a16:creationId xmlns:a16="http://schemas.microsoft.com/office/drawing/2014/main" id="{2CD32867-611F-4DDD-9338-0D19CFAD1AD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52" name="Picture 3551">
          <a:extLst>
            <a:ext uri="{FF2B5EF4-FFF2-40B4-BE49-F238E27FC236}">
              <a16:creationId xmlns:a16="http://schemas.microsoft.com/office/drawing/2014/main" id="{FD77DEA3-C458-4067-ACE8-B96E948D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553" name="AutoShape 519">
          <a:extLst>
            <a:ext uri="{FF2B5EF4-FFF2-40B4-BE49-F238E27FC236}">
              <a16:creationId xmlns:a16="http://schemas.microsoft.com/office/drawing/2014/main" id="{B730D358-6F14-4CE8-95C0-97C28A50D82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54" name="Picture 3553">
          <a:extLst>
            <a:ext uri="{FF2B5EF4-FFF2-40B4-BE49-F238E27FC236}">
              <a16:creationId xmlns:a16="http://schemas.microsoft.com/office/drawing/2014/main" id="{52C0AF73-946C-44A8-921B-CB654F768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55" name="Picture 3554">
          <a:extLst>
            <a:ext uri="{FF2B5EF4-FFF2-40B4-BE49-F238E27FC236}">
              <a16:creationId xmlns:a16="http://schemas.microsoft.com/office/drawing/2014/main" id="{44DEE60D-57D6-41C0-AFF1-7E0DFBD68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3556" name="AutoShape 525">
          <a:extLst>
            <a:ext uri="{FF2B5EF4-FFF2-40B4-BE49-F238E27FC236}">
              <a16:creationId xmlns:a16="http://schemas.microsoft.com/office/drawing/2014/main" id="{70BF9A4E-704F-4354-A441-601FEDEB29B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57" name="Picture 3556">
          <a:extLst>
            <a:ext uri="{FF2B5EF4-FFF2-40B4-BE49-F238E27FC236}">
              <a16:creationId xmlns:a16="http://schemas.microsoft.com/office/drawing/2014/main" id="{E71B01A1-8533-45B2-937F-E0573D391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58" name="Picture 3557">
          <a:extLst>
            <a:ext uri="{FF2B5EF4-FFF2-40B4-BE49-F238E27FC236}">
              <a16:creationId xmlns:a16="http://schemas.microsoft.com/office/drawing/2014/main" id="{8E130287-7859-4426-8B56-8AEAB2E06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39"/>
    <xdr:sp macro="" textlink="">
      <xdr:nvSpPr>
        <xdr:cNvPr id="3559" name="AutoShape 531">
          <a:extLst>
            <a:ext uri="{FF2B5EF4-FFF2-40B4-BE49-F238E27FC236}">
              <a16:creationId xmlns:a16="http://schemas.microsoft.com/office/drawing/2014/main" id="{B1898481-B443-4344-AF81-14D5F9B2A49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60" name="Picture 3559">
          <a:extLst>
            <a:ext uri="{FF2B5EF4-FFF2-40B4-BE49-F238E27FC236}">
              <a16:creationId xmlns:a16="http://schemas.microsoft.com/office/drawing/2014/main" id="{47347622-B963-4103-A852-2ABD829CA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61" name="Picture 3560">
          <a:extLst>
            <a:ext uri="{FF2B5EF4-FFF2-40B4-BE49-F238E27FC236}">
              <a16:creationId xmlns:a16="http://schemas.microsoft.com/office/drawing/2014/main" id="{133AF7E6-43A5-42B2-8A67-B13911E7D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62" name="Picture 3561">
          <a:extLst>
            <a:ext uri="{FF2B5EF4-FFF2-40B4-BE49-F238E27FC236}">
              <a16:creationId xmlns:a16="http://schemas.microsoft.com/office/drawing/2014/main" id="{8F8B7804-1467-466A-80DA-53AD3C952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63" name="Picture 3562">
          <a:extLst>
            <a:ext uri="{FF2B5EF4-FFF2-40B4-BE49-F238E27FC236}">
              <a16:creationId xmlns:a16="http://schemas.microsoft.com/office/drawing/2014/main" id="{41A45AA3-3B33-48C9-9673-762211F55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64" name="Picture 3563">
          <a:extLst>
            <a:ext uri="{FF2B5EF4-FFF2-40B4-BE49-F238E27FC236}">
              <a16:creationId xmlns:a16="http://schemas.microsoft.com/office/drawing/2014/main" id="{2D744A49-C27A-4096-84D4-F2C83E452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65" name="Picture 3564">
          <a:extLst>
            <a:ext uri="{FF2B5EF4-FFF2-40B4-BE49-F238E27FC236}">
              <a16:creationId xmlns:a16="http://schemas.microsoft.com/office/drawing/2014/main" id="{DBE04DE2-F340-4371-8A9E-82C2E7439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566" name="AutoShape 38">
          <a:extLst>
            <a:ext uri="{FF2B5EF4-FFF2-40B4-BE49-F238E27FC236}">
              <a16:creationId xmlns:a16="http://schemas.microsoft.com/office/drawing/2014/main" id="{4F837CDA-5387-4CD6-B5A7-6F91F309914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67" name="Picture 3566">
          <a:extLst>
            <a:ext uri="{FF2B5EF4-FFF2-40B4-BE49-F238E27FC236}">
              <a16:creationId xmlns:a16="http://schemas.microsoft.com/office/drawing/2014/main" id="{50CFEAA3-A13F-435C-A33A-7D398ACC0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568" name="AutoShape 40">
          <a:extLst>
            <a:ext uri="{FF2B5EF4-FFF2-40B4-BE49-F238E27FC236}">
              <a16:creationId xmlns:a16="http://schemas.microsoft.com/office/drawing/2014/main" id="{ACB7F629-4263-48B9-BDE7-9D7C8A84C2F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69" name="Picture 3568">
          <a:extLst>
            <a:ext uri="{FF2B5EF4-FFF2-40B4-BE49-F238E27FC236}">
              <a16:creationId xmlns:a16="http://schemas.microsoft.com/office/drawing/2014/main" id="{2B245E12-18DB-4D43-BD53-208741A94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70" name="Picture 3569">
          <a:extLst>
            <a:ext uri="{FF2B5EF4-FFF2-40B4-BE49-F238E27FC236}">
              <a16:creationId xmlns:a16="http://schemas.microsoft.com/office/drawing/2014/main" id="{14A971DE-274A-4ECB-B6BE-D9AB7067E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71" name="Picture 3570">
          <a:extLst>
            <a:ext uri="{FF2B5EF4-FFF2-40B4-BE49-F238E27FC236}">
              <a16:creationId xmlns:a16="http://schemas.microsoft.com/office/drawing/2014/main" id="{A0C1BA28-423A-4ED8-A975-5178C9CF2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72" name="Picture 3571">
          <a:extLst>
            <a:ext uri="{FF2B5EF4-FFF2-40B4-BE49-F238E27FC236}">
              <a16:creationId xmlns:a16="http://schemas.microsoft.com/office/drawing/2014/main" id="{030FDA63-D520-406D-A2F0-426C01658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73" name="Picture 3572">
          <a:extLst>
            <a:ext uri="{FF2B5EF4-FFF2-40B4-BE49-F238E27FC236}">
              <a16:creationId xmlns:a16="http://schemas.microsoft.com/office/drawing/2014/main" id="{681A172E-27DA-4D39-8EDD-36DDC784B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74" name="Picture 3573">
          <a:extLst>
            <a:ext uri="{FF2B5EF4-FFF2-40B4-BE49-F238E27FC236}">
              <a16:creationId xmlns:a16="http://schemas.microsoft.com/office/drawing/2014/main" id="{43B26299-1540-41DA-8B34-B83011E42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75" name="Picture 3574">
          <a:extLst>
            <a:ext uri="{FF2B5EF4-FFF2-40B4-BE49-F238E27FC236}">
              <a16:creationId xmlns:a16="http://schemas.microsoft.com/office/drawing/2014/main" id="{9D0A21D9-831A-4295-BB93-A7558534F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576" name="AutoShape 61">
          <a:extLst>
            <a:ext uri="{FF2B5EF4-FFF2-40B4-BE49-F238E27FC236}">
              <a16:creationId xmlns:a16="http://schemas.microsoft.com/office/drawing/2014/main" id="{EBBCE4DA-3950-409C-A6B3-6526EE99FFD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77" name="Picture 3576">
          <a:extLst>
            <a:ext uri="{FF2B5EF4-FFF2-40B4-BE49-F238E27FC236}">
              <a16:creationId xmlns:a16="http://schemas.microsoft.com/office/drawing/2014/main" id="{B0B9560C-26F5-44C9-883A-1D3553F3F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578" name="AutoShape 63">
          <a:extLst>
            <a:ext uri="{FF2B5EF4-FFF2-40B4-BE49-F238E27FC236}">
              <a16:creationId xmlns:a16="http://schemas.microsoft.com/office/drawing/2014/main" id="{9AB2B4A7-4686-43DF-8593-0D3A157322D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79" name="Picture 3578">
          <a:extLst>
            <a:ext uri="{FF2B5EF4-FFF2-40B4-BE49-F238E27FC236}">
              <a16:creationId xmlns:a16="http://schemas.microsoft.com/office/drawing/2014/main" id="{B25AA02E-E1E1-4BC3-B02F-EE30470CB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3580" name="AutoShape 69">
          <a:extLst>
            <a:ext uri="{FF2B5EF4-FFF2-40B4-BE49-F238E27FC236}">
              <a16:creationId xmlns:a16="http://schemas.microsoft.com/office/drawing/2014/main" id="{A5C8EA34-8203-4B0A-A161-2AC667A802CE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81" name="Picture 3580">
          <a:extLst>
            <a:ext uri="{FF2B5EF4-FFF2-40B4-BE49-F238E27FC236}">
              <a16:creationId xmlns:a16="http://schemas.microsoft.com/office/drawing/2014/main" id="{BA6BB8B5-6793-4245-90FC-8F02E248A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82" name="Picture 3581">
          <a:extLst>
            <a:ext uri="{FF2B5EF4-FFF2-40B4-BE49-F238E27FC236}">
              <a16:creationId xmlns:a16="http://schemas.microsoft.com/office/drawing/2014/main" id="{C74F733E-CC08-489D-9259-510B682FD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83" name="Picture 3582">
          <a:extLst>
            <a:ext uri="{FF2B5EF4-FFF2-40B4-BE49-F238E27FC236}">
              <a16:creationId xmlns:a16="http://schemas.microsoft.com/office/drawing/2014/main" id="{6CB22CB8-2003-491B-AACE-4ACB99A7E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84" name="Picture 3583">
          <a:extLst>
            <a:ext uri="{FF2B5EF4-FFF2-40B4-BE49-F238E27FC236}">
              <a16:creationId xmlns:a16="http://schemas.microsoft.com/office/drawing/2014/main" id="{CF4345C8-E458-417D-A4C8-7F363DF4A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85" name="Picture 3584">
          <a:extLst>
            <a:ext uri="{FF2B5EF4-FFF2-40B4-BE49-F238E27FC236}">
              <a16:creationId xmlns:a16="http://schemas.microsoft.com/office/drawing/2014/main" id="{F18BB0E0-B371-4FFA-B95A-892149D84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86" name="Picture 3585">
          <a:extLst>
            <a:ext uri="{FF2B5EF4-FFF2-40B4-BE49-F238E27FC236}">
              <a16:creationId xmlns:a16="http://schemas.microsoft.com/office/drawing/2014/main" id="{2A143E84-DF09-4642-A67C-01FCDAC08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87" name="Picture 3586">
          <a:extLst>
            <a:ext uri="{FF2B5EF4-FFF2-40B4-BE49-F238E27FC236}">
              <a16:creationId xmlns:a16="http://schemas.microsoft.com/office/drawing/2014/main" id="{39FA1B7C-06C5-4F89-B77D-352863249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588" name="AutoShape 111">
          <a:extLst>
            <a:ext uri="{FF2B5EF4-FFF2-40B4-BE49-F238E27FC236}">
              <a16:creationId xmlns:a16="http://schemas.microsoft.com/office/drawing/2014/main" id="{3EAB7CF6-A615-4F5B-A307-03E26E2CF2A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89" name="Picture 3588">
          <a:extLst>
            <a:ext uri="{FF2B5EF4-FFF2-40B4-BE49-F238E27FC236}">
              <a16:creationId xmlns:a16="http://schemas.microsoft.com/office/drawing/2014/main" id="{0B19C1E6-E296-4C8C-9352-9C751F70C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590" name="AutoShape 113">
          <a:extLst>
            <a:ext uri="{FF2B5EF4-FFF2-40B4-BE49-F238E27FC236}">
              <a16:creationId xmlns:a16="http://schemas.microsoft.com/office/drawing/2014/main" id="{1F44F670-2222-4B0F-AF81-7CDBDA0154C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91" name="Picture 3590">
          <a:extLst>
            <a:ext uri="{FF2B5EF4-FFF2-40B4-BE49-F238E27FC236}">
              <a16:creationId xmlns:a16="http://schemas.microsoft.com/office/drawing/2014/main" id="{5C20414C-C815-480D-BFF9-B2B2C3126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92" name="Picture 3591">
          <a:extLst>
            <a:ext uri="{FF2B5EF4-FFF2-40B4-BE49-F238E27FC236}">
              <a16:creationId xmlns:a16="http://schemas.microsoft.com/office/drawing/2014/main" id="{81851CF1-56E0-403A-9D99-538B69299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3593" name="AutoShape 119">
          <a:extLst>
            <a:ext uri="{FF2B5EF4-FFF2-40B4-BE49-F238E27FC236}">
              <a16:creationId xmlns:a16="http://schemas.microsoft.com/office/drawing/2014/main" id="{13C3007C-E42C-452D-9676-4F9EAFEE569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94" name="Picture 3593">
          <a:extLst>
            <a:ext uri="{FF2B5EF4-FFF2-40B4-BE49-F238E27FC236}">
              <a16:creationId xmlns:a16="http://schemas.microsoft.com/office/drawing/2014/main" id="{F29689C6-50F3-4E4F-8001-EB536939B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95" name="Picture 3594">
          <a:extLst>
            <a:ext uri="{FF2B5EF4-FFF2-40B4-BE49-F238E27FC236}">
              <a16:creationId xmlns:a16="http://schemas.microsoft.com/office/drawing/2014/main" id="{0A1A118C-4ED9-4B5C-8681-107EDCF8B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96" name="Picture 3595">
          <a:extLst>
            <a:ext uri="{FF2B5EF4-FFF2-40B4-BE49-F238E27FC236}">
              <a16:creationId xmlns:a16="http://schemas.microsoft.com/office/drawing/2014/main" id="{F2B1F6E4-33A0-4A91-8848-28220913E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97" name="Picture 3596">
          <a:extLst>
            <a:ext uri="{FF2B5EF4-FFF2-40B4-BE49-F238E27FC236}">
              <a16:creationId xmlns:a16="http://schemas.microsoft.com/office/drawing/2014/main" id="{8355DA0E-303E-4827-8F6A-4FA499C0C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98" name="Picture 3597">
          <a:extLst>
            <a:ext uri="{FF2B5EF4-FFF2-40B4-BE49-F238E27FC236}">
              <a16:creationId xmlns:a16="http://schemas.microsoft.com/office/drawing/2014/main" id="{F2F4EFCF-1DC6-4515-9F86-56118E9CC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599" name="Picture 3598">
          <a:extLst>
            <a:ext uri="{FF2B5EF4-FFF2-40B4-BE49-F238E27FC236}">
              <a16:creationId xmlns:a16="http://schemas.microsoft.com/office/drawing/2014/main" id="{47651C0F-4EF8-4D9A-A5DB-0B0CBD832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600" name="Picture 3599">
          <a:extLst>
            <a:ext uri="{FF2B5EF4-FFF2-40B4-BE49-F238E27FC236}">
              <a16:creationId xmlns:a16="http://schemas.microsoft.com/office/drawing/2014/main" id="{405AD7CD-FCC8-40D3-9BA6-3A9E54AE7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601" name="AutoShape 136">
          <a:extLst>
            <a:ext uri="{FF2B5EF4-FFF2-40B4-BE49-F238E27FC236}">
              <a16:creationId xmlns:a16="http://schemas.microsoft.com/office/drawing/2014/main" id="{5105ADDB-B18F-4A90-8F68-3CDEC7255A5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602" name="Picture 3601">
          <a:extLst>
            <a:ext uri="{FF2B5EF4-FFF2-40B4-BE49-F238E27FC236}">
              <a16:creationId xmlns:a16="http://schemas.microsoft.com/office/drawing/2014/main" id="{73D2D9BB-8A1C-4BD6-9960-0075A1222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4800"/>
    <xdr:sp macro="" textlink="">
      <xdr:nvSpPr>
        <xdr:cNvPr id="3603" name="AutoShape 138">
          <a:extLst>
            <a:ext uri="{FF2B5EF4-FFF2-40B4-BE49-F238E27FC236}">
              <a16:creationId xmlns:a16="http://schemas.microsoft.com/office/drawing/2014/main" id="{8470BC29-CA04-4238-BF3A-8118637969D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604" name="Picture 3603">
          <a:extLst>
            <a:ext uri="{FF2B5EF4-FFF2-40B4-BE49-F238E27FC236}">
              <a16:creationId xmlns:a16="http://schemas.microsoft.com/office/drawing/2014/main" id="{A72F497C-9E4D-4A74-998B-68D81BB06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605" name="Picture 3604">
          <a:extLst>
            <a:ext uri="{FF2B5EF4-FFF2-40B4-BE49-F238E27FC236}">
              <a16:creationId xmlns:a16="http://schemas.microsoft.com/office/drawing/2014/main" id="{F6B27701-1283-4324-A478-69750A0FA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</xdr:row>
      <xdr:rowOff>0</xdr:rowOff>
    </xdr:from>
    <xdr:ext cx="304800" cy="303440"/>
    <xdr:sp macro="" textlink="">
      <xdr:nvSpPr>
        <xdr:cNvPr id="3606" name="AutoShape 144">
          <a:extLst>
            <a:ext uri="{FF2B5EF4-FFF2-40B4-BE49-F238E27FC236}">
              <a16:creationId xmlns:a16="http://schemas.microsoft.com/office/drawing/2014/main" id="{EB5485BE-F9FC-4DEA-9F50-DC594CD0D7C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29</xdr:row>
      <xdr:rowOff>0</xdr:rowOff>
    </xdr:from>
    <xdr:ext cx="9525" cy="9525"/>
    <xdr:pic>
      <xdr:nvPicPr>
        <xdr:cNvPr id="3607" name="Picture 3606">
          <a:extLst>
            <a:ext uri="{FF2B5EF4-FFF2-40B4-BE49-F238E27FC236}">
              <a16:creationId xmlns:a16="http://schemas.microsoft.com/office/drawing/2014/main" id="{E485E4C9-891E-4616-A25E-156CB08F8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08" name="Picture 3607">
          <a:extLst>
            <a:ext uri="{FF2B5EF4-FFF2-40B4-BE49-F238E27FC236}">
              <a16:creationId xmlns:a16="http://schemas.microsoft.com/office/drawing/2014/main" id="{1CC2D90C-83BE-4708-8433-2F2DC0B7C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09" name="Picture 3608">
          <a:extLst>
            <a:ext uri="{FF2B5EF4-FFF2-40B4-BE49-F238E27FC236}">
              <a16:creationId xmlns:a16="http://schemas.microsoft.com/office/drawing/2014/main" id="{2C288709-B602-472D-80E2-A4A74B8DD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10" name="Picture 3609">
          <a:extLst>
            <a:ext uri="{FF2B5EF4-FFF2-40B4-BE49-F238E27FC236}">
              <a16:creationId xmlns:a16="http://schemas.microsoft.com/office/drawing/2014/main" id="{9F7402EE-5462-4C4B-ACE3-864FB8868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611" name="AutoShape 159">
          <a:extLst>
            <a:ext uri="{FF2B5EF4-FFF2-40B4-BE49-F238E27FC236}">
              <a16:creationId xmlns:a16="http://schemas.microsoft.com/office/drawing/2014/main" id="{D98CC897-6E58-43E7-AB20-0F56B9DF6AF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12" name="Picture 3611">
          <a:extLst>
            <a:ext uri="{FF2B5EF4-FFF2-40B4-BE49-F238E27FC236}">
              <a16:creationId xmlns:a16="http://schemas.microsoft.com/office/drawing/2014/main" id="{A2FFC3A5-1F34-4E4F-B1F5-C81625BE5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13" name="Picture 3612">
          <a:extLst>
            <a:ext uri="{FF2B5EF4-FFF2-40B4-BE49-F238E27FC236}">
              <a16:creationId xmlns:a16="http://schemas.microsoft.com/office/drawing/2014/main" id="{06E782F0-655D-4E16-91AE-C35F4A85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14" name="Picture 3613">
          <a:extLst>
            <a:ext uri="{FF2B5EF4-FFF2-40B4-BE49-F238E27FC236}">
              <a16:creationId xmlns:a16="http://schemas.microsoft.com/office/drawing/2014/main" id="{EF1E5500-B242-486D-8C58-33DF6573B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15" name="Picture 3614">
          <a:extLst>
            <a:ext uri="{FF2B5EF4-FFF2-40B4-BE49-F238E27FC236}">
              <a16:creationId xmlns:a16="http://schemas.microsoft.com/office/drawing/2014/main" id="{5983AAC6-BEFB-45AE-B484-5D37D23FA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16" name="Picture 3615">
          <a:extLst>
            <a:ext uri="{FF2B5EF4-FFF2-40B4-BE49-F238E27FC236}">
              <a16:creationId xmlns:a16="http://schemas.microsoft.com/office/drawing/2014/main" id="{F29C0A9E-B05F-4091-A29A-0946DD0DD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17" name="Picture 3616">
          <a:extLst>
            <a:ext uri="{FF2B5EF4-FFF2-40B4-BE49-F238E27FC236}">
              <a16:creationId xmlns:a16="http://schemas.microsoft.com/office/drawing/2014/main" id="{DDE68238-6645-44E7-B7D2-823767E8C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3618" name="AutoShape 169">
          <a:extLst>
            <a:ext uri="{FF2B5EF4-FFF2-40B4-BE49-F238E27FC236}">
              <a16:creationId xmlns:a16="http://schemas.microsoft.com/office/drawing/2014/main" id="{90B75483-EA0B-44A5-B7AF-4AC879EBE00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19" name="Picture 3618">
          <a:extLst>
            <a:ext uri="{FF2B5EF4-FFF2-40B4-BE49-F238E27FC236}">
              <a16:creationId xmlns:a16="http://schemas.microsoft.com/office/drawing/2014/main" id="{14627417-5EDB-470F-B215-0D9FB9148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20" name="Picture 3619">
          <a:extLst>
            <a:ext uri="{FF2B5EF4-FFF2-40B4-BE49-F238E27FC236}">
              <a16:creationId xmlns:a16="http://schemas.microsoft.com/office/drawing/2014/main" id="{C0FF3735-3463-4DD2-9FC0-1FD1775E4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21" name="Picture 3620">
          <a:extLst>
            <a:ext uri="{FF2B5EF4-FFF2-40B4-BE49-F238E27FC236}">
              <a16:creationId xmlns:a16="http://schemas.microsoft.com/office/drawing/2014/main" id="{F57B08E5-05E6-47A5-86A9-5DB6D0AF4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22" name="Picture 3621">
          <a:extLst>
            <a:ext uri="{FF2B5EF4-FFF2-40B4-BE49-F238E27FC236}">
              <a16:creationId xmlns:a16="http://schemas.microsoft.com/office/drawing/2014/main" id="{F1A5374D-0F68-4AFE-9F39-C21AC9723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23" name="Picture 3622">
          <a:extLst>
            <a:ext uri="{FF2B5EF4-FFF2-40B4-BE49-F238E27FC236}">
              <a16:creationId xmlns:a16="http://schemas.microsoft.com/office/drawing/2014/main" id="{C60AA517-54BD-4359-B9AA-BADCBECEB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24" name="Picture 3623">
          <a:extLst>
            <a:ext uri="{FF2B5EF4-FFF2-40B4-BE49-F238E27FC236}">
              <a16:creationId xmlns:a16="http://schemas.microsoft.com/office/drawing/2014/main" id="{4F063BA9-363F-485F-9FC4-17AF87C53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25" name="Picture 3624">
          <a:extLst>
            <a:ext uri="{FF2B5EF4-FFF2-40B4-BE49-F238E27FC236}">
              <a16:creationId xmlns:a16="http://schemas.microsoft.com/office/drawing/2014/main" id="{1D70402A-D179-4270-BFE4-4A832517A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26" name="Picture 3625">
          <a:extLst>
            <a:ext uri="{FF2B5EF4-FFF2-40B4-BE49-F238E27FC236}">
              <a16:creationId xmlns:a16="http://schemas.microsoft.com/office/drawing/2014/main" id="{EC891431-0D07-41B2-A841-7737EABA2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27" name="Picture 3626">
          <a:extLst>
            <a:ext uri="{FF2B5EF4-FFF2-40B4-BE49-F238E27FC236}">
              <a16:creationId xmlns:a16="http://schemas.microsoft.com/office/drawing/2014/main" id="{4892F038-5F8E-44E8-9065-A48E879A0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628" name="AutoShape 191">
          <a:extLst>
            <a:ext uri="{FF2B5EF4-FFF2-40B4-BE49-F238E27FC236}">
              <a16:creationId xmlns:a16="http://schemas.microsoft.com/office/drawing/2014/main" id="{20084D5D-A65B-44AC-A279-E1094F1FA6F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29" name="Picture 3628">
          <a:extLst>
            <a:ext uri="{FF2B5EF4-FFF2-40B4-BE49-F238E27FC236}">
              <a16:creationId xmlns:a16="http://schemas.microsoft.com/office/drawing/2014/main" id="{94CE7EF3-7D4D-46DD-A1DD-321CC0BB6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630" name="AutoShape 193">
          <a:extLst>
            <a:ext uri="{FF2B5EF4-FFF2-40B4-BE49-F238E27FC236}">
              <a16:creationId xmlns:a16="http://schemas.microsoft.com/office/drawing/2014/main" id="{89F0CA95-05C7-48E1-BD9F-936C8BF1B1E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31" name="Picture 3630">
          <a:extLst>
            <a:ext uri="{FF2B5EF4-FFF2-40B4-BE49-F238E27FC236}">
              <a16:creationId xmlns:a16="http://schemas.microsoft.com/office/drawing/2014/main" id="{601A3C0C-316C-423F-9CC6-C14095827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32" name="Picture 3631">
          <a:extLst>
            <a:ext uri="{FF2B5EF4-FFF2-40B4-BE49-F238E27FC236}">
              <a16:creationId xmlns:a16="http://schemas.microsoft.com/office/drawing/2014/main" id="{4F1A8E4D-F30E-4652-825C-6D7D721A2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3633" name="AutoShape 199">
          <a:extLst>
            <a:ext uri="{FF2B5EF4-FFF2-40B4-BE49-F238E27FC236}">
              <a16:creationId xmlns:a16="http://schemas.microsoft.com/office/drawing/2014/main" id="{89262C66-B8F6-48A6-A649-BEC2F384CE5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34" name="Picture 3633">
          <a:extLst>
            <a:ext uri="{FF2B5EF4-FFF2-40B4-BE49-F238E27FC236}">
              <a16:creationId xmlns:a16="http://schemas.microsoft.com/office/drawing/2014/main" id="{36DDC7EA-4276-4250-911D-2697209D9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35" name="Picture 3634">
          <a:extLst>
            <a:ext uri="{FF2B5EF4-FFF2-40B4-BE49-F238E27FC236}">
              <a16:creationId xmlns:a16="http://schemas.microsoft.com/office/drawing/2014/main" id="{42D8C797-18BA-43A7-962C-EFFD6ED66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36" name="Picture 3635">
          <a:extLst>
            <a:ext uri="{FF2B5EF4-FFF2-40B4-BE49-F238E27FC236}">
              <a16:creationId xmlns:a16="http://schemas.microsoft.com/office/drawing/2014/main" id="{4C700575-EA0B-413D-A831-99FE6685F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37" name="Picture 3636">
          <a:extLst>
            <a:ext uri="{FF2B5EF4-FFF2-40B4-BE49-F238E27FC236}">
              <a16:creationId xmlns:a16="http://schemas.microsoft.com/office/drawing/2014/main" id="{61DE7C5A-36C0-4A9B-BF70-18F76D47E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38" name="Picture 3637">
          <a:extLst>
            <a:ext uri="{FF2B5EF4-FFF2-40B4-BE49-F238E27FC236}">
              <a16:creationId xmlns:a16="http://schemas.microsoft.com/office/drawing/2014/main" id="{65E38E20-E9E2-41BE-A41B-87D259A42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39" name="Picture 3638">
          <a:extLst>
            <a:ext uri="{FF2B5EF4-FFF2-40B4-BE49-F238E27FC236}">
              <a16:creationId xmlns:a16="http://schemas.microsoft.com/office/drawing/2014/main" id="{4FDE6DD9-590D-4B9A-925D-302F1681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40" name="Picture 3639">
          <a:extLst>
            <a:ext uri="{FF2B5EF4-FFF2-40B4-BE49-F238E27FC236}">
              <a16:creationId xmlns:a16="http://schemas.microsoft.com/office/drawing/2014/main" id="{17F9D7C9-6353-4333-B008-A2AF7D6C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641" name="AutoShape 217">
          <a:extLst>
            <a:ext uri="{FF2B5EF4-FFF2-40B4-BE49-F238E27FC236}">
              <a16:creationId xmlns:a16="http://schemas.microsoft.com/office/drawing/2014/main" id="{0960BE31-8BAB-4396-9A41-75AA31FEB37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42" name="Picture 3641">
          <a:extLst>
            <a:ext uri="{FF2B5EF4-FFF2-40B4-BE49-F238E27FC236}">
              <a16:creationId xmlns:a16="http://schemas.microsoft.com/office/drawing/2014/main" id="{64D3C75B-0486-4438-801C-65649C75A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643" name="AutoShape 219">
          <a:extLst>
            <a:ext uri="{FF2B5EF4-FFF2-40B4-BE49-F238E27FC236}">
              <a16:creationId xmlns:a16="http://schemas.microsoft.com/office/drawing/2014/main" id="{E7653452-3F41-470C-811F-83899684001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44" name="Picture 3643">
          <a:extLst>
            <a:ext uri="{FF2B5EF4-FFF2-40B4-BE49-F238E27FC236}">
              <a16:creationId xmlns:a16="http://schemas.microsoft.com/office/drawing/2014/main" id="{1880365F-AA04-4258-8C5C-BE504507A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45" name="Picture 3644">
          <a:extLst>
            <a:ext uri="{FF2B5EF4-FFF2-40B4-BE49-F238E27FC236}">
              <a16:creationId xmlns:a16="http://schemas.microsoft.com/office/drawing/2014/main" id="{4F6F9C18-C323-44E1-9E86-345A17330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46" name="Picture 3645">
          <a:extLst>
            <a:ext uri="{FF2B5EF4-FFF2-40B4-BE49-F238E27FC236}">
              <a16:creationId xmlns:a16="http://schemas.microsoft.com/office/drawing/2014/main" id="{064C175D-F74A-40B2-AAC7-7C4F7605D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47" name="Picture 3646">
          <a:extLst>
            <a:ext uri="{FF2B5EF4-FFF2-40B4-BE49-F238E27FC236}">
              <a16:creationId xmlns:a16="http://schemas.microsoft.com/office/drawing/2014/main" id="{D217BC85-233A-4A47-BCAA-3F2DA8863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48" name="Picture 3647">
          <a:extLst>
            <a:ext uri="{FF2B5EF4-FFF2-40B4-BE49-F238E27FC236}">
              <a16:creationId xmlns:a16="http://schemas.microsoft.com/office/drawing/2014/main" id="{5B0C6A2D-B90B-42A6-BBC5-9B44DF760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49" name="Picture 3648">
          <a:extLst>
            <a:ext uri="{FF2B5EF4-FFF2-40B4-BE49-F238E27FC236}">
              <a16:creationId xmlns:a16="http://schemas.microsoft.com/office/drawing/2014/main" id="{7504C381-56CA-4126-B33C-25D15FDDD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50" name="Picture 3649">
          <a:extLst>
            <a:ext uri="{FF2B5EF4-FFF2-40B4-BE49-F238E27FC236}">
              <a16:creationId xmlns:a16="http://schemas.microsoft.com/office/drawing/2014/main" id="{CA6430CE-44D5-4285-BAE9-0CF372146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51" name="Picture 3650">
          <a:extLst>
            <a:ext uri="{FF2B5EF4-FFF2-40B4-BE49-F238E27FC236}">
              <a16:creationId xmlns:a16="http://schemas.microsoft.com/office/drawing/2014/main" id="{9C87C6F0-5418-48DC-8652-163DCDC9C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652" name="AutoShape 241">
          <a:extLst>
            <a:ext uri="{FF2B5EF4-FFF2-40B4-BE49-F238E27FC236}">
              <a16:creationId xmlns:a16="http://schemas.microsoft.com/office/drawing/2014/main" id="{EF74E674-30F7-4C6A-A7DF-347A66208F1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53" name="Picture 3652">
          <a:extLst>
            <a:ext uri="{FF2B5EF4-FFF2-40B4-BE49-F238E27FC236}">
              <a16:creationId xmlns:a16="http://schemas.microsoft.com/office/drawing/2014/main" id="{E8A661EE-3DDB-4FC6-9D85-25AC9D709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654" name="AutoShape 243">
          <a:extLst>
            <a:ext uri="{FF2B5EF4-FFF2-40B4-BE49-F238E27FC236}">
              <a16:creationId xmlns:a16="http://schemas.microsoft.com/office/drawing/2014/main" id="{1C82A3ED-AB8F-414F-BE3C-5907C4F5A05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55" name="Picture 3654">
          <a:extLst>
            <a:ext uri="{FF2B5EF4-FFF2-40B4-BE49-F238E27FC236}">
              <a16:creationId xmlns:a16="http://schemas.microsoft.com/office/drawing/2014/main" id="{55783D2F-A3C3-4340-BAAD-9C2F517BF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56" name="Picture 3655">
          <a:extLst>
            <a:ext uri="{FF2B5EF4-FFF2-40B4-BE49-F238E27FC236}">
              <a16:creationId xmlns:a16="http://schemas.microsoft.com/office/drawing/2014/main" id="{9F09B1E2-42C5-4A4A-BA6D-9FAFBCF79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3657" name="AutoShape 249">
          <a:extLst>
            <a:ext uri="{FF2B5EF4-FFF2-40B4-BE49-F238E27FC236}">
              <a16:creationId xmlns:a16="http://schemas.microsoft.com/office/drawing/2014/main" id="{DDC85745-19CB-4756-82AB-5DD930861E3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58" name="Picture 3657">
          <a:extLst>
            <a:ext uri="{FF2B5EF4-FFF2-40B4-BE49-F238E27FC236}">
              <a16:creationId xmlns:a16="http://schemas.microsoft.com/office/drawing/2014/main" id="{019095BD-7CC2-4EBA-8C03-1311E8432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59" name="Picture 3658">
          <a:extLst>
            <a:ext uri="{FF2B5EF4-FFF2-40B4-BE49-F238E27FC236}">
              <a16:creationId xmlns:a16="http://schemas.microsoft.com/office/drawing/2014/main" id="{E09F58AF-0CE6-4D6E-81A5-65925BF4D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60" name="Picture 3659">
          <a:extLst>
            <a:ext uri="{FF2B5EF4-FFF2-40B4-BE49-F238E27FC236}">
              <a16:creationId xmlns:a16="http://schemas.microsoft.com/office/drawing/2014/main" id="{D4BBACC6-D838-4F19-A99D-BD953B1EF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61" name="Picture 3660">
          <a:extLst>
            <a:ext uri="{FF2B5EF4-FFF2-40B4-BE49-F238E27FC236}">
              <a16:creationId xmlns:a16="http://schemas.microsoft.com/office/drawing/2014/main" id="{169CA1AB-94C1-4107-8F03-8BB8B244C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62" name="Picture 3661">
          <a:extLst>
            <a:ext uri="{FF2B5EF4-FFF2-40B4-BE49-F238E27FC236}">
              <a16:creationId xmlns:a16="http://schemas.microsoft.com/office/drawing/2014/main" id="{8AA087AC-7A9C-456D-8E8F-67005C982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63" name="Picture 3662">
          <a:extLst>
            <a:ext uri="{FF2B5EF4-FFF2-40B4-BE49-F238E27FC236}">
              <a16:creationId xmlns:a16="http://schemas.microsoft.com/office/drawing/2014/main" id="{18872F87-277B-44B2-BE33-EBB8492C7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64" name="Picture 3663">
          <a:extLst>
            <a:ext uri="{FF2B5EF4-FFF2-40B4-BE49-F238E27FC236}">
              <a16:creationId xmlns:a16="http://schemas.microsoft.com/office/drawing/2014/main" id="{AE8398D3-C86D-4928-BC71-5B4D5BFBB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665" name="AutoShape 267">
          <a:extLst>
            <a:ext uri="{FF2B5EF4-FFF2-40B4-BE49-F238E27FC236}">
              <a16:creationId xmlns:a16="http://schemas.microsoft.com/office/drawing/2014/main" id="{7A053A0B-C971-4B72-BC83-706BFC92101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66" name="Picture 3665">
          <a:extLst>
            <a:ext uri="{FF2B5EF4-FFF2-40B4-BE49-F238E27FC236}">
              <a16:creationId xmlns:a16="http://schemas.microsoft.com/office/drawing/2014/main" id="{752C2425-F62F-4166-AF12-43DB7F710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667" name="AutoShape 269">
          <a:extLst>
            <a:ext uri="{FF2B5EF4-FFF2-40B4-BE49-F238E27FC236}">
              <a16:creationId xmlns:a16="http://schemas.microsoft.com/office/drawing/2014/main" id="{27BDF586-4539-48CA-85E2-8342353A82D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68" name="Picture 3667">
          <a:extLst>
            <a:ext uri="{FF2B5EF4-FFF2-40B4-BE49-F238E27FC236}">
              <a16:creationId xmlns:a16="http://schemas.microsoft.com/office/drawing/2014/main" id="{7A666361-21B5-4172-98AC-FF3E7D833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69" name="Picture 3668">
          <a:extLst>
            <a:ext uri="{FF2B5EF4-FFF2-40B4-BE49-F238E27FC236}">
              <a16:creationId xmlns:a16="http://schemas.microsoft.com/office/drawing/2014/main" id="{0939F1AB-4A48-405E-A294-7FF8CC338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3670" name="AutoShape 275">
          <a:extLst>
            <a:ext uri="{FF2B5EF4-FFF2-40B4-BE49-F238E27FC236}">
              <a16:creationId xmlns:a16="http://schemas.microsoft.com/office/drawing/2014/main" id="{05D05353-8DB5-43F4-96AC-5A5D71C3D1E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71" name="Picture 3670">
          <a:extLst>
            <a:ext uri="{FF2B5EF4-FFF2-40B4-BE49-F238E27FC236}">
              <a16:creationId xmlns:a16="http://schemas.microsoft.com/office/drawing/2014/main" id="{83A26D11-A158-4C27-B25A-C15B4CD5B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72" name="Picture 3671">
          <a:extLst>
            <a:ext uri="{FF2B5EF4-FFF2-40B4-BE49-F238E27FC236}">
              <a16:creationId xmlns:a16="http://schemas.microsoft.com/office/drawing/2014/main" id="{2CD11EEE-692F-49D3-925E-D9A9AFBAA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73" name="Picture 3672">
          <a:extLst>
            <a:ext uri="{FF2B5EF4-FFF2-40B4-BE49-F238E27FC236}">
              <a16:creationId xmlns:a16="http://schemas.microsoft.com/office/drawing/2014/main" id="{4972F6D4-263F-497B-BA61-B91B98BDA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74" name="Picture 3673">
          <a:extLst>
            <a:ext uri="{FF2B5EF4-FFF2-40B4-BE49-F238E27FC236}">
              <a16:creationId xmlns:a16="http://schemas.microsoft.com/office/drawing/2014/main" id="{18C8F2FB-5922-40CE-B072-5EBF0EEC5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75" name="Picture 3674">
          <a:extLst>
            <a:ext uri="{FF2B5EF4-FFF2-40B4-BE49-F238E27FC236}">
              <a16:creationId xmlns:a16="http://schemas.microsoft.com/office/drawing/2014/main" id="{93A42954-FD1B-4DBD-BEF0-E1ACDEAB2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76" name="Picture 3675">
          <a:extLst>
            <a:ext uri="{FF2B5EF4-FFF2-40B4-BE49-F238E27FC236}">
              <a16:creationId xmlns:a16="http://schemas.microsoft.com/office/drawing/2014/main" id="{A3000678-9290-45A0-A914-373D6A1BF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77" name="Picture 3676">
          <a:extLst>
            <a:ext uri="{FF2B5EF4-FFF2-40B4-BE49-F238E27FC236}">
              <a16:creationId xmlns:a16="http://schemas.microsoft.com/office/drawing/2014/main" id="{32304D16-B7CA-4854-9C7B-75B63A5A7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678" name="AutoShape 319">
          <a:extLst>
            <a:ext uri="{FF2B5EF4-FFF2-40B4-BE49-F238E27FC236}">
              <a16:creationId xmlns:a16="http://schemas.microsoft.com/office/drawing/2014/main" id="{2621786B-E5BA-4649-84A2-F8314A494FC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79" name="Picture 3678">
          <a:extLst>
            <a:ext uri="{FF2B5EF4-FFF2-40B4-BE49-F238E27FC236}">
              <a16:creationId xmlns:a16="http://schemas.microsoft.com/office/drawing/2014/main" id="{47BA54B4-7929-464F-9C38-AA20E72DF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680" name="AutoShape 321">
          <a:extLst>
            <a:ext uri="{FF2B5EF4-FFF2-40B4-BE49-F238E27FC236}">
              <a16:creationId xmlns:a16="http://schemas.microsoft.com/office/drawing/2014/main" id="{30A8609E-E9D5-4268-B5DF-95810C2C8B3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81" name="Picture 3680">
          <a:extLst>
            <a:ext uri="{FF2B5EF4-FFF2-40B4-BE49-F238E27FC236}">
              <a16:creationId xmlns:a16="http://schemas.microsoft.com/office/drawing/2014/main" id="{B92199B6-FE5B-4471-9CB2-0626F640C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82" name="Picture 3681">
          <a:extLst>
            <a:ext uri="{FF2B5EF4-FFF2-40B4-BE49-F238E27FC236}">
              <a16:creationId xmlns:a16="http://schemas.microsoft.com/office/drawing/2014/main" id="{3E60FBF6-BB08-45A0-B2C0-EF51EBCDD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3683" name="AutoShape 327">
          <a:extLst>
            <a:ext uri="{FF2B5EF4-FFF2-40B4-BE49-F238E27FC236}">
              <a16:creationId xmlns:a16="http://schemas.microsoft.com/office/drawing/2014/main" id="{1CC3BAD2-3E2E-4E6B-A405-0E3C9FAA767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84" name="Picture 3683">
          <a:extLst>
            <a:ext uri="{FF2B5EF4-FFF2-40B4-BE49-F238E27FC236}">
              <a16:creationId xmlns:a16="http://schemas.microsoft.com/office/drawing/2014/main" id="{BF0BD61F-56B2-4B85-99BE-0BFCDAFDF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85" name="Picture 3684">
          <a:extLst>
            <a:ext uri="{FF2B5EF4-FFF2-40B4-BE49-F238E27FC236}">
              <a16:creationId xmlns:a16="http://schemas.microsoft.com/office/drawing/2014/main" id="{7D4E4718-F544-446D-8A81-D11E5610D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86" name="Picture 3685">
          <a:extLst>
            <a:ext uri="{FF2B5EF4-FFF2-40B4-BE49-F238E27FC236}">
              <a16:creationId xmlns:a16="http://schemas.microsoft.com/office/drawing/2014/main" id="{3FE918B9-5735-4CAB-A6AF-94F30D3BF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87" name="Picture 3686">
          <a:extLst>
            <a:ext uri="{FF2B5EF4-FFF2-40B4-BE49-F238E27FC236}">
              <a16:creationId xmlns:a16="http://schemas.microsoft.com/office/drawing/2014/main" id="{8A867615-998F-4C42-9EC7-97BA5F936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88" name="Picture 3687">
          <a:extLst>
            <a:ext uri="{FF2B5EF4-FFF2-40B4-BE49-F238E27FC236}">
              <a16:creationId xmlns:a16="http://schemas.microsoft.com/office/drawing/2014/main" id="{44535CDD-E19C-43B0-85CC-8400896D1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89" name="Picture 3688">
          <a:extLst>
            <a:ext uri="{FF2B5EF4-FFF2-40B4-BE49-F238E27FC236}">
              <a16:creationId xmlns:a16="http://schemas.microsoft.com/office/drawing/2014/main" id="{BD23AF6E-4F1D-44FC-9533-320CBCE92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90" name="Picture 3689">
          <a:extLst>
            <a:ext uri="{FF2B5EF4-FFF2-40B4-BE49-F238E27FC236}">
              <a16:creationId xmlns:a16="http://schemas.microsoft.com/office/drawing/2014/main" id="{F6EB4F78-38D7-4621-A5EE-5D3495A21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691" name="AutoShape 371">
          <a:extLst>
            <a:ext uri="{FF2B5EF4-FFF2-40B4-BE49-F238E27FC236}">
              <a16:creationId xmlns:a16="http://schemas.microsoft.com/office/drawing/2014/main" id="{4164FC6C-CB92-4CB6-8A91-2C970D4B335E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92" name="Picture 3691">
          <a:extLst>
            <a:ext uri="{FF2B5EF4-FFF2-40B4-BE49-F238E27FC236}">
              <a16:creationId xmlns:a16="http://schemas.microsoft.com/office/drawing/2014/main" id="{599242FD-A13C-41BF-A164-7EF3E661C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693" name="AutoShape 373">
          <a:extLst>
            <a:ext uri="{FF2B5EF4-FFF2-40B4-BE49-F238E27FC236}">
              <a16:creationId xmlns:a16="http://schemas.microsoft.com/office/drawing/2014/main" id="{34203B90-4F77-45CD-96B0-266D471BB8B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94" name="Picture 3693">
          <a:extLst>
            <a:ext uri="{FF2B5EF4-FFF2-40B4-BE49-F238E27FC236}">
              <a16:creationId xmlns:a16="http://schemas.microsoft.com/office/drawing/2014/main" id="{3BB775C8-61AB-41E0-8E7A-CE1CC196C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95" name="Picture 3694">
          <a:extLst>
            <a:ext uri="{FF2B5EF4-FFF2-40B4-BE49-F238E27FC236}">
              <a16:creationId xmlns:a16="http://schemas.microsoft.com/office/drawing/2014/main" id="{4C0B3DCF-2441-41D0-A61B-E2D69CE5A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3696" name="AutoShape 379">
          <a:extLst>
            <a:ext uri="{FF2B5EF4-FFF2-40B4-BE49-F238E27FC236}">
              <a16:creationId xmlns:a16="http://schemas.microsoft.com/office/drawing/2014/main" id="{FAC25083-F280-46BD-AA76-DBFE40E55F4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97" name="Picture 3696">
          <a:extLst>
            <a:ext uri="{FF2B5EF4-FFF2-40B4-BE49-F238E27FC236}">
              <a16:creationId xmlns:a16="http://schemas.microsoft.com/office/drawing/2014/main" id="{D2DF2779-D26D-459F-B37F-60B21D837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98" name="Picture 3697">
          <a:extLst>
            <a:ext uri="{FF2B5EF4-FFF2-40B4-BE49-F238E27FC236}">
              <a16:creationId xmlns:a16="http://schemas.microsoft.com/office/drawing/2014/main" id="{2706FFD4-0FC3-4FE0-9B1E-9C15A0FAA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699" name="Picture 3698">
          <a:extLst>
            <a:ext uri="{FF2B5EF4-FFF2-40B4-BE49-F238E27FC236}">
              <a16:creationId xmlns:a16="http://schemas.microsoft.com/office/drawing/2014/main" id="{BF2C75F8-E2AC-441B-8E7C-CDDF62F5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00" name="Picture 3699">
          <a:extLst>
            <a:ext uri="{FF2B5EF4-FFF2-40B4-BE49-F238E27FC236}">
              <a16:creationId xmlns:a16="http://schemas.microsoft.com/office/drawing/2014/main" id="{4F18C3E6-2FF1-495B-93CD-947B814E4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01" name="Picture 3700">
          <a:extLst>
            <a:ext uri="{FF2B5EF4-FFF2-40B4-BE49-F238E27FC236}">
              <a16:creationId xmlns:a16="http://schemas.microsoft.com/office/drawing/2014/main" id="{C649C8E1-0C72-476A-8EAA-13676EC00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02" name="Picture 3701">
          <a:extLst>
            <a:ext uri="{FF2B5EF4-FFF2-40B4-BE49-F238E27FC236}">
              <a16:creationId xmlns:a16="http://schemas.microsoft.com/office/drawing/2014/main" id="{AFF30E98-9369-403F-A732-39F63D8F9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03" name="Picture 3702">
          <a:extLst>
            <a:ext uri="{FF2B5EF4-FFF2-40B4-BE49-F238E27FC236}">
              <a16:creationId xmlns:a16="http://schemas.microsoft.com/office/drawing/2014/main" id="{5EF20AA3-30A3-4E39-B2D2-FC2318FF5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04" name="Picture 3703">
          <a:extLst>
            <a:ext uri="{FF2B5EF4-FFF2-40B4-BE49-F238E27FC236}">
              <a16:creationId xmlns:a16="http://schemas.microsoft.com/office/drawing/2014/main" id="{1066120F-794C-40FE-8B94-2A064EF06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705" name="AutoShape 427">
          <a:extLst>
            <a:ext uri="{FF2B5EF4-FFF2-40B4-BE49-F238E27FC236}">
              <a16:creationId xmlns:a16="http://schemas.microsoft.com/office/drawing/2014/main" id="{3EE48B8C-53C9-4D44-9D08-0B77B496F42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06" name="Picture 3705">
          <a:extLst>
            <a:ext uri="{FF2B5EF4-FFF2-40B4-BE49-F238E27FC236}">
              <a16:creationId xmlns:a16="http://schemas.microsoft.com/office/drawing/2014/main" id="{35A7889A-8B70-4694-866B-9B46B12E2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707" name="AutoShape 429">
          <a:extLst>
            <a:ext uri="{FF2B5EF4-FFF2-40B4-BE49-F238E27FC236}">
              <a16:creationId xmlns:a16="http://schemas.microsoft.com/office/drawing/2014/main" id="{E6DEB285-2B54-4C9F-8FE7-AC6FC8453AF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08" name="Picture 3707">
          <a:extLst>
            <a:ext uri="{FF2B5EF4-FFF2-40B4-BE49-F238E27FC236}">
              <a16:creationId xmlns:a16="http://schemas.microsoft.com/office/drawing/2014/main" id="{7D75AD1F-308E-452E-99B5-FA63AFD57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09" name="Picture 3708">
          <a:extLst>
            <a:ext uri="{FF2B5EF4-FFF2-40B4-BE49-F238E27FC236}">
              <a16:creationId xmlns:a16="http://schemas.microsoft.com/office/drawing/2014/main" id="{C99BAA3F-A721-43C4-8545-63CC05E0A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3710" name="AutoShape 435">
          <a:extLst>
            <a:ext uri="{FF2B5EF4-FFF2-40B4-BE49-F238E27FC236}">
              <a16:creationId xmlns:a16="http://schemas.microsoft.com/office/drawing/2014/main" id="{019BF193-9484-476A-95F0-7E353E39FFA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11" name="Picture 3710">
          <a:extLst>
            <a:ext uri="{FF2B5EF4-FFF2-40B4-BE49-F238E27FC236}">
              <a16:creationId xmlns:a16="http://schemas.microsoft.com/office/drawing/2014/main" id="{F355C6F7-4D73-4EB0-B976-D9473FEA9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12" name="Picture 3711">
          <a:extLst>
            <a:ext uri="{FF2B5EF4-FFF2-40B4-BE49-F238E27FC236}">
              <a16:creationId xmlns:a16="http://schemas.microsoft.com/office/drawing/2014/main" id="{511F6C6D-215B-4C4D-9667-1283515BB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13" name="Picture 3712">
          <a:extLst>
            <a:ext uri="{FF2B5EF4-FFF2-40B4-BE49-F238E27FC236}">
              <a16:creationId xmlns:a16="http://schemas.microsoft.com/office/drawing/2014/main" id="{7D7894D8-BB45-473A-8B94-6DC143040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14" name="Picture 3713">
          <a:extLst>
            <a:ext uri="{FF2B5EF4-FFF2-40B4-BE49-F238E27FC236}">
              <a16:creationId xmlns:a16="http://schemas.microsoft.com/office/drawing/2014/main" id="{385AB0A3-B047-4925-83F5-08774F68A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15" name="Picture 3714">
          <a:extLst>
            <a:ext uri="{FF2B5EF4-FFF2-40B4-BE49-F238E27FC236}">
              <a16:creationId xmlns:a16="http://schemas.microsoft.com/office/drawing/2014/main" id="{1D3F7048-C828-4D67-A9FC-1AC9CC46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16" name="Picture 3715">
          <a:extLst>
            <a:ext uri="{FF2B5EF4-FFF2-40B4-BE49-F238E27FC236}">
              <a16:creationId xmlns:a16="http://schemas.microsoft.com/office/drawing/2014/main" id="{06CCEDD1-5863-4F92-823F-F674E2661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17" name="Picture 3716">
          <a:extLst>
            <a:ext uri="{FF2B5EF4-FFF2-40B4-BE49-F238E27FC236}">
              <a16:creationId xmlns:a16="http://schemas.microsoft.com/office/drawing/2014/main" id="{09F72292-1940-444E-9253-8145284B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18" name="Picture 3717">
          <a:extLst>
            <a:ext uri="{FF2B5EF4-FFF2-40B4-BE49-F238E27FC236}">
              <a16:creationId xmlns:a16="http://schemas.microsoft.com/office/drawing/2014/main" id="{40D49C42-80F2-4AAC-ADA7-E8E6EA8BF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719" name="AutoShape 483">
          <a:extLst>
            <a:ext uri="{FF2B5EF4-FFF2-40B4-BE49-F238E27FC236}">
              <a16:creationId xmlns:a16="http://schemas.microsoft.com/office/drawing/2014/main" id="{04C08556-1156-4EEB-B588-9C8EDEE2990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20" name="Picture 3719">
          <a:extLst>
            <a:ext uri="{FF2B5EF4-FFF2-40B4-BE49-F238E27FC236}">
              <a16:creationId xmlns:a16="http://schemas.microsoft.com/office/drawing/2014/main" id="{D186CECE-5E7A-412D-A027-41EF11615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721" name="AutoShape 485">
          <a:extLst>
            <a:ext uri="{FF2B5EF4-FFF2-40B4-BE49-F238E27FC236}">
              <a16:creationId xmlns:a16="http://schemas.microsoft.com/office/drawing/2014/main" id="{B7B22722-04DE-49D5-9940-ECBFA77D4E6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22" name="Picture 3721">
          <a:extLst>
            <a:ext uri="{FF2B5EF4-FFF2-40B4-BE49-F238E27FC236}">
              <a16:creationId xmlns:a16="http://schemas.microsoft.com/office/drawing/2014/main" id="{B568F80F-B0D1-4F61-B3CF-5F6B43E6D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23" name="Picture 3722">
          <a:extLst>
            <a:ext uri="{FF2B5EF4-FFF2-40B4-BE49-F238E27FC236}">
              <a16:creationId xmlns:a16="http://schemas.microsoft.com/office/drawing/2014/main" id="{F581FED5-F759-409E-8EB4-08FFB1804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3724" name="AutoShape 491">
          <a:extLst>
            <a:ext uri="{FF2B5EF4-FFF2-40B4-BE49-F238E27FC236}">
              <a16:creationId xmlns:a16="http://schemas.microsoft.com/office/drawing/2014/main" id="{C9BC2A78-3642-4BD1-9E49-8676E92F836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25" name="Picture 3724">
          <a:extLst>
            <a:ext uri="{FF2B5EF4-FFF2-40B4-BE49-F238E27FC236}">
              <a16:creationId xmlns:a16="http://schemas.microsoft.com/office/drawing/2014/main" id="{D6CCA01F-B3AB-49E3-B718-82C213356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26" name="Picture 3725">
          <a:extLst>
            <a:ext uri="{FF2B5EF4-FFF2-40B4-BE49-F238E27FC236}">
              <a16:creationId xmlns:a16="http://schemas.microsoft.com/office/drawing/2014/main" id="{78589EFC-7FEC-4AFB-8A59-FCB0E160E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27" name="Picture 3726">
          <a:extLst>
            <a:ext uri="{FF2B5EF4-FFF2-40B4-BE49-F238E27FC236}">
              <a16:creationId xmlns:a16="http://schemas.microsoft.com/office/drawing/2014/main" id="{8256EFB9-F09F-4B5B-B040-680CA123D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28" name="Picture 3727">
          <a:extLst>
            <a:ext uri="{FF2B5EF4-FFF2-40B4-BE49-F238E27FC236}">
              <a16:creationId xmlns:a16="http://schemas.microsoft.com/office/drawing/2014/main" id="{4DD7703D-5BE5-4F5E-9856-3E3EB95C2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29" name="Picture 3728">
          <a:extLst>
            <a:ext uri="{FF2B5EF4-FFF2-40B4-BE49-F238E27FC236}">
              <a16:creationId xmlns:a16="http://schemas.microsoft.com/office/drawing/2014/main" id="{51B606C2-D13C-4101-BA06-9A73E7547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730" name="AutoShape 511">
          <a:extLst>
            <a:ext uri="{FF2B5EF4-FFF2-40B4-BE49-F238E27FC236}">
              <a16:creationId xmlns:a16="http://schemas.microsoft.com/office/drawing/2014/main" id="{E3471723-9627-4013-8D9E-28D81B9C40A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31" name="Picture 3730">
          <a:extLst>
            <a:ext uri="{FF2B5EF4-FFF2-40B4-BE49-F238E27FC236}">
              <a16:creationId xmlns:a16="http://schemas.microsoft.com/office/drawing/2014/main" id="{25BB4F9C-4EEE-4340-98FF-1B311379F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39"/>
    <xdr:sp macro="" textlink="">
      <xdr:nvSpPr>
        <xdr:cNvPr id="3732" name="AutoShape 513">
          <a:extLst>
            <a:ext uri="{FF2B5EF4-FFF2-40B4-BE49-F238E27FC236}">
              <a16:creationId xmlns:a16="http://schemas.microsoft.com/office/drawing/2014/main" id="{81140F0B-B040-4F9D-A7A3-B1B956528EB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33" name="Picture 3732">
          <a:extLst>
            <a:ext uri="{FF2B5EF4-FFF2-40B4-BE49-F238E27FC236}">
              <a16:creationId xmlns:a16="http://schemas.microsoft.com/office/drawing/2014/main" id="{ECE8DF4E-A671-44C5-9142-D33ABFAC8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734" name="AutoShape 515">
          <a:extLst>
            <a:ext uri="{FF2B5EF4-FFF2-40B4-BE49-F238E27FC236}">
              <a16:creationId xmlns:a16="http://schemas.microsoft.com/office/drawing/2014/main" id="{8369F9CF-4EF4-4D44-A4BC-4F6A8502DA5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35" name="Picture 3734">
          <a:extLst>
            <a:ext uri="{FF2B5EF4-FFF2-40B4-BE49-F238E27FC236}">
              <a16:creationId xmlns:a16="http://schemas.microsoft.com/office/drawing/2014/main" id="{EC30DB7A-8594-4924-8BE8-99A441188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736" name="AutoShape 517">
          <a:extLst>
            <a:ext uri="{FF2B5EF4-FFF2-40B4-BE49-F238E27FC236}">
              <a16:creationId xmlns:a16="http://schemas.microsoft.com/office/drawing/2014/main" id="{572D8906-F4F1-4D1E-80AF-13AC87ED78F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37" name="Picture 3736">
          <a:extLst>
            <a:ext uri="{FF2B5EF4-FFF2-40B4-BE49-F238E27FC236}">
              <a16:creationId xmlns:a16="http://schemas.microsoft.com/office/drawing/2014/main" id="{F9F9B557-EB01-49A6-ACD0-551849E9B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738" name="AutoShape 519">
          <a:extLst>
            <a:ext uri="{FF2B5EF4-FFF2-40B4-BE49-F238E27FC236}">
              <a16:creationId xmlns:a16="http://schemas.microsoft.com/office/drawing/2014/main" id="{E91F7353-FD6E-4F0A-AEE6-6733135218D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39" name="Picture 3738">
          <a:extLst>
            <a:ext uri="{FF2B5EF4-FFF2-40B4-BE49-F238E27FC236}">
              <a16:creationId xmlns:a16="http://schemas.microsoft.com/office/drawing/2014/main" id="{2D373D65-A0DD-4F44-A62F-3F1EED398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40" name="Picture 3739">
          <a:extLst>
            <a:ext uri="{FF2B5EF4-FFF2-40B4-BE49-F238E27FC236}">
              <a16:creationId xmlns:a16="http://schemas.microsoft.com/office/drawing/2014/main" id="{36A9A4BE-B649-4444-90CC-9464B368C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3741" name="AutoShape 525">
          <a:extLst>
            <a:ext uri="{FF2B5EF4-FFF2-40B4-BE49-F238E27FC236}">
              <a16:creationId xmlns:a16="http://schemas.microsoft.com/office/drawing/2014/main" id="{91BAA14A-4096-4DBA-8723-99A612FF6C3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42" name="Picture 3741">
          <a:extLst>
            <a:ext uri="{FF2B5EF4-FFF2-40B4-BE49-F238E27FC236}">
              <a16:creationId xmlns:a16="http://schemas.microsoft.com/office/drawing/2014/main" id="{B616B138-F680-443D-8227-D0E6D07DC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43" name="Picture 3742">
          <a:extLst>
            <a:ext uri="{FF2B5EF4-FFF2-40B4-BE49-F238E27FC236}">
              <a16:creationId xmlns:a16="http://schemas.microsoft.com/office/drawing/2014/main" id="{B3FF0410-3E77-4E5F-A74F-6B62EC749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39"/>
    <xdr:sp macro="" textlink="">
      <xdr:nvSpPr>
        <xdr:cNvPr id="3744" name="AutoShape 531">
          <a:extLst>
            <a:ext uri="{FF2B5EF4-FFF2-40B4-BE49-F238E27FC236}">
              <a16:creationId xmlns:a16="http://schemas.microsoft.com/office/drawing/2014/main" id="{F231793B-7C7E-4A89-96A6-63B28D158BB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45" name="Picture 3744">
          <a:extLst>
            <a:ext uri="{FF2B5EF4-FFF2-40B4-BE49-F238E27FC236}">
              <a16:creationId xmlns:a16="http://schemas.microsoft.com/office/drawing/2014/main" id="{72B548B2-C1B7-4E13-8962-525A8AD05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46" name="Picture 3745">
          <a:extLst>
            <a:ext uri="{FF2B5EF4-FFF2-40B4-BE49-F238E27FC236}">
              <a16:creationId xmlns:a16="http://schemas.microsoft.com/office/drawing/2014/main" id="{2DCF702F-EB43-49BD-83ED-BEA6A35C4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47" name="Picture 3746">
          <a:extLst>
            <a:ext uri="{FF2B5EF4-FFF2-40B4-BE49-F238E27FC236}">
              <a16:creationId xmlns:a16="http://schemas.microsoft.com/office/drawing/2014/main" id="{6A414081-3A28-4EAE-975E-78E8E556E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48" name="Picture 3747">
          <a:extLst>
            <a:ext uri="{FF2B5EF4-FFF2-40B4-BE49-F238E27FC236}">
              <a16:creationId xmlns:a16="http://schemas.microsoft.com/office/drawing/2014/main" id="{09D4FE9C-7E2D-408D-9E93-1C2683C36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49" name="Picture 3748">
          <a:extLst>
            <a:ext uri="{FF2B5EF4-FFF2-40B4-BE49-F238E27FC236}">
              <a16:creationId xmlns:a16="http://schemas.microsoft.com/office/drawing/2014/main" id="{4F54E003-2B40-42D0-9889-7309643A9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50" name="Picture 3749">
          <a:extLst>
            <a:ext uri="{FF2B5EF4-FFF2-40B4-BE49-F238E27FC236}">
              <a16:creationId xmlns:a16="http://schemas.microsoft.com/office/drawing/2014/main" id="{AF6BFC15-9E22-4625-A7DD-989DB3527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751" name="AutoShape 38">
          <a:extLst>
            <a:ext uri="{FF2B5EF4-FFF2-40B4-BE49-F238E27FC236}">
              <a16:creationId xmlns:a16="http://schemas.microsoft.com/office/drawing/2014/main" id="{F15F4DA6-F1A3-403D-8275-5493CBC43CE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52" name="Picture 3751">
          <a:extLst>
            <a:ext uri="{FF2B5EF4-FFF2-40B4-BE49-F238E27FC236}">
              <a16:creationId xmlns:a16="http://schemas.microsoft.com/office/drawing/2014/main" id="{4EEB0F28-34AD-4237-9935-428DEAF69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753" name="AutoShape 40">
          <a:extLst>
            <a:ext uri="{FF2B5EF4-FFF2-40B4-BE49-F238E27FC236}">
              <a16:creationId xmlns:a16="http://schemas.microsoft.com/office/drawing/2014/main" id="{CCADC2D8-C3FF-40A9-BEF6-3FF3561FCFC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54" name="Picture 3753">
          <a:extLst>
            <a:ext uri="{FF2B5EF4-FFF2-40B4-BE49-F238E27FC236}">
              <a16:creationId xmlns:a16="http://schemas.microsoft.com/office/drawing/2014/main" id="{810269F7-2075-4FD4-94B8-3BA00CD7B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55" name="Picture 3754">
          <a:extLst>
            <a:ext uri="{FF2B5EF4-FFF2-40B4-BE49-F238E27FC236}">
              <a16:creationId xmlns:a16="http://schemas.microsoft.com/office/drawing/2014/main" id="{A240696B-5C02-4558-AA3B-9FCAB8121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56" name="Picture 3755">
          <a:extLst>
            <a:ext uri="{FF2B5EF4-FFF2-40B4-BE49-F238E27FC236}">
              <a16:creationId xmlns:a16="http://schemas.microsoft.com/office/drawing/2014/main" id="{0E77DE93-DEBD-49A3-A1DE-EA8371911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57" name="Picture 3756">
          <a:extLst>
            <a:ext uri="{FF2B5EF4-FFF2-40B4-BE49-F238E27FC236}">
              <a16:creationId xmlns:a16="http://schemas.microsoft.com/office/drawing/2014/main" id="{1338A88E-086E-4527-B07D-CD2F48129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58" name="Picture 3757">
          <a:extLst>
            <a:ext uri="{FF2B5EF4-FFF2-40B4-BE49-F238E27FC236}">
              <a16:creationId xmlns:a16="http://schemas.microsoft.com/office/drawing/2014/main" id="{35C7BC53-4FC6-4229-8E97-AC5E1157F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59" name="Picture 3758">
          <a:extLst>
            <a:ext uri="{FF2B5EF4-FFF2-40B4-BE49-F238E27FC236}">
              <a16:creationId xmlns:a16="http://schemas.microsoft.com/office/drawing/2014/main" id="{FA94C827-AF88-44CF-B92B-9B32EA56F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60" name="Picture 3759">
          <a:extLst>
            <a:ext uri="{FF2B5EF4-FFF2-40B4-BE49-F238E27FC236}">
              <a16:creationId xmlns:a16="http://schemas.microsoft.com/office/drawing/2014/main" id="{6AA59A27-ED08-4B57-B7BB-E8AD71C15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761" name="AutoShape 61">
          <a:extLst>
            <a:ext uri="{FF2B5EF4-FFF2-40B4-BE49-F238E27FC236}">
              <a16:creationId xmlns:a16="http://schemas.microsoft.com/office/drawing/2014/main" id="{63E7566E-CD70-4AC6-BE13-B569EA2299D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62" name="Picture 3761">
          <a:extLst>
            <a:ext uri="{FF2B5EF4-FFF2-40B4-BE49-F238E27FC236}">
              <a16:creationId xmlns:a16="http://schemas.microsoft.com/office/drawing/2014/main" id="{B018A02C-24CD-4D29-8740-33C4BCE22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763" name="AutoShape 63">
          <a:extLst>
            <a:ext uri="{FF2B5EF4-FFF2-40B4-BE49-F238E27FC236}">
              <a16:creationId xmlns:a16="http://schemas.microsoft.com/office/drawing/2014/main" id="{8C3C6628-0408-4935-8B20-7C4870638E7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64" name="Picture 3763">
          <a:extLst>
            <a:ext uri="{FF2B5EF4-FFF2-40B4-BE49-F238E27FC236}">
              <a16:creationId xmlns:a16="http://schemas.microsoft.com/office/drawing/2014/main" id="{451B41E8-3AC7-42D1-BACF-8B4510A12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3765" name="AutoShape 69">
          <a:extLst>
            <a:ext uri="{FF2B5EF4-FFF2-40B4-BE49-F238E27FC236}">
              <a16:creationId xmlns:a16="http://schemas.microsoft.com/office/drawing/2014/main" id="{51987085-E4F0-47CF-94FB-28B79969DE2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66" name="Picture 3765">
          <a:extLst>
            <a:ext uri="{FF2B5EF4-FFF2-40B4-BE49-F238E27FC236}">
              <a16:creationId xmlns:a16="http://schemas.microsoft.com/office/drawing/2014/main" id="{C41E2841-F729-4D5E-A769-159238378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67" name="Picture 3766">
          <a:extLst>
            <a:ext uri="{FF2B5EF4-FFF2-40B4-BE49-F238E27FC236}">
              <a16:creationId xmlns:a16="http://schemas.microsoft.com/office/drawing/2014/main" id="{3C18A3CB-3E56-424D-A76D-B1D5BD859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68" name="Picture 3767">
          <a:extLst>
            <a:ext uri="{FF2B5EF4-FFF2-40B4-BE49-F238E27FC236}">
              <a16:creationId xmlns:a16="http://schemas.microsoft.com/office/drawing/2014/main" id="{2BD1C49D-9FA5-4BA5-B287-B9E65E4D1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69" name="Picture 3768">
          <a:extLst>
            <a:ext uri="{FF2B5EF4-FFF2-40B4-BE49-F238E27FC236}">
              <a16:creationId xmlns:a16="http://schemas.microsoft.com/office/drawing/2014/main" id="{F8B2EFA1-23A0-49E3-9724-587415DFF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70" name="Picture 3769">
          <a:extLst>
            <a:ext uri="{FF2B5EF4-FFF2-40B4-BE49-F238E27FC236}">
              <a16:creationId xmlns:a16="http://schemas.microsoft.com/office/drawing/2014/main" id="{120F15DB-E4C9-45A9-BF9A-53F5228AB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71" name="Picture 3770">
          <a:extLst>
            <a:ext uri="{FF2B5EF4-FFF2-40B4-BE49-F238E27FC236}">
              <a16:creationId xmlns:a16="http://schemas.microsoft.com/office/drawing/2014/main" id="{19C1CA81-1E8C-4A5E-B322-5C9766D54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72" name="Picture 3771">
          <a:extLst>
            <a:ext uri="{FF2B5EF4-FFF2-40B4-BE49-F238E27FC236}">
              <a16:creationId xmlns:a16="http://schemas.microsoft.com/office/drawing/2014/main" id="{340D4D67-6C47-4852-895B-484282945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773" name="AutoShape 111">
          <a:extLst>
            <a:ext uri="{FF2B5EF4-FFF2-40B4-BE49-F238E27FC236}">
              <a16:creationId xmlns:a16="http://schemas.microsoft.com/office/drawing/2014/main" id="{2E66EDA9-D251-40E0-9360-362EECF72F9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74" name="Picture 3773">
          <a:extLst>
            <a:ext uri="{FF2B5EF4-FFF2-40B4-BE49-F238E27FC236}">
              <a16:creationId xmlns:a16="http://schemas.microsoft.com/office/drawing/2014/main" id="{EB6079DD-1D51-4A43-90FE-780CC32F8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775" name="AutoShape 113">
          <a:extLst>
            <a:ext uri="{FF2B5EF4-FFF2-40B4-BE49-F238E27FC236}">
              <a16:creationId xmlns:a16="http://schemas.microsoft.com/office/drawing/2014/main" id="{18528F61-6158-4337-A280-84AF86970CC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76" name="Picture 3775">
          <a:extLst>
            <a:ext uri="{FF2B5EF4-FFF2-40B4-BE49-F238E27FC236}">
              <a16:creationId xmlns:a16="http://schemas.microsoft.com/office/drawing/2014/main" id="{74DB0BC8-10A6-47A4-85B6-83E0562BB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77" name="Picture 3776">
          <a:extLst>
            <a:ext uri="{FF2B5EF4-FFF2-40B4-BE49-F238E27FC236}">
              <a16:creationId xmlns:a16="http://schemas.microsoft.com/office/drawing/2014/main" id="{E0196FCE-257C-445C-990F-10C41A8A9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3778" name="AutoShape 119">
          <a:extLst>
            <a:ext uri="{FF2B5EF4-FFF2-40B4-BE49-F238E27FC236}">
              <a16:creationId xmlns:a16="http://schemas.microsoft.com/office/drawing/2014/main" id="{32BE4EC7-4256-4B1F-B309-90127E0E278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79" name="Picture 3778">
          <a:extLst>
            <a:ext uri="{FF2B5EF4-FFF2-40B4-BE49-F238E27FC236}">
              <a16:creationId xmlns:a16="http://schemas.microsoft.com/office/drawing/2014/main" id="{73D3F803-CB59-4972-986E-D632BC445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80" name="Picture 3779">
          <a:extLst>
            <a:ext uri="{FF2B5EF4-FFF2-40B4-BE49-F238E27FC236}">
              <a16:creationId xmlns:a16="http://schemas.microsoft.com/office/drawing/2014/main" id="{BB155B1A-8556-42EE-814C-89C48F98E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81" name="Picture 3780">
          <a:extLst>
            <a:ext uri="{FF2B5EF4-FFF2-40B4-BE49-F238E27FC236}">
              <a16:creationId xmlns:a16="http://schemas.microsoft.com/office/drawing/2014/main" id="{E0AD0724-8ABF-445D-AD7D-C12D23B4C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82" name="Picture 3781">
          <a:extLst>
            <a:ext uri="{FF2B5EF4-FFF2-40B4-BE49-F238E27FC236}">
              <a16:creationId xmlns:a16="http://schemas.microsoft.com/office/drawing/2014/main" id="{301B68A2-41AA-4C49-AB28-4B7599E7C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83" name="Picture 3782">
          <a:extLst>
            <a:ext uri="{FF2B5EF4-FFF2-40B4-BE49-F238E27FC236}">
              <a16:creationId xmlns:a16="http://schemas.microsoft.com/office/drawing/2014/main" id="{8EE6CB85-0863-4431-AC9B-826F839CD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84" name="Picture 3783">
          <a:extLst>
            <a:ext uri="{FF2B5EF4-FFF2-40B4-BE49-F238E27FC236}">
              <a16:creationId xmlns:a16="http://schemas.microsoft.com/office/drawing/2014/main" id="{C0874232-3489-4199-9283-2D6FA812F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85" name="Picture 3784">
          <a:extLst>
            <a:ext uri="{FF2B5EF4-FFF2-40B4-BE49-F238E27FC236}">
              <a16:creationId xmlns:a16="http://schemas.microsoft.com/office/drawing/2014/main" id="{20FF37EB-C2AC-4628-8C76-88EA380AF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786" name="AutoShape 136">
          <a:extLst>
            <a:ext uri="{FF2B5EF4-FFF2-40B4-BE49-F238E27FC236}">
              <a16:creationId xmlns:a16="http://schemas.microsoft.com/office/drawing/2014/main" id="{C3ED4CAD-D58E-427A-B876-8619C28069F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87" name="Picture 3786">
          <a:extLst>
            <a:ext uri="{FF2B5EF4-FFF2-40B4-BE49-F238E27FC236}">
              <a16:creationId xmlns:a16="http://schemas.microsoft.com/office/drawing/2014/main" id="{CA81B9AB-FF44-4F26-BDB5-C857E70C6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4800"/>
    <xdr:sp macro="" textlink="">
      <xdr:nvSpPr>
        <xdr:cNvPr id="3788" name="AutoShape 138">
          <a:extLst>
            <a:ext uri="{FF2B5EF4-FFF2-40B4-BE49-F238E27FC236}">
              <a16:creationId xmlns:a16="http://schemas.microsoft.com/office/drawing/2014/main" id="{649F6702-12BC-4F56-8A52-253D6AA3C32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89" name="Picture 3788">
          <a:extLst>
            <a:ext uri="{FF2B5EF4-FFF2-40B4-BE49-F238E27FC236}">
              <a16:creationId xmlns:a16="http://schemas.microsoft.com/office/drawing/2014/main" id="{0D38F040-360F-418D-9925-06A5AEABB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90" name="Picture 3789">
          <a:extLst>
            <a:ext uri="{FF2B5EF4-FFF2-40B4-BE49-F238E27FC236}">
              <a16:creationId xmlns:a16="http://schemas.microsoft.com/office/drawing/2014/main" id="{D4E7C8CA-774E-4C25-B70F-D30A5BE0A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29</xdr:row>
      <xdr:rowOff>0</xdr:rowOff>
    </xdr:from>
    <xdr:ext cx="304800" cy="303440"/>
    <xdr:sp macro="" textlink="">
      <xdr:nvSpPr>
        <xdr:cNvPr id="3791" name="AutoShape 144">
          <a:extLst>
            <a:ext uri="{FF2B5EF4-FFF2-40B4-BE49-F238E27FC236}">
              <a16:creationId xmlns:a16="http://schemas.microsoft.com/office/drawing/2014/main" id="{26CFB2C4-5A21-48F4-A768-A5BC1ED474B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9525" cy="9525"/>
    <xdr:pic>
      <xdr:nvPicPr>
        <xdr:cNvPr id="3792" name="Picture 3791">
          <a:extLst>
            <a:ext uri="{FF2B5EF4-FFF2-40B4-BE49-F238E27FC236}">
              <a16:creationId xmlns:a16="http://schemas.microsoft.com/office/drawing/2014/main" id="{872F1367-C2F1-49EC-8235-8D2B6A582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3793" name="AutoShape 44">
          <a:extLst>
            <a:ext uri="{FF2B5EF4-FFF2-40B4-BE49-F238E27FC236}">
              <a16:creationId xmlns:a16="http://schemas.microsoft.com/office/drawing/2014/main" id="{B701837E-8DAA-4F9E-B9D8-5647E4B2A010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3794" name="AutoShape 67">
          <a:extLst>
            <a:ext uri="{FF2B5EF4-FFF2-40B4-BE49-F238E27FC236}">
              <a16:creationId xmlns:a16="http://schemas.microsoft.com/office/drawing/2014/main" id="{B7811AB5-D7E9-4E7B-B66B-5A9DF5F6C465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3795" name="AutoShape 117">
          <a:extLst>
            <a:ext uri="{FF2B5EF4-FFF2-40B4-BE49-F238E27FC236}">
              <a16:creationId xmlns:a16="http://schemas.microsoft.com/office/drawing/2014/main" id="{4A96BB15-0164-463B-AF64-D5DC8B0A3A0A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3796" name="AutoShape 142">
          <a:extLst>
            <a:ext uri="{FF2B5EF4-FFF2-40B4-BE49-F238E27FC236}">
              <a16:creationId xmlns:a16="http://schemas.microsoft.com/office/drawing/2014/main" id="{1B301438-14D6-4B30-A7F1-C72892511B92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797" name="Picture 3796">
          <a:extLst>
            <a:ext uri="{FF2B5EF4-FFF2-40B4-BE49-F238E27FC236}">
              <a16:creationId xmlns:a16="http://schemas.microsoft.com/office/drawing/2014/main" id="{426E97A5-057E-49B7-9BFD-B4840B3F5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798" name="Picture 3797">
          <a:extLst>
            <a:ext uri="{FF2B5EF4-FFF2-40B4-BE49-F238E27FC236}">
              <a16:creationId xmlns:a16="http://schemas.microsoft.com/office/drawing/2014/main" id="{47966C5B-AD98-4CB6-BE8F-E5D254284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799" name="Picture 3798">
          <a:extLst>
            <a:ext uri="{FF2B5EF4-FFF2-40B4-BE49-F238E27FC236}">
              <a16:creationId xmlns:a16="http://schemas.microsoft.com/office/drawing/2014/main" id="{96576195-8E38-48EF-B8BE-EF0B70DDD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00" name="Picture 3799">
          <a:extLst>
            <a:ext uri="{FF2B5EF4-FFF2-40B4-BE49-F238E27FC236}">
              <a16:creationId xmlns:a16="http://schemas.microsoft.com/office/drawing/2014/main" id="{0258EBA8-DB32-4C41-8B23-6BDB02BE0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01" name="Picture 3800">
          <a:extLst>
            <a:ext uri="{FF2B5EF4-FFF2-40B4-BE49-F238E27FC236}">
              <a16:creationId xmlns:a16="http://schemas.microsoft.com/office/drawing/2014/main" id="{67EC7D29-E29E-499B-B94E-49FCB7F12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02" name="Picture 3801">
          <a:extLst>
            <a:ext uri="{FF2B5EF4-FFF2-40B4-BE49-F238E27FC236}">
              <a16:creationId xmlns:a16="http://schemas.microsoft.com/office/drawing/2014/main" id="{6A63AAF9-9744-4A1B-A422-4D388AC6A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304800" cy="304800"/>
    <xdr:sp macro="" textlink="">
      <xdr:nvSpPr>
        <xdr:cNvPr id="3803" name="AutoShape 38">
          <a:extLst>
            <a:ext uri="{FF2B5EF4-FFF2-40B4-BE49-F238E27FC236}">
              <a16:creationId xmlns:a16="http://schemas.microsoft.com/office/drawing/2014/main" id="{5EEE1D1B-40BC-4913-96C6-1D15E3949AA8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04" name="Picture 3803">
          <a:extLst>
            <a:ext uri="{FF2B5EF4-FFF2-40B4-BE49-F238E27FC236}">
              <a16:creationId xmlns:a16="http://schemas.microsoft.com/office/drawing/2014/main" id="{18BBA1FE-4A47-4CA9-96A3-92BD11B0B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304800" cy="304800"/>
    <xdr:sp macro="" textlink="">
      <xdr:nvSpPr>
        <xdr:cNvPr id="3805" name="AutoShape 40">
          <a:extLst>
            <a:ext uri="{FF2B5EF4-FFF2-40B4-BE49-F238E27FC236}">
              <a16:creationId xmlns:a16="http://schemas.microsoft.com/office/drawing/2014/main" id="{BBE8CE58-8F4E-4165-8232-DDB325DDC11A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06" name="Picture 3805">
          <a:extLst>
            <a:ext uri="{FF2B5EF4-FFF2-40B4-BE49-F238E27FC236}">
              <a16:creationId xmlns:a16="http://schemas.microsoft.com/office/drawing/2014/main" id="{2DBAB264-60C5-4A6D-B03C-05C5B4A1A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07" name="Picture 3806">
          <a:extLst>
            <a:ext uri="{FF2B5EF4-FFF2-40B4-BE49-F238E27FC236}">
              <a16:creationId xmlns:a16="http://schemas.microsoft.com/office/drawing/2014/main" id="{852C49E2-0026-4B74-B09D-2DD210835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08" name="Picture 3807">
          <a:extLst>
            <a:ext uri="{FF2B5EF4-FFF2-40B4-BE49-F238E27FC236}">
              <a16:creationId xmlns:a16="http://schemas.microsoft.com/office/drawing/2014/main" id="{EAE5C14C-BFE7-4674-B00D-8CFE9AD79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09" name="Picture 3808">
          <a:extLst>
            <a:ext uri="{FF2B5EF4-FFF2-40B4-BE49-F238E27FC236}">
              <a16:creationId xmlns:a16="http://schemas.microsoft.com/office/drawing/2014/main" id="{DA5D003C-4980-4D29-8473-4B7B7DA64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10" name="Picture 3809">
          <a:extLst>
            <a:ext uri="{FF2B5EF4-FFF2-40B4-BE49-F238E27FC236}">
              <a16:creationId xmlns:a16="http://schemas.microsoft.com/office/drawing/2014/main" id="{C6379D3E-DB04-4FA9-AAF2-2834D9198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11" name="Picture 3810">
          <a:extLst>
            <a:ext uri="{FF2B5EF4-FFF2-40B4-BE49-F238E27FC236}">
              <a16:creationId xmlns:a16="http://schemas.microsoft.com/office/drawing/2014/main" id="{BFFADF9B-4147-473C-BD3F-7540A8F89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12" name="Picture 3811">
          <a:extLst>
            <a:ext uri="{FF2B5EF4-FFF2-40B4-BE49-F238E27FC236}">
              <a16:creationId xmlns:a16="http://schemas.microsoft.com/office/drawing/2014/main" id="{ECDDA9F4-44C3-4A1A-874B-F61F4E9B5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304800" cy="304800"/>
    <xdr:sp macro="" textlink="">
      <xdr:nvSpPr>
        <xdr:cNvPr id="3813" name="AutoShape 61">
          <a:extLst>
            <a:ext uri="{FF2B5EF4-FFF2-40B4-BE49-F238E27FC236}">
              <a16:creationId xmlns:a16="http://schemas.microsoft.com/office/drawing/2014/main" id="{85EB296F-7C3C-4A8A-B348-DEA710EB6150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14" name="Picture 3813">
          <a:extLst>
            <a:ext uri="{FF2B5EF4-FFF2-40B4-BE49-F238E27FC236}">
              <a16:creationId xmlns:a16="http://schemas.microsoft.com/office/drawing/2014/main" id="{91104EEC-B93A-4F65-8E50-7914D471C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304800" cy="304800"/>
    <xdr:sp macro="" textlink="">
      <xdr:nvSpPr>
        <xdr:cNvPr id="3815" name="AutoShape 63">
          <a:extLst>
            <a:ext uri="{FF2B5EF4-FFF2-40B4-BE49-F238E27FC236}">
              <a16:creationId xmlns:a16="http://schemas.microsoft.com/office/drawing/2014/main" id="{99690F62-E4AB-4D0D-8E5C-D45E38B256B1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16" name="Picture 3815">
          <a:extLst>
            <a:ext uri="{FF2B5EF4-FFF2-40B4-BE49-F238E27FC236}">
              <a16:creationId xmlns:a16="http://schemas.microsoft.com/office/drawing/2014/main" id="{410EB2DE-3A70-4160-95B4-6325CD1E7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304800" cy="303440"/>
    <xdr:sp macro="" textlink="">
      <xdr:nvSpPr>
        <xdr:cNvPr id="3817" name="AutoShape 69">
          <a:extLst>
            <a:ext uri="{FF2B5EF4-FFF2-40B4-BE49-F238E27FC236}">
              <a16:creationId xmlns:a16="http://schemas.microsoft.com/office/drawing/2014/main" id="{2FCBAB1E-083E-40E4-9C96-B4D5444D4A7A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18" name="Picture 3817">
          <a:extLst>
            <a:ext uri="{FF2B5EF4-FFF2-40B4-BE49-F238E27FC236}">
              <a16:creationId xmlns:a16="http://schemas.microsoft.com/office/drawing/2014/main" id="{C87781FA-B098-4E23-AEE8-11231F937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19" name="Picture 3818">
          <a:extLst>
            <a:ext uri="{FF2B5EF4-FFF2-40B4-BE49-F238E27FC236}">
              <a16:creationId xmlns:a16="http://schemas.microsoft.com/office/drawing/2014/main" id="{3608F674-511E-46C3-B190-B42CB9D60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20" name="Picture 3819">
          <a:extLst>
            <a:ext uri="{FF2B5EF4-FFF2-40B4-BE49-F238E27FC236}">
              <a16:creationId xmlns:a16="http://schemas.microsoft.com/office/drawing/2014/main" id="{D4E29263-7D6C-4A48-A53D-AF2DE9241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21" name="Picture 3820">
          <a:extLst>
            <a:ext uri="{FF2B5EF4-FFF2-40B4-BE49-F238E27FC236}">
              <a16:creationId xmlns:a16="http://schemas.microsoft.com/office/drawing/2014/main" id="{7D442ABD-E821-498A-8CD4-F94725C0D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22" name="Picture 3821">
          <a:extLst>
            <a:ext uri="{FF2B5EF4-FFF2-40B4-BE49-F238E27FC236}">
              <a16:creationId xmlns:a16="http://schemas.microsoft.com/office/drawing/2014/main" id="{0A6B185D-3D67-4C48-BAB6-CB46F476E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23" name="Picture 3822">
          <a:extLst>
            <a:ext uri="{FF2B5EF4-FFF2-40B4-BE49-F238E27FC236}">
              <a16:creationId xmlns:a16="http://schemas.microsoft.com/office/drawing/2014/main" id="{B9F5E226-2DC9-4CA1-B26F-C47922E33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24" name="Picture 3823">
          <a:extLst>
            <a:ext uri="{FF2B5EF4-FFF2-40B4-BE49-F238E27FC236}">
              <a16:creationId xmlns:a16="http://schemas.microsoft.com/office/drawing/2014/main" id="{9AA0D090-D8F9-48BB-848E-71E94D017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304800" cy="304800"/>
    <xdr:sp macro="" textlink="">
      <xdr:nvSpPr>
        <xdr:cNvPr id="3825" name="AutoShape 111">
          <a:extLst>
            <a:ext uri="{FF2B5EF4-FFF2-40B4-BE49-F238E27FC236}">
              <a16:creationId xmlns:a16="http://schemas.microsoft.com/office/drawing/2014/main" id="{FA1DD42A-D5D2-42EA-8783-8932D2D53D28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26" name="Picture 3825">
          <a:extLst>
            <a:ext uri="{FF2B5EF4-FFF2-40B4-BE49-F238E27FC236}">
              <a16:creationId xmlns:a16="http://schemas.microsoft.com/office/drawing/2014/main" id="{A8231ADB-AB94-4012-8C99-FD2931B7A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304800" cy="304800"/>
    <xdr:sp macro="" textlink="">
      <xdr:nvSpPr>
        <xdr:cNvPr id="3827" name="AutoShape 113">
          <a:extLst>
            <a:ext uri="{FF2B5EF4-FFF2-40B4-BE49-F238E27FC236}">
              <a16:creationId xmlns:a16="http://schemas.microsoft.com/office/drawing/2014/main" id="{CAD102D9-64CC-4C81-AA2C-D078F48C5AFC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28" name="Picture 3827">
          <a:extLst>
            <a:ext uri="{FF2B5EF4-FFF2-40B4-BE49-F238E27FC236}">
              <a16:creationId xmlns:a16="http://schemas.microsoft.com/office/drawing/2014/main" id="{08A922E9-570C-4BEE-BBAA-8E0BFC7FE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29" name="Picture 3828">
          <a:extLst>
            <a:ext uri="{FF2B5EF4-FFF2-40B4-BE49-F238E27FC236}">
              <a16:creationId xmlns:a16="http://schemas.microsoft.com/office/drawing/2014/main" id="{4604E3C5-022A-4DDE-B826-6C6A37072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304800" cy="303440"/>
    <xdr:sp macro="" textlink="">
      <xdr:nvSpPr>
        <xdr:cNvPr id="3830" name="AutoShape 119">
          <a:extLst>
            <a:ext uri="{FF2B5EF4-FFF2-40B4-BE49-F238E27FC236}">
              <a16:creationId xmlns:a16="http://schemas.microsoft.com/office/drawing/2014/main" id="{8248776F-085B-4185-808D-3B6E0167E019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31" name="Picture 3830">
          <a:extLst>
            <a:ext uri="{FF2B5EF4-FFF2-40B4-BE49-F238E27FC236}">
              <a16:creationId xmlns:a16="http://schemas.microsoft.com/office/drawing/2014/main" id="{A9EC44F7-A74A-47BB-8CCC-E05758EBE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32" name="Picture 3831">
          <a:extLst>
            <a:ext uri="{FF2B5EF4-FFF2-40B4-BE49-F238E27FC236}">
              <a16:creationId xmlns:a16="http://schemas.microsoft.com/office/drawing/2014/main" id="{20E691E1-68BC-4D0C-AC02-2A76A72B0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33" name="Picture 3832">
          <a:extLst>
            <a:ext uri="{FF2B5EF4-FFF2-40B4-BE49-F238E27FC236}">
              <a16:creationId xmlns:a16="http://schemas.microsoft.com/office/drawing/2014/main" id="{B22C2CD8-9999-4725-9C8A-2335F420A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34" name="Picture 3833">
          <a:extLst>
            <a:ext uri="{FF2B5EF4-FFF2-40B4-BE49-F238E27FC236}">
              <a16:creationId xmlns:a16="http://schemas.microsoft.com/office/drawing/2014/main" id="{3FE1434D-A343-4015-A3A3-A1A084A96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35" name="Picture 3834">
          <a:extLst>
            <a:ext uri="{FF2B5EF4-FFF2-40B4-BE49-F238E27FC236}">
              <a16:creationId xmlns:a16="http://schemas.microsoft.com/office/drawing/2014/main" id="{646F5AD4-627E-4DCE-A471-3F1FD310A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36" name="Picture 3835">
          <a:extLst>
            <a:ext uri="{FF2B5EF4-FFF2-40B4-BE49-F238E27FC236}">
              <a16:creationId xmlns:a16="http://schemas.microsoft.com/office/drawing/2014/main" id="{4D19933A-3324-4749-A6AF-F706A37C3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37" name="Picture 3836">
          <a:extLst>
            <a:ext uri="{FF2B5EF4-FFF2-40B4-BE49-F238E27FC236}">
              <a16:creationId xmlns:a16="http://schemas.microsoft.com/office/drawing/2014/main" id="{FE78CDE9-A113-4312-9F76-FAB417D7C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304800" cy="304800"/>
    <xdr:sp macro="" textlink="">
      <xdr:nvSpPr>
        <xdr:cNvPr id="3838" name="AutoShape 136">
          <a:extLst>
            <a:ext uri="{FF2B5EF4-FFF2-40B4-BE49-F238E27FC236}">
              <a16:creationId xmlns:a16="http://schemas.microsoft.com/office/drawing/2014/main" id="{3BFAC0AE-E8CC-4480-9DA5-A9F713328E6E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39" name="Picture 3838">
          <a:extLst>
            <a:ext uri="{FF2B5EF4-FFF2-40B4-BE49-F238E27FC236}">
              <a16:creationId xmlns:a16="http://schemas.microsoft.com/office/drawing/2014/main" id="{798D77F4-9B81-47A5-9C2D-8353F3C1D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304800" cy="304800"/>
    <xdr:sp macro="" textlink="">
      <xdr:nvSpPr>
        <xdr:cNvPr id="3840" name="AutoShape 138">
          <a:extLst>
            <a:ext uri="{FF2B5EF4-FFF2-40B4-BE49-F238E27FC236}">
              <a16:creationId xmlns:a16="http://schemas.microsoft.com/office/drawing/2014/main" id="{A4439821-48C4-4BE3-B2FD-2FA803972BCC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41" name="Picture 3840">
          <a:extLst>
            <a:ext uri="{FF2B5EF4-FFF2-40B4-BE49-F238E27FC236}">
              <a16:creationId xmlns:a16="http://schemas.microsoft.com/office/drawing/2014/main" id="{13A749DB-C657-49D0-B28A-E7C20D022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42" name="Picture 3841">
          <a:extLst>
            <a:ext uri="{FF2B5EF4-FFF2-40B4-BE49-F238E27FC236}">
              <a16:creationId xmlns:a16="http://schemas.microsoft.com/office/drawing/2014/main" id="{991CD4C1-5D18-4D7F-9157-B578EAB1C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</xdr:row>
      <xdr:rowOff>0</xdr:rowOff>
    </xdr:from>
    <xdr:ext cx="304800" cy="303440"/>
    <xdr:sp macro="" textlink="">
      <xdr:nvSpPr>
        <xdr:cNvPr id="3843" name="AutoShape 144">
          <a:extLst>
            <a:ext uri="{FF2B5EF4-FFF2-40B4-BE49-F238E27FC236}">
              <a16:creationId xmlns:a16="http://schemas.microsoft.com/office/drawing/2014/main" id="{66790DD9-9944-4B0D-A8F9-5C21802646E9}"/>
            </a:ext>
          </a:extLst>
        </xdr:cNvPr>
        <xdr:cNvSpPr>
          <a:spLocks noChangeAspect="1" noChangeArrowheads="1"/>
        </xdr:cNvSpPr>
      </xdr:nvSpPr>
      <xdr:spPr bwMode="auto">
        <a:xfrm>
          <a:off x="328612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29</xdr:row>
      <xdr:rowOff>0</xdr:rowOff>
    </xdr:from>
    <xdr:ext cx="9525" cy="9525"/>
    <xdr:pic>
      <xdr:nvPicPr>
        <xdr:cNvPr id="3844" name="Picture 3843">
          <a:extLst>
            <a:ext uri="{FF2B5EF4-FFF2-40B4-BE49-F238E27FC236}">
              <a16:creationId xmlns:a16="http://schemas.microsoft.com/office/drawing/2014/main" id="{394A332A-3E8C-4D72-9BC6-ABCC0CA05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</xdr:row>
      <xdr:rowOff>0</xdr:rowOff>
    </xdr:from>
    <xdr:ext cx="9525" cy="9525"/>
    <xdr:pic>
      <xdr:nvPicPr>
        <xdr:cNvPr id="3845" name="Picture 3844">
          <a:extLst>
            <a:ext uri="{FF2B5EF4-FFF2-40B4-BE49-F238E27FC236}">
              <a16:creationId xmlns:a16="http://schemas.microsoft.com/office/drawing/2014/main" id="{5FB0B3A1-CD92-40F2-82E2-5AD064A98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</xdr:row>
      <xdr:rowOff>0</xdr:rowOff>
    </xdr:from>
    <xdr:ext cx="304800" cy="303439"/>
    <xdr:sp macro="" textlink="">
      <xdr:nvSpPr>
        <xdr:cNvPr id="3846" name="AutoShape 148">
          <a:extLst>
            <a:ext uri="{FF2B5EF4-FFF2-40B4-BE49-F238E27FC236}">
              <a16:creationId xmlns:a16="http://schemas.microsoft.com/office/drawing/2014/main" id="{122F6712-A463-408E-804E-DA27E98CFC5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3</xdr:row>
      <xdr:rowOff>0</xdr:rowOff>
    </xdr:from>
    <xdr:ext cx="304800" cy="304800"/>
    <xdr:sp macro="" textlink="">
      <xdr:nvSpPr>
        <xdr:cNvPr id="3847" name="AutoShape 150">
          <a:extLst>
            <a:ext uri="{FF2B5EF4-FFF2-40B4-BE49-F238E27FC236}">
              <a16:creationId xmlns:a16="http://schemas.microsoft.com/office/drawing/2014/main" id="{8C05BAB3-8ADD-476E-B9AE-765B9A98F7E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5</xdr:row>
      <xdr:rowOff>0</xdr:rowOff>
    </xdr:from>
    <xdr:ext cx="9525" cy="9525"/>
    <xdr:pic>
      <xdr:nvPicPr>
        <xdr:cNvPr id="3848" name="Picture 3847">
          <a:extLst>
            <a:ext uri="{FF2B5EF4-FFF2-40B4-BE49-F238E27FC236}">
              <a16:creationId xmlns:a16="http://schemas.microsoft.com/office/drawing/2014/main" id="{EE1860BB-69A3-4BB5-8B37-154AEBEB4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</xdr:row>
      <xdr:rowOff>0</xdr:rowOff>
    </xdr:from>
    <xdr:ext cx="9525" cy="9525"/>
    <xdr:pic>
      <xdr:nvPicPr>
        <xdr:cNvPr id="3849" name="Picture 3848">
          <a:extLst>
            <a:ext uri="{FF2B5EF4-FFF2-40B4-BE49-F238E27FC236}">
              <a16:creationId xmlns:a16="http://schemas.microsoft.com/office/drawing/2014/main" id="{D978A493-6983-4139-A803-FAA9C202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50" name="Picture 3849">
          <a:extLst>
            <a:ext uri="{FF2B5EF4-FFF2-40B4-BE49-F238E27FC236}">
              <a16:creationId xmlns:a16="http://schemas.microsoft.com/office/drawing/2014/main" id="{C6E40F37-604E-4223-AA3C-69DBEFA17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</xdr:row>
      <xdr:rowOff>0</xdr:rowOff>
    </xdr:from>
    <xdr:ext cx="304800" cy="304800"/>
    <xdr:sp macro="" textlink="">
      <xdr:nvSpPr>
        <xdr:cNvPr id="3851" name="AutoShape 154">
          <a:extLst>
            <a:ext uri="{FF2B5EF4-FFF2-40B4-BE49-F238E27FC236}">
              <a16:creationId xmlns:a16="http://schemas.microsoft.com/office/drawing/2014/main" id="{E0425080-6B67-468B-AD99-3F2F7C24898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26</xdr:row>
      <xdr:rowOff>0</xdr:rowOff>
    </xdr:from>
    <xdr:ext cx="9525" cy="9525"/>
    <xdr:pic>
      <xdr:nvPicPr>
        <xdr:cNvPr id="3852" name="Picture 3851">
          <a:extLst>
            <a:ext uri="{FF2B5EF4-FFF2-40B4-BE49-F238E27FC236}">
              <a16:creationId xmlns:a16="http://schemas.microsoft.com/office/drawing/2014/main" id="{C3A83B56-6B44-4C67-B67A-E17C34450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25</xdr:row>
      <xdr:rowOff>0</xdr:rowOff>
    </xdr:from>
    <xdr:ext cx="304800" cy="303440"/>
    <xdr:sp macro="" textlink="">
      <xdr:nvSpPr>
        <xdr:cNvPr id="3853" name="AutoShape 156">
          <a:extLst>
            <a:ext uri="{FF2B5EF4-FFF2-40B4-BE49-F238E27FC236}">
              <a16:creationId xmlns:a16="http://schemas.microsoft.com/office/drawing/2014/main" id="{2A4D28B2-90AC-4536-8FE4-C576C77D966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54" name="Picture 3853">
          <a:extLst>
            <a:ext uri="{FF2B5EF4-FFF2-40B4-BE49-F238E27FC236}">
              <a16:creationId xmlns:a16="http://schemas.microsoft.com/office/drawing/2014/main" id="{03DF1316-BEBC-441A-B3E6-552868C5E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55" name="Picture 3854">
          <a:extLst>
            <a:ext uri="{FF2B5EF4-FFF2-40B4-BE49-F238E27FC236}">
              <a16:creationId xmlns:a16="http://schemas.microsoft.com/office/drawing/2014/main" id="{9E6EAD44-46D1-4945-B5A4-451D7A9F0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3856" name="AutoShape 159">
          <a:extLst>
            <a:ext uri="{FF2B5EF4-FFF2-40B4-BE49-F238E27FC236}">
              <a16:creationId xmlns:a16="http://schemas.microsoft.com/office/drawing/2014/main" id="{783F36DC-4458-4CC4-A27B-7B77DDD4B4E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57" name="Picture 3856">
          <a:extLst>
            <a:ext uri="{FF2B5EF4-FFF2-40B4-BE49-F238E27FC236}">
              <a16:creationId xmlns:a16="http://schemas.microsoft.com/office/drawing/2014/main" id="{847FDE95-04AF-4E19-9B8E-8C11EC13E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58" name="Picture 3857">
          <a:extLst>
            <a:ext uri="{FF2B5EF4-FFF2-40B4-BE49-F238E27FC236}">
              <a16:creationId xmlns:a16="http://schemas.microsoft.com/office/drawing/2014/main" id="{61316457-C033-4940-B91F-4C4638257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59" name="Picture 3858">
          <a:extLst>
            <a:ext uri="{FF2B5EF4-FFF2-40B4-BE49-F238E27FC236}">
              <a16:creationId xmlns:a16="http://schemas.microsoft.com/office/drawing/2014/main" id="{1525E10A-A3C5-4082-8654-7485E29CF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60" name="Picture 3859">
          <a:extLst>
            <a:ext uri="{FF2B5EF4-FFF2-40B4-BE49-F238E27FC236}">
              <a16:creationId xmlns:a16="http://schemas.microsoft.com/office/drawing/2014/main" id="{4C8A2E59-8F44-4898-864A-C3F3F90E2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0</xdr:rowOff>
    </xdr:from>
    <xdr:ext cx="9525" cy="9525"/>
    <xdr:pic>
      <xdr:nvPicPr>
        <xdr:cNvPr id="3861" name="Picture 3860">
          <a:extLst>
            <a:ext uri="{FF2B5EF4-FFF2-40B4-BE49-F238E27FC236}">
              <a16:creationId xmlns:a16="http://schemas.microsoft.com/office/drawing/2014/main" id="{2259FCE7-24CF-471C-8FDF-377F20950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</xdr:row>
      <xdr:rowOff>0</xdr:rowOff>
    </xdr:from>
    <xdr:ext cx="304800" cy="303439"/>
    <xdr:sp macro="" textlink="">
      <xdr:nvSpPr>
        <xdr:cNvPr id="3862" name="AutoShape 165">
          <a:extLst>
            <a:ext uri="{FF2B5EF4-FFF2-40B4-BE49-F238E27FC236}">
              <a16:creationId xmlns:a16="http://schemas.microsoft.com/office/drawing/2014/main" id="{61D3F814-1DF6-4551-AD9A-2AAB4A58B77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63" name="Picture 3862">
          <a:extLst>
            <a:ext uri="{FF2B5EF4-FFF2-40B4-BE49-F238E27FC236}">
              <a16:creationId xmlns:a16="http://schemas.microsoft.com/office/drawing/2014/main" id="{3A301C92-D29F-4FF1-AFA9-CBF6D2F8A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64" name="Picture 3863">
          <a:extLst>
            <a:ext uri="{FF2B5EF4-FFF2-40B4-BE49-F238E27FC236}">
              <a16:creationId xmlns:a16="http://schemas.microsoft.com/office/drawing/2014/main" id="{38EC9B55-A31B-4887-9F98-6CA96EA55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3440"/>
    <xdr:sp macro="" textlink="">
      <xdr:nvSpPr>
        <xdr:cNvPr id="3865" name="AutoShape 169">
          <a:extLst>
            <a:ext uri="{FF2B5EF4-FFF2-40B4-BE49-F238E27FC236}">
              <a16:creationId xmlns:a16="http://schemas.microsoft.com/office/drawing/2014/main" id="{2848DD41-425B-40A6-A23C-11BD58CD5DB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27</xdr:row>
      <xdr:rowOff>0</xdr:rowOff>
    </xdr:from>
    <xdr:ext cx="9525" cy="9525"/>
    <xdr:pic>
      <xdr:nvPicPr>
        <xdr:cNvPr id="3866" name="Picture 3865">
          <a:extLst>
            <a:ext uri="{FF2B5EF4-FFF2-40B4-BE49-F238E27FC236}">
              <a16:creationId xmlns:a16="http://schemas.microsoft.com/office/drawing/2014/main" id="{61CD3A8C-34E9-490B-A114-2DD8DC330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26</xdr:row>
      <xdr:rowOff>0</xdr:rowOff>
    </xdr:from>
    <xdr:ext cx="304800" cy="303439"/>
    <xdr:sp macro="" textlink="">
      <xdr:nvSpPr>
        <xdr:cNvPr id="3867" name="AutoShape 171">
          <a:extLst>
            <a:ext uri="{FF2B5EF4-FFF2-40B4-BE49-F238E27FC236}">
              <a16:creationId xmlns:a16="http://schemas.microsoft.com/office/drawing/2014/main" id="{EE44DF09-D94B-4DAD-8265-0EACF99B44F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68" name="Picture 3867">
          <a:extLst>
            <a:ext uri="{FF2B5EF4-FFF2-40B4-BE49-F238E27FC236}">
              <a16:creationId xmlns:a16="http://schemas.microsoft.com/office/drawing/2014/main" id="{9044A8BF-8D81-4A16-A790-4C0BE554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27</xdr:row>
      <xdr:rowOff>0</xdr:rowOff>
    </xdr:from>
    <xdr:ext cx="304800" cy="303440"/>
    <xdr:sp macro="" textlink="">
      <xdr:nvSpPr>
        <xdr:cNvPr id="3869" name="AutoShape 173">
          <a:extLst>
            <a:ext uri="{FF2B5EF4-FFF2-40B4-BE49-F238E27FC236}">
              <a16:creationId xmlns:a16="http://schemas.microsoft.com/office/drawing/2014/main" id="{DAA21864-1C57-4FD7-921F-135DF752AE7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477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70" name="Picture 3869">
          <a:extLst>
            <a:ext uri="{FF2B5EF4-FFF2-40B4-BE49-F238E27FC236}">
              <a16:creationId xmlns:a16="http://schemas.microsoft.com/office/drawing/2014/main" id="{4B742F22-D3B0-4A0B-A452-B9BBABBBF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71" name="Picture 3870">
          <a:extLst>
            <a:ext uri="{FF2B5EF4-FFF2-40B4-BE49-F238E27FC236}">
              <a16:creationId xmlns:a16="http://schemas.microsoft.com/office/drawing/2014/main" id="{6CBE1820-B46A-4FDA-B29E-0691FF8B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</xdr:row>
      <xdr:rowOff>0</xdr:rowOff>
    </xdr:from>
    <xdr:ext cx="9525" cy="9525"/>
    <xdr:pic>
      <xdr:nvPicPr>
        <xdr:cNvPr id="3872" name="Picture 3871">
          <a:extLst>
            <a:ext uri="{FF2B5EF4-FFF2-40B4-BE49-F238E27FC236}">
              <a16:creationId xmlns:a16="http://schemas.microsoft.com/office/drawing/2014/main" id="{C7DC7824-DEA2-44E1-BE71-99984444F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</xdr:row>
      <xdr:rowOff>0</xdr:rowOff>
    </xdr:from>
    <xdr:ext cx="304800" cy="303439"/>
    <xdr:sp macro="" textlink="">
      <xdr:nvSpPr>
        <xdr:cNvPr id="3873" name="AutoShape 177">
          <a:extLst>
            <a:ext uri="{FF2B5EF4-FFF2-40B4-BE49-F238E27FC236}">
              <a16:creationId xmlns:a16="http://schemas.microsoft.com/office/drawing/2014/main" id="{49CAC1CB-2AC8-4F09-91B2-41D33BD4CF7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4</xdr:row>
      <xdr:rowOff>0</xdr:rowOff>
    </xdr:from>
    <xdr:ext cx="9525" cy="9525"/>
    <xdr:pic>
      <xdr:nvPicPr>
        <xdr:cNvPr id="3874" name="Picture 3873">
          <a:extLst>
            <a:ext uri="{FF2B5EF4-FFF2-40B4-BE49-F238E27FC236}">
              <a16:creationId xmlns:a16="http://schemas.microsoft.com/office/drawing/2014/main" id="{CD8DD35D-2A8A-472A-ABE9-9E5D1A69E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9525" cy="9525"/>
    <xdr:pic>
      <xdr:nvPicPr>
        <xdr:cNvPr id="3875" name="Picture 3874">
          <a:extLst>
            <a:ext uri="{FF2B5EF4-FFF2-40B4-BE49-F238E27FC236}">
              <a16:creationId xmlns:a16="http://schemas.microsoft.com/office/drawing/2014/main" id="{EDB2206A-85B6-44FE-B6C5-0AB14B87E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</xdr:row>
      <xdr:rowOff>0</xdr:rowOff>
    </xdr:from>
    <xdr:ext cx="9525" cy="9525"/>
    <xdr:pic>
      <xdr:nvPicPr>
        <xdr:cNvPr id="3876" name="Picture 3875">
          <a:extLst>
            <a:ext uri="{FF2B5EF4-FFF2-40B4-BE49-F238E27FC236}">
              <a16:creationId xmlns:a16="http://schemas.microsoft.com/office/drawing/2014/main" id="{F890AA5E-5D82-4AF5-85E6-A3EAC4702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304800" cy="304800"/>
    <xdr:sp macro="" textlink="">
      <xdr:nvSpPr>
        <xdr:cNvPr id="3877" name="AutoShape 181">
          <a:extLst>
            <a:ext uri="{FF2B5EF4-FFF2-40B4-BE49-F238E27FC236}">
              <a16:creationId xmlns:a16="http://schemas.microsoft.com/office/drawing/2014/main" id="{4D3B0444-919F-4474-ADA0-F771CC41574E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78" name="Picture 3877">
          <a:extLst>
            <a:ext uri="{FF2B5EF4-FFF2-40B4-BE49-F238E27FC236}">
              <a16:creationId xmlns:a16="http://schemas.microsoft.com/office/drawing/2014/main" id="{C8A5A513-5839-4813-89F2-DFBEBC324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304800" cy="304800"/>
    <xdr:sp macro="" textlink="">
      <xdr:nvSpPr>
        <xdr:cNvPr id="3879" name="AutoShape 183">
          <a:extLst>
            <a:ext uri="{FF2B5EF4-FFF2-40B4-BE49-F238E27FC236}">
              <a16:creationId xmlns:a16="http://schemas.microsoft.com/office/drawing/2014/main" id="{F5116F3F-60FD-48C1-8C2F-F3F16C9FD34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26</xdr:row>
      <xdr:rowOff>0</xdr:rowOff>
    </xdr:from>
    <xdr:ext cx="9525" cy="9525"/>
    <xdr:pic>
      <xdr:nvPicPr>
        <xdr:cNvPr id="3880" name="Picture 3879">
          <a:extLst>
            <a:ext uri="{FF2B5EF4-FFF2-40B4-BE49-F238E27FC236}">
              <a16:creationId xmlns:a16="http://schemas.microsoft.com/office/drawing/2014/main" id="{A9709428-45AF-4305-938A-43CF6C385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25</xdr:row>
      <xdr:rowOff>0</xdr:rowOff>
    </xdr:from>
    <xdr:ext cx="304800" cy="303440"/>
    <xdr:sp macro="" textlink="">
      <xdr:nvSpPr>
        <xdr:cNvPr id="3881" name="AutoShape 185">
          <a:extLst>
            <a:ext uri="{FF2B5EF4-FFF2-40B4-BE49-F238E27FC236}">
              <a16:creationId xmlns:a16="http://schemas.microsoft.com/office/drawing/2014/main" id="{2D619C80-9D9F-4F4D-BD24-0AA76ADA41C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82" name="Picture 3881">
          <a:extLst>
            <a:ext uri="{FF2B5EF4-FFF2-40B4-BE49-F238E27FC236}">
              <a16:creationId xmlns:a16="http://schemas.microsoft.com/office/drawing/2014/main" id="{4828BD14-07E9-490D-B10F-1803265A7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83" name="Picture 3882">
          <a:extLst>
            <a:ext uri="{FF2B5EF4-FFF2-40B4-BE49-F238E27FC236}">
              <a16:creationId xmlns:a16="http://schemas.microsoft.com/office/drawing/2014/main" id="{7767BB3A-3787-4053-8A85-049D5697F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84" name="Picture 3883">
          <a:extLst>
            <a:ext uri="{FF2B5EF4-FFF2-40B4-BE49-F238E27FC236}">
              <a16:creationId xmlns:a16="http://schemas.microsoft.com/office/drawing/2014/main" id="{E94AE763-B791-4FF7-B4EE-7706FBF58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85" name="Picture 3884">
          <a:extLst>
            <a:ext uri="{FF2B5EF4-FFF2-40B4-BE49-F238E27FC236}">
              <a16:creationId xmlns:a16="http://schemas.microsoft.com/office/drawing/2014/main" id="{DFDDED6C-09E3-4D9E-9093-612906142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86" name="Picture 3885">
          <a:extLst>
            <a:ext uri="{FF2B5EF4-FFF2-40B4-BE49-F238E27FC236}">
              <a16:creationId xmlns:a16="http://schemas.microsoft.com/office/drawing/2014/main" id="{C494C289-A79C-479E-BB8A-A57E6EF5C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3887" name="AutoShape 191">
          <a:extLst>
            <a:ext uri="{FF2B5EF4-FFF2-40B4-BE49-F238E27FC236}">
              <a16:creationId xmlns:a16="http://schemas.microsoft.com/office/drawing/2014/main" id="{E3B84038-8AD1-47FF-ACFF-6D48577A66A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88" name="Picture 3887">
          <a:extLst>
            <a:ext uri="{FF2B5EF4-FFF2-40B4-BE49-F238E27FC236}">
              <a16:creationId xmlns:a16="http://schemas.microsoft.com/office/drawing/2014/main" id="{E68D2794-5794-4A63-AB3E-A7E3B95B5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3889" name="AutoShape 193">
          <a:extLst>
            <a:ext uri="{FF2B5EF4-FFF2-40B4-BE49-F238E27FC236}">
              <a16:creationId xmlns:a16="http://schemas.microsoft.com/office/drawing/2014/main" id="{D9B9D95D-3AF1-4E6F-B74E-EB8A2C3DC6B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13</xdr:row>
      <xdr:rowOff>0</xdr:rowOff>
    </xdr:from>
    <xdr:ext cx="9525" cy="9525"/>
    <xdr:pic>
      <xdr:nvPicPr>
        <xdr:cNvPr id="3890" name="Picture 3889">
          <a:extLst>
            <a:ext uri="{FF2B5EF4-FFF2-40B4-BE49-F238E27FC236}">
              <a16:creationId xmlns:a16="http://schemas.microsoft.com/office/drawing/2014/main" id="{E50E3988-DE11-4F87-ACC9-74D34CBE7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</xdr:row>
      <xdr:rowOff>0</xdr:rowOff>
    </xdr:from>
    <xdr:ext cx="304800" cy="303439"/>
    <xdr:sp macro="" textlink="">
      <xdr:nvSpPr>
        <xdr:cNvPr id="3891" name="AutoShape 195">
          <a:extLst>
            <a:ext uri="{FF2B5EF4-FFF2-40B4-BE49-F238E27FC236}">
              <a16:creationId xmlns:a16="http://schemas.microsoft.com/office/drawing/2014/main" id="{1F39B916-713E-4A20-9205-F426F2CA8BD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92" name="Picture 3891">
          <a:extLst>
            <a:ext uri="{FF2B5EF4-FFF2-40B4-BE49-F238E27FC236}">
              <a16:creationId xmlns:a16="http://schemas.microsoft.com/office/drawing/2014/main" id="{5F0BB05E-1EA6-434F-B70E-D028034DE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93" name="Picture 3892">
          <a:extLst>
            <a:ext uri="{FF2B5EF4-FFF2-40B4-BE49-F238E27FC236}">
              <a16:creationId xmlns:a16="http://schemas.microsoft.com/office/drawing/2014/main" id="{3D304277-7833-4423-B53B-092B101E9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3440"/>
    <xdr:sp macro="" textlink="">
      <xdr:nvSpPr>
        <xdr:cNvPr id="3894" name="AutoShape 199">
          <a:extLst>
            <a:ext uri="{FF2B5EF4-FFF2-40B4-BE49-F238E27FC236}">
              <a16:creationId xmlns:a16="http://schemas.microsoft.com/office/drawing/2014/main" id="{2944D44C-8312-4091-ACB0-2DA38091BD8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27</xdr:row>
      <xdr:rowOff>0</xdr:rowOff>
    </xdr:from>
    <xdr:ext cx="9525" cy="9525"/>
    <xdr:pic>
      <xdr:nvPicPr>
        <xdr:cNvPr id="3895" name="Picture 3894">
          <a:extLst>
            <a:ext uri="{FF2B5EF4-FFF2-40B4-BE49-F238E27FC236}">
              <a16:creationId xmlns:a16="http://schemas.microsoft.com/office/drawing/2014/main" id="{FFE1C33C-3E9D-4161-A551-DE56B5D50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896" name="Picture 3895">
          <a:extLst>
            <a:ext uri="{FF2B5EF4-FFF2-40B4-BE49-F238E27FC236}">
              <a16:creationId xmlns:a16="http://schemas.microsoft.com/office/drawing/2014/main" id="{398C69E3-401F-4DF4-A970-18FE0D5AD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</xdr:row>
      <xdr:rowOff>0</xdr:rowOff>
    </xdr:from>
    <xdr:ext cx="9525" cy="9525"/>
    <xdr:pic>
      <xdr:nvPicPr>
        <xdr:cNvPr id="3897" name="Picture 3896">
          <a:extLst>
            <a:ext uri="{FF2B5EF4-FFF2-40B4-BE49-F238E27FC236}">
              <a16:creationId xmlns:a16="http://schemas.microsoft.com/office/drawing/2014/main" id="{69E574F2-928E-4FA5-85C1-39ECA9961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</xdr:row>
      <xdr:rowOff>0</xdr:rowOff>
    </xdr:from>
    <xdr:ext cx="304800" cy="303439"/>
    <xdr:sp macro="" textlink="">
      <xdr:nvSpPr>
        <xdr:cNvPr id="3898" name="AutoShape 203">
          <a:extLst>
            <a:ext uri="{FF2B5EF4-FFF2-40B4-BE49-F238E27FC236}">
              <a16:creationId xmlns:a16="http://schemas.microsoft.com/office/drawing/2014/main" id="{C5EB0493-2A68-4E53-8244-B2331C581F9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4</xdr:row>
      <xdr:rowOff>0</xdr:rowOff>
    </xdr:from>
    <xdr:ext cx="9525" cy="9525"/>
    <xdr:pic>
      <xdr:nvPicPr>
        <xdr:cNvPr id="3899" name="Picture 3898">
          <a:extLst>
            <a:ext uri="{FF2B5EF4-FFF2-40B4-BE49-F238E27FC236}">
              <a16:creationId xmlns:a16="http://schemas.microsoft.com/office/drawing/2014/main" id="{218F882B-98D4-4752-9FD7-465E7AD5E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9525" cy="9525"/>
    <xdr:pic>
      <xdr:nvPicPr>
        <xdr:cNvPr id="3900" name="Picture 3899">
          <a:extLst>
            <a:ext uri="{FF2B5EF4-FFF2-40B4-BE49-F238E27FC236}">
              <a16:creationId xmlns:a16="http://schemas.microsoft.com/office/drawing/2014/main" id="{99F66BC0-8998-4590-892E-0E0BC0743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</xdr:row>
      <xdr:rowOff>0</xdr:rowOff>
    </xdr:from>
    <xdr:ext cx="9525" cy="9525"/>
    <xdr:pic>
      <xdr:nvPicPr>
        <xdr:cNvPr id="3901" name="Picture 3900">
          <a:extLst>
            <a:ext uri="{FF2B5EF4-FFF2-40B4-BE49-F238E27FC236}">
              <a16:creationId xmlns:a16="http://schemas.microsoft.com/office/drawing/2014/main" id="{C7C6C121-417A-4538-9A8E-56A14E115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304800" cy="304800"/>
    <xdr:sp macro="" textlink="">
      <xdr:nvSpPr>
        <xdr:cNvPr id="3902" name="AutoShape 207">
          <a:extLst>
            <a:ext uri="{FF2B5EF4-FFF2-40B4-BE49-F238E27FC236}">
              <a16:creationId xmlns:a16="http://schemas.microsoft.com/office/drawing/2014/main" id="{8DA03B7D-34DA-4E75-8EA7-CFF9E864C40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03" name="Picture 3902">
          <a:extLst>
            <a:ext uri="{FF2B5EF4-FFF2-40B4-BE49-F238E27FC236}">
              <a16:creationId xmlns:a16="http://schemas.microsoft.com/office/drawing/2014/main" id="{FF2927A4-195A-4F12-8B19-4B746A340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304800" cy="304800"/>
    <xdr:sp macro="" textlink="">
      <xdr:nvSpPr>
        <xdr:cNvPr id="3904" name="AutoShape 209">
          <a:extLst>
            <a:ext uri="{FF2B5EF4-FFF2-40B4-BE49-F238E27FC236}">
              <a16:creationId xmlns:a16="http://schemas.microsoft.com/office/drawing/2014/main" id="{D71B25DD-330B-49F0-9DB1-8CAA645C69F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26</xdr:row>
      <xdr:rowOff>0</xdr:rowOff>
    </xdr:from>
    <xdr:ext cx="9525" cy="9525"/>
    <xdr:pic>
      <xdr:nvPicPr>
        <xdr:cNvPr id="3905" name="Picture 3904">
          <a:extLst>
            <a:ext uri="{FF2B5EF4-FFF2-40B4-BE49-F238E27FC236}">
              <a16:creationId xmlns:a16="http://schemas.microsoft.com/office/drawing/2014/main" id="{F696400A-E56B-473A-AEDA-81377A223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25</xdr:row>
      <xdr:rowOff>0</xdr:rowOff>
    </xdr:from>
    <xdr:ext cx="304800" cy="303440"/>
    <xdr:sp macro="" textlink="">
      <xdr:nvSpPr>
        <xdr:cNvPr id="3906" name="AutoShape 211">
          <a:extLst>
            <a:ext uri="{FF2B5EF4-FFF2-40B4-BE49-F238E27FC236}">
              <a16:creationId xmlns:a16="http://schemas.microsoft.com/office/drawing/2014/main" id="{135E7536-5447-4141-A3A9-93FA5915A34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07" name="Picture 3906">
          <a:extLst>
            <a:ext uri="{FF2B5EF4-FFF2-40B4-BE49-F238E27FC236}">
              <a16:creationId xmlns:a16="http://schemas.microsoft.com/office/drawing/2014/main" id="{15F76987-33D8-4E52-B503-1FBECD6E8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08" name="Picture 3907">
          <a:extLst>
            <a:ext uri="{FF2B5EF4-FFF2-40B4-BE49-F238E27FC236}">
              <a16:creationId xmlns:a16="http://schemas.microsoft.com/office/drawing/2014/main" id="{6C7F1643-66A6-48DD-B7A6-C62F1650F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09" name="Picture 3908">
          <a:extLst>
            <a:ext uri="{FF2B5EF4-FFF2-40B4-BE49-F238E27FC236}">
              <a16:creationId xmlns:a16="http://schemas.microsoft.com/office/drawing/2014/main" id="{03AFE5EC-0F36-4550-BF61-3255D0DB6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10" name="Picture 3909">
          <a:extLst>
            <a:ext uri="{FF2B5EF4-FFF2-40B4-BE49-F238E27FC236}">
              <a16:creationId xmlns:a16="http://schemas.microsoft.com/office/drawing/2014/main" id="{CBABDCA7-F759-48C0-910A-701B3700F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11" name="Picture 3910">
          <a:extLst>
            <a:ext uri="{FF2B5EF4-FFF2-40B4-BE49-F238E27FC236}">
              <a16:creationId xmlns:a16="http://schemas.microsoft.com/office/drawing/2014/main" id="{933CB107-8755-4D1E-AEE7-DB9EF5D07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3912" name="AutoShape 217">
          <a:extLst>
            <a:ext uri="{FF2B5EF4-FFF2-40B4-BE49-F238E27FC236}">
              <a16:creationId xmlns:a16="http://schemas.microsoft.com/office/drawing/2014/main" id="{8B0B2E77-65BE-449E-BE45-C1F04E00FFF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13" name="Picture 3912">
          <a:extLst>
            <a:ext uri="{FF2B5EF4-FFF2-40B4-BE49-F238E27FC236}">
              <a16:creationId xmlns:a16="http://schemas.microsoft.com/office/drawing/2014/main" id="{B7E798A2-3023-4CB1-9839-C8F283947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3914" name="AutoShape 219">
          <a:extLst>
            <a:ext uri="{FF2B5EF4-FFF2-40B4-BE49-F238E27FC236}">
              <a16:creationId xmlns:a16="http://schemas.microsoft.com/office/drawing/2014/main" id="{33E487D5-F9F8-46D0-9665-EA6E529786B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13</xdr:row>
      <xdr:rowOff>0</xdr:rowOff>
    </xdr:from>
    <xdr:ext cx="9525" cy="9525"/>
    <xdr:pic>
      <xdr:nvPicPr>
        <xdr:cNvPr id="3915" name="Picture 3914">
          <a:extLst>
            <a:ext uri="{FF2B5EF4-FFF2-40B4-BE49-F238E27FC236}">
              <a16:creationId xmlns:a16="http://schemas.microsoft.com/office/drawing/2014/main" id="{511D7D6C-49D9-4AC0-BF42-D4D1BDC3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</xdr:row>
      <xdr:rowOff>0</xdr:rowOff>
    </xdr:from>
    <xdr:ext cx="304800" cy="303439"/>
    <xdr:sp macro="" textlink="">
      <xdr:nvSpPr>
        <xdr:cNvPr id="3916" name="AutoShape 221">
          <a:extLst>
            <a:ext uri="{FF2B5EF4-FFF2-40B4-BE49-F238E27FC236}">
              <a16:creationId xmlns:a16="http://schemas.microsoft.com/office/drawing/2014/main" id="{08109BB8-C882-4EEE-B147-5D1E2F1A61D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17" name="Picture 3916">
          <a:extLst>
            <a:ext uri="{FF2B5EF4-FFF2-40B4-BE49-F238E27FC236}">
              <a16:creationId xmlns:a16="http://schemas.microsoft.com/office/drawing/2014/main" id="{AD5E1F4E-4807-4CEA-B8AA-DC012B594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0</xdr:rowOff>
    </xdr:from>
    <xdr:ext cx="304800" cy="304800"/>
    <xdr:sp macro="" textlink="">
      <xdr:nvSpPr>
        <xdr:cNvPr id="3918" name="AutoShape 223">
          <a:extLst>
            <a:ext uri="{FF2B5EF4-FFF2-40B4-BE49-F238E27FC236}">
              <a16:creationId xmlns:a16="http://schemas.microsoft.com/office/drawing/2014/main" id="{17F4AE44-6BE4-4423-8FAA-A1FDE56E2E7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19" name="Picture 3918">
          <a:extLst>
            <a:ext uri="{FF2B5EF4-FFF2-40B4-BE49-F238E27FC236}">
              <a16:creationId xmlns:a16="http://schemas.microsoft.com/office/drawing/2014/main" id="{74A6CF03-7272-4C8F-A063-780A3BE3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27</xdr:row>
      <xdr:rowOff>0</xdr:rowOff>
    </xdr:from>
    <xdr:ext cx="9525" cy="9525"/>
    <xdr:pic>
      <xdr:nvPicPr>
        <xdr:cNvPr id="3920" name="Picture 3919">
          <a:extLst>
            <a:ext uri="{FF2B5EF4-FFF2-40B4-BE49-F238E27FC236}">
              <a16:creationId xmlns:a16="http://schemas.microsoft.com/office/drawing/2014/main" id="{E4A386DF-5F7C-4877-A3B2-2C359385F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</xdr:row>
      <xdr:rowOff>0</xdr:rowOff>
    </xdr:from>
    <xdr:ext cx="9525" cy="9525"/>
    <xdr:pic>
      <xdr:nvPicPr>
        <xdr:cNvPr id="3921" name="Picture 3920">
          <a:extLst>
            <a:ext uri="{FF2B5EF4-FFF2-40B4-BE49-F238E27FC236}">
              <a16:creationId xmlns:a16="http://schemas.microsoft.com/office/drawing/2014/main" id="{7A7D199E-1987-434F-8EDC-C21DFDA5B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</xdr:row>
      <xdr:rowOff>0</xdr:rowOff>
    </xdr:from>
    <xdr:ext cx="304800" cy="303439"/>
    <xdr:sp macro="" textlink="">
      <xdr:nvSpPr>
        <xdr:cNvPr id="3922" name="AutoShape 227">
          <a:extLst>
            <a:ext uri="{FF2B5EF4-FFF2-40B4-BE49-F238E27FC236}">
              <a16:creationId xmlns:a16="http://schemas.microsoft.com/office/drawing/2014/main" id="{A553406F-B365-488B-BB10-97174CD778C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4</xdr:row>
      <xdr:rowOff>0</xdr:rowOff>
    </xdr:from>
    <xdr:ext cx="9525" cy="9525"/>
    <xdr:pic>
      <xdr:nvPicPr>
        <xdr:cNvPr id="3923" name="Picture 3922">
          <a:extLst>
            <a:ext uri="{FF2B5EF4-FFF2-40B4-BE49-F238E27FC236}">
              <a16:creationId xmlns:a16="http://schemas.microsoft.com/office/drawing/2014/main" id="{14493061-B013-4CB1-87D5-C6B4A91EF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9525" cy="9525"/>
    <xdr:pic>
      <xdr:nvPicPr>
        <xdr:cNvPr id="3924" name="Picture 3923">
          <a:extLst>
            <a:ext uri="{FF2B5EF4-FFF2-40B4-BE49-F238E27FC236}">
              <a16:creationId xmlns:a16="http://schemas.microsoft.com/office/drawing/2014/main" id="{49928173-B290-4754-A551-3284B602D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</xdr:row>
      <xdr:rowOff>0</xdr:rowOff>
    </xdr:from>
    <xdr:ext cx="9525" cy="9525"/>
    <xdr:pic>
      <xdr:nvPicPr>
        <xdr:cNvPr id="3925" name="Picture 3924">
          <a:extLst>
            <a:ext uri="{FF2B5EF4-FFF2-40B4-BE49-F238E27FC236}">
              <a16:creationId xmlns:a16="http://schemas.microsoft.com/office/drawing/2014/main" id="{4C47502C-0F67-4F83-8CE8-40E756348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304800" cy="304800"/>
    <xdr:sp macro="" textlink="">
      <xdr:nvSpPr>
        <xdr:cNvPr id="3926" name="AutoShape 231">
          <a:extLst>
            <a:ext uri="{FF2B5EF4-FFF2-40B4-BE49-F238E27FC236}">
              <a16:creationId xmlns:a16="http://schemas.microsoft.com/office/drawing/2014/main" id="{C679F0F4-5801-482E-9724-B65948A15DE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27" name="Picture 3926">
          <a:extLst>
            <a:ext uri="{FF2B5EF4-FFF2-40B4-BE49-F238E27FC236}">
              <a16:creationId xmlns:a16="http://schemas.microsoft.com/office/drawing/2014/main" id="{D202BF58-81EE-49B3-8E83-FF0463AEE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304800" cy="304800"/>
    <xdr:sp macro="" textlink="">
      <xdr:nvSpPr>
        <xdr:cNvPr id="3928" name="AutoShape 233">
          <a:extLst>
            <a:ext uri="{FF2B5EF4-FFF2-40B4-BE49-F238E27FC236}">
              <a16:creationId xmlns:a16="http://schemas.microsoft.com/office/drawing/2014/main" id="{EA45BEEE-FDB6-4469-9BB1-237FAE863D4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26</xdr:row>
      <xdr:rowOff>0</xdr:rowOff>
    </xdr:from>
    <xdr:ext cx="9525" cy="9525"/>
    <xdr:pic>
      <xdr:nvPicPr>
        <xdr:cNvPr id="3929" name="Picture 3928">
          <a:extLst>
            <a:ext uri="{FF2B5EF4-FFF2-40B4-BE49-F238E27FC236}">
              <a16:creationId xmlns:a16="http://schemas.microsoft.com/office/drawing/2014/main" id="{8BA40AA6-939B-485A-99FF-4D6479B8D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25</xdr:row>
      <xdr:rowOff>0</xdr:rowOff>
    </xdr:from>
    <xdr:ext cx="304800" cy="303440"/>
    <xdr:sp macro="" textlink="">
      <xdr:nvSpPr>
        <xdr:cNvPr id="3930" name="AutoShape 235">
          <a:extLst>
            <a:ext uri="{FF2B5EF4-FFF2-40B4-BE49-F238E27FC236}">
              <a16:creationId xmlns:a16="http://schemas.microsoft.com/office/drawing/2014/main" id="{0D33F426-1242-47A6-8A7C-08FEDC6E32B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31" name="Picture 3930">
          <a:extLst>
            <a:ext uri="{FF2B5EF4-FFF2-40B4-BE49-F238E27FC236}">
              <a16:creationId xmlns:a16="http://schemas.microsoft.com/office/drawing/2014/main" id="{8AEE4FB2-AD89-4168-872B-1A3E593B0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32" name="Picture 3931">
          <a:extLst>
            <a:ext uri="{FF2B5EF4-FFF2-40B4-BE49-F238E27FC236}">
              <a16:creationId xmlns:a16="http://schemas.microsoft.com/office/drawing/2014/main" id="{3F5BD3B6-C6DF-42F9-9FA1-852E04766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33" name="Picture 3932">
          <a:extLst>
            <a:ext uri="{FF2B5EF4-FFF2-40B4-BE49-F238E27FC236}">
              <a16:creationId xmlns:a16="http://schemas.microsoft.com/office/drawing/2014/main" id="{E938333F-68F7-41A3-A327-6CA9AB4D5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34" name="Picture 3933">
          <a:extLst>
            <a:ext uri="{FF2B5EF4-FFF2-40B4-BE49-F238E27FC236}">
              <a16:creationId xmlns:a16="http://schemas.microsoft.com/office/drawing/2014/main" id="{959B1CB3-221B-4B46-9CFB-238A2777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35" name="Picture 3934">
          <a:extLst>
            <a:ext uri="{FF2B5EF4-FFF2-40B4-BE49-F238E27FC236}">
              <a16:creationId xmlns:a16="http://schemas.microsoft.com/office/drawing/2014/main" id="{88E67A80-0A9A-4B46-9105-D51487A7C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3936" name="AutoShape 241">
          <a:extLst>
            <a:ext uri="{FF2B5EF4-FFF2-40B4-BE49-F238E27FC236}">
              <a16:creationId xmlns:a16="http://schemas.microsoft.com/office/drawing/2014/main" id="{01387146-BF5C-4E6E-B322-B500A4F2D6C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37" name="Picture 3936">
          <a:extLst>
            <a:ext uri="{FF2B5EF4-FFF2-40B4-BE49-F238E27FC236}">
              <a16:creationId xmlns:a16="http://schemas.microsoft.com/office/drawing/2014/main" id="{898A8AD6-41D8-4A93-963E-FD5E13544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3938" name="AutoShape 243">
          <a:extLst>
            <a:ext uri="{FF2B5EF4-FFF2-40B4-BE49-F238E27FC236}">
              <a16:creationId xmlns:a16="http://schemas.microsoft.com/office/drawing/2014/main" id="{84780DFF-B881-48E9-AB0E-24A7F84F3C3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13</xdr:row>
      <xdr:rowOff>0</xdr:rowOff>
    </xdr:from>
    <xdr:ext cx="9525" cy="9525"/>
    <xdr:pic>
      <xdr:nvPicPr>
        <xdr:cNvPr id="3939" name="Picture 3938">
          <a:extLst>
            <a:ext uri="{FF2B5EF4-FFF2-40B4-BE49-F238E27FC236}">
              <a16:creationId xmlns:a16="http://schemas.microsoft.com/office/drawing/2014/main" id="{C26B7016-4519-4BCF-B46E-E75C7B13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</xdr:row>
      <xdr:rowOff>0</xdr:rowOff>
    </xdr:from>
    <xdr:ext cx="304800" cy="303439"/>
    <xdr:sp macro="" textlink="">
      <xdr:nvSpPr>
        <xdr:cNvPr id="3940" name="AutoShape 245">
          <a:extLst>
            <a:ext uri="{FF2B5EF4-FFF2-40B4-BE49-F238E27FC236}">
              <a16:creationId xmlns:a16="http://schemas.microsoft.com/office/drawing/2014/main" id="{BDAB661D-069E-45BD-A8F3-5ACDA599F04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41" name="Picture 3940">
          <a:extLst>
            <a:ext uri="{FF2B5EF4-FFF2-40B4-BE49-F238E27FC236}">
              <a16:creationId xmlns:a16="http://schemas.microsoft.com/office/drawing/2014/main" id="{8C18B8BB-E542-4F0E-9238-4C290105B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0</xdr:rowOff>
    </xdr:from>
    <xdr:ext cx="304800" cy="304800"/>
    <xdr:sp macro="" textlink="">
      <xdr:nvSpPr>
        <xdr:cNvPr id="3942" name="AutoShape 247">
          <a:extLst>
            <a:ext uri="{FF2B5EF4-FFF2-40B4-BE49-F238E27FC236}">
              <a16:creationId xmlns:a16="http://schemas.microsoft.com/office/drawing/2014/main" id="{EC49B35D-1520-4BBF-8D04-89110F23B61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43" name="Picture 3942">
          <a:extLst>
            <a:ext uri="{FF2B5EF4-FFF2-40B4-BE49-F238E27FC236}">
              <a16:creationId xmlns:a16="http://schemas.microsoft.com/office/drawing/2014/main" id="{9792CDA1-018B-4360-B650-C008E1704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3440"/>
    <xdr:sp macro="" textlink="">
      <xdr:nvSpPr>
        <xdr:cNvPr id="3944" name="AutoShape 249">
          <a:extLst>
            <a:ext uri="{FF2B5EF4-FFF2-40B4-BE49-F238E27FC236}">
              <a16:creationId xmlns:a16="http://schemas.microsoft.com/office/drawing/2014/main" id="{EE4F7C2A-5BA9-4E8A-AAEE-8D1B6CF4197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27</xdr:row>
      <xdr:rowOff>0</xdr:rowOff>
    </xdr:from>
    <xdr:ext cx="9525" cy="9525"/>
    <xdr:pic>
      <xdr:nvPicPr>
        <xdr:cNvPr id="3945" name="Picture 3944">
          <a:extLst>
            <a:ext uri="{FF2B5EF4-FFF2-40B4-BE49-F238E27FC236}">
              <a16:creationId xmlns:a16="http://schemas.microsoft.com/office/drawing/2014/main" id="{CCFF86A4-649F-4C33-A10A-A4839EF6E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46" name="Picture 3945">
          <a:extLst>
            <a:ext uri="{FF2B5EF4-FFF2-40B4-BE49-F238E27FC236}">
              <a16:creationId xmlns:a16="http://schemas.microsoft.com/office/drawing/2014/main" id="{63307374-94B9-4E76-936C-184B3634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</xdr:row>
      <xdr:rowOff>0</xdr:rowOff>
    </xdr:from>
    <xdr:ext cx="9525" cy="9525"/>
    <xdr:pic>
      <xdr:nvPicPr>
        <xdr:cNvPr id="3947" name="Picture 3946">
          <a:extLst>
            <a:ext uri="{FF2B5EF4-FFF2-40B4-BE49-F238E27FC236}">
              <a16:creationId xmlns:a16="http://schemas.microsoft.com/office/drawing/2014/main" id="{083667BE-20C0-4B63-BE5B-DCCA85F24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</xdr:row>
      <xdr:rowOff>0</xdr:rowOff>
    </xdr:from>
    <xdr:ext cx="304800" cy="303439"/>
    <xdr:sp macro="" textlink="">
      <xdr:nvSpPr>
        <xdr:cNvPr id="3948" name="AutoShape 253">
          <a:extLst>
            <a:ext uri="{FF2B5EF4-FFF2-40B4-BE49-F238E27FC236}">
              <a16:creationId xmlns:a16="http://schemas.microsoft.com/office/drawing/2014/main" id="{AA010059-C09A-47F6-ABED-71ACCA402CF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4</xdr:row>
      <xdr:rowOff>0</xdr:rowOff>
    </xdr:from>
    <xdr:ext cx="9525" cy="9525"/>
    <xdr:pic>
      <xdr:nvPicPr>
        <xdr:cNvPr id="3949" name="Picture 3948">
          <a:extLst>
            <a:ext uri="{FF2B5EF4-FFF2-40B4-BE49-F238E27FC236}">
              <a16:creationId xmlns:a16="http://schemas.microsoft.com/office/drawing/2014/main" id="{78AA5D4C-13F5-4838-9225-304C1E04D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9525" cy="9525"/>
    <xdr:pic>
      <xdr:nvPicPr>
        <xdr:cNvPr id="3950" name="Picture 3949">
          <a:extLst>
            <a:ext uri="{FF2B5EF4-FFF2-40B4-BE49-F238E27FC236}">
              <a16:creationId xmlns:a16="http://schemas.microsoft.com/office/drawing/2014/main" id="{BD13C5E6-3383-408D-996D-0CF5F6C6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</xdr:row>
      <xdr:rowOff>0</xdr:rowOff>
    </xdr:from>
    <xdr:ext cx="9525" cy="9525"/>
    <xdr:pic>
      <xdr:nvPicPr>
        <xdr:cNvPr id="3951" name="Picture 3950">
          <a:extLst>
            <a:ext uri="{FF2B5EF4-FFF2-40B4-BE49-F238E27FC236}">
              <a16:creationId xmlns:a16="http://schemas.microsoft.com/office/drawing/2014/main" id="{DA86D826-9C35-4030-900F-5E02BEC68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304800" cy="304800"/>
    <xdr:sp macro="" textlink="">
      <xdr:nvSpPr>
        <xdr:cNvPr id="3952" name="AutoShape 257">
          <a:extLst>
            <a:ext uri="{FF2B5EF4-FFF2-40B4-BE49-F238E27FC236}">
              <a16:creationId xmlns:a16="http://schemas.microsoft.com/office/drawing/2014/main" id="{6BCAA008-1EF3-4861-834E-1D8AC2824FE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53" name="Picture 3952">
          <a:extLst>
            <a:ext uri="{FF2B5EF4-FFF2-40B4-BE49-F238E27FC236}">
              <a16:creationId xmlns:a16="http://schemas.microsoft.com/office/drawing/2014/main" id="{D085F791-5D8C-48D3-B65E-7F2972D53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304800" cy="304800"/>
    <xdr:sp macro="" textlink="">
      <xdr:nvSpPr>
        <xdr:cNvPr id="3954" name="AutoShape 259">
          <a:extLst>
            <a:ext uri="{FF2B5EF4-FFF2-40B4-BE49-F238E27FC236}">
              <a16:creationId xmlns:a16="http://schemas.microsoft.com/office/drawing/2014/main" id="{78A2F024-56F4-4775-A669-7810D7EC97F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26</xdr:row>
      <xdr:rowOff>0</xdr:rowOff>
    </xdr:from>
    <xdr:ext cx="9525" cy="9525"/>
    <xdr:pic>
      <xdr:nvPicPr>
        <xdr:cNvPr id="3955" name="Picture 3954">
          <a:extLst>
            <a:ext uri="{FF2B5EF4-FFF2-40B4-BE49-F238E27FC236}">
              <a16:creationId xmlns:a16="http://schemas.microsoft.com/office/drawing/2014/main" id="{45EF6C8F-ADA9-4123-9C56-A51D8B4CA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25</xdr:row>
      <xdr:rowOff>0</xdr:rowOff>
    </xdr:from>
    <xdr:ext cx="304800" cy="303440"/>
    <xdr:sp macro="" textlink="">
      <xdr:nvSpPr>
        <xdr:cNvPr id="3956" name="AutoShape 261">
          <a:extLst>
            <a:ext uri="{FF2B5EF4-FFF2-40B4-BE49-F238E27FC236}">
              <a16:creationId xmlns:a16="http://schemas.microsoft.com/office/drawing/2014/main" id="{D699AB40-87A7-4D85-97B0-79B8A05C83F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57" name="Picture 3956">
          <a:extLst>
            <a:ext uri="{FF2B5EF4-FFF2-40B4-BE49-F238E27FC236}">
              <a16:creationId xmlns:a16="http://schemas.microsoft.com/office/drawing/2014/main" id="{D701BD71-9835-45F5-8F16-544547AE7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58" name="Picture 3957">
          <a:extLst>
            <a:ext uri="{FF2B5EF4-FFF2-40B4-BE49-F238E27FC236}">
              <a16:creationId xmlns:a16="http://schemas.microsoft.com/office/drawing/2014/main" id="{04B61C6E-598C-4583-9D48-51F4FC8A0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59" name="Picture 3958">
          <a:extLst>
            <a:ext uri="{FF2B5EF4-FFF2-40B4-BE49-F238E27FC236}">
              <a16:creationId xmlns:a16="http://schemas.microsoft.com/office/drawing/2014/main" id="{95330885-EA05-4D4E-9AF6-8FA59A71D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60" name="Picture 3959">
          <a:extLst>
            <a:ext uri="{FF2B5EF4-FFF2-40B4-BE49-F238E27FC236}">
              <a16:creationId xmlns:a16="http://schemas.microsoft.com/office/drawing/2014/main" id="{7991AA37-04DD-452C-8AC2-EE0823324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61" name="Picture 3960">
          <a:extLst>
            <a:ext uri="{FF2B5EF4-FFF2-40B4-BE49-F238E27FC236}">
              <a16:creationId xmlns:a16="http://schemas.microsoft.com/office/drawing/2014/main" id="{BB176DD7-E154-4777-9648-E2E12C678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3962" name="AutoShape 267">
          <a:extLst>
            <a:ext uri="{FF2B5EF4-FFF2-40B4-BE49-F238E27FC236}">
              <a16:creationId xmlns:a16="http://schemas.microsoft.com/office/drawing/2014/main" id="{381CF0B8-C2ED-42DA-94C6-8D26627CF43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63" name="Picture 3962">
          <a:extLst>
            <a:ext uri="{FF2B5EF4-FFF2-40B4-BE49-F238E27FC236}">
              <a16:creationId xmlns:a16="http://schemas.microsoft.com/office/drawing/2014/main" id="{888B96DF-7E4C-41DD-BD22-6AADE6707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3964" name="AutoShape 269">
          <a:extLst>
            <a:ext uri="{FF2B5EF4-FFF2-40B4-BE49-F238E27FC236}">
              <a16:creationId xmlns:a16="http://schemas.microsoft.com/office/drawing/2014/main" id="{96160A92-A219-4FFC-AFC4-38F7D34CCBF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13</xdr:row>
      <xdr:rowOff>0</xdr:rowOff>
    </xdr:from>
    <xdr:ext cx="9525" cy="9525"/>
    <xdr:pic>
      <xdr:nvPicPr>
        <xdr:cNvPr id="3965" name="Picture 3964">
          <a:extLst>
            <a:ext uri="{FF2B5EF4-FFF2-40B4-BE49-F238E27FC236}">
              <a16:creationId xmlns:a16="http://schemas.microsoft.com/office/drawing/2014/main" id="{EF013CE0-2526-4557-8B21-2B420901D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</xdr:row>
      <xdr:rowOff>0</xdr:rowOff>
    </xdr:from>
    <xdr:ext cx="304800" cy="303439"/>
    <xdr:sp macro="" textlink="">
      <xdr:nvSpPr>
        <xdr:cNvPr id="3966" name="AutoShape 271">
          <a:extLst>
            <a:ext uri="{FF2B5EF4-FFF2-40B4-BE49-F238E27FC236}">
              <a16:creationId xmlns:a16="http://schemas.microsoft.com/office/drawing/2014/main" id="{15A574C4-D7F8-4306-8A32-3D4A2DFC67C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67" name="Picture 3966">
          <a:extLst>
            <a:ext uri="{FF2B5EF4-FFF2-40B4-BE49-F238E27FC236}">
              <a16:creationId xmlns:a16="http://schemas.microsoft.com/office/drawing/2014/main" id="{C6CC17F3-6574-4A59-9ECC-6CE4FA135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0</xdr:rowOff>
    </xdr:from>
    <xdr:ext cx="304800" cy="304800"/>
    <xdr:sp macro="" textlink="">
      <xdr:nvSpPr>
        <xdr:cNvPr id="3968" name="AutoShape 273">
          <a:extLst>
            <a:ext uri="{FF2B5EF4-FFF2-40B4-BE49-F238E27FC236}">
              <a16:creationId xmlns:a16="http://schemas.microsoft.com/office/drawing/2014/main" id="{95742F36-7109-4B94-BEF0-9F7AE6DF642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69" name="Picture 3968">
          <a:extLst>
            <a:ext uri="{FF2B5EF4-FFF2-40B4-BE49-F238E27FC236}">
              <a16:creationId xmlns:a16="http://schemas.microsoft.com/office/drawing/2014/main" id="{96EC6686-1C04-4722-9AE0-CC6990B99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3440"/>
    <xdr:sp macro="" textlink="">
      <xdr:nvSpPr>
        <xdr:cNvPr id="3970" name="AutoShape 275">
          <a:extLst>
            <a:ext uri="{FF2B5EF4-FFF2-40B4-BE49-F238E27FC236}">
              <a16:creationId xmlns:a16="http://schemas.microsoft.com/office/drawing/2014/main" id="{0AD006D8-7959-4D9F-891B-D046EEB27D9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27</xdr:row>
      <xdr:rowOff>0</xdr:rowOff>
    </xdr:from>
    <xdr:ext cx="9525" cy="9525"/>
    <xdr:pic>
      <xdr:nvPicPr>
        <xdr:cNvPr id="3971" name="Picture 3970">
          <a:extLst>
            <a:ext uri="{FF2B5EF4-FFF2-40B4-BE49-F238E27FC236}">
              <a16:creationId xmlns:a16="http://schemas.microsoft.com/office/drawing/2014/main" id="{8BFDA6FE-0808-4FF8-948F-2A747F349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72" name="Picture 3971">
          <a:extLst>
            <a:ext uri="{FF2B5EF4-FFF2-40B4-BE49-F238E27FC236}">
              <a16:creationId xmlns:a16="http://schemas.microsoft.com/office/drawing/2014/main" id="{65DAFEE7-5ACB-41D1-8E1F-9D7CD8690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</xdr:row>
      <xdr:rowOff>0</xdr:rowOff>
    </xdr:from>
    <xdr:ext cx="9525" cy="9525"/>
    <xdr:pic>
      <xdr:nvPicPr>
        <xdr:cNvPr id="3973" name="Picture 3972">
          <a:extLst>
            <a:ext uri="{FF2B5EF4-FFF2-40B4-BE49-F238E27FC236}">
              <a16:creationId xmlns:a16="http://schemas.microsoft.com/office/drawing/2014/main" id="{E3005117-209E-4D26-B5C6-5D53C2EE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</xdr:row>
      <xdr:rowOff>0</xdr:rowOff>
    </xdr:from>
    <xdr:ext cx="304800" cy="303439"/>
    <xdr:sp macro="" textlink="">
      <xdr:nvSpPr>
        <xdr:cNvPr id="3974" name="AutoShape 305">
          <a:extLst>
            <a:ext uri="{FF2B5EF4-FFF2-40B4-BE49-F238E27FC236}">
              <a16:creationId xmlns:a16="http://schemas.microsoft.com/office/drawing/2014/main" id="{BE6869BE-0D98-4CE4-86F5-71C99E4A1CE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4</xdr:row>
      <xdr:rowOff>0</xdr:rowOff>
    </xdr:from>
    <xdr:ext cx="9525" cy="9525"/>
    <xdr:pic>
      <xdr:nvPicPr>
        <xdr:cNvPr id="3975" name="Picture 3974">
          <a:extLst>
            <a:ext uri="{FF2B5EF4-FFF2-40B4-BE49-F238E27FC236}">
              <a16:creationId xmlns:a16="http://schemas.microsoft.com/office/drawing/2014/main" id="{8485831A-B296-48BE-B2B2-C28417E5A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9525" cy="9525"/>
    <xdr:pic>
      <xdr:nvPicPr>
        <xdr:cNvPr id="3976" name="Picture 3975">
          <a:extLst>
            <a:ext uri="{FF2B5EF4-FFF2-40B4-BE49-F238E27FC236}">
              <a16:creationId xmlns:a16="http://schemas.microsoft.com/office/drawing/2014/main" id="{37CCF922-84C9-4155-8D4F-5D93D7358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</xdr:row>
      <xdr:rowOff>0</xdr:rowOff>
    </xdr:from>
    <xdr:ext cx="9525" cy="9525"/>
    <xdr:pic>
      <xdr:nvPicPr>
        <xdr:cNvPr id="3977" name="Picture 3976">
          <a:extLst>
            <a:ext uri="{FF2B5EF4-FFF2-40B4-BE49-F238E27FC236}">
              <a16:creationId xmlns:a16="http://schemas.microsoft.com/office/drawing/2014/main" id="{39E66AC7-8B55-44EB-A3C5-B005C2E53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304800" cy="304800"/>
    <xdr:sp macro="" textlink="">
      <xdr:nvSpPr>
        <xdr:cNvPr id="3978" name="AutoShape 309">
          <a:extLst>
            <a:ext uri="{FF2B5EF4-FFF2-40B4-BE49-F238E27FC236}">
              <a16:creationId xmlns:a16="http://schemas.microsoft.com/office/drawing/2014/main" id="{23CC0135-52DA-4032-AD4C-75B09347B75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79" name="Picture 3978">
          <a:extLst>
            <a:ext uri="{FF2B5EF4-FFF2-40B4-BE49-F238E27FC236}">
              <a16:creationId xmlns:a16="http://schemas.microsoft.com/office/drawing/2014/main" id="{AE2D7D76-2BBB-41D1-8707-07F44C446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304800" cy="304800"/>
    <xdr:sp macro="" textlink="">
      <xdr:nvSpPr>
        <xdr:cNvPr id="3980" name="AutoShape 311">
          <a:extLst>
            <a:ext uri="{FF2B5EF4-FFF2-40B4-BE49-F238E27FC236}">
              <a16:creationId xmlns:a16="http://schemas.microsoft.com/office/drawing/2014/main" id="{D4B2E109-7911-4C36-8D45-25EA59B60AE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26</xdr:row>
      <xdr:rowOff>0</xdr:rowOff>
    </xdr:from>
    <xdr:ext cx="9525" cy="9525"/>
    <xdr:pic>
      <xdr:nvPicPr>
        <xdr:cNvPr id="3981" name="Picture 3980">
          <a:extLst>
            <a:ext uri="{FF2B5EF4-FFF2-40B4-BE49-F238E27FC236}">
              <a16:creationId xmlns:a16="http://schemas.microsoft.com/office/drawing/2014/main" id="{44DB7393-059E-4974-8319-95FD25021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25</xdr:row>
      <xdr:rowOff>0</xdr:rowOff>
    </xdr:from>
    <xdr:ext cx="304800" cy="303440"/>
    <xdr:sp macro="" textlink="">
      <xdr:nvSpPr>
        <xdr:cNvPr id="3982" name="AutoShape 313">
          <a:extLst>
            <a:ext uri="{FF2B5EF4-FFF2-40B4-BE49-F238E27FC236}">
              <a16:creationId xmlns:a16="http://schemas.microsoft.com/office/drawing/2014/main" id="{F796C64F-FA80-486A-9FD4-CEE377FBF41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83" name="Picture 3982">
          <a:extLst>
            <a:ext uri="{FF2B5EF4-FFF2-40B4-BE49-F238E27FC236}">
              <a16:creationId xmlns:a16="http://schemas.microsoft.com/office/drawing/2014/main" id="{CE1A0841-FBAB-48EE-B100-6515756D6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84" name="Picture 3983">
          <a:extLst>
            <a:ext uri="{FF2B5EF4-FFF2-40B4-BE49-F238E27FC236}">
              <a16:creationId xmlns:a16="http://schemas.microsoft.com/office/drawing/2014/main" id="{522071A0-4C7F-4D07-9F03-CF08FFC60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85" name="Picture 3984">
          <a:extLst>
            <a:ext uri="{FF2B5EF4-FFF2-40B4-BE49-F238E27FC236}">
              <a16:creationId xmlns:a16="http://schemas.microsoft.com/office/drawing/2014/main" id="{31CA98D2-8798-4BB9-B81A-9A7BD9C9A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86" name="Picture 3985">
          <a:extLst>
            <a:ext uri="{FF2B5EF4-FFF2-40B4-BE49-F238E27FC236}">
              <a16:creationId xmlns:a16="http://schemas.microsoft.com/office/drawing/2014/main" id="{1E216182-A601-4596-A8E8-1940A0B85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87" name="Picture 3986">
          <a:extLst>
            <a:ext uri="{FF2B5EF4-FFF2-40B4-BE49-F238E27FC236}">
              <a16:creationId xmlns:a16="http://schemas.microsoft.com/office/drawing/2014/main" id="{3838F86A-74D3-47F2-AC22-E75C076E5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3988" name="AutoShape 319">
          <a:extLst>
            <a:ext uri="{FF2B5EF4-FFF2-40B4-BE49-F238E27FC236}">
              <a16:creationId xmlns:a16="http://schemas.microsoft.com/office/drawing/2014/main" id="{CC50E2AC-20CD-4A0E-8D73-1E4B57CA2DE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89" name="Picture 3988">
          <a:extLst>
            <a:ext uri="{FF2B5EF4-FFF2-40B4-BE49-F238E27FC236}">
              <a16:creationId xmlns:a16="http://schemas.microsoft.com/office/drawing/2014/main" id="{01A96BE6-A1BB-43A0-96CF-E78D09CEE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3990" name="AutoShape 321">
          <a:extLst>
            <a:ext uri="{FF2B5EF4-FFF2-40B4-BE49-F238E27FC236}">
              <a16:creationId xmlns:a16="http://schemas.microsoft.com/office/drawing/2014/main" id="{E4632F4C-9B9B-443E-913D-F6B522AF5DB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13</xdr:row>
      <xdr:rowOff>0</xdr:rowOff>
    </xdr:from>
    <xdr:ext cx="9525" cy="9525"/>
    <xdr:pic>
      <xdr:nvPicPr>
        <xdr:cNvPr id="3991" name="Picture 3990">
          <a:extLst>
            <a:ext uri="{FF2B5EF4-FFF2-40B4-BE49-F238E27FC236}">
              <a16:creationId xmlns:a16="http://schemas.microsoft.com/office/drawing/2014/main" id="{47025AF6-88D4-440C-97D3-0EDD75B91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</xdr:row>
      <xdr:rowOff>0</xdr:rowOff>
    </xdr:from>
    <xdr:ext cx="304800" cy="303439"/>
    <xdr:sp macro="" textlink="">
      <xdr:nvSpPr>
        <xdr:cNvPr id="3992" name="AutoShape 323">
          <a:extLst>
            <a:ext uri="{FF2B5EF4-FFF2-40B4-BE49-F238E27FC236}">
              <a16:creationId xmlns:a16="http://schemas.microsoft.com/office/drawing/2014/main" id="{D64D4D11-CE14-468E-8255-20973EE79A6E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93" name="Picture 3992">
          <a:extLst>
            <a:ext uri="{FF2B5EF4-FFF2-40B4-BE49-F238E27FC236}">
              <a16:creationId xmlns:a16="http://schemas.microsoft.com/office/drawing/2014/main" id="{60F6D81E-5817-4852-A95F-9DA755AE8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0</xdr:rowOff>
    </xdr:from>
    <xdr:ext cx="304800" cy="304800"/>
    <xdr:sp macro="" textlink="">
      <xdr:nvSpPr>
        <xdr:cNvPr id="3994" name="AutoShape 325">
          <a:extLst>
            <a:ext uri="{FF2B5EF4-FFF2-40B4-BE49-F238E27FC236}">
              <a16:creationId xmlns:a16="http://schemas.microsoft.com/office/drawing/2014/main" id="{E541F043-E56C-4793-B74B-4FB0802FDA7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95" name="Picture 3994">
          <a:extLst>
            <a:ext uri="{FF2B5EF4-FFF2-40B4-BE49-F238E27FC236}">
              <a16:creationId xmlns:a16="http://schemas.microsoft.com/office/drawing/2014/main" id="{0CF5B917-7EFC-438C-869A-9408ED181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3440"/>
    <xdr:sp macro="" textlink="">
      <xdr:nvSpPr>
        <xdr:cNvPr id="3996" name="AutoShape 327">
          <a:extLst>
            <a:ext uri="{FF2B5EF4-FFF2-40B4-BE49-F238E27FC236}">
              <a16:creationId xmlns:a16="http://schemas.microsoft.com/office/drawing/2014/main" id="{8F5E584D-DB8E-4C4F-8C52-6041CF2D6D5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27</xdr:row>
      <xdr:rowOff>0</xdr:rowOff>
    </xdr:from>
    <xdr:ext cx="9525" cy="9525"/>
    <xdr:pic>
      <xdr:nvPicPr>
        <xdr:cNvPr id="3997" name="Picture 3996">
          <a:extLst>
            <a:ext uri="{FF2B5EF4-FFF2-40B4-BE49-F238E27FC236}">
              <a16:creationId xmlns:a16="http://schemas.microsoft.com/office/drawing/2014/main" id="{533C68BD-E64D-4467-8CD9-C94EFF3D5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3998" name="Picture 3997">
          <a:extLst>
            <a:ext uri="{FF2B5EF4-FFF2-40B4-BE49-F238E27FC236}">
              <a16:creationId xmlns:a16="http://schemas.microsoft.com/office/drawing/2014/main" id="{0DE20F3D-CD3D-4C09-BF1E-0F132CFE3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</xdr:row>
      <xdr:rowOff>0</xdr:rowOff>
    </xdr:from>
    <xdr:ext cx="9525" cy="9525"/>
    <xdr:pic>
      <xdr:nvPicPr>
        <xdr:cNvPr id="3999" name="Picture 3998">
          <a:extLst>
            <a:ext uri="{FF2B5EF4-FFF2-40B4-BE49-F238E27FC236}">
              <a16:creationId xmlns:a16="http://schemas.microsoft.com/office/drawing/2014/main" id="{E5A10468-25AB-4389-90B0-DD32F5A74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</xdr:row>
      <xdr:rowOff>0</xdr:rowOff>
    </xdr:from>
    <xdr:ext cx="304800" cy="303439"/>
    <xdr:sp macro="" textlink="">
      <xdr:nvSpPr>
        <xdr:cNvPr id="4000" name="AutoShape 357">
          <a:extLst>
            <a:ext uri="{FF2B5EF4-FFF2-40B4-BE49-F238E27FC236}">
              <a16:creationId xmlns:a16="http://schemas.microsoft.com/office/drawing/2014/main" id="{26A7560F-B6FA-4E09-A2A8-82E123929A1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4</xdr:row>
      <xdr:rowOff>0</xdr:rowOff>
    </xdr:from>
    <xdr:ext cx="9525" cy="9525"/>
    <xdr:pic>
      <xdr:nvPicPr>
        <xdr:cNvPr id="4001" name="Picture 4000">
          <a:extLst>
            <a:ext uri="{FF2B5EF4-FFF2-40B4-BE49-F238E27FC236}">
              <a16:creationId xmlns:a16="http://schemas.microsoft.com/office/drawing/2014/main" id="{3738CB0E-5239-43A9-8488-5BD9610B1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9525" cy="9525"/>
    <xdr:pic>
      <xdr:nvPicPr>
        <xdr:cNvPr id="4002" name="Picture 4001">
          <a:extLst>
            <a:ext uri="{FF2B5EF4-FFF2-40B4-BE49-F238E27FC236}">
              <a16:creationId xmlns:a16="http://schemas.microsoft.com/office/drawing/2014/main" id="{820A5A3D-AA31-47A9-9686-9BF588C5E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</xdr:row>
      <xdr:rowOff>0</xdr:rowOff>
    </xdr:from>
    <xdr:ext cx="9525" cy="9525"/>
    <xdr:pic>
      <xdr:nvPicPr>
        <xdr:cNvPr id="4003" name="Picture 4002">
          <a:extLst>
            <a:ext uri="{FF2B5EF4-FFF2-40B4-BE49-F238E27FC236}">
              <a16:creationId xmlns:a16="http://schemas.microsoft.com/office/drawing/2014/main" id="{16E96308-E6FF-4933-B14D-92E01359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304800" cy="304800"/>
    <xdr:sp macro="" textlink="">
      <xdr:nvSpPr>
        <xdr:cNvPr id="4004" name="AutoShape 361">
          <a:extLst>
            <a:ext uri="{FF2B5EF4-FFF2-40B4-BE49-F238E27FC236}">
              <a16:creationId xmlns:a16="http://schemas.microsoft.com/office/drawing/2014/main" id="{B424900F-5562-4496-A89C-35F0E0969FD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05" name="Picture 4004">
          <a:extLst>
            <a:ext uri="{FF2B5EF4-FFF2-40B4-BE49-F238E27FC236}">
              <a16:creationId xmlns:a16="http://schemas.microsoft.com/office/drawing/2014/main" id="{92291B9A-9A6C-4B24-AA29-43345455E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304800" cy="304800"/>
    <xdr:sp macro="" textlink="">
      <xdr:nvSpPr>
        <xdr:cNvPr id="4006" name="AutoShape 363">
          <a:extLst>
            <a:ext uri="{FF2B5EF4-FFF2-40B4-BE49-F238E27FC236}">
              <a16:creationId xmlns:a16="http://schemas.microsoft.com/office/drawing/2014/main" id="{08B175A4-65E6-4FCE-8E09-AF799520EC5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26</xdr:row>
      <xdr:rowOff>0</xdr:rowOff>
    </xdr:from>
    <xdr:ext cx="9525" cy="9525"/>
    <xdr:pic>
      <xdr:nvPicPr>
        <xdr:cNvPr id="4007" name="Picture 4006">
          <a:extLst>
            <a:ext uri="{FF2B5EF4-FFF2-40B4-BE49-F238E27FC236}">
              <a16:creationId xmlns:a16="http://schemas.microsoft.com/office/drawing/2014/main" id="{4FF5951F-F9F0-4838-BF96-72EEB3D50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25</xdr:row>
      <xdr:rowOff>0</xdr:rowOff>
    </xdr:from>
    <xdr:ext cx="304800" cy="303440"/>
    <xdr:sp macro="" textlink="">
      <xdr:nvSpPr>
        <xdr:cNvPr id="4008" name="AutoShape 365">
          <a:extLst>
            <a:ext uri="{FF2B5EF4-FFF2-40B4-BE49-F238E27FC236}">
              <a16:creationId xmlns:a16="http://schemas.microsoft.com/office/drawing/2014/main" id="{BB225E88-30C3-4057-907A-57FDA38004E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09" name="Picture 4008">
          <a:extLst>
            <a:ext uri="{FF2B5EF4-FFF2-40B4-BE49-F238E27FC236}">
              <a16:creationId xmlns:a16="http://schemas.microsoft.com/office/drawing/2014/main" id="{BA3FD669-6253-48C8-AB6A-6F2BE51E1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10" name="Picture 4009">
          <a:extLst>
            <a:ext uri="{FF2B5EF4-FFF2-40B4-BE49-F238E27FC236}">
              <a16:creationId xmlns:a16="http://schemas.microsoft.com/office/drawing/2014/main" id="{F0ED2F16-1673-46FE-9F01-56B88F79C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11" name="Picture 4010">
          <a:extLst>
            <a:ext uri="{FF2B5EF4-FFF2-40B4-BE49-F238E27FC236}">
              <a16:creationId xmlns:a16="http://schemas.microsoft.com/office/drawing/2014/main" id="{1AA35F7D-FA45-4C10-A870-B59AF1D6E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12" name="Picture 4011">
          <a:extLst>
            <a:ext uri="{FF2B5EF4-FFF2-40B4-BE49-F238E27FC236}">
              <a16:creationId xmlns:a16="http://schemas.microsoft.com/office/drawing/2014/main" id="{36CE0E90-1CA4-4A85-9066-D80A58D05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13" name="Picture 4012">
          <a:extLst>
            <a:ext uri="{FF2B5EF4-FFF2-40B4-BE49-F238E27FC236}">
              <a16:creationId xmlns:a16="http://schemas.microsoft.com/office/drawing/2014/main" id="{BB5190E7-93C9-4BC5-9133-20C40D641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014" name="AutoShape 371">
          <a:extLst>
            <a:ext uri="{FF2B5EF4-FFF2-40B4-BE49-F238E27FC236}">
              <a16:creationId xmlns:a16="http://schemas.microsoft.com/office/drawing/2014/main" id="{4EBB18DD-65D7-400E-AE5E-2777A241C6F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15" name="Picture 4014">
          <a:extLst>
            <a:ext uri="{FF2B5EF4-FFF2-40B4-BE49-F238E27FC236}">
              <a16:creationId xmlns:a16="http://schemas.microsoft.com/office/drawing/2014/main" id="{E67DCD21-5DEF-4CDD-9F4B-5878E3C90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016" name="AutoShape 373">
          <a:extLst>
            <a:ext uri="{FF2B5EF4-FFF2-40B4-BE49-F238E27FC236}">
              <a16:creationId xmlns:a16="http://schemas.microsoft.com/office/drawing/2014/main" id="{BBE788E7-F09C-4CC0-879D-EC127F770B9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13</xdr:row>
      <xdr:rowOff>0</xdr:rowOff>
    </xdr:from>
    <xdr:ext cx="9525" cy="9525"/>
    <xdr:pic>
      <xdr:nvPicPr>
        <xdr:cNvPr id="4017" name="Picture 4016">
          <a:extLst>
            <a:ext uri="{FF2B5EF4-FFF2-40B4-BE49-F238E27FC236}">
              <a16:creationId xmlns:a16="http://schemas.microsoft.com/office/drawing/2014/main" id="{3A64424A-1A63-4D26-B584-614F3CA03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</xdr:row>
      <xdr:rowOff>0</xdr:rowOff>
    </xdr:from>
    <xdr:ext cx="304800" cy="303439"/>
    <xdr:sp macro="" textlink="">
      <xdr:nvSpPr>
        <xdr:cNvPr id="4018" name="AutoShape 375">
          <a:extLst>
            <a:ext uri="{FF2B5EF4-FFF2-40B4-BE49-F238E27FC236}">
              <a16:creationId xmlns:a16="http://schemas.microsoft.com/office/drawing/2014/main" id="{4FCB9607-8D22-41E9-BC0E-A66EFF033D2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19" name="Picture 4018">
          <a:extLst>
            <a:ext uri="{FF2B5EF4-FFF2-40B4-BE49-F238E27FC236}">
              <a16:creationId xmlns:a16="http://schemas.microsoft.com/office/drawing/2014/main" id="{6CB5CAD2-C177-4BDD-A23B-1758B8C5D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0</xdr:rowOff>
    </xdr:from>
    <xdr:ext cx="304800" cy="304800"/>
    <xdr:sp macro="" textlink="">
      <xdr:nvSpPr>
        <xdr:cNvPr id="4020" name="AutoShape 377">
          <a:extLst>
            <a:ext uri="{FF2B5EF4-FFF2-40B4-BE49-F238E27FC236}">
              <a16:creationId xmlns:a16="http://schemas.microsoft.com/office/drawing/2014/main" id="{09B2240B-C2AE-4815-93C0-DF04D6487AF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21" name="Picture 4020">
          <a:extLst>
            <a:ext uri="{FF2B5EF4-FFF2-40B4-BE49-F238E27FC236}">
              <a16:creationId xmlns:a16="http://schemas.microsoft.com/office/drawing/2014/main" id="{0C3B78B6-6CD5-4C34-B7B2-E241FDDF3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3440"/>
    <xdr:sp macro="" textlink="">
      <xdr:nvSpPr>
        <xdr:cNvPr id="4022" name="AutoShape 379">
          <a:extLst>
            <a:ext uri="{FF2B5EF4-FFF2-40B4-BE49-F238E27FC236}">
              <a16:creationId xmlns:a16="http://schemas.microsoft.com/office/drawing/2014/main" id="{C8AA99B3-AF27-4CFF-8583-04C0CAC8699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27</xdr:row>
      <xdr:rowOff>0</xdr:rowOff>
    </xdr:from>
    <xdr:ext cx="9525" cy="9525"/>
    <xdr:pic>
      <xdr:nvPicPr>
        <xdr:cNvPr id="4023" name="Picture 4022">
          <a:extLst>
            <a:ext uri="{FF2B5EF4-FFF2-40B4-BE49-F238E27FC236}">
              <a16:creationId xmlns:a16="http://schemas.microsoft.com/office/drawing/2014/main" id="{39F84DA1-6891-42EE-8301-715D62FD9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26</xdr:row>
      <xdr:rowOff>0</xdr:rowOff>
    </xdr:from>
    <xdr:ext cx="304800" cy="303439"/>
    <xdr:sp macro="" textlink="">
      <xdr:nvSpPr>
        <xdr:cNvPr id="4024" name="AutoShape 381">
          <a:extLst>
            <a:ext uri="{FF2B5EF4-FFF2-40B4-BE49-F238E27FC236}">
              <a16:creationId xmlns:a16="http://schemas.microsoft.com/office/drawing/2014/main" id="{ECD2357E-107B-4225-BBA8-3429C6E79E6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25" name="Picture 4024">
          <a:extLst>
            <a:ext uri="{FF2B5EF4-FFF2-40B4-BE49-F238E27FC236}">
              <a16:creationId xmlns:a16="http://schemas.microsoft.com/office/drawing/2014/main" id="{54E7ACC5-C8B2-4EBD-8C6C-C65B1D9A2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26" name="Picture 4025">
          <a:extLst>
            <a:ext uri="{FF2B5EF4-FFF2-40B4-BE49-F238E27FC236}">
              <a16:creationId xmlns:a16="http://schemas.microsoft.com/office/drawing/2014/main" id="{63F3A901-8971-4FE8-8BCC-B18CCC16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</xdr:row>
      <xdr:rowOff>0</xdr:rowOff>
    </xdr:from>
    <xdr:ext cx="9525" cy="9525"/>
    <xdr:pic>
      <xdr:nvPicPr>
        <xdr:cNvPr id="4027" name="Picture 4026">
          <a:extLst>
            <a:ext uri="{FF2B5EF4-FFF2-40B4-BE49-F238E27FC236}">
              <a16:creationId xmlns:a16="http://schemas.microsoft.com/office/drawing/2014/main" id="{138280C3-ADC0-4ED0-8F09-0691F6DA8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</xdr:row>
      <xdr:rowOff>0</xdr:rowOff>
    </xdr:from>
    <xdr:ext cx="304800" cy="303439"/>
    <xdr:sp macro="" textlink="">
      <xdr:nvSpPr>
        <xdr:cNvPr id="4028" name="AutoShape 413">
          <a:extLst>
            <a:ext uri="{FF2B5EF4-FFF2-40B4-BE49-F238E27FC236}">
              <a16:creationId xmlns:a16="http://schemas.microsoft.com/office/drawing/2014/main" id="{829CD524-B81F-4A98-8207-B0015DD72D6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4</xdr:row>
      <xdr:rowOff>0</xdr:rowOff>
    </xdr:from>
    <xdr:ext cx="9525" cy="9525"/>
    <xdr:pic>
      <xdr:nvPicPr>
        <xdr:cNvPr id="4029" name="Picture 4028">
          <a:extLst>
            <a:ext uri="{FF2B5EF4-FFF2-40B4-BE49-F238E27FC236}">
              <a16:creationId xmlns:a16="http://schemas.microsoft.com/office/drawing/2014/main" id="{A107FD30-1258-405A-B067-15C83FB6D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9525" cy="9525"/>
    <xdr:pic>
      <xdr:nvPicPr>
        <xdr:cNvPr id="4030" name="Picture 4029">
          <a:extLst>
            <a:ext uri="{FF2B5EF4-FFF2-40B4-BE49-F238E27FC236}">
              <a16:creationId xmlns:a16="http://schemas.microsoft.com/office/drawing/2014/main" id="{59B11269-7A32-4BF6-9ACD-01EAB019E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</xdr:row>
      <xdr:rowOff>0</xdr:rowOff>
    </xdr:from>
    <xdr:ext cx="9525" cy="9525"/>
    <xdr:pic>
      <xdr:nvPicPr>
        <xdr:cNvPr id="4031" name="Picture 4030">
          <a:extLst>
            <a:ext uri="{FF2B5EF4-FFF2-40B4-BE49-F238E27FC236}">
              <a16:creationId xmlns:a16="http://schemas.microsoft.com/office/drawing/2014/main" id="{D255AD22-2C1B-45D5-884C-B2FBF25D7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304800" cy="304800"/>
    <xdr:sp macro="" textlink="">
      <xdr:nvSpPr>
        <xdr:cNvPr id="4032" name="AutoShape 417">
          <a:extLst>
            <a:ext uri="{FF2B5EF4-FFF2-40B4-BE49-F238E27FC236}">
              <a16:creationId xmlns:a16="http://schemas.microsoft.com/office/drawing/2014/main" id="{97ECBFB1-E421-46FF-868A-11D5531AFE4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33" name="Picture 4032">
          <a:extLst>
            <a:ext uri="{FF2B5EF4-FFF2-40B4-BE49-F238E27FC236}">
              <a16:creationId xmlns:a16="http://schemas.microsoft.com/office/drawing/2014/main" id="{8B48896A-69F0-445C-8316-145704BD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304800" cy="304800"/>
    <xdr:sp macro="" textlink="">
      <xdr:nvSpPr>
        <xdr:cNvPr id="4034" name="AutoShape 419">
          <a:extLst>
            <a:ext uri="{FF2B5EF4-FFF2-40B4-BE49-F238E27FC236}">
              <a16:creationId xmlns:a16="http://schemas.microsoft.com/office/drawing/2014/main" id="{1ECB8486-6471-4927-BB69-4AAC26439A1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26</xdr:row>
      <xdr:rowOff>0</xdr:rowOff>
    </xdr:from>
    <xdr:ext cx="9525" cy="9525"/>
    <xdr:pic>
      <xdr:nvPicPr>
        <xdr:cNvPr id="4035" name="Picture 4034">
          <a:extLst>
            <a:ext uri="{FF2B5EF4-FFF2-40B4-BE49-F238E27FC236}">
              <a16:creationId xmlns:a16="http://schemas.microsoft.com/office/drawing/2014/main" id="{0CAA39F7-FD0C-430D-908A-6501830A5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25</xdr:row>
      <xdr:rowOff>0</xdr:rowOff>
    </xdr:from>
    <xdr:ext cx="304800" cy="303440"/>
    <xdr:sp macro="" textlink="">
      <xdr:nvSpPr>
        <xdr:cNvPr id="4036" name="AutoShape 421">
          <a:extLst>
            <a:ext uri="{FF2B5EF4-FFF2-40B4-BE49-F238E27FC236}">
              <a16:creationId xmlns:a16="http://schemas.microsoft.com/office/drawing/2014/main" id="{33A42F7B-2349-4D26-AE83-65404F115AB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37" name="Picture 4036">
          <a:extLst>
            <a:ext uri="{FF2B5EF4-FFF2-40B4-BE49-F238E27FC236}">
              <a16:creationId xmlns:a16="http://schemas.microsoft.com/office/drawing/2014/main" id="{F17FFAA6-3B34-4F39-B482-8382FA858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38" name="Picture 4037">
          <a:extLst>
            <a:ext uri="{FF2B5EF4-FFF2-40B4-BE49-F238E27FC236}">
              <a16:creationId xmlns:a16="http://schemas.microsoft.com/office/drawing/2014/main" id="{DAF0FFAD-EFE0-4235-B52A-28115F731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39" name="Picture 4038">
          <a:extLst>
            <a:ext uri="{FF2B5EF4-FFF2-40B4-BE49-F238E27FC236}">
              <a16:creationId xmlns:a16="http://schemas.microsoft.com/office/drawing/2014/main" id="{09CB9201-A591-4469-AA99-7DA58F869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40" name="Picture 4039">
          <a:extLst>
            <a:ext uri="{FF2B5EF4-FFF2-40B4-BE49-F238E27FC236}">
              <a16:creationId xmlns:a16="http://schemas.microsoft.com/office/drawing/2014/main" id="{4FD1D1C6-6C31-409C-8CBB-3A36201F1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41" name="Picture 4040">
          <a:extLst>
            <a:ext uri="{FF2B5EF4-FFF2-40B4-BE49-F238E27FC236}">
              <a16:creationId xmlns:a16="http://schemas.microsoft.com/office/drawing/2014/main" id="{675B3138-3F9D-45A4-99D5-09E335514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042" name="AutoShape 427">
          <a:extLst>
            <a:ext uri="{FF2B5EF4-FFF2-40B4-BE49-F238E27FC236}">
              <a16:creationId xmlns:a16="http://schemas.microsoft.com/office/drawing/2014/main" id="{C53385DA-2413-4C16-854A-35A90557FE9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43" name="Picture 4042">
          <a:extLst>
            <a:ext uri="{FF2B5EF4-FFF2-40B4-BE49-F238E27FC236}">
              <a16:creationId xmlns:a16="http://schemas.microsoft.com/office/drawing/2014/main" id="{30D84D56-164B-4CAB-88E6-E7A9E80C9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044" name="AutoShape 429">
          <a:extLst>
            <a:ext uri="{FF2B5EF4-FFF2-40B4-BE49-F238E27FC236}">
              <a16:creationId xmlns:a16="http://schemas.microsoft.com/office/drawing/2014/main" id="{62B2D31B-18CC-478A-BCB4-60018CDF03B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13</xdr:row>
      <xdr:rowOff>0</xdr:rowOff>
    </xdr:from>
    <xdr:ext cx="9525" cy="9525"/>
    <xdr:pic>
      <xdr:nvPicPr>
        <xdr:cNvPr id="4045" name="Picture 4044">
          <a:extLst>
            <a:ext uri="{FF2B5EF4-FFF2-40B4-BE49-F238E27FC236}">
              <a16:creationId xmlns:a16="http://schemas.microsoft.com/office/drawing/2014/main" id="{8B1797BA-FA63-4979-8688-496A8906F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</xdr:row>
      <xdr:rowOff>0</xdr:rowOff>
    </xdr:from>
    <xdr:ext cx="304800" cy="303439"/>
    <xdr:sp macro="" textlink="">
      <xdr:nvSpPr>
        <xdr:cNvPr id="4046" name="AutoShape 431">
          <a:extLst>
            <a:ext uri="{FF2B5EF4-FFF2-40B4-BE49-F238E27FC236}">
              <a16:creationId xmlns:a16="http://schemas.microsoft.com/office/drawing/2014/main" id="{2DF0B022-340B-4072-B743-9D151A3C138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47" name="Picture 4046">
          <a:extLst>
            <a:ext uri="{FF2B5EF4-FFF2-40B4-BE49-F238E27FC236}">
              <a16:creationId xmlns:a16="http://schemas.microsoft.com/office/drawing/2014/main" id="{552A0745-9818-4A2E-B399-AA71800D8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0</xdr:rowOff>
    </xdr:from>
    <xdr:ext cx="304800" cy="304800"/>
    <xdr:sp macro="" textlink="">
      <xdr:nvSpPr>
        <xdr:cNvPr id="4048" name="AutoShape 433">
          <a:extLst>
            <a:ext uri="{FF2B5EF4-FFF2-40B4-BE49-F238E27FC236}">
              <a16:creationId xmlns:a16="http://schemas.microsoft.com/office/drawing/2014/main" id="{7EC88FB0-E4C4-483C-B1A0-EBC7B2D8F0B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49" name="Picture 4048">
          <a:extLst>
            <a:ext uri="{FF2B5EF4-FFF2-40B4-BE49-F238E27FC236}">
              <a16:creationId xmlns:a16="http://schemas.microsoft.com/office/drawing/2014/main" id="{4909044D-3531-42C1-A719-B109B57E5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3440"/>
    <xdr:sp macro="" textlink="">
      <xdr:nvSpPr>
        <xdr:cNvPr id="4050" name="AutoShape 435">
          <a:extLst>
            <a:ext uri="{FF2B5EF4-FFF2-40B4-BE49-F238E27FC236}">
              <a16:creationId xmlns:a16="http://schemas.microsoft.com/office/drawing/2014/main" id="{AA4F239D-ECBB-41A2-A261-185F0A3E49F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27</xdr:row>
      <xdr:rowOff>0</xdr:rowOff>
    </xdr:from>
    <xdr:ext cx="9525" cy="9525"/>
    <xdr:pic>
      <xdr:nvPicPr>
        <xdr:cNvPr id="4051" name="Picture 4050">
          <a:extLst>
            <a:ext uri="{FF2B5EF4-FFF2-40B4-BE49-F238E27FC236}">
              <a16:creationId xmlns:a16="http://schemas.microsoft.com/office/drawing/2014/main" id="{DBCF21FA-0B66-413B-9E59-F9947A717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26</xdr:row>
      <xdr:rowOff>0</xdr:rowOff>
    </xdr:from>
    <xdr:ext cx="304800" cy="303439"/>
    <xdr:sp macro="" textlink="">
      <xdr:nvSpPr>
        <xdr:cNvPr id="4052" name="AutoShape 437">
          <a:extLst>
            <a:ext uri="{FF2B5EF4-FFF2-40B4-BE49-F238E27FC236}">
              <a16:creationId xmlns:a16="http://schemas.microsoft.com/office/drawing/2014/main" id="{B6B02E49-DF6D-469D-9C9A-0E82903B804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53" name="Picture 4052">
          <a:extLst>
            <a:ext uri="{FF2B5EF4-FFF2-40B4-BE49-F238E27FC236}">
              <a16:creationId xmlns:a16="http://schemas.microsoft.com/office/drawing/2014/main" id="{EAE0320C-506D-4D7F-BAF3-5F9D061E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54" name="Picture 4053">
          <a:extLst>
            <a:ext uri="{FF2B5EF4-FFF2-40B4-BE49-F238E27FC236}">
              <a16:creationId xmlns:a16="http://schemas.microsoft.com/office/drawing/2014/main" id="{908C5920-9AD6-4258-B5F7-94DBCB2DE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</xdr:row>
      <xdr:rowOff>0</xdr:rowOff>
    </xdr:from>
    <xdr:ext cx="9525" cy="9525"/>
    <xdr:pic>
      <xdr:nvPicPr>
        <xdr:cNvPr id="4055" name="Picture 4054">
          <a:extLst>
            <a:ext uri="{FF2B5EF4-FFF2-40B4-BE49-F238E27FC236}">
              <a16:creationId xmlns:a16="http://schemas.microsoft.com/office/drawing/2014/main" id="{5EE862F4-5CED-46A8-85AD-B9607F0EA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</xdr:row>
      <xdr:rowOff>0</xdr:rowOff>
    </xdr:from>
    <xdr:ext cx="304800" cy="303439"/>
    <xdr:sp macro="" textlink="">
      <xdr:nvSpPr>
        <xdr:cNvPr id="4056" name="AutoShape 469">
          <a:extLst>
            <a:ext uri="{FF2B5EF4-FFF2-40B4-BE49-F238E27FC236}">
              <a16:creationId xmlns:a16="http://schemas.microsoft.com/office/drawing/2014/main" id="{FD5409D2-8C26-4728-878C-B461CEAB1E7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4</xdr:row>
      <xdr:rowOff>0</xdr:rowOff>
    </xdr:from>
    <xdr:ext cx="9525" cy="9525"/>
    <xdr:pic>
      <xdr:nvPicPr>
        <xdr:cNvPr id="4057" name="Picture 4056">
          <a:extLst>
            <a:ext uri="{FF2B5EF4-FFF2-40B4-BE49-F238E27FC236}">
              <a16:creationId xmlns:a16="http://schemas.microsoft.com/office/drawing/2014/main" id="{F19D3574-6241-4485-8C1E-D22E9BF18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9525" cy="9525"/>
    <xdr:pic>
      <xdr:nvPicPr>
        <xdr:cNvPr id="4058" name="Picture 4057">
          <a:extLst>
            <a:ext uri="{FF2B5EF4-FFF2-40B4-BE49-F238E27FC236}">
              <a16:creationId xmlns:a16="http://schemas.microsoft.com/office/drawing/2014/main" id="{276A3797-F993-40ED-A48C-B8113D923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</xdr:row>
      <xdr:rowOff>0</xdr:rowOff>
    </xdr:from>
    <xdr:ext cx="9525" cy="9525"/>
    <xdr:pic>
      <xdr:nvPicPr>
        <xdr:cNvPr id="4059" name="Picture 4058">
          <a:extLst>
            <a:ext uri="{FF2B5EF4-FFF2-40B4-BE49-F238E27FC236}">
              <a16:creationId xmlns:a16="http://schemas.microsoft.com/office/drawing/2014/main" id="{6A55A37B-400D-49D4-9775-3E6FC835C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304800" cy="304800"/>
    <xdr:sp macro="" textlink="">
      <xdr:nvSpPr>
        <xdr:cNvPr id="4060" name="AutoShape 473">
          <a:extLst>
            <a:ext uri="{FF2B5EF4-FFF2-40B4-BE49-F238E27FC236}">
              <a16:creationId xmlns:a16="http://schemas.microsoft.com/office/drawing/2014/main" id="{4CAA7E7C-7FA6-4D97-8168-D84D8111CF4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61" name="Picture 4060">
          <a:extLst>
            <a:ext uri="{FF2B5EF4-FFF2-40B4-BE49-F238E27FC236}">
              <a16:creationId xmlns:a16="http://schemas.microsoft.com/office/drawing/2014/main" id="{71916AB5-88BB-48D4-BC28-A557746AC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304800" cy="304800"/>
    <xdr:sp macro="" textlink="">
      <xdr:nvSpPr>
        <xdr:cNvPr id="4062" name="AutoShape 475">
          <a:extLst>
            <a:ext uri="{FF2B5EF4-FFF2-40B4-BE49-F238E27FC236}">
              <a16:creationId xmlns:a16="http://schemas.microsoft.com/office/drawing/2014/main" id="{8F9EB61A-DC3B-4131-8782-DB966D1A0DBE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26</xdr:row>
      <xdr:rowOff>0</xdr:rowOff>
    </xdr:from>
    <xdr:ext cx="9525" cy="9525"/>
    <xdr:pic>
      <xdr:nvPicPr>
        <xdr:cNvPr id="4063" name="Picture 4062">
          <a:extLst>
            <a:ext uri="{FF2B5EF4-FFF2-40B4-BE49-F238E27FC236}">
              <a16:creationId xmlns:a16="http://schemas.microsoft.com/office/drawing/2014/main" id="{6DFF5FCF-D957-4DC3-863C-D55EF21C4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25</xdr:row>
      <xdr:rowOff>0</xdr:rowOff>
    </xdr:from>
    <xdr:ext cx="304800" cy="303440"/>
    <xdr:sp macro="" textlink="">
      <xdr:nvSpPr>
        <xdr:cNvPr id="4064" name="AutoShape 477">
          <a:extLst>
            <a:ext uri="{FF2B5EF4-FFF2-40B4-BE49-F238E27FC236}">
              <a16:creationId xmlns:a16="http://schemas.microsoft.com/office/drawing/2014/main" id="{62764D59-B0D8-4676-A8B0-2A9482C4898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65" name="Picture 4064">
          <a:extLst>
            <a:ext uri="{FF2B5EF4-FFF2-40B4-BE49-F238E27FC236}">
              <a16:creationId xmlns:a16="http://schemas.microsoft.com/office/drawing/2014/main" id="{5F773381-791F-45BA-8F3F-596578D5E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66" name="Picture 4065">
          <a:extLst>
            <a:ext uri="{FF2B5EF4-FFF2-40B4-BE49-F238E27FC236}">
              <a16:creationId xmlns:a16="http://schemas.microsoft.com/office/drawing/2014/main" id="{7F8F865D-50E2-401B-B5E4-BE93C9710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67" name="Picture 4066">
          <a:extLst>
            <a:ext uri="{FF2B5EF4-FFF2-40B4-BE49-F238E27FC236}">
              <a16:creationId xmlns:a16="http://schemas.microsoft.com/office/drawing/2014/main" id="{F261870A-556B-4B6F-B95E-C83BFB50F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68" name="Picture 4067">
          <a:extLst>
            <a:ext uri="{FF2B5EF4-FFF2-40B4-BE49-F238E27FC236}">
              <a16:creationId xmlns:a16="http://schemas.microsoft.com/office/drawing/2014/main" id="{5E5F4F2D-537F-42C7-89B7-8FB46455F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69" name="Picture 4068">
          <a:extLst>
            <a:ext uri="{FF2B5EF4-FFF2-40B4-BE49-F238E27FC236}">
              <a16:creationId xmlns:a16="http://schemas.microsoft.com/office/drawing/2014/main" id="{4A3713DB-B99E-4F57-BEAD-8A33EE76A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070" name="AutoShape 483">
          <a:extLst>
            <a:ext uri="{FF2B5EF4-FFF2-40B4-BE49-F238E27FC236}">
              <a16:creationId xmlns:a16="http://schemas.microsoft.com/office/drawing/2014/main" id="{8FC72883-956C-4D81-8552-BEF8383BCA6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71" name="Picture 4070">
          <a:extLst>
            <a:ext uri="{FF2B5EF4-FFF2-40B4-BE49-F238E27FC236}">
              <a16:creationId xmlns:a16="http://schemas.microsoft.com/office/drawing/2014/main" id="{E8E8E3B1-F519-43D3-AFD0-542730A8F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072" name="AutoShape 485">
          <a:extLst>
            <a:ext uri="{FF2B5EF4-FFF2-40B4-BE49-F238E27FC236}">
              <a16:creationId xmlns:a16="http://schemas.microsoft.com/office/drawing/2014/main" id="{1767C6A0-0619-41BA-86F6-ED9762A6F47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13</xdr:row>
      <xdr:rowOff>0</xdr:rowOff>
    </xdr:from>
    <xdr:ext cx="9525" cy="9525"/>
    <xdr:pic>
      <xdr:nvPicPr>
        <xdr:cNvPr id="4073" name="Picture 4072">
          <a:extLst>
            <a:ext uri="{FF2B5EF4-FFF2-40B4-BE49-F238E27FC236}">
              <a16:creationId xmlns:a16="http://schemas.microsoft.com/office/drawing/2014/main" id="{EAC52703-3501-43F8-AD38-7ADEB219F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</xdr:row>
      <xdr:rowOff>0</xdr:rowOff>
    </xdr:from>
    <xdr:ext cx="304800" cy="303439"/>
    <xdr:sp macro="" textlink="">
      <xdr:nvSpPr>
        <xdr:cNvPr id="4074" name="AutoShape 487">
          <a:extLst>
            <a:ext uri="{FF2B5EF4-FFF2-40B4-BE49-F238E27FC236}">
              <a16:creationId xmlns:a16="http://schemas.microsoft.com/office/drawing/2014/main" id="{BA296A59-92A5-4EC5-A09E-F4796DA1A62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75" name="Picture 4074">
          <a:extLst>
            <a:ext uri="{FF2B5EF4-FFF2-40B4-BE49-F238E27FC236}">
              <a16:creationId xmlns:a16="http://schemas.microsoft.com/office/drawing/2014/main" id="{3CF360C1-7717-4BAC-85FD-9D3FD4559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76" name="Picture 4075">
          <a:extLst>
            <a:ext uri="{FF2B5EF4-FFF2-40B4-BE49-F238E27FC236}">
              <a16:creationId xmlns:a16="http://schemas.microsoft.com/office/drawing/2014/main" id="{2E1599C1-DBE5-4988-97A1-CC6C06BE9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3440"/>
    <xdr:sp macro="" textlink="">
      <xdr:nvSpPr>
        <xdr:cNvPr id="4077" name="AutoShape 491">
          <a:extLst>
            <a:ext uri="{FF2B5EF4-FFF2-40B4-BE49-F238E27FC236}">
              <a16:creationId xmlns:a16="http://schemas.microsoft.com/office/drawing/2014/main" id="{A830BC92-4CF5-4A3B-A00C-3996A74DBADE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27</xdr:row>
      <xdr:rowOff>0</xdr:rowOff>
    </xdr:from>
    <xdr:ext cx="9525" cy="9525"/>
    <xdr:pic>
      <xdr:nvPicPr>
        <xdr:cNvPr id="4078" name="Picture 4077">
          <a:extLst>
            <a:ext uri="{FF2B5EF4-FFF2-40B4-BE49-F238E27FC236}">
              <a16:creationId xmlns:a16="http://schemas.microsoft.com/office/drawing/2014/main" id="{90D4D3A7-412E-4E95-AB25-CF45A49AA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26</xdr:row>
      <xdr:rowOff>0</xdr:rowOff>
    </xdr:from>
    <xdr:ext cx="304800" cy="303439"/>
    <xdr:sp macro="" textlink="">
      <xdr:nvSpPr>
        <xdr:cNvPr id="4079" name="AutoShape 493">
          <a:extLst>
            <a:ext uri="{FF2B5EF4-FFF2-40B4-BE49-F238E27FC236}">
              <a16:creationId xmlns:a16="http://schemas.microsoft.com/office/drawing/2014/main" id="{4B3032C0-DA78-45C4-B972-77C28220CDA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80" name="Picture 4079">
          <a:extLst>
            <a:ext uri="{FF2B5EF4-FFF2-40B4-BE49-F238E27FC236}">
              <a16:creationId xmlns:a16="http://schemas.microsoft.com/office/drawing/2014/main" id="{530AB291-3B88-4016-AE83-F34172E86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81" name="Picture 4080">
          <a:extLst>
            <a:ext uri="{FF2B5EF4-FFF2-40B4-BE49-F238E27FC236}">
              <a16:creationId xmlns:a16="http://schemas.microsoft.com/office/drawing/2014/main" id="{05270C35-EDC0-458F-981E-1B0777EC7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</xdr:row>
      <xdr:rowOff>0</xdr:rowOff>
    </xdr:from>
    <xdr:ext cx="9525" cy="9525"/>
    <xdr:pic>
      <xdr:nvPicPr>
        <xdr:cNvPr id="4082" name="Picture 4081">
          <a:extLst>
            <a:ext uri="{FF2B5EF4-FFF2-40B4-BE49-F238E27FC236}">
              <a16:creationId xmlns:a16="http://schemas.microsoft.com/office/drawing/2014/main" id="{514E0DB2-E1F7-41A3-9801-A10C37A7F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</xdr:row>
      <xdr:rowOff>0</xdr:rowOff>
    </xdr:from>
    <xdr:ext cx="304800" cy="303439"/>
    <xdr:sp macro="" textlink="">
      <xdr:nvSpPr>
        <xdr:cNvPr id="4083" name="AutoShape 497">
          <a:extLst>
            <a:ext uri="{FF2B5EF4-FFF2-40B4-BE49-F238E27FC236}">
              <a16:creationId xmlns:a16="http://schemas.microsoft.com/office/drawing/2014/main" id="{FA48F981-A2EB-4388-8A2C-B59A24D107F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4</xdr:row>
      <xdr:rowOff>0</xdr:rowOff>
    </xdr:from>
    <xdr:ext cx="9525" cy="9525"/>
    <xdr:pic>
      <xdr:nvPicPr>
        <xdr:cNvPr id="4084" name="Picture 4083">
          <a:extLst>
            <a:ext uri="{FF2B5EF4-FFF2-40B4-BE49-F238E27FC236}">
              <a16:creationId xmlns:a16="http://schemas.microsoft.com/office/drawing/2014/main" id="{51A528B2-7366-4869-B4A7-E860C3545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</xdr:row>
      <xdr:rowOff>0</xdr:rowOff>
    </xdr:from>
    <xdr:ext cx="304800" cy="304800"/>
    <xdr:sp macro="" textlink="">
      <xdr:nvSpPr>
        <xdr:cNvPr id="4085" name="AutoShape 499">
          <a:extLst>
            <a:ext uri="{FF2B5EF4-FFF2-40B4-BE49-F238E27FC236}">
              <a16:creationId xmlns:a16="http://schemas.microsoft.com/office/drawing/2014/main" id="{42A6D200-CA9D-4FF5-A410-BB35B040540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5</xdr:row>
      <xdr:rowOff>0</xdr:rowOff>
    </xdr:from>
    <xdr:ext cx="9525" cy="9525"/>
    <xdr:pic>
      <xdr:nvPicPr>
        <xdr:cNvPr id="4086" name="Picture 4085">
          <a:extLst>
            <a:ext uri="{FF2B5EF4-FFF2-40B4-BE49-F238E27FC236}">
              <a16:creationId xmlns:a16="http://schemas.microsoft.com/office/drawing/2014/main" id="{AA78B163-77A9-47A7-A28B-139A775B0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</xdr:row>
      <xdr:rowOff>0</xdr:rowOff>
    </xdr:from>
    <xdr:ext cx="304800" cy="304800"/>
    <xdr:sp macro="" textlink="">
      <xdr:nvSpPr>
        <xdr:cNvPr id="4087" name="AutoShape 501">
          <a:extLst>
            <a:ext uri="{FF2B5EF4-FFF2-40B4-BE49-F238E27FC236}">
              <a16:creationId xmlns:a16="http://schemas.microsoft.com/office/drawing/2014/main" id="{46F6627B-B480-4965-949E-CCD8157C312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537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6</xdr:row>
      <xdr:rowOff>0</xdr:rowOff>
    </xdr:from>
    <xdr:ext cx="9525" cy="9525"/>
    <xdr:pic>
      <xdr:nvPicPr>
        <xdr:cNvPr id="4088" name="Picture 4087">
          <a:extLst>
            <a:ext uri="{FF2B5EF4-FFF2-40B4-BE49-F238E27FC236}">
              <a16:creationId xmlns:a16="http://schemas.microsoft.com/office/drawing/2014/main" id="{F5ABCF62-C0FC-43CA-B06B-CD57AE7A6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304800" cy="304800"/>
    <xdr:sp macro="" textlink="">
      <xdr:nvSpPr>
        <xdr:cNvPr id="4089" name="AutoShape 503">
          <a:extLst>
            <a:ext uri="{FF2B5EF4-FFF2-40B4-BE49-F238E27FC236}">
              <a16:creationId xmlns:a16="http://schemas.microsoft.com/office/drawing/2014/main" id="{5ECD1047-1E34-40BD-ACF8-E4B7CD00A07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90" name="Picture 4089">
          <a:extLst>
            <a:ext uri="{FF2B5EF4-FFF2-40B4-BE49-F238E27FC236}">
              <a16:creationId xmlns:a16="http://schemas.microsoft.com/office/drawing/2014/main" id="{76C259EC-6F98-4659-9F9A-366738A96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</xdr:row>
      <xdr:rowOff>0</xdr:rowOff>
    </xdr:from>
    <xdr:ext cx="304800" cy="304800"/>
    <xdr:sp macro="" textlink="">
      <xdr:nvSpPr>
        <xdr:cNvPr id="4091" name="AutoShape 505">
          <a:extLst>
            <a:ext uri="{FF2B5EF4-FFF2-40B4-BE49-F238E27FC236}">
              <a16:creationId xmlns:a16="http://schemas.microsoft.com/office/drawing/2014/main" id="{1C24E6BF-2CA4-43AC-8B92-43C08A720B6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26</xdr:row>
      <xdr:rowOff>0</xdr:rowOff>
    </xdr:from>
    <xdr:ext cx="9525" cy="9525"/>
    <xdr:pic>
      <xdr:nvPicPr>
        <xdr:cNvPr id="4092" name="Picture 4091">
          <a:extLst>
            <a:ext uri="{FF2B5EF4-FFF2-40B4-BE49-F238E27FC236}">
              <a16:creationId xmlns:a16="http://schemas.microsoft.com/office/drawing/2014/main" id="{9AC43B83-20E7-4063-A87E-1DAAB8CE2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25</xdr:row>
      <xdr:rowOff>0</xdr:rowOff>
    </xdr:from>
    <xdr:ext cx="304800" cy="303439"/>
    <xdr:sp macro="" textlink="">
      <xdr:nvSpPr>
        <xdr:cNvPr id="4093" name="AutoShape 507">
          <a:extLst>
            <a:ext uri="{FF2B5EF4-FFF2-40B4-BE49-F238E27FC236}">
              <a16:creationId xmlns:a16="http://schemas.microsoft.com/office/drawing/2014/main" id="{0F389AF8-2E69-46B1-A09D-2C60EB2D765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06878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94" name="Picture 4093">
          <a:extLst>
            <a:ext uri="{FF2B5EF4-FFF2-40B4-BE49-F238E27FC236}">
              <a16:creationId xmlns:a16="http://schemas.microsoft.com/office/drawing/2014/main" id="{5BA1D254-7EE7-489C-833E-928E4E84C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26</xdr:row>
      <xdr:rowOff>0</xdr:rowOff>
    </xdr:from>
    <xdr:ext cx="304800" cy="304800"/>
    <xdr:sp macro="" textlink="">
      <xdr:nvSpPr>
        <xdr:cNvPr id="4095" name="AutoShape 509">
          <a:extLst>
            <a:ext uri="{FF2B5EF4-FFF2-40B4-BE49-F238E27FC236}">
              <a16:creationId xmlns:a16="http://schemas.microsoft.com/office/drawing/2014/main" id="{74EAC044-A66E-4C7E-981A-FF5417DAE76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96" name="Picture 4095">
          <a:extLst>
            <a:ext uri="{FF2B5EF4-FFF2-40B4-BE49-F238E27FC236}">
              <a16:creationId xmlns:a16="http://schemas.microsoft.com/office/drawing/2014/main" id="{7A7BACC0-6E1B-408D-B2AC-6BBC14037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097" name="AutoShape 511">
          <a:extLst>
            <a:ext uri="{FF2B5EF4-FFF2-40B4-BE49-F238E27FC236}">
              <a16:creationId xmlns:a16="http://schemas.microsoft.com/office/drawing/2014/main" id="{A6AB5A41-027A-4370-97B0-E7F70405F7D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098" name="Picture 4097">
          <a:extLst>
            <a:ext uri="{FF2B5EF4-FFF2-40B4-BE49-F238E27FC236}">
              <a16:creationId xmlns:a16="http://schemas.microsoft.com/office/drawing/2014/main" id="{33F131C8-9280-49FE-B045-91213A225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3439"/>
    <xdr:sp macro="" textlink="">
      <xdr:nvSpPr>
        <xdr:cNvPr id="4099" name="AutoShape 513">
          <a:extLst>
            <a:ext uri="{FF2B5EF4-FFF2-40B4-BE49-F238E27FC236}">
              <a16:creationId xmlns:a16="http://schemas.microsoft.com/office/drawing/2014/main" id="{E1ACFEAF-9E20-4310-AB8A-A34C08A5446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100" name="Picture 4099">
          <a:extLst>
            <a:ext uri="{FF2B5EF4-FFF2-40B4-BE49-F238E27FC236}">
              <a16:creationId xmlns:a16="http://schemas.microsoft.com/office/drawing/2014/main" id="{5A8DB169-7CA3-47CA-867E-6DBA07DD3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101" name="AutoShape 515">
          <a:extLst>
            <a:ext uri="{FF2B5EF4-FFF2-40B4-BE49-F238E27FC236}">
              <a16:creationId xmlns:a16="http://schemas.microsoft.com/office/drawing/2014/main" id="{ED7F2676-1948-4346-A691-873C87D716C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102" name="Picture 4101">
          <a:extLst>
            <a:ext uri="{FF2B5EF4-FFF2-40B4-BE49-F238E27FC236}">
              <a16:creationId xmlns:a16="http://schemas.microsoft.com/office/drawing/2014/main" id="{4FB86A51-F76B-4A1C-82A3-C63C57A06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103" name="AutoShape 517">
          <a:extLst>
            <a:ext uri="{FF2B5EF4-FFF2-40B4-BE49-F238E27FC236}">
              <a16:creationId xmlns:a16="http://schemas.microsoft.com/office/drawing/2014/main" id="{38D5B0D0-E154-4DD9-9817-6163C2D9962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104" name="Picture 4103">
          <a:extLst>
            <a:ext uri="{FF2B5EF4-FFF2-40B4-BE49-F238E27FC236}">
              <a16:creationId xmlns:a16="http://schemas.microsoft.com/office/drawing/2014/main" id="{9FA7478A-2DFE-4E55-A80F-37B5D440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105" name="AutoShape 519">
          <a:extLst>
            <a:ext uri="{FF2B5EF4-FFF2-40B4-BE49-F238E27FC236}">
              <a16:creationId xmlns:a16="http://schemas.microsoft.com/office/drawing/2014/main" id="{7BFB0458-7AFA-445C-897F-82080F66D6B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106" name="Picture 4105">
          <a:extLst>
            <a:ext uri="{FF2B5EF4-FFF2-40B4-BE49-F238E27FC236}">
              <a16:creationId xmlns:a16="http://schemas.microsoft.com/office/drawing/2014/main" id="{71522A20-4518-4553-B048-184CFD810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107" name="Picture 4106">
          <a:extLst>
            <a:ext uri="{FF2B5EF4-FFF2-40B4-BE49-F238E27FC236}">
              <a16:creationId xmlns:a16="http://schemas.microsoft.com/office/drawing/2014/main" id="{7EC03EF3-B679-4B15-A8F9-98FF1A085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3440"/>
    <xdr:sp macro="" textlink="">
      <xdr:nvSpPr>
        <xdr:cNvPr id="4108" name="AutoShape 525">
          <a:extLst>
            <a:ext uri="{FF2B5EF4-FFF2-40B4-BE49-F238E27FC236}">
              <a16:creationId xmlns:a16="http://schemas.microsoft.com/office/drawing/2014/main" id="{F7E91BFD-12B2-4B91-83BC-986302EF3CA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27</xdr:row>
      <xdr:rowOff>0</xdr:rowOff>
    </xdr:from>
    <xdr:ext cx="9525" cy="9525"/>
    <xdr:pic>
      <xdr:nvPicPr>
        <xdr:cNvPr id="4109" name="Picture 4108">
          <a:extLst>
            <a:ext uri="{FF2B5EF4-FFF2-40B4-BE49-F238E27FC236}">
              <a16:creationId xmlns:a16="http://schemas.microsoft.com/office/drawing/2014/main" id="{DD451BFE-8150-4ECA-B588-DC267739F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26</xdr:row>
      <xdr:rowOff>0</xdr:rowOff>
    </xdr:from>
    <xdr:ext cx="304800" cy="303439"/>
    <xdr:sp macro="" textlink="">
      <xdr:nvSpPr>
        <xdr:cNvPr id="4110" name="AutoShape 527">
          <a:extLst>
            <a:ext uri="{FF2B5EF4-FFF2-40B4-BE49-F238E27FC236}">
              <a16:creationId xmlns:a16="http://schemas.microsoft.com/office/drawing/2014/main" id="{6EE60A1E-E0E9-4C70-A2DA-B6632280E18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111" name="Picture 4110">
          <a:extLst>
            <a:ext uri="{FF2B5EF4-FFF2-40B4-BE49-F238E27FC236}">
              <a16:creationId xmlns:a16="http://schemas.microsoft.com/office/drawing/2014/main" id="{96AFE1F2-8269-45BB-B8B7-0BE690CDB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27</xdr:row>
      <xdr:rowOff>0</xdr:rowOff>
    </xdr:from>
    <xdr:ext cx="304800" cy="303439"/>
    <xdr:sp macro="" textlink="">
      <xdr:nvSpPr>
        <xdr:cNvPr id="4112" name="AutoShape 529">
          <a:extLst>
            <a:ext uri="{FF2B5EF4-FFF2-40B4-BE49-F238E27FC236}">
              <a16:creationId xmlns:a16="http://schemas.microsoft.com/office/drawing/2014/main" id="{B3BAB08A-10C8-4913-8926-E2BC5E3B2CC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477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113" name="Picture 4112">
          <a:extLst>
            <a:ext uri="{FF2B5EF4-FFF2-40B4-BE49-F238E27FC236}">
              <a16:creationId xmlns:a16="http://schemas.microsoft.com/office/drawing/2014/main" id="{6F6801A9-28BD-48FF-8204-747EAA8B2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3439"/>
    <xdr:sp macro="" textlink="">
      <xdr:nvSpPr>
        <xdr:cNvPr id="4114" name="AutoShape 531">
          <a:extLst>
            <a:ext uri="{FF2B5EF4-FFF2-40B4-BE49-F238E27FC236}">
              <a16:creationId xmlns:a16="http://schemas.microsoft.com/office/drawing/2014/main" id="{007F49BA-F406-4D2B-B86A-9CE3338AC12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7</xdr:row>
      <xdr:rowOff>0</xdr:rowOff>
    </xdr:from>
    <xdr:ext cx="9525" cy="9525"/>
    <xdr:pic>
      <xdr:nvPicPr>
        <xdr:cNvPr id="4115" name="Picture 4114">
          <a:extLst>
            <a:ext uri="{FF2B5EF4-FFF2-40B4-BE49-F238E27FC236}">
              <a16:creationId xmlns:a16="http://schemas.microsoft.com/office/drawing/2014/main" id="{D7DA6F62-83E8-490C-8174-B0177A98D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</xdr:row>
      <xdr:rowOff>0</xdr:rowOff>
    </xdr:from>
    <xdr:ext cx="9525" cy="9525"/>
    <xdr:pic>
      <xdr:nvPicPr>
        <xdr:cNvPr id="4116" name="Picture 4115">
          <a:extLst>
            <a:ext uri="{FF2B5EF4-FFF2-40B4-BE49-F238E27FC236}">
              <a16:creationId xmlns:a16="http://schemas.microsoft.com/office/drawing/2014/main" id="{DFE1D0BE-5A2E-41BD-A8A5-A89F72A6D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</xdr:row>
      <xdr:rowOff>0</xdr:rowOff>
    </xdr:from>
    <xdr:ext cx="304800" cy="304800"/>
    <xdr:sp macro="" textlink="">
      <xdr:nvSpPr>
        <xdr:cNvPr id="4117" name="AutoShape 183">
          <a:extLst>
            <a:ext uri="{FF2B5EF4-FFF2-40B4-BE49-F238E27FC236}">
              <a16:creationId xmlns:a16="http://schemas.microsoft.com/office/drawing/2014/main" id="{2452D199-215C-4F6F-9E2C-3D9B85A74C5E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7</xdr:row>
      <xdr:rowOff>0</xdr:rowOff>
    </xdr:from>
    <xdr:ext cx="9525" cy="9525"/>
    <xdr:pic>
      <xdr:nvPicPr>
        <xdr:cNvPr id="4118" name="Picture 4117">
          <a:extLst>
            <a:ext uri="{FF2B5EF4-FFF2-40B4-BE49-F238E27FC236}">
              <a16:creationId xmlns:a16="http://schemas.microsoft.com/office/drawing/2014/main" id="{DD431206-3895-439F-8396-5D13814A1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</xdr:row>
      <xdr:rowOff>0</xdr:rowOff>
    </xdr:from>
    <xdr:ext cx="304800" cy="304800"/>
    <xdr:sp macro="" textlink="">
      <xdr:nvSpPr>
        <xdr:cNvPr id="4119" name="AutoShape 209">
          <a:extLst>
            <a:ext uri="{FF2B5EF4-FFF2-40B4-BE49-F238E27FC236}">
              <a16:creationId xmlns:a16="http://schemas.microsoft.com/office/drawing/2014/main" id="{22F88728-3A76-4ECA-9EC2-316372C5736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7</xdr:row>
      <xdr:rowOff>0</xdr:rowOff>
    </xdr:from>
    <xdr:ext cx="9525" cy="9525"/>
    <xdr:pic>
      <xdr:nvPicPr>
        <xdr:cNvPr id="4120" name="Picture 4119">
          <a:extLst>
            <a:ext uri="{FF2B5EF4-FFF2-40B4-BE49-F238E27FC236}">
              <a16:creationId xmlns:a16="http://schemas.microsoft.com/office/drawing/2014/main" id="{8041E096-52DE-42A2-B114-C48BE313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</xdr:row>
      <xdr:rowOff>0</xdr:rowOff>
    </xdr:from>
    <xdr:ext cx="304800" cy="304800"/>
    <xdr:sp macro="" textlink="">
      <xdr:nvSpPr>
        <xdr:cNvPr id="4121" name="AutoShape 233">
          <a:extLst>
            <a:ext uri="{FF2B5EF4-FFF2-40B4-BE49-F238E27FC236}">
              <a16:creationId xmlns:a16="http://schemas.microsoft.com/office/drawing/2014/main" id="{C5281AC2-6752-4371-8384-106C9A596B6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7</xdr:row>
      <xdr:rowOff>0</xdr:rowOff>
    </xdr:from>
    <xdr:ext cx="9525" cy="9525"/>
    <xdr:pic>
      <xdr:nvPicPr>
        <xdr:cNvPr id="4122" name="Picture 4121">
          <a:extLst>
            <a:ext uri="{FF2B5EF4-FFF2-40B4-BE49-F238E27FC236}">
              <a16:creationId xmlns:a16="http://schemas.microsoft.com/office/drawing/2014/main" id="{07579522-BECE-48B9-81B0-DC580CAA8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</xdr:row>
      <xdr:rowOff>0</xdr:rowOff>
    </xdr:from>
    <xdr:ext cx="304800" cy="304800"/>
    <xdr:sp macro="" textlink="">
      <xdr:nvSpPr>
        <xdr:cNvPr id="4123" name="AutoShape 259">
          <a:extLst>
            <a:ext uri="{FF2B5EF4-FFF2-40B4-BE49-F238E27FC236}">
              <a16:creationId xmlns:a16="http://schemas.microsoft.com/office/drawing/2014/main" id="{2CDE42BD-50FA-482B-981B-3F3F83831FB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7</xdr:row>
      <xdr:rowOff>0</xdr:rowOff>
    </xdr:from>
    <xdr:ext cx="9525" cy="9525"/>
    <xdr:pic>
      <xdr:nvPicPr>
        <xdr:cNvPr id="4124" name="Picture 4123">
          <a:extLst>
            <a:ext uri="{FF2B5EF4-FFF2-40B4-BE49-F238E27FC236}">
              <a16:creationId xmlns:a16="http://schemas.microsoft.com/office/drawing/2014/main" id="{C884CAA0-017C-4332-8FC1-AE69A9348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</xdr:row>
      <xdr:rowOff>0</xdr:rowOff>
    </xdr:from>
    <xdr:ext cx="304800" cy="304800"/>
    <xdr:sp macro="" textlink="">
      <xdr:nvSpPr>
        <xdr:cNvPr id="4125" name="AutoShape 311">
          <a:extLst>
            <a:ext uri="{FF2B5EF4-FFF2-40B4-BE49-F238E27FC236}">
              <a16:creationId xmlns:a16="http://schemas.microsoft.com/office/drawing/2014/main" id="{1C8ACD10-5BF7-4623-B4AA-40506124E36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7</xdr:row>
      <xdr:rowOff>0</xdr:rowOff>
    </xdr:from>
    <xdr:ext cx="9525" cy="9525"/>
    <xdr:pic>
      <xdr:nvPicPr>
        <xdr:cNvPr id="4126" name="Picture 4125">
          <a:extLst>
            <a:ext uri="{FF2B5EF4-FFF2-40B4-BE49-F238E27FC236}">
              <a16:creationId xmlns:a16="http://schemas.microsoft.com/office/drawing/2014/main" id="{12FF7A6C-82CA-4836-B85D-75765A3B5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</xdr:row>
      <xdr:rowOff>0</xdr:rowOff>
    </xdr:from>
    <xdr:ext cx="304800" cy="304800"/>
    <xdr:sp macro="" textlink="">
      <xdr:nvSpPr>
        <xdr:cNvPr id="4127" name="AutoShape 363">
          <a:extLst>
            <a:ext uri="{FF2B5EF4-FFF2-40B4-BE49-F238E27FC236}">
              <a16:creationId xmlns:a16="http://schemas.microsoft.com/office/drawing/2014/main" id="{161BDBD0-2F86-4543-B24F-985A8CFFE82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7</xdr:row>
      <xdr:rowOff>0</xdr:rowOff>
    </xdr:from>
    <xdr:ext cx="9525" cy="9525"/>
    <xdr:pic>
      <xdr:nvPicPr>
        <xdr:cNvPr id="4128" name="Picture 4127">
          <a:extLst>
            <a:ext uri="{FF2B5EF4-FFF2-40B4-BE49-F238E27FC236}">
              <a16:creationId xmlns:a16="http://schemas.microsoft.com/office/drawing/2014/main" id="{3D4B44BD-7224-4F0A-AB4A-580FB4B5D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</xdr:row>
      <xdr:rowOff>0</xdr:rowOff>
    </xdr:from>
    <xdr:ext cx="304800" cy="304800"/>
    <xdr:sp macro="" textlink="">
      <xdr:nvSpPr>
        <xdr:cNvPr id="4129" name="AutoShape 419">
          <a:extLst>
            <a:ext uri="{FF2B5EF4-FFF2-40B4-BE49-F238E27FC236}">
              <a16:creationId xmlns:a16="http://schemas.microsoft.com/office/drawing/2014/main" id="{44E5F609-BBF3-442F-89DC-3DC18E0899B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7</xdr:row>
      <xdr:rowOff>0</xdr:rowOff>
    </xdr:from>
    <xdr:ext cx="9525" cy="9525"/>
    <xdr:pic>
      <xdr:nvPicPr>
        <xdr:cNvPr id="4130" name="Picture 4129">
          <a:extLst>
            <a:ext uri="{FF2B5EF4-FFF2-40B4-BE49-F238E27FC236}">
              <a16:creationId xmlns:a16="http://schemas.microsoft.com/office/drawing/2014/main" id="{91768CB2-658D-445C-A039-ACD4D2458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</xdr:row>
      <xdr:rowOff>0</xdr:rowOff>
    </xdr:from>
    <xdr:ext cx="304800" cy="304800"/>
    <xdr:sp macro="" textlink="">
      <xdr:nvSpPr>
        <xdr:cNvPr id="4131" name="AutoShape 475">
          <a:extLst>
            <a:ext uri="{FF2B5EF4-FFF2-40B4-BE49-F238E27FC236}">
              <a16:creationId xmlns:a16="http://schemas.microsoft.com/office/drawing/2014/main" id="{F640F678-A0F4-4CAC-84E3-F397D4BA58E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7</xdr:row>
      <xdr:rowOff>0</xdr:rowOff>
    </xdr:from>
    <xdr:ext cx="9525" cy="9525"/>
    <xdr:pic>
      <xdr:nvPicPr>
        <xdr:cNvPr id="4132" name="Picture 4131">
          <a:extLst>
            <a:ext uri="{FF2B5EF4-FFF2-40B4-BE49-F238E27FC236}">
              <a16:creationId xmlns:a16="http://schemas.microsoft.com/office/drawing/2014/main" id="{B64CDB63-546C-4DDA-909E-9EF131A5D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9525" cy="9525"/>
    <xdr:pic>
      <xdr:nvPicPr>
        <xdr:cNvPr id="4133" name="Picture 4132">
          <a:extLst>
            <a:ext uri="{FF2B5EF4-FFF2-40B4-BE49-F238E27FC236}">
              <a16:creationId xmlns:a16="http://schemas.microsoft.com/office/drawing/2014/main" id="{58C1D628-F130-4D2A-838C-8FB0B1365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9525" cy="9525"/>
    <xdr:pic>
      <xdr:nvPicPr>
        <xdr:cNvPr id="4134" name="Picture 4133">
          <a:extLst>
            <a:ext uri="{FF2B5EF4-FFF2-40B4-BE49-F238E27FC236}">
              <a16:creationId xmlns:a16="http://schemas.microsoft.com/office/drawing/2014/main" id="{652EF725-4139-4D6D-914E-AE535CD65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4800"/>
    <xdr:sp macro="" textlink="">
      <xdr:nvSpPr>
        <xdr:cNvPr id="4135" name="AutoShape 183">
          <a:extLst>
            <a:ext uri="{FF2B5EF4-FFF2-40B4-BE49-F238E27FC236}">
              <a16:creationId xmlns:a16="http://schemas.microsoft.com/office/drawing/2014/main" id="{408F6FB3-1EBC-4F3E-B44B-1A8E9277969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15</xdr:row>
      <xdr:rowOff>0</xdr:rowOff>
    </xdr:from>
    <xdr:ext cx="9525" cy="9525"/>
    <xdr:pic>
      <xdr:nvPicPr>
        <xdr:cNvPr id="4136" name="Picture 4135">
          <a:extLst>
            <a:ext uri="{FF2B5EF4-FFF2-40B4-BE49-F238E27FC236}">
              <a16:creationId xmlns:a16="http://schemas.microsoft.com/office/drawing/2014/main" id="{CFEDE4AF-937A-43C5-BE47-0C746413D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4800"/>
    <xdr:sp macro="" textlink="">
      <xdr:nvSpPr>
        <xdr:cNvPr id="4137" name="AutoShape 209">
          <a:extLst>
            <a:ext uri="{FF2B5EF4-FFF2-40B4-BE49-F238E27FC236}">
              <a16:creationId xmlns:a16="http://schemas.microsoft.com/office/drawing/2014/main" id="{8D5B652C-0496-4E61-AFCA-7C43384D44C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15</xdr:row>
      <xdr:rowOff>0</xdr:rowOff>
    </xdr:from>
    <xdr:ext cx="9525" cy="9525"/>
    <xdr:pic>
      <xdr:nvPicPr>
        <xdr:cNvPr id="4138" name="Picture 4137">
          <a:extLst>
            <a:ext uri="{FF2B5EF4-FFF2-40B4-BE49-F238E27FC236}">
              <a16:creationId xmlns:a16="http://schemas.microsoft.com/office/drawing/2014/main" id="{007E020C-D3D0-430A-8A3C-A03219913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4800"/>
    <xdr:sp macro="" textlink="">
      <xdr:nvSpPr>
        <xdr:cNvPr id="4139" name="AutoShape 233">
          <a:extLst>
            <a:ext uri="{FF2B5EF4-FFF2-40B4-BE49-F238E27FC236}">
              <a16:creationId xmlns:a16="http://schemas.microsoft.com/office/drawing/2014/main" id="{21CE7B3B-6F6E-435B-9A4A-49B83154584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15</xdr:row>
      <xdr:rowOff>0</xdr:rowOff>
    </xdr:from>
    <xdr:ext cx="9525" cy="9525"/>
    <xdr:pic>
      <xdr:nvPicPr>
        <xdr:cNvPr id="4140" name="Picture 4139">
          <a:extLst>
            <a:ext uri="{FF2B5EF4-FFF2-40B4-BE49-F238E27FC236}">
              <a16:creationId xmlns:a16="http://schemas.microsoft.com/office/drawing/2014/main" id="{A3EA6FF9-7822-43AE-8C8D-4BCDA09A1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4800"/>
    <xdr:sp macro="" textlink="">
      <xdr:nvSpPr>
        <xdr:cNvPr id="4141" name="AutoShape 259">
          <a:extLst>
            <a:ext uri="{FF2B5EF4-FFF2-40B4-BE49-F238E27FC236}">
              <a16:creationId xmlns:a16="http://schemas.microsoft.com/office/drawing/2014/main" id="{1AD8D88A-3A9A-4038-B777-461233C26D8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15</xdr:row>
      <xdr:rowOff>0</xdr:rowOff>
    </xdr:from>
    <xdr:ext cx="9525" cy="9525"/>
    <xdr:pic>
      <xdr:nvPicPr>
        <xdr:cNvPr id="4142" name="Picture 4141">
          <a:extLst>
            <a:ext uri="{FF2B5EF4-FFF2-40B4-BE49-F238E27FC236}">
              <a16:creationId xmlns:a16="http://schemas.microsoft.com/office/drawing/2014/main" id="{F9529C85-9952-4B7C-8AA2-682C1F416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4800"/>
    <xdr:sp macro="" textlink="">
      <xdr:nvSpPr>
        <xdr:cNvPr id="4143" name="AutoShape 311">
          <a:extLst>
            <a:ext uri="{FF2B5EF4-FFF2-40B4-BE49-F238E27FC236}">
              <a16:creationId xmlns:a16="http://schemas.microsoft.com/office/drawing/2014/main" id="{074EAF3E-5EBD-4787-91F2-6779B48A1E4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15</xdr:row>
      <xdr:rowOff>0</xdr:rowOff>
    </xdr:from>
    <xdr:ext cx="9525" cy="9525"/>
    <xdr:pic>
      <xdr:nvPicPr>
        <xdr:cNvPr id="4144" name="Picture 4143">
          <a:extLst>
            <a:ext uri="{FF2B5EF4-FFF2-40B4-BE49-F238E27FC236}">
              <a16:creationId xmlns:a16="http://schemas.microsoft.com/office/drawing/2014/main" id="{C77228B2-AE14-48C8-B48F-91BDA9ADD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4800"/>
    <xdr:sp macro="" textlink="">
      <xdr:nvSpPr>
        <xdr:cNvPr id="4145" name="AutoShape 363">
          <a:extLst>
            <a:ext uri="{FF2B5EF4-FFF2-40B4-BE49-F238E27FC236}">
              <a16:creationId xmlns:a16="http://schemas.microsoft.com/office/drawing/2014/main" id="{C4A13A5E-E157-41D1-8CA5-F200E4BC732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15</xdr:row>
      <xdr:rowOff>0</xdr:rowOff>
    </xdr:from>
    <xdr:ext cx="9525" cy="9525"/>
    <xdr:pic>
      <xdr:nvPicPr>
        <xdr:cNvPr id="4146" name="Picture 4145">
          <a:extLst>
            <a:ext uri="{FF2B5EF4-FFF2-40B4-BE49-F238E27FC236}">
              <a16:creationId xmlns:a16="http://schemas.microsoft.com/office/drawing/2014/main" id="{AF4CF4D2-C1EE-40A4-B616-13DC4620E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4800"/>
    <xdr:sp macro="" textlink="">
      <xdr:nvSpPr>
        <xdr:cNvPr id="4147" name="AutoShape 419">
          <a:extLst>
            <a:ext uri="{FF2B5EF4-FFF2-40B4-BE49-F238E27FC236}">
              <a16:creationId xmlns:a16="http://schemas.microsoft.com/office/drawing/2014/main" id="{B7F21E30-CA94-49D8-BB22-6086C6937C5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15</xdr:row>
      <xdr:rowOff>0</xdr:rowOff>
    </xdr:from>
    <xdr:ext cx="9525" cy="9525"/>
    <xdr:pic>
      <xdr:nvPicPr>
        <xdr:cNvPr id="4148" name="Picture 4147">
          <a:extLst>
            <a:ext uri="{FF2B5EF4-FFF2-40B4-BE49-F238E27FC236}">
              <a16:creationId xmlns:a16="http://schemas.microsoft.com/office/drawing/2014/main" id="{D34FF160-E67A-47DA-AF3C-ECF920604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4800"/>
    <xdr:sp macro="" textlink="">
      <xdr:nvSpPr>
        <xdr:cNvPr id="4149" name="AutoShape 475">
          <a:extLst>
            <a:ext uri="{FF2B5EF4-FFF2-40B4-BE49-F238E27FC236}">
              <a16:creationId xmlns:a16="http://schemas.microsoft.com/office/drawing/2014/main" id="{468FD8B4-9C8D-4D43-B087-B2C45609F38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15</xdr:row>
      <xdr:rowOff>0</xdr:rowOff>
    </xdr:from>
    <xdr:ext cx="9525" cy="9525"/>
    <xdr:pic>
      <xdr:nvPicPr>
        <xdr:cNvPr id="4150" name="Picture 4149">
          <a:extLst>
            <a:ext uri="{FF2B5EF4-FFF2-40B4-BE49-F238E27FC236}">
              <a16:creationId xmlns:a16="http://schemas.microsoft.com/office/drawing/2014/main" id="{85F8F9F0-AAB9-4CDB-BB16-046BD348A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0</xdr:rowOff>
    </xdr:from>
    <xdr:ext cx="304800" cy="304800"/>
    <xdr:sp macro="" textlink="">
      <xdr:nvSpPr>
        <xdr:cNvPr id="4151" name="AutoShape 154">
          <a:extLst>
            <a:ext uri="{FF2B5EF4-FFF2-40B4-BE49-F238E27FC236}">
              <a16:creationId xmlns:a16="http://schemas.microsoft.com/office/drawing/2014/main" id="{A35844FE-DBA9-4EDC-8326-D556A99E67C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21</xdr:row>
      <xdr:rowOff>0</xdr:rowOff>
    </xdr:from>
    <xdr:ext cx="304800" cy="304800"/>
    <xdr:sp macro="" textlink="">
      <xdr:nvSpPr>
        <xdr:cNvPr id="4152" name="AutoShape 505">
          <a:extLst>
            <a:ext uri="{FF2B5EF4-FFF2-40B4-BE49-F238E27FC236}">
              <a16:creationId xmlns:a16="http://schemas.microsoft.com/office/drawing/2014/main" id="{97FBAD9F-3D00-4563-B746-7B8C11709D6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21</xdr:row>
      <xdr:rowOff>0</xdr:rowOff>
    </xdr:from>
    <xdr:ext cx="9525" cy="9525"/>
    <xdr:pic>
      <xdr:nvPicPr>
        <xdr:cNvPr id="4153" name="Picture 4152">
          <a:extLst>
            <a:ext uri="{FF2B5EF4-FFF2-40B4-BE49-F238E27FC236}">
              <a16:creationId xmlns:a16="http://schemas.microsoft.com/office/drawing/2014/main" id="{2C6180EE-575A-47C1-B4EB-F10BE1CA8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0</xdr:rowOff>
    </xdr:from>
    <xdr:ext cx="9525" cy="9525"/>
    <xdr:pic>
      <xdr:nvPicPr>
        <xdr:cNvPr id="4154" name="Picture 4153">
          <a:extLst>
            <a:ext uri="{FF2B5EF4-FFF2-40B4-BE49-F238E27FC236}">
              <a16:creationId xmlns:a16="http://schemas.microsoft.com/office/drawing/2014/main" id="{5E9487A6-3BED-477B-92F9-080B7FC11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0</xdr:rowOff>
    </xdr:from>
    <xdr:ext cx="304800" cy="304800"/>
    <xdr:sp macro="" textlink="">
      <xdr:nvSpPr>
        <xdr:cNvPr id="4155" name="AutoShape 183">
          <a:extLst>
            <a:ext uri="{FF2B5EF4-FFF2-40B4-BE49-F238E27FC236}">
              <a16:creationId xmlns:a16="http://schemas.microsoft.com/office/drawing/2014/main" id="{7855064D-9195-49D2-A71C-9F9B84C2BFA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21</xdr:row>
      <xdr:rowOff>0</xdr:rowOff>
    </xdr:from>
    <xdr:ext cx="9525" cy="9525"/>
    <xdr:pic>
      <xdr:nvPicPr>
        <xdr:cNvPr id="4156" name="Picture 4155">
          <a:extLst>
            <a:ext uri="{FF2B5EF4-FFF2-40B4-BE49-F238E27FC236}">
              <a16:creationId xmlns:a16="http://schemas.microsoft.com/office/drawing/2014/main" id="{57852BBE-1834-4258-A1D6-AD8C617AB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0</xdr:rowOff>
    </xdr:from>
    <xdr:ext cx="304800" cy="304800"/>
    <xdr:sp macro="" textlink="">
      <xdr:nvSpPr>
        <xdr:cNvPr id="4157" name="AutoShape 209">
          <a:extLst>
            <a:ext uri="{FF2B5EF4-FFF2-40B4-BE49-F238E27FC236}">
              <a16:creationId xmlns:a16="http://schemas.microsoft.com/office/drawing/2014/main" id="{484F453F-8AF7-4403-9D7E-788A944A3F8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21</xdr:row>
      <xdr:rowOff>0</xdr:rowOff>
    </xdr:from>
    <xdr:ext cx="9525" cy="9525"/>
    <xdr:pic>
      <xdr:nvPicPr>
        <xdr:cNvPr id="4158" name="Picture 4157">
          <a:extLst>
            <a:ext uri="{FF2B5EF4-FFF2-40B4-BE49-F238E27FC236}">
              <a16:creationId xmlns:a16="http://schemas.microsoft.com/office/drawing/2014/main" id="{972B98A2-72ED-4467-AB96-A1047442D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0</xdr:rowOff>
    </xdr:from>
    <xdr:ext cx="304800" cy="304800"/>
    <xdr:sp macro="" textlink="">
      <xdr:nvSpPr>
        <xdr:cNvPr id="4159" name="AutoShape 233">
          <a:extLst>
            <a:ext uri="{FF2B5EF4-FFF2-40B4-BE49-F238E27FC236}">
              <a16:creationId xmlns:a16="http://schemas.microsoft.com/office/drawing/2014/main" id="{3DCAAACD-9551-4983-93D6-322A2161C25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21</xdr:row>
      <xdr:rowOff>0</xdr:rowOff>
    </xdr:from>
    <xdr:ext cx="9525" cy="9525"/>
    <xdr:pic>
      <xdr:nvPicPr>
        <xdr:cNvPr id="4160" name="Picture 4159">
          <a:extLst>
            <a:ext uri="{FF2B5EF4-FFF2-40B4-BE49-F238E27FC236}">
              <a16:creationId xmlns:a16="http://schemas.microsoft.com/office/drawing/2014/main" id="{D0B7D685-ACB1-4D55-87EA-F2973165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0</xdr:rowOff>
    </xdr:from>
    <xdr:ext cx="304800" cy="304800"/>
    <xdr:sp macro="" textlink="">
      <xdr:nvSpPr>
        <xdr:cNvPr id="4161" name="AutoShape 259">
          <a:extLst>
            <a:ext uri="{FF2B5EF4-FFF2-40B4-BE49-F238E27FC236}">
              <a16:creationId xmlns:a16="http://schemas.microsoft.com/office/drawing/2014/main" id="{E000C899-ADE7-4558-9302-D363732BAD8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21</xdr:row>
      <xdr:rowOff>0</xdr:rowOff>
    </xdr:from>
    <xdr:ext cx="9525" cy="9525"/>
    <xdr:pic>
      <xdr:nvPicPr>
        <xdr:cNvPr id="4162" name="Picture 4161">
          <a:extLst>
            <a:ext uri="{FF2B5EF4-FFF2-40B4-BE49-F238E27FC236}">
              <a16:creationId xmlns:a16="http://schemas.microsoft.com/office/drawing/2014/main" id="{93E3D969-14E5-4F49-952B-139D166CE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0</xdr:rowOff>
    </xdr:from>
    <xdr:ext cx="304800" cy="304800"/>
    <xdr:sp macro="" textlink="">
      <xdr:nvSpPr>
        <xdr:cNvPr id="4163" name="AutoShape 311">
          <a:extLst>
            <a:ext uri="{FF2B5EF4-FFF2-40B4-BE49-F238E27FC236}">
              <a16:creationId xmlns:a16="http://schemas.microsoft.com/office/drawing/2014/main" id="{3A53999D-7A1F-4A75-B6B4-A4A9D841EF9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21</xdr:row>
      <xdr:rowOff>0</xdr:rowOff>
    </xdr:from>
    <xdr:ext cx="9525" cy="9525"/>
    <xdr:pic>
      <xdr:nvPicPr>
        <xdr:cNvPr id="4164" name="Picture 4163">
          <a:extLst>
            <a:ext uri="{FF2B5EF4-FFF2-40B4-BE49-F238E27FC236}">
              <a16:creationId xmlns:a16="http://schemas.microsoft.com/office/drawing/2014/main" id="{06972779-4A9D-4D8E-AB48-3F17F33B2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0</xdr:rowOff>
    </xdr:from>
    <xdr:ext cx="304800" cy="304800"/>
    <xdr:sp macro="" textlink="">
      <xdr:nvSpPr>
        <xdr:cNvPr id="4165" name="AutoShape 363">
          <a:extLst>
            <a:ext uri="{FF2B5EF4-FFF2-40B4-BE49-F238E27FC236}">
              <a16:creationId xmlns:a16="http://schemas.microsoft.com/office/drawing/2014/main" id="{FC0469FB-A084-4DA1-8B43-3854AFE32A6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21</xdr:row>
      <xdr:rowOff>0</xdr:rowOff>
    </xdr:from>
    <xdr:ext cx="9525" cy="9525"/>
    <xdr:pic>
      <xdr:nvPicPr>
        <xdr:cNvPr id="4166" name="Picture 4165">
          <a:extLst>
            <a:ext uri="{FF2B5EF4-FFF2-40B4-BE49-F238E27FC236}">
              <a16:creationId xmlns:a16="http://schemas.microsoft.com/office/drawing/2014/main" id="{B9F92B06-6342-499E-8892-2F1CAA726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0</xdr:rowOff>
    </xdr:from>
    <xdr:ext cx="304800" cy="304800"/>
    <xdr:sp macro="" textlink="">
      <xdr:nvSpPr>
        <xdr:cNvPr id="4167" name="AutoShape 419">
          <a:extLst>
            <a:ext uri="{FF2B5EF4-FFF2-40B4-BE49-F238E27FC236}">
              <a16:creationId xmlns:a16="http://schemas.microsoft.com/office/drawing/2014/main" id="{06F80436-63AF-4407-BA26-AECD21DB1EC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21</xdr:row>
      <xdr:rowOff>0</xdr:rowOff>
    </xdr:from>
    <xdr:ext cx="9525" cy="9525"/>
    <xdr:pic>
      <xdr:nvPicPr>
        <xdr:cNvPr id="4168" name="Picture 4167">
          <a:extLst>
            <a:ext uri="{FF2B5EF4-FFF2-40B4-BE49-F238E27FC236}">
              <a16:creationId xmlns:a16="http://schemas.microsoft.com/office/drawing/2014/main" id="{F9B76747-31A9-4D36-918E-873D11CDD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0</xdr:rowOff>
    </xdr:from>
    <xdr:ext cx="304800" cy="304800"/>
    <xdr:sp macro="" textlink="">
      <xdr:nvSpPr>
        <xdr:cNvPr id="4169" name="AutoShape 475">
          <a:extLst>
            <a:ext uri="{FF2B5EF4-FFF2-40B4-BE49-F238E27FC236}">
              <a16:creationId xmlns:a16="http://schemas.microsoft.com/office/drawing/2014/main" id="{1B32B687-7B21-4850-A54D-D097DF0C4A5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21</xdr:row>
      <xdr:rowOff>0</xdr:rowOff>
    </xdr:from>
    <xdr:ext cx="9525" cy="9525"/>
    <xdr:pic>
      <xdr:nvPicPr>
        <xdr:cNvPr id="4170" name="Picture 4169">
          <a:extLst>
            <a:ext uri="{FF2B5EF4-FFF2-40B4-BE49-F238E27FC236}">
              <a16:creationId xmlns:a16="http://schemas.microsoft.com/office/drawing/2014/main" id="{397D38C1-9AA3-4380-B2E4-2A1D54E1F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9525" cy="9525"/>
    <xdr:pic>
      <xdr:nvPicPr>
        <xdr:cNvPr id="4171" name="Picture 4170">
          <a:extLst>
            <a:ext uri="{FF2B5EF4-FFF2-40B4-BE49-F238E27FC236}">
              <a16:creationId xmlns:a16="http://schemas.microsoft.com/office/drawing/2014/main" id="{9635E94B-7C62-4885-8E13-D658E5231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3440"/>
    <xdr:sp macro="" textlink="">
      <xdr:nvSpPr>
        <xdr:cNvPr id="4172" name="AutoShape 169">
          <a:extLst>
            <a:ext uri="{FF2B5EF4-FFF2-40B4-BE49-F238E27FC236}">
              <a16:creationId xmlns:a16="http://schemas.microsoft.com/office/drawing/2014/main" id="{EC571F2F-F5B4-4018-9EBC-4A5471546FB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16</xdr:row>
      <xdr:rowOff>0</xdr:rowOff>
    </xdr:from>
    <xdr:ext cx="304800" cy="303439"/>
    <xdr:sp macro="" textlink="">
      <xdr:nvSpPr>
        <xdr:cNvPr id="4173" name="AutoShape 171">
          <a:extLst>
            <a:ext uri="{FF2B5EF4-FFF2-40B4-BE49-F238E27FC236}">
              <a16:creationId xmlns:a16="http://schemas.microsoft.com/office/drawing/2014/main" id="{A9117844-FB44-4476-9DCC-582DE319CAF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16</xdr:row>
      <xdr:rowOff>0</xdr:rowOff>
    </xdr:from>
    <xdr:ext cx="9525" cy="9525"/>
    <xdr:pic>
      <xdr:nvPicPr>
        <xdr:cNvPr id="4174" name="Picture 4173">
          <a:extLst>
            <a:ext uri="{FF2B5EF4-FFF2-40B4-BE49-F238E27FC236}">
              <a16:creationId xmlns:a16="http://schemas.microsoft.com/office/drawing/2014/main" id="{6CC6010B-EE66-4CCB-BF39-07D1B26BD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3440"/>
    <xdr:sp macro="" textlink="">
      <xdr:nvSpPr>
        <xdr:cNvPr id="4175" name="AutoShape 199">
          <a:extLst>
            <a:ext uri="{FF2B5EF4-FFF2-40B4-BE49-F238E27FC236}">
              <a16:creationId xmlns:a16="http://schemas.microsoft.com/office/drawing/2014/main" id="{00C67675-399B-4093-8E28-4D0910C90F1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16</xdr:row>
      <xdr:rowOff>0</xdr:rowOff>
    </xdr:from>
    <xdr:ext cx="9525" cy="9525"/>
    <xdr:pic>
      <xdr:nvPicPr>
        <xdr:cNvPr id="4176" name="Picture 4175">
          <a:extLst>
            <a:ext uri="{FF2B5EF4-FFF2-40B4-BE49-F238E27FC236}">
              <a16:creationId xmlns:a16="http://schemas.microsoft.com/office/drawing/2014/main" id="{492121CD-1002-4579-A7A2-24BCF7AED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9525" cy="9525"/>
    <xdr:pic>
      <xdr:nvPicPr>
        <xdr:cNvPr id="4177" name="Picture 4176">
          <a:extLst>
            <a:ext uri="{FF2B5EF4-FFF2-40B4-BE49-F238E27FC236}">
              <a16:creationId xmlns:a16="http://schemas.microsoft.com/office/drawing/2014/main" id="{BC7DDC2A-40B2-4885-AC44-18E4364CE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3440"/>
    <xdr:sp macro="" textlink="">
      <xdr:nvSpPr>
        <xdr:cNvPr id="4178" name="AutoShape 249">
          <a:extLst>
            <a:ext uri="{FF2B5EF4-FFF2-40B4-BE49-F238E27FC236}">
              <a16:creationId xmlns:a16="http://schemas.microsoft.com/office/drawing/2014/main" id="{15F6957C-7BFF-4731-B9A8-C6AFAE58345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16</xdr:row>
      <xdr:rowOff>0</xdr:rowOff>
    </xdr:from>
    <xdr:ext cx="9525" cy="9525"/>
    <xdr:pic>
      <xdr:nvPicPr>
        <xdr:cNvPr id="4179" name="Picture 4178">
          <a:extLst>
            <a:ext uri="{FF2B5EF4-FFF2-40B4-BE49-F238E27FC236}">
              <a16:creationId xmlns:a16="http://schemas.microsoft.com/office/drawing/2014/main" id="{23BD906D-1EF7-4DC6-B2C4-ADADEA669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3440"/>
    <xdr:sp macro="" textlink="">
      <xdr:nvSpPr>
        <xdr:cNvPr id="4180" name="AutoShape 275">
          <a:extLst>
            <a:ext uri="{FF2B5EF4-FFF2-40B4-BE49-F238E27FC236}">
              <a16:creationId xmlns:a16="http://schemas.microsoft.com/office/drawing/2014/main" id="{01C5DA62-6301-4B44-B81B-77BF64C0C83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16</xdr:row>
      <xdr:rowOff>0</xdr:rowOff>
    </xdr:from>
    <xdr:ext cx="9525" cy="9525"/>
    <xdr:pic>
      <xdr:nvPicPr>
        <xdr:cNvPr id="4181" name="Picture 4180">
          <a:extLst>
            <a:ext uri="{FF2B5EF4-FFF2-40B4-BE49-F238E27FC236}">
              <a16:creationId xmlns:a16="http://schemas.microsoft.com/office/drawing/2014/main" id="{27C1C8FF-BAB1-43A6-8701-9847F906A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3440"/>
    <xdr:sp macro="" textlink="">
      <xdr:nvSpPr>
        <xdr:cNvPr id="4182" name="AutoShape 327">
          <a:extLst>
            <a:ext uri="{FF2B5EF4-FFF2-40B4-BE49-F238E27FC236}">
              <a16:creationId xmlns:a16="http://schemas.microsoft.com/office/drawing/2014/main" id="{812328A0-31F5-402C-8830-B04C3B7FFB9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16</xdr:row>
      <xdr:rowOff>0</xdr:rowOff>
    </xdr:from>
    <xdr:ext cx="9525" cy="9525"/>
    <xdr:pic>
      <xdr:nvPicPr>
        <xdr:cNvPr id="4183" name="Picture 4182">
          <a:extLst>
            <a:ext uri="{FF2B5EF4-FFF2-40B4-BE49-F238E27FC236}">
              <a16:creationId xmlns:a16="http://schemas.microsoft.com/office/drawing/2014/main" id="{9ED671E9-C873-43FE-B99F-599A5DA31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3440"/>
    <xdr:sp macro="" textlink="">
      <xdr:nvSpPr>
        <xdr:cNvPr id="4184" name="AutoShape 379">
          <a:extLst>
            <a:ext uri="{FF2B5EF4-FFF2-40B4-BE49-F238E27FC236}">
              <a16:creationId xmlns:a16="http://schemas.microsoft.com/office/drawing/2014/main" id="{8975F28F-34AC-4F16-A7C6-22E87B6F6E2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16</xdr:row>
      <xdr:rowOff>0</xdr:rowOff>
    </xdr:from>
    <xdr:ext cx="304800" cy="303439"/>
    <xdr:sp macro="" textlink="">
      <xdr:nvSpPr>
        <xdr:cNvPr id="4185" name="AutoShape 381">
          <a:extLst>
            <a:ext uri="{FF2B5EF4-FFF2-40B4-BE49-F238E27FC236}">
              <a16:creationId xmlns:a16="http://schemas.microsoft.com/office/drawing/2014/main" id="{D49D9CB2-CF3B-43AF-825D-C86D823F7F1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16</xdr:row>
      <xdr:rowOff>0</xdr:rowOff>
    </xdr:from>
    <xdr:ext cx="9525" cy="9525"/>
    <xdr:pic>
      <xdr:nvPicPr>
        <xdr:cNvPr id="4186" name="Picture 4185">
          <a:extLst>
            <a:ext uri="{FF2B5EF4-FFF2-40B4-BE49-F238E27FC236}">
              <a16:creationId xmlns:a16="http://schemas.microsoft.com/office/drawing/2014/main" id="{18F7A0B2-7481-4751-A780-28A8B123A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3440"/>
    <xdr:sp macro="" textlink="">
      <xdr:nvSpPr>
        <xdr:cNvPr id="4187" name="AutoShape 435">
          <a:extLst>
            <a:ext uri="{FF2B5EF4-FFF2-40B4-BE49-F238E27FC236}">
              <a16:creationId xmlns:a16="http://schemas.microsoft.com/office/drawing/2014/main" id="{79CD1ECE-073F-4240-81ED-06BC455CA28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16</xdr:row>
      <xdr:rowOff>0</xdr:rowOff>
    </xdr:from>
    <xdr:ext cx="304800" cy="303439"/>
    <xdr:sp macro="" textlink="">
      <xdr:nvSpPr>
        <xdr:cNvPr id="4188" name="AutoShape 437">
          <a:extLst>
            <a:ext uri="{FF2B5EF4-FFF2-40B4-BE49-F238E27FC236}">
              <a16:creationId xmlns:a16="http://schemas.microsoft.com/office/drawing/2014/main" id="{A0262433-12C8-4DDE-B4D0-429B60228F7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16</xdr:row>
      <xdr:rowOff>0</xdr:rowOff>
    </xdr:from>
    <xdr:ext cx="9525" cy="9525"/>
    <xdr:pic>
      <xdr:nvPicPr>
        <xdr:cNvPr id="4189" name="Picture 4188">
          <a:extLst>
            <a:ext uri="{FF2B5EF4-FFF2-40B4-BE49-F238E27FC236}">
              <a16:creationId xmlns:a16="http://schemas.microsoft.com/office/drawing/2014/main" id="{D801CE39-9896-4101-836D-72EAB499B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3440"/>
    <xdr:sp macro="" textlink="">
      <xdr:nvSpPr>
        <xdr:cNvPr id="4190" name="AutoShape 491">
          <a:extLst>
            <a:ext uri="{FF2B5EF4-FFF2-40B4-BE49-F238E27FC236}">
              <a16:creationId xmlns:a16="http://schemas.microsoft.com/office/drawing/2014/main" id="{73797F97-5AEA-4597-B541-7DF5329B11A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16</xdr:row>
      <xdr:rowOff>0</xdr:rowOff>
    </xdr:from>
    <xdr:ext cx="304800" cy="303439"/>
    <xdr:sp macro="" textlink="">
      <xdr:nvSpPr>
        <xdr:cNvPr id="4191" name="AutoShape 493">
          <a:extLst>
            <a:ext uri="{FF2B5EF4-FFF2-40B4-BE49-F238E27FC236}">
              <a16:creationId xmlns:a16="http://schemas.microsoft.com/office/drawing/2014/main" id="{4A19BD46-24CB-421F-BF6D-AB823A033FC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16</xdr:row>
      <xdr:rowOff>0</xdr:rowOff>
    </xdr:from>
    <xdr:ext cx="9525" cy="9525"/>
    <xdr:pic>
      <xdr:nvPicPr>
        <xdr:cNvPr id="4192" name="Picture 4191">
          <a:extLst>
            <a:ext uri="{FF2B5EF4-FFF2-40B4-BE49-F238E27FC236}">
              <a16:creationId xmlns:a16="http://schemas.microsoft.com/office/drawing/2014/main" id="{EBB4D02C-611E-4670-9B3E-98F978F40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3440"/>
    <xdr:sp macro="" textlink="">
      <xdr:nvSpPr>
        <xdr:cNvPr id="4193" name="AutoShape 525">
          <a:extLst>
            <a:ext uri="{FF2B5EF4-FFF2-40B4-BE49-F238E27FC236}">
              <a16:creationId xmlns:a16="http://schemas.microsoft.com/office/drawing/2014/main" id="{BEAEBCC1-6184-4DF9-A6E8-6066E36A46BE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16</xdr:row>
      <xdr:rowOff>0</xdr:rowOff>
    </xdr:from>
    <xdr:ext cx="304800" cy="303439"/>
    <xdr:sp macro="" textlink="">
      <xdr:nvSpPr>
        <xdr:cNvPr id="4194" name="AutoShape 527">
          <a:extLst>
            <a:ext uri="{FF2B5EF4-FFF2-40B4-BE49-F238E27FC236}">
              <a16:creationId xmlns:a16="http://schemas.microsoft.com/office/drawing/2014/main" id="{224B28FC-F26E-48B1-AACD-31CF578F286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19</xdr:row>
      <xdr:rowOff>0</xdr:rowOff>
    </xdr:from>
    <xdr:ext cx="9525" cy="9525"/>
    <xdr:pic>
      <xdr:nvPicPr>
        <xdr:cNvPr id="4195" name="Picture 4194">
          <a:extLst>
            <a:ext uri="{FF2B5EF4-FFF2-40B4-BE49-F238E27FC236}">
              <a16:creationId xmlns:a16="http://schemas.microsoft.com/office/drawing/2014/main" id="{DD363147-8C39-4B8C-B4D6-CE2E5AFE9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304800" cy="303440"/>
    <xdr:sp macro="" textlink="">
      <xdr:nvSpPr>
        <xdr:cNvPr id="4196" name="AutoShape 173">
          <a:extLst>
            <a:ext uri="{FF2B5EF4-FFF2-40B4-BE49-F238E27FC236}">
              <a16:creationId xmlns:a16="http://schemas.microsoft.com/office/drawing/2014/main" id="{E5DBC231-D624-40C7-BA86-5ED03D1278B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653643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20</xdr:row>
      <xdr:rowOff>0</xdr:rowOff>
    </xdr:from>
    <xdr:ext cx="9525" cy="9525"/>
    <xdr:pic>
      <xdr:nvPicPr>
        <xdr:cNvPr id="4197" name="Picture 4196">
          <a:extLst>
            <a:ext uri="{FF2B5EF4-FFF2-40B4-BE49-F238E27FC236}">
              <a16:creationId xmlns:a16="http://schemas.microsoft.com/office/drawing/2014/main" id="{50B985A8-2824-42EE-8829-1CC466641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9525" cy="9525"/>
    <xdr:pic>
      <xdr:nvPicPr>
        <xdr:cNvPr id="4198" name="Picture 4197">
          <a:extLst>
            <a:ext uri="{FF2B5EF4-FFF2-40B4-BE49-F238E27FC236}">
              <a16:creationId xmlns:a16="http://schemas.microsoft.com/office/drawing/2014/main" id="{BF9F38D1-376E-45C1-9C11-6439A207D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9525" cy="9525"/>
    <xdr:pic>
      <xdr:nvPicPr>
        <xdr:cNvPr id="4199" name="Picture 4198">
          <a:extLst>
            <a:ext uri="{FF2B5EF4-FFF2-40B4-BE49-F238E27FC236}">
              <a16:creationId xmlns:a16="http://schemas.microsoft.com/office/drawing/2014/main" id="{0F0D5D83-132B-4555-8FA1-9A7A7FFE9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9525" cy="9525"/>
    <xdr:pic>
      <xdr:nvPicPr>
        <xdr:cNvPr id="4200" name="Picture 4199">
          <a:extLst>
            <a:ext uri="{FF2B5EF4-FFF2-40B4-BE49-F238E27FC236}">
              <a16:creationId xmlns:a16="http://schemas.microsoft.com/office/drawing/2014/main" id="{2B980409-84B1-4F63-B1DA-8E77A20FB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9525" cy="9525"/>
    <xdr:pic>
      <xdr:nvPicPr>
        <xdr:cNvPr id="4201" name="Picture 4200">
          <a:extLst>
            <a:ext uri="{FF2B5EF4-FFF2-40B4-BE49-F238E27FC236}">
              <a16:creationId xmlns:a16="http://schemas.microsoft.com/office/drawing/2014/main" id="{F7912C1B-1359-4C66-8B6C-F6B9B34B1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9525" cy="9525"/>
    <xdr:pic>
      <xdr:nvPicPr>
        <xdr:cNvPr id="4202" name="Picture 4201">
          <a:extLst>
            <a:ext uri="{FF2B5EF4-FFF2-40B4-BE49-F238E27FC236}">
              <a16:creationId xmlns:a16="http://schemas.microsoft.com/office/drawing/2014/main" id="{4E19B289-0427-4F24-87CA-C021DF42E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20</xdr:row>
      <xdr:rowOff>0</xdr:rowOff>
    </xdr:from>
    <xdr:ext cx="9525" cy="9525"/>
    <xdr:pic>
      <xdr:nvPicPr>
        <xdr:cNvPr id="4203" name="Picture 4202">
          <a:extLst>
            <a:ext uri="{FF2B5EF4-FFF2-40B4-BE49-F238E27FC236}">
              <a16:creationId xmlns:a16="http://schemas.microsoft.com/office/drawing/2014/main" id="{1A2B82C4-4FDD-4416-B00D-C4541B3A1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9525" cy="9525"/>
    <xdr:pic>
      <xdr:nvPicPr>
        <xdr:cNvPr id="4204" name="Picture 4203">
          <a:extLst>
            <a:ext uri="{FF2B5EF4-FFF2-40B4-BE49-F238E27FC236}">
              <a16:creationId xmlns:a16="http://schemas.microsoft.com/office/drawing/2014/main" id="{35767176-4ADB-47D4-A277-704B418BE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20</xdr:row>
      <xdr:rowOff>0</xdr:rowOff>
    </xdr:from>
    <xdr:ext cx="9525" cy="9525"/>
    <xdr:pic>
      <xdr:nvPicPr>
        <xdr:cNvPr id="4205" name="Picture 4204">
          <a:extLst>
            <a:ext uri="{FF2B5EF4-FFF2-40B4-BE49-F238E27FC236}">
              <a16:creationId xmlns:a16="http://schemas.microsoft.com/office/drawing/2014/main" id="{F26DFEFF-7BB8-4D7A-B5A1-E822A5AD4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9525" cy="9525"/>
    <xdr:pic>
      <xdr:nvPicPr>
        <xdr:cNvPr id="4206" name="Picture 4205">
          <a:extLst>
            <a:ext uri="{FF2B5EF4-FFF2-40B4-BE49-F238E27FC236}">
              <a16:creationId xmlns:a16="http://schemas.microsoft.com/office/drawing/2014/main" id="{F41F1524-0209-4526-8F52-085E7DA25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20</xdr:row>
      <xdr:rowOff>0</xdr:rowOff>
    </xdr:from>
    <xdr:ext cx="9525" cy="9525"/>
    <xdr:pic>
      <xdr:nvPicPr>
        <xdr:cNvPr id="4207" name="Picture 4206">
          <a:extLst>
            <a:ext uri="{FF2B5EF4-FFF2-40B4-BE49-F238E27FC236}">
              <a16:creationId xmlns:a16="http://schemas.microsoft.com/office/drawing/2014/main" id="{B7BA7BA7-C522-4B70-9190-8713398BE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9525" cy="9525"/>
    <xdr:pic>
      <xdr:nvPicPr>
        <xdr:cNvPr id="4208" name="Picture 4207">
          <a:extLst>
            <a:ext uri="{FF2B5EF4-FFF2-40B4-BE49-F238E27FC236}">
              <a16:creationId xmlns:a16="http://schemas.microsoft.com/office/drawing/2014/main" id="{F94DA84F-68D8-45EB-809B-735044B37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304800" cy="303439"/>
    <xdr:sp macro="" textlink="">
      <xdr:nvSpPr>
        <xdr:cNvPr id="4209" name="AutoShape 529">
          <a:extLst>
            <a:ext uri="{FF2B5EF4-FFF2-40B4-BE49-F238E27FC236}">
              <a16:creationId xmlns:a16="http://schemas.microsoft.com/office/drawing/2014/main" id="{43F3C245-B7E7-47DC-99D7-0B79A6E6EC6E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6536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20</xdr:row>
      <xdr:rowOff>0</xdr:rowOff>
    </xdr:from>
    <xdr:ext cx="9525" cy="9525"/>
    <xdr:pic>
      <xdr:nvPicPr>
        <xdr:cNvPr id="4210" name="Picture 4209">
          <a:extLst>
            <a:ext uri="{FF2B5EF4-FFF2-40B4-BE49-F238E27FC236}">
              <a16:creationId xmlns:a16="http://schemas.microsoft.com/office/drawing/2014/main" id="{B789B5C6-44A1-479D-926D-83E34586F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304800" cy="303439"/>
    <xdr:sp macro="" textlink="">
      <xdr:nvSpPr>
        <xdr:cNvPr id="4211" name="AutoShape 531">
          <a:extLst>
            <a:ext uri="{FF2B5EF4-FFF2-40B4-BE49-F238E27FC236}">
              <a16:creationId xmlns:a16="http://schemas.microsoft.com/office/drawing/2014/main" id="{D6D91E1B-3E0F-4AF5-B335-F26A2F13DB3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8441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9525" cy="9525"/>
    <xdr:pic>
      <xdr:nvPicPr>
        <xdr:cNvPr id="4212" name="Picture 4211">
          <a:extLst>
            <a:ext uri="{FF2B5EF4-FFF2-40B4-BE49-F238E27FC236}">
              <a16:creationId xmlns:a16="http://schemas.microsoft.com/office/drawing/2014/main" id="{D72A8875-9407-4D7A-8892-224B49B22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304800" cy="303439"/>
    <xdr:sp macro="" textlink="">
      <xdr:nvSpPr>
        <xdr:cNvPr id="4213" name="AutoShape 165">
          <a:extLst>
            <a:ext uri="{FF2B5EF4-FFF2-40B4-BE49-F238E27FC236}">
              <a16:creationId xmlns:a16="http://schemas.microsoft.com/office/drawing/2014/main" id="{89DC1525-578E-4282-B0B9-96B82E4BC4E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9525" cy="9525"/>
    <xdr:pic>
      <xdr:nvPicPr>
        <xdr:cNvPr id="4214" name="Picture 4213">
          <a:extLst>
            <a:ext uri="{FF2B5EF4-FFF2-40B4-BE49-F238E27FC236}">
              <a16:creationId xmlns:a16="http://schemas.microsoft.com/office/drawing/2014/main" id="{008C1669-88C2-4D20-B762-9A6784D25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304800" cy="304800"/>
    <xdr:sp macro="" textlink="">
      <xdr:nvSpPr>
        <xdr:cNvPr id="4215" name="AutoShape 193">
          <a:extLst>
            <a:ext uri="{FF2B5EF4-FFF2-40B4-BE49-F238E27FC236}">
              <a16:creationId xmlns:a16="http://schemas.microsoft.com/office/drawing/2014/main" id="{55D24A9E-0720-456F-960C-D80A4B4B2C1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03439"/>
    <xdr:sp macro="" textlink="">
      <xdr:nvSpPr>
        <xdr:cNvPr id="4216" name="AutoShape 195">
          <a:extLst>
            <a:ext uri="{FF2B5EF4-FFF2-40B4-BE49-F238E27FC236}">
              <a16:creationId xmlns:a16="http://schemas.microsoft.com/office/drawing/2014/main" id="{1F92A819-BBD8-43FF-8A5B-A2BF0883BD3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9525" cy="9525"/>
    <xdr:pic>
      <xdr:nvPicPr>
        <xdr:cNvPr id="4217" name="Picture 4216">
          <a:extLst>
            <a:ext uri="{FF2B5EF4-FFF2-40B4-BE49-F238E27FC236}">
              <a16:creationId xmlns:a16="http://schemas.microsoft.com/office/drawing/2014/main" id="{7368EE38-10C0-4CAC-8DF6-277FC3998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304800" cy="304800"/>
    <xdr:sp macro="" textlink="">
      <xdr:nvSpPr>
        <xdr:cNvPr id="4218" name="AutoShape 219">
          <a:extLst>
            <a:ext uri="{FF2B5EF4-FFF2-40B4-BE49-F238E27FC236}">
              <a16:creationId xmlns:a16="http://schemas.microsoft.com/office/drawing/2014/main" id="{DDAD246B-5B1C-4870-9E86-7C94B614F70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03439"/>
    <xdr:sp macro="" textlink="">
      <xdr:nvSpPr>
        <xdr:cNvPr id="4219" name="AutoShape 221">
          <a:extLst>
            <a:ext uri="{FF2B5EF4-FFF2-40B4-BE49-F238E27FC236}">
              <a16:creationId xmlns:a16="http://schemas.microsoft.com/office/drawing/2014/main" id="{E518BD51-C69B-4233-998A-CFB2A764BCB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9525" cy="9525"/>
    <xdr:pic>
      <xdr:nvPicPr>
        <xdr:cNvPr id="4220" name="Picture 4219">
          <a:extLst>
            <a:ext uri="{FF2B5EF4-FFF2-40B4-BE49-F238E27FC236}">
              <a16:creationId xmlns:a16="http://schemas.microsoft.com/office/drawing/2014/main" id="{8FAA293E-B9EB-4DBF-A8F9-5E398C7E4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304800" cy="304800"/>
    <xdr:sp macro="" textlink="">
      <xdr:nvSpPr>
        <xdr:cNvPr id="4221" name="AutoShape 243">
          <a:extLst>
            <a:ext uri="{FF2B5EF4-FFF2-40B4-BE49-F238E27FC236}">
              <a16:creationId xmlns:a16="http://schemas.microsoft.com/office/drawing/2014/main" id="{367D4A94-C6F9-4C30-A957-21EB65C0031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03439"/>
    <xdr:sp macro="" textlink="">
      <xdr:nvSpPr>
        <xdr:cNvPr id="4222" name="AutoShape 245">
          <a:extLst>
            <a:ext uri="{FF2B5EF4-FFF2-40B4-BE49-F238E27FC236}">
              <a16:creationId xmlns:a16="http://schemas.microsoft.com/office/drawing/2014/main" id="{77958AB9-BFEE-490D-95E0-0E70F20B275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9525" cy="9525"/>
    <xdr:pic>
      <xdr:nvPicPr>
        <xdr:cNvPr id="4223" name="Picture 4222">
          <a:extLst>
            <a:ext uri="{FF2B5EF4-FFF2-40B4-BE49-F238E27FC236}">
              <a16:creationId xmlns:a16="http://schemas.microsoft.com/office/drawing/2014/main" id="{B790C49F-8162-4E0C-9AF9-F39F230D9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304800" cy="304800"/>
    <xdr:sp macro="" textlink="">
      <xdr:nvSpPr>
        <xdr:cNvPr id="4224" name="AutoShape 269">
          <a:extLst>
            <a:ext uri="{FF2B5EF4-FFF2-40B4-BE49-F238E27FC236}">
              <a16:creationId xmlns:a16="http://schemas.microsoft.com/office/drawing/2014/main" id="{E71FFD27-F90B-4686-9713-A026F9B5C7CE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03439"/>
    <xdr:sp macro="" textlink="">
      <xdr:nvSpPr>
        <xdr:cNvPr id="4225" name="AutoShape 271">
          <a:extLst>
            <a:ext uri="{FF2B5EF4-FFF2-40B4-BE49-F238E27FC236}">
              <a16:creationId xmlns:a16="http://schemas.microsoft.com/office/drawing/2014/main" id="{B5A84D0A-9BF2-4424-8433-14C7907AF78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9525" cy="9525"/>
    <xdr:pic>
      <xdr:nvPicPr>
        <xdr:cNvPr id="4226" name="Picture 4225">
          <a:extLst>
            <a:ext uri="{FF2B5EF4-FFF2-40B4-BE49-F238E27FC236}">
              <a16:creationId xmlns:a16="http://schemas.microsoft.com/office/drawing/2014/main" id="{11A6B284-4497-4EEF-B812-90409957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304800" cy="304800"/>
    <xdr:sp macro="" textlink="">
      <xdr:nvSpPr>
        <xdr:cNvPr id="4227" name="AutoShape 321">
          <a:extLst>
            <a:ext uri="{FF2B5EF4-FFF2-40B4-BE49-F238E27FC236}">
              <a16:creationId xmlns:a16="http://schemas.microsoft.com/office/drawing/2014/main" id="{E5B55F7F-AC2F-49E3-8C29-FAC9BB06E14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03439"/>
    <xdr:sp macro="" textlink="">
      <xdr:nvSpPr>
        <xdr:cNvPr id="4228" name="AutoShape 323">
          <a:extLst>
            <a:ext uri="{FF2B5EF4-FFF2-40B4-BE49-F238E27FC236}">
              <a16:creationId xmlns:a16="http://schemas.microsoft.com/office/drawing/2014/main" id="{74749DC5-2CDF-48A2-BEB4-A8E2538A59A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9525" cy="9525"/>
    <xdr:pic>
      <xdr:nvPicPr>
        <xdr:cNvPr id="4229" name="Picture 4228">
          <a:extLst>
            <a:ext uri="{FF2B5EF4-FFF2-40B4-BE49-F238E27FC236}">
              <a16:creationId xmlns:a16="http://schemas.microsoft.com/office/drawing/2014/main" id="{5605D35C-5B73-4B42-AE58-E0DAFF942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304800" cy="304800"/>
    <xdr:sp macro="" textlink="">
      <xdr:nvSpPr>
        <xdr:cNvPr id="4230" name="AutoShape 373">
          <a:extLst>
            <a:ext uri="{FF2B5EF4-FFF2-40B4-BE49-F238E27FC236}">
              <a16:creationId xmlns:a16="http://schemas.microsoft.com/office/drawing/2014/main" id="{56C04E50-A588-4D97-8B2A-60AA49A63E1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03439"/>
    <xdr:sp macro="" textlink="">
      <xdr:nvSpPr>
        <xdr:cNvPr id="4231" name="AutoShape 375">
          <a:extLst>
            <a:ext uri="{FF2B5EF4-FFF2-40B4-BE49-F238E27FC236}">
              <a16:creationId xmlns:a16="http://schemas.microsoft.com/office/drawing/2014/main" id="{76409557-C1FE-470B-ABC9-969E7049F03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9525" cy="9525"/>
    <xdr:pic>
      <xdr:nvPicPr>
        <xdr:cNvPr id="4232" name="Picture 4231">
          <a:extLst>
            <a:ext uri="{FF2B5EF4-FFF2-40B4-BE49-F238E27FC236}">
              <a16:creationId xmlns:a16="http://schemas.microsoft.com/office/drawing/2014/main" id="{C9B0571E-9940-49D4-9E60-3F00FEAD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304800" cy="304800"/>
    <xdr:sp macro="" textlink="">
      <xdr:nvSpPr>
        <xdr:cNvPr id="4233" name="AutoShape 429">
          <a:extLst>
            <a:ext uri="{FF2B5EF4-FFF2-40B4-BE49-F238E27FC236}">
              <a16:creationId xmlns:a16="http://schemas.microsoft.com/office/drawing/2014/main" id="{014099B4-CF52-47D7-987A-B6B4402BAB8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03439"/>
    <xdr:sp macro="" textlink="">
      <xdr:nvSpPr>
        <xdr:cNvPr id="4234" name="AutoShape 431">
          <a:extLst>
            <a:ext uri="{FF2B5EF4-FFF2-40B4-BE49-F238E27FC236}">
              <a16:creationId xmlns:a16="http://schemas.microsoft.com/office/drawing/2014/main" id="{17C03340-CA3E-497A-A886-64D5CAD309E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9525" cy="9525"/>
    <xdr:pic>
      <xdr:nvPicPr>
        <xdr:cNvPr id="4235" name="Picture 4234">
          <a:extLst>
            <a:ext uri="{FF2B5EF4-FFF2-40B4-BE49-F238E27FC236}">
              <a16:creationId xmlns:a16="http://schemas.microsoft.com/office/drawing/2014/main" id="{5674F211-5D7C-409B-878B-D6B141CB5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304800" cy="304800"/>
    <xdr:sp macro="" textlink="">
      <xdr:nvSpPr>
        <xdr:cNvPr id="4236" name="AutoShape 485">
          <a:extLst>
            <a:ext uri="{FF2B5EF4-FFF2-40B4-BE49-F238E27FC236}">
              <a16:creationId xmlns:a16="http://schemas.microsoft.com/office/drawing/2014/main" id="{240B2483-CE18-47EF-A410-FAFE158D705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03439"/>
    <xdr:sp macro="" textlink="">
      <xdr:nvSpPr>
        <xdr:cNvPr id="4237" name="AutoShape 487">
          <a:extLst>
            <a:ext uri="{FF2B5EF4-FFF2-40B4-BE49-F238E27FC236}">
              <a16:creationId xmlns:a16="http://schemas.microsoft.com/office/drawing/2014/main" id="{160738CC-32BF-489F-AFE1-8F09C653C2D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9525" cy="9525"/>
    <xdr:pic>
      <xdr:nvPicPr>
        <xdr:cNvPr id="4238" name="Picture 4237">
          <a:extLst>
            <a:ext uri="{FF2B5EF4-FFF2-40B4-BE49-F238E27FC236}">
              <a16:creationId xmlns:a16="http://schemas.microsoft.com/office/drawing/2014/main" id="{A6CC6549-5520-45D0-98C0-80CDEEBAC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304800" cy="304800"/>
    <xdr:sp macro="" textlink="">
      <xdr:nvSpPr>
        <xdr:cNvPr id="4239" name="AutoShape 519">
          <a:extLst>
            <a:ext uri="{FF2B5EF4-FFF2-40B4-BE49-F238E27FC236}">
              <a16:creationId xmlns:a16="http://schemas.microsoft.com/office/drawing/2014/main" id="{660DFC7E-F8CD-4023-A7FE-6790C3496DE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03439"/>
    <xdr:sp macro="" textlink="">
      <xdr:nvSpPr>
        <xdr:cNvPr id="4240" name="AutoShape 521">
          <a:extLst>
            <a:ext uri="{FF2B5EF4-FFF2-40B4-BE49-F238E27FC236}">
              <a16:creationId xmlns:a16="http://schemas.microsoft.com/office/drawing/2014/main" id="{9A4FC0FB-F982-4379-AC2D-941328A766B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18</xdr:row>
      <xdr:rowOff>0</xdr:rowOff>
    </xdr:from>
    <xdr:ext cx="9525" cy="9525"/>
    <xdr:pic>
      <xdr:nvPicPr>
        <xdr:cNvPr id="4241" name="Picture 4240">
          <a:extLst>
            <a:ext uri="{FF2B5EF4-FFF2-40B4-BE49-F238E27FC236}">
              <a16:creationId xmlns:a16="http://schemas.microsoft.com/office/drawing/2014/main" id="{E40E3E76-C2B7-492E-AA3A-15B99286F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304800" cy="304800"/>
    <xdr:sp macro="" textlink="">
      <xdr:nvSpPr>
        <xdr:cNvPr id="4242" name="AutoShape 159">
          <a:extLst>
            <a:ext uri="{FF2B5EF4-FFF2-40B4-BE49-F238E27FC236}">
              <a16:creationId xmlns:a16="http://schemas.microsoft.com/office/drawing/2014/main" id="{2AD83200-AF00-4836-978C-7B06301148F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18</xdr:row>
      <xdr:rowOff>0</xdr:rowOff>
    </xdr:from>
    <xdr:ext cx="9525" cy="9525"/>
    <xdr:pic>
      <xdr:nvPicPr>
        <xdr:cNvPr id="4243" name="Picture 4242">
          <a:extLst>
            <a:ext uri="{FF2B5EF4-FFF2-40B4-BE49-F238E27FC236}">
              <a16:creationId xmlns:a16="http://schemas.microsoft.com/office/drawing/2014/main" id="{82E9938F-4DF2-4FDB-B39C-19EEAEB3F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9525" cy="9525"/>
    <xdr:pic>
      <xdr:nvPicPr>
        <xdr:cNvPr id="4244" name="Picture 4243">
          <a:extLst>
            <a:ext uri="{FF2B5EF4-FFF2-40B4-BE49-F238E27FC236}">
              <a16:creationId xmlns:a16="http://schemas.microsoft.com/office/drawing/2014/main" id="{F4B2B95B-6CBB-4FB9-A7F3-C4536A783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9525" cy="9525"/>
    <xdr:pic>
      <xdr:nvPicPr>
        <xdr:cNvPr id="4245" name="Picture 4244">
          <a:extLst>
            <a:ext uri="{FF2B5EF4-FFF2-40B4-BE49-F238E27FC236}">
              <a16:creationId xmlns:a16="http://schemas.microsoft.com/office/drawing/2014/main" id="{8D3F21F6-A4C7-499B-9C27-33E5E202C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9525" cy="9525"/>
    <xdr:pic>
      <xdr:nvPicPr>
        <xdr:cNvPr id="4246" name="Picture 4245">
          <a:extLst>
            <a:ext uri="{FF2B5EF4-FFF2-40B4-BE49-F238E27FC236}">
              <a16:creationId xmlns:a16="http://schemas.microsoft.com/office/drawing/2014/main" id="{00AB2582-052A-49BA-B911-5625B8264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9525" cy="9525"/>
    <xdr:pic>
      <xdr:nvPicPr>
        <xdr:cNvPr id="4247" name="Picture 4246">
          <a:extLst>
            <a:ext uri="{FF2B5EF4-FFF2-40B4-BE49-F238E27FC236}">
              <a16:creationId xmlns:a16="http://schemas.microsoft.com/office/drawing/2014/main" id="{08122D2B-BC0B-4FD6-B552-84059CDA3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9525" cy="9525"/>
    <xdr:pic>
      <xdr:nvPicPr>
        <xdr:cNvPr id="4248" name="Picture 4247">
          <a:extLst>
            <a:ext uri="{FF2B5EF4-FFF2-40B4-BE49-F238E27FC236}">
              <a16:creationId xmlns:a16="http://schemas.microsoft.com/office/drawing/2014/main" id="{DD9728E3-201E-417B-8484-D3C119B1D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9525" cy="9525"/>
    <xdr:pic>
      <xdr:nvPicPr>
        <xdr:cNvPr id="4249" name="Picture 4248">
          <a:extLst>
            <a:ext uri="{FF2B5EF4-FFF2-40B4-BE49-F238E27FC236}">
              <a16:creationId xmlns:a16="http://schemas.microsoft.com/office/drawing/2014/main" id="{1CB61A88-E7CE-4FA3-8F00-39BA60C67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9525" cy="9525"/>
    <xdr:pic>
      <xdr:nvPicPr>
        <xdr:cNvPr id="4250" name="Picture 4249">
          <a:extLst>
            <a:ext uri="{FF2B5EF4-FFF2-40B4-BE49-F238E27FC236}">
              <a16:creationId xmlns:a16="http://schemas.microsoft.com/office/drawing/2014/main" id="{701A4EA5-F757-4885-8D1B-3CCFBA430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9525" cy="9525"/>
    <xdr:pic>
      <xdr:nvPicPr>
        <xdr:cNvPr id="4251" name="Picture 4250">
          <a:extLst>
            <a:ext uri="{FF2B5EF4-FFF2-40B4-BE49-F238E27FC236}">
              <a16:creationId xmlns:a16="http://schemas.microsoft.com/office/drawing/2014/main" id="{41A6E8FD-9339-4771-B024-271AF5348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304800" cy="304800"/>
    <xdr:sp macro="" textlink="">
      <xdr:nvSpPr>
        <xdr:cNvPr id="4252" name="AutoShape 509">
          <a:extLst>
            <a:ext uri="{FF2B5EF4-FFF2-40B4-BE49-F238E27FC236}">
              <a16:creationId xmlns:a16="http://schemas.microsoft.com/office/drawing/2014/main" id="{5441D815-009D-45ED-B839-A58D71F6902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4359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18</xdr:row>
      <xdr:rowOff>0</xdr:rowOff>
    </xdr:from>
    <xdr:ext cx="304800" cy="304800"/>
    <xdr:sp macro="" textlink="">
      <xdr:nvSpPr>
        <xdr:cNvPr id="4253" name="AutoShape 511">
          <a:extLst>
            <a:ext uri="{FF2B5EF4-FFF2-40B4-BE49-F238E27FC236}">
              <a16:creationId xmlns:a16="http://schemas.microsoft.com/office/drawing/2014/main" id="{40F54CC2-C883-41C2-90ED-918A676ECD0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9</xdr:row>
      <xdr:rowOff>0</xdr:rowOff>
    </xdr:from>
    <xdr:ext cx="9525" cy="9525"/>
    <xdr:pic>
      <xdr:nvPicPr>
        <xdr:cNvPr id="4254" name="Picture 4253">
          <a:extLst>
            <a:ext uri="{FF2B5EF4-FFF2-40B4-BE49-F238E27FC236}">
              <a16:creationId xmlns:a16="http://schemas.microsoft.com/office/drawing/2014/main" id="{728DFE08-72BB-49A1-A24D-78F2C6866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</xdr:row>
      <xdr:rowOff>0</xdr:rowOff>
    </xdr:from>
    <xdr:ext cx="304800" cy="304800"/>
    <xdr:sp macro="" textlink="">
      <xdr:nvSpPr>
        <xdr:cNvPr id="4255" name="AutoShape 159">
          <a:extLst>
            <a:ext uri="{FF2B5EF4-FFF2-40B4-BE49-F238E27FC236}">
              <a16:creationId xmlns:a16="http://schemas.microsoft.com/office/drawing/2014/main" id="{4D078E5F-9C0C-4DF4-95E5-5C792C3EE0A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9</xdr:row>
      <xdr:rowOff>0</xdr:rowOff>
    </xdr:from>
    <xdr:ext cx="9525" cy="9525"/>
    <xdr:pic>
      <xdr:nvPicPr>
        <xdr:cNvPr id="4256" name="Picture 4255">
          <a:extLst>
            <a:ext uri="{FF2B5EF4-FFF2-40B4-BE49-F238E27FC236}">
              <a16:creationId xmlns:a16="http://schemas.microsoft.com/office/drawing/2014/main" id="{F4E99024-E292-4AFE-A7EF-CD695D521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9525" cy="9525"/>
    <xdr:pic>
      <xdr:nvPicPr>
        <xdr:cNvPr id="4257" name="Picture 4256">
          <a:extLst>
            <a:ext uri="{FF2B5EF4-FFF2-40B4-BE49-F238E27FC236}">
              <a16:creationId xmlns:a16="http://schemas.microsoft.com/office/drawing/2014/main" id="{CC055533-AE0F-4219-BC02-6CE1773FE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9525" cy="9525"/>
    <xdr:pic>
      <xdr:nvPicPr>
        <xdr:cNvPr id="4258" name="Picture 4257">
          <a:extLst>
            <a:ext uri="{FF2B5EF4-FFF2-40B4-BE49-F238E27FC236}">
              <a16:creationId xmlns:a16="http://schemas.microsoft.com/office/drawing/2014/main" id="{CBA6D3E7-C661-42EA-9F0E-FAD702982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9525" cy="9525"/>
    <xdr:pic>
      <xdr:nvPicPr>
        <xdr:cNvPr id="4259" name="Picture 4258">
          <a:extLst>
            <a:ext uri="{FF2B5EF4-FFF2-40B4-BE49-F238E27FC236}">
              <a16:creationId xmlns:a16="http://schemas.microsoft.com/office/drawing/2014/main" id="{BE332BE4-AB89-4A64-AA0C-A60752895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9525" cy="9525"/>
    <xdr:pic>
      <xdr:nvPicPr>
        <xdr:cNvPr id="4260" name="Picture 4259">
          <a:extLst>
            <a:ext uri="{FF2B5EF4-FFF2-40B4-BE49-F238E27FC236}">
              <a16:creationId xmlns:a16="http://schemas.microsoft.com/office/drawing/2014/main" id="{0E9D6FEA-1329-4249-89E8-8E1D2A227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9525" cy="9525"/>
    <xdr:pic>
      <xdr:nvPicPr>
        <xdr:cNvPr id="4261" name="Picture 4260">
          <a:extLst>
            <a:ext uri="{FF2B5EF4-FFF2-40B4-BE49-F238E27FC236}">
              <a16:creationId xmlns:a16="http://schemas.microsoft.com/office/drawing/2014/main" id="{6F72D2A6-0C35-42A1-B25A-5B1CD33E9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9525" cy="9525"/>
    <xdr:pic>
      <xdr:nvPicPr>
        <xdr:cNvPr id="4262" name="Picture 4261">
          <a:extLst>
            <a:ext uri="{FF2B5EF4-FFF2-40B4-BE49-F238E27FC236}">
              <a16:creationId xmlns:a16="http://schemas.microsoft.com/office/drawing/2014/main" id="{3DA6B1AD-77C0-47B9-B7FA-4B8E0EA9B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9525" cy="9525"/>
    <xdr:pic>
      <xdr:nvPicPr>
        <xdr:cNvPr id="4263" name="Picture 4262">
          <a:extLst>
            <a:ext uri="{FF2B5EF4-FFF2-40B4-BE49-F238E27FC236}">
              <a16:creationId xmlns:a16="http://schemas.microsoft.com/office/drawing/2014/main" id="{B07CCACB-E845-47F4-8557-61E043507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9525" cy="9525"/>
    <xdr:pic>
      <xdr:nvPicPr>
        <xdr:cNvPr id="4264" name="Picture 4263">
          <a:extLst>
            <a:ext uri="{FF2B5EF4-FFF2-40B4-BE49-F238E27FC236}">
              <a16:creationId xmlns:a16="http://schemas.microsoft.com/office/drawing/2014/main" id="{28F8EE57-5DE5-4E1C-AE68-B32E23FA3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304800" cy="303439"/>
    <xdr:sp macro="" textlink="">
      <xdr:nvSpPr>
        <xdr:cNvPr id="4265" name="AutoShape 513">
          <a:extLst>
            <a:ext uri="{FF2B5EF4-FFF2-40B4-BE49-F238E27FC236}">
              <a16:creationId xmlns:a16="http://schemas.microsoft.com/office/drawing/2014/main" id="{3E3C4253-2194-4561-9FCE-BBDA00C6913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54453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9525" cy="9525"/>
    <xdr:pic>
      <xdr:nvPicPr>
        <xdr:cNvPr id="4266" name="Picture 4265">
          <a:extLst>
            <a:ext uri="{FF2B5EF4-FFF2-40B4-BE49-F238E27FC236}">
              <a16:creationId xmlns:a16="http://schemas.microsoft.com/office/drawing/2014/main" id="{AD7AF9CC-D716-4241-8C02-CE0D9AE66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</xdr:row>
      <xdr:rowOff>0</xdr:rowOff>
    </xdr:from>
    <xdr:ext cx="9525" cy="9525"/>
    <xdr:pic>
      <xdr:nvPicPr>
        <xdr:cNvPr id="4267" name="Picture 4266">
          <a:extLst>
            <a:ext uri="{FF2B5EF4-FFF2-40B4-BE49-F238E27FC236}">
              <a16:creationId xmlns:a16="http://schemas.microsoft.com/office/drawing/2014/main" id="{91AFFCD8-9823-49A8-B22A-330EF614C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304800" cy="304800"/>
    <xdr:sp macro="" textlink="">
      <xdr:nvSpPr>
        <xdr:cNvPr id="4268" name="AutoShape 191">
          <a:extLst>
            <a:ext uri="{FF2B5EF4-FFF2-40B4-BE49-F238E27FC236}">
              <a16:creationId xmlns:a16="http://schemas.microsoft.com/office/drawing/2014/main" id="{C4DB98F8-971C-49B4-B41C-C7B3C3A2FE7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304800" cy="304800"/>
    <xdr:sp macro="" textlink="">
      <xdr:nvSpPr>
        <xdr:cNvPr id="4269" name="AutoShape 193">
          <a:extLst>
            <a:ext uri="{FF2B5EF4-FFF2-40B4-BE49-F238E27FC236}">
              <a16:creationId xmlns:a16="http://schemas.microsoft.com/office/drawing/2014/main" id="{5827F73A-F003-479D-A5D1-1227D6EE571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9525" cy="9525"/>
    <xdr:pic>
      <xdr:nvPicPr>
        <xdr:cNvPr id="4270" name="Picture 4269">
          <a:extLst>
            <a:ext uri="{FF2B5EF4-FFF2-40B4-BE49-F238E27FC236}">
              <a16:creationId xmlns:a16="http://schemas.microsoft.com/office/drawing/2014/main" id="{5CBF6C22-773C-4022-BC06-043211329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304800" cy="304800"/>
    <xdr:sp macro="" textlink="">
      <xdr:nvSpPr>
        <xdr:cNvPr id="4271" name="AutoShape 217">
          <a:extLst>
            <a:ext uri="{FF2B5EF4-FFF2-40B4-BE49-F238E27FC236}">
              <a16:creationId xmlns:a16="http://schemas.microsoft.com/office/drawing/2014/main" id="{91D99A10-3743-4098-A555-05B8C19029C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304800" cy="304800"/>
    <xdr:sp macro="" textlink="">
      <xdr:nvSpPr>
        <xdr:cNvPr id="4272" name="AutoShape 219">
          <a:extLst>
            <a:ext uri="{FF2B5EF4-FFF2-40B4-BE49-F238E27FC236}">
              <a16:creationId xmlns:a16="http://schemas.microsoft.com/office/drawing/2014/main" id="{B2A16D92-76FC-4302-BDD9-4F83E6973BF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9525" cy="9525"/>
    <xdr:pic>
      <xdr:nvPicPr>
        <xdr:cNvPr id="4273" name="Picture 4272">
          <a:extLst>
            <a:ext uri="{FF2B5EF4-FFF2-40B4-BE49-F238E27FC236}">
              <a16:creationId xmlns:a16="http://schemas.microsoft.com/office/drawing/2014/main" id="{396EA7F0-5970-449B-B2F6-40673EAD6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304800" cy="304800"/>
    <xdr:sp macro="" textlink="">
      <xdr:nvSpPr>
        <xdr:cNvPr id="4274" name="AutoShape 241">
          <a:extLst>
            <a:ext uri="{FF2B5EF4-FFF2-40B4-BE49-F238E27FC236}">
              <a16:creationId xmlns:a16="http://schemas.microsoft.com/office/drawing/2014/main" id="{72BEB7F1-E29E-4BF8-A235-3107904EDF9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304800" cy="304800"/>
    <xdr:sp macro="" textlink="">
      <xdr:nvSpPr>
        <xdr:cNvPr id="4275" name="AutoShape 243">
          <a:extLst>
            <a:ext uri="{FF2B5EF4-FFF2-40B4-BE49-F238E27FC236}">
              <a16:creationId xmlns:a16="http://schemas.microsoft.com/office/drawing/2014/main" id="{8CA55897-34C0-4E73-9225-FD7B99A58AF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9525" cy="9525"/>
    <xdr:pic>
      <xdr:nvPicPr>
        <xdr:cNvPr id="4276" name="Picture 4275">
          <a:extLst>
            <a:ext uri="{FF2B5EF4-FFF2-40B4-BE49-F238E27FC236}">
              <a16:creationId xmlns:a16="http://schemas.microsoft.com/office/drawing/2014/main" id="{E6B80FD5-F3A5-4398-AC7D-5AA788ED1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304800" cy="304800"/>
    <xdr:sp macro="" textlink="">
      <xdr:nvSpPr>
        <xdr:cNvPr id="4277" name="AutoShape 267">
          <a:extLst>
            <a:ext uri="{FF2B5EF4-FFF2-40B4-BE49-F238E27FC236}">
              <a16:creationId xmlns:a16="http://schemas.microsoft.com/office/drawing/2014/main" id="{F741555D-6F70-46ED-A32E-50CDD5D194A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304800" cy="304800"/>
    <xdr:sp macro="" textlink="">
      <xdr:nvSpPr>
        <xdr:cNvPr id="4278" name="AutoShape 269">
          <a:extLst>
            <a:ext uri="{FF2B5EF4-FFF2-40B4-BE49-F238E27FC236}">
              <a16:creationId xmlns:a16="http://schemas.microsoft.com/office/drawing/2014/main" id="{5AC3DF5C-9C2B-4767-AE69-C71B589874F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9525" cy="9525"/>
    <xdr:pic>
      <xdr:nvPicPr>
        <xdr:cNvPr id="4279" name="Picture 4278">
          <a:extLst>
            <a:ext uri="{FF2B5EF4-FFF2-40B4-BE49-F238E27FC236}">
              <a16:creationId xmlns:a16="http://schemas.microsoft.com/office/drawing/2014/main" id="{2ECA9BC8-438E-4FDE-86C3-3383DD643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304800" cy="304800"/>
    <xdr:sp macro="" textlink="">
      <xdr:nvSpPr>
        <xdr:cNvPr id="4280" name="AutoShape 319">
          <a:extLst>
            <a:ext uri="{FF2B5EF4-FFF2-40B4-BE49-F238E27FC236}">
              <a16:creationId xmlns:a16="http://schemas.microsoft.com/office/drawing/2014/main" id="{25664D9E-867D-4EE7-BE62-9A9A2C1A848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9525" cy="9525"/>
    <xdr:pic>
      <xdr:nvPicPr>
        <xdr:cNvPr id="4281" name="Picture 4280">
          <a:extLst>
            <a:ext uri="{FF2B5EF4-FFF2-40B4-BE49-F238E27FC236}">
              <a16:creationId xmlns:a16="http://schemas.microsoft.com/office/drawing/2014/main" id="{A26035C5-76EF-4A77-9E4E-C7FD2322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</xdr:row>
      <xdr:rowOff>0</xdr:rowOff>
    </xdr:from>
    <xdr:ext cx="9525" cy="9525"/>
    <xdr:pic>
      <xdr:nvPicPr>
        <xdr:cNvPr id="4282" name="Picture 4281">
          <a:extLst>
            <a:ext uri="{FF2B5EF4-FFF2-40B4-BE49-F238E27FC236}">
              <a16:creationId xmlns:a16="http://schemas.microsoft.com/office/drawing/2014/main" id="{400E1928-C037-4FFD-AEE5-A0D3812C4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</xdr:row>
      <xdr:rowOff>0</xdr:rowOff>
    </xdr:from>
    <xdr:ext cx="9525" cy="9525"/>
    <xdr:pic>
      <xdr:nvPicPr>
        <xdr:cNvPr id="4283" name="Picture 4282">
          <a:extLst>
            <a:ext uri="{FF2B5EF4-FFF2-40B4-BE49-F238E27FC236}">
              <a16:creationId xmlns:a16="http://schemas.microsoft.com/office/drawing/2014/main" id="{AA46ADD2-33D9-45A3-9A6B-448B89A26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</xdr:row>
      <xdr:rowOff>0</xdr:rowOff>
    </xdr:from>
    <xdr:ext cx="9525" cy="9525"/>
    <xdr:pic>
      <xdr:nvPicPr>
        <xdr:cNvPr id="4284" name="Picture 4283">
          <a:extLst>
            <a:ext uri="{FF2B5EF4-FFF2-40B4-BE49-F238E27FC236}">
              <a16:creationId xmlns:a16="http://schemas.microsoft.com/office/drawing/2014/main" id="{4749ABE0-B660-465D-B301-CB9A82647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</xdr:row>
      <xdr:rowOff>0</xdr:rowOff>
    </xdr:from>
    <xdr:ext cx="9525" cy="9525"/>
    <xdr:pic>
      <xdr:nvPicPr>
        <xdr:cNvPr id="4285" name="Picture 4284">
          <a:extLst>
            <a:ext uri="{FF2B5EF4-FFF2-40B4-BE49-F238E27FC236}">
              <a16:creationId xmlns:a16="http://schemas.microsoft.com/office/drawing/2014/main" id="{2F520854-7232-4BEA-A90F-F26647F69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979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22</xdr:row>
      <xdr:rowOff>0</xdr:rowOff>
    </xdr:from>
    <xdr:ext cx="9525" cy="9525"/>
    <xdr:pic>
      <xdr:nvPicPr>
        <xdr:cNvPr id="4286" name="Picture 4285">
          <a:extLst>
            <a:ext uri="{FF2B5EF4-FFF2-40B4-BE49-F238E27FC236}">
              <a16:creationId xmlns:a16="http://schemas.microsoft.com/office/drawing/2014/main" id="{92CB35B7-47E7-4AA0-95FE-24425BAD3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22</xdr:row>
      <xdr:rowOff>0</xdr:rowOff>
    </xdr:from>
    <xdr:ext cx="9525" cy="9525"/>
    <xdr:pic>
      <xdr:nvPicPr>
        <xdr:cNvPr id="4287" name="Picture 4286">
          <a:extLst>
            <a:ext uri="{FF2B5EF4-FFF2-40B4-BE49-F238E27FC236}">
              <a16:creationId xmlns:a16="http://schemas.microsoft.com/office/drawing/2014/main" id="{6C8EEC87-E3A9-459B-A3AB-DE8C7F12B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22</xdr:row>
      <xdr:rowOff>0</xdr:rowOff>
    </xdr:from>
    <xdr:ext cx="9525" cy="9525"/>
    <xdr:pic>
      <xdr:nvPicPr>
        <xdr:cNvPr id="4288" name="Picture 4287">
          <a:extLst>
            <a:ext uri="{FF2B5EF4-FFF2-40B4-BE49-F238E27FC236}">
              <a16:creationId xmlns:a16="http://schemas.microsoft.com/office/drawing/2014/main" id="{B8169C71-06A6-4F7B-BAF0-D4CFB33B7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22</xdr:row>
      <xdr:rowOff>0</xdr:rowOff>
    </xdr:from>
    <xdr:ext cx="9525" cy="9525"/>
    <xdr:pic>
      <xdr:nvPicPr>
        <xdr:cNvPr id="4289" name="Picture 4288">
          <a:extLst>
            <a:ext uri="{FF2B5EF4-FFF2-40B4-BE49-F238E27FC236}">
              <a16:creationId xmlns:a16="http://schemas.microsoft.com/office/drawing/2014/main" id="{81BA02C6-FB84-45A9-84DD-E5C6BC216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22</xdr:row>
      <xdr:rowOff>0</xdr:rowOff>
    </xdr:from>
    <xdr:ext cx="9525" cy="9525"/>
    <xdr:pic>
      <xdr:nvPicPr>
        <xdr:cNvPr id="4290" name="Picture 4289">
          <a:extLst>
            <a:ext uri="{FF2B5EF4-FFF2-40B4-BE49-F238E27FC236}">
              <a16:creationId xmlns:a16="http://schemas.microsoft.com/office/drawing/2014/main" id="{57A36D42-D430-44B2-90C9-485D1976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22</xdr:row>
      <xdr:rowOff>0</xdr:rowOff>
    </xdr:from>
    <xdr:ext cx="9525" cy="9525"/>
    <xdr:pic>
      <xdr:nvPicPr>
        <xdr:cNvPr id="4291" name="Picture 4290">
          <a:extLst>
            <a:ext uri="{FF2B5EF4-FFF2-40B4-BE49-F238E27FC236}">
              <a16:creationId xmlns:a16="http://schemas.microsoft.com/office/drawing/2014/main" id="{99FFA3E9-CF2A-4D2D-A838-D606ECE98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22</xdr:row>
      <xdr:rowOff>0</xdr:rowOff>
    </xdr:from>
    <xdr:ext cx="9525" cy="9525"/>
    <xdr:pic>
      <xdr:nvPicPr>
        <xdr:cNvPr id="4292" name="Picture 4291">
          <a:extLst>
            <a:ext uri="{FF2B5EF4-FFF2-40B4-BE49-F238E27FC236}">
              <a16:creationId xmlns:a16="http://schemas.microsoft.com/office/drawing/2014/main" id="{8645513B-8121-4C30-8440-22A22C3C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22</xdr:row>
      <xdr:rowOff>0</xdr:rowOff>
    </xdr:from>
    <xdr:ext cx="9525" cy="9525"/>
    <xdr:pic>
      <xdr:nvPicPr>
        <xdr:cNvPr id="4293" name="Picture 4292">
          <a:extLst>
            <a:ext uri="{FF2B5EF4-FFF2-40B4-BE49-F238E27FC236}">
              <a16:creationId xmlns:a16="http://schemas.microsoft.com/office/drawing/2014/main" id="{DF655110-8463-4DE9-848D-726BFFE86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22</xdr:row>
      <xdr:rowOff>0</xdr:rowOff>
    </xdr:from>
    <xdr:ext cx="9525" cy="9525"/>
    <xdr:pic>
      <xdr:nvPicPr>
        <xdr:cNvPr id="4294" name="Picture 4293">
          <a:extLst>
            <a:ext uri="{FF2B5EF4-FFF2-40B4-BE49-F238E27FC236}">
              <a16:creationId xmlns:a16="http://schemas.microsoft.com/office/drawing/2014/main" id="{31CA79E9-BC69-4A1B-B27E-9EE79C009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22</xdr:row>
      <xdr:rowOff>0</xdr:rowOff>
    </xdr:from>
    <xdr:ext cx="9525" cy="9525"/>
    <xdr:pic>
      <xdr:nvPicPr>
        <xdr:cNvPr id="4295" name="Picture 4294">
          <a:extLst>
            <a:ext uri="{FF2B5EF4-FFF2-40B4-BE49-F238E27FC236}">
              <a16:creationId xmlns:a16="http://schemas.microsoft.com/office/drawing/2014/main" id="{031F29E1-C12C-4E08-8987-B5EEBCA6E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0</xdr:rowOff>
    </xdr:from>
    <xdr:ext cx="304800" cy="303439"/>
    <xdr:sp macro="" textlink="">
      <xdr:nvSpPr>
        <xdr:cNvPr id="4296" name="AutoShape 513">
          <a:extLst>
            <a:ext uri="{FF2B5EF4-FFF2-40B4-BE49-F238E27FC236}">
              <a16:creationId xmlns:a16="http://schemas.microsoft.com/office/drawing/2014/main" id="{823EF000-697A-4838-B0D6-387EAA24726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26596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22</xdr:row>
      <xdr:rowOff>0</xdr:rowOff>
    </xdr:from>
    <xdr:ext cx="304800" cy="304800"/>
    <xdr:sp macro="" textlink="">
      <xdr:nvSpPr>
        <xdr:cNvPr id="4297" name="AutoShape 515">
          <a:extLst>
            <a:ext uri="{FF2B5EF4-FFF2-40B4-BE49-F238E27FC236}">
              <a16:creationId xmlns:a16="http://schemas.microsoft.com/office/drawing/2014/main" id="{3DD98CB3-CBEB-44FB-87D0-C9D109802C8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23</xdr:row>
      <xdr:rowOff>0</xdr:rowOff>
    </xdr:from>
    <xdr:ext cx="9525" cy="9525"/>
    <xdr:pic>
      <xdr:nvPicPr>
        <xdr:cNvPr id="4298" name="Picture 4297">
          <a:extLst>
            <a:ext uri="{FF2B5EF4-FFF2-40B4-BE49-F238E27FC236}">
              <a16:creationId xmlns:a16="http://schemas.microsoft.com/office/drawing/2014/main" id="{7B188063-9F4D-47A7-927A-C0B72E5E4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9525" cy="9525"/>
    <xdr:pic>
      <xdr:nvPicPr>
        <xdr:cNvPr id="4299" name="Picture 4298">
          <a:extLst>
            <a:ext uri="{FF2B5EF4-FFF2-40B4-BE49-F238E27FC236}">
              <a16:creationId xmlns:a16="http://schemas.microsoft.com/office/drawing/2014/main" id="{57E7FDCF-5B1E-4A4E-B4F0-1B01FC8BD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300" name="AutoShape 191">
          <a:extLst>
            <a:ext uri="{FF2B5EF4-FFF2-40B4-BE49-F238E27FC236}">
              <a16:creationId xmlns:a16="http://schemas.microsoft.com/office/drawing/2014/main" id="{80559B92-315E-429A-A2D5-C58800ECDC5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23</xdr:row>
      <xdr:rowOff>0</xdr:rowOff>
    </xdr:from>
    <xdr:ext cx="9525" cy="9525"/>
    <xdr:pic>
      <xdr:nvPicPr>
        <xdr:cNvPr id="4301" name="Picture 4300">
          <a:extLst>
            <a:ext uri="{FF2B5EF4-FFF2-40B4-BE49-F238E27FC236}">
              <a16:creationId xmlns:a16="http://schemas.microsoft.com/office/drawing/2014/main" id="{3F536F14-1A54-4875-8DA2-109F68864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302" name="AutoShape 217">
          <a:extLst>
            <a:ext uri="{FF2B5EF4-FFF2-40B4-BE49-F238E27FC236}">
              <a16:creationId xmlns:a16="http://schemas.microsoft.com/office/drawing/2014/main" id="{21076AEA-E5F5-4155-874F-8BED6C45447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23</xdr:row>
      <xdr:rowOff>0</xdr:rowOff>
    </xdr:from>
    <xdr:ext cx="9525" cy="9525"/>
    <xdr:pic>
      <xdr:nvPicPr>
        <xdr:cNvPr id="4303" name="Picture 4302">
          <a:extLst>
            <a:ext uri="{FF2B5EF4-FFF2-40B4-BE49-F238E27FC236}">
              <a16:creationId xmlns:a16="http://schemas.microsoft.com/office/drawing/2014/main" id="{A03C3044-09AF-439A-AADB-F9D07FEAC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304" name="AutoShape 241">
          <a:extLst>
            <a:ext uri="{FF2B5EF4-FFF2-40B4-BE49-F238E27FC236}">
              <a16:creationId xmlns:a16="http://schemas.microsoft.com/office/drawing/2014/main" id="{2F2BED42-3A5A-4A92-A429-4FD2E72D13D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23</xdr:row>
      <xdr:rowOff>0</xdr:rowOff>
    </xdr:from>
    <xdr:ext cx="9525" cy="9525"/>
    <xdr:pic>
      <xdr:nvPicPr>
        <xdr:cNvPr id="4305" name="Picture 4304">
          <a:extLst>
            <a:ext uri="{FF2B5EF4-FFF2-40B4-BE49-F238E27FC236}">
              <a16:creationId xmlns:a16="http://schemas.microsoft.com/office/drawing/2014/main" id="{141C5B43-C0CA-446B-A318-E2FAD14C9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306" name="AutoShape 267">
          <a:extLst>
            <a:ext uri="{FF2B5EF4-FFF2-40B4-BE49-F238E27FC236}">
              <a16:creationId xmlns:a16="http://schemas.microsoft.com/office/drawing/2014/main" id="{B62BBEAE-C980-4ADF-BA7F-D0223CAC8C7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23</xdr:row>
      <xdr:rowOff>0</xdr:rowOff>
    </xdr:from>
    <xdr:ext cx="9525" cy="9525"/>
    <xdr:pic>
      <xdr:nvPicPr>
        <xdr:cNvPr id="4307" name="Picture 4306">
          <a:extLst>
            <a:ext uri="{FF2B5EF4-FFF2-40B4-BE49-F238E27FC236}">
              <a16:creationId xmlns:a16="http://schemas.microsoft.com/office/drawing/2014/main" id="{93A63E60-68C1-4860-8C53-2C35EA8FD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308" name="AutoShape 319">
          <a:extLst>
            <a:ext uri="{FF2B5EF4-FFF2-40B4-BE49-F238E27FC236}">
              <a16:creationId xmlns:a16="http://schemas.microsoft.com/office/drawing/2014/main" id="{8655B200-CD04-4AFF-B776-5525CB26535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23</xdr:row>
      <xdr:rowOff>0</xdr:rowOff>
    </xdr:from>
    <xdr:ext cx="9525" cy="9525"/>
    <xdr:pic>
      <xdr:nvPicPr>
        <xdr:cNvPr id="4309" name="Picture 4308">
          <a:extLst>
            <a:ext uri="{FF2B5EF4-FFF2-40B4-BE49-F238E27FC236}">
              <a16:creationId xmlns:a16="http://schemas.microsoft.com/office/drawing/2014/main" id="{2C15A2BE-FCBE-474D-BAA8-4A02A7C1B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310" name="AutoShape 371">
          <a:extLst>
            <a:ext uri="{FF2B5EF4-FFF2-40B4-BE49-F238E27FC236}">
              <a16:creationId xmlns:a16="http://schemas.microsoft.com/office/drawing/2014/main" id="{1CE12316-E611-4ACD-944A-F958778A7D4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23</xdr:row>
      <xdr:rowOff>0</xdr:rowOff>
    </xdr:from>
    <xdr:ext cx="9525" cy="9525"/>
    <xdr:pic>
      <xdr:nvPicPr>
        <xdr:cNvPr id="4311" name="Picture 4310">
          <a:extLst>
            <a:ext uri="{FF2B5EF4-FFF2-40B4-BE49-F238E27FC236}">
              <a16:creationId xmlns:a16="http://schemas.microsoft.com/office/drawing/2014/main" id="{A3D4DEF8-3E5E-47DE-9961-840BF90AC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312" name="AutoShape 427">
          <a:extLst>
            <a:ext uri="{FF2B5EF4-FFF2-40B4-BE49-F238E27FC236}">
              <a16:creationId xmlns:a16="http://schemas.microsoft.com/office/drawing/2014/main" id="{FC08031D-CA42-4E3D-92D8-585E97D852E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23</xdr:row>
      <xdr:rowOff>0</xdr:rowOff>
    </xdr:from>
    <xdr:ext cx="9525" cy="9525"/>
    <xdr:pic>
      <xdr:nvPicPr>
        <xdr:cNvPr id="4313" name="Picture 4312">
          <a:extLst>
            <a:ext uri="{FF2B5EF4-FFF2-40B4-BE49-F238E27FC236}">
              <a16:creationId xmlns:a16="http://schemas.microsoft.com/office/drawing/2014/main" id="{370C8D61-4FAB-4F3A-B00E-102DF4EFB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314" name="AutoShape 483">
          <a:extLst>
            <a:ext uri="{FF2B5EF4-FFF2-40B4-BE49-F238E27FC236}">
              <a16:creationId xmlns:a16="http://schemas.microsoft.com/office/drawing/2014/main" id="{C84EB24E-3ACC-447A-8188-0BEF70C60DF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23</xdr:row>
      <xdr:rowOff>0</xdr:rowOff>
    </xdr:from>
    <xdr:ext cx="9525" cy="9525"/>
    <xdr:pic>
      <xdr:nvPicPr>
        <xdr:cNvPr id="4315" name="Picture 4314">
          <a:extLst>
            <a:ext uri="{FF2B5EF4-FFF2-40B4-BE49-F238E27FC236}">
              <a16:creationId xmlns:a16="http://schemas.microsoft.com/office/drawing/2014/main" id="{F322985E-6CFF-4DC3-8442-C2BF89C48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22</xdr:row>
      <xdr:rowOff>0</xdr:rowOff>
    </xdr:from>
    <xdr:ext cx="304800" cy="304800"/>
    <xdr:sp macro="" textlink="">
      <xdr:nvSpPr>
        <xdr:cNvPr id="4316" name="AutoShape 515">
          <a:extLst>
            <a:ext uri="{FF2B5EF4-FFF2-40B4-BE49-F238E27FC236}">
              <a16:creationId xmlns:a16="http://schemas.microsoft.com/office/drawing/2014/main" id="{EAF24200-56C2-48EB-80FB-3F01BBB9278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317" name="AutoShape 517">
          <a:extLst>
            <a:ext uri="{FF2B5EF4-FFF2-40B4-BE49-F238E27FC236}">
              <a16:creationId xmlns:a16="http://schemas.microsoft.com/office/drawing/2014/main" id="{2A862028-0263-468B-943D-0E0AED08BB1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9525" cy="9525"/>
    <xdr:pic>
      <xdr:nvPicPr>
        <xdr:cNvPr id="4318" name="Picture 4317">
          <a:extLst>
            <a:ext uri="{FF2B5EF4-FFF2-40B4-BE49-F238E27FC236}">
              <a16:creationId xmlns:a16="http://schemas.microsoft.com/office/drawing/2014/main" id="{58A85AFE-46C9-4E5B-AD00-C2EEBBE5E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304800" cy="303440"/>
    <xdr:sp macro="" textlink="">
      <xdr:nvSpPr>
        <xdr:cNvPr id="4319" name="AutoShape 169">
          <a:extLst>
            <a:ext uri="{FF2B5EF4-FFF2-40B4-BE49-F238E27FC236}">
              <a16:creationId xmlns:a16="http://schemas.microsoft.com/office/drawing/2014/main" id="{9A7F906A-BFCA-4A3D-B856-E5126B73ADC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9525" cy="9525"/>
    <xdr:pic>
      <xdr:nvPicPr>
        <xdr:cNvPr id="4320" name="Picture 4319">
          <a:extLst>
            <a:ext uri="{FF2B5EF4-FFF2-40B4-BE49-F238E27FC236}">
              <a16:creationId xmlns:a16="http://schemas.microsoft.com/office/drawing/2014/main" id="{1AD1A9E7-E489-4539-9937-682407F09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304800" cy="303440"/>
    <xdr:sp macro="" textlink="">
      <xdr:nvSpPr>
        <xdr:cNvPr id="4321" name="AutoShape 199">
          <a:extLst>
            <a:ext uri="{FF2B5EF4-FFF2-40B4-BE49-F238E27FC236}">
              <a16:creationId xmlns:a16="http://schemas.microsoft.com/office/drawing/2014/main" id="{48B2DE25-CEA2-4A85-AF92-52629178A0B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9525" cy="9525"/>
    <xdr:pic>
      <xdr:nvPicPr>
        <xdr:cNvPr id="4322" name="Picture 4321">
          <a:extLst>
            <a:ext uri="{FF2B5EF4-FFF2-40B4-BE49-F238E27FC236}">
              <a16:creationId xmlns:a16="http://schemas.microsoft.com/office/drawing/2014/main" id="{78C45CB9-B8EC-458E-BEF2-78F291F41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323" name="AutoShape 223">
          <a:extLst>
            <a:ext uri="{FF2B5EF4-FFF2-40B4-BE49-F238E27FC236}">
              <a16:creationId xmlns:a16="http://schemas.microsoft.com/office/drawing/2014/main" id="{2CB2A056-9973-449E-8A76-A6C5106EC5C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9525" cy="9525"/>
    <xdr:pic>
      <xdr:nvPicPr>
        <xdr:cNvPr id="4324" name="Picture 4323">
          <a:extLst>
            <a:ext uri="{FF2B5EF4-FFF2-40B4-BE49-F238E27FC236}">
              <a16:creationId xmlns:a16="http://schemas.microsoft.com/office/drawing/2014/main" id="{25A7FBF0-F9F2-4698-A705-611A8061C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325" name="AutoShape 247">
          <a:extLst>
            <a:ext uri="{FF2B5EF4-FFF2-40B4-BE49-F238E27FC236}">
              <a16:creationId xmlns:a16="http://schemas.microsoft.com/office/drawing/2014/main" id="{E8D23C8C-9BA8-4A82-ACF1-1198FD084EB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304800" cy="303440"/>
    <xdr:sp macro="" textlink="">
      <xdr:nvSpPr>
        <xdr:cNvPr id="4326" name="AutoShape 249">
          <a:extLst>
            <a:ext uri="{FF2B5EF4-FFF2-40B4-BE49-F238E27FC236}">
              <a16:creationId xmlns:a16="http://schemas.microsoft.com/office/drawing/2014/main" id="{A227096B-DE68-4AAD-BEAB-E5877E73DD5E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9525" cy="9525"/>
    <xdr:pic>
      <xdr:nvPicPr>
        <xdr:cNvPr id="4327" name="Picture 4326">
          <a:extLst>
            <a:ext uri="{FF2B5EF4-FFF2-40B4-BE49-F238E27FC236}">
              <a16:creationId xmlns:a16="http://schemas.microsoft.com/office/drawing/2014/main" id="{65CE09A0-DFFB-466F-BCC8-D3EFF295C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328" name="AutoShape 273">
          <a:extLst>
            <a:ext uri="{FF2B5EF4-FFF2-40B4-BE49-F238E27FC236}">
              <a16:creationId xmlns:a16="http://schemas.microsoft.com/office/drawing/2014/main" id="{EC2BB8EC-2384-412E-B62D-C9B760B22EA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304800" cy="303440"/>
    <xdr:sp macro="" textlink="">
      <xdr:nvSpPr>
        <xdr:cNvPr id="4329" name="AutoShape 275">
          <a:extLst>
            <a:ext uri="{FF2B5EF4-FFF2-40B4-BE49-F238E27FC236}">
              <a16:creationId xmlns:a16="http://schemas.microsoft.com/office/drawing/2014/main" id="{880449F9-EC36-4791-8AD8-5BB4ACE5FE5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9525" cy="9525"/>
    <xdr:pic>
      <xdr:nvPicPr>
        <xdr:cNvPr id="4330" name="Picture 4329">
          <a:extLst>
            <a:ext uri="{FF2B5EF4-FFF2-40B4-BE49-F238E27FC236}">
              <a16:creationId xmlns:a16="http://schemas.microsoft.com/office/drawing/2014/main" id="{7FE1AE09-041E-4BDD-9D74-BE7CB486E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331" name="AutoShape 325">
          <a:extLst>
            <a:ext uri="{FF2B5EF4-FFF2-40B4-BE49-F238E27FC236}">
              <a16:creationId xmlns:a16="http://schemas.microsoft.com/office/drawing/2014/main" id="{34BB6DA5-EF59-4C68-90D4-8C57E47332B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304800" cy="303440"/>
    <xdr:sp macro="" textlink="">
      <xdr:nvSpPr>
        <xdr:cNvPr id="4332" name="AutoShape 327">
          <a:extLst>
            <a:ext uri="{FF2B5EF4-FFF2-40B4-BE49-F238E27FC236}">
              <a16:creationId xmlns:a16="http://schemas.microsoft.com/office/drawing/2014/main" id="{CA574FBB-F6D3-4A54-B30A-4A21FF12134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9525" cy="9525"/>
    <xdr:pic>
      <xdr:nvPicPr>
        <xdr:cNvPr id="4333" name="Picture 4332">
          <a:extLst>
            <a:ext uri="{FF2B5EF4-FFF2-40B4-BE49-F238E27FC236}">
              <a16:creationId xmlns:a16="http://schemas.microsoft.com/office/drawing/2014/main" id="{2133E713-3286-4290-9901-F4AC4635F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334" name="AutoShape 377">
          <a:extLst>
            <a:ext uri="{FF2B5EF4-FFF2-40B4-BE49-F238E27FC236}">
              <a16:creationId xmlns:a16="http://schemas.microsoft.com/office/drawing/2014/main" id="{C525A958-B186-4079-984D-FBBF7CDE58F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304800" cy="303440"/>
    <xdr:sp macro="" textlink="">
      <xdr:nvSpPr>
        <xdr:cNvPr id="4335" name="AutoShape 379">
          <a:extLst>
            <a:ext uri="{FF2B5EF4-FFF2-40B4-BE49-F238E27FC236}">
              <a16:creationId xmlns:a16="http://schemas.microsoft.com/office/drawing/2014/main" id="{2EF1BDB8-FB3F-4201-8034-00B92B346D2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9525" cy="9525"/>
    <xdr:pic>
      <xdr:nvPicPr>
        <xdr:cNvPr id="4336" name="Picture 4335">
          <a:extLst>
            <a:ext uri="{FF2B5EF4-FFF2-40B4-BE49-F238E27FC236}">
              <a16:creationId xmlns:a16="http://schemas.microsoft.com/office/drawing/2014/main" id="{AE666453-B4E5-41CA-B503-0D0033711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337" name="AutoShape 433">
          <a:extLst>
            <a:ext uri="{FF2B5EF4-FFF2-40B4-BE49-F238E27FC236}">
              <a16:creationId xmlns:a16="http://schemas.microsoft.com/office/drawing/2014/main" id="{DF79CB25-713B-4D4B-B5EB-D62874F11BF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304800" cy="303440"/>
    <xdr:sp macro="" textlink="">
      <xdr:nvSpPr>
        <xdr:cNvPr id="4338" name="AutoShape 435">
          <a:extLst>
            <a:ext uri="{FF2B5EF4-FFF2-40B4-BE49-F238E27FC236}">
              <a16:creationId xmlns:a16="http://schemas.microsoft.com/office/drawing/2014/main" id="{91B71BC9-BA33-4F9D-8061-B12A3C2156D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9525" cy="9525"/>
    <xdr:pic>
      <xdr:nvPicPr>
        <xdr:cNvPr id="4339" name="Picture 4338">
          <a:extLst>
            <a:ext uri="{FF2B5EF4-FFF2-40B4-BE49-F238E27FC236}">
              <a16:creationId xmlns:a16="http://schemas.microsoft.com/office/drawing/2014/main" id="{842BE8F3-1F04-403B-A708-F5046E48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340" name="AutoShape 489">
          <a:extLst>
            <a:ext uri="{FF2B5EF4-FFF2-40B4-BE49-F238E27FC236}">
              <a16:creationId xmlns:a16="http://schemas.microsoft.com/office/drawing/2014/main" id="{16697791-9771-4732-854C-5DCDAF1A7F8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304800" cy="303440"/>
    <xdr:sp macro="" textlink="">
      <xdr:nvSpPr>
        <xdr:cNvPr id="4341" name="AutoShape 491">
          <a:extLst>
            <a:ext uri="{FF2B5EF4-FFF2-40B4-BE49-F238E27FC236}">
              <a16:creationId xmlns:a16="http://schemas.microsoft.com/office/drawing/2014/main" id="{2D56798E-BE0D-4760-9F85-26D161535C6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9525" cy="9525"/>
    <xdr:pic>
      <xdr:nvPicPr>
        <xdr:cNvPr id="4342" name="Picture 4341">
          <a:extLst>
            <a:ext uri="{FF2B5EF4-FFF2-40B4-BE49-F238E27FC236}">
              <a16:creationId xmlns:a16="http://schemas.microsoft.com/office/drawing/2014/main" id="{39718757-2D7C-45A2-BD5A-D77A97246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343" name="AutoShape 523">
          <a:extLst>
            <a:ext uri="{FF2B5EF4-FFF2-40B4-BE49-F238E27FC236}">
              <a16:creationId xmlns:a16="http://schemas.microsoft.com/office/drawing/2014/main" id="{42FFC422-8D7D-4962-8136-7EAD299C362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304800" cy="303440"/>
    <xdr:sp macro="" textlink="">
      <xdr:nvSpPr>
        <xdr:cNvPr id="4344" name="AutoShape 525">
          <a:extLst>
            <a:ext uri="{FF2B5EF4-FFF2-40B4-BE49-F238E27FC236}">
              <a16:creationId xmlns:a16="http://schemas.microsoft.com/office/drawing/2014/main" id="{36AAA9B2-2E4B-47CB-9B89-4EA3B763EB8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3</xdr:row>
      <xdr:rowOff>0</xdr:rowOff>
    </xdr:from>
    <xdr:ext cx="9525" cy="9525"/>
    <xdr:pic>
      <xdr:nvPicPr>
        <xdr:cNvPr id="4345" name="Picture 4344">
          <a:extLst>
            <a:ext uri="{FF2B5EF4-FFF2-40B4-BE49-F238E27FC236}">
              <a16:creationId xmlns:a16="http://schemas.microsoft.com/office/drawing/2014/main" id="{D3CEC73F-B4B1-4809-A489-808C78631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</xdr:row>
      <xdr:rowOff>0</xdr:rowOff>
    </xdr:from>
    <xdr:ext cx="304800" cy="303439"/>
    <xdr:sp macro="" textlink="">
      <xdr:nvSpPr>
        <xdr:cNvPr id="4346" name="AutoShape 25">
          <a:extLst>
            <a:ext uri="{FF2B5EF4-FFF2-40B4-BE49-F238E27FC236}">
              <a16:creationId xmlns:a16="http://schemas.microsoft.com/office/drawing/2014/main" id="{4503F172-C0CF-4946-9896-C6E161D4650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4</xdr:row>
      <xdr:rowOff>0</xdr:rowOff>
    </xdr:from>
    <xdr:ext cx="9525" cy="9525"/>
    <xdr:pic>
      <xdr:nvPicPr>
        <xdr:cNvPr id="4347" name="Picture 4346">
          <a:extLst>
            <a:ext uri="{FF2B5EF4-FFF2-40B4-BE49-F238E27FC236}">
              <a16:creationId xmlns:a16="http://schemas.microsoft.com/office/drawing/2014/main" id="{75F3F64C-8633-4D9A-BD32-B7604011F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9525" cy="9525"/>
    <xdr:pic>
      <xdr:nvPicPr>
        <xdr:cNvPr id="4348" name="Picture 4347">
          <a:extLst>
            <a:ext uri="{FF2B5EF4-FFF2-40B4-BE49-F238E27FC236}">
              <a16:creationId xmlns:a16="http://schemas.microsoft.com/office/drawing/2014/main" id="{1167CD0B-DCD4-4BDE-A642-2C15A1600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</xdr:row>
      <xdr:rowOff>0</xdr:rowOff>
    </xdr:from>
    <xdr:ext cx="9525" cy="9525"/>
    <xdr:pic>
      <xdr:nvPicPr>
        <xdr:cNvPr id="4349" name="Picture 4348">
          <a:extLst>
            <a:ext uri="{FF2B5EF4-FFF2-40B4-BE49-F238E27FC236}">
              <a16:creationId xmlns:a16="http://schemas.microsoft.com/office/drawing/2014/main" id="{FB7E9681-6B49-4159-ADDD-97E440694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304800" cy="304800"/>
    <xdr:sp macro="" textlink="">
      <xdr:nvSpPr>
        <xdr:cNvPr id="4350" name="AutoShape 29">
          <a:extLst>
            <a:ext uri="{FF2B5EF4-FFF2-40B4-BE49-F238E27FC236}">
              <a16:creationId xmlns:a16="http://schemas.microsoft.com/office/drawing/2014/main" id="{C7E5A8E0-E6CC-4313-9B5A-AF751CE7EB1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51" name="Picture 4350">
          <a:extLst>
            <a:ext uri="{FF2B5EF4-FFF2-40B4-BE49-F238E27FC236}">
              <a16:creationId xmlns:a16="http://schemas.microsoft.com/office/drawing/2014/main" id="{FC595BD0-DF61-4BF2-8F52-2806C65C2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26</xdr:row>
      <xdr:rowOff>0</xdr:rowOff>
    </xdr:from>
    <xdr:ext cx="9525" cy="9525"/>
    <xdr:pic>
      <xdr:nvPicPr>
        <xdr:cNvPr id="4352" name="Picture 4351">
          <a:extLst>
            <a:ext uri="{FF2B5EF4-FFF2-40B4-BE49-F238E27FC236}">
              <a16:creationId xmlns:a16="http://schemas.microsoft.com/office/drawing/2014/main" id="{06643B69-F09A-4E4E-80D5-D7C503F57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25</xdr:row>
      <xdr:rowOff>0</xdr:rowOff>
    </xdr:from>
    <xdr:ext cx="304800" cy="303440"/>
    <xdr:sp macro="" textlink="">
      <xdr:nvSpPr>
        <xdr:cNvPr id="4353" name="AutoShape 32">
          <a:extLst>
            <a:ext uri="{FF2B5EF4-FFF2-40B4-BE49-F238E27FC236}">
              <a16:creationId xmlns:a16="http://schemas.microsoft.com/office/drawing/2014/main" id="{F106DBB3-D710-493B-AC1F-9B3394F8324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54" name="Picture 4353">
          <a:extLst>
            <a:ext uri="{FF2B5EF4-FFF2-40B4-BE49-F238E27FC236}">
              <a16:creationId xmlns:a16="http://schemas.microsoft.com/office/drawing/2014/main" id="{F802850A-6E07-4FB0-B952-2601126C6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55" name="Picture 4354">
          <a:extLst>
            <a:ext uri="{FF2B5EF4-FFF2-40B4-BE49-F238E27FC236}">
              <a16:creationId xmlns:a16="http://schemas.microsoft.com/office/drawing/2014/main" id="{A1801BB7-BBE3-4EE3-A487-38DDF66CF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56" name="Picture 4355">
          <a:extLst>
            <a:ext uri="{FF2B5EF4-FFF2-40B4-BE49-F238E27FC236}">
              <a16:creationId xmlns:a16="http://schemas.microsoft.com/office/drawing/2014/main" id="{CF3575F2-B8EA-42B5-9F3E-5F86A36D4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57" name="Picture 4356">
          <a:extLst>
            <a:ext uri="{FF2B5EF4-FFF2-40B4-BE49-F238E27FC236}">
              <a16:creationId xmlns:a16="http://schemas.microsoft.com/office/drawing/2014/main" id="{0D1571F8-AE89-42D7-A656-2E69FF4D1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58" name="Picture 4357">
          <a:extLst>
            <a:ext uri="{FF2B5EF4-FFF2-40B4-BE49-F238E27FC236}">
              <a16:creationId xmlns:a16="http://schemas.microsoft.com/office/drawing/2014/main" id="{B0BFED59-0D4D-4CE2-A178-1E8A2CBBE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359" name="AutoShape 38">
          <a:extLst>
            <a:ext uri="{FF2B5EF4-FFF2-40B4-BE49-F238E27FC236}">
              <a16:creationId xmlns:a16="http://schemas.microsoft.com/office/drawing/2014/main" id="{01DA32F9-7C9E-4B16-992B-DE085662369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60" name="Picture 4359">
          <a:extLst>
            <a:ext uri="{FF2B5EF4-FFF2-40B4-BE49-F238E27FC236}">
              <a16:creationId xmlns:a16="http://schemas.microsoft.com/office/drawing/2014/main" id="{380F442E-BCDE-43E5-BBF7-FA668D17A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361" name="AutoShape 40">
          <a:extLst>
            <a:ext uri="{FF2B5EF4-FFF2-40B4-BE49-F238E27FC236}">
              <a16:creationId xmlns:a16="http://schemas.microsoft.com/office/drawing/2014/main" id="{B2446FEE-F3FB-40B0-B0A4-7807EAF9E0D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13</xdr:row>
      <xdr:rowOff>0</xdr:rowOff>
    </xdr:from>
    <xdr:ext cx="9525" cy="9525"/>
    <xdr:pic>
      <xdr:nvPicPr>
        <xdr:cNvPr id="4362" name="Picture 4361">
          <a:extLst>
            <a:ext uri="{FF2B5EF4-FFF2-40B4-BE49-F238E27FC236}">
              <a16:creationId xmlns:a16="http://schemas.microsoft.com/office/drawing/2014/main" id="{BE699CE4-2214-4EE7-B379-15137BBCF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</xdr:row>
      <xdr:rowOff>0</xdr:rowOff>
    </xdr:from>
    <xdr:ext cx="304800" cy="303439"/>
    <xdr:sp macro="" textlink="">
      <xdr:nvSpPr>
        <xdr:cNvPr id="4363" name="AutoShape 42">
          <a:extLst>
            <a:ext uri="{FF2B5EF4-FFF2-40B4-BE49-F238E27FC236}">
              <a16:creationId xmlns:a16="http://schemas.microsoft.com/office/drawing/2014/main" id="{09814B1F-050A-4D83-9E60-D38C0F29DBD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13</xdr:row>
      <xdr:rowOff>0</xdr:rowOff>
    </xdr:from>
    <xdr:ext cx="304800" cy="304800"/>
    <xdr:sp macro="" textlink="">
      <xdr:nvSpPr>
        <xdr:cNvPr id="4364" name="AutoShape 44">
          <a:extLst>
            <a:ext uri="{FF2B5EF4-FFF2-40B4-BE49-F238E27FC236}">
              <a16:creationId xmlns:a16="http://schemas.microsoft.com/office/drawing/2014/main" id="{B22F3217-DDCB-4B85-B8F3-233875BE4AB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65" name="Picture 4364">
          <a:extLst>
            <a:ext uri="{FF2B5EF4-FFF2-40B4-BE49-F238E27FC236}">
              <a16:creationId xmlns:a16="http://schemas.microsoft.com/office/drawing/2014/main" id="{82029974-E8A8-488F-B7A7-F86D7C0B9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27</xdr:row>
      <xdr:rowOff>0</xdr:rowOff>
    </xdr:from>
    <xdr:ext cx="9525" cy="9525"/>
    <xdr:pic>
      <xdr:nvPicPr>
        <xdr:cNvPr id="4366" name="Picture 4365">
          <a:extLst>
            <a:ext uri="{FF2B5EF4-FFF2-40B4-BE49-F238E27FC236}">
              <a16:creationId xmlns:a16="http://schemas.microsoft.com/office/drawing/2014/main" id="{CBC7778D-D354-418B-8C65-400790841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</xdr:row>
      <xdr:rowOff>0</xdr:rowOff>
    </xdr:from>
    <xdr:ext cx="9525" cy="9525"/>
    <xdr:pic>
      <xdr:nvPicPr>
        <xdr:cNvPr id="4367" name="Picture 4366">
          <a:extLst>
            <a:ext uri="{FF2B5EF4-FFF2-40B4-BE49-F238E27FC236}">
              <a16:creationId xmlns:a16="http://schemas.microsoft.com/office/drawing/2014/main" id="{D35C34AA-7C2B-459C-99B5-7154C5496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</xdr:row>
      <xdr:rowOff>0</xdr:rowOff>
    </xdr:from>
    <xdr:ext cx="304800" cy="303439"/>
    <xdr:sp macro="" textlink="">
      <xdr:nvSpPr>
        <xdr:cNvPr id="4368" name="AutoShape 48">
          <a:extLst>
            <a:ext uri="{FF2B5EF4-FFF2-40B4-BE49-F238E27FC236}">
              <a16:creationId xmlns:a16="http://schemas.microsoft.com/office/drawing/2014/main" id="{0259F323-E362-40DE-9A6A-1B2A8A2FEBE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4</xdr:row>
      <xdr:rowOff>0</xdr:rowOff>
    </xdr:from>
    <xdr:ext cx="9525" cy="9525"/>
    <xdr:pic>
      <xdr:nvPicPr>
        <xdr:cNvPr id="4369" name="Picture 4368">
          <a:extLst>
            <a:ext uri="{FF2B5EF4-FFF2-40B4-BE49-F238E27FC236}">
              <a16:creationId xmlns:a16="http://schemas.microsoft.com/office/drawing/2014/main" id="{3203F84A-599C-45C3-8BC0-67B2D0617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9525" cy="9525"/>
    <xdr:pic>
      <xdr:nvPicPr>
        <xdr:cNvPr id="4370" name="Picture 4369">
          <a:extLst>
            <a:ext uri="{FF2B5EF4-FFF2-40B4-BE49-F238E27FC236}">
              <a16:creationId xmlns:a16="http://schemas.microsoft.com/office/drawing/2014/main" id="{54257DA3-4BF9-4721-813D-F274A15A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</xdr:row>
      <xdr:rowOff>0</xdr:rowOff>
    </xdr:from>
    <xdr:ext cx="9525" cy="9525"/>
    <xdr:pic>
      <xdr:nvPicPr>
        <xdr:cNvPr id="4371" name="Picture 4370">
          <a:extLst>
            <a:ext uri="{FF2B5EF4-FFF2-40B4-BE49-F238E27FC236}">
              <a16:creationId xmlns:a16="http://schemas.microsoft.com/office/drawing/2014/main" id="{5D45D6E4-9C53-45E9-96C4-55DC5FEAE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304800" cy="304800"/>
    <xdr:sp macro="" textlink="">
      <xdr:nvSpPr>
        <xdr:cNvPr id="4372" name="AutoShape 52">
          <a:extLst>
            <a:ext uri="{FF2B5EF4-FFF2-40B4-BE49-F238E27FC236}">
              <a16:creationId xmlns:a16="http://schemas.microsoft.com/office/drawing/2014/main" id="{2308CB09-5994-43DE-92F0-9EF2624BA2C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73" name="Picture 4372">
          <a:extLst>
            <a:ext uri="{FF2B5EF4-FFF2-40B4-BE49-F238E27FC236}">
              <a16:creationId xmlns:a16="http://schemas.microsoft.com/office/drawing/2014/main" id="{2C777A67-D4F9-4A7D-A717-9563379A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26</xdr:row>
      <xdr:rowOff>0</xdr:rowOff>
    </xdr:from>
    <xdr:ext cx="9525" cy="9525"/>
    <xdr:pic>
      <xdr:nvPicPr>
        <xdr:cNvPr id="4374" name="Picture 4373">
          <a:extLst>
            <a:ext uri="{FF2B5EF4-FFF2-40B4-BE49-F238E27FC236}">
              <a16:creationId xmlns:a16="http://schemas.microsoft.com/office/drawing/2014/main" id="{A5303B79-B1B8-4C4E-A369-716FC0807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25</xdr:row>
      <xdr:rowOff>0</xdr:rowOff>
    </xdr:from>
    <xdr:ext cx="304800" cy="303440"/>
    <xdr:sp macro="" textlink="">
      <xdr:nvSpPr>
        <xdr:cNvPr id="4375" name="AutoShape 55">
          <a:extLst>
            <a:ext uri="{FF2B5EF4-FFF2-40B4-BE49-F238E27FC236}">
              <a16:creationId xmlns:a16="http://schemas.microsoft.com/office/drawing/2014/main" id="{0435DEB6-F245-475B-9F9B-D62601B1234B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76" name="Picture 4375">
          <a:extLst>
            <a:ext uri="{FF2B5EF4-FFF2-40B4-BE49-F238E27FC236}">
              <a16:creationId xmlns:a16="http://schemas.microsoft.com/office/drawing/2014/main" id="{CC32CF43-78C2-4126-8B65-4920F50B7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77" name="Picture 4376">
          <a:extLst>
            <a:ext uri="{FF2B5EF4-FFF2-40B4-BE49-F238E27FC236}">
              <a16:creationId xmlns:a16="http://schemas.microsoft.com/office/drawing/2014/main" id="{D6576216-4404-4754-8DE8-3375AFEA3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78" name="Picture 4377">
          <a:extLst>
            <a:ext uri="{FF2B5EF4-FFF2-40B4-BE49-F238E27FC236}">
              <a16:creationId xmlns:a16="http://schemas.microsoft.com/office/drawing/2014/main" id="{6369E91F-DC3A-421C-9596-9607B3FDA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79" name="Picture 4378">
          <a:extLst>
            <a:ext uri="{FF2B5EF4-FFF2-40B4-BE49-F238E27FC236}">
              <a16:creationId xmlns:a16="http://schemas.microsoft.com/office/drawing/2014/main" id="{86E6A5D7-BD54-447A-8F7A-31BA220A5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80" name="Picture 4379">
          <a:extLst>
            <a:ext uri="{FF2B5EF4-FFF2-40B4-BE49-F238E27FC236}">
              <a16:creationId xmlns:a16="http://schemas.microsoft.com/office/drawing/2014/main" id="{1A38312E-F766-41FC-9425-3EE8ACE72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381" name="AutoShape 61">
          <a:extLst>
            <a:ext uri="{FF2B5EF4-FFF2-40B4-BE49-F238E27FC236}">
              <a16:creationId xmlns:a16="http://schemas.microsoft.com/office/drawing/2014/main" id="{9FC876BD-6B64-44DB-99F1-C57E55CDA60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82" name="Picture 4381">
          <a:extLst>
            <a:ext uri="{FF2B5EF4-FFF2-40B4-BE49-F238E27FC236}">
              <a16:creationId xmlns:a16="http://schemas.microsoft.com/office/drawing/2014/main" id="{A4D9AE22-C5FE-45EE-9EF7-26CB6C0A0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383" name="AutoShape 63">
          <a:extLst>
            <a:ext uri="{FF2B5EF4-FFF2-40B4-BE49-F238E27FC236}">
              <a16:creationId xmlns:a16="http://schemas.microsoft.com/office/drawing/2014/main" id="{657A60F1-4441-4E50-9EB2-C193C61EA82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13</xdr:row>
      <xdr:rowOff>0</xdr:rowOff>
    </xdr:from>
    <xdr:ext cx="9525" cy="9525"/>
    <xdr:pic>
      <xdr:nvPicPr>
        <xdr:cNvPr id="4384" name="Picture 4383">
          <a:extLst>
            <a:ext uri="{FF2B5EF4-FFF2-40B4-BE49-F238E27FC236}">
              <a16:creationId xmlns:a16="http://schemas.microsoft.com/office/drawing/2014/main" id="{A50D4B9A-F2BB-4B34-A574-2722A2BAE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</xdr:row>
      <xdr:rowOff>0</xdr:rowOff>
    </xdr:from>
    <xdr:ext cx="304800" cy="303439"/>
    <xdr:sp macro="" textlink="">
      <xdr:nvSpPr>
        <xdr:cNvPr id="4385" name="AutoShape 65">
          <a:extLst>
            <a:ext uri="{FF2B5EF4-FFF2-40B4-BE49-F238E27FC236}">
              <a16:creationId xmlns:a16="http://schemas.microsoft.com/office/drawing/2014/main" id="{9F072EB2-0531-4385-A25C-D86657766C2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13</xdr:row>
      <xdr:rowOff>0</xdr:rowOff>
    </xdr:from>
    <xdr:ext cx="304800" cy="304800"/>
    <xdr:sp macro="" textlink="">
      <xdr:nvSpPr>
        <xdr:cNvPr id="4386" name="AutoShape 67">
          <a:extLst>
            <a:ext uri="{FF2B5EF4-FFF2-40B4-BE49-F238E27FC236}">
              <a16:creationId xmlns:a16="http://schemas.microsoft.com/office/drawing/2014/main" id="{157622C6-3891-4EA9-9964-2BDF2F0E570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87" name="Picture 4386">
          <a:extLst>
            <a:ext uri="{FF2B5EF4-FFF2-40B4-BE49-F238E27FC236}">
              <a16:creationId xmlns:a16="http://schemas.microsoft.com/office/drawing/2014/main" id="{0DB66806-E9C3-412C-B06C-0F805D2E8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3440"/>
    <xdr:sp macro="" textlink="">
      <xdr:nvSpPr>
        <xdr:cNvPr id="4388" name="AutoShape 69">
          <a:extLst>
            <a:ext uri="{FF2B5EF4-FFF2-40B4-BE49-F238E27FC236}">
              <a16:creationId xmlns:a16="http://schemas.microsoft.com/office/drawing/2014/main" id="{618E6E4E-DA07-4CB1-BD3E-48E732DDC94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27</xdr:row>
      <xdr:rowOff>0</xdr:rowOff>
    </xdr:from>
    <xdr:ext cx="9525" cy="9525"/>
    <xdr:pic>
      <xdr:nvPicPr>
        <xdr:cNvPr id="4389" name="Picture 4388">
          <a:extLst>
            <a:ext uri="{FF2B5EF4-FFF2-40B4-BE49-F238E27FC236}">
              <a16:creationId xmlns:a16="http://schemas.microsoft.com/office/drawing/2014/main" id="{609E448D-C240-40FC-8584-251B10A06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90" name="Picture 4389">
          <a:extLst>
            <a:ext uri="{FF2B5EF4-FFF2-40B4-BE49-F238E27FC236}">
              <a16:creationId xmlns:a16="http://schemas.microsoft.com/office/drawing/2014/main" id="{99AE0798-E254-4C43-B5F3-F7296F9FC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</xdr:row>
      <xdr:rowOff>0</xdr:rowOff>
    </xdr:from>
    <xdr:ext cx="9525" cy="9525"/>
    <xdr:pic>
      <xdr:nvPicPr>
        <xdr:cNvPr id="4391" name="Picture 4390">
          <a:extLst>
            <a:ext uri="{FF2B5EF4-FFF2-40B4-BE49-F238E27FC236}">
              <a16:creationId xmlns:a16="http://schemas.microsoft.com/office/drawing/2014/main" id="{FED370C1-6E08-4702-A1BA-56D5E29E1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</xdr:row>
      <xdr:rowOff>0</xdr:rowOff>
    </xdr:from>
    <xdr:ext cx="304800" cy="303439"/>
    <xdr:sp macro="" textlink="">
      <xdr:nvSpPr>
        <xdr:cNvPr id="4392" name="AutoShape 98">
          <a:extLst>
            <a:ext uri="{FF2B5EF4-FFF2-40B4-BE49-F238E27FC236}">
              <a16:creationId xmlns:a16="http://schemas.microsoft.com/office/drawing/2014/main" id="{28955D13-7027-4554-AD27-2CB12419544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4</xdr:row>
      <xdr:rowOff>0</xdr:rowOff>
    </xdr:from>
    <xdr:ext cx="9525" cy="9525"/>
    <xdr:pic>
      <xdr:nvPicPr>
        <xdr:cNvPr id="4393" name="Picture 4392">
          <a:extLst>
            <a:ext uri="{FF2B5EF4-FFF2-40B4-BE49-F238E27FC236}">
              <a16:creationId xmlns:a16="http://schemas.microsoft.com/office/drawing/2014/main" id="{65DD365B-6540-4EA0-8606-0C7C23139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9525" cy="9525"/>
    <xdr:pic>
      <xdr:nvPicPr>
        <xdr:cNvPr id="4394" name="Picture 4393">
          <a:extLst>
            <a:ext uri="{FF2B5EF4-FFF2-40B4-BE49-F238E27FC236}">
              <a16:creationId xmlns:a16="http://schemas.microsoft.com/office/drawing/2014/main" id="{E7F450A6-1C4E-4EB9-B372-9BB7C9593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</xdr:row>
      <xdr:rowOff>0</xdr:rowOff>
    </xdr:from>
    <xdr:ext cx="9525" cy="9525"/>
    <xdr:pic>
      <xdr:nvPicPr>
        <xdr:cNvPr id="4395" name="Picture 4394">
          <a:extLst>
            <a:ext uri="{FF2B5EF4-FFF2-40B4-BE49-F238E27FC236}">
              <a16:creationId xmlns:a16="http://schemas.microsoft.com/office/drawing/2014/main" id="{DC38DA53-1249-46BC-B5AF-1794C4520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304800" cy="304800"/>
    <xdr:sp macro="" textlink="">
      <xdr:nvSpPr>
        <xdr:cNvPr id="4396" name="AutoShape 102">
          <a:extLst>
            <a:ext uri="{FF2B5EF4-FFF2-40B4-BE49-F238E27FC236}">
              <a16:creationId xmlns:a16="http://schemas.microsoft.com/office/drawing/2014/main" id="{811B4FA3-81CE-4F8E-AF18-51BF60AA761E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397" name="Picture 4396">
          <a:extLst>
            <a:ext uri="{FF2B5EF4-FFF2-40B4-BE49-F238E27FC236}">
              <a16:creationId xmlns:a16="http://schemas.microsoft.com/office/drawing/2014/main" id="{4D4B3BF1-9E8A-4AF5-84B5-C3DB0BF84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26</xdr:row>
      <xdr:rowOff>0</xdr:rowOff>
    </xdr:from>
    <xdr:ext cx="9525" cy="9525"/>
    <xdr:pic>
      <xdr:nvPicPr>
        <xdr:cNvPr id="4398" name="Picture 4397">
          <a:extLst>
            <a:ext uri="{FF2B5EF4-FFF2-40B4-BE49-F238E27FC236}">
              <a16:creationId xmlns:a16="http://schemas.microsoft.com/office/drawing/2014/main" id="{22AF690A-8174-4BA5-8CE7-1F93B661A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25</xdr:row>
      <xdr:rowOff>0</xdr:rowOff>
    </xdr:from>
    <xdr:ext cx="304800" cy="303440"/>
    <xdr:sp macro="" textlink="">
      <xdr:nvSpPr>
        <xdr:cNvPr id="4399" name="AutoShape 105">
          <a:extLst>
            <a:ext uri="{FF2B5EF4-FFF2-40B4-BE49-F238E27FC236}">
              <a16:creationId xmlns:a16="http://schemas.microsoft.com/office/drawing/2014/main" id="{FA57FB44-0AA6-4405-8AF0-D164E8300A0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00" name="Picture 4399">
          <a:extLst>
            <a:ext uri="{FF2B5EF4-FFF2-40B4-BE49-F238E27FC236}">
              <a16:creationId xmlns:a16="http://schemas.microsoft.com/office/drawing/2014/main" id="{A11A0A5B-5827-4E56-978A-9C00E8404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01" name="Picture 4400">
          <a:extLst>
            <a:ext uri="{FF2B5EF4-FFF2-40B4-BE49-F238E27FC236}">
              <a16:creationId xmlns:a16="http://schemas.microsoft.com/office/drawing/2014/main" id="{30C17FFC-9F6D-4596-9BBF-F77934281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02" name="Picture 4401">
          <a:extLst>
            <a:ext uri="{FF2B5EF4-FFF2-40B4-BE49-F238E27FC236}">
              <a16:creationId xmlns:a16="http://schemas.microsoft.com/office/drawing/2014/main" id="{593D8C2B-2016-4579-B732-7B449E503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03" name="Picture 4402">
          <a:extLst>
            <a:ext uri="{FF2B5EF4-FFF2-40B4-BE49-F238E27FC236}">
              <a16:creationId xmlns:a16="http://schemas.microsoft.com/office/drawing/2014/main" id="{A985C721-D9DB-485F-B645-95EC882EA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04" name="Picture 4403">
          <a:extLst>
            <a:ext uri="{FF2B5EF4-FFF2-40B4-BE49-F238E27FC236}">
              <a16:creationId xmlns:a16="http://schemas.microsoft.com/office/drawing/2014/main" id="{F2CA348C-E23E-4EF8-A8FF-D2E5FAF6A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405" name="AutoShape 111">
          <a:extLst>
            <a:ext uri="{FF2B5EF4-FFF2-40B4-BE49-F238E27FC236}">
              <a16:creationId xmlns:a16="http://schemas.microsoft.com/office/drawing/2014/main" id="{0AD45C38-6005-4BD9-BEBF-33FC64CAAB3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06" name="Picture 4405">
          <a:extLst>
            <a:ext uri="{FF2B5EF4-FFF2-40B4-BE49-F238E27FC236}">
              <a16:creationId xmlns:a16="http://schemas.microsoft.com/office/drawing/2014/main" id="{F57DC312-C18B-4698-A2E9-762C82C09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407" name="AutoShape 113">
          <a:extLst>
            <a:ext uri="{FF2B5EF4-FFF2-40B4-BE49-F238E27FC236}">
              <a16:creationId xmlns:a16="http://schemas.microsoft.com/office/drawing/2014/main" id="{50C3C2F8-6DD3-4FEA-92B2-3A9592FEB971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13</xdr:row>
      <xdr:rowOff>0</xdr:rowOff>
    </xdr:from>
    <xdr:ext cx="9525" cy="9525"/>
    <xdr:pic>
      <xdr:nvPicPr>
        <xdr:cNvPr id="4408" name="Picture 4407">
          <a:extLst>
            <a:ext uri="{FF2B5EF4-FFF2-40B4-BE49-F238E27FC236}">
              <a16:creationId xmlns:a16="http://schemas.microsoft.com/office/drawing/2014/main" id="{2AD7DCE6-600A-4E6C-921A-72AE34CF8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</xdr:row>
      <xdr:rowOff>0</xdr:rowOff>
    </xdr:from>
    <xdr:ext cx="304800" cy="303439"/>
    <xdr:sp macro="" textlink="">
      <xdr:nvSpPr>
        <xdr:cNvPr id="4409" name="AutoShape 115">
          <a:extLst>
            <a:ext uri="{FF2B5EF4-FFF2-40B4-BE49-F238E27FC236}">
              <a16:creationId xmlns:a16="http://schemas.microsoft.com/office/drawing/2014/main" id="{3B05530F-52B4-4CE8-A8E8-4FF161C0AD8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10" name="Picture 4409">
          <a:extLst>
            <a:ext uri="{FF2B5EF4-FFF2-40B4-BE49-F238E27FC236}">
              <a16:creationId xmlns:a16="http://schemas.microsoft.com/office/drawing/2014/main" id="{3BB56309-AD11-424F-8289-6C01FECD6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0</xdr:rowOff>
    </xdr:from>
    <xdr:ext cx="304800" cy="304800"/>
    <xdr:sp macro="" textlink="">
      <xdr:nvSpPr>
        <xdr:cNvPr id="4411" name="AutoShape 117">
          <a:extLst>
            <a:ext uri="{FF2B5EF4-FFF2-40B4-BE49-F238E27FC236}">
              <a16:creationId xmlns:a16="http://schemas.microsoft.com/office/drawing/2014/main" id="{D39F5DC5-8E5C-4FD6-AFBD-AF20CCCE357E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12" name="Picture 4411">
          <a:extLst>
            <a:ext uri="{FF2B5EF4-FFF2-40B4-BE49-F238E27FC236}">
              <a16:creationId xmlns:a16="http://schemas.microsoft.com/office/drawing/2014/main" id="{62468973-0D97-4728-B85B-A8A1CA15F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3440"/>
    <xdr:sp macro="" textlink="">
      <xdr:nvSpPr>
        <xdr:cNvPr id="4413" name="AutoShape 119">
          <a:extLst>
            <a:ext uri="{FF2B5EF4-FFF2-40B4-BE49-F238E27FC236}">
              <a16:creationId xmlns:a16="http://schemas.microsoft.com/office/drawing/2014/main" id="{ACC410C1-EAE0-4DD7-81E5-04AA39A9678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27</xdr:row>
      <xdr:rowOff>0</xdr:rowOff>
    </xdr:from>
    <xdr:ext cx="9525" cy="9525"/>
    <xdr:pic>
      <xdr:nvPicPr>
        <xdr:cNvPr id="4414" name="Picture 4413">
          <a:extLst>
            <a:ext uri="{FF2B5EF4-FFF2-40B4-BE49-F238E27FC236}">
              <a16:creationId xmlns:a16="http://schemas.microsoft.com/office/drawing/2014/main" id="{336296C6-3264-46B2-A26C-BA6621E46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15" name="Picture 4414">
          <a:extLst>
            <a:ext uri="{FF2B5EF4-FFF2-40B4-BE49-F238E27FC236}">
              <a16:creationId xmlns:a16="http://schemas.microsoft.com/office/drawing/2014/main" id="{7B179638-584B-425B-87ED-B237F36C2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</xdr:row>
      <xdr:rowOff>0</xdr:rowOff>
    </xdr:from>
    <xdr:ext cx="9525" cy="9525"/>
    <xdr:pic>
      <xdr:nvPicPr>
        <xdr:cNvPr id="4416" name="Picture 4415">
          <a:extLst>
            <a:ext uri="{FF2B5EF4-FFF2-40B4-BE49-F238E27FC236}">
              <a16:creationId xmlns:a16="http://schemas.microsoft.com/office/drawing/2014/main" id="{52BD3BBF-FFCF-421F-93A4-1335F8734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</xdr:row>
      <xdr:rowOff>0</xdr:rowOff>
    </xdr:from>
    <xdr:ext cx="304800" cy="303439"/>
    <xdr:sp macro="" textlink="">
      <xdr:nvSpPr>
        <xdr:cNvPr id="4417" name="AutoShape 123">
          <a:extLst>
            <a:ext uri="{FF2B5EF4-FFF2-40B4-BE49-F238E27FC236}">
              <a16:creationId xmlns:a16="http://schemas.microsoft.com/office/drawing/2014/main" id="{683C7F97-5737-4FC5-B89F-FA59855C38FE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4</xdr:row>
      <xdr:rowOff>0</xdr:rowOff>
    </xdr:from>
    <xdr:ext cx="9525" cy="9525"/>
    <xdr:pic>
      <xdr:nvPicPr>
        <xdr:cNvPr id="4418" name="Picture 4417">
          <a:extLst>
            <a:ext uri="{FF2B5EF4-FFF2-40B4-BE49-F238E27FC236}">
              <a16:creationId xmlns:a16="http://schemas.microsoft.com/office/drawing/2014/main" id="{C0291594-3DBE-49FC-8081-B99D9762F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9525" cy="9525"/>
    <xdr:pic>
      <xdr:nvPicPr>
        <xdr:cNvPr id="4419" name="Picture 4418">
          <a:extLst>
            <a:ext uri="{FF2B5EF4-FFF2-40B4-BE49-F238E27FC236}">
              <a16:creationId xmlns:a16="http://schemas.microsoft.com/office/drawing/2014/main" id="{5D420C3A-409C-4EDB-99C4-6EAA5B5A2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</xdr:row>
      <xdr:rowOff>0</xdr:rowOff>
    </xdr:from>
    <xdr:ext cx="9525" cy="9525"/>
    <xdr:pic>
      <xdr:nvPicPr>
        <xdr:cNvPr id="4420" name="Picture 4419">
          <a:extLst>
            <a:ext uri="{FF2B5EF4-FFF2-40B4-BE49-F238E27FC236}">
              <a16:creationId xmlns:a16="http://schemas.microsoft.com/office/drawing/2014/main" id="{3A91F61E-C16C-4E65-8246-A2AD3E9A2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</xdr:row>
      <xdr:rowOff>0</xdr:rowOff>
    </xdr:from>
    <xdr:ext cx="304800" cy="304800"/>
    <xdr:sp macro="" textlink="">
      <xdr:nvSpPr>
        <xdr:cNvPr id="4421" name="AutoShape 127">
          <a:extLst>
            <a:ext uri="{FF2B5EF4-FFF2-40B4-BE49-F238E27FC236}">
              <a16:creationId xmlns:a16="http://schemas.microsoft.com/office/drawing/2014/main" id="{8882671B-B089-4871-AA99-8E0385A0B25E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22" name="Picture 4421">
          <a:extLst>
            <a:ext uri="{FF2B5EF4-FFF2-40B4-BE49-F238E27FC236}">
              <a16:creationId xmlns:a16="http://schemas.microsoft.com/office/drawing/2014/main" id="{1FC02155-A9EE-4FE2-89EB-4D876CC31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26</xdr:row>
      <xdr:rowOff>0</xdr:rowOff>
    </xdr:from>
    <xdr:ext cx="9525" cy="9525"/>
    <xdr:pic>
      <xdr:nvPicPr>
        <xdr:cNvPr id="4423" name="Picture 4422">
          <a:extLst>
            <a:ext uri="{FF2B5EF4-FFF2-40B4-BE49-F238E27FC236}">
              <a16:creationId xmlns:a16="http://schemas.microsoft.com/office/drawing/2014/main" id="{BDFC8CD6-C92B-4412-89E9-24314801B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25</xdr:row>
      <xdr:rowOff>0</xdr:rowOff>
    </xdr:from>
    <xdr:ext cx="304800" cy="303440"/>
    <xdr:sp macro="" textlink="">
      <xdr:nvSpPr>
        <xdr:cNvPr id="4424" name="AutoShape 130">
          <a:extLst>
            <a:ext uri="{FF2B5EF4-FFF2-40B4-BE49-F238E27FC236}">
              <a16:creationId xmlns:a16="http://schemas.microsoft.com/office/drawing/2014/main" id="{90A1D09B-6E38-454B-A135-BF5F41DA703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25" name="Picture 4424">
          <a:extLst>
            <a:ext uri="{FF2B5EF4-FFF2-40B4-BE49-F238E27FC236}">
              <a16:creationId xmlns:a16="http://schemas.microsoft.com/office/drawing/2014/main" id="{EC729822-976D-471B-9F6F-8D4234E23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26" name="Picture 4425">
          <a:extLst>
            <a:ext uri="{FF2B5EF4-FFF2-40B4-BE49-F238E27FC236}">
              <a16:creationId xmlns:a16="http://schemas.microsoft.com/office/drawing/2014/main" id="{0DAF92F2-A336-4366-A924-F3A04F136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27" name="Picture 4426">
          <a:extLst>
            <a:ext uri="{FF2B5EF4-FFF2-40B4-BE49-F238E27FC236}">
              <a16:creationId xmlns:a16="http://schemas.microsoft.com/office/drawing/2014/main" id="{14A011A5-610B-47B7-84B0-9EE984E12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28" name="Picture 4427">
          <a:extLst>
            <a:ext uri="{FF2B5EF4-FFF2-40B4-BE49-F238E27FC236}">
              <a16:creationId xmlns:a16="http://schemas.microsoft.com/office/drawing/2014/main" id="{D3BB63FB-BE6B-42BD-9908-B83E18D16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29" name="Picture 4428">
          <a:extLst>
            <a:ext uri="{FF2B5EF4-FFF2-40B4-BE49-F238E27FC236}">
              <a16:creationId xmlns:a16="http://schemas.microsoft.com/office/drawing/2014/main" id="{A24F27BB-46A6-465D-B584-99BCD489C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430" name="AutoShape 136">
          <a:extLst>
            <a:ext uri="{FF2B5EF4-FFF2-40B4-BE49-F238E27FC236}">
              <a16:creationId xmlns:a16="http://schemas.microsoft.com/office/drawing/2014/main" id="{2AEE8D22-439B-4CB3-AED8-7B7F9B95259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31" name="Picture 4430">
          <a:extLst>
            <a:ext uri="{FF2B5EF4-FFF2-40B4-BE49-F238E27FC236}">
              <a16:creationId xmlns:a16="http://schemas.microsoft.com/office/drawing/2014/main" id="{A246CA43-1438-4E1D-B899-5AE07056F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4800"/>
    <xdr:sp macro="" textlink="">
      <xdr:nvSpPr>
        <xdr:cNvPr id="4432" name="AutoShape 138">
          <a:extLst>
            <a:ext uri="{FF2B5EF4-FFF2-40B4-BE49-F238E27FC236}">
              <a16:creationId xmlns:a16="http://schemas.microsoft.com/office/drawing/2014/main" id="{3BC51001-EE26-41D1-BE96-53597A5F020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13</xdr:row>
      <xdr:rowOff>0</xdr:rowOff>
    </xdr:from>
    <xdr:ext cx="9525" cy="9525"/>
    <xdr:pic>
      <xdr:nvPicPr>
        <xdr:cNvPr id="4433" name="Picture 4432">
          <a:extLst>
            <a:ext uri="{FF2B5EF4-FFF2-40B4-BE49-F238E27FC236}">
              <a16:creationId xmlns:a16="http://schemas.microsoft.com/office/drawing/2014/main" id="{E2ABB889-EB5D-4036-AF9C-F91E18018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</xdr:row>
      <xdr:rowOff>0</xdr:rowOff>
    </xdr:from>
    <xdr:ext cx="304800" cy="303439"/>
    <xdr:sp macro="" textlink="">
      <xdr:nvSpPr>
        <xdr:cNvPr id="4434" name="AutoShape 140">
          <a:extLst>
            <a:ext uri="{FF2B5EF4-FFF2-40B4-BE49-F238E27FC236}">
              <a16:creationId xmlns:a16="http://schemas.microsoft.com/office/drawing/2014/main" id="{805C50C9-6AE3-42AF-9871-EBA9A9151E3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35" name="Picture 4434">
          <a:extLst>
            <a:ext uri="{FF2B5EF4-FFF2-40B4-BE49-F238E27FC236}">
              <a16:creationId xmlns:a16="http://schemas.microsoft.com/office/drawing/2014/main" id="{D8031A6D-7951-4358-96B0-8E5E0D62A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0</xdr:rowOff>
    </xdr:from>
    <xdr:ext cx="304800" cy="304800"/>
    <xdr:sp macro="" textlink="">
      <xdr:nvSpPr>
        <xdr:cNvPr id="4436" name="AutoShape 142">
          <a:extLst>
            <a:ext uri="{FF2B5EF4-FFF2-40B4-BE49-F238E27FC236}">
              <a16:creationId xmlns:a16="http://schemas.microsoft.com/office/drawing/2014/main" id="{34A80761-BCBD-4296-981D-BAD9529CB10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37" name="Picture 4436">
          <a:extLst>
            <a:ext uri="{FF2B5EF4-FFF2-40B4-BE49-F238E27FC236}">
              <a16:creationId xmlns:a16="http://schemas.microsoft.com/office/drawing/2014/main" id="{08CBE6F8-946E-4C4B-88D3-AC957DEE8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304800" cy="303440"/>
    <xdr:sp macro="" textlink="">
      <xdr:nvSpPr>
        <xdr:cNvPr id="4438" name="AutoShape 144">
          <a:extLst>
            <a:ext uri="{FF2B5EF4-FFF2-40B4-BE49-F238E27FC236}">
              <a16:creationId xmlns:a16="http://schemas.microsoft.com/office/drawing/2014/main" id="{A25F2223-4014-445C-9516-AD5AEF983C2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27</xdr:row>
      <xdr:rowOff>0</xdr:rowOff>
    </xdr:from>
    <xdr:ext cx="9525" cy="9525"/>
    <xdr:pic>
      <xdr:nvPicPr>
        <xdr:cNvPr id="4439" name="Picture 4438">
          <a:extLst>
            <a:ext uri="{FF2B5EF4-FFF2-40B4-BE49-F238E27FC236}">
              <a16:creationId xmlns:a16="http://schemas.microsoft.com/office/drawing/2014/main" id="{A3B035A0-F21F-430A-AF7F-B3E4712A4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29</xdr:row>
      <xdr:rowOff>0</xdr:rowOff>
    </xdr:from>
    <xdr:ext cx="9525" cy="9525"/>
    <xdr:pic>
      <xdr:nvPicPr>
        <xdr:cNvPr id="4440" name="Picture 4439">
          <a:extLst>
            <a:ext uri="{FF2B5EF4-FFF2-40B4-BE49-F238E27FC236}">
              <a16:creationId xmlns:a16="http://schemas.microsoft.com/office/drawing/2014/main" id="{970F93B3-042E-47EA-8DD8-EE2025531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</xdr:row>
      <xdr:rowOff>0</xdr:rowOff>
    </xdr:from>
    <xdr:ext cx="9525" cy="9525"/>
    <xdr:pic>
      <xdr:nvPicPr>
        <xdr:cNvPr id="4441" name="Picture 4440">
          <a:extLst>
            <a:ext uri="{FF2B5EF4-FFF2-40B4-BE49-F238E27FC236}">
              <a16:creationId xmlns:a16="http://schemas.microsoft.com/office/drawing/2014/main" id="{91B202B3-AA29-4940-8A43-AF0473004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</xdr:row>
      <xdr:rowOff>0</xdr:rowOff>
    </xdr:from>
    <xdr:ext cx="9525" cy="9525"/>
    <xdr:pic>
      <xdr:nvPicPr>
        <xdr:cNvPr id="4442" name="Picture 4441">
          <a:extLst>
            <a:ext uri="{FF2B5EF4-FFF2-40B4-BE49-F238E27FC236}">
              <a16:creationId xmlns:a16="http://schemas.microsoft.com/office/drawing/2014/main" id="{DC8FE8B8-F858-4CFC-B4A6-CA0D36FEB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</xdr:row>
      <xdr:rowOff>0</xdr:rowOff>
    </xdr:from>
    <xdr:ext cx="9525" cy="9525"/>
    <xdr:pic>
      <xdr:nvPicPr>
        <xdr:cNvPr id="4443" name="Picture 4442">
          <a:extLst>
            <a:ext uri="{FF2B5EF4-FFF2-40B4-BE49-F238E27FC236}">
              <a16:creationId xmlns:a16="http://schemas.microsoft.com/office/drawing/2014/main" id="{8B6D14F7-9004-4C70-B94D-2E02D492A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</xdr:row>
      <xdr:rowOff>0</xdr:rowOff>
    </xdr:from>
    <xdr:ext cx="9525" cy="9525"/>
    <xdr:pic>
      <xdr:nvPicPr>
        <xdr:cNvPr id="4444" name="Picture 4443">
          <a:extLst>
            <a:ext uri="{FF2B5EF4-FFF2-40B4-BE49-F238E27FC236}">
              <a16:creationId xmlns:a16="http://schemas.microsoft.com/office/drawing/2014/main" id="{F44422E2-DF00-47AC-9E3F-ACF04C34D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9525" cy="9525"/>
    <xdr:pic>
      <xdr:nvPicPr>
        <xdr:cNvPr id="4445" name="Picture 4444">
          <a:extLst>
            <a:ext uri="{FF2B5EF4-FFF2-40B4-BE49-F238E27FC236}">
              <a16:creationId xmlns:a16="http://schemas.microsoft.com/office/drawing/2014/main" id="{C0E84CAA-4864-4D35-A579-A5990E599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9525" cy="9525"/>
    <xdr:pic>
      <xdr:nvPicPr>
        <xdr:cNvPr id="4446" name="Picture 4445">
          <a:extLst>
            <a:ext uri="{FF2B5EF4-FFF2-40B4-BE49-F238E27FC236}">
              <a16:creationId xmlns:a16="http://schemas.microsoft.com/office/drawing/2014/main" id="{90C69807-A047-480C-AB6F-06608EED4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9525" cy="9525"/>
    <xdr:pic>
      <xdr:nvPicPr>
        <xdr:cNvPr id="4447" name="Picture 4446">
          <a:extLst>
            <a:ext uri="{FF2B5EF4-FFF2-40B4-BE49-F238E27FC236}">
              <a16:creationId xmlns:a16="http://schemas.microsoft.com/office/drawing/2014/main" id="{20564049-BBBE-4BBD-86A7-7D4BF2330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9525" cy="9525"/>
    <xdr:pic>
      <xdr:nvPicPr>
        <xdr:cNvPr id="4448" name="Picture 4447">
          <a:extLst>
            <a:ext uri="{FF2B5EF4-FFF2-40B4-BE49-F238E27FC236}">
              <a16:creationId xmlns:a16="http://schemas.microsoft.com/office/drawing/2014/main" id="{D8BD4D93-DEDC-4372-8BAD-38CFCC169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0</xdr:rowOff>
    </xdr:from>
    <xdr:ext cx="9525" cy="9525"/>
    <xdr:pic>
      <xdr:nvPicPr>
        <xdr:cNvPr id="4449" name="Picture 4448">
          <a:extLst>
            <a:ext uri="{FF2B5EF4-FFF2-40B4-BE49-F238E27FC236}">
              <a16:creationId xmlns:a16="http://schemas.microsoft.com/office/drawing/2014/main" id="{E9312D8C-BC1C-4A85-9A7A-D87B8C2BC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0</xdr:rowOff>
    </xdr:from>
    <xdr:ext cx="9525" cy="9525"/>
    <xdr:pic>
      <xdr:nvPicPr>
        <xdr:cNvPr id="4450" name="Picture 4449">
          <a:extLst>
            <a:ext uri="{FF2B5EF4-FFF2-40B4-BE49-F238E27FC236}">
              <a16:creationId xmlns:a16="http://schemas.microsoft.com/office/drawing/2014/main" id="{2972B3AF-5A8F-42B5-B63A-13099C0FD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0</xdr:rowOff>
    </xdr:from>
    <xdr:ext cx="9525" cy="9525"/>
    <xdr:pic>
      <xdr:nvPicPr>
        <xdr:cNvPr id="4451" name="Picture 4450">
          <a:extLst>
            <a:ext uri="{FF2B5EF4-FFF2-40B4-BE49-F238E27FC236}">
              <a16:creationId xmlns:a16="http://schemas.microsoft.com/office/drawing/2014/main" id="{DEEF9D9E-E023-46E8-9A1E-B17F95A68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0</xdr:rowOff>
    </xdr:from>
    <xdr:ext cx="9525" cy="9525"/>
    <xdr:pic>
      <xdr:nvPicPr>
        <xdr:cNvPr id="4452" name="Picture 4451">
          <a:extLst>
            <a:ext uri="{FF2B5EF4-FFF2-40B4-BE49-F238E27FC236}">
              <a16:creationId xmlns:a16="http://schemas.microsoft.com/office/drawing/2014/main" id="{E1185BE9-4D79-4D2C-B541-4BB121079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9525" cy="9525"/>
    <xdr:pic>
      <xdr:nvPicPr>
        <xdr:cNvPr id="4453" name="Picture 4452">
          <a:extLst>
            <a:ext uri="{FF2B5EF4-FFF2-40B4-BE49-F238E27FC236}">
              <a16:creationId xmlns:a16="http://schemas.microsoft.com/office/drawing/2014/main" id="{EFABEF97-81FB-40F5-B768-174AC83A5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9525" cy="9525"/>
    <xdr:pic>
      <xdr:nvPicPr>
        <xdr:cNvPr id="4454" name="Picture 4453">
          <a:extLst>
            <a:ext uri="{FF2B5EF4-FFF2-40B4-BE49-F238E27FC236}">
              <a16:creationId xmlns:a16="http://schemas.microsoft.com/office/drawing/2014/main" id="{DCFBFF6F-86E6-4D5C-BBB1-9A73265DB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3440"/>
    <xdr:sp macro="" textlink="">
      <xdr:nvSpPr>
        <xdr:cNvPr id="4455" name="AutoShape 69">
          <a:extLst>
            <a:ext uri="{FF2B5EF4-FFF2-40B4-BE49-F238E27FC236}">
              <a16:creationId xmlns:a16="http://schemas.microsoft.com/office/drawing/2014/main" id="{FE7689FA-205D-49E9-B9DA-57D27CDD548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16</xdr:row>
      <xdr:rowOff>0</xdr:rowOff>
    </xdr:from>
    <xdr:ext cx="9525" cy="9525"/>
    <xdr:pic>
      <xdr:nvPicPr>
        <xdr:cNvPr id="4456" name="Picture 4455">
          <a:extLst>
            <a:ext uri="{FF2B5EF4-FFF2-40B4-BE49-F238E27FC236}">
              <a16:creationId xmlns:a16="http://schemas.microsoft.com/office/drawing/2014/main" id="{C530E7B7-E942-45BD-9548-64956FF8C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3440"/>
    <xdr:sp macro="" textlink="">
      <xdr:nvSpPr>
        <xdr:cNvPr id="4457" name="AutoShape 119">
          <a:extLst>
            <a:ext uri="{FF2B5EF4-FFF2-40B4-BE49-F238E27FC236}">
              <a16:creationId xmlns:a16="http://schemas.microsoft.com/office/drawing/2014/main" id="{C233C7A9-2C01-40FA-B090-6DABBFA5C61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16</xdr:row>
      <xdr:rowOff>0</xdr:rowOff>
    </xdr:from>
    <xdr:ext cx="9525" cy="9525"/>
    <xdr:pic>
      <xdr:nvPicPr>
        <xdr:cNvPr id="4458" name="Picture 4457">
          <a:extLst>
            <a:ext uri="{FF2B5EF4-FFF2-40B4-BE49-F238E27FC236}">
              <a16:creationId xmlns:a16="http://schemas.microsoft.com/office/drawing/2014/main" id="{6DC7BEBF-1C60-4E83-A0B2-304A8858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15</xdr:row>
      <xdr:rowOff>0</xdr:rowOff>
    </xdr:from>
    <xdr:ext cx="304800" cy="303440"/>
    <xdr:sp macro="" textlink="">
      <xdr:nvSpPr>
        <xdr:cNvPr id="4459" name="AutoShape 144">
          <a:extLst>
            <a:ext uri="{FF2B5EF4-FFF2-40B4-BE49-F238E27FC236}">
              <a16:creationId xmlns:a16="http://schemas.microsoft.com/office/drawing/2014/main" id="{F0AB4422-8B76-4278-9C4D-077BE6799A9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19</xdr:row>
      <xdr:rowOff>0</xdr:rowOff>
    </xdr:from>
    <xdr:ext cx="9525" cy="9525"/>
    <xdr:pic>
      <xdr:nvPicPr>
        <xdr:cNvPr id="4460" name="Picture 4459">
          <a:extLst>
            <a:ext uri="{FF2B5EF4-FFF2-40B4-BE49-F238E27FC236}">
              <a16:creationId xmlns:a16="http://schemas.microsoft.com/office/drawing/2014/main" id="{01F6AFF2-53E6-40AF-A92F-C86579EEB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9525" cy="9525"/>
    <xdr:pic>
      <xdr:nvPicPr>
        <xdr:cNvPr id="4461" name="Picture 4460">
          <a:extLst>
            <a:ext uri="{FF2B5EF4-FFF2-40B4-BE49-F238E27FC236}">
              <a16:creationId xmlns:a16="http://schemas.microsoft.com/office/drawing/2014/main" id="{F2FE68EC-C873-43D7-8FC8-082597968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19</xdr:row>
      <xdr:rowOff>0</xdr:rowOff>
    </xdr:from>
    <xdr:ext cx="9525" cy="9525"/>
    <xdr:pic>
      <xdr:nvPicPr>
        <xdr:cNvPr id="4462" name="Picture 4461">
          <a:extLst>
            <a:ext uri="{FF2B5EF4-FFF2-40B4-BE49-F238E27FC236}">
              <a16:creationId xmlns:a16="http://schemas.microsoft.com/office/drawing/2014/main" id="{FF127FDC-64FE-4526-B44B-F23351668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17</xdr:row>
      <xdr:rowOff>0</xdr:rowOff>
    </xdr:from>
    <xdr:ext cx="9525" cy="9525"/>
    <xdr:pic>
      <xdr:nvPicPr>
        <xdr:cNvPr id="4463" name="Picture 4462">
          <a:extLst>
            <a:ext uri="{FF2B5EF4-FFF2-40B4-BE49-F238E27FC236}">
              <a16:creationId xmlns:a16="http://schemas.microsoft.com/office/drawing/2014/main" id="{52B3F03E-58FB-48B7-80CB-ACD745630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304800" cy="304800"/>
    <xdr:sp macro="" textlink="">
      <xdr:nvSpPr>
        <xdr:cNvPr id="4464" name="AutoShape 40">
          <a:extLst>
            <a:ext uri="{FF2B5EF4-FFF2-40B4-BE49-F238E27FC236}">
              <a16:creationId xmlns:a16="http://schemas.microsoft.com/office/drawing/2014/main" id="{AC9EE34C-900B-457A-997F-35780D00A92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03439"/>
    <xdr:sp macro="" textlink="">
      <xdr:nvSpPr>
        <xdr:cNvPr id="4465" name="AutoShape 42">
          <a:extLst>
            <a:ext uri="{FF2B5EF4-FFF2-40B4-BE49-F238E27FC236}">
              <a16:creationId xmlns:a16="http://schemas.microsoft.com/office/drawing/2014/main" id="{325D418D-FC89-4D9C-983E-64255D500323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9525" cy="9525"/>
    <xdr:pic>
      <xdr:nvPicPr>
        <xdr:cNvPr id="4466" name="Picture 4465">
          <a:extLst>
            <a:ext uri="{FF2B5EF4-FFF2-40B4-BE49-F238E27FC236}">
              <a16:creationId xmlns:a16="http://schemas.microsoft.com/office/drawing/2014/main" id="{81F05EE7-D0D9-4342-B299-7ED640B2C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304800" cy="304800"/>
    <xdr:sp macro="" textlink="">
      <xdr:nvSpPr>
        <xdr:cNvPr id="4467" name="AutoShape 63">
          <a:extLst>
            <a:ext uri="{FF2B5EF4-FFF2-40B4-BE49-F238E27FC236}">
              <a16:creationId xmlns:a16="http://schemas.microsoft.com/office/drawing/2014/main" id="{C0055C72-6F91-4204-A7B1-0B2CCF47DD3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03439"/>
    <xdr:sp macro="" textlink="">
      <xdr:nvSpPr>
        <xdr:cNvPr id="4468" name="AutoShape 65">
          <a:extLst>
            <a:ext uri="{FF2B5EF4-FFF2-40B4-BE49-F238E27FC236}">
              <a16:creationId xmlns:a16="http://schemas.microsoft.com/office/drawing/2014/main" id="{E0E169A3-D520-46E5-89DB-E4F43155279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9525" cy="9525"/>
    <xdr:pic>
      <xdr:nvPicPr>
        <xdr:cNvPr id="4469" name="Picture 4468">
          <a:extLst>
            <a:ext uri="{FF2B5EF4-FFF2-40B4-BE49-F238E27FC236}">
              <a16:creationId xmlns:a16="http://schemas.microsoft.com/office/drawing/2014/main" id="{99DC3804-A5BA-429C-98EA-1C5416E0E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304800" cy="304800"/>
    <xdr:sp macro="" textlink="">
      <xdr:nvSpPr>
        <xdr:cNvPr id="4470" name="AutoShape 113">
          <a:extLst>
            <a:ext uri="{FF2B5EF4-FFF2-40B4-BE49-F238E27FC236}">
              <a16:creationId xmlns:a16="http://schemas.microsoft.com/office/drawing/2014/main" id="{8E2D6FF9-D236-4A90-9B49-4E7E707558E6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03439"/>
    <xdr:sp macro="" textlink="">
      <xdr:nvSpPr>
        <xdr:cNvPr id="4471" name="AutoShape 115">
          <a:extLst>
            <a:ext uri="{FF2B5EF4-FFF2-40B4-BE49-F238E27FC236}">
              <a16:creationId xmlns:a16="http://schemas.microsoft.com/office/drawing/2014/main" id="{DE77A938-3A73-490F-828F-3DBD2B8DE91F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9525" cy="9525"/>
    <xdr:pic>
      <xdr:nvPicPr>
        <xdr:cNvPr id="4472" name="Picture 4471">
          <a:extLst>
            <a:ext uri="{FF2B5EF4-FFF2-40B4-BE49-F238E27FC236}">
              <a16:creationId xmlns:a16="http://schemas.microsoft.com/office/drawing/2014/main" id="{5410BCFD-3006-471D-BCC7-E2B4BF71D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16</xdr:row>
      <xdr:rowOff>0</xdr:rowOff>
    </xdr:from>
    <xdr:ext cx="304800" cy="304800"/>
    <xdr:sp macro="" textlink="">
      <xdr:nvSpPr>
        <xdr:cNvPr id="4473" name="AutoShape 138">
          <a:extLst>
            <a:ext uri="{FF2B5EF4-FFF2-40B4-BE49-F238E27FC236}">
              <a16:creationId xmlns:a16="http://schemas.microsoft.com/office/drawing/2014/main" id="{B9FD20F4-93B9-4614-87CD-2C938654F109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03439"/>
    <xdr:sp macro="" textlink="">
      <xdr:nvSpPr>
        <xdr:cNvPr id="4474" name="AutoShape 140">
          <a:extLst>
            <a:ext uri="{FF2B5EF4-FFF2-40B4-BE49-F238E27FC236}">
              <a16:creationId xmlns:a16="http://schemas.microsoft.com/office/drawing/2014/main" id="{C4C3B5F2-590E-4AC5-9257-9F0687777E8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18</xdr:row>
      <xdr:rowOff>0</xdr:rowOff>
    </xdr:from>
    <xdr:ext cx="9525" cy="9525"/>
    <xdr:pic>
      <xdr:nvPicPr>
        <xdr:cNvPr id="4475" name="Picture 4474">
          <a:extLst>
            <a:ext uri="{FF2B5EF4-FFF2-40B4-BE49-F238E27FC236}">
              <a16:creationId xmlns:a16="http://schemas.microsoft.com/office/drawing/2014/main" id="{148B1CDD-4F8E-4C3C-AF88-D27FCDBFE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9525" cy="9525"/>
    <xdr:pic>
      <xdr:nvPicPr>
        <xdr:cNvPr id="4476" name="Picture 4475">
          <a:extLst>
            <a:ext uri="{FF2B5EF4-FFF2-40B4-BE49-F238E27FC236}">
              <a16:creationId xmlns:a16="http://schemas.microsoft.com/office/drawing/2014/main" id="{2B6C2180-4115-4F07-A77C-72A53463B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9525" cy="9525"/>
    <xdr:pic>
      <xdr:nvPicPr>
        <xdr:cNvPr id="4477" name="Picture 4476">
          <a:extLst>
            <a:ext uri="{FF2B5EF4-FFF2-40B4-BE49-F238E27FC236}">
              <a16:creationId xmlns:a16="http://schemas.microsoft.com/office/drawing/2014/main" id="{1EC3E69C-622D-4B7A-A8A7-D35596F7F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18</xdr:row>
      <xdr:rowOff>0</xdr:rowOff>
    </xdr:from>
    <xdr:ext cx="9525" cy="9525"/>
    <xdr:pic>
      <xdr:nvPicPr>
        <xdr:cNvPr id="4478" name="Picture 4477">
          <a:extLst>
            <a:ext uri="{FF2B5EF4-FFF2-40B4-BE49-F238E27FC236}">
              <a16:creationId xmlns:a16="http://schemas.microsoft.com/office/drawing/2014/main" id="{36F54A34-5D54-4B7E-BAC3-B4C7D346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9525" cy="9525"/>
    <xdr:pic>
      <xdr:nvPicPr>
        <xdr:cNvPr id="4479" name="Picture 4478">
          <a:extLst>
            <a:ext uri="{FF2B5EF4-FFF2-40B4-BE49-F238E27FC236}">
              <a16:creationId xmlns:a16="http://schemas.microsoft.com/office/drawing/2014/main" id="{280CCD96-8BA6-4C2E-8C2F-9EFD422F5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9525" cy="9525"/>
    <xdr:pic>
      <xdr:nvPicPr>
        <xdr:cNvPr id="4480" name="Picture 4479">
          <a:extLst>
            <a:ext uri="{FF2B5EF4-FFF2-40B4-BE49-F238E27FC236}">
              <a16:creationId xmlns:a16="http://schemas.microsoft.com/office/drawing/2014/main" id="{552D8091-F706-4239-9350-56A39EE8A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9525" cy="9525"/>
    <xdr:pic>
      <xdr:nvPicPr>
        <xdr:cNvPr id="4481" name="Picture 4480">
          <a:extLst>
            <a:ext uri="{FF2B5EF4-FFF2-40B4-BE49-F238E27FC236}">
              <a16:creationId xmlns:a16="http://schemas.microsoft.com/office/drawing/2014/main" id="{7744C092-B5D7-44CD-8F2E-96CC1D1C7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9525" cy="9525"/>
    <xdr:pic>
      <xdr:nvPicPr>
        <xdr:cNvPr id="4482" name="Picture 4481">
          <a:extLst>
            <a:ext uri="{FF2B5EF4-FFF2-40B4-BE49-F238E27FC236}">
              <a16:creationId xmlns:a16="http://schemas.microsoft.com/office/drawing/2014/main" id="{0419DEA2-87A6-4603-B9BC-6433E3C53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</xdr:row>
      <xdr:rowOff>0</xdr:rowOff>
    </xdr:from>
    <xdr:ext cx="9525" cy="9525"/>
    <xdr:pic>
      <xdr:nvPicPr>
        <xdr:cNvPr id="4483" name="Picture 4482">
          <a:extLst>
            <a:ext uri="{FF2B5EF4-FFF2-40B4-BE49-F238E27FC236}">
              <a16:creationId xmlns:a16="http://schemas.microsoft.com/office/drawing/2014/main" id="{ED245EBE-0394-4931-8600-58B41DC00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304800" cy="304800"/>
    <xdr:sp macro="" textlink="">
      <xdr:nvSpPr>
        <xdr:cNvPr id="4484" name="AutoShape 38">
          <a:extLst>
            <a:ext uri="{FF2B5EF4-FFF2-40B4-BE49-F238E27FC236}">
              <a16:creationId xmlns:a16="http://schemas.microsoft.com/office/drawing/2014/main" id="{0AAFFD65-BEB7-4F12-8D2D-035E1057C77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304800" cy="304800"/>
    <xdr:sp macro="" textlink="">
      <xdr:nvSpPr>
        <xdr:cNvPr id="4485" name="AutoShape 40">
          <a:extLst>
            <a:ext uri="{FF2B5EF4-FFF2-40B4-BE49-F238E27FC236}">
              <a16:creationId xmlns:a16="http://schemas.microsoft.com/office/drawing/2014/main" id="{23DBDC7F-35F0-4652-83B0-8AB2B35A9B37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9525" cy="9525"/>
    <xdr:pic>
      <xdr:nvPicPr>
        <xdr:cNvPr id="4486" name="Picture 4485">
          <a:extLst>
            <a:ext uri="{FF2B5EF4-FFF2-40B4-BE49-F238E27FC236}">
              <a16:creationId xmlns:a16="http://schemas.microsoft.com/office/drawing/2014/main" id="{5C435194-77CE-4A59-9C4D-8F93EDF93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304800" cy="304800"/>
    <xdr:sp macro="" textlink="">
      <xdr:nvSpPr>
        <xdr:cNvPr id="4487" name="AutoShape 61">
          <a:extLst>
            <a:ext uri="{FF2B5EF4-FFF2-40B4-BE49-F238E27FC236}">
              <a16:creationId xmlns:a16="http://schemas.microsoft.com/office/drawing/2014/main" id="{5CA3E7FA-E1F9-472C-B5F5-13C69C4BE4D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304800" cy="304800"/>
    <xdr:sp macro="" textlink="">
      <xdr:nvSpPr>
        <xdr:cNvPr id="4488" name="AutoShape 63">
          <a:extLst>
            <a:ext uri="{FF2B5EF4-FFF2-40B4-BE49-F238E27FC236}">
              <a16:creationId xmlns:a16="http://schemas.microsoft.com/office/drawing/2014/main" id="{13F2EAEE-3072-48D3-B02B-3110E51766E4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9525" cy="9525"/>
    <xdr:pic>
      <xdr:nvPicPr>
        <xdr:cNvPr id="4489" name="Picture 4488">
          <a:extLst>
            <a:ext uri="{FF2B5EF4-FFF2-40B4-BE49-F238E27FC236}">
              <a16:creationId xmlns:a16="http://schemas.microsoft.com/office/drawing/2014/main" id="{6CA3BE4A-7D65-460B-86F6-3851BB794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304800" cy="304800"/>
    <xdr:sp macro="" textlink="">
      <xdr:nvSpPr>
        <xdr:cNvPr id="4490" name="AutoShape 111">
          <a:extLst>
            <a:ext uri="{FF2B5EF4-FFF2-40B4-BE49-F238E27FC236}">
              <a16:creationId xmlns:a16="http://schemas.microsoft.com/office/drawing/2014/main" id="{B5161770-6D86-4BC2-BB70-682D46C88EE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304800" cy="304800"/>
    <xdr:sp macro="" textlink="">
      <xdr:nvSpPr>
        <xdr:cNvPr id="4491" name="AutoShape 113">
          <a:extLst>
            <a:ext uri="{FF2B5EF4-FFF2-40B4-BE49-F238E27FC236}">
              <a16:creationId xmlns:a16="http://schemas.microsoft.com/office/drawing/2014/main" id="{1A437967-5983-4993-8323-B1319E58359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9525" cy="9525"/>
    <xdr:pic>
      <xdr:nvPicPr>
        <xdr:cNvPr id="4492" name="Picture 4491">
          <a:extLst>
            <a:ext uri="{FF2B5EF4-FFF2-40B4-BE49-F238E27FC236}">
              <a16:creationId xmlns:a16="http://schemas.microsoft.com/office/drawing/2014/main" id="{411891B6-63AE-458F-A8BF-221527395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</xdr:row>
      <xdr:rowOff>0</xdr:rowOff>
    </xdr:from>
    <xdr:ext cx="304800" cy="304800"/>
    <xdr:sp macro="" textlink="">
      <xdr:nvSpPr>
        <xdr:cNvPr id="4493" name="AutoShape 136">
          <a:extLst>
            <a:ext uri="{FF2B5EF4-FFF2-40B4-BE49-F238E27FC236}">
              <a16:creationId xmlns:a16="http://schemas.microsoft.com/office/drawing/2014/main" id="{16BBEE0C-ADE3-47EE-97F1-D86F41C6738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304800" cy="304800"/>
    <xdr:sp macro="" textlink="">
      <xdr:nvSpPr>
        <xdr:cNvPr id="4494" name="AutoShape 138">
          <a:extLst>
            <a:ext uri="{FF2B5EF4-FFF2-40B4-BE49-F238E27FC236}">
              <a16:creationId xmlns:a16="http://schemas.microsoft.com/office/drawing/2014/main" id="{91EF74FC-64CD-4E48-AB5E-128F178AB51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22</xdr:row>
      <xdr:rowOff>0</xdr:rowOff>
    </xdr:from>
    <xdr:ext cx="9525" cy="9525"/>
    <xdr:pic>
      <xdr:nvPicPr>
        <xdr:cNvPr id="4495" name="Picture 4494">
          <a:extLst>
            <a:ext uri="{FF2B5EF4-FFF2-40B4-BE49-F238E27FC236}">
              <a16:creationId xmlns:a16="http://schemas.microsoft.com/office/drawing/2014/main" id="{CE0D4929-730A-4163-BB6B-21BEF6CC7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22</xdr:row>
      <xdr:rowOff>0</xdr:rowOff>
    </xdr:from>
    <xdr:ext cx="9525" cy="9525"/>
    <xdr:pic>
      <xdr:nvPicPr>
        <xdr:cNvPr id="4496" name="Picture 4495">
          <a:extLst>
            <a:ext uri="{FF2B5EF4-FFF2-40B4-BE49-F238E27FC236}">
              <a16:creationId xmlns:a16="http://schemas.microsoft.com/office/drawing/2014/main" id="{4B48C6B8-06EE-41F2-A805-A05B7236C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22</xdr:row>
      <xdr:rowOff>0</xdr:rowOff>
    </xdr:from>
    <xdr:ext cx="9525" cy="9525"/>
    <xdr:pic>
      <xdr:nvPicPr>
        <xdr:cNvPr id="4497" name="Picture 4496">
          <a:extLst>
            <a:ext uri="{FF2B5EF4-FFF2-40B4-BE49-F238E27FC236}">
              <a16:creationId xmlns:a16="http://schemas.microsoft.com/office/drawing/2014/main" id="{58D224DF-AF86-40B8-A3E8-141A364BF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22</xdr:row>
      <xdr:rowOff>0</xdr:rowOff>
    </xdr:from>
    <xdr:ext cx="9525" cy="9525"/>
    <xdr:pic>
      <xdr:nvPicPr>
        <xdr:cNvPr id="4498" name="Picture 4497">
          <a:extLst>
            <a:ext uri="{FF2B5EF4-FFF2-40B4-BE49-F238E27FC236}">
              <a16:creationId xmlns:a16="http://schemas.microsoft.com/office/drawing/2014/main" id="{AB85F7C3-2E1D-4FEF-87A3-621D6A7C5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9525" cy="9525"/>
    <xdr:pic>
      <xdr:nvPicPr>
        <xdr:cNvPr id="4499" name="Picture 4498">
          <a:extLst>
            <a:ext uri="{FF2B5EF4-FFF2-40B4-BE49-F238E27FC236}">
              <a16:creationId xmlns:a16="http://schemas.microsoft.com/office/drawing/2014/main" id="{0C327084-B657-4831-AAE6-2D76357D9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500" name="AutoShape 38">
          <a:extLst>
            <a:ext uri="{FF2B5EF4-FFF2-40B4-BE49-F238E27FC236}">
              <a16:creationId xmlns:a16="http://schemas.microsoft.com/office/drawing/2014/main" id="{E9801F35-3793-45BF-B8BD-5DC90775DD4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23</xdr:row>
      <xdr:rowOff>0</xdr:rowOff>
    </xdr:from>
    <xdr:ext cx="9525" cy="9525"/>
    <xdr:pic>
      <xdr:nvPicPr>
        <xdr:cNvPr id="4501" name="Picture 4500">
          <a:extLst>
            <a:ext uri="{FF2B5EF4-FFF2-40B4-BE49-F238E27FC236}">
              <a16:creationId xmlns:a16="http://schemas.microsoft.com/office/drawing/2014/main" id="{80B32A93-FA89-499A-B68B-CA1C34FFE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502" name="AutoShape 61">
          <a:extLst>
            <a:ext uri="{FF2B5EF4-FFF2-40B4-BE49-F238E27FC236}">
              <a16:creationId xmlns:a16="http://schemas.microsoft.com/office/drawing/2014/main" id="{BA5E7BE3-79EA-4484-8175-1188DFB7FD1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23</xdr:row>
      <xdr:rowOff>0</xdr:rowOff>
    </xdr:from>
    <xdr:ext cx="9525" cy="9525"/>
    <xdr:pic>
      <xdr:nvPicPr>
        <xdr:cNvPr id="4503" name="Picture 4502">
          <a:extLst>
            <a:ext uri="{FF2B5EF4-FFF2-40B4-BE49-F238E27FC236}">
              <a16:creationId xmlns:a16="http://schemas.microsoft.com/office/drawing/2014/main" id="{751B77BC-3971-4C1E-ACE2-48279EBAA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504" name="AutoShape 111">
          <a:extLst>
            <a:ext uri="{FF2B5EF4-FFF2-40B4-BE49-F238E27FC236}">
              <a16:creationId xmlns:a16="http://schemas.microsoft.com/office/drawing/2014/main" id="{54148E3B-E8AB-4AC3-8E23-DA2F2ED04D9A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23</xdr:row>
      <xdr:rowOff>0</xdr:rowOff>
    </xdr:from>
    <xdr:ext cx="9525" cy="9525"/>
    <xdr:pic>
      <xdr:nvPicPr>
        <xdr:cNvPr id="4505" name="Picture 4504">
          <a:extLst>
            <a:ext uri="{FF2B5EF4-FFF2-40B4-BE49-F238E27FC236}">
              <a16:creationId xmlns:a16="http://schemas.microsoft.com/office/drawing/2014/main" id="{969A1D72-B3C2-48ED-A93C-F2A125C51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506" name="AutoShape 136">
          <a:extLst>
            <a:ext uri="{FF2B5EF4-FFF2-40B4-BE49-F238E27FC236}">
              <a16:creationId xmlns:a16="http://schemas.microsoft.com/office/drawing/2014/main" id="{43639416-81C3-4D6E-9712-CE3A2B923F5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507" name="AutoShape 44">
          <a:extLst>
            <a:ext uri="{FF2B5EF4-FFF2-40B4-BE49-F238E27FC236}">
              <a16:creationId xmlns:a16="http://schemas.microsoft.com/office/drawing/2014/main" id="{219E3942-7704-4D06-91F3-5AD1420420D8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508" name="AutoShape 67">
          <a:extLst>
            <a:ext uri="{FF2B5EF4-FFF2-40B4-BE49-F238E27FC236}">
              <a16:creationId xmlns:a16="http://schemas.microsoft.com/office/drawing/2014/main" id="{1D17B380-3921-4AAD-B4F0-DA112FE66880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304800" cy="303440"/>
    <xdr:sp macro="" textlink="">
      <xdr:nvSpPr>
        <xdr:cNvPr id="4509" name="AutoShape 69">
          <a:extLst>
            <a:ext uri="{FF2B5EF4-FFF2-40B4-BE49-F238E27FC236}">
              <a16:creationId xmlns:a16="http://schemas.microsoft.com/office/drawing/2014/main" id="{EB234B30-717F-4205-AE38-16A560EC3AF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9525" cy="9525"/>
    <xdr:pic>
      <xdr:nvPicPr>
        <xdr:cNvPr id="4510" name="Picture 4509">
          <a:extLst>
            <a:ext uri="{FF2B5EF4-FFF2-40B4-BE49-F238E27FC236}">
              <a16:creationId xmlns:a16="http://schemas.microsoft.com/office/drawing/2014/main" id="{E7F48F4D-A373-46FF-9331-1489E45BA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511" name="AutoShape 117">
          <a:extLst>
            <a:ext uri="{FF2B5EF4-FFF2-40B4-BE49-F238E27FC236}">
              <a16:creationId xmlns:a16="http://schemas.microsoft.com/office/drawing/2014/main" id="{95EB3EDC-0B35-470F-B685-A32475977B02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304800" cy="303440"/>
    <xdr:sp macro="" textlink="">
      <xdr:nvSpPr>
        <xdr:cNvPr id="4512" name="AutoShape 119">
          <a:extLst>
            <a:ext uri="{FF2B5EF4-FFF2-40B4-BE49-F238E27FC236}">
              <a16:creationId xmlns:a16="http://schemas.microsoft.com/office/drawing/2014/main" id="{E6735787-01F4-4CD3-8447-58BCC539D5D5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9525" cy="9525"/>
    <xdr:pic>
      <xdr:nvPicPr>
        <xdr:cNvPr id="4513" name="Picture 4512">
          <a:extLst>
            <a:ext uri="{FF2B5EF4-FFF2-40B4-BE49-F238E27FC236}">
              <a16:creationId xmlns:a16="http://schemas.microsoft.com/office/drawing/2014/main" id="{F0CFF2FE-BF8C-43BE-8A6B-080D8CA1C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84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23</xdr:row>
      <xdr:rowOff>0</xdr:rowOff>
    </xdr:from>
    <xdr:ext cx="304800" cy="304800"/>
    <xdr:sp macro="" textlink="">
      <xdr:nvSpPr>
        <xdr:cNvPr id="4514" name="AutoShape 142">
          <a:extLst>
            <a:ext uri="{FF2B5EF4-FFF2-40B4-BE49-F238E27FC236}">
              <a16:creationId xmlns:a16="http://schemas.microsoft.com/office/drawing/2014/main" id="{432D4504-C35E-4C29-A9CA-410EB144195C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24</xdr:row>
      <xdr:rowOff>0</xdr:rowOff>
    </xdr:from>
    <xdr:ext cx="304800" cy="303440"/>
    <xdr:sp macro="" textlink="">
      <xdr:nvSpPr>
        <xdr:cNvPr id="4515" name="AutoShape 144">
          <a:extLst>
            <a:ext uri="{FF2B5EF4-FFF2-40B4-BE49-F238E27FC236}">
              <a16:creationId xmlns:a16="http://schemas.microsoft.com/office/drawing/2014/main" id="{FF4B4FD5-6A18-4824-9486-C42C330511BD}"/>
            </a:ext>
          </a:extLst>
        </xdr:cNvPr>
        <xdr:cNvSpPr>
          <a:spLocks noChangeAspect="1" noChangeArrowheads="1"/>
        </xdr:cNvSpPr>
      </xdr:nvSpPr>
      <xdr:spPr bwMode="auto">
        <a:xfrm>
          <a:off x="40984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</xdr:row>
      <xdr:rowOff>0</xdr:rowOff>
    </xdr:from>
    <xdr:ext cx="9525" cy="9525"/>
    <xdr:pic>
      <xdr:nvPicPr>
        <xdr:cNvPr id="4516" name="Picture 4515">
          <a:extLst>
            <a:ext uri="{FF2B5EF4-FFF2-40B4-BE49-F238E27FC236}">
              <a16:creationId xmlns:a16="http://schemas.microsoft.com/office/drawing/2014/main" id="{152A2682-37CD-47FA-8A33-5B1E9CCFF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</xdr:row>
      <xdr:rowOff>0</xdr:rowOff>
    </xdr:from>
    <xdr:ext cx="304800" cy="303439"/>
    <xdr:sp macro="" textlink="">
      <xdr:nvSpPr>
        <xdr:cNvPr id="4517" name="AutoShape 148">
          <a:extLst>
            <a:ext uri="{FF2B5EF4-FFF2-40B4-BE49-F238E27FC236}">
              <a16:creationId xmlns:a16="http://schemas.microsoft.com/office/drawing/2014/main" id="{B2AC13A9-0010-4BFB-8F0F-E6123CADAA7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</xdr:row>
      <xdr:rowOff>0</xdr:rowOff>
    </xdr:from>
    <xdr:ext cx="304800" cy="304800"/>
    <xdr:sp macro="" textlink="">
      <xdr:nvSpPr>
        <xdr:cNvPr id="4518" name="AutoShape 150">
          <a:extLst>
            <a:ext uri="{FF2B5EF4-FFF2-40B4-BE49-F238E27FC236}">
              <a16:creationId xmlns:a16="http://schemas.microsoft.com/office/drawing/2014/main" id="{96210EA3-785D-44D5-8617-4C51322A5665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5</xdr:row>
      <xdr:rowOff>0</xdr:rowOff>
    </xdr:from>
    <xdr:ext cx="9525" cy="9525"/>
    <xdr:pic>
      <xdr:nvPicPr>
        <xdr:cNvPr id="4519" name="Picture 4518">
          <a:extLst>
            <a:ext uri="{FF2B5EF4-FFF2-40B4-BE49-F238E27FC236}">
              <a16:creationId xmlns:a16="http://schemas.microsoft.com/office/drawing/2014/main" id="{5A02A9B3-E1C0-4C79-8968-DD1809AB3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6</xdr:row>
      <xdr:rowOff>0</xdr:rowOff>
    </xdr:from>
    <xdr:ext cx="9525" cy="9525"/>
    <xdr:pic>
      <xdr:nvPicPr>
        <xdr:cNvPr id="4520" name="Picture 4519">
          <a:extLst>
            <a:ext uri="{FF2B5EF4-FFF2-40B4-BE49-F238E27FC236}">
              <a16:creationId xmlns:a16="http://schemas.microsoft.com/office/drawing/2014/main" id="{AEBB6E02-8052-4825-A8D7-4E2D86CBB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21" name="Picture 4520">
          <a:extLst>
            <a:ext uri="{FF2B5EF4-FFF2-40B4-BE49-F238E27FC236}">
              <a16:creationId xmlns:a16="http://schemas.microsoft.com/office/drawing/2014/main" id="{5ABC7047-365C-454E-BDEC-1BBA4ED12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6</xdr:row>
      <xdr:rowOff>0</xdr:rowOff>
    </xdr:from>
    <xdr:ext cx="304800" cy="304800"/>
    <xdr:sp macro="" textlink="">
      <xdr:nvSpPr>
        <xdr:cNvPr id="4522" name="AutoShape 154">
          <a:extLst>
            <a:ext uri="{FF2B5EF4-FFF2-40B4-BE49-F238E27FC236}">
              <a16:creationId xmlns:a16="http://schemas.microsoft.com/office/drawing/2014/main" id="{749583D0-0F80-4634-ADF7-FF4AE8699E8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26</xdr:row>
      <xdr:rowOff>0</xdr:rowOff>
    </xdr:from>
    <xdr:ext cx="9525" cy="9525"/>
    <xdr:pic>
      <xdr:nvPicPr>
        <xdr:cNvPr id="4523" name="Picture 4522">
          <a:extLst>
            <a:ext uri="{FF2B5EF4-FFF2-40B4-BE49-F238E27FC236}">
              <a16:creationId xmlns:a16="http://schemas.microsoft.com/office/drawing/2014/main" id="{5C237735-D7FE-41C4-BA08-AD09D6F88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25</xdr:row>
      <xdr:rowOff>0</xdr:rowOff>
    </xdr:from>
    <xdr:ext cx="304800" cy="303440"/>
    <xdr:sp macro="" textlink="">
      <xdr:nvSpPr>
        <xdr:cNvPr id="4524" name="AutoShape 156">
          <a:extLst>
            <a:ext uri="{FF2B5EF4-FFF2-40B4-BE49-F238E27FC236}">
              <a16:creationId xmlns:a16="http://schemas.microsoft.com/office/drawing/2014/main" id="{092CACAF-729C-40D8-8D55-E3C47C0E87ED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25" name="Picture 4524">
          <a:extLst>
            <a:ext uri="{FF2B5EF4-FFF2-40B4-BE49-F238E27FC236}">
              <a16:creationId xmlns:a16="http://schemas.microsoft.com/office/drawing/2014/main" id="{1FA547FE-D8FD-42FA-88B9-A1D2228B6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26" name="Picture 4525">
          <a:extLst>
            <a:ext uri="{FF2B5EF4-FFF2-40B4-BE49-F238E27FC236}">
              <a16:creationId xmlns:a16="http://schemas.microsoft.com/office/drawing/2014/main" id="{15596846-BEA4-4B56-A59E-07E1263A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527" name="AutoShape 159">
          <a:extLst>
            <a:ext uri="{FF2B5EF4-FFF2-40B4-BE49-F238E27FC236}">
              <a16:creationId xmlns:a16="http://schemas.microsoft.com/office/drawing/2014/main" id="{ACA11F65-3466-4FA6-AF19-0BF614F6274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28" name="Picture 4527">
          <a:extLst>
            <a:ext uri="{FF2B5EF4-FFF2-40B4-BE49-F238E27FC236}">
              <a16:creationId xmlns:a16="http://schemas.microsoft.com/office/drawing/2014/main" id="{DED77BD5-F920-4BF6-A12E-EB3456002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29" name="Picture 4528">
          <a:extLst>
            <a:ext uri="{FF2B5EF4-FFF2-40B4-BE49-F238E27FC236}">
              <a16:creationId xmlns:a16="http://schemas.microsoft.com/office/drawing/2014/main" id="{25FBE2B8-3610-4AAB-B4DE-6F94CEB51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30" name="Picture 4529">
          <a:extLst>
            <a:ext uri="{FF2B5EF4-FFF2-40B4-BE49-F238E27FC236}">
              <a16:creationId xmlns:a16="http://schemas.microsoft.com/office/drawing/2014/main" id="{896D6806-DE6E-4517-9F69-2C73F9BC4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31" name="Picture 4530">
          <a:extLst>
            <a:ext uri="{FF2B5EF4-FFF2-40B4-BE49-F238E27FC236}">
              <a16:creationId xmlns:a16="http://schemas.microsoft.com/office/drawing/2014/main" id="{2656DB01-B607-4BF5-9A6C-EEC759A99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13</xdr:row>
      <xdr:rowOff>0</xdr:rowOff>
    </xdr:from>
    <xdr:ext cx="9525" cy="9525"/>
    <xdr:pic>
      <xdr:nvPicPr>
        <xdr:cNvPr id="4532" name="Picture 4531">
          <a:extLst>
            <a:ext uri="{FF2B5EF4-FFF2-40B4-BE49-F238E27FC236}">
              <a16:creationId xmlns:a16="http://schemas.microsoft.com/office/drawing/2014/main" id="{4D28B239-8ABE-4F88-915F-02B7CC77F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12</xdr:row>
      <xdr:rowOff>0</xdr:rowOff>
    </xdr:from>
    <xdr:ext cx="304800" cy="303439"/>
    <xdr:sp macro="" textlink="">
      <xdr:nvSpPr>
        <xdr:cNvPr id="4533" name="AutoShape 165">
          <a:extLst>
            <a:ext uri="{FF2B5EF4-FFF2-40B4-BE49-F238E27FC236}">
              <a16:creationId xmlns:a16="http://schemas.microsoft.com/office/drawing/2014/main" id="{9EC84D7E-6790-4051-BFE3-5DCD5725BAB4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34" name="Picture 4533">
          <a:extLst>
            <a:ext uri="{FF2B5EF4-FFF2-40B4-BE49-F238E27FC236}">
              <a16:creationId xmlns:a16="http://schemas.microsoft.com/office/drawing/2014/main" id="{22679924-CB29-4EA6-A7D3-9CC30E0DF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35" name="Picture 4534">
          <a:extLst>
            <a:ext uri="{FF2B5EF4-FFF2-40B4-BE49-F238E27FC236}">
              <a16:creationId xmlns:a16="http://schemas.microsoft.com/office/drawing/2014/main" id="{A9F1A093-7117-4ABD-838D-D70C69FAF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3440"/>
    <xdr:sp macro="" textlink="">
      <xdr:nvSpPr>
        <xdr:cNvPr id="4536" name="AutoShape 169">
          <a:extLst>
            <a:ext uri="{FF2B5EF4-FFF2-40B4-BE49-F238E27FC236}">
              <a16:creationId xmlns:a16="http://schemas.microsoft.com/office/drawing/2014/main" id="{7359B338-4B64-418C-B240-9C88599554FD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27</xdr:row>
      <xdr:rowOff>0</xdr:rowOff>
    </xdr:from>
    <xdr:ext cx="9525" cy="9525"/>
    <xdr:pic>
      <xdr:nvPicPr>
        <xdr:cNvPr id="4537" name="Picture 4536">
          <a:extLst>
            <a:ext uri="{FF2B5EF4-FFF2-40B4-BE49-F238E27FC236}">
              <a16:creationId xmlns:a16="http://schemas.microsoft.com/office/drawing/2014/main" id="{D055E73D-8875-427E-85DF-317D388E8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26</xdr:row>
      <xdr:rowOff>0</xdr:rowOff>
    </xdr:from>
    <xdr:ext cx="304800" cy="303439"/>
    <xdr:sp macro="" textlink="">
      <xdr:nvSpPr>
        <xdr:cNvPr id="4538" name="AutoShape 171">
          <a:extLst>
            <a:ext uri="{FF2B5EF4-FFF2-40B4-BE49-F238E27FC236}">
              <a16:creationId xmlns:a16="http://schemas.microsoft.com/office/drawing/2014/main" id="{E6AF2EFE-4CFF-4152-9FC1-E05FD91416FE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39" name="Picture 4538">
          <a:extLst>
            <a:ext uri="{FF2B5EF4-FFF2-40B4-BE49-F238E27FC236}">
              <a16:creationId xmlns:a16="http://schemas.microsoft.com/office/drawing/2014/main" id="{1B9D9A42-6EC3-48AB-A9A0-52AC2648E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27</xdr:row>
      <xdr:rowOff>0</xdr:rowOff>
    </xdr:from>
    <xdr:ext cx="304800" cy="303440"/>
    <xdr:sp macro="" textlink="">
      <xdr:nvSpPr>
        <xdr:cNvPr id="4540" name="AutoShape 173">
          <a:extLst>
            <a:ext uri="{FF2B5EF4-FFF2-40B4-BE49-F238E27FC236}">
              <a16:creationId xmlns:a16="http://schemas.microsoft.com/office/drawing/2014/main" id="{01EDA043-A1C3-43E5-81E8-9C7B5118EED4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477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41" name="Picture 4540">
          <a:extLst>
            <a:ext uri="{FF2B5EF4-FFF2-40B4-BE49-F238E27FC236}">
              <a16:creationId xmlns:a16="http://schemas.microsoft.com/office/drawing/2014/main" id="{10AE7FE0-B914-4178-A812-9863E8971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42" name="Picture 4541">
          <a:extLst>
            <a:ext uri="{FF2B5EF4-FFF2-40B4-BE49-F238E27FC236}">
              <a16:creationId xmlns:a16="http://schemas.microsoft.com/office/drawing/2014/main" id="{4AA67B2B-F389-4CA7-989A-C4144C1D8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3</xdr:row>
      <xdr:rowOff>0</xdr:rowOff>
    </xdr:from>
    <xdr:ext cx="9525" cy="9525"/>
    <xdr:pic>
      <xdr:nvPicPr>
        <xdr:cNvPr id="4543" name="Picture 4542">
          <a:extLst>
            <a:ext uri="{FF2B5EF4-FFF2-40B4-BE49-F238E27FC236}">
              <a16:creationId xmlns:a16="http://schemas.microsoft.com/office/drawing/2014/main" id="{034C8D62-8AE3-429E-9290-CDCA023BE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</xdr:row>
      <xdr:rowOff>0</xdr:rowOff>
    </xdr:from>
    <xdr:ext cx="304800" cy="303439"/>
    <xdr:sp macro="" textlink="">
      <xdr:nvSpPr>
        <xdr:cNvPr id="4544" name="AutoShape 177">
          <a:extLst>
            <a:ext uri="{FF2B5EF4-FFF2-40B4-BE49-F238E27FC236}">
              <a16:creationId xmlns:a16="http://schemas.microsoft.com/office/drawing/2014/main" id="{79D1B086-4FF1-40FB-9D1A-36BD2D01C4A7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</xdr:row>
      <xdr:rowOff>0</xdr:rowOff>
    </xdr:from>
    <xdr:ext cx="9525" cy="9525"/>
    <xdr:pic>
      <xdr:nvPicPr>
        <xdr:cNvPr id="4545" name="Picture 4544">
          <a:extLst>
            <a:ext uri="{FF2B5EF4-FFF2-40B4-BE49-F238E27FC236}">
              <a16:creationId xmlns:a16="http://schemas.microsoft.com/office/drawing/2014/main" id="{2F275E80-496B-438B-8F98-A2C35E230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9525" cy="9525"/>
    <xdr:pic>
      <xdr:nvPicPr>
        <xdr:cNvPr id="4546" name="Picture 4545">
          <a:extLst>
            <a:ext uri="{FF2B5EF4-FFF2-40B4-BE49-F238E27FC236}">
              <a16:creationId xmlns:a16="http://schemas.microsoft.com/office/drawing/2014/main" id="{BC8A7732-7436-478F-A87C-2CE8C4A05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6</xdr:row>
      <xdr:rowOff>0</xdr:rowOff>
    </xdr:from>
    <xdr:ext cx="9525" cy="9525"/>
    <xdr:pic>
      <xdr:nvPicPr>
        <xdr:cNvPr id="4547" name="Picture 4546">
          <a:extLst>
            <a:ext uri="{FF2B5EF4-FFF2-40B4-BE49-F238E27FC236}">
              <a16:creationId xmlns:a16="http://schemas.microsoft.com/office/drawing/2014/main" id="{529E4158-1E6A-4940-B596-834B64C15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304800" cy="304800"/>
    <xdr:sp macro="" textlink="">
      <xdr:nvSpPr>
        <xdr:cNvPr id="4548" name="AutoShape 181">
          <a:extLst>
            <a:ext uri="{FF2B5EF4-FFF2-40B4-BE49-F238E27FC236}">
              <a16:creationId xmlns:a16="http://schemas.microsoft.com/office/drawing/2014/main" id="{976DEFF0-38C9-470B-A012-68E99D7C964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49" name="Picture 4548">
          <a:extLst>
            <a:ext uri="{FF2B5EF4-FFF2-40B4-BE49-F238E27FC236}">
              <a16:creationId xmlns:a16="http://schemas.microsoft.com/office/drawing/2014/main" id="{BAE8F844-8FB3-40E3-82E8-9436D544D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24</xdr:row>
      <xdr:rowOff>0</xdr:rowOff>
    </xdr:from>
    <xdr:ext cx="304800" cy="304800"/>
    <xdr:sp macro="" textlink="">
      <xdr:nvSpPr>
        <xdr:cNvPr id="4550" name="AutoShape 183">
          <a:extLst>
            <a:ext uri="{FF2B5EF4-FFF2-40B4-BE49-F238E27FC236}">
              <a16:creationId xmlns:a16="http://schemas.microsoft.com/office/drawing/2014/main" id="{1D1F5BD4-846D-4E38-A9F3-C0F3785ACDB5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26</xdr:row>
      <xdr:rowOff>0</xdr:rowOff>
    </xdr:from>
    <xdr:ext cx="9525" cy="9525"/>
    <xdr:pic>
      <xdr:nvPicPr>
        <xdr:cNvPr id="4551" name="Picture 4550">
          <a:extLst>
            <a:ext uri="{FF2B5EF4-FFF2-40B4-BE49-F238E27FC236}">
              <a16:creationId xmlns:a16="http://schemas.microsoft.com/office/drawing/2014/main" id="{75CEFD7C-2B7D-4EAF-98BF-29B0C01B3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25</xdr:row>
      <xdr:rowOff>0</xdr:rowOff>
    </xdr:from>
    <xdr:ext cx="304800" cy="303440"/>
    <xdr:sp macro="" textlink="">
      <xdr:nvSpPr>
        <xdr:cNvPr id="4552" name="AutoShape 185">
          <a:extLst>
            <a:ext uri="{FF2B5EF4-FFF2-40B4-BE49-F238E27FC236}">
              <a16:creationId xmlns:a16="http://schemas.microsoft.com/office/drawing/2014/main" id="{2FF65F26-D6FB-4607-8A98-03CA32709D3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53" name="Picture 4552">
          <a:extLst>
            <a:ext uri="{FF2B5EF4-FFF2-40B4-BE49-F238E27FC236}">
              <a16:creationId xmlns:a16="http://schemas.microsoft.com/office/drawing/2014/main" id="{BB49124F-6ED8-45EB-885A-1F32F615E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54" name="Picture 4553">
          <a:extLst>
            <a:ext uri="{FF2B5EF4-FFF2-40B4-BE49-F238E27FC236}">
              <a16:creationId xmlns:a16="http://schemas.microsoft.com/office/drawing/2014/main" id="{669AF6C0-C5DB-4657-A627-BD794FF4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55" name="Picture 4554">
          <a:extLst>
            <a:ext uri="{FF2B5EF4-FFF2-40B4-BE49-F238E27FC236}">
              <a16:creationId xmlns:a16="http://schemas.microsoft.com/office/drawing/2014/main" id="{285CB277-ECBB-4851-B148-FD92539EC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56" name="Picture 4555">
          <a:extLst>
            <a:ext uri="{FF2B5EF4-FFF2-40B4-BE49-F238E27FC236}">
              <a16:creationId xmlns:a16="http://schemas.microsoft.com/office/drawing/2014/main" id="{49500739-0FC4-4931-A0AC-325467B37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57" name="Picture 4556">
          <a:extLst>
            <a:ext uri="{FF2B5EF4-FFF2-40B4-BE49-F238E27FC236}">
              <a16:creationId xmlns:a16="http://schemas.microsoft.com/office/drawing/2014/main" id="{B7569180-1474-4201-A8B6-9E664722D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558" name="AutoShape 191">
          <a:extLst>
            <a:ext uri="{FF2B5EF4-FFF2-40B4-BE49-F238E27FC236}">
              <a16:creationId xmlns:a16="http://schemas.microsoft.com/office/drawing/2014/main" id="{99E72B70-031B-4549-82A8-DFE23D1AE046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59" name="Picture 4558">
          <a:extLst>
            <a:ext uri="{FF2B5EF4-FFF2-40B4-BE49-F238E27FC236}">
              <a16:creationId xmlns:a16="http://schemas.microsoft.com/office/drawing/2014/main" id="{7376E877-7952-4FF1-B82F-0D0C26DE4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560" name="AutoShape 193">
          <a:extLst>
            <a:ext uri="{FF2B5EF4-FFF2-40B4-BE49-F238E27FC236}">
              <a16:creationId xmlns:a16="http://schemas.microsoft.com/office/drawing/2014/main" id="{7DE384DE-5BB3-4314-B2C7-F77FCE21BB87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13</xdr:row>
      <xdr:rowOff>0</xdr:rowOff>
    </xdr:from>
    <xdr:ext cx="9525" cy="9525"/>
    <xdr:pic>
      <xdr:nvPicPr>
        <xdr:cNvPr id="4561" name="Picture 4560">
          <a:extLst>
            <a:ext uri="{FF2B5EF4-FFF2-40B4-BE49-F238E27FC236}">
              <a16:creationId xmlns:a16="http://schemas.microsoft.com/office/drawing/2014/main" id="{8D17FBE1-85BA-4E37-A23D-9B020FE2A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12</xdr:row>
      <xdr:rowOff>0</xdr:rowOff>
    </xdr:from>
    <xdr:ext cx="304800" cy="303439"/>
    <xdr:sp macro="" textlink="">
      <xdr:nvSpPr>
        <xdr:cNvPr id="4562" name="AutoShape 195">
          <a:extLst>
            <a:ext uri="{FF2B5EF4-FFF2-40B4-BE49-F238E27FC236}">
              <a16:creationId xmlns:a16="http://schemas.microsoft.com/office/drawing/2014/main" id="{424D2D0F-C66D-47B8-929D-474348419D1A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63" name="Picture 4562">
          <a:extLst>
            <a:ext uri="{FF2B5EF4-FFF2-40B4-BE49-F238E27FC236}">
              <a16:creationId xmlns:a16="http://schemas.microsoft.com/office/drawing/2014/main" id="{560B367F-83ED-49E1-8966-5E477EAC5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64" name="Picture 4563">
          <a:extLst>
            <a:ext uri="{FF2B5EF4-FFF2-40B4-BE49-F238E27FC236}">
              <a16:creationId xmlns:a16="http://schemas.microsoft.com/office/drawing/2014/main" id="{1584FE6E-8FF0-466E-ABA1-4639AE2ED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3440"/>
    <xdr:sp macro="" textlink="">
      <xdr:nvSpPr>
        <xdr:cNvPr id="4565" name="AutoShape 199">
          <a:extLst>
            <a:ext uri="{FF2B5EF4-FFF2-40B4-BE49-F238E27FC236}">
              <a16:creationId xmlns:a16="http://schemas.microsoft.com/office/drawing/2014/main" id="{BB849FB9-25C9-4445-AA3E-DF12ABC11D84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27</xdr:row>
      <xdr:rowOff>0</xdr:rowOff>
    </xdr:from>
    <xdr:ext cx="9525" cy="9525"/>
    <xdr:pic>
      <xdr:nvPicPr>
        <xdr:cNvPr id="4566" name="Picture 4565">
          <a:extLst>
            <a:ext uri="{FF2B5EF4-FFF2-40B4-BE49-F238E27FC236}">
              <a16:creationId xmlns:a16="http://schemas.microsoft.com/office/drawing/2014/main" id="{C7872F58-9509-47D6-A753-A0B28141E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67" name="Picture 4566">
          <a:extLst>
            <a:ext uri="{FF2B5EF4-FFF2-40B4-BE49-F238E27FC236}">
              <a16:creationId xmlns:a16="http://schemas.microsoft.com/office/drawing/2014/main" id="{70031A40-C641-409E-AA06-E96EC4DE8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3</xdr:row>
      <xdr:rowOff>0</xdr:rowOff>
    </xdr:from>
    <xdr:ext cx="9525" cy="9525"/>
    <xdr:pic>
      <xdr:nvPicPr>
        <xdr:cNvPr id="4568" name="Picture 4567">
          <a:extLst>
            <a:ext uri="{FF2B5EF4-FFF2-40B4-BE49-F238E27FC236}">
              <a16:creationId xmlns:a16="http://schemas.microsoft.com/office/drawing/2014/main" id="{F1E44A13-B5AE-48CC-914C-DFA07AC49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</xdr:row>
      <xdr:rowOff>0</xdr:rowOff>
    </xdr:from>
    <xdr:ext cx="304800" cy="303439"/>
    <xdr:sp macro="" textlink="">
      <xdr:nvSpPr>
        <xdr:cNvPr id="4569" name="AutoShape 203">
          <a:extLst>
            <a:ext uri="{FF2B5EF4-FFF2-40B4-BE49-F238E27FC236}">
              <a16:creationId xmlns:a16="http://schemas.microsoft.com/office/drawing/2014/main" id="{6D704190-634E-43C3-B7DE-FF014E822928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</xdr:row>
      <xdr:rowOff>0</xdr:rowOff>
    </xdr:from>
    <xdr:ext cx="9525" cy="9525"/>
    <xdr:pic>
      <xdr:nvPicPr>
        <xdr:cNvPr id="4570" name="Picture 4569">
          <a:extLst>
            <a:ext uri="{FF2B5EF4-FFF2-40B4-BE49-F238E27FC236}">
              <a16:creationId xmlns:a16="http://schemas.microsoft.com/office/drawing/2014/main" id="{4A4C47C2-B361-4318-961D-B128CEB99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9525" cy="9525"/>
    <xdr:pic>
      <xdr:nvPicPr>
        <xdr:cNvPr id="4571" name="Picture 4570">
          <a:extLst>
            <a:ext uri="{FF2B5EF4-FFF2-40B4-BE49-F238E27FC236}">
              <a16:creationId xmlns:a16="http://schemas.microsoft.com/office/drawing/2014/main" id="{37562553-F43D-4B09-9E3F-5DA30B848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6</xdr:row>
      <xdr:rowOff>0</xdr:rowOff>
    </xdr:from>
    <xdr:ext cx="9525" cy="9525"/>
    <xdr:pic>
      <xdr:nvPicPr>
        <xdr:cNvPr id="4572" name="Picture 4571">
          <a:extLst>
            <a:ext uri="{FF2B5EF4-FFF2-40B4-BE49-F238E27FC236}">
              <a16:creationId xmlns:a16="http://schemas.microsoft.com/office/drawing/2014/main" id="{EE37005B-E23E-41B2-851E-D9BD3CC46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304800" cy="304800"/>
    <xdr:sp macro="" textlink="">
      <xdr:nvSpPr>
        <xdr:cNvPr id="4573" name="AutoShape 207">
          <a:extLst>
            <a:ext uri="{FF2B5EF4-FFF2-40B4-BE49-F238E27FC236}">
              <a16:creationId xmlns:a16="http://schemas.microsoft.com/office/drawing/2014/main" id="{72C739D9-BA55-4684-B74D-DD52AA4FCFBF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74" name="Picture 4573">
          <a:extLst>
            <a:ext uri="{FF2B5EF4-FFF2-40B4-BE49-F238E27FC236}">
              <a16:creationId xmlns:a16="http://schemas.microsoft.com/office/drawing/2014/main" id="{D0136939-940D-41CE-9F0A-2C53C9083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24</xdr:row>
      <xdr:rowOff>0</xdr:rowOff>
    </xdr:from>
    <xdr:ext cx="304800" cy="304800"/>
    <xdr:sp macro="" textlink="">
      <xdr:nvSpPr>
        <xdr:cNvPr id="4575" name="AutoShape 209">
          <a:extLst>
            <a:ext uri="{FF2B5EF4-FFF2-40B4-BE49-F238E27FC236}">
              <a16:creationId xmlns:a16="http://schemas.microsoft.com/office/drawing/2014/main" id="{8FC2E4F3-6EC5-4449-95B7-C036E40A227D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26</xdr:row>
      <xdr:rowOff>0</xdr:rowOff>
    </xdr:from>
    <xdr:ext cx="9525" cy="9525"/>
    <xdr:pic>
      <xdr:nvPicPr>
        <xdr:cNvPr id="4576" name="Picture 4575">
          <a:extLst>
            <a:ext uri="{FF2B5EF4-FFF2-40B4-BE49-F238E27FC236}">
              <a16:creationId xmlns:a16="http://schemas.microsoft.com/office/drawing/2014/main" id="{32FCCDE5-7780-4A3E-BB4B-CFA647833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25</xdr:row>
      <xdr:rowOff>0</xdr:rowOff>
    </xdr:from>
    <xdr:ext cx="304800" cy="303440"/>
    <xdr:sp macro="" textlink="">
      <xdr:nvSpPr>
        <xdr:cNvPr id="4577" name="AutoShape 211">
          <a:extLst>
            <a:ext uri="{FF2B5EF4-FFF2-40B4-BE49-F238E27FC236}">
              <a16:creationId xmlns:a16="http://schemas.microsoft.com/office/drawing/2014/main" id="{185FB667-C7E7-490F-867C-201C74E6FC2E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78" name="Picture 4577">
          <a:extLst>
            <a:ext uri="{FF2B5EF4-FFF2-40B4-BE49-F238E27FC236}">
              <a16:creationId xmlns:a16="http://schemas.microsoft.com/office/drawing/2014/main" id="{ABDB9EFB-421A-4289-BB12-1BB017F84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79" name="Picture 4578">
          <a:extLst>
            <a:ext uri="{FF2B5EF4-FFF2-40B4-BE49-F238E27FC236}">
              <a16:creationId xmlns:a16="http://schemas.microsoft.com/office/drawing/2014/main" id="{49D3BB23-DE5F-4549-9113-90AC52D55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80" name="Picture 4579">
          <a:extLst>
            <a:ext uri="{FF2B5EF4-FFF2-40B4-BE49-F238E27FC236}">
              <a16:creationId xmlns:a16="http://schemas.microsoft.com/office/drawing/2014/main" id="{256C1728-E836-459C-8E50-0351D3F50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81" name="Picture 4580">
          <a:extLst>
            <a:ext uri="{FF2B5EF4-FFF2-40B4-BE49-F238E27FC236}">
              <a16:creationId xmlns:a16="http://schemas.microsoft.com/office/drawing/2014/main" id="{6D24831B-5F81-495B-A844-11EEBEFA7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82" name="Picture 4581">
          <a:extLst>
            <a:ext uri="{FF2B5EF4-FFF2-40B4-BE49-F238E27FC236}">
              <a16:creationId xmlns:a16="http://schemas.microsoft.com/office/drawing/2014/main" id="{8D964B75-0829-4040-B984-E11960356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583" name="AutoShape 217">
          <a:extLst>
            <a:ext uri="{FF2B5EF4-FFF2-40B4-BE49-F238E27FC236}">
              <a16:creationId xmlns:a16="http://schemas.microsoft.com/office/drawing/2014/main" id="{94C16A4A-24F7-4126-A6FF-840B7FC7A39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84" name="Picture 4583">
          <a:extLst>
            <a:ext uri="{FF2B5EF4-FFF2-40B4-BE49-F238E27FC236}">
              <a16:creationId xmlns:a16="http://schemas.microsoft.com/office/drawing/2014/main" id="{419EB262-E3C9-4916-8ECF-F5099276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585" name="AutoShape 219">
          <a:extLst>
            <a:ext uri="{FF2B5EF4-FFF2-40B4-BE49-F238E27FC236}">
              <a16:creationId xmlns:a16="http://schemas.microsoft.com/office/drawing/2014/main" id="{BF939EF8-A2C6-4E32-994A-D8C88D2060B4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13</xdr:row>
      <xdr:rowOff>0</xdr:rowOff>
    </xdr:from>
    <xdr:ext cx="9525" cy="9525"/>
    <xdr:pic>
      <xdr:nvPicPr>
        <xdr:cNvPr id="4586" name="Picture 4585">
          <a:extLst>
            <a:ext uri="{FF2B5EF4-FFF2-40B4-BE49-F238E27FC236}">
              <a16:creationId xmlns:a16="http://schemas.microsoft.com/office/drawing/2014/main" id="{0E766E15-D7DA-443D-97E9-0401B622D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12</xdr:row>
      <xdr:rowOff>0</xdr:rowOff>
    </xdr:from>
    <xdr:ext cx="304800" cy="303439"/>
    <xdr:sp macro="" textlink="">
      <xdr:nvSpPr>
        <xdr:cNvPr id="4587" name="AutoShape 221">
          <a:extLst>
            <a:ext uri="{FF2B5EF4-FFF2-40B4-BE49-F238E27FC236}">
              <a16:creationId xmlns:a16="http://schemas.microsoft.com/office/drawing/2014/main" id="{1C83C59B-FE12-47DB-8346-C73F66B043CA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88" name="Picture 4587">
          <a:extLst>
            <a:ext uri="{FF2B5EF4-FFF2-40B4-BE49-F238E27FC236}">
              <a16:creationId xmlns:a16="http://schemas.microsoft.com/office/drawing/2014/main" id="{8DCC5748-5FFC-4342-9024-80851AC4F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13</xdr:row>
      <xdr:rowOff>0</xdr:rowOff>
    </xdr:from>
    <xdr:ext cx="304800" cy="304800"/>
    <xdr:sp macro="" textlink="">
      <xdr:nvSpPr>
        <xdr:cNvPr id="4589" name="AutoShape 223">
          <a:extLst>
            <a:ext uri="{FF2B5EF4-FFF2-40B4-BE49-F238E27FC236}">
              <a16:creationId xmlns:a16="http://schemas.microsoft.com/office/drawing/2014/main" id="{63A580D7-968E-4C05-AD16-EEC3D737D7CC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90" name="Picture 4589">
          <a:extLst>
            <a:ext uri="{FF2B5EF4-FFF2-40B4-BE49-F238E27FC236}">
              <a16:creationId xmlns:a16="http://schemas.microsoft.com/office/drawing/2014/main" id="{4EC1164F-CBF2-4BDD-9A05-B710A7298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27</xdr:row>
      <xdr:rowOff>0</xdr:rowOff>
    </xdr:from>
    <xdr:ext cx="9525" cy="9525"/>
    <xdr:pic>
      <xdr:nvPicPr>
        <xdr:cNvPr id="4591" name="Picture 4590">
          <a:extLst>
            <a:ext uri="{FF2B5EF4-FFF2-40B4-BE49-F238E27FC236}">
              <a16:creationId xmlns:a16="http://schemas.microsoft.com/office/drawing/2014/main" id="{C7E8AC39-DA1E-4466-89D0-89A39F0D3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3</xdr:row>
      <xdr:rowOff>0</xdr:rowOff>
    </xdr:from>
    <xdr:ext cx="9525" cy="9525"/>
    <xdr:pic>
      <xdr:nvPicPr>
        <xdr:cNvPr id="4592" name="Picture 4591">
          <a:extLst>
            <a:ext uri="{FF2B5EF4-FFF2-40B4-BE49-F238E27FC236}">
              <a16:creationId xmlns:a16="http://schemas.microsoft.com/office/drawing/2014/main" id="{A9934B16-4248-4569-8D73-A3B9D6809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</xdr:row>
      <xdr:rowOff>0</xdr:rowOff>
    </xdr:from>
    <xdr:ext cx="304800" cy="303439"/>
    <xdr:sp macro="" textlink="">
      <xdr:nvSpPr>
        <xdr:cNvPr id="4593" name="AutoShape 227">
          <a:extLst>
            <a:ext uri="{FF2B5EF4-FFF2-40B4-BE49-F238E27FC236}">
              <a16:creationId xmlns:a16="http://schemas.microsoft.com/office/drawing/2014/main" id="{CF330FA1-D226-4BBD-90C8-E7BD8F798482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</xdr:row>
      <xdr:rowOff>0</xdr:rowOff>
    </xdr:from>
    <xdr:ext cx="9525" cy="9525"/>
    <xdr:pic>
      <xdr:nvPicPr>
        <xdr:cNvPr id="4594" name="Picture 4593">
          <a:extLst>
            <a:ext uri="{FF2B5EF4-FFF2-40B4-BE49-F238E27FC236}">
              <a16:creationId xmlns:a16="http://schemas.microsoft.com/office/drawing/2014/main" id="{D7EA9FA0-65A8-4EC4-B191-2CC762EA1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9525" cy="9525"/>
    <xdr:pic>
      <xdr:nvPicPr>
        <xdr:cNvPr id="4595" name="Picture 4594">
          <a:extLst>
            <a:ext uri="{FF2B5EF4-FFF2-40B4-BE49-F238E27FC236}">
              <a16:creationId xmlns:a16="http://schemas.microsoft.com/office/drawing/2014/main" id="{92A843A3-D4A2-4EF6-B9B9-9D7BA704E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6</xdr:row>
      <xdr:rowOff>0</xdr:rowOff>
    </xdr:from>
    <xdr:ext cx="9525" cy="9525"/>
    <xdr:pic>
      <xdr:nvPicPr>
        <xdr:cNvPr id="4596" name="Picture 4595">
          <a:extLst>
            <a:ext uri="{FF2B5EF4-FFF2-40B4-BE49-F238E27FC236}">
              <a16:creationId xmlns:a16="http://schemas.microsoft.com/office/drawing/2014/main" id="{FC8CE101-9B60-41AC-A8E1-35F6E7316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304800" cy="304800"/>
    <xdr:sp macro="" textlink="">
      <xdr:nvSpPr>
        <xdr:cNvPr id="4597" name="AutoShape 231">
          <a:extLst>
            <a:ext uri="{FF2B5EF4-FFF2-40B4-BE49-F238E27FC236}">
              <a16:creationId xmlns:a16="http://schemas.microsoft.com/office/drawing/2014/main" id="{33F35687-D515-47FD-B32D-2CEE8BAD3B45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598" name="Picture 4597">
          <a:extLst>
            <a:ext uri="{FF2B5EF4-FFF2-40B4-BE49-F238E27FC236}">
              <a16:creationId xmlns:a16="http://schemas.microsoft.com/office/drawing/2014/main" id="{C96736D2-FF99-414C-8F75-3FD762C67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24</xdr:row>
      <xdr:rowOff>0</xdr:rowOff>
    </xdr:from>
    <xdr:ext cx="304800" cy="304800"/>
    <xdr:sp macro="" textlink="">
      <xdr:nvSpPr>
        <xdr:cNvPr id="4599" name="AutoShape 233">
          <a:extLst>
            <a:ext uri="{FF2B5EF4-FFF2-40B4-BE49-F238E27FC236}">
              <a16:creationId xmlns:a16="http://schemas.microsoft.com/office/drawing/2014/main" id="{63100BC8-5D86-44B7-926A-E4DC67C6AB9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26</xdr:row>
      <xdr:rowOff>0</xdr:rowOff>
    </xdr:from>
    <xdr:ext cx="9525" cy="9525"/>
    <xdr:pic>
      <xdr:nvPicPr>
        <xdr:cNvPr id="4600" name="Picture 4599">
          <a:extLst>
            <a:ext uri="{FF2B5EF4-FFF2-40B4-BE49-F238E27FC236}">
              <a16:creationId xmlns:a16="http://schemas.microsoft.com/office/drawing/2014/main" id="{2DF4E2E6-D72E-4148-A95D-5595EABA8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25</xdr:row>
      <xdr:rowOff>0</xdr:rowOff>
    </xdr:from>
    <xdr:ext cx="304800" cy="303440"/>
    <xdr:sp macro="" textlink="">
      <xdr:nvSpPr>
        <xdr:cNvPr id="4601" name="AutoShape 235">
          <a:extLst>
            <a:ext uri="{FF2B5EF4-FFF2-40B4-BE49-F238E27FC236}">
              <a16:creationId xmlns:a16="http://schemas.microsoft.com/office/drawing/2014/main" id="{0388C5B7-10A0-49F3-9294-F27E2DFD27B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02" name="Picture 4601">
          <a:extLst>
            <a:ext uri="{FF2B5EF4-FFF2-40B4-BE49-F238E27FC236}">
              <a16:creationId xmlns:a16="http://schemas.microsoft.com/office/drawing/2014/main" id="{1F0B1F2E-424D-4528-9C5E-DEC7ACDC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03" name="Picture 4602">
          <a:extLst>
            <a:ext uri="{FF2B5EF4-FFF2-40B4-BE49-F238E27FC236}">
              <a16:creationId xmlns:a16="http://schemas.microsoft.com/office/drawing/2014/main" id="{F15E256D-A589-45A2-AFC8-5E6BE5F3C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04" name="Picture 4603">
          <a:extLst>
            <a:ext uri="{FF2B5EF4-FFF2-40B4-BE49-F238E27FC236}">
              <a16:creationId xmlns:a16="http://schemas.microsoft.com/office/drawing/2014/main" id="{ED40969E-D2E2-439A-8A27-85CAE2576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05" name="Picture 4604">
          <a:extLst>
            <a:ext uri="{FF2B5EF4-FFF2-40B4-BE49-F238E27FC236}">
              <a16:creationId xmlns:a16="http://schemas.microsoft.com/office/drawing/2014/main" id="{3D32DC7F-7DEC-4CF8-85B2-35876827E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06" name="Picture 4605">
          <a:extLst>
            <a:ext uri="{FF2B5EF4-FFF2-40B4-BE49-F238E27FC236}">
              <a16:creationId xmlns:a16="http://schemas.microsoft.com/office/drawing/2014/main" id="{D53A6196-065C-4DAE-9EC2-3662DA51E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607" name="AutoShape 241">
          <a:extLst>
            <a:ext uri="{FF2B5EF4-FFF2-40B4-BE49-F238E27FC236}">
              <a16:creationId xmlns:a16="http://schemas.microsoft.com/office/drawing/2014/main" id="{8A7B10EE-7E82-4C4D-BF9A-D82E4F295D2F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08" name="Picture 4607">
          <a:extLst>
            <a:ext uri="{FF2B5EF4-FFF2-40B4-BE49-F238E27FC236}">
              <a16:creationId xmlns:a16="http://schemas.microsoft.com/office/drawing/2014/main" id="{66986959-723B-4343-859F-87234CA74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609" name="AutoShape 243">
          <a:extLst>
            <a:ext uri="{FF2B5EF4-FFF2-40B4-BE49-F238E27FC236}">
              <a16:creationId xmlns:a16="http://schemas.microsoft.com/office/drawing/2014/main" id="{4B56F193-193C-4211-AAF3-74C39B689728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13</xdr:row>
      <xdr:rowOff>0</xdr:rowOff>
    </xdr:from>
    <xdr:ext cx="9525" cy="9525"/>
    <xdr:pic>
      <xdr:nvPicPr>
        <xdr:cNvPr id="4610" name="Picture 4609">
          <a:extLst>
            <a:ext uri="{FF2B5EF4-FFF2-40B4-BE49-F238E27FC236}">
              <a16:creationId xmlns:a16="http://schemas.microsoft.com/office/drawing/2014/main" id="{A8C08029-A1C3-489C-9BD6-3443EFB7F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12</xdr:row>
      <xdr:rowOff>0</xdr:rowOff>
    </xdr:from>
    <xdr:ext cx="304800" cy="303439"/>
    <xdr:sp macro="" textlink="">
      <xdr:nvSpPr>
        <xdr:cNvPr id="4611" name="AutoShape 245">
          <a:extLst>
            <a:ext uri="{FF2B5EF4-FFF2-40B4-BE49-F238E27FC236}">
              <a16:creationId xmlns:a16="http://schemas.microsoft.com/office/drawing/2014/main" id="{76064F41-9C10-4F05-9FB0-394222A5A81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12" name="Picture 4611">
          <a:extLst>
            <a:ext uri="{FF2B5EF4-FFF2-40B4-BE49-F238E27FC236}">
              <a16:creationId xmlns:a16="http://schemas.microsoft.com/office/drawing/2014/main" id="{6891054D-82B2-48F4-83E5-E29471E2E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13</xdr:row>
      <xdr:rowOff>0</xdr:rowOff>
    </xdr:from>
    <xdr:ext cx="304800" cy="304800"/>
    <xdr:sp macro="" textlink="">
      <xdr:nvSpPr>
        <xdr:cNvPr id="4613" name="AutoShape 247">
          <a:extLst>
            <a:ext uri="{FF2B5EF4-FFF2-40B4-BE49-F238E27FC236}">
              <a16:creationId xmlns:a16="http://schemas.microsoft.com/office/drawing/2014/main" id="{BDBECF8B-50CF-4357-8AA6-650195731BD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14" name="Picture 4613">
          <a:extLst>
            <a:ext uri="{FF2B5EF4-FFF2-40B4-BE49-F238E27FC236}">
              <a16:creationId xmlns:a16="http://schemas.microsoft.com/office/drawing/2014/main" id="{38173B15-F517-4303-8047-52DD83C2C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3440"/>
    <xdr:sp macro="" textlink="">
      <xdr:nvSpPr>
        <xdr:cNvPr id="4615" name="AutoShape 249">
          <a:extLst>
            <a:ext uri="{FF2B5EF4-FFF2-40B4-BE49-F238E27FC236}">
              <a16:creationId xmlns:a16="http://schemas.microsoft.com/office/drawing/2014/main" id="{F74B4069-8B4A-450A-88AA-FEF047B6EEEC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27</xdr:row>
      <xdr:rowOff>0</xdr:rowOff>
    </xdr:from>
    <xdr:ext cx="9525" cy="9525"/>
    <xdr:pic>
      <xdr:nvPicPr>
        <xdr:cNvPr id="4616" name="Picture 4615">
          <a:extLst>
            <a:ext uri="{FF2B5EF4-FFF2-40B4-BE49-F238E27FC236}">
              <a16:creationId xmlns:a16="http://schemas.microsoft.com/office/drawing/2014/main" id="{CCD5485F-A98D-4829-B62D-79F957901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17" name="Picture 4616">
          <a:extLst>
            <a:ext uri="{FF2B5EF4-FFF2-40B4-BE49-F238E27FC236}">
              <a16:creationId xmlns:a16="http://schemas.microsoft.com/office/drawing/2014/main" id="{F0CC97A9-3D26-45EB-BE34-AB5173929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3</xdr:row>
      <xdr:rowOff>0</xdr:rowOff>
    </xdr:from>
    <xdr:ext cx="9525" cy="9525"/>
    <xdr:pic>
      <xdr:nvPicPr>
        <xdr:cNvPr id="4618" name="Picture 4617">
          <a:extLst>
            <a:ext uri="{FF2B5EF4-FFF2-40B4-BE49-F238E27FC236}">
              <a16:creationId xmlns:a16="http://schemas.microsoft.com/office/drawing/2014/main" id="{41AE5834-45E5-46C6-BFEF-7BC6AF869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</xdr:row>
      <xdr:rowOff>0</xdr:rowOff>
    </xdr:from>
    <xdr:ext cx="304800" cy="303439"/>
    <xdr:sp macro="" textlink="">
      <xdr:nvSpPr>
        <xdr:cNvPr id="4619" name="AutoShape 253">
          <a:extLst>
            <a:ext uri="{FF2B5EF4-FFF2-40B4-BE49-F238E27FC236}">
              <a16:creationId xmlns:a16="http://schemas.microsoft.com/office/drawing/2014/main" id="{B5D2E013-E10A-488C-AE64-2995F4DC09C5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</xdr:row>
      <xdr:rowOff>0</xdr:rowOff>
    </xdr:from>
    <xdr:ext cx="9525" cy="9525"/>
    <xdr:pic>
      <xdr:nvPicPr>
        <xdr:cNvPr id="4620" name="Picture 4619">
          <a:extLst>
            <a:ext uri="{FF2B5EF4-FFF2-40B4-BE49-F238E27FC236}">
              <a16:creationId xmlns:a16="http://schemas.microsoft.com/office/drawing/2014/main" id="{781ADD0F-F5E7-4850-82F3-34D207FF7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9525" cy="9525"/>
    <xdr:pic>
      <xdr:nvPicPr>
        <xdr:cNvPr id="4621" name="Picture 4620">
          <a:extLst>
            <a:ext uri="{FF2B5EF4-FFF2-40B4-BE49-F238E27FC236}">
              <a16:creationId xmlns:a16="http://schemas.microsoft.com/office/drawing/2014/main" id="{CCC13BAC-4CA4-4C3D-B623-C3A7A7F53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6</xdr:row>
      <xdr:rowOff>0</xdr:rowOff>
    </xdr:from>
    <xdr:ext cx="9525" cy="9525"/>
    <xdr:pic>
      <xdr:nvPicPr>
        <xdr:cNvPr id="4622" name="Picture 4621">
          <a:extLst>
            <a:ext uri="{FF2B5EF4-FFF2-40B4-BE49-F238E27FC236}">
              <a16:creationId xmlns:a16="http://schemas.microsoft.com/office/drawing/2014/main" id="{7BAD8FC9-C2EC-472B-BFAE-FF9F577CA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304800" cy="304800"/>
    <xdr:sp macro="" textlink="">
      <xdr:nvSpPr>
        <xdr:cNvPr id="4623" name="AutoShape 257">
          <a:extLst>
            <a:ext uri="{FF2B5EF4-FFF2-40B4-BE49-F238E27FC236}">
              <a16:creationId xmlns:a16="http://schemas.microsoft.com/office/drawing/2014/main" id="{03B08B8A-BED8-486D-97E2-17760AC440B3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24" name="Picture 4623">
          <a:extLst>
            <a:ext uri="{FF2B5EF4-FFF2-40B4-BE49-F238E27FC236}">
              <a16:creationId xmlns:a16="http://schemas.microsoft.com/office/drawing/2014/main" id="{D0CE49C5-50A4-4C81-A7A3-CC9D48ED4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24</xdr:row>
      <xdr:rowOff>0</xdr:rowOff>
    </xdr:from>
    <xdr:ext cx="304800" cy="304800"/>
    <xdr:sp macro="" textlink="">
      <xdr:nvSpPr>
        <xdr:cNvPr id="4625" name="AutoShape 259">
          <a:extLst>
            <a:ext uri="{FF2B5EF4-FFF2-40B4-BE49-F238E27FC236}">
              <a16:creationId xmlns:a16="http://schemas.microsoft.com/office/drawing/2014/main" id="{C1C0820D-21C9-40F3-80D7-89F5D5936C0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26</xdr:row>
      <xdr:rowOff>0</xdr:rowOff>
    </xdr:from>
    <xdr:ext cx="9525" cy="9525"/>
    <xdr:pic>
      <xdr:nvPicPr>
        <xdr:cNvPr id="4626" name="Picture 4625">
          <a:extLst>
            <a:ext uri="{FF2B5EF4-FFF2-40B4-BE49-F238E27FC236}">
              <a16:creationId xmlns:a16="http://schemas.microsoft.com/office/drawing/2014/main" id="{64D8FBC7-EDCB-4E96-9400-321D69A5E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25</xdr:row>
      <xdr:rowOff>0</xdr:rowOff>
    </xdr:from>
    <xdr:ext cx="304800" cy="303440"/>
    <xdr:sp macro="" textlink="">
      <xdr:nvSpPr>
        <xdr:cNvPr id="4627" name="AutoShape 261">
          <a:extLst>
            <a:ext uri="{FF2B5EF4-FFF2-40B4-BE49-F238E27FC236}">
              <a16:creationId xmlns:a16="http://schemas.microsoft.com/office/drawing/2014/main" id="{5487E3D9-4797-412D-814C-2EDC3609E9A2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28" name="Picture 4627">
          <a:extLst>
            <a:ext uri="{FF2B5EF4-FFF2-40B4-BE49-F238E27FC236}">
              <a16:creationId xmlns:a16="http://schemas.microsoft.com/office/drawing/2014/main" id="{68DF6F01-CDE7-42C1-A293-AE5B641C9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29" name="Picture 4628">
          <a:extLst>
            <a:ext uri="{FF2B5EF4-FFF2-40B4-BE49-F238E27FC236}">
              <a16:creationId xmlns:a16="http://schemas.microsoft.com/office/drawing/2014/main" id="{1B3F5B02-0476-46EE-83DC-5B22C2DB7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30" name="Picture 4629">
          <a:extLst>
            <a:ext uri="{FF2B5EF4-FFF2-40B4-BE49-F238E27FC236}">
              <a16:creationId xmlns:a16="http://schemas.microsoft.com/office/drawing/2014/main" id="{42776E67-4C1A-4427-8771-CB3BBFB79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31" name="Picture 4630">
          <a:extLst>
            <a:ext uri="{FF2B5EF4-FFF2-40B4-BE49-F238E27FC236}">
              <a16:creationId xmlns:a16="http://schemas.microsoft.com/office/drawing/2014/main" id="{FA4CE8C4-397F-48F2-8DAE-EF945B1AA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32" name="Picture 4631">
          <a:extLst>
            <a:ext uri="{FF2B5EF4-FFF2-40B4-BE49-F238E27FC236}">
              <a16:creationId xmlns:a16="http://schemas.microsoft.com/office/drawing/2014/main" id="{C0AD63B8-A985-4178-BAB2-6F204706C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633" name="AutoShape 267">
          <a:extLst>
            <a:ext uri="{FF2B5EF4-FFF2-40B4-BE49-F238E27FC236}">
              <a16:creationId xmlns:a16="http://schemas.microsoft.com/office/drawing/2014/main" id="{6CD7C56C-B20C-4A1E-AD0D-82AA145C34CD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34" name="Picture 4633">
          <a:extLst>
            <a:ext uri="{FF2B5EF4-FFF2-40B4-BE49-F238E27FC236}">
              <a16:creationId xmlns:a16="http://schemas.microsoft.com/office/drawing/2014/main" id="{1672424E-F964-49AA-879B-9A464B5F4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635" name="AutoShape 269">
          <a:extLst>
            <a:ext uri="{FF2B5EF4-FFF2-40B4-BE49-F238E27FC236}">
              <a16:creationId xmlns:a16="http://schemas.microsoft.com/office/drawing/2014/main" id="{4ACF6883-7704-4866-99F6-9E2A91521EF6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13</xdr:row>
      <xdr:rowOff>0</xdr:rowOff>
    </xdr:from>
    <xdr:ext cx="9525" cy="9525"/>
    <xdr:pic>
      <xdr:nvPicPr>
        <xdr:cNvPr id="4636" name="Picture 4635">
          <a:extLst>
            <a:ext uri="{FF2B5EF4-FFF2-40B4-BE49-F238E27FC236}">
              <a16:creationId xmlns:a16="http://schemas.microsoft.com/office/drawing/2014/main" id="{8ED56C8B-B7D3-4934-A8BF-2BB5A52DA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12</xdr:row>
      <xdr:rowOff>0</xdr:rowOff>
    </xdr:from>
    <xdr:ext cx="304800" cy="303439"/>
    <xdr:sp macro="" textlink="">
      <xdr:nvSpPr>
        <xdr:cNvPr id="4637" name="AutoShape 271">
          <a:extLst>
            <a:ext uri="{FF2B5EF4-FFF2-40B4-BE49-F238E27FC236}">
              <a16:creationId xmlns:a16="http://schemas.microsoft.com/office/drawing/2014/main" id="{86BFEF98-78E7-48CD-8494-378396C5A9FC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38" name="Picture 4637">
          <a:extLst>
            <a:ext uri="{FF2B5EF4-FFF2-40B4-BE49-F238E27FC236}">
              <a16:creationId xmlns:a16="http://schemas.microsoft.com/office/drawing/2014/main" id="{AA9AFD81-FF61-499B-AA95-699FCA34B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13</xdr:row>
      <xdr:rowOff>0</xdr:rowOff>
    </xdr:from>
    <xdr:ext cx="304800" cy="304800"/>
    <xdr:sp macro="" textlink="">
      <xdr:nvSpPr>
        <xdr:cNvPr id="4639" name="AutoShape 273">
          <a:extLst>
            <a:ext uri="{FF2B5EF4-FFF2-40B4-BE49-F238E27FC236}">
              <a16:creationId xmlns:a16="http://schemas.microsoft.com/office/drawing/2014/main" id="{2C40651D-943F-4EE6-8D9B-470F621FC80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40" name="Picture 4639">
          <a:extLst>
            <a:ext uri="{FF2B5EF4-FFF2-40B4-BE49-F238E27FC236}">
              <a16:creationId xmlns:a16="http://schemas.microsoft.com/office/drawing/2014/main" id="{8617444F-E5E8-4054-BC89-822E7E9D1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3440"/>
    <xdr:sp macro="" textlink="">
      <xdr:nvSpPr>
        <xdr:cNvPr id="4641" name="AutoShape 275">
          <a:extLst>
            <a:ext uri="{FF2B5EF4-FFF2-40B4-BE49-F238E27FC236}">
              <a16:creationId xmlns:a16="http://schemas.microsoft.com/office/drawing/2014/main" id="{B34763DF-02AE-4724-A082-83D5918A96C5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27</xdr:row>
      <xdr:rowOff>0</xdr:rowOff>
    </xdr:from>
    <xdr:ext cx="9525" cy="9525"/>
    <xdr:pic>
      <xdr:nvPicPr>
        <xdr:cNvPr id="4642" name="Picture 4641">
          <a:extLst>
            <a:ext uri="{FF2B5EF4-FFF2-40B4-BE49-F238E27FC236}">
              <a16:creationId xmlns:a16="http://schemas.microsoft.com/office/drawing/2014/main" id="{2F324C0A-B392-4425-8CC2-55F8AB72A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43" name="Picture 4642">
          <a:extLst>
            <a:ext uri="{FF2B5EF4-FFF2-40B4-BE49-F238E27FC236}">
              <a16:creationId xmlns:a16="http://schemas.microsoft.com/office/drawing/2014/main" id="{170A7D94-A4D2-4C58-9C75-E478DF69F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3</xdr:row>
      <xdr:rowOff>0</xdr:rowOff>
    </xdr:from>
    <xdr:ext cx="9525" cy="9525"/>
    <xdr:pic>
      <xdr:nvPicPr>
        <xdr:cNvPr id="4644" name="Picture 4643">
          <a:extLst>
            <a:ext uri="{FF2B5EF4-FFF2-40B4-BE49-F238E27FC236}">
              <a16:creationId xmlns:a16="http://schemas.microsoft.com/office/drawing/2014/main" id="{3BA1B212-C642-41A0-B340-CD90D871D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</xdr:row>
      <xdr:rowOff>0</xdr:rowOff>
    </xdr:from>
    <xdr:ext cx="304800" cy="303439"/>
    <xdr:sp macro="" textlink="">
      <xdr:nvSpPr>
        <xdr:cNvPr id="4645" name="AutoShape 305">
          <a:extLst>
            <a:ext uri="{FF2B5EF4-FFF2-40B4-BE49-F238E27FC236}">
              <a16:creationId xmlns:a16="http://schemas.microsoft.com/office/drawing/2014/main" id="{06C871C2-8232-490E-A8F6-294A6C0288B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</xdr:row>
      <xdr:rowOff>0</xdr:rowOff>
    </xdr:from>
    <xdr:ext cx="9525" cy="9525"/>
    <xdr:pic>
      <xdr:nvPicPr>
        <xdr:cNvPr id="4646" name="Picture 4645">
          <a:extLst>
            <a:ext uri="{FF2B5EF4-FFF2-40B4-BE49-F238E27FC236}">
              <a16:creationId xmlns:a16="http://schemas.microsoft.com/office/drawing/2014/main" id="{58368E5D-3746-430C-8BA7-4D80C01A8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9525" cy="9525"/>
    <xdr:pic>
      <xdr:nvPicPr>
        <xdr:cNvPr id="4647" name="Picture 4646">
          <a:extLst>
            <a:ext uri="{FF2B5EF4-FFF2-40B4-BE49-F238E27FC236}">
              <a16:creationId xmlns:a16="http://schemas.microsoft.com/office/drawing/2014/main" id="{F84EABA2-E35D-4E76-A316-7B9584AD7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6</xdr:row>
      <xdr:rowOff>0</xdr:rowOff>
    </xdr:from>
    <xdr:ext cx="9525" cy="9525"/>
    <xdr:pic>
      <xdr:nvPicPr>
        <xdr:cNvPr id="4648" name="Picture 4647">
          <a:extLst>
            <a:ext uri="{FF2B5EF4-FFF2-40B4-BE49-F238E27FC236}">
              <a16:creationId xmlns:a16="http://schemas.microsoft.com/office/drawing/2014/main" id="{9A0BE544-AFFE-4CFB-A97B-460B9795C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304800" cy="304800"/>
    <xdr:sp macro="" textlink="">
      <xdr:nvSpPr>
        <xdr:cNvPr id="4649" name="AutoShape 309">
          <a:extLst>
            <a:ext uri="{FF2B5EF4-FFF2-40B4-BE49-F238E27FC236}">
              <a16:creationId xmlns:a16="http://schemas.microsoft.com/office/drawing/2014/main" id="{4BA47108-489B-436E-90FD-42FBD27AAC6F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50" name="Picture 4649">
          <a:extLst>
            <a:ext uri="{FF2B5EF4-FFF2-40B4-BE49-F238E27FC236}">
              <a16:creationId xmlns:a16="http://schemas.microsoft.com/office/drawing/2014/main" id="{95A15202-BD51-4622-BB22-640D19EEE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24</xdr:row>
      <xdr:rowOff>0</xdr:rowOff>
    </xdr:from>
    <xdr:ext cx="304800" cy="304800"/>
    <xdr:sp macro="" textlink="">
      <xdr:nvSpPr>
        <xdr:cNvPr id="4651" name="AutoShape 311">
          <a:extLst>
            <a:ext uri="{FF2B5EF4-FFF2-40B4-BE49-F238E27FC236}">
              <a16:creationId xmlns:a16="http://schemas.microsoft.com/office/drawing/2014/main" id="{F5F478B2-B701-4503-A5E0-67ADEFA2EB5D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26</xdr:row>
      <xdr:rowOff>0</xdr:rowOff>
    </xdr:from>
    <xdr:ext cx="9525" cy="9525"/>
    <xdr:pic>
      <xdr:nvPicPr>
        <xdr:cNvPr id="4652" name="Picture 4651">
          <a:extLst>
            <a:ext uri="{FF2B5EF4-FFF2-40B4-BE49-F238E27FC236}">
              <a16:creationId xmlns:a16="http://schemas.microsoft.com/office/drawing/2014/main" id="{C92C233F-919F-41C2-8B8B-41F003974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25</xdr:row>
      <xdr:rowOff>0</xdr:rowOff>
    </xdr:from>
    <xdr:ext cx="304800" cy="303440"/>
    <xdr:sp macro="" textlink="">
      <xdr:nvSpPr>
        <xdr:cNvPr id="4653" name="AutoShape 313">
          <a:extLst>
            <a:ext uri="{FF2B5EF4-FFF2-40B4-BE49-F238E27FC236}">
              <a16:creationId xmlns:a16="http://schemas.microsoft.com/office/drawing/2014/main" id="{90251687-61F8-466E-BFFC-8E10626D9FA1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54" name="Picture 4653">
          <a:extLst>
            <a:ext uri="{FF2B5EF4-FFF2-40B4-BE49-F238E27FC236}">
              <a16:creationId xmlns:a16="http://schemas.microsoft.com/office/drawing/2014/main" id="{2BEC68B3-B53E-43CE-A9CA-A4C7E8000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55" name="Picture 4654">
          <a:extLst>
            <a:ext uri="{FF2B5EF4-FFF2-40B4-BE49-F238E27FC236}">
              <a16:creationId xmlns:a16="http://schemas.microsoft.com/office/drawing/2014/main" id="{FCDDF2D5-20F0-4271-8030-9C4AA63A6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56" name="Picture 4655">
          <a:extLst>
            <a:ext uri="{FF2B5EF4-FFF2-40B4-BE49-F238E27FC236}">
              <a16:creationId xmlns:a16="http://schemas.microsoft.com/office/drawing/2014/main" id="{FA723468-FD0E-48BA-A046-BF9CF6311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57" name="Picture 4656">
          <a:extLst>
            <a:ext uri="{FF2B5EF4-FFF2-40B4-BE49-F238E27FC236}">
              <a16:creationId xmlns:a16="http://schemas.microsoft.com/office/drawing/2014/main" id="{A12DF0C1-F379-402E-AE0F-B70402C4B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58" name="Picture 4657">
          <a:extLst>
            <a:ext uri="{FF2B5EF4-FFF2-40B4-BE49-F238E27FC236}">
              <a16:creationId xmlns:a16="http://schemas.microsoft.com/office/drawing/2014/main" id="{D9A3B4D5-1668-4ED3-BB7E-C304166E4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659" name="AutoShape 319">
          <a:extLst>
            <a:ext uri="{FF2B5EF4-FFF2-40B4-BE49-F238E27FC236}">
              <a16:creationId xmlns:a16="http://schemas.microsoft.com/office/drawing/2014/main" id="{803E9749-26CF-4C0C-B380-FF5B196168C3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60" name="Picture 4659">
          <a:extLst>
            <a:ext uri="{FF2B5EF4-FFF2-40B4-BE49-F238E27FC236}">
              <a16:creationId xmlns:a16="http://schemas.microsoft.com/office/drawing/2014/main" id="{335DC2E7-C64C-4287-8267-CCD951291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661" name="AutoShape 321">
          <a:extLst>
            <a:ext uri="{FF2B5EF4-FFF2-40B4-BE49-F238E27FC236}">
              <a16:creationId xmlns:a16="http://schemas.microsoft.com/office/drawing/2014/main" id="{B81F9101-F7F9-47B0-914E-5F436D8B52D3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13</xdr:row>
      <xdr:rowOff>0</xdr:rowOff>
    </xdr:from>
    <xdr:ext cx="9525" cy="9525"/>
    <xdr:pic>
      <xdr:nvPicPr>
        <xdr:cNvPr id="4662" name="Picture 4661">
          <a:extLst>
            <a:ext uri="{FF2B5EF4-FFF2-40B4-BE49-F238E27FC236}">
              <a16:creationId xmlns:a16="http://schemas.microsoft.com/office/drawing/2014/main" id="{EB7C3B80-ECA3-47A9-B9AD-E4BD898AF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12</xdr:row>
      <xdr:rowOff>0</xdr:rowOff>
    </xdr:from>
    <xdr:ext cx="304800" cy="303439"/>
    <xdr:sp macro="" textlink="">
      <xdr:nvSpPr>
        <xdr:cNvPr id="4663" name="AutoShape 323">
          <a:extLst>
            <a:ext uri="{FF2B5EF4-FFF2-40B4-BE49-F238E27FC236}">
              <a16:creationId xmlns:a16="http://schemas.microsoft.com/office/drawing/2014/main" id="{9EB9374A-E000-461E-92CB-6DD9F55C72C7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64" name="Picture 4663">
          <a:extLst>
            <a:ext uri="{FF2B5EF4-FFF2-40B4-BE49-F238E27FC236}">
              <a16:creationId xmlns:a16="http://schemas.microsoft.com/office/drawing/2014/main" id="{3543711B-D96E-4E1A-807F-20DA38795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13</xdr:row>
      <xdr:rowOff>0</xdr:rowOff>
    </xdr:from>
    <xdr:ext cx="304800" cy="304800"/>
    <xdr:sp macro="" textlink="">
      <xdr:nvSpPr>
        <xdr:cNvPr id="4665" name="AutoShape 325">
          <a:extLst>
            <a:ext uri="{FF2B5EF4-FFF2-40B4-BE49-F238E27FC236}">
              <a16:creationId xmlns:a16="http://schemas.microsoft.com/office/drawing/2014/main" id="{A9BCB0F0-C05B-455A-BA78-C7999E14E8CD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66" name="Picture 4665">
          <a:extLst>
            <a:ext uri="{FF2B5EF4-FFF2-40B4-BE49-F238E27FC236}">
              <a16:creationId xmlns:a16="http://schemas.microsoft.com/office/drawing/2014/main" id="{096E6F6B-5D65-4488-97FB-F21B392DF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3440"/>
    <xdr:sp macro="" textlink="">
      <xdr:nvSpPr>
        <xdr:cNvPr id="4667" name="AutoShape 327">
          <a:extLst>
            <a:ext uri="{FF2B5EF4-FFF2-40B4-BE49-F238E27FC236}">
              <a16:creationId xmlns:a16="http://schemas.microsoft.com/office/drawing/2014/main" id="{2DD3BC43-950A-43E1-8282-1CC8FCAD6C71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27</xdr:row>
      <xdr:rowOff>0</xdr:rowOff>
    </xdr:from>
    <xdr:ext cx="9525" cy="9525"/>
    <xdr:pic>
      <xdr:nvPicPr>
        <xdr:cNvPr id="4668" name="Picture 4667">
          <a:extLst>
            <a:ext uri="{FF2B5EF4-FFF2-40B4-BE49-F238E27FC236}">
              <a16:creationId xmlns:a16="http://schemas.microsoft.com/office/drawing/2014/main" id="{CA82BC0F-C901-41FB-9772-640BA5FF5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69" name="Picture 4668">
          <a:extLst>
            <a:ext uri="{FF2B5EF4-FFF2-40B4-BE49-F238E27FC236}">
              <a16:creationId xmlns:a16="http://schemas.microsoft.com/office/drawing/2014/main" id="{A489CFE8-6048-4225-BE7D-01B2B5A65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3</xdr:row>
      <xdr:rowOff>0</xdr:rowOff>
    </xdr:from>
    <xdr:ext cx="9525" cy="9525"/>
    <xdr:pic>
      <xdr:nvPicPr>
        <xdr:cNvPr id="4670" name="Picture 4669">
          <a:extLst>
            <a:ext uri="{FF2B5EF4-FFF2-40B4-BE49-F238E27FC236}">
              <a16:creationId xmlns:a16="http://schemas.microsoft.com/office/drawing/2014/main" id="{8453DB6C-9A02-4D3D-81B3-5C2853D48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</xdr:row>
      <xdr:rowOff>0</xdr:rowOff>
    </xdr:from>
    <xdr:ext cx="304800" cy="303439"/>
    <xdr:sp macro="" textlink="">
      <xdr:nvSpPr>
        <xdr:cNvPr id="4671" name="AutoShape 357">
          <a:extLst>
            <a:ext uri="{FF2B5EF4-FFF2-40B4-BE49-F238E27FC236}">
              <a16:creationId xmlns:a16="http://schemas.microsoft.com/office/drawing/2014/main" id="{D365E337-4D41-49A9-9880-3F7F764768AE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</xdr:row>
      <xdr:rowOff>0</xdr:rowOff>
    </xdr:from>
    <xdr:ext cx="9525" cy="9525"/>
    <xdr:pic>
      <xdr:nvPicPr>
        <xdr:cNvPr id="4672" name="Picture 4671">
          <a:extLst>
            <a:ext uri="{FF2B5EF4-FFF2-40B4-BE49-F238E27FC236}">
              <a16:creationId xmlns:a16="http://schemas.microsoft.com/office/drawing/2014/main" id="{03E4100A-6FCC-42FB-8DEC-CCBE1AC6D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9525" cy="9525"/>
    <xdr:pic>
      <xdr:nvPicPr>
        <xdr:cNvPr id="4673" name="Picture 4672">
          <a:extLst>
            <a:ext uri="{FF2B5EF4-FFF2-40B4-BE49-F238E27FC236}">
              <a16:creationId xmlns:a16="http://schemas.microsoft.com/office/drawing/2014/main" id="{DC69DA25-AE9C-47AF-B3EF-4A87026CB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6</xdr:row>
      <xdr:rowOff>0</xdr:rowOff>
    </xdr:from>
    <xdr:ext cx="9525" cy="9525"/>
    <xdr:pic>
      <xdr:nvPicPr>
        <xdr:cNvPr id="4674" name="Picture 4673">
          <a:extLst>
            <a:ext uri="{FF2B5EF4-FFF2-40B4-BE49-F238E27FC236}">
              <a16:creationId xmlns:a16="http://schemas.microsoft.com/office/drawing/2014/main" id="{CE511E5D-0B81-4D6C-ACA0-73CA16E66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304800" cy="304800"/>
    <xdr:sp macro="" textlink="">
      <xdr:nvSpPr>
        <xdr:cNvPr id="4675" name="AutoShape 361">
          <a:extLst>
            <a:ext uri="{FF2B5EF4-FFF2-40B4-BE49-F238E27FC236}">
              <a16:creationId xmlns:a16="http://schemas.microsoft.com/office/drawing/2014/main" id="{F4B6416D-50E5-4117-AFE7-8BB243A0985F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76" name="Picture 4675">
          <a:extLst>
            <a:ext uri="{FF2B5EF4-FFF2-40B4-BE49-F238E27FC236}">
              <a16:creationId xmlns:a16="http://schemas.microsoft.com/office/drawing/2014/main" id="{942332C3-0E6D-4F7B-83F6-B4925B839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24</xdr:row>
      <xdr:rowOff>0</xdr:rowOff>
    </xdr:from>
    <xdr:ext cx="304800" cy="304800"/>
    <xdr:sp macro="" textlink="">
      <xdr:nvSpPr>
        <xdr:cNvPr id="4677" name="AutoShape 363">
          <a:extLst>
            <a:ext uri="{FF2B5EF4-FFF2-40B4-BE49-F238E27FC236}">
              <a16:creationId xmlns:a16="http://schemas.microsoft.com/office/drawing/2014/main" id="{4A299EB8-AB35-48B7-9727-022C772323AF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26</xdr:row>
      <xdr:rowOff>0</xdr:rowOff>
    </xdr:from>
    <xdr:ext cx="9525" cy="9525"/>
    <xdr:pic>
      <xdr:nvPicPr>
        <xdr:cNvPr id="4678" name="Picture 4677">
          <a:extLst>
            <a:ext uri="{FF2B5EF4-FFF2-40B4-BE49-F238E27FC236}">
              <a16:creationId xmlns:a16="http://schemas.microsoft.com/office/drawing/2014/main" id="{9BBA4887-1C6E-4EC9-BF0C-11F7D44A1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25</xdr:row>
      <xdr:rowOff>0</xdr:rowOff>
    </xdr:from>
    <xdr:ext cx="304800" cy="303440"/>
    <xdr:sp macro="" textlink="">
      <xdr:nvSpPr>
        <xdr:cNvPr id="4679" name="AutoShape 365">
          <a:extLst>
            <a:ext uri="{FF2B5EF4-FFF2-40B4-BE49-F238E27FC236}">
              <a16:creationId xmlns:a16="http://schemas.microsoft.com/office/drawing/2014/main" id="{D20D18AE-B26A-4DDB-A5FF-AD01A2FFC3C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80" name="Picture 4679">
          <a:extLst>
            <a:ext uri="{FF2B5EF4-FFF2-40B4-BE49-F238E27FC236}">
              <a16:creationId xmlns:a16="http://schemas.microsoft.com/office/drawing/2014/main" id="{63589C67-E61A-4861-A768-BBD8823E7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81" name="Picture 4680">
          <a:extLst>
            <a:ext uri="{FF2B5EF4-FFF2-40B4-BE49-F238E27FC236}">
              <a16:creationId xmlns:a16="http://schemas.microsoft.com/office/drawing/2014/main" id="{1A37CEDA-E06C-4E8D-A5B6-5B6753A8E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82" name="Picture 4681">
          <a:extLst>
            <a:ext uri="{FF2B5EF4-FFF2-40B4-BE49-F238E27FC236}">
              <a16:creationId xmlns:a16="http://schemas.microsoft.com/office/drawing/2014/main" id="{D0AFE581-72D2-419E-9B67-88BDDC5C1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83" name="Picture 4682">
          <a:extLst>
            <a:ext uri="{FF2B5EF4-FFF2-40B4-BE49-F238E27FC236}">
              <a16:creationId xmlns:a16="http://schemas.microsoft.com/office/drawing/2014/main" id="{BD580033-A0DA-4179-B1A3-559D81355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84" name="Picture 4683">
          <a:extLst>
            <a:ext uri="{FF2B5EF4-FFF2-40B4-BE49-F238E27FC236}">
              <a16:creationId xmlns:a16="http://schemas.microsoft.com/office/drawing/2014/main" id="{C62B40EA-CB12-453C-9ACB-97B5C3903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685" name="AutoShape 371">
          <a:extLst>
            <a:ext uri="{FF2B5EF4-FFF2-40B4-BE49-F238E27FC236}">
              <a16:creationId xmlns:a16="http://schemas.microsoft.com/office/drawing/2014/main" id="{4DEE2B5B-F48D-473F-B44E-2424C9E2110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86" name="Picture 4685">
          <a:extLst>
            <a:ext uri="{FF2B5EF4-FFF2-40B4-BE49-F238E27FC236}">
              <a16:creationId xmlns:a16="http://schemas.microsoft.com/office/drawing/2014/main" id="{7AB43A4A-7775-4D32-9CD7-8299EEF1E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687" name="AutoShape 373">
          <a:extLst>
            <a:ext uri="{FF2B5EF4-FFF2-40B4-BE49-F238E27FC236}">
              <a16:creationId xmlns:a16="http://schemas.microsoft.com/office/drawing/2014/main" id="{CBCFABBF-5B59-4640-BEF8-3CFFC95AD33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13</xdr:row>
      <xdr:rowOff>0</xdr:rowOff>
    </xdr:from>
    <xdr:ext cx="9525" cy="9525"/>
    <xdr:pic>
      <xdr:nvPicPr>
        <xdr:cNvPr id="4688" name="Picture 4687">
          <a:extLst>
            <a:ext uri="{FF2B5EF4-FFF2-40B4-BE49-F238E27FC236}">
              <a16:creationId xmlns:a16="http://schemas.microsoft.com/office/drawing/2014/main" id="{23BCFA42-7DB7-4C79-8CB3-CDFBF559B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12</xdr:row>
      <xdr:rowOff>0</xdr:rowOff>
    </xdr:from>
    <xdr:ext cx="304800" cy="303439"/>
    <xdr:sp macro="" textlink="">
      <xdr:nvSpPr>
        <xdr:cNvPr id="4689" name="AutoShape 375">
          <a:extLst>
            <a:ext uri="{FF2B5EF4-FFF2-40B4-BE49-F238E27FC236}">
              <a16:creationId xmlns:a16="http://schemas.microsoft.com/office/drawing/2014/main" id="{9F1158A2-0AA0-4F28-A107-BFD63680B10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90" name="Picture 4689">
          <a:extLst>
            <a:ext uri="{FF2B5EF4-FFF2-40B4-BE49-F238E27FC236}">
              <a16:creationId xmlns:a16="http://schemas.microsoft.com/office/drawing/2014/main" id="{BB849F7C-FE28-4B34-8C0D-A2C850A6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13</xdr:row>
      <xdr:rowOff>0</xdr:rowOff>
    </xdr:from>
    <xdr:ext cx="304800" cy="304800"/>
    <xdr:sp macro="" textlink="">
      <xdr:nvSpPr>
        <xdr:cNvPr id="4691" name="AutoShape 377">
          <a:extLst>
            <a:ext uri="{FF2B5EF4-FFF2-40B4-BE49-F238E27FC236}">
              <a16:creationId xmlns:a16="http://schemas.microsoft.com/office/drawing/2014/main" id="{CA525098-25E2-4D2E-AC69-D744A3F37E73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92" name="Picture 4691">
          <a:extLst>
            <a:ext uri="{FF2B5EF4-FFF2-40B4-BE49-F238E27FC236}">
              <a16:creationId xmlns:a16="http://schemas.microsoft.com/office/drawing/2014/main" id="{80DADA88-79F9-4BA3-B340-CD2904488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3440"/>
    <xdr:sp macro="" textlink="">
      <xdr:nvSpPr>
        <xdr:cNvPr id="4693" name="AutoShape 379">
          <a:extLst>
            <a:ext uri="{FF2B5EF4-FFF2-40B4-BE49-F238E27FC236}">
              <a16:creationId xmlns:a16="http://schemas.microsoft.com/office/drawing/2014/main" id="{E8542B29-BF09-4755-B00A-80E9F4BA5B2C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27</xdr:row>
      <xdr:rowOff>0</xdr:rowOff>
    </xdr:from>
    <xdr:ext cx="9525" cy="9525"/>
    <xdr:pic>
      <xdr:nvPicPr>
        <xdr:cNvPr id="4694" name="Picture 4693">
          <a:extLst>
            <a:ext uri="{FF2B5EF4-FFF2-40B4-BE49-F238E27FC236}">
              <a16:creationId xmlns:a16="http://schemas.microsoft.com/office/drawing/2014/main" id="{4C1B6FEB-739C-4937-AC24-1B8C57F5D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26</xdr:row>
      <xdr:rowOff>0</xdr:rowOff>
    </xdr:from>
    <xdr:ext cx="304800" cy="303439"/>
    <xdr:sp macro="" textlink="">
      <xdr:nvSpPr>
        <xdr:cNvPr id="4695" name="AutoShape 381">
          <a:extLst>
            <a:ext uri="{FF2B5EF4-FFF2-40B4-BE49-F238E27FC236}">
              <a16:creationId xmlns:a16="http://schemas.microsoft.com/office/drawing/2014/main" id="{E8B39336-648D-4CF2-B4DA-267DD6A20FC2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96" name="Picture 4695">
          <a:extLst>
            <a:ext uri="{FF2B5EF4-FFF2-40B4-BE49-F238E27FC236}">
              <a16:creationId xmlns:a16="http://schemas.microsoft.com/office/drawing/2014/main" id="{AF9642E5-0662-400F-8790-182A7113F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697" name="Picture 4696">
          <a:extLst>
            <a:ext uri="{FF2B5EF4-FFF2-40B4-BE49-F238E27FC236}">
              <a16:creationId xmlns:a16="http://schemas.microsoft.com/office/drawing/2014/main" id="{D81DAF35-39CE-47A0-8084-DB6113C88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3</xdr:row>
      <xdr:rowOff>0</xdr:rowOff>
    </xdr:from>
    <xdr:ext cx="9525" cy="9525"/>
    <xdr:pic>
      <xdr:nvPicPr>
        <xdr:cNvPr id="4698" name="Picture 4697">
          <a:extLst>
            <a:ext uri="{FF2B5EF4-FFF2-40B4-BE49-F238E27FC236}">
              <a16:creationId xmlns:a16="http://schemas.microsoft.com/office/drawing/2014/main" id="{A23B83B1-7BE8-43AD-A72F-CCFF77299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</xdr:row>
      <xdr:rowOff>0</xdr:rowOff>
    </xdr:from>
    <xdr:ext cx="304800" cy="303439"/>
    <xdr:sp macro="" textlink="">
      <xdr:nvSpPr>
        <xdr:cNvPr id="4699" name="AutoShape 413">
          <a:extLst>
            <a:ext uri="{FF2B5EF4-FFF2-40B4-BE49-F238E27FC236}">
              <a16:creationId xmlns:a16="http://schemas.microsoft.com/office/drawing/2014/main" id="{3A1484F5-1B25-4B17-AA63-24AF46E9FC5E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</xdr:row>
      <xdr:rowOff>0</xdr:rowOff>
    </xdr:from>
    <xdr:ext cx="9525" cy="9525"/>
    <xdr:pic>
      <xdr:nvPicPr>
        <xdr:cNvPr id="4700" name="Picture 4699">
          <a:extLst>
            <a:ext uri="{FF2B5EF4-FFF2-40B4-BE49-F238E27FC236}">
              <a16:creationId xmlns:a16="http://schemas.microsoft.com/office/drawing/2014/main" id="{EFDB136C-7320-47EE-B838-0EDC28252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9525" cy="9525"/>
    <xdr:pic>
      <xdr:nvPicPr>
        <xdr:cNvPr id="4701" name="Picture 4700">
          <a:extLst>
            <a:ext uri="{FF2B5EF4-FFF2-40B4-BE49-F238E27FC236}">
              <a16:creationId xmlns:a16="http://schemas.microsoft.com/office/drawing/2014/main" id="{2D10C473-FDF1-4AE0-9273-74CAAD6C2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6</xdr:row>
      <xdr:rowOff>0</xdr:rowOff>
    </xdr:from>
    <xdr:ext cx="9525" cy="9525"/>
    <xdr:pic>
      <xdr:nvPicPr>
        <xdr:cNvPr id="4702" name="Picture 4701">
          <a:extLst>
            <a:ext uri="{FF2B5EF4-FFF2-40B4-BE49-F238E27FC236}">
              <a16:creationId xmlns:a16="http://schemas.microsoft.com/office/drawing/2014/main" id="{4CE5D0C7-EACB-4EB1-84DA-4A5E875D8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304800" cy="304800"/>
    <xdr:sp macro="" textlink="">
      <xdr:nvSpPr>
        <xdr:cNvPr id="4703" name="AutoShape 417">
          <a:extLst>
            <a:ext uri="{FF2B5EF4-FFF2-40B4-BE49-F238E27FC236}">
              <a16:creationId xmlns:a16="http://schemas.microsoft.com/office/drawing/2014/main" id="{25E14195-DDEB-40E7-A30B-C21183973D2F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04" name="Picture 4703">
          <a:extLst>
            <a:ext uri="{FF2B5EF4-FFF2-40B4-BE49-F238E27FC236}">
              <a16:creationId xmlns:a16="http://schemas.microsoft.com/office/drawing/2014/main" id="{DE6F6558-536D-4B7D-A581-DC5FA46E7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24</xdr:row>
      <xdr:rowOff>0</xdr:rowOff>
    </xdr:from>
    <xdr:ext cx="304800" cy="304800"/>
    <xdr:sp macro="" textlink="">
      <xdr:nvSpPr>
        <xdr:cNvPr id="4705" name="AutoShape 419">
          <a:extLst>
            <a:ext uri="{FF2B5EF4-FFF2-40B4-BE49-F238E27FC236}">
              <a16:creationId xmlns:a16="http://schemas.microsoft.com/office/drawing/2014/main" id="{4E07AA4C-CE3D-4954-A382-BCCA847D94FA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26</xdr:row>
      <xdr:rowOff>0</xdr:rowOff>
    </xdr:from>
    <xdr:ext cx="9525" cy="9525"/>
    <xdr:pic>
      <xdr:nvPicPr>
        <xdr:cNvPr id="4706" name="Picture 4705">
          <a:extLst>
            <a:ext uri="{FF2B5EF4-FFF2-40B4-BE49-F238E27FC236}">
              <a16:creationId xmlns:a16="http://schemas.microsoft.com/office/drawing/2014/main" id="{207C97E4-263C-4594-B0AD-FC8F87F05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25</xdr:row>
      <xdr:rowOff>0</xdr:rowOff>
    </xdr:from>
    <xdr:ext cx="304800" cy="303440"/>
    <xdr:sp macro="" textlink="">
      <xdr:nvSpPr>
        <xdr:cNvPr id="4707" name="AutoShape 421">
          <a:extLst>
            <a:ext uri="{FF2B5EF4-FFF2-40B4-BE49-F238E27FC236}">
              <a16:creationId xmlns:a16="http://schemas.microsoft.com/office/drawing/2014/main" id="{F6C1711E-ACE1-42DF-BBD5-F65625B863A7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08" name="Picture 4707">
          <a:extLst>
            <a:ext uri="{FF2B5EF4-FFF2-40B4-BE49-F238E27FC236}">
              <a16:creationId xmlns:a16="http://schemas.microsoft.com/office/drawing/2014/main" id="{BB0EA3AC-FF9D-4009-B59E-CB9003750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09" name="Picture 4708">
          <a:extLst>
            <a:ext uri="{FF2B5EF4-FFF2-40B4-BE49-F238E27FC236}">
              <a16:creationId xmlns:a16="http://schemas.microsoft.com/office/drawing/2014/main" id="{1F059200-6C6D-4B18-95FB-76BCA9F84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10" name="Picture 4709">
          <a:extLst>
            <a:ext uri="{FF2B5EF4-FFF2-40B4-BE49-F238E27FC236}">
              <a16:creationId xmlns:a16="http://schemas.microsoft.com/office/drawing/2014/main" id="{8A932D64-628B-4833-AA92-C4C538859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11" name="Picture 4710">
          <a:extLst>
            <a:ext uri="{FF2B5EF4-FFF2-40B4-BE49-F238E27FC236}">
              <a16:creationId xmlns:a16="http://schemas.microsoft.com/office/drawing/2014/main" id="{C24EB823-D7F4-4F2C-9F3A-7A38F26DF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12" name="Picture 4711">
          <a:extLst>
            <a:ext uri="{FF2B5EF4-FFF2-40B4-BE49-F238E27FC236}">
              <a16:creationId xmlns:a16="http://schemas.microsoft.com/office/drawing/2014/main" id="{ADC10E8F-EE6E-44DD-AA08-5FB478BCC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713" name="AutoShape 427">
          <a:extLst>
            <a:ext uri="{FF2B5EF4-FFF2-40B4-BE49-F238E27FC236}">
              <a16:creationId xmlns:a16="http://schemas.microsoft.com/office/drawing/2014/main" id="{AB061D38-7C39-471E-AEE0-09051782CE14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14" name="Picture 4713">
          <a:extLst>
            <a:ext uri="{FF2B5EF4-FFF2-40B4-BE49-F238E27FC236}">
              <a16:creationId xmlns:a16="http://schemas.microsoft.com/office/drawing/2014/main" id="{356F258E-812D-4D60-86CE-3B441E8CF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715" name="AutoShape 429">
          <a:extLst>
            <a:ext uri="{FF2B5EF4-FFF2-40B4-BE49-F238E27FC236}">
              <a16:creationId xmlns:a16="http://schemas.microsoft.com/office/drawing/2014/main" id="{76F49B56-2721-4B07-B6CC-D58E3895B6D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13</xdr:row>
      <xdr:rowOff>0</xdr:rowOff>
    </xdr:from>
    <xdr:ext cx="9525" cy="9525"/>
    <xdr:pic>
      <xdr:nvPicPr>
        <xdr:cNvPr id="4716" name="Picture 4715">
          <a:extLst>
            <a:ext uri="{FF2B5EF4-FFF2-40B4-BE49-F238E27FC236}">
              <a16:creationId xmlns:a16="http://schemas.microsoft.com/office/drawing/2014/main" id="{C201777D-C90B-4F1B-9321-A53EFBC8D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12</xdr:row>
      <xdr:rowOff>0</xdr:rowOff>
    </xdr:from>
    <xdr:ext cx="304800" cy="303439"/>
    <xdr:sp macro="" textlink="">
      <xdr:nvSpPr>
        <xdr:cNvPr id="4717" name="AutoShape 431">
          <a:extLst>
            <a:ext uri="{FF2B5EF4-FFF2-40B4-BE49-F238E27FC236}">
              <a16:creationId xmlns:a16="http://schemas.microsoft.com/office/drawing/2014/main" id="{E1561A00-4210-4AD6-963B-1B4AA51D5B7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18" name="Picture 4717">
          <a:extLst>
            <a:ext uri="{FF2B5EF4-FFF2-40B4-BE49-F238E27FC236}">
              <a16:creationId xmlns:a16="http://schemas.microsoft.com/office/drawing/2014/main" id="{E5B4A1BD-21D5-481D-AADE-D9BD37DCA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13</xdr:row>
      <xdr:rowOff>0</xdr:rowOff>
    </xdr:from>
    <xdr:ext cx="304800" cy="304800"/>
    <xdr:sp macro="" textlink="">
      <xdr:nvSpPr>
        <xdr:cNvPr id="4719" name="AutoShape 433">
          <a:extLst>
            <a:ext uri="{FF2B5EF4-FFF2-40B4-BE49-F238E27FC236}">
              <a16:creationId xmlns:a16="http://schemas.microsoft.com/office/drawing/2014/main" id="{605749F2-C4E4-4092-9A6A-25C660B87FC5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20" name="Picture 4719">
          <a:extLst>
            <a:ext uri="{FF2B5EF4-FFF2-40B4-BE49-F238E27FC236}">
              <a16:creationId xmlns:a16="http://schemas.microsoft.com/office/drawing/2014/main" id="{289F41AF-6C98-4011-899C-B6F6805CC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3440"/>
    <xdr:sp macro="" textlink="">
      <xdr:nvSpPr>
        <xdr:cNvPr id="4721" name="AutoShape 435">
          <a:extLst>
            <a:ext uri="{FF2B5EF4-FFF2-40B4-BE49-F238E27FC236}">
              <a16:creationId xmlns:a16="http://schemas.microsoft.com/office/drawing/2014/main" id="{9D31110E-8B9E-4752-AA49-FA0B0E083518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27</xdr:row>
      <xdr:rowOff>0</xdr:rowOff>
    </xdr:from>
    <xdr:ext cx="9525" cy="9525"/>
    <xdr:pic>
      <xdr:nvPicPr>
        <xdr:cNvPr id="4722" name="Picture 4721">
          <a:extLst>
            <a:ext uri="{FF2B5EF4-FFF2-40B4-BE49-F238E27FC236}">
              <a16:creationId xmlns:a16="http://schemas.microsoft.com/office/drawing/2014/main" id="{1DEC5ED7-8F38-49B0-9CC5-E49F46EA9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26</xdr:row>
      <xdr:rowOff>0</xdr:rowOff>
    </xdr:from>
    <xdr:ext cx="304800" cy="303439"/>
    <xdr:sp macro="" textlink="">
      <xdr:nvSpPr>
        <xdr:cNvPr id="4723" name="AutoShape 437">
          <a:extLst>
            <a:ext uri="{FF2B5EF4-FFF2-40B4-BE49-F238E27FC236}">
              <a16:creationId xmlns:a16="http://schemas.microsoft.com/office/drawing/2014/main" id="{45092FE8-9BEA-44E9-B716-75D4085ED123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24" name="Picture 4723">
          <a:extLst>
            <a:ext uri="{FF2B5EF4-FFF2-40B4-BE49-F238E27FC236}">
              <a16:creationId xmlns:a16="http://schemas.microsoft.com/office/drawing/2014/main" id="{6EBB0BE1-FDE8-48C8-825B-04FC7CBE5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25" name="Picture 4724">
          <a:extLst>
            <a:ext uri="{FF2B5EF4-FFF2-40B4-BE49-F238E27FC236}">
              <a16:creationId xmlns:a16="http://schemas.microsoft.com/office/drawing/2014/main" id="{6F1115D3-680D-4BC0-8CCA-B067A8079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3</xdr:row>
      <xdr:rowOff>0</xdr:rowOff>
    </xdr:from>
    <xdr:ext cx="9525" cy="9525"/>
    <xdr:pic>
      <xdr:nvPicPr>
        <xdr:cNvPr id="4726" name="Picture 4725">
          <a:extLst>
            <a:ext uri="{FF2B5EF4-FFF2-40B4-BE49-F238E27FC236}">
              <a16:creationId xmlns:a16="http://schemas.microsoft.com/office/drawing/2014/main" id="{FF343C3A-C0F9-4DCB-8301-2CBFEEBB5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</xdr:row>
      <xdr:rowOff>0</xdr:rowOff>
    </xdr:from>
    <xdr:ext cx="304800" cy="303439"/>
    <xdr:sp macro="" textlink="">
      <xdr:nvSpPr>
        <xdr:cNvPr id="4727" name="AutoShape 469">
          <a:extLst>
            <a:ext uri="{FF2B5EF4-FFF2-40B4-BE49-F238E27FC236}">
              <a16:creationId xmlns:a16="http://schemas.microsoft.com/office/drawing/2014/main" id="{DC2521A5-09EA-4E0C-A61B-BB9A4466A734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</xdr:row>
      <xdr:rowOff>0</xdr:rowOff>
    </xdr:from>
    <xdr:ext cx="9525" cy="9525"/>
    <xdr:pic>
      <xdr:nvPicPr>
        <xdr:cNvPr id="4728" name="Picture 4727">
          <a:extLst>
            <a:ext uri="{FF2B5EF4-FFF2-40B4-BE49-F238E27FC236}">
              <a16:creationId xmlns:a16="http://schemas.microsoft.com/office/drawing/2014/main" id="{F6046FBD-5AA5-41CD-AF60-1CC2358CB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9525" cy="9525"/>
    <xdr:pic>
      <xdr:nvPicPr>
        <xdr:cNvPr id="4729" name="Picture 4728">
          <a:extLst>
            <a:ext uri="{FF2B5EF4-FFF2-40B4-BE49-F238E27FC236}">
              <a16:creationId xmlns:a16="http://schemas.microsoft.com/office/drawing/2014/main" id="{F9EDE278-7399-43B0-8695-792A5F4D3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6</xdr:row>
      <xdr:rowOff>0</xdr:rowOff>
    </xdr:from>
    <xdr:ext cx="9525" cy="9525"/>
    <xdr:pic>
      <xdr:nvPicPr>
        <xdr:cNvPr id="4730" name="Picture 4729">
          <a:extLst>
            <a:ext uri="{FF2B5EF4-FFF2-40B4-BE49-F238E27FC236}">
              <a16:creationId xmlns:a16="http://schemas.microsoft.com/office/drawing/2014/main" id="{CA99F73D-3810-4DC5-BF86-8C207348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304800" cy="304800"/>
    <xdr:sp macro="" textlink="">
      <xdr:nvSpPr>
        <xdr:cNvPr id="4731" name="AutoShape 473">
          <a:extLst>
            <a:ext uri="{FF2B5EF4-FFF2-40B4-BE49-F238E27FC236}">
              <a16:creationId xmlns:a16="http://schemas.microsoft.com/office/drawing/2014/main" id="{D684A431-218E-4130-BCA3-8CF8C039AD56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32" name="Picture 4731">
          <a:extLst>
            <a:ext uri="{FF2B5EF4-FFF2-40B4-BE49-F238E27FC236}">
              <a16:creationId xmlns:a16="http://schemas.microsoft.com/office/drawing/2014/main" id="{8C47B1F6-506E-41E6-AB10-3448524A1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24</xdr:row>
      <xdr:rowOff>0</xdr:rowOff>
    </xdr:from>
    <xdr:ext cx="304800" cy="304800"/>
    <xdr:sp macro="" textlink="">
      <xdr:nvSpPr>
        <xdr:cNvPr id="4733" name="AutoShape 475">
          <a:extLst>
            <a:ext uri="{FF2B5EF4-FFF2-40B4-BE49-F238E27FC236}">
              <a16:creationId xmlns:a16="http://schemas.microsoft.com/office/drawing/2014/main" id="{DFE1170A-1974-4FB8-BD88-CA96804DD872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26</xdr:row>
      <xdr:rowOff>0</xdr:rowOff>
    </xdr:from>
    <xdr:ext cx="9525" cy="9525"/>
    <xdr:pic>
      <xdr:nvPicPr>
        <xdr:cNvPr id="4734" name="Picture 4733">
          <a:extLst>
            <a:ext uri="{FF2B5EF4-FFF2-40B4-BE49-F238E27FC236}">
              <a16:creationId xmlns:a16="http://schemas.microsoft.com/office/drawing/2014/main" id="{F17102F9-4AE1-4A39-8F17-C7E39D136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25</xdr:row>
      <xdr:rowOff>0</xdr:rowOff>
    </xdr:from>
    <xdr:ext cx="304800" cy="303440"/>
    <xdr:sp macro="" textlink="">
      <xdr:nvSpPr>
        <xdr:cNvPr id="4735" name="AutoShape 477">
          <a:extLst>
            <a:ext uri="{FF2B5EF4-FFF2-40B4-BE49-F238E27FC236}">
              <a16:creationId xmlns:a16="http://schemas.microsoft.com/office/drawing/2014/main" id="{245768AA-E278-4188-B328-32B176E7ECED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36" name="Picture 4735">
          <a:extLst>
            <a:ext uri="{FF2B5EF4-FFF2-40B4-BE49-F238E27FC236}">
              <a16:creationId xmlns:a16="http://schemas.microsoft.com/office/drawing/2014/main" id="{44575E6F-9140-46FF-95A0-3EB8C893D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37" name="Picture 4736">
          <a:extLst>
            <a:ext uri="{FF2B5EF4-FFF2-40B4-BE49-F238E27FC236}">
              <a16:creationId xmlns:a16="http://schemas.microsoft.com/office/drawing/2014/main" id="{2A7373CB-4FCB-4B0F-A5AB-A24E71A6B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38" name="Picture 4737">
          <a:extLst>
            <a:ext uri="{FF2B5EF4-FFF2-40B4-BE49-F238E27FC236}">
              <a16:creationId xmlns:a16="http://schemas.microsoft.com/office/drawing/2014/main" id="{56F027E7-1EFB-4CF2-A825-4A7CFDA54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39" name="Picture 4738">
          <a:extLst>
            <a:ext uri="{FF2B5EF4-FFF2-40B4-BE49-F238E27FC236}">
              <a16:creationId xmlns:a16="http://schemas.microsoft.com/office/drawing/2014/main" id="{5879E345-7A9D-4726-850E-476B7B163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40" name="Picture 4739">
          <a:extLst>
            <a:ext uri="{FF2B5EF4-FFF2-40B4-BE49-F238E27FC236}">
              <a16:creationId xmlns:a16="http://schemas.microsoft.com/office/drawing/2014/main" id="{143244F5-52B8-478C-B4BD-8BA92A8A5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741" name="AutoShape 483">
          <a:extLst>
            <a:ext uri="{FF2B5EF4-FFF2-40B4-BE49-F238E27FC236}">
              <a16:creationId xmlns:a16="http://schemas.microsoft.com/office/drawing/2014/main" id="{3FEDA4CC-FD02-4AB8-8E80-E9CB04E633BA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42" name="Picture 4741">
          <a:extLst>
            <a:ext uri="{FF2B5EF4-FFF2-40B4-BE49-F238E27FC236}">
              <a16:creationId xmlns:a16="http://schemas.microsoft.com/office/drawing/2014/main" id="{F28C8BFF-162E-4306-BCCB-FFE5C2775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743" name="AutoShape 485">
          <a:extLst>
            <a:ext uri="{FF2B5EF4-FFF2-40B4-BE49-F238E27FC236}">
              <a16:creationId xmlns:a16="http://schemas.microsoft.com/office/drawing/2014/main" id="{EE6228F8-06DD-45A6-B165-1ED1506B7A1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13</xdr:row>
      <xdr:rowOff>0</xdr:rowOff>
    </xdr:from>
    <xdr:ext cx="9525" cy="9525"/>
    <xdr:pic>
      <xdr:nvPicPr>
        <xdr:cNvPr id="4744" name="Picture 4743">
          <a:extLst>
            <a:ext uri="{FF2B5EF4-FFF2-40B4-BE49-F238E27FC236}">
              <a16:creationId xmlns:a16="http://schemas.microsoft.com/office/drawing/2014/main" id="{90966000-E18B-4746-B3B1-7079BA03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12</xdr:row>
      <xdr:rowOff>0</xdr:rowOff>
    </xdr:from>
    <xdr:ext cx="304800" cy="303439"/>
    <xdr:sp macro="" textlink="">
      <xdr:nvSpPr>
        <xdr:cNvPr id="4745" name="AutoShape 487">
          <a:extLst>
            <a:ext uri="{FF2B5EF4-FFF2-40B4-BE49-F238E27FC236}">
              <a16:creationId xmlns:a16="http://schemas.microsoft.com/office/drawing/2014/main" id="{DDF8730D-9BBF-4562-9A60-5AB4EC743F9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46" name="Picture 4745">
          <a:extLst>
            <a:ext uri="{FF2B5EF4-FFF2-40B4-BE49-F238E27FC236}">
              <a16:creationId xmlns:a16="http://schemas.microsoft.com/office/drawing/2014/main" id="{B411517C-E857-4DDF-A6BB-A6751BF22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47" name="Picture 4746">
          <a:extLst>
            <a:ext uri="{FF2B5EF4-FFF2-40B4-BE49-F238E27FC236}">
              <a16:creationId xmlns:a16="http://schemas.microsoft.com/office/drawing/2014/main" id="{3D0BF73A-3D22-45C6-AF45-468BE27D6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3440"/>
    <xdr:sp macro="" textlink="">
      <xdr:nvSpPr>
        <xdr:cNvPr id="4748" name="AutoShape 491">
          <a:extLst>
            <a:ext uri="{FF2B5EF4-FFF2-40B4-BE49-F238E27FC236}">
              <a16:creationId xmlns:a16="http://schemas.microsoft.com/office/drawing/2014/main" id="{3D6BE642-C60D-4F08-BDA8-619A63306372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27</xdr:row>
      <xdr:rowOff>0</xdr:rowOff>
    </xdr:from>
    <xdr:ext cx="9525" cy="9525"/>
    <xdr:pic>
      <xdr:nvPicPr>
        <xdr:cNvPr id="4749" name="Picture 4748">
          <a:extLst>
            <a:ext uri="{FF2B5EF4-FFF2-40B4-BE49-F238E27FC236}">
              <a16:creationId xmlns:a16="http://schemas.microsoft.com/office/drawing/2014/main" id="{D29E04E0-4813-472A-B562-D77AB7865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26</xdr:row>
      <xdr:rowOff>0</xdr:rowOff>
    </xdr:from>
    <xdr:ext cx="304800" cy="303439"/>
    <xdr:sp macro="" textlink="">
      <xdr:nvSpPr>
        <xdr:cNvPr id="4750" name="AutoShape 493">
          <a:extLst>
            <a:ext uri="{FF2B5EF4-FFF2-40B4-BE49-F238E27FC236}">
              <a16:creationId xmlns:a16="http://schemas.microsoft.com/office/drawing/2014/main" id="{FFC6BD7C-6B30-40CE-950B-FA9A73B4A275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51" name="Picture 4750">
          <a:extLst>
            <a:ext uri="{FF2B5EF4-FFF2-40B4-BE49-F238E27FC236}">
              <a16:creationId xmlns:a16="http://schemas.microsoft.com/office/drawing/2014/main" id="{2E98371B-91C0-4CE9-9CF2-A571F2154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52" name="Picture 4751">
          <a:extLst>
            <a:ext uri="{FF2B5EF4-FFF2-40B4-BE49-F238E27FC236}">
              <a16:creationId xmlns:a16="http://schemas.microsoft.com/office/drawing/2014/main" id="{ABE1F779-523A-4D4C-8045-501777F8D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3</xdr:row>
      <xdr:rowOff>0</xdr:rowOff>
    </xdr:from>
    <xdr:ext cx="9525" cy="9525"/>
    <xdr:pic>
      <xdr:nvPicPr>
        <xdr:cNvPr id="4753" name="Picture 4752">
          <a:extLst>
            <a:ext uri="{FF2B5EF4-FFF2-40B4-BE49-F238E27FC236}">
              <a16:creationId xmlns:a16="http://schemas.microsoft.com/office/drawing/2014/main" id="{9FA5DF00-101F-4A94-BA64-ACE569776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</xdr:row>
      <xdr:rowOff>0</xdr:rowOff>
    </xdr:from>
    <xdr:ext cx="304800" cy="303439"/>
    <xdr:sp macro="" textlink="">
      <xdr:nvSpPr>
        <xdr:cNvPr id="4754" name="AutoShape 497">
          <a:extLst>
            <a:ext uri="{FF2B5EF4-FFF2-40B4-BE49-F238E27FC236}">
              <a16:creationId xmlns:a16="http://schemas.microsoft.com/office/drawing/2014/main" id="{265134CD-A5DF-461E-B6A4-681ECCBF40B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</xdr:row>
      <xdr:rowOff>0</xdr:rowOff>
    </xdr:from>
    <xdr:ext cx="9525" cy="9525"/>
    <xdr:pic>
      <xdr:nvPicPr>
        <xdr:cNvPr id="4755" name="Picture 4754">
          <a:extLst>
            <a:ext uri="{FF2B5EF4-FFF2-40B4-BE49-F238E27FC236}">
              <a16:creationId xmlns:a16="http://schemas.microsoft.com/office/drawing/2014/main" id="{DD435007-CB01-4E52-BA44-6360BBBAC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3</xdr:row>
      <xdr:rowOff>0</xdr:rowOff>
    </xdr:from>
    <xdr:ext cx="304800" cy="304800"/>
    <xdr:sp macro="" textlink="">
      <xdr:nvSpPr>
        <xdr:cNvPr id="4756" name="AutoShape 499">
          <a:extLst>
            <a:ext uri="{FF2B5EF4-FFF2-40B4-BE49-F238E27FC236}">
              <a16:creationId xmlns:a16="http://schemas.microsoft.com/office/drawing/2014/main" id="{2C035A5F-CDE6-48E1-AAE0-F628C3887A75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5</xdr:row>
      <xdr:rowOff>0</xdr:rowOff>
    </xdr:from>
    <xdr:ext cx="9525" cy="9525"/>
    <xdr:pic>
      <xdr:nvPicPr>
        <xdr:cNvPr id="4757" name="Picture 4756">
          <a:extLst>
            <a:ext uri="{FF2B5EF4-FFF2-40B4-BE49-F238E27FC236}">
              <a16:creationId xmlns:a16="http://schemas.microsoft.com/office/drawing/2014/main" id="{D5A6C792-64D1-49C4-A2E8-97EB68733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4</xdr:row>
      <xdr:rowOff>0</xdr:rowOff>
    </xdr:from>
    <xdr:ext cx="304800" cy="304800"/>
    <xdr:sp macro="" textlink="">
      <xdr:nvSpPr>
        <xdr:cNvPr id="4758" name="AutoShape 501">
          <a:extLst>
            <a:ext uri="{FF2B5EF4-FFF2-40B4-BE49-F238E27FC236}">
              <a16:creationId xmlns:a16="http://schemas.microsoft.com/office/drawing/2014/main" id="{AD46A7BD-7FAD-42E1-AFA7-1AE11E0A8FE8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537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6</xdr:row>
      <xdr:rowOff>0</xdr:rowOff>
    </xdr:from>
    <xdr:ext cx="9525" cy="9525"/>
    <xdr:pic>
      <xdr:nvPicPr>
        <xdr:cNvPr id="4759" name="Picture 4758">
          <a:extLst>
            <a:ext uri="{FF2B5EF4-FFF2-40B4-BE49-F238E27FC236}">
              <a16:creationId xmlns:a16="http://schemas.microsoft.com/office/drawing/2014/main" id="{1EF5206D-AA02-47F1-A267-5997D3CFA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304800" cy="304800"/>
    <xdr:sp macro="" textlink="">
      <xdr:nvSpPr>
        <xdr:cNvPr id="4760" name="AutoShape 503">
          <a:extLst>
            <a:ext uri="{FF2B5EF4-FFF2-40B4-BE49-F238E27FC236}">
              <a16:creationId xmlns:a16="http://schemas.microsoft.com/office/drawing/2014/main" id="{3B860559-8AE4-4AD4-9448-43EB8896CC0A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61" name="Picture 4760">
          <a:extLst>
            <a:ext uri="{FF2B5EF4-FFF2-40B4-BE49-F238E27FC236}">
              <a16:creationId xmlns:a16="http://schemas.microsoft.com/office/drawing/2014/main" id="{47C39592-84D7-49F3-A953-F317055BC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6</xdr:row>
      <xdr:rowOff>0</xdr:rowOff>
    </xdr:from>
    <xdr:ext cx="304800" cy="304800"/>
    <xdr:sp macro="" textlink="">
      <xdr:nvSpPr>
        <xdr:cNvPr id="4762" name="AutoShape 505">
          <a:extLst>
            <a:ext uri="{FF2B5EF4-FFF2-40B4-BE49-F238E27FC236}">
              <a16:creationId xmlns:a16="http://schemas.microsoft.com/office/drawing/2014/main" id="{32740D5C-BF67-4DE2-8574-47242B4731E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26</xdr:row>
      <xdr:rowOff>0</xdr:rowOff>
    </xdr:from>
    <xdr:ext cx="9525" cy="9525"/>
    <xdr:pic>
      <xdr:nvPicPr>
        <xdr:cNvPr id="4763" name="Picture 4762">
          <a:extLst>
            <a:ext uri="{FF2B5EF4-FFF2-40B4-BE49-F238E27FC236}">
              <a16:creationId xmlns:a16="http://schemas.microsoft.com/office/drawing/2014/main" id="{B9D572CF-B117-4B79-A623-372DFA171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25</xdr:row>
      <xdr:rowOff>0</xdr:rowOff>
    </xdr:from>
    <xdr:ext cx="304800" cy="303439"/>
    <xdr:sp macro="" textlink="">
      <xdr:nvSpPr>
        <xdr:cNvPr id="4764" name="AutoShape 507">
          <a:extLst>
            <a:ext uri="{FF2B5EF4-FFF2-40B4-BE49-F238E27FC236}">
              <a16:creationId xmlns:a16="http://schemas.microsoft.com/office/drawing/2014/main" id="{B9C50647-DE58-41D3-9F08-50A93A10418D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06878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65" name="Picture 4764">
          <a:extLst>
            <a:ext uri="{FF2B5EF4-FFF2-40B4-BE49-F238E27FC236}">
              <a16:creationId xmlns:a16="http://schemas.microsoft.com/office/drawing/2014/main" id="{F36B3367-9AA8-410A-88DD-3F938D7F9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26</xdr:row>
      <xdr:rowOff>0</xdr:rowOff>
    </xdr:from>
    <xdr:ext cx="304800" cy="304800"/>
    <xdr:sp macro="" textlink="">
      <xdr:nvSpPr>
        <xdr:cNvPr id="4766" name="AutoShape 509">
          <a:extLst>
            <a:ext uri="{FF2B5EF4-FFF2-40B4-BE49-F238E27FC236}">
              <a16:creationId xmlns:a16="http://schemas.microsoft.com/office/drawing/2014/main" id="{2AAB6143-5F51-481B-8F9E-B332DE5A5371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67" name="Picture 4766">
          <a:extLst>
            <a:ext uri="{FF2B5EF4-FFF2-40B4-BE49-F238E27FC236}">
              <a16:creationId xmlns:a16="http://schemas.microsoft.com/office/drawing/2014/main" id="{48356BDC-FAD2-4399-AD0F-4012125C1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768" name="AutoShape 511">
          <a:extLst>
            <a:ext uri="{FF2B5EF4-FFF2-40B4-BE49-F238E27FC236}">
              <a16:creationId xmlns:a16="http://schemas.microsoft.com/office/drawing/2014/main" id="{F4BAF9C9-CB27-49D7-8FB6-9D7573EA0FEC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69" name="Picture 4768">
          <a:extLst>
            <a:ext uri="{FF2B5EF4-FFF2-40B4-BE49-F238E27FC236}">
              <a16:creationId xmlns:a16="http://schemas.microsoft.com/office/drawing/2014/main" id="{77C53298-CB4E-4E14-A5E5-06D6050E5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3439"/>
    <xdr:sp macro="" textlink="">
      <xdr:nvSpPr>
        <xdr:cNvPr id="4770" name="AutoShape 513">
          <a:extLst>
            <a:ext uri="{FF2B5EF4-FFF2-40B4-BE49-F238E27FC236}">
              <a16:creationId xmlns:a16="http://schemas.microsoft.com/office/drawing/2014/main" id="{707265F3-1286-4545-8597-2F4A3CB4BF4D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71" name="Picture 4770">
          <a:extLst>
            <a:ext uri="{FF2B5EF4-FFF2-40B4-BE49-F238E27FC236}">
              <a16:creationId xmlns:a16="http://schemas.microsoft.com/office/drawing/2014/main" id="{E471A555-E4AC-4470-911F-F5B4E0B06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772" name="AutoShape 515">
          <a:extLst>
            <a:ext uri="{FF2B5EF4-FFF2-40B4-BE49-F238E27FC236}">
              <a16:creationId xmlns:a16="http://schemas.microsoft.com/office/drawing/2014/main" id="{A63EC9FC-F93B-4BDF-A611-8C85C7D85F88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73" name="Picture 4772">
          <a:extLst>
            <a:ext uri="{FF2B5EF4-FFF2-40B4-BE49-F238E27FC236}">
              <a16:creationId xmlns:a16="http://schemas.microsoft.com/office/drawing/2014/main" id="{83600004-84BE-4F1B-A88E-BA97B4FA0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774" name="AutoShape 517">
          <a:extLst>
            <a:ext uri="{FF2B5EF4-FFF2-40B4-BE49-F238E27FC236}">
              <a16:creationId xmlns:a16="http://schemas.microsoft.com/office/drawing/2014/main" id="{56457E49-E355-4CCD-B6C8-1EEF78DAC68C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75" name="Picture 4774">
          <a:extLst>
            <a:ext uri="{FF2B5EF4-FFF2-40B4-BE49-F238E27FC236}">
              <a16:creationId xmlns:a16="http://schemas.microsoft.com/office/drawing/2014/main" id="{51769DAB-A33D-4612-B4CA-DA58859B7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4776" name="AutoShape 519">
          <a:extLst>
            <a:ext uri="{FF2B5EF4-FFF2-40B4-BE49-F238E27FC236}">
              <a16:creationId xmlns:a16="http://schemas.microsoft.com/office/drawing/2014/main" id="{A3792C3D-BFEB-443A-9FA6-1AC6329109EF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77" name="Picture 4776">
          <a:extLst>
            <a:ext uri="{FF2B5EF4-FFF2-40B4-BE49-F238E27FC236}">
              <a16:creationId xmlns:a16="http://schemas.microsoft.com/office/drawing/2014/main" id="{F50A2A8B-D4AD-483A-97B0-F65DBC71E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78" name="Picture 4777">
          <a:extLst>
            <a:ext uri="{FF2B5EF4-FFF2-40B4-BE49-F238E27FC236}">
              <a16:creationId xmlns:a16="http://schemas.microsoft.com/office/drawing/2014/main" id="{15A21C8A-922C-4715-93E9-CD043447F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3440"/>
    <xdr:sp macro="" textlink="">
      <xdr:nvSpPr>
        <xdr:cNvPr id="4779" name="AutoShape 525">
          <a:extLst>
            <a:ext uri="{FF2B5EF4-FFF2-40B4-BE49-F238E27FC236}">
              <a16:creationId xmlns:a16="http://schemas.microsoft.com/office/drawing/2014/main" id="{BA55CDDD-C59F-4F40-BB6C-9D8B2E92C458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27</xdr:row>
      <xdr:rowOff>0</xdr:rowOff>
    </xdr:from>
    <xdr:ext cx="9525" cy="9525"/>
    <xdr:pic>
      <xdr:nvPicPr>
        <xdr:cNvPr id="4780" name="Picture 4779">
          <a:extLst>
            <a:ext uri="{FF2B5EF4-FFF2-40B4-BE49-F238E27FC236}">
              <a16:creationId xmlns:a16="http://schemas.microsoft.com/office/drawing/2014/main" id="{5F4EEA6E-E84E-426B-AD30-E72112627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26</xdr:row>
      <xdr:rowOff>0</xdr:rowOff>
    </xdr:from>
    <xdr:ext cx="304800" cy="303439"/>
    <xdr:sp macro="" textlink="">
      <xdr:nvSpPr>
        <xdr:cNvPr id="4781" name="AutoShape 527">
          <a:extLst>
            <a:ext uri="{FF2B5EF4-FFF2-40B4-BE49-F238E27FC236}">
              <a16:creationId xmlns:a16="http://schemas.microsoft.com/office/drawing/2014/main" id="{55F84069-0DD5-4C8A-A978-B97E422C7052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82" name="Picture 4781">
          <a:extLst>
            <a:ext uri="{FF2B5EF4-FFF2-40B4-BE49-F238E27FC236}">
              <a16:creationId xmlns:a16="http://schemas.microsoft.com/office/drawing/2014/main" id="{E087B36F-43C4-43A5-BBFB-66E357C63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27</xdr:row>
      <xdr:rowOff>0</xdr:rowOff>
    </xdr:from>
    <xdr:ext cx="304800" cy="303439"/>
    <xdr:sp macro="" textlink="">
      <xdr:nvSpPr>
        <xdr:cNvPr id="4783" name="AutoShape 529">
          <a:extLst>
            <a:ext uri="{FF2B5EF4-FFF2-40B4-BE49-F238E27FC236}">
              <a16:creationId xmlns:a16="http://schemas.microsoft.com/office/drawing/2014/main" id="{FB1DE53C-8886-4DCD-89C9-B6195EF7C89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477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4784" name="Picture 4783">
          <a:extLst>
            <a:ext uri="{FF2B5EF4-FFF2-40B4-BE49-F238E27FC236}">
              <a16:creationId xmlns:a16="http://schemas.microsoft.com/office/drawing/2014/main" id="{EB943B69-97A7-4430-A05C-1282C7AD1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3439"/>
    <xdr:sp macro="" textlink="">
      <xdr:nvSpPr>
        <xdr:cNvPr id="4785" name="AutoShape 531">
          <a:extLst>
            <a:ext uri="{FF2B5EF4-FFF2-40B4-BE49-F238E27FC236}">
              <a16:creationId xmlns:a16="http://schemas.microsoft.com/office/drawing/2014/main" id="{517849ED-B724-48F4-A462-E380D6D9A7C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7</xdr:row>
      <xdr:rowOff>0</xdr:rowOff>
    </xdr:from>
    <xdr:ext cx="9525" cy="9525"/>
    <xdr:pic>
      <xdr:nvPicPr>
        <xdr:cNvPr id="4786" name="Picture 4785">
          <a:extLst>
            <a:ext uri="{FF2B5EF4-FFF2-40B4-BE49-F238E27FC236}">
              <a16:creationId xmlns:a16="http://schemas.microsoft.com/office/drawing/2014/main" id="{F3D57E2D-D849-414B-B916-5A6315DF0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</xdr:row>
      <xdr:rowOff>0</xdr:rowOff>
    </xdr:from>
    <xdr:ext cx="9525" cy="9525"/>
    <xdr:pic>
      <xdr:nvPicPr>
        <xdr:cNvPr id="4787" name="Picture 4786">
          <a:extLst>
            <a:ext uri="{FF2B5EF4-FFF2-40B4-BE49-F238E27FC236}">
              <a16:creationId xmlns:a16="http://schemas.microsoft.com/office/drawing/2014/main" id="{7C090197-22A4-4A08-98D0-EFAC2E810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</xdr:row>
      <xdr:rowOff>0</xdr:rowOff>
    </xdr:from>
    <xdr:ext cx="304800" cy="304800"/>
    <xdr:sp macro="" textlink="">
      <xdr:nvSpPr>
        <xdr:cNvPr id="4788" name="AutoShape 183">
          <a:extLst>
            <a:ext uri="{FF2B5EF4-FFF2-40B4-BE49-F238E27FC236}">
              <a16:creationId xmlns:a16="http://schemas.microsoft.com/office/drawing/2014/main" id="{60387FC8-4674-40DF-B7B3-233A3A53FEC8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7</xdr:row>
      <xdr:rowOff>0</xdr:rowOff>
    </xdr:from>
    <xdr:ext cx="9525" cy="9525"/>
    <xdr:pic>
      <xdr:nvPicPr>
        <xdr:cNvPr id="4789" name="Picture 4788">
          <a:extLst>
            <a:ext uri="{FF2B5EF4-FFF2-40B4-BE49-F238E27FC236}">
              <a16:creationId xmlns:a16="http://schemas.microsoft.com/office/drawing/2014/main" id="{1B00DCC1-08D6-4604-BA42-0A1782BBF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</xdr:row>
      <xdr:rowOff>0</xdr:rowOff>
    </xdr:from>
    <xdr:ext cx="304800" cy="304800"/>
    <xdr:sp macro="" textlink="">
      <xdr:nvSpPr>
        <xdr:cNvPr id="4790" name="AutoShape 209">
          <a:extLst>
            <a:ext uri="{FF2B5EF4-FFF2-40B4-BE49-F238E27FC236}">
              <a16:creationId xmlns:a16="http://schemas.microsoft.com/office/drawing/2014/main" id="{8248384C-9C87-4D76-AAC4-7BC8C75D1E56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7</xdr:row>
      <xdr:rowOff>0</xdr:rowOff>
    </xdr:from>
    <xdr:ext cx="9525" cy="9525"/>
    <xdr:pic>
      <xdr:nvPicPr>
        <xdr:cNvPr id="4791" name="Picture 4790">
          <a:extLst>
            <a:ext uri="{FF2B5EF4-FFF2-40B4-BE49-F238E27FC236}">
              <a16:creationId xmlns:a16="http://schemas.microsoft.com/office/drawing/2014/main" id="{3CF71A2E-725C-4975-AECB-5EAE6CAE3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</xdr:row>
      <xdr:rowOff>0</xdr:rowOff>
    </xdr:from>
    <xdr:ext cx="304800" cy="304800"/>
    <xdr:sp macro="" textlink="">
      <xdr:nvSpPr>
        <xdr:cNvPr id="4792" name="AutoShape 233">
          <a:extLst>
            <a:ext uri="{FF2B5EF4-FFF2-40B4-BE49-F238E27FC236}">
              <a16:creationId xmlns:a16="http://schemas.microsoft.com/office/drawing/2014/main" id="{F5B2F1AA-5461-417A-95F3-15013E7BF23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7</xdr:row>
      <xdr:rowOff>0</xdr:rowOff>
    </xdr:from>
    <xdr:ext cx="9525" cy="9525"/>
    <xdr:pic>
      <xdr:nvPicPr>
        <xdr:cNvPr id="4793" name="Picture 4792">
          <a:extLst>
            <a:ext uri="{FF2B5EF4-FFF2-40B4-BE49-F238E27FC236}">
              <a16:creationId xmlns:a16="http://schemas.microsoft.com/office/drawing/2014/main" id="{513362D9-8A1C-4CDB-96C2-A66C096B1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</xdr:row>
      <xdr:rowOff>0</xdr:rowOff>
    </xdr:from>
    <xdr:ext cx="304800" cy="304800"/>
    <xdr:sp macro="" textlink="">
      <xdr:nvSpPr>
        <xdr:cNvPr id="4794" name="AutoShape 259">
          <a:extLst>
            <a:ext uri="{FF2B5EF4-FFF2-40B4-BE49-F238E27FC236}">
              <a16:creationId xmlns:a16="http://schemas.microsoft.com/office/drawing/2014/main" id="{32EFD900-A491-4D03-8DE1-E2D29036461C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7</xdr:row>
      <xdr:rowOff>0</xdr:rowOff>
    </xdr:from>
    <xdr:ext cx="9525" cy="9525"/>
    <xdr:pic>
      <xdr:nvPicPr>
        <xdr:cNvPr id="4795" name="Picture 4794">
          <a:extLst>
            <a:ext uri="{FF2B5EF4-FFF2-40B4-BE49-F238E27FC236}">
              <a16:creationId xmlns:a16="http://schemas.microsoft.com/office/drawing/2014/main" id="{E91C172C-B64A-4796-BD9B-954DB5876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</xdr:row>
      <xdr:rowOff>0</xdr:rowOff>
    </xdr:from>
    <xdr:ext cx="304800" cy="304800"/>
    <xdr:sp macro="" textlink="">
      <xdr:nvSpPr>
        <xdr:cNvPr id="4796" name="AutoShape 311">
          <a:extLst>
            <a:ext uri="{FF2B5EF4-FFF2-40B4-BE49-F238E27FC236}">
              <a16:creationId xmlns:a16="http://schemas.microsoft.com/office/drawing/2014/main" id="{88BF9976-6EEA-4B02-B0A9-83378FDD0AF7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7</xdr:row>
      <xdr:rowOff>0</xdr:rowOff>
    </xdr:from>
    <xdr:ext cx="9525" cy="9525"/>
    <xdr:pic>
      <xdr:nvPicPr>
        <xdr:cNvPr id="4797" name="Picture 4796">
          <a:extLst>
            <a:ext uri="{FF2B5EF4-FFF2-40B4-BE49-F238E27FC236}">
              <a16:creationId xmlns:a16="http://schemas.microsoft.com/office/drawing/2014/main" id="{15897178-BDEC-4C76-824C-A01779D91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</xdr:row>
      <xdr:rowOff>0</xdr:rowOff>
    </xdr:from>
    <xdr:ext cx="304800" cy="304800"/>
    <xdr:sp macro="" textlink="">
      <xdr:nvSpPr>
        <xdr:cNvPr id="4798" name="AutoShape 363">
          <a:extLst>
            <a:ext uri="{FF2B5EF4-FFF2-40B4-BE49-F238E27FC236}">
              <a16:creationId xmlns:a16="http://schemas.microsoft.com/office/drawing/2014/main" id="{E559056A-8C61-4663-A14C-66B322ADD63F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7</xdr:row>
      <xdr:rowOff>0</xdr:rowOff>
    </xdr:from>
    <xdr:ext cx="9525" cy="9525"/>
    <xdr:pic>
      <xdr:nvPicPr>
        <xdr:cNvPr id="4799" name="Picture 4798">
          <a:extLst>
            <a:ext uri="{FF2B5EF4-FFF2-40B4-BE49-F238E27FC236}">
              <a16:creationId xmlns:a16="http://schemas.microsoft.com/office/drawing/2014/main" id="{80963088-B1D1-4242-BC82-D25CDE391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</xdr:row>
      <xdr:rowOff>0</xdr:rowOff>
    </xdr:from>
    <xdr:ext cx="304800" cy="304800"/>
    <xdr:sp macro="" textlink="">
      <xdr:nvSpPr>
        <xdr:cNvPr id="4800" name="AutoShape 419">
          <a:extLst>
            <a:ext uri="{FF2B5EF4-FFF2-40B4-BE49-F238E27FC236}">
              <a16:creationId xmlns:a16="http://schemas.microsoft.com/office/drawing/2014/main" id="{CD6E8977-D8B5-43E5-AC9B-7B16FFDD481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7</xdr:row>
      <xdr:rowOff>0</xdr:rowOff>
    </xdr:from>
    <xdr:ext cx="9525" cy="9525"/>
    <xdr:pic>
      <xdr:nvPicPr>
        <xdr:cNvPr id="4801" name="Picture 4800">
          <a:extLst>
            <a:ext uri="{FF2B5EF4-FFF2-40B4-BE49-F238E27FC236}">
              <a16:creationId xmlns:a16="http://schemas.microsoft.com/office/drawing/2014/main" id="{5A10F161-8509-448E-9482-F6E574CFD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</xdr:row>
      <xdr:rowOff>0</xdr:rowOff>
    </xdr:from>
    <xdr:ext cx="304800" cy="304800"/>
    <xdr:sp macro="" textlink="">
      <xdr:nvSpPr>
        <xdr:cNvPr id="4802" name="AutoShape 475">
          <a:extLst>
            <a:ext uri="{FF2B5EF4-FFF2-40B4-BE49-F238E27FC236}">
              <a16:creationId xmlns:a16="http://schemas.microsoft.com/office/drawing/2014/main" id="{3BBABE71-5670-4CA7-A89A-F3C1D181BE6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7</xdr:row>
      <xdr:rowOff>0</xdr:rowOff>
    </xdr:from>
    <xdr:ext cx="9525" cy="9525"/>
    <xdr:pic>
      <xdr:nvPicPr>
        <xdr:cNvPr id="4803" name="Picture 4802">
          <a:extLst>
            <a:ext uri="{FF2B5EF4-FFF2-40B4-BE49-F238E27FC236}">
              <a16:creationId xmlns:a16="http://schemas.microsoft.com/office/drawing/2014/main" id="{91764292-560A-4B5B-85FB-52CD4E88E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9525" cy="9525"/>
    <xdr:pic>
      <xdr:nvPicPr>
        <xdr:cNvPr id="4804" name="Picture 4803">
          <a:extLst>
            <a:ext uri="{FF2B5EF4-FFF2-40B4-BE49-F238E27FC236}">
              <a16:creationId xmlns:a16="http://schemas.microsoft.com/office/drawing/2014/main" id="{E3AF55D1-2896-4777-A5A5-029BE6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9525" cy="9525"/>
    <xdr:pic>
      <xdr:nvPicPr>
        <xdr:cNvPr id="4805" name="Picture 4804">
          <a:extLst>
            <a:ext uri="{FF2B5EF4-FFF2-40B4-BE49-F238E27FC236}">
              <a16:creationId xmlns:a16="http://schemas.microsoft.com/office/drawing/2014/main" id="{5FB726B7-22E4-420A-81EE-113E3A787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4800"/>
    <xdr:sp macro="" textlink="">
      <xdr:nvSpPr>
        <xdr:cNvPr id="4806" name="AutoShape 183">
          <a:extLst>
            <a:ext uri="{FF2B5EF4-FFF2-40B4-BE49-F238E27FC236}">
              <a16:creationId xmlns:a16="http://schemas.microsoft.com/office/drawing/2014/main" id="{4133077E-059F-401C-A3E3-7664C2DBED78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15</xdr:row>
      <xdr:rowOff>0</xdr:rowOff>
    </xdr:from>
    <xdr:ext cx="9525" cy="9525"/>
    <xdr:pic>
      <xdr:nvPicPr>
        <xdr:cNvPr id="4807" name="Picture 4806">
          <a:extLst>
            <a:ext uri="{FF2B5EF4-FFF2-40B4-BE49-F238E27FC236}">
              <a16:creationId xmlns:a16="http://schemas.microsoft.com/office/drawing/2014/main" id="{84DAFC88-5C67-4BA7-BEB3-F6768B1A1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4800"/>
    <xdr:sp macro="" textlink="">
      <xdr:nvSpPr>
        <xdr:cNvPr id="4808" name="AutoShape 209">
          <a:extLst>
            <a:ext uri="{FF2B5EF4-FFF2-40B4-BE49-F238E27FC236}">
              <a16:creationId xmlns:a16="http://schemas.microsoft.com/office/drawing/2014/main" id="{EAE7AA68-E72A-45DE-83F5-082D5C61CDF5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15</xdr:row>
      <xdr:rowOff>0</xdr:rowOff>
    </xdr:from>
    <xdr:ext cx="9525" cy="9525"/>
    <xdr:pic>
      <xdr:nvPicPr>
        <xdr:cNvPr id="4809" name="Picture 4808">
          <a:extLst>
            <a:ext uri="{FF2B5EF4-FFF2-40B4-BE49-F238E27FC236}">
              <a16:creationId xmlns:a16="http://schemas.microsoft.com/office/drawing/2014/main" id="{06EFB175-2F91-4BEC-A229-EC43162F1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4800"/>
    <xdr:sp macro="" textlink="">
      <xdr:nvSpPr>
        <xdr:cNvPr id="4810" name="AutoShape 233">
          <a:extLst>
            <a:ext uri="{FF2B5EF4-FFF2-40B4-BE49-F238E27FC236}">
              <a16:creationId xmlns:a16="http://schemas.microsoft.com/office/drawing/2014/main" id="{D31D8D4F-7777-412A-B160-A13292B77797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15</xdr:row>
      <xdr:rowOff>0</xdr:rowOff>
    </xdr:from>
    <xdr:ext cx="9525" cy="9525"/>
    <xdr:pic>
      <xdr:nvPicPr>
        <xdr:cNvPr id="4811" name="Picture 4810">
          <a:extLst>
            <a:ext uri="{FF2B5EF4-FFF2-40B4-BE49-F238E27FC236}">
              <a16:creationId xmlns:a16="http://schemas.microsoft.com/office/drawing/2014/main" id="{C83914F9-4123-4DCA-84A2-58D8540FE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4800"/>
    <xdr:sp macro="" textlink="">
      <xdr:nvSpPr>
        <xdr:cNvPr id="4812" name="AutoShape 259">
          <a:extLst>
            <a:ext uri="{FF2B5EF4-FFF2-40B4-BE49-F238E27FC236}">
              <a16:creationId xmlns:a16="http://schemas.microsoft.com/office/drawing/2014/main" id="{2FCF6E25-D0E8-4BAE-A1B9-C95FCCC3E78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15</xdr:row>
      <xdr:rowOff>0</xdr:rowOff>
    </xdr:from>
    <xdr:ext cx="9525" cy="9525"/>
    <xdr:pic>
      <xdr:nvPicPr>
        <xdr:cNvPr id="4813" name="Picture 4812">
          <a:extLst>
            <a:ext uri="{FF2B5EF4-FFF2-40B4-BE49-F238E27FC236}">
              <a16:creationId xmlns:a16="http://schemas.microsoft.com/office/drawing/2014/main" id="{5839A315-26C7-4D19-8BAC-A9C657BD4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4800"/>
    <xdr:sp macro="" textlink="">
      <xdr:nvSpPr>
        <xdr:cNvPr id="4814" name="AutoShape 311">
          <a:extLst>
            <a:ext uri="{FF2B5EF4-FFF2-40B4-BE49-F238E27FC236}">
              <a16:creationId xmlns:a16="http://schemas.microsoft.com/office/drawing/2014/main" id="{BB43F486-4BE0-4144-95F6-D3D926B00E43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15</xdr:row>
      <xdr:rowOff>0</xdr:rowOff>
    </xdr:from>
    <xdr:ext cx="9525" cy="9525"/>
    <xdr:pic>
      <xdr:nvPicPr>
        <xdr:cNvPr id="4815" name="Picture 4814">
          <a:extLst>
            <a:ext uri="{FF2B5EF4-FFF2-40B4-BE49-F238E27FC236}">
              <a16:creationId xmlns:a16="http://schemas.microsoft.com/office/drawing/2014/main" id="{283BF6CF-5A65-4476-98F9-DE6F30762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4800"/>
    <xdr:sp macro="" textlink="">
      <xdr:nvSpPr>
        <xdr:cNvPr id="4816" name="AutoShape 363">
          <a:extLst>
            <a:ext uri="{FF2B5EF4-FFF2-40B4-BE49-F238E27FC236}">
              <a16:creationId xmlns:a16="http://schemas.microsoft.com/office/drawing/2014/main" id="{7C70E292-6218-4241-8BE9-0DA5BCA3A814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15</xdr:row>
      <xdr:rowOff>0</xdr:rowOff>
    </xdr:from>
    <xdr:ext cx="9525" cy="9525"/>
    <xdr:pic>
      <xdr:nvPicPr>
        <xdr:cNvPr id="4817" name="Picture 4816">
          <a:extLst>
            <a:ext uri="{FF2B5EF4-FFF2-40B4-BE49-F238E27FC236}">
              <a16:creationId xmlns:a16="http://schemas.microsoft.com/office/drawing/2014/main" id="{242DFBB8-0A5E-46DE-9DFD-A41A7C447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4800"/>
    <xdr:sp macro="" textlink="">
      <xdr:nvSpPr>
        <xdr:cNvPr id="4818" name="AutoShape 419">
          <a:extLst>
            <a:ext uri="{FF2B5EF4-FFF2-40B4-BE49-F238E27FC236}">
              <a16:creationId xmlns:a16="http://schemas.microsoft.com/office/drawing/2014/main" id="{54B9CAFE-999F-4B91-B83F-A12741034BF5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15</xdr:row>
      <xdr:rowOff>0</xdr:rowOff>
    </xdr:from>
    <xdr:ext cx="9525" cy="9525"/>
    <xdr:pic>
      <xdr:nvPicPr>
        <xdr:cNvPr id="4819" name="Picture 4818">
          <a:extLst>
            <a:ext uri="{FF2B5EF4-FFF2-40B4-BE49-F238E27FC236}">
              <a16:creationId xmlns:a16="http://schemas.microsoft.com/office/drawing/2014/main" id="{E3FC685F-8964-43DF-BB73-8FC8FBBA2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4800"/>
    <xdr:sp macro="" textlink="">
      <xdr:nvSpPr>
        <xdr:cNvPr id="4820" name="AutoShape 475">
          <a:extLst>
            <a:ext uri="{FF2B5EF4-FFF2-40B4-BE49-F238E27FC236}">
              <a16:creationId xmlns:a16="http://schemas.microsoft.com/office/drawing/2014/main" id="{31213185-53AE-4E53-87B1-7243B5BE0622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15</xdr:row>
      <xdr:rowOff>0</xdr:rowOff>
    </xdr:from>
    <xdr:ext cx="9525" cy="9525"/>
    <xdr:pic>
      <xdr:nvPicPr>
        <xdr:cNvPr id="4821" name="Picture 4820">
          <a:extLst>
            <a:ext uri="{FF2B5EF4-FFF2-40B4-BE49-F238E27FC236}">
              <a16:creationId xmlns:a16="http://schemas.microsoft.com/office/drawing/2014/main" id="{6D4F99BE-2E65-4EDB-8141-A13BDB8CD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21</xdr:row>
      <xdr:rowOff>0</xdr:rowOff>
    </xdr:from>
    <xdr:ext cx="304800" cy="304800"/>
    <xdr:sp macro="" textlink="">
      <xdr:nvSpPr>
        <xdr:cNvPr id="4822" name="AutoShape 154">
          <a:extLst>
            <a:ext uri="{FF2B5EF4-FFF2-40B4-BE49-F238E27FC236}">
              <a16:creationId xmlns:a16="http://schemas.microsoft.com/office/drawing/2014/main" id="{06D867A1-986F-4024-A791-4401D8165E86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21</xdr:row>
      <xdr:rowOff>0</xdr:rowOff>
    </xdr:from>
    <xdr:ext cx="304800" cy="304800"/>
    <xdr:sp macro="" textlink="">
      <xdr:nvSpPr>
        <xdr:cNvPr id="4823" name="AutoShape 505">
          <a:extLst>
            <a:ext uri="{FF2B5EF4-FFF2-40B4-BE49-F238E27FC236}">
              <a16:creationId xmlns:a16="http://schemas.microsoft.com/office/drawing/2014/main" id="{EFD25D31-69BA-4FAE-BBBB-DF88932A67FF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21</xdr:row>
      <xdr:rowOff>0</xdr:rowOff>
    </xdr:from>
    <xdr:ext cx="9525" cy="9525"/>
    <xdr:pic>
      <xdr:nvPicPr>
        <xdr:cNvPr id="4824" name="Picture 4823">
          <a:extLst>
            <a:ext uri="{FF2B5EF4-FFF2-40B4-BE49-F238E27FC236}">
              <a16:creationId xmlns:a16="http://schemas.microsoft.com/office/drawing/2014/main" id="{2C653F8D-49F5-4334-AE90-CC3D207B5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21</xdr:row>
      <xdr:rowOff>0</xdr:rowOff>
    </xdr:from>
    <xdr:ext cx="9525" cy="9525"/>
    <xdr:pic>
      <xdr:nvPicPr>
        <xdr:cNvPr id="4825" name="Picture 4824">
          <a:extLst>
            <a:ext uri="{FF2B5EF4-FFF2-40B4-BE49-F238E27FC236}">
              <a16:creationId xmlns:a16="http://schemas.microsoft.com/office/drawing/2014/main" id="{25EF988A-CE8B-481B-8701-FEFFDDF8D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21</xdr:row>
      <xdr:rowOff>0</xdr:rowOff>
    </xdr:from>
    <xdr:ext cx="304800" cy="304800"/>
    <xdr:sp macro="" textlink="">
      <xdr:nvSpPr>
        <xdr:cNvPr id="4826" name="AutoShape 183">
          <a:extLst>
            <a:ext uri="{FF2B5EF4-FFF2-40B4-BE49-F238E27FC236}">
              <a16:creationId xmlns:a16="http://schemas.microsoft.com/office/drawing/2014/main" id="{4FE0F2B3-DB3A-47A6-BEF8-0FD45B8A09E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21</xdr:row>
      <xdr:rowOff>0</xdr:rowOff>
    </xdr:from>
    <xdr:ext cx="9525" cy="9525"/>
    <xdr:pic>
      <xdr:nvPicPr>
        <xdr:cNvPr id="4827" name="Picture 4826">
          <a:extLst>
            <a:ext uri="{FF2B5EF4-FFF2-40B4-BE49-F238E27FC236}">
              <a16:creationId xmlns:a16="http://schemas.microsoft.com/office/drawing/2014/main" id="{5F1C0F52-88F9-4259-AB4B-593D703C6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21</xdr:row>
      <xdr:rowOff>0</xdr:rowOff>
    </xdr:from>
    <xdr:ext cx="304800" cy="304800"/>
    <xdr:sp macro="" textlink="">
      <xdr:nvSpPr>
        <xdr:cNvPr id="4828" name="AutoShape 209">
          <a:extLst>
            <a:ext uri="{FF2B5EF4-FFF2-40B4-BE49-F238E27FC236}">
              <a16:creationId xmlns:a16="http://schemas.microsoft.com/office/drawing/2014/main" id="{8963D640-15A9-4872-A612-0E33D56FED0C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21</xdr:row>
      <xdr:rowOff>0</xdr:rowOff>
    </xdr:from>
    <xdr:ext cx="9525" cy="9525"/>
    <xdr:pic>
      <xdr:nvPicPr>
        <xdr:cNvPr id="4829" name="Picture 4828">
          <a:extLst>
            <a:ext uri="{FF2B5EF4-FFF2-40B4-BE49-F238E27FC236}">
              <a16:creationId xmlns:a16="http://schemas.microsoft.com/office/drawing/2014/main" id="{CA5D4FC7-EBD4-453D-93C0-CA5DFBF6E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21</xdr:row>
      <xdr:rowOff>0</xdr:rowOff>
    </xdr:from>
    <xdr:ext cx="304800" cy="304800"/>
    <xdr:sp macro="" textlink="">
      <xdr:nvSpPr>
        <xdr:cNvPr id="4830" name="AutoShape 233">
          <a:extLst>
            <a:ext uri="{FF2B5EF4-FFF2-40B4-BE49-F238E27FC236}">
              <a16:creationId xmlns:a16="http://schemas.microsoft.com/office/drawing/2014/main" id="{22295E27-20B8-45B7-8FD6-DE2D2AC5732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21</xdr:row>
      <xdr:rowOff>0</xdr:rowOff>
    </xdr:from>
    <xdr:ext cx="9525" cy="9525"/>
    <xdr:pic>
      <xdr:nvPicPr>
        <xdr:cNvPr id="4831" name="Picture 4830">
          <a:extLst>
            <a:ext uri="{FF2B5EF4-FFF2-40B4-BE49-F238E27FC236}">
              <a16:creationId xmlns:a16="http://schemas.microsoft.com/office/drawing/2014/main" id="{ACFBDE55-CC29-4B9C-BAE6-167E1FEB1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21</xdr:row>
      <xdr:rowOff>0</xdr:rowOff>
    </xdr:from>
    <xdr:ext cx="304800" cy="304800"/>
    <xdr:sp macro="" textlink="">
      <xdr:nvSpPr>
        <xdr:cNvPr id="4832" name="AutoShape 259">
          <a:extLst>
            <a:ext uri="{FF2B5EF4-FFF2-40B4-BE49-F238E27FC236}">
              <a16:creationId xmlns:a16="http://schemas.microsoft.com/office/drawing/2014/main" id="{FB61567C-8B50-409D-9925-E9621FD96035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21</xdr:row>
      <xdr:rowOff>0</xdr:rowOff>
    </xdr:from>
    <xdr:ext cx="9525" cy="9525"/>
    <xdr:pic>
      <xdr:nvPicPr>
        <xdr:cNvPr id="4833" name="Picture 4832">
          <a:extLst>
            <a:ext uri="{FF2B5EF4-FFF2-40B4-BE49-F238E27FC236}">
              <a16:creationId xmlns:a16="http://schemas.microsoft.com/office/drawing/2014/main" id="{003768C8-BC65-4C54-8BA0-0182FF946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21</xdr:row>
      <xdr:rowOff>0</xdr:rowOff>
    </xdr:from>
    <xdr:ext cx="304800" cy="304800"/>
    <xdr:sp macro="" textlink="">
      <xdr:nvSpPr>
        <xdr:cNvPr id="4834" name="AutoShape 311">
          <a:extLst>
            <a:ext uri="{FF2B5EF4-FFF2-40B4-BE49-F238E27FC236}">
              <a16:creationId xmlns:a16="http://schemas.microsoft.com/office/drawing/2014/main" id="{8BBD50E0-8DFF-4ACD-A998-CA81FFEFC21A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21</xdr:row>
      <xdr:rowOff>0</xdr:rowOff>
    </xdr:from>
    <xdr:ext cx="9525" cy="9525"/>
    <xdr:pic>
      <xdr:nvPicPr>
        <xdr:cNvPr id="4835" name="Picture 4834">
          <a:extLst>
            <a:ext uri="{FF2B5EF4-FFF2-40B4-BE49-F238E27FC236}">
              <a16:creationId xmlns:a16="http://schemas.microsoft.com/office/drawing/2014/main" id="{4EC65EAB-69CA-436C-847F-EFA977907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21</xdr:row>
      <xdr:rowOff>0</xdr:rowOff>
    </xdr:from>
    <xdr:ext cx="304800" cy="304800"/>
    <xdr:sp macro="" textlink="">
      <xdr:nvSpPr>
        <xdr:cNvPr id="4836" name="AutoShape 363">
          <a:extLst>
            <a:ext uri="{FF2B5EF4-FFF2-40B4-BE49-F238E27FC236}">
              <a16:creationId xmlns:a16="http://schemas.microsoft.com/office/drawing/2014/main" id="{3BC341F1-38A3-4A70-90F8-8E216FA0B5E2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21</xdr:row>
      <xdr:rowOff>0</xdr:rowOff>
    </xdr:from>
    <xdr:ext cx="9525" cy="9525"/>
    <xdr:pic>
      <xdr:nvPicPr>
        <xdr:cNvPr id="4837" name="Picture 4836">
          <a:extLst>
            <a:ext uri="{FF2B5EF4-FFF2-40B4-BE49-F238E27FC236}">
              <a16:creationId xmlns:a16="http://schemas.microsoft.com/office/drawing/2014/main" id="{03BDA74D-3315-42DF-BA8F-F584C80CB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21</xdr:row>
      <xdr:rowOff>0</xdr:rowOff>
    </xdr:from>
    <xdr:ext cx="304800" cy="304800"/>
    <xdr:sp macro="" textlink="">
      <xdr:nvSpPr>
        <xdr:cNvPr id="4838" name="AutoShape 419">
          <a:extLst>
            <a:ext uri="{FF2B5EF4-FFF2-40B4-BE49-F238E27FC236}">
              <a16:creationId xmlns:a16="http://schemas.microsoft.com/office/drawing/2014/main" id="{127ACB51-AC4F-441C-9E95-F1ECBAF794EF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21</xdr:row>
      <xdr:rowOff>0</xdr:rowOff>
    </xdr:from>
    <xdr:ext cx="9525" cy="9525"/>
    <xdr:pic>
      <xdr:nvPicPr>
        <xdr:cNvPr id="4839" name="Picture 4838">
          <a:extLst>
            <a:ext uri="{FF2B5EF4-FFF2-40B4-BE49-F238E27FC236}">
              <a16:creationId xmlns:a16="http://schemas.microsoft.com/office/drawing/2014/main" id="{00821E10-C091-4465-9A8F-CF3FFEAED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21</xdr:row>
      <xdr:rowOff>0</xdr:rowOff>
    </xdr:from>
    <xdr:ext cx="304800" cy="304800"/>
    <xdr:sp macro="" textlink="">
      <xdr:nvSpPr>
        <xdr:cNvPr id="4840" name="AutoShape 475">
          <a:extLst>
            <a:ext uri="{FF2B5EF4-FFF2-40B4-BE49-F238E27FC236}">
              <a16:creationId xmlns:a16="http://schemas.microsoft.com/office/drawing/2014/main" id="{26512D50-41A6-4DE8-9ED7-C24A550318EE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21</xdr:row>
      <xdr:rowOff>0</xdr:rowOff>
    </xdr:from>
    <xdr:ext cx="9525" cy="9525"/>
    <xdr:pic>
      <xdr:nvPicPr>
        <xdr:cNvPr id="4841" name="Picture 4840">
          <a:extLst>
            <a:ext uri="{FF2B5EF4-FFF2-40B4-BE49-F238E27FC236}">
              <a16:creationId xmlns:a16="http://schemas.microsoft.com/office/drawing/2014/main" id="{51092FE6-C277-402B-AF50-B4F2F2714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16</xdr:row>
      <xdr:rowOff>0</xdr:rowOff>
    </xdr:from>
    <xdr:ext cx="9525" cy="9525"/>
    <xdr:pic>
      <xdr:nvPicPr>
        <xdr:cNvPr id="4842" name="Picture 4841">
          <a:extLst>
            <a:ext uri="{FF2B5EF4-FFF2-40B4-BE49-F238E27FC236}">
              <a16:creationId xmlns:a16="http://schemas.microsoft.com/office/drawing/2014/main" id="{733F69C2-3CDB-41E5-BEB2-E78E9BE91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3440"/>
    <xdr:sp macro="" textlink="">
      <xdr:nvSpPr>
        <xdr:cNvPr id="4843" name="AutoShape 169">
          <a:extLst>
            <a:ext uri="{FF2B5EF4-FFF2-40B4-BE49-F238E27FC236}">
              <a16:creationId xmlns:a16="http://schemas.microsoft.com/office/drawing/2014/main" id="{DEE965E3-78D1-48EE-A616-BFB58CFE2BBE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304800" cy="303439"/>
    <xdr:sp macro="" textlink="">
      <xdr:nvSpPr>
        <xdr:cNvPr id="4844" name="AutoShape 171">
          <a:extLst>
            <a:ext uri="{FF2B5EF4-FFF2-40B4-BE49-F238E27FC236}">
              <a16:creationId xmlns:a16="http://schemas.microsoft.com/office/drawing/2014/main" id="{B73988F8-9847-44D5-BAE4-FA953BDCBE2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9525" cy="9525"/>
    <xdr:pic>
      <xdr:nvPicPr>
        <xdr:cNvPr id="4845" name="Picture 4844">
          <a:extLst>
            <a:ext uri="{FF2B5EF4-FFF2-40B4-BE49-F238E27FC236}">
              <a16:creationId xmlns:a16="http://schemas.microsoft.com/office/drawing/2014/main" id="{69DB3026-C867-4935-B58D-3C65983D7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3440"/>
    <xdr:sp macro="" textlink="">
      <xdr:nvSpPr>
        <xdr:cNvPr id="4846" name="AutoShape 199">
          <a:extLst>
            <a:ext uri="{FF2B5EF4-FFF2-40B4-BE49-F238E27FC236}">
              <a16:creationId xmlns:a16="http://schemas.microsoft.com/office/drawing/2014/main" id="{5B965594-3EBB-4FE9-AF42-1B7D0E672D27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9525" cy="9525"/>
    <xdr:pic>
      <xdr:nvPicPr>
        <xdr:cNvPr id="4847" name="Picture 4846">
          <a:extLst>
            <a:ext uri="{FF2B5EF4-FFF2-40B4-BE49-F238E27FC236}">
              <a16:creationId xmlns:a16="http://schemas.microsoft.com/office/drawing/2014/main" id="{BD59D599-38CF-4E95-99E5-4A6732AD1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16</xdr:row>
      <xdr:rowOff>0</xdr:rowOff>
    </xdr:from>
    <xdr:ext cx="9525" cy="9525"/>
    <xdr:pic>
      <xdr:nvPicPr>
        <xdr:cNvPr id="4848" name="Picture 4847">
          <a:extLst>
            <a:ext uri="{FF2B5EF4-FFF2-40B4-BE49-F238E27FC236}">
              <a16:creationId xmlns:a16="http://schemas.microsoft.com/office/drawing/2014/main" id="{5F7B7A82-625D-407C-B0DB-25ECA3FC3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3440"/>
    <xdr:sp macro="" textlink="">
      <xdr:nvSpPr>
        <xdr:cNvPr id="4849" name="AutoShape 249">
          <a:extLst>
            <a:ext uri="{FF2B5EF4-FFF2-40B4-BE49-F238E27FC236}">
              <a16:creationId xmlns:a16="http://schemas.microsoft.com/office/drawing/2014/main" id="{BE00528B-10CB-4F68-931C-16C551FEFF1A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9525" cy="9525"/>
    <xdr:pic>
      <xdr:nvPicPr>
        <xdr:cNvPr id="4850" name="Picture 4849">
          <a:extLst>
            <a:ext uri="{FF2B5EF4-FFF2-40B4-BE49-F238E27FC236}">
              <a16:creationId xmlns:a16="http://schemas.microsoft.com/office/drawing/2014/main" id="{575B66C4-83F3-44B8-8BE2-AE9E8EBF7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3440"/>
    <xdr:sp macro="" textlink="">
      <xdr:nvSpPr>
        <xdr:cNvPr id="4851" name="AutoShape 275">
          <a:extLst>
            <a:ext uri="{FF2B5EF4-FFF2-40B4-BE49-F238E27FC236}">
              <a16:creationId xmlns:a16="http://schemas.microsoft.com/office/drawing/2014/main" id="{90D59700-0EA7-4642-936B-D58F69AB1C5A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9525" cy="9525"/>
    <xdr:pic>
      <xdr:nvPicPr>
        <xdr:cNvPr id="4852" name="Picture 4851">
          <a:extLst>
            <a:ext uri="{FF2B5EF4-FFF2-40B4-BE49-F238E27FC236}">
              <a16:creationId xmlns:a16="http://schemas.microsoft.com/office/drawing/2014/main" id="{41D21DF8-9D2C-4726-BAE9-47730CB76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3440"/>
    <xdr:sp macro="" textlink="">
      <xdr:nvSpPr>
        <xdr:cNvPr id="4853" name="AutoShape 327">
          <a:extLst>
            <a:ext uri="{FF2B5EF4-FFF2-40B4-BE49-F238E27FC236}">
              <a16:creationId xmlns:a16="http://schemas.microsoft.com/office/drawing/2014/main" id="{83723EDD-14EE-4AC7-9F9C-6855C1EE70A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9525" cy="9525"/>
    <xdr:pic>
      <xdr:nvPicPr>
        <xdr:cNvPr id="4854" name="Picture 4853">
          <a:extLst>
            <a:ext uri="{FF2B5EF4-FFF2-40B4-BE49-F238E27FC236}">
              <a16:creationId xmlns:a16="http://schemas.microsoft.com/office/drawing/2014/main" id="{EDCD243B-4C6C-4C4F-B29F-D7D2E3B99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3440"/>
    <xdr:sp macro="" textlink="">
      <xdr:nvSpPr>
        <xdr:cNvPr id="4855" name="AutoShape 379">
          <a:extLst>
            <a:ext uri="{FF2B5EF4-FFF2-40B4-BE49-F238E27FC236}">
              <a16:creationId xmlns:a16="http://schemas.microsoft.com/office/drawing/2014/main" id="{92DB8690-A13A-4BB5-B2D3-4A0576E43B2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304800" cy="303439"/>
    <xdr:sp macro="" textlink="">
      <xdr:nvSpPr>
        <xdr:cNvPr id="4856" name="AutoShape 381">
          <a:extLst>
            <a:ext uri="{FF2B5EF4-FFF2-40B4-BE49-F238E27FC236}">
              <a16:creationId xmlns:a16="http://schemas.microsoft.com/office/drawing/2014/main" id="{6D007899-5818-4C0A-853B-4CE3BABB8303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9525" cy="9525"/>
    <xdr:pic>
      <xdr:nvPicPr>
        <xdr:cNvPr id="4857" name="Picture 4856">
          <a:extLst>
            <a:ext uri="{FF2B5EF4-FFF2-40B4-BE49-F238E27FC236}">
              <a16:creationId xmlns:a16="http://schemas.microsoft.com/office/drawing/2014/main" id="{881086B3-E2B5-446B-8689-D9E99A519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3440"/>
    <xdr:sp macro="" textlink="">
      <xdr:nvSpPr>
        <xdr:cNvPr id="4858" name="AutoShape 435">
          <a:extLst>
            <a:ext uri="{FF2B5EF4-FFF2-40B4-BE49-F238E27FC236}">
              <a16:creationId xmlns:a16="http://schemas.microsoft.com/office/drawing/2014/main" id="{5F3F9394-CF04-4830-97CE-60E6B724568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304800" cy="303439"/>
    <xdr:sp macro="" textlink="">
      <xdr:nvSpPr>
        <xdr:cNvPr id="4859" name="AutoShape 437">
          <a:extLst>
            <a:ext uri="{FF2B5EF4-FFF2-40B4-BE49-F238E27FC236}">
              <a16:creationId xmlns:a16="http://schemas.microsoft.com/office/drawing/2014/main" id="{D1C4F791-8E8D-47EE-B2ED-5898E2C8443D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9525" cy="9525"/>
    <xdr:pic>
      <xdr:nvPicPr>
        <xdr:cNvPr id="4860" name="Picture 4859">
          <a:extLst>
            <a:ext uri="{FF2B5EF4-FFF2-40B4-BE49-F238E27FC236}">
              <a16:creationId xmlns:a16="http://schemas.microsoft.com/office/drawing/2014/main" id="{6806C8DC-96E0-4054-9BFE-182E8C737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3440"/>
    <xdr:sp macro="" textlink="">
      <xdr:nvSpPr>
        <xdr:cNvPr id="4861" name="AutoShape 491">
          <a:extLst>
            <a:ext uri="{FF2B5EF4-FFF2-40B4-BE49-F238E27FC236}">
              <a16:creationId xmlns:a16="http://schemas.microsoft.com/office/drawing/2014/main" id="{CAE21622-8927-422F-B84C-2230D6AE1842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304800" cy="303439"/>
    <xdr:sp macro="" textlink="">
      <xdr:nvSpPr>
        <xdr:cNvPr id="4862" name="AutoShape 493">
          <a:extLst>
            <a:ext uri="{FF2B5EF4-FFF2-40B4-BE49-F238E27FC236}">
              <a16:creationId xmlns:a16="http://schemas.microsoft.com/office/drawing/2014/main" id="{90E6BE5F-B47D-47FC-9201-633927352A7D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9525" cy="9525"/>
    <xdr:pic>
      <xdr:nvPicPr>
        <xdr:cNvPr id="4863" name="Picture 4862">
          <a:extLst>
            <a:ext uri="{FF2B5EF4-FFF2-40B4-BE49-F238E27FC236}">
              <a16:creationId xmlns:a16="http://schemas.microsoft.com/office/drawing/2014/main" id="{6D2FE4FA-9361-469F-A337-D63EA764C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3440"/>
    <xdr:sp macro="" textlink="">
      <xdr:nvSpPr>
        <xdr:cNvPr id="4864" name="AutoShape 525">
          <a:extLst>
            <a:ext uri="{FF2B5EF4-FFF2-40B4-BE49-F238E27FC236}">
              <a16:creationId xmlns:a16="http://schemas.microsoft.com/office/drawing/2014/main" id="{4F0F6496-E1C7-409E-9C2A-2079B859EA61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304800" cy="303439"/>
    <xdr:sp macro="" textlink="">
      <xdr:nvSpPr>
        <xdr:cNvPr id="4865" name="AutoShape 527">
          <a:extLst>
            <a:ext uri="{FF2B5EF4-FFF2-40B4-BE49-F238E27FC236}">
              <a16:creationId xmlns:a16="http://schemas.microsoft.com/office/drawing/2014/main" id="{ED5EE91E-E6CE-4E15-B99E-CF553A54D05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19</xdr:row>
      <xdr:rowOff>0</xdr:rowOff>
    </xdr:from>
    <xdr:ext cx="9525" cy="9525"/>
    <xdr:pic>
      <xdr:nvPicPr>
        <xdr:cNvPr id="4866" name="Picture 4865">
          <a:extLst>
            <a:ext uri="{FF2B5EF4-FFF2-40B4-BE49-F238E27FC236}">
              <a16:creationId xmlns:a16="http://schemas.microsoft.com/office/drawing/2014/main" id="{8E4CC935-9B09-4070-AB89-01C3793A1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18</xdr:row>
      <xdr:rowOff>0</xdr:rowOff>
    </xdr:from>
    <xdr:ext cx="304800" cy="303440"/>
    <xdr:sp macro="" textlink="">
      <xdr:nvSpPr>
        <xdr:cNvPr id="4867" name="AutoShape 173">
          <a:extLst>
            <a:ext uri="{FF2B5EF4-FFF2-40B4-BE49-F238E27FC236}">
              <a16:creationId xmlns:a16="http://schemas.microsoft.com/office/drawing/2014/main" id="{B92031FD-A059-432C-8B89-A88428818D13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653643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20</xdr:row>
      <xdr:rowOff>0</xdr:rowOff>
    </xdr:from>
    <xdr:ext cx="9525" cy="9525"/>
    <xdr:pic>
      <xdr:nvPicPr>
        <xdr:cNvPr id="4868" name="Picture 4867">
          <a:extLst>
            <a:ext uri="{FF2B5EF4-FFF2-40B4-BE49-F238E27FC236}">
              <a16:creationId xmlns:a16="http://schemas.microsoft.com/office/drawing/2014/main" id="{D67EA461-C19B-436C-8ADA-BA5DC78D7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19</xdr:row>
      <xdr:rowOff>0</xdr:rowOff>
    </xdr:from>
    <xdr:ext cx="9525" cy="9525"/>
    <xdr:pic>
      <xdr:nvPicPr>
        <xdr:cNvPr id="4869" name="Picture 4868">
          <a:extLst>
            <a:ext uri="{FF2B5EF4-FFF2-40B4-BE49-F238E27FC236}">
              <a16:creationId xmlns:a16="http://schemas.microsoft.com/office/drawing/2014/main" id="{45AEB68E-8C95-4009-81DC-BC3A2466D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19</xdr:row>
      <xdr:rowOff>0</xdr:rowOff>
    </xdr:from>
    <xdr:ext cx="9525" cy="9525"/>
    <xdr:pic>
      <xdr:nvPicPr>
        <xdr:cNvPr id="4870" name="Picture 4869">
          <a:extLst>
            <a:ext uri="{FF2B5EF4-FFF2-40B4-BE49-F238E27FC236}">
              <a16:creationId xmlns:a16="http://schemas.microsoft.com/office/drawing/2014/main" id="{60EE9E4F-231D-43DD-B1DD-68B095153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19</xdr:row>
      <xdr:rowOff>0</xdr:rowOff>
    </xdr:from>
    <xdr:ext cx="9525" cy="9525"/>
    <xdr:pic>
      <xdr:nvPicPr>
        <xdr:cNvPr id="4871" name="Picture 4870">
          <a:extLst>
            <a:ext uri="{FF2B5EF4-FFF2-40B4-BE49-F238E27FC236}">
              <a16:creationId xmlns:a16="http://schemas.microsoft.com/office/drawing/2014/main" id="{147A2772-C797-45D2-AAEC-3E9AD3DFE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19</xdr:row>
      <xdr:rowOff>0</xdr:rowOff>
    </xdr:from>
    <xdr:ext cx="9525" cy="9525"/>
    <xdr:pic>
      <xdr:nvPicPr>
        <xdr:cNvPr id="4872" name="Picture 4871">
          <a:extLst>
            <a:ext uri="{FF2B5EF4-FFF2-40B4-BE49-F238E27FC236}">
              <a16:creationId xmlns:a16="http://schemas.microsoft.com/office/drawing/2014/main" id="{2FC6F323-BAC5-4F71-A930-85B2E716E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19</xdr:row>
      <xdr:rowOff>0</xdr:rowOff>
    </xdr:from>
    <xdr:ext cx="9525" cy="9525"/>
    <xdr:pic>
      <xdr:nvPicPr>
        <xdr:cNvPr id="4873" name="Picture 4872">
          <a:extLst>
            <a:ext uri="{FF2B5EF4-FFF2-40B4-BE49-F238E27FC236}">
              <a16:creationId xmlns:a16="http://schemas.microsoft.com/office/drawing/2014/main" id="{B14E3ED6-CD71-4F28-9B81-6A33F1063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20</xdr:row>
      <xdr:rowOff>0</xdr:rowOff>
    </xdr:from>
    <xdr:ext cx="9525" cy="9525"/>
    <xdr:pic>
      <xdr:nvPicPr>
        <xdr:cNvPr id="4874" name="Picture 4873">
          <a:extLst>
            <a:ext uri="{FF2B5EF4-FFF2-40B4-BE49-F238E27FC236}">
              <a16:creationId xmlns:a16="http://schemas.microsoft.com/office/drawing/2014/main" id="{5FEE326D-7B35-4F94-A67A-A9834E5C4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19</xdr:row>
      <xdr:rowOff>0</xdr:rowOff>
    </xdr:from>
    <xdr:ext cx="9525" cy="9525"/>
    <xdr:pic>
      <xdr:nvPicPr>
        <xdr:cNvPr id="4875" name="Picture 4874">
          <a:extLst>
            <a:ext uri="{FF2B5EF4-FFF2-40B4-BE49-F238E27FC236}">
              <a16:creationId xmlns:a16="http://schemas.microsoft.com/office/drawing/2014/main" id="{90BCD3A0-D555-46E5-BCFC-320CB56FB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20</xdr:row>
      <xdr:rowOff>0</xdr:rowOff>
    </xdr:from>
    <xdr:ext cx="9525" cy="9525"/>
    <xdr:pic>
      <xdr:nvPicPr>
        <xdr:cNvPr id="4876" name="Picture 4875">
          <a:extLst>
            <a:ext uri="{FF2B5EF4-FFF2-40B4-BE49-F238E27FC236}">
              <a16:creationId xmlns:a16="http://schemas.microsoft.com/office/drawing/2014/main" id="{4F343952-9645-4393-B92A-CF613E1D4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19</xdr:row>
      <xdr:rowOff>0</xdr:rowOff>
    </xdr:from>
    <xdr:ext cx="9525" cy="9525"/>
    <xdr:pic>
      <xdr:nvPicPr>
        <xdr:cNvPr id="4877" name="Picture 4876">
          <a:extLst>
            <a:ext uri="{FF2B5EF4-FFF2-40B4-BE49-F238E27FC236}">
              <a16:creationId xmlns:a16="http://schemas.microsoft.com/office/drawing/2014/main" id="{CD47485C-EE8E-489E-A680-B0EA36E3A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20</xdr:row>
      <xdr:rowOff>0</xdr:rowOff>
    </xdr:from>
    <xdr:ext cx="9525" cy="9525"/>
    <xdr:pic>
      <xdr:nvPicPr>
        <xdr:cNvPr id="4878" name="Picture 4877">
          <a:extLst>
            <a:ext uri="{FF2B5EF4-FFF2-40B4-BE49-F238E27FC236}">
              <a16:creationId xmlns:a16="http://schemas.microsoft.com/office/drawing/2014/main" id="{AF0FE31D-8A9B-4423-AA53-80A9D0B92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19</xdr:row>
      <xdr:rowOff>0</xdr:rowOff>
    </xdr:from>
    <xdr:ext cx="9525" cy="9525"/>
    <xdr:pic>
      <xdr:nvPicPr>
        <xdr:cNvPr id="4879" name="Picture 4878">
          <a:extLst>
            <a:ext uri="{FF2B5EF4-FFF2-40B4-BE49-F238E27FC236}">
              <a16:creationId xmlns:a16="http://schemas.microsoft.com/office/drawing/2014/main" id="{F7124B23-9C56-4EB3-8B3F-AEC95222C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18</xdr:row>
      <xdr:rowOff>0</xdr:rowOff>
    </xdr:from>
    <xdr:ext cx="304800" cy="303439"/>
    <xdr:sp macro="" textlink="">
      <xdr:nvSpPr>
        <xdr:cNvPr id="4880" name="AutoShape 529">
          <a:extLst>
            <a:ext uri="{FF2B5EF4-FFF2-40B4-BE49-F238E27FC236}">
              <a16:creationId xmlns:a16="http://schemas.microsoft.com/office/drawing/2014/main" id="{B458FA2D-5CD1-4582-93A3-AB29305E5F64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6536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20</xdr:row>
      <xdr:rowOff>0</xdr:rowOff>
    </xdr:from>
    <xdr:ext cx="9525" cy="9525"/>
    <xdr:pic>
      <xdr:nvPicPr>
        <xdr:cNvPr id="4881" name="Picture 4880">
          <a:extLst>
            <a:ext uri="{FF2B5EF4-FFF2-40B4-BE49-F238E27FC236}">
              <a16:creationId xmlns:a16="http://schemas.microsoft.com/office/drawing/2014/main" id="{A5B89E51-B6C9-4A17-B0F3-108F0B55A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19</xdr:row>
      <xdr:rowOff>0</xdr:rowOff>
    </xdr:from>
    <xdr:ext cx="304800" cy="303439"/>
    <xdr:sp macro="" textlink="">
      <xdr:nvSpPr>
        <xdr:cNvPr id="4882" name="AutoShape 531">
          <a:extLst>
            <a:ext uri="{FF2B5EF4-FFF2-40B4-BE49-F238E27FC236}">
              <a16:creationId xmlns:a16="http://schemas.microsoft.com/office/drawing/2014/main" id="{7CBBC0E9-9CE6-4CF8-B08A-121060997278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8441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9525" cy="9525"/>
    <xdr:pic>
      <xdr:nvPicPr>
        <xdr:cNvPr id="4883" name="Picture 4882">
          <a:extLst>
            <a:ext uri="{FF2B5EF4-FFF2-40B4-BE49-F238E27FC236}">
              <a16:creationId xmlns:a16="http://schemas.microsoft.com/office/drawing/2014/main" id="{A204E634-C383-449D-8290-C76BE2CFA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17</xdr:row>
      <xdr:rowOff>0</xdr:rowOff>
    </xdr:from>
    <xdr:ext cx="304800" cy="303439"/>
    <xdr:sp macro="" textlink="">
      <xdr:nvSpPr>
        <xdr:cNvPr id="4884" name="AutoShape 165">
          <a:extLst>
            <a:ext uri="{FF2B5EF4-FFF2-40B4-BE49-F238E27FC236}">
              <a16:creationId xmlns:a16="http://schemas.microsoft.com/office/drawing/2014/main" id="{443F5211-7236-4CDC-9105-0EF1DADAACA7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9525" cy="9525"/>
    <xdr:pic>
      <xdr:nvPicPr>
        <xdr:cNvPr id="4885" name="Picture 4884">
          <a:extLst>
            <a:ext uri="{FF2B5EF4-FFF2-40B4-BE49-F238E27FC236}">
              <a16:creationId xmlns:a16="http://schemas.microsoft.com/office/drawing/2014/main" id="{F5F50F41-807E-43B1-B375-E272D5E1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16</xdr:row>
      <xdr:rowOff>0</xdr:rowOff>
    </xdr:from>
    <xdr:ext cx="304800" cy="304800"/>
    <xdr:sp macro="" textlink="">
      <xdr:nvSpPr>
        <xdr:cNvPr id="4886" name="AutoShape 193">
          <a:extLst>
            <a:ext uri="{FF2B5EF4-FFF2-40B4-BE49-F238E27FC236}">
              <a16:creationId xmlns:a16="http://schemas.microsoft.com/office/drawing/2014/main" id="{0F4DC195-3630-4844-AA64-18AB0730792E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304800" cy="303439"/>
    <xdr:sp macro="" textlink="">
      <xdr:nvSpPr>
        <xdr:cNvPr id="4887" name="AutoShape 195">
          <a:extLst>
            <a:ext uri="{FF2B5EF4-FFF2-40B4-BE49-F238E27FC236}">
              <a16:creationId xmlns:a16="http://schemas.microsoft.com/office/drawing/2014/main" id="{4E642C9A-8EDC-40D4-AF7D-9C9BA025BC01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9525" cy="9525"/>
    <xdr:pic>
      <xdr:nvPicPr>
        <xdr:cNvPr id="4888" name="Picture 4887">
          <a:extLst>
            <a:ext uri="{FF2B5EF4-FFF2-40B4-BE49-F238E27FC236}">
              <a16:creationId xmlns:a16="http://schemas.microsoft.com/office/drawing/2014/main" id="{AB1B79C7-B72F-4BAF-9B90-2D3DFE772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16</xdr:row>
      <xdr:rowOff>0</xdr:rowOff>
    </xdr:from>
    <xdr:ext cx="304800" cy="304800"/>
    <xdr:sp macro="" textlink="">
      <xdr:nvSpPr>
        <xdr:cNvPr id="4889" name="AutoShape 219">
          <a:extLst>
            <a:ext uri="{FF2B5EF4-FFF2-40B4-BE49-F238E27FC236}">
              <a16:creationId xmlns:a16="http://schemas.microsoft.com/office/drawing/2014/main" id="{BEEA88FD-F481-4D1D-9AEB-4A0D8FD70FB6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304800" cy="303439"/>
    <xdr:sp macro="" textlink="">
      <xdr:nvSpPr>
        <xdr:cNvPr id="4890" name="AutoShape 221">
          <a:extLst>
            <a:ext uri="{FF2B5EF4-FFF2-40B4-BE49-F238E27FC236}">
              <a16:creationId xmlns:a16="http://schemas.microsoft.com/office/drawing/2014/main" id="{ED487E7F-B27A-45A9-B87B-5839BABAC82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9525" cy="9525"/>
    <xdr:pic>
      <xdr:nvPicPr>
        <xdr:cNvPr id="4891" name="Picture 4890">
          <a:extLst>
            <a:ext uri="{FF2B5EF4-FFF2-40B4-BE49-F238E27FC236}">
              <a16:creationId xmlns:a16="http://schemas.microsoft.com/office/drawing/2014/main" id="{B956A056-FD99-4897-8A1E-1E690BAD7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16</xdr:row>
      <xdr:rowOff>0</xdr:rowOff>
    </xdr:from>
    <xdr:ext cx="304800" cy="304800"/>
    <xdr:sp macro="" textlink="">
      <xdr:nvSpPr>
        <xdr:cNvPr id="4892" name="AutoShape 243">
          <a:extLst>
            <a:ext uri="{FF2B5EF4-FFF2-40B4-BE49-F238E27FC236}">
              <a16:creationId xmlns:a16="http://schemas.microsoft.com/office/drawing/2014/main" id="{4E116772-72E6-4131-B13F-0EF4021AB551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304800" cy="303439"/>
    <xdr:sp macro="" textlink="">
      <xdr:nvSpPr>
        <xdr:cNvPr id="4893" name="AutoShape 245">
          <a:extLst>
            <a:ext uri="{FF2B5EF4-FFF2-40B4-BE49-F238E27FC236}">
              <a16:creationId xmlns:a16="http://schemas.microsoft.com/office/drawing/2014/main" id="{BB3DA2A4-18B8-46A0-B4EA-D19296A64407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9525" cy="9525"/>
    <xdr:pic>
      <xdr:nvPicPr>
        <xdr:cNvPr id="4894" name="Picture 4893">
          <a:extLst>
            <a:ext uri="{FF2B5EF4-FFF2-40B4-BE49-F238E27FC236}">
              <a16:creationId xmlns:a16="http://schemas.microsoft.com/office/drawing/2014/main" id="{BF96BA03-215C-48DD-8C78-1D0ADE6E0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16</xdr:row>
      <xdr:rowOff>0</xdr:rowOff>
    </xdr:from>
    <xdr:ext cx="304800" cy="304800"/>
    <xdr:sp macro="" textlink="">
      <xdr:nvSpPr>
        <xdr:cNvPr id="4895" name="AutoShape 269">
          <a:extLst>
            <a:ext uri="{FF2B5EF4-FFF2-40B4-BE49-F238E27FC236}">
              <a16:creationId xmlns:a16="http://schemas.microsoft.com/office/drawing/2014/main" id="{53C1C97D-8A04-4DCD-860C-4C5716F60C5F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304800" cy="303439"/>
    <xdr:sp macro="" textlink="">
      <xdr:nvSpPr>
        <xdr:cNvPr id="4896" name="AutoShape 271">
          <a:extLst>
            <a:ext uri="{FF2B5EF4-FFF2-40B4-BE49-F238E27FC236}">
              <a16:creationId xmlns:a16="http://schemas.microsoft.com/office/drawing/2014/main" id="{19D1F62B-8504-473F-85FF-47B40FDDFE85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9525" cy="9525"/>
    <xdr:pic>
      <xdr:nvPicPr>
        <xdr:cNvPr id="4897" name="Picture 4896">
          <a:extLst>
            <a:ext uri="{FF2B5EF4-FFF2-40B4-BE49-F238E27FC236}">
              <a16:creationId xmlns:a16="http://schemas.microsoft.com/office/drawing/2014/main" id="{D72B6018-68E3-4C6D-A5A7-1FF12888C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16</xdr:row>
      <xdr:rowOff>0</xdr:rowOff>
    </xdr:from>
    <xdr:ext cx="304800" cy="304800"/>
    <xdr:sp macro="" textlink="">
      <xdr:nvSpPr>
        <xdr:cNvPr id="4898" name="AutoShape 321">
          <a:extLst>
            <a:ext uri="{FF2B5EF4-FFF2-40B4-BE49-F238E27FC236}">
              <a16:creationId xmlns:a16="http://schemas.microsoft.com/office/drawing/2014/main" id="{D1338FCD-64AE-43A9-B6E8-BEFCC5724E84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304800" cy="303439"/>
    <xdr:sp macro="" textlink="">
      <xdr:nvSpPr>
        <xdr:cNvPr id="4899" name="AutoShape 323">
          <a:extLst>
            <a:ext uri="{FF2B5EF4-FFF2-40B4-BE49-F238E27FC236}">
              <a16:creationId xmlns:a16="http://schemas.microsoft.com/office/drawing/2014/main" id="{C7857F61-30A2-44D3-8D3B-68DE0795AEB2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9525" cy="9525"/>
    <xdr:pic>
      <xdr:nvPicPr>
        <xdr:cNvPr id="4900" name="Picture 4899">
          <a:extLst>
            <a:ext uri="{FF2B5EF4-FFF2-40B4-BE49-F238E27FC236}">
              <a16:creationId xmlns:a16="http://schemas.microsoft.com/office/drawing/2014/main" id="{2E7A5C95-6E41-4F10-BF02-5B784D16D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16</xdr:row>
      <xdr:rowOff>0</xdr:rowOff>
    </xdr:from>
    <xdr:ext cx="304800" cy="304800"/>
    <xdr:sp macro="" textlink="">
      <xdr:nvSpPr>
        <xdr:cNvPr id="4901" name="AutoShape 373">
          <a:extLst>
            <a:ext uri="{FF2B5EF4-FFF2-40B4-BE49-F238E27FC236}">
              <a16:creationId xmlns:a16="http://schemas.microsoft.com/office/drawing/2014/main" id="{80D3FCA9-EBC1-4EE0-AA88-2FFD015384CD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304800" cy="303439"/>
    <xdr:sp macro="" textlink="">
      <xdr:nvSpPr>
        <xdr:cNvPr id="4902" name="AutoShape 375">
          <a:extLst>
            <a:ext uri="{FF2B5EF4-FFF2-40B4-BE49-F238E27FC236}">
              <a16:creationId xmlns:a16="http://schemas.microsoft.com/office/drawing/2014/main" id="{3464486A-AB9F-49F7-BF7B-D7CC8BF04071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9525" cy="9525"/>
    <xdr:pic>
      <xdr:nvPicPr>
        <xdr:cNvPr id="4903" name="Picture 4902">
          <a:extLst>
            <a:ext uri="{FF2B5EF4-FFF2-40B4-BE49-F238E27FC236}">
              <a16:creationId xmlns:a16="http://schemas.microsoft.com/office/drawing/2014/main" id="{A1C8EFD9-43D2-4F16-9C2F-13AF8539A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16</xdr:row>
      <xdr:rowOff>0</xdr:rowOff>
    </xdr:from>
    <xdr:ext cx="304800" cy="304800"/>
    <xdr:sp macro="" textlink="">
      <xdr:nvSpPr>
        <xdr:cNvPr id="4904" name="AutoShape 429">
          <a:extLst>
            <a:ext uri="{FF2B5EF4-FFF2-40B4-BE49-F238E27FC236}">
              <a16:creationId xmlns:a16="http://schemas.microsoft.com/office/drawing/2014/main" id="{B7FFAA76-25B7-4B58-A1E3-5724BA663171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304800" cy="303439"/>
    <xdr:sp macro="" textlink="">
      <xdr:nvSpPr>
        <xdr:cNvPr id="4905" name="AutoShape 431">
          <a:extLst>
            <a:ext uri="{FF2B5EF4-FFF2-40B4-BE49-F238E27FC236}">
              <a16:creationId xmlns:a16="http://schemas.microsoft.com/office/drawing/2014/main" id="{700665A2-FAF1-4A88-87F6-69C40656716E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9525" cy="9525"/>
    <xdr:pic>
      <xdr:nvPicPr>
        <xdr:cNvPr id="4906" name="Picture 4905">
          <a:extLst>
            <a:ext uri="{FF2B5EF4-FFF2-40B4-BE49-F238E27FC236}">
              <a16:creationId xmlns:a16="http://schemas.microsoft.com/office/drawing/2014/main" id="{1F4470EB-AA86-429B-A389-AE8FFAC18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16</xdr:row>
      <xdr:rowOff>0</xdr:rowOff>
    </xdr:from>
    <xdr:ext cx="304800" cy="304800"/>
    <xdr:sp macro="" textlink="">
      <xdr:nvSpPr>
        <xdr:cNvPr id="4907" name="AutoShape 485">
          <a:extLst>
            <a:ext uri="{FF2B5EF4-FFF2-40B4-BE49-F238E27FC236}">
              <a16:creationId xmlns:a16="http://schemas.microsoft.com/office/drawing/2014/main" id="{4EF254CD-C6A3-46FC-BB10-BEC51291BD3E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304800" cy="303439"/>
    <xdr:sp macro="" textlink="">
      <xdr:nvSpPr>
        <xdr:cNvPr id="4908" name="AutoShape 487">
          <a:extLst>
            <a:ext uri="{FF2B5EF4-FFF2-40B4-BE49-F238E27FC236}">
              <a16:creationId xmlns:a16="http://schemas.microsoft.com/office/drawing/2014/main" id="{750C2ECA-362B-4FC6-8448-7D7A44709E18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9525" cy="9525"/>
    <xdr:pic>
      <xdr:nvPicPr>
        <xdr:cNvPr id="4909" name="Picture 4908">
          <a:extLst>
            <a:ext uri="{FF2B5EF4-FFF2-40B4-BE49-F238E27FC236}">
              <a16:creationId xmlns:a16="http://schemas.microsoft.com/office/drawing/2014/main" id="{DF380B07-56BD-49C7-9EA3-6BF621865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16</xdr:row>
      <xdr:rowOff>0</xdr:rowOff>
    </xdr:from>
    <xdr:ext cx="304800" cy="304800"/>
    <xdr:sp macro="" textlink="">
      <xdr:nvSpPr>
        <xdr:cNvPr id="4910" name="AutoShape 519">
          <a:extLst>
            <a:ext uri="{FF2B5EF4-FFF2-40B4-BE49-F238E27FC236}">
              <a16:creationId xmlns:a16="http://schemas.microsoft.com/office/drawing/2014/main" id="{CFD09229-49F3-4F4A-8537-A76FBD2FBB2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304800" cy="303439"/>
    <xdr:sp macro="" textlink="">
      <xdr:nvSpPr>
        <xdr:cNvPr id="4911" name="AutoShape 521">
          <a:extLst>
            <a:ext uri="{FF2B5EF4-FFF2-40B4-BE49-F238E27FC236}">
              <a16:creationId xmlns:a16="http://schemas.microsoft.com/office/drawing/2014/main" id="{C03D38AF-D37A-47B2-B722-6479F2B02DF5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18</xdr:row>
      <xdr:rowOff>0</xdr:rowOff>
    </xdr:from>
    <xdr:ext cx="9525" cy="9525"/>
    <xdr:pic>
      <xdr:nvPicPr>
        <xdr:cNvPr id="4912" name="Picture 4911">
          <a:extLst>
            <a:ext uri="{FF2B5EF4-FFF2-40B4-BE49-F238E27FC236}">
              <a16:creationId xmlns:a16="http://schemas.microsoft.com/office/drawing/2014/main" id="{E4AD1873-42D2-420D-AD69-15AA78B42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18</xdr:row>
      <xdr:rowOff>0</xdr:rowOff>
    </xdr:from>
    <xdr:ext cx="304800" cy="304800"/>
    <xdr:sp macro="" textlink="">
      <xdr:nvSpPr>
        <xdr:cNvPr id="4913" name="AutoShape 159">
          <a:extLst>
            <a:ext uri="{FF2B5EF4-FFF2-40B4-BE49-F238E27FC236}">
              <a16:creationId xmlns:a16="http://schemas.microsoft.com/office/drawing/2014/main" id="{319579E8-AD64-47F4-A7AC-BF808ACDA2D5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18</xdr:row>
      <xdr:rowOff>0</xdr:rowOff>
    </xdr:from>
    <xdr:ext cx="9525" cy="9525"/>
    <xdr:pic>
      <xdr:nvPicPr>
        <xdr:cNvPr id="4914" name="Picture 4913">
          <a:extLst>
            <a:ext uri="{FF2B5EF4-FFF2-40B4-BE49-F238E27FC236}">
              <a16:creationId xmlns:a16="http://schemas.microsoft.com/office/drawing/2014/main" id="{C474E7CD-C862-4D93-AEC6-1A819310E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18</xdr:row>
      <xdr:rowOff>0</xdr:rowOff>
    </xdr:from>
    <xdr:ext cx="9525" cy="9525"/>
    <xdr:pic>
      <xdr:nvPicPr>
        <xdr:cNvPr id="4915" name="Picture 4914">
          <a:extLst>
            <a:ext uri="{FF2B5EF4-FFF2-40B4-BE49-F238E27FC236}">
              <a16:creationId xmlns:a16="http://schemas.microsoft.com/office/drawing/2014/main" id="{429E415F-DE0D-4E10-A55D-E2B04D46F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18</xdr:row>
      <xdr:rowOff>0</xdr:rowOff>
    </xdr:from>
    <xdr:ext cx="9525" cy="9525"/>
    <xdr:pic>
      <xdr:nvPicPr>
        <xdr:cNvPr id="4916" name="Picture 4915">
          <a:extLst>
            <a:ext uri="{FF2B5EF4-FFF2-40B4-BE49-F238E27FC236}">
              <a16:creationId xmlns:a16="http://schemas.microsoft.com/office/drawing/2014/main" id="{09371E74-44EF-4659-BA77-4B6064373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18</xdr:row>
      <xdr:rowOff>0</xdr:rowOff>
    </xdr:from>
    <xdr:ext cx="9525" cy="9525"/>
    <xdr:pic>
      <xdr:nvPicPr>
        <xdr:cNvPr id="4917" name="Picture 4916">
          <a:extLst>
            <a:ext uri="{FF2B5EF4-FFF2-40B4-BE49-F238E27FC236}">
              <a16:creationId xmlns:a16="http://schemas.microsoft.com/office/drawing/2014/main" id="{830B70D2-034C-4FEA-BA82-4E0E90D76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18</xdr:row>
      <xdr:rowOff>0</xdr:rowOff>
    </xdr:from>
    <xdr:ext cx="9525" cy="9525"/>
    <xdr:pic>
      <xdr:nvPicPr>
        <xdr:cNvPr id="4918" name="Picture 4917">
          <a:extLst>
            <a:ext uri="{FF2B5EF4-FFF2-40B4-BE49-F238E27FC236}">
              <a16:creationId xmlns:a16="http://schemas.microsoft.com/office/drawing/2014/main" id="{4DC74815-E628-411D-B6A2-7E3287E0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18</xdr:row>
      <xdr:rowOff>0</xdr:rowOff>
    </xdr:from>
    <xdr:ext cx="9525" cy="9525"/>
    <xdr:pic>
      <xdr:nvPicPr>
        <xdr:cNvPr id="4919" name="Picture 4918">
          <a:extLst>
            <a:ext uri="{FF2B5EF4-FFF2-40B4-BE49-F238E27FC236}">
              <a16:creationId xmlns:a16="http://schemas.microsoft.com/office/drawing/2014/main" id="{52984C86-D183-45BB-8EEA-D1B180C6C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18</xdr:row>
      <xdr:rowOff>0</xdr:rowOff>
    </xdr:from>
    <xdr:ext cx="9525" cy="9525"/>
    <xdr:pic>
      <xdr:nvPicPr>
        <xdr:cNvPr id="4920" name="Picture 4919">
          <a:extLst>
            <a:ext uri="{FF2B5EF4-FFF2-40B4-BE49-F238E27FC236}">
              <a16:creationId xmlns:a16="http://schemas.microsoft.com/office/drawing/2014/main" id="{1E0EF7E2-2F19-4EAB-B1C0-2DA429BB5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18</xdr:row>
      <xdr:rowOff>0</xdr:rowOff>
    </xdr:from>
    <xdr:ext cx="9525" cy="9525"/>
    <xdr:pic>
      <xdr:nvPicPr>
        <xdr:cNvPr id="4921" name="Picture 4920">
          <a:extLst>
            <a:ext uri="{FF2B5EF4-FFF2-40B4-BE49-F238E27FC236}">
              <a16:creationId xmlns:a16="http://schemas.microsoft.com/office/drawing/2014/main" id="{10529D1B-1997-47A4-9543-E2136159D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18</xdr:row>
      <xdr:rowOff>0</xdr:rowOff>
    </xdr:from>
    <xdr:ext cx="9525" cy="9525"/>
    <xdr:pic>
      <xdr:nvPicPr>
        <xdr:cNvPr id="4922" name="Picture 4921">
          <a:extLst>
            <a:ext uri="{FF2B5EF4-FFF2-40B4-BE49-F238E27FC236}">
              <a16:creationId xmlns:a16="http://schemas.microsoft.com/office/drawing/2014/main" id="{8FFB9106-3FD2-405E-AED4-C0B29203E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17</xdr:row>
      <xdr:rowOff>0</xdr:rowOff>
    </xdr:from>
    <xdr:ext cx="304800" cy="304800"/>
    <xdr:sp macro="" textlink="">
      <xdr:nvSpPr>
        <xdr:cNvPr id="4923" name="AutoShape 509">
          <a:extLst>
            <a:ext uri="{FF2B5EF4-FFF2-40B4-BE49-F238E27FC236}">
              <a16:creationId xmlns:a16="http://schemas.microsoft.com/office/drawing/2014/main" id="{B7752D9D-D1A6-48F7-BB6E-11EDE7EB10EF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4359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18</xdr:row>
      <xdr:rowOff>0</xdr:rowOff>
    </xdr:from>
    <xdr:ext cx="304800" cy="304800"/>
    <xdr:sp macro="" textlink="">
      <xdr:nvSpPr>
        <xdr:cNvPr id="4924" name="AutoShape 511">
          <a:extLst>
            <a:ext uri="{FF2B5EF4-FFF2-40B4-BE49-F238E27FC236}">
              <a16:creationId xmlns:a16="http://schemas.microsoft.com/office/drawing/2014/main" id="{91B04EAE-3B75-4AB8-8A92-FFEDAAD431D6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9</xdr:row>
      <xdr:rowOff>0</xdr:rowOff>
    </xdr:from>
    <xdr:ext cx="9525" cy="9525"/>
    <xdr:pic>
      <xdr:nvPicPr>
        <xdr:cNvPr id="4925" name="Picture 4924">
          <a:extLst>
            <a:ext uri="{FF2B5EF4-FFF2-40B4-BE49-F238E27FC236}">
              <a16:creationId xmlns:a16="http://schemas.microsoft.com/office/drawing/2014/main" id="{143B9360-B543-4744-8DF4-01D0E92A1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</xdr:row>
      <xdr:rowOff>0</xdr:rowOff>
    </xdr:from>
    <xdr:ext cx="304800" cy="304800"/>
    <xdr:sp macro="" textlink="">
      <xdr:nvSpPr>
        <xdr:cNvPr id="4926" name="AutoShape 159">
          <a:extLst>
            <a:ext uri="{FF2B5EF4-FFF2-40B4-BE49-F238E27FC236}">
              <a16:creationId xmlns:a16="http://schemas.microsoft.com/office/drawing/2014/main" id="{61C897D1-FB28-406A-9B3F-5B44E9B3998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9</xdr:row>
      <xdr:rowOff>0</xdr:rowOff>
    </xdr:from>
    <xdr:ext cx="9525" cy="9525"/>
    <xdr:pic>
      <xdr:nvPicPr>
        <xdr:cNvPr id="4927" name="Picture 4926">
          <a:extLst>
            <a:ext uri="{FF2B5EF4-FFF2-40B4-BE49-F238E27FC236}">
              <a16:creationId xmlns:a16="http://schemas.microsoft.com/office/drawing/2014/main" id="{475DFF1B-662F-491C-93C5-9F72AA334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9525" cy="9525"/>
    <xdr:pic>
      <xdr:nvPicPr>
        <xdr:cNvPr id="4928" name="Picture 4927">
          <a:extLst>
            <a:ext uri="{FF2B5EF4-FFF2-40B4-BE49-F238E27FC236}">
              <a16:creationId xmlns:a16="http://schemas.microsoft.com/office/drawing/2014/main" id="{FA140D35-CACB-483B-A232-A225AF78F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9525" cy="9525"/>
    <xdr:pic>
      <xdr:nvPicPr>
        <xdr:cNvPr id="4929" name="Picture 4928">
          <a:extLst>
            <a:ext uri="{FF2B5EF4-FFF2-40B4-BE49-F238E27FC236}">
              <a16:creationId xmlns:a16="http://schemas.microsoft.com/office/drawing/2014/main" id="{8889E422-923F-4246-A6AE-ACC871DC3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9525" cy="9525"/>
    <xdr:pic>
      <xdr:nvPicPr>
        <xdr:cNvPr id="4930" name="Picture 4929">
          <a:extLst>
            <a:ext uri="{FF2B5EF4-FFF2-40B4-BE49-F238E27FC236}">
              <a16:creationId xmlns:a16="http://schemas.microsoft.com/office/drawing/2014/main" id="{ABEDE874-A9A0-4697-95D8-628E911AD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9525" cy="9525"/>
    <xdr:pic>
      <xdr:nvPicPr>
        <xdr:cNvPr id="4931" name="Picture 4930">
          <a:extLst>
            <a:ext uri="{FF2B5EF4-FFF2-40B4-BE49-F238E27FC236}">
              <a16:creationId xmlns:a16="http://schemas.microsoft.com/office/drawing/2014/main" id="{6601C2B4-47FF-4CB0-A0D2-4AF83374C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9525" cy="9525"/>
    <xdr:pic>
      <xdr:nvPicPr>
        <xdr:cNvPr id="4932" name="Picture 4931">
          <a:extLst>
            <a:ext uri="{FF2B5EF4-FFF2-40B4-BE49-F238E27FC236}">
              <a16:creationId xmlns:a16="http://schemas.microsoft.com/office/drawing/2014/main" id="{260CD8E7-9AB8-426F-8795-171698B7C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9525" cy="9525"/>
    <xdr:pic>
      <xdr:nvPicPr>
        <xdr:cNvPr id="4933" name="Picture 4932">
          <a:extLst>
            <a:ext uri="{FF2B5EF4-FFF2-40B4-BE49-F238E27FC236}">
              <a16:creationId xmlns:a16="http://schemas.microsoft.com/office/drawing/2014/main" id="{9AAE03BB-AD39-4A4F-8117-B462512AE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9525" cy="9525"/>
    <xdr:pic>
      <xdr:nvPicPr>
        <xdr:cNvPr id="4934" name="Picture 4933">
          <a:extLst>
            <a:ext uri="{FF2B5EF4-FFF2-40B4-BE49-F238E27FC236}">
              <a16:creationId xmlns:a16="http://schemas.microsoft.com/office/drawing/2014/main" id="{31E49F6C-DB4B-4CE6-9BF9-548DF4EB5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9525" cy="9525"/>
    <xdr:pic>
      <xdr:nvPicPr>
        <xdr:cNvPr id="4935" name="Picture 4934">
          <a:extLst>
            <a:ext uri="{FF2B5EF4-FFF2-40B4-BE49-F238E27FC236}">
              <a16:creationId xmlns:a16="http://schemas.microsoft.com/office/drawing/2014/main" id="{717BBA79-8AE0-462E-A229-899A569D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304800" cy="303439"/>
    <xdr:sp macro="" textlink="">
      <xdr:nvSpPr>
        <xdr:cNvPr id="4936" name="AutoShape 513">
          <a:extLst>
            <a:ext uri="{FF2B5EF4-FFF2-40B4-BE49-F238E27FC236}">
              <a16:creationId xmlns:a16="http://schemas.microsoft.com/office/drawing/2014/main" id="{31457A59-EAD2-4094-BC08-1BF32E1777CE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54453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9525" cy="9525"/>
    <xdr:pic>
      <xdr:nvPicPr>
        <xdr:cNvPr id="4937" name="Picture 4936">
          <a:extLst>
            <a:ext uri="{FF2B5EF4-FFF2-40B4-BE49-F238E27FC236}">
              <a16:creationId xmlns:a16="http://schemas.microsoft.com/office/drawing/2014/main" id="{68EE48D3-5BD4-4FFD-9667-C56A4E2F1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</xdr:row>
      <xdr:rowOff>0</xdr:rowOff>
    </xdr:from>
    <xdr:ext cx="9525" cy="9525"/>
    <xdr:pic>
      <xdr:nvPicPr>
        <xdr:cNvPr id="4938" name="Picture 4937">
          <a:extLst>
            <a:ext uri="{FF2B5EF4-FFF2-40B4-BE49-F238E27FC236}">
              <a16:creationId xmlns:a16="http://schemas.microsoft.com/office/drawing/2014/main" id="{297363A3-40E9-4740-8DCB-C48FF4FB1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304800" cy="304800"/>
    <xdr:sp macro="" textlink="">
      <xdr:nvSpPr>
        <xdr:cNvPr id="4939" name="AutoShape 191">
          <a:extLst>
            <a:ext uri="{FF2B5EF4-FFF2-40B4-BE49-F238E27FC236}">
              <a16:creationId xmlns:a16="http://schemas.microsoft.com/office/drawing/2014/main" id="{9C6A62EB-6E80-442B-AEBC-A174523E5D7F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304800" cy="304800"/>
    <xdr:sp macro="" textlink="">
      <xdr:nvSpPr>
        <xdr:cNvPr id="4940" name="AutoShape 193">
          <a:extLst>
            <a:ext uri="{FF2B5EF4-FFF2-40B4-BE49-F238E27FC236}">
              <a16:creationId xmlns:a16="http://schemas.microsoft.com/office/drawing/2014/main" id="{02921B41-CFF1-4833-ADF5-68B7E64022FC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9525" cy="9525"/>
    <xdr:pic>
      <xdr:nvPicPr>
        <xdr:cNvPr id="4941" name="Picture 4940">
          <a:extLst>
            <a:ext uri="{FF2B5EF4-FFF2-40B4-BE49-F238E27FC236}">
              <a16:creationId xmlns:a16="http://schemas.microsoft.com/office/drawing/2014/main" id="{AF17FF7B-3CCF-4CAD-9CD6-1E06393E4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304800" cy="304800"/>
    <xdr:sp macro="" textlink="">
      <xdr:nvSpPr>
        <xdr:cNvPr id="4942" name="AutoShape 217">
          <a:extLst>
            <a:ext uri="{FF2B5EF4-FFF2-40B4-BE49-F238E27FC236}">
              <a16:creationId xmlns:a16="http://schemas.microsoft.com/office/drawing/2014/main" id="{F743EC37-402C-48AF-968E-1DEAD05A567E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304800" cy="304800"/>
    <xdr:sp macro="" textlink="">
      <xdr:nvSpPr>
        <xdr:cNvPr id="4943" name="AutoShape 219">
          <a:extLst>
            <a:ext uri="{FF2B5EF4-FFF2-40B4-BE49-F238E27FC236}">
              <a16:creationId xmlns:a16="http://schemas.microsoft.com/office/drawing/2014/main" id="{6F4859AB-453C-4DD6-86C1-34FC876A6794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9525" cy="9525"/>
    <xdr:pic>
      <xdr:nvPicPr>
        <xdr:cNvPr id="4944" name="Picture 4943">
          <a:extLst>
            <a:ext uri="{FF2B5EF4-FFF2-40B4-BE49-F238E27FC236}">
              <a16:creationId xmlns:a16="http://schemas.microsoft.com/office/drawing/2014/main" id="{CC85582B-1575-44A0-BF18-CE85B66DF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304800" cy="304800"/>
    <xdr:sp macro="" textlink="">
      <xdr:nvSpPr>
        <xdr:cNvPr id="4945" name="AutoShape 241">
          <a:extLst>
            <a:ext uri="{FF2B5EF4-FFF2-40B4-BE49-F238E27FC236}">
              <a16:creationId xmlns:a16="http://schemas.microsoft.com/office/drawing/2014/main" id="{40C7CBEE-5003-4607-9902-5DAF38ABB608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304800" cy="304800"/>
    <xdr:sp macro="" textlink="">
      <xdr:nvSpPr>
        <xdr:cNvPr id="4946" name="AutoShape 243">
          <a:extLst>
            <a:ext uri="{FF2B5EF4-FFF2-40B4-BE49-F238E27FC236}">
              <a16:creationId xmlns:a16="http://schemas.microsoft.com/office/drawing/2014/main" id="{0A73C504-36C2-4892-A560-B55A489D84B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9525" cy="9525"/>
    <xdr:pic>
      <xdr:nvPicPr>
        <xdr:cNvPr id="4947" name="Picture 4946">
          <a:extLst>
            <a:ext uri="{FF2B5EF4-FFF2-40B4-BE49-F238E27FC236}">
              <a16:creationId xmlns:a16="http://schemas.microsoft.com/office/drawing/2014/main" id="{145D869D-64C1-476D-92DF-D0EB9C042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304800" cy="304800"/>
    <xdr:sp macro="" textlink="">
      <xdr:nvSpPr>
        <xdr:cNvPr id="4948" name="AutoShape 267">
          <a:extLst>
            <a:ext uri="{FF2B5EF4-FFF2-40B4-BE49-F238E27FC236}">
              <a16:creationId xmlns:a16="http://schemas.microsoft.com/office/drawing/2014/main" id="{C546FC0A-8EDB-4103-90F9-4AF1010F1273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304800" cy="304800"/>
    <xdr:sp macro="" textlink="">
      <xdr:nvSpPr>
        <xdr:cNvPr id="4949" name="AutoShape 269">
          <a:extLst>
            <a:ext uri="{FF2B5EF4-FFF2-40B4-BE49-F238E27FC236}">
              <a16:creationId xmlns:a16="http://schemas.microsoft.com/office/drawing/2014/main" id="{A6B56861-708B-471F-8C8F-806776A2BC24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9525" cy="9525"/>
    <xdr:pic>
      <xdr:nvPicPr>
        <xdr:cNvPr id="4950" name="Picture 4949">
          <a:extLst>
            <a:ext uri="{FF2B5EF4-FFF2-40B4-BE49-F238E27FC236}">
              <a16:creationId xmlns:a16="http://schemas.microsoft.com/office/drawing/2014/main" id="{2B48C67C-20B8-4F0F-B937-1E6974B4C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304800" cy="304800"/>
    <xdr:sp macro="" textlink="">
      <xdr:nvSpPr>
        <xdr:cNvPr id="4951" name="AutoShape 319">
          <a:extLst>
            <a:ext uri="{FF2B5EF4-FFF2-40B4-BE49-F238E27FC236}">
              <a16:creationId xmlns:a16="http://schemas.microsoft.com/office/drawing/2014/main" id="{E3B501AA-CF28-4662-9969-B32DF7B0012F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9525" cy="9525"/>
    <xdr:pic>
      <xdr:nvPicPr>
        <xdr:cNvPr id="4952" name="Picture 4951">
          <a:extLst>
            <a:ext uri="{FF2B5EF4-FFF2-40B4-BE49-F238E27FC236}">
              <a16:creationId xmlns:a16="http://schemas.microsoft.com/office/drawing/2014/main" id="{0CC32AEB-0C5C-4D9D-883D-7FCAA7A03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</xdr:row>
      <xdr:rowOff>0</xdr:rowOff>
    </xdr:from>
    <xdr:ext cx="9525" cy="9525"/>
    <xdr:pic>
      <xdr:nvPicPr>
        <xdr:cNvPr id="4953" name="Picture 4952">
          <a:extLst>
            <a:ext uri="{FF2B5EF4-FFF2-40B4-BE49-F238E27FC236}">
              <a16:creationId xmlns:a16="http://schemas.microsoft.com/office/drawing/2014/main" id="{ECAE9E40-D13C-40C8-A174-BC70FC746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</xdr:row>
      <xdr:rowOff>0</xdr:rowOff>
    </xdr:from>
    <xdr:ext cx="9525" cy="9525"/>
    <xdr:pic>
      <xdr:nvPicPr>
        <xdr:cNvPr id="4954" name="Picture 4953">
          <a:extLst>
            <a:ext uri="{FF2B5EF4-FFF2-40B4-BE49-F238E27FC236}">
              <a16:creationId xmlns:a16="http://schemas.microsoft.com/office/drawing/2014/main" id="{B73B5296-4949-4EEF-879F-DBB281722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</xdr:row>
      <xdr:rowOff>0</xdr:rowOff>
    </xdr:from>
    <xdr:ext cx="9525" cy="9525"/>
    <xdr:pic>
      <xdr:nvPicPr>
        <xdr:cNvPr id="4955" name="Picture 4954">
          <a:extLst>
            <a:ext uri="{FF2B5EF4-FFF2-40B4-BE49-F238E27FC236}">
              <a16:creationId xmlns:a16="http://schemas.microsoft.com/office/drawing/2014/main" id="{53DB1AA3-3D0D-4AE8-A142-96EE2AB06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11</xdr:row>
      <xdr:rowOff>0</xdr:rowOff>
    </xdr:from>
    <xdr:ext cx="9525" cy="9525"/>
    <xdr:pic>
      <xdr:nvPicPr>
        <xdr:cNvPr id="4956" name="Picture 4955">
          <a:extLst>
            <a:ext uri="{FF2B5EF4-FFF2-40B4-BE49-F238E27FC236}">
              <a16:creationId xmlns:a16="http://schemas.microsoft.com/office/drawing/2014/main" id="{A3E1FEC0-E50C-4483-99CF-49032C9AB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979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22</xdr:row>
      <xdr:rowOff>0</xdr:rowOff>
    </xdr:from>
    <xdr:ext cx="9525" cy="9525"/>
    <xdr:pic>
      <xdr:nvPicPr>
        <xdr:cNvPr id="4957" name="Picture 4956">
          <a:extLst>
            <a:ext uri="{FF2B5EF4-FFF2-40B4-BE49-F238E27FC236}">
              <a16:creationId xmlns:a16="http://schemas.microsoft.com/office/drawing/2014/main" id="{98B8224B-A348-4EB0-88F9-E743B8006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22</xdr:row>
      <xdr:rowOff>0</xdr:rowOff>
    </xdr:from>
    <xdr:ext cx="9525" cy="9525"/>
    <xdr:pic>
      <xdr:nvPicPr>
        <xdr:cNvPr id="4958" name="Picture 4957">
          <a:extLst>
            <a:ext uri="{FF2B5EF4-FFF2-40B4-BE49-F238E27FC236}">
              <a16:creationId xmlns:a16="http://schemas.microsoft.com/office/drawing/2014/main" id="{3A65954B-B42A-4AE5-8340-3ACE62533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22</xdr:row>
      <xdr:rowOff>0</xdr:rowOff>
    </xdr:from>
    <xdr:ext cx="9525" cy="9525"/>
    <xdr:pic>
      <xdr:nvPicPr>
        <xdr:cNvPr id="4959" name="Picture 4958">
          <a:extLst>
            <a:ext uri="{FF2B5EF4-FFF2-40B4-BE49-F238E27FC236}">
              <a16:creationId xmlns:a16="http://schemas.microsoft.com/office/drawing/2014/main" id="{94346569-EACE-48FE-A258-153D1EB8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22</xdr:row>
      <xdr:rowOff>0</xdr:rowOff>
    </xdr:from>
    <xdr:ext cx="9525" cy="9525"/>
    <xdr:pic>
      <xdr:nvPicPr>
        <xdr:cNvPr id="4960" name="Picture 4959">
          <a:extLst>
            <a:ext uri="{FF2B5EF4-FFF2-40B4-BE49-F238E27FC236}">
              <a16:creationId xmlns:a16="http://schemas.microsoft.com/office/drawing/2014/main" id="{EA5FD88D-3589-4074-949F-0F50BBC20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22</xdr:row>
      <xdr:rowOff>0</xdr:rowOff>
    </xdr:from>
    <xdr:ext cx="9525" cy="9525"/>
    <xdr:pic>
      <xdr:nvPicPr>
        <xdr:cNvPr id="4961" name="Picture 4960">
          <a:extLst>
            <a:ext uri="{FF2B5EF4-FFF2-40B4-BE49-F238E27FC236}">
              <a16:creationId xmlns:a16="http://schemas.microsoft.com/office/drawing/2014/main" id="{504717B3-D807-47F7-8E90-613527F9C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22</xdr:row>
      <xdr:rowOff>0</xdr:rowOff>
    </xdr:from>
    <xdr:ext cx="9525" cy="9525"/>
    <xdr:pic>
      <xdr:nvPicPr>
        <xdr:cNvPr id="4962" name="Picture 4961">
          <a:extLst>
            <a:ext uri="{FF2B5EF4-FFF2-40B4-BE49-F238E27FC236}">
              <a16:creationId xmlns:a16="http://schemas.microsoft.com/office/drawing/2014/main" id="{E48977DD-D94C-4467-91F1-4B8704EE4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22</xdr:row>
      <xdr:rowOff>0</xdr:rowOff>
    </xdr:from>
    <xdr:ext cx="9525" cy="9525"/>
    <xdr:pic>
      <xdr:nvPicPr>
        <xdr:cNvPr id="4963" name="Picture 4962">
          <a:extLst>
            <a:ext uri="{FF2B5EF4-FFF2-40B4-BE49-F238E27FC236}">
              <a16:creationId xmlns:a16="http://schemas.microsoft.com/office/drawing/2014/main" id="{466F1E31-1439-4CDB-959D-7FBAB4DA4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22</xdr:row>
      <xdr:rowOff>0</xdr:rowOff>
    </xdr:from>
    <xdr:ext cx="9525" cy="9525"/>
    <xdr:pic>
      <xdr:nvPicPr>
        <xdr:cNvPr id="4964" name="Picture 4963">
          <a:extLst>
            <a:ext uri="{FF2B5EF4-FFF2-40B4-BE49-F238E27FC236}">
              <a16:creationId xmlns:a16="http://schemas.microsoft.com/office/drawing/2014/main" id="{7B4A00B8-FF92-4E5E-9732-C4ED8B2BA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22</xdr:row>
      <xdr:rowOff>0</xdr:rowOff>
    </xdr:from>
    <xdr:ext cx="9525" cy="9525"/>
    <xdr:pic>
      <xdr:nvPicPr>
        <xdr:cNvPr id="4965" name="Picture 4964">
          <a:extLst>
            <a:ext uri="{FF2B5EF4-FFF2-40B4-BE49-F238E27FC236}">
              <a16:creationId xmlns:a16="http://schemas.microsoft.com/office/drawing/2014/main" id="{836A3B83-323F-46B0-A617-3FE8F5AF0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22</xdr:row>
      <xdr:rowOff>0</xdr:rowOff>
    </xdr:from>
    <xdr:ext cx="9525" cy="9525"/>
    <xdr:pic>
      <xdr:nvPicPr>
        <xdr:cNvPr id="4966" name="Picture 4965">
          <a:extLst>
            <a:ext uri="{FF2B5EF4-FFF2-40B4-BE49-F238E27FC236}">
              <a16:creationId xmlns:a16="http://schemas.microsoft.com/office/drawing/2014/main" id="{E22B9785-7AF7-41B8-A46D-D01FDB84D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21</xdr:row>
      <xdr:rowOff>0</xdr:rowOff>
    </xdr:from>
    <xdr:ext cx="304800" cy="303439"/>
    <xdr:sp macro="" textlink="">
      <xdr:nvSpPr>
        <xdr:cNvPr id="4967" name="AutoShape 513">
          <a:extLst>
            <a:ext uri="{FF2B5EF4-FFF2-40B4-BE49-F238E27FC236}">
              <a16:creationId xmlns:a16="http://schemas.microsoft.com/office/drawing/2014/main" id="{15ED7053-4AA3-4AF0-ACFC-6C663A7B73A4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26596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22</xdr:row>
      <xdr:rowOff>0</xdr:rowOff>
    </xdr:from>
    <xdr:ext cx="304800" cy="304800"/>
    <xdr:sp macro="" textlink="">
      <xdr:nvSpPr>
        <xdr:cNvPr id="4968" name="AutoShape 515">
          <a:extLst>
            <a:ext uri="{FF2B5EF4-FFF2-40B4-BE49-F238E27FC236}">
              <a16:creationId xmlns:a16="http://schemas.microsoft.com/office/drawing/2014/main" id="{E94B6037-5C89-41CF-8742-57AFD7E23F58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23</xdr:row>
      <xdr:rowOff>0</xdr:rowOff>
    </xdr:from>
    <xdr:ext cx="9525" cy="9525"/>
    <xdr:pic>
      <xdr:nvPicPr>
        <xdr:cNvPr id="4969" name="Picture 4968">
          <a:extLst>
            <a:ext uri="{FF2B5EF4-FFF2-40B4-BE49-F238E27FC236}">
              <a16:creationId xmlns:a16="http://schemas.microsoft.com/office/drawing/2014/main" id="{95A8DDD8-096C-44EA-B6FA-72A46BCF9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9525" cy="9525"/>
    <xdr:pic>
      <xdr:nvPicPr>
        <xdr:cNvPr id="4970" name="Picture 4969">
          <a:extLst>
            <a:ext uri="{FF2B5EF4-FFF2-40B4-BE49-F238E27FC236}">
              <a16:creationId xmlns:a16="http://schemas.microsoft.com/office/drawing/2014/main" id="{2CD72DDE-AB91-4AFC-944C-4F0A7A1DF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4971" name="AutoShape 191">
          <a:extLst>
            <a:ext uri="{FF2B5EF4-FFF2-40B4-BE49-F238E27FC236}">
              <a16:creationId xmlns:a16="http://schemas.microsoft.com/office/drawing/2014/main" id="{5484C6D3-4740-4F2F-912C-308AAC16C655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23</xdr:row>
      <xdr:rowOff>0</xdr:rowOff>
    </xdr:from>
    <xdr:ext cx="9525" cy="9525"/>
    <xdr:pic>
      <xdr:nvPicPr>
        <xdr:cNvPr id="4972" name="Picture 4971">
          <a:extLst>
            <a:ext uri="{FF2B5EF4-FFF2-40B4-BE49-F238E27FC236}">
              <a16:creationId xmlns:a16="http://schemas.microsoft.com/office/drawing/2014/main" id="{5CBCFC83-527C-4048-9F4D-85767FD1F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4973" name="AutoShape 217">
          <a:extLst>
            <a:ext uri="{FF2B5EF4-FFF2-40B4-BE49-F238E27FC236}">
              <a16:creationId xmlns:a16="http://schemas.microsoft.com/office/drawing/2014/main" id="{6C3F79C2-5623-45CD-A364-0DA6AFCD6FC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23</xdr:row>
      <xdr:rowOff>0</xdr:rowOff>
    </xdr:from>
    <xdr:ext cx="9525" cy="9525"/>
    <xdr:pic>
      <xdr:nvPicPr>
        <xdr:cNvPr id="4974" name="Picture 4973">
          <a:extLst>
            <a:ext uri="{FF2B5EF4-FFF2-40B4-BE49-F238E27FC236}">
              <a16:creationId xmlns:a16="http://schemas.microsoft.com/office/drawing/2014/main" id="{5CD28BB0-8C01-4ABA-9041-9F937346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4975" name="AutoShape 241">
          <a:extLst>
            <a:ext uri="{FF2B5EF4-FFF2-40B4-BE49-F238E27FC236}">
              <a16:creationId xmlns:a16="http://schemas.microsoft.com/office/drawing/2014/main" id="{DB7BF50C-AC4E-414F-9A34-B471FCAB9F7A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23</xdr:row>
      <xdr:rowOff>0</xdr:rowOff>
    </xdr:from>
    <xdr:ext cx="9525" cy="9525"/>
    <xdr:pic>
      <xdr:nvPicPr>
        <xdr:cNvPr id="4976" name="Picture 4975">
          <a:extLst>
            <a:ext uri="{FF2B5EF4-FFF2-40B4-BE49-F238E27FC236}">
              <a16:creationId xmlns:a16="http://schemas.microsoft.com/office/drawing/2014/main" id="{E295FFC8-14B5-47B4-B7C1-19925827F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4977" name="AutoShape 267">
          <a:extLst>
            <a:ext uri="{FF2B5EF4-FFF2-40B4-BE49-F238E27FC236}">
              <a16:creationId xmlns:a16="http://schemas.microsoft.com/office/drawing/2014/main" id="{B451A169-689F-4FBC-B63A-1CB2A25C2653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23</xdr:row>
      <xdr:rowOff>0</xdr:rowOff>
    </xdr:from>
    <xdr:ext cx="9525" cy="9525"/>
    <xdr:pic>
      <xdr:nvPicPr>
        <xdr:cNvPr id="4978" name="Picture 4977">
          <a:extLst>
            <a:ext uri="{FF2B5EF4-FFF2-40B4-BE49-F238E27FC236}">
              <a16:creationId xmlns:a16="http://schemas.microsoft.com/office/drawing/2014/main" id="{2AA76CAA-5599-42E0-928C-337413622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4979" name="AutoShape 319">
          <a:extLst>
            <a:ext uri="{FF2B5EF4-FFF2-40B4-BE49-F238E27FC236}">
              <a16:creationId xmlns:a16="http://schemas.microsoft.com/office/drawing/2014/main" id="{C8DAB8BE-4A26-4A7C-A37D-E87F639D3C03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23</xdr:row>
      <xdr:rowOff>0</xdr:rowOff>
    </xdr:from>
    <xdr:ext cx="9525" cy="9525"/>
    <xdr:pic>
      <xdr:nvPicPr>
        <xdr:cNvPr id="4980" name="Picture 4979">
          <a:extLst>
            <a:ext uri="{FF2B5EF4-FFF2-40B4-BE49-F238E27FC236}">
              <a16:creationId xmlns:a16="http://schemas.microsoft.com/office/drawing/2014/main" id="{2A157583-AAAF-4C1B-943F-75889F609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4981" name="AutoShape 371">
          <a:extLst>
            <a:ext uri="{FF2B5EF4-FFF2-40B4-BE49-F238E27FC236}">
              <a16:creationId xmlns:a16="http://schemas.microsoft.com/office/drawing/2014/main" id="{AAFD78C5-EBD6-403D-8CD2-88570ADA4737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23</xdr:row>
      <xdr:rowOff>0</xdr:rowOff>
    </xdr:from>
    <xdr:ext cx="9525" cy="9525"/>
    <xdr:pic>
      <xdr:nvPicPr>
        <xdr:cNvPr id="4982" name="Picture 4981">
          <a:extLst>
            <a:ext uri="{FF2B5EF4-FFF2-40B4-BE49-F238E27FC236}">
              <a16:creationId xmlns:a16="http://schemas.microsoft.com/office/drawing/2014/main" id="{EB7A6164-447F-472E-B38E-46DBC8214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4983" name="AutoShape 427">
          <a:extLst>
            <a:ext uri="{FF2B5EF4-FFF2-40B4-BE49-F238E27FC236}">
              <a16:creationId xmlns:a16="http://schemas.microsoft.com/office/drawing/2014/main" id="{8B79F007-3104-461E-8A0B-DF2372F1E773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23</xdr:row>
      <xdr:rowOff>0</xdr:rowOff>
    </xdr:from>
    <xdr:ext cx="9525" cy="9525"/>
    <xdr:pic>
      <xdr:nvPicPr>
        <xdr:cNvPr id="4984" name="Picture 4983">
          <a:extLst>
            <a:ext uri="{FF2B5EF4-FFF2-40B4-BE49-F238E27FC236}">
              <a16:creationId xmlns:a16="http://schemas.microsoft.com/office/drawing/2014/main" id="{986CBFD3-57DF-4896-B464-77D308219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4985" name="AutoShape 483">
          <a:extLst>
            <a:ext uri="{FF2B5EF4-FFF2-40B4-BE49-F238E27FC236}">
              <a16:creationId xmlns:a16="http://schemas.microsoft.com/office/drawing/2014/main" id="{8361A029-5EE5-40A2-997F-8FCF9A7B4F93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23</xdr:row>
      <xdr:rowOff>0</xdr:rowOff>
    </xdr:from>
    <xdr:ext cx="9525" cy="9525"/>
    <xdr:pic>
      <xdr:nvPicPr>
        <xdr:cNvPr id="4986" name="Picture 4985">
          <a:extLst>
            <a:ext uri="{FF2B5EF4-FFF2-40B4-BE49-F238E27FC236}">
              <a16:creationId xmlns:a16="http://schemas.microsoft.com/office/drawing/2014/main" id="{886B41A9-C966-4408-A8D8-5B5DB03C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22</xdr:row>
      <xdr:rowOff>0</xdr:rowOff>
    </xdr:from>
    <xdr:ext cx="304800" cy="304800"/>
    <xdr:sp macro="" textlink="">
      <xdr:nvSpPr>
        <xdr:cNvPr id="4987" name="AutoShape 515">
          <a:extLst>
            <a:ext uri="{FF2B5EF4-FFF2-40B4-BE49-F238E27FC236}">
              <a16:creationId xmlns:a16="http://schemas.microsoft.com/office/drawing/2014/main" id="{D57B760F-5E8F-4B3F-8330-4F59ED0222F2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4988" name="AutoShape 517">
          <a:extLst>
            <a:ext uri="{FF2B5EF4-FFF2-40B4-BE49-F238E27FC236}">
              <a16:creationId xmlns:a16="http://schemas.microsoft.com/office/drawing/2014/main" id="{FCFCBE6A-6A22-4E31-97DC-502C2DE8E262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9525" cy="9525"/>
    <xdr:pic>
      <xdr:nvPicPr>
        <xdr:cNvPr id="4989" name="Picture 4988">
          <a:extLst>
            <a:ext uri="{FF2B5EF4-FFF2-40B4-BE49-F238E27FC236}">
              <a16:creationId xmlns:a16="http://schemas.microsoft.com/office/drawing/2014/main" id="{650B9E43-BAC1-4677-A4E3-DDDE72D41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24</xdr:row>
      <xdr:rowOff>0</xdr:rowOff>
    </xdr:from>
    <xdr:ext cx="304800" cy="303440"/>
    <xdr:sp macro="" textlink="">
      <xdr:nvSpPr>
        <xdr:cNvPr id="4990" name="AutoShape 169">
          <a:extLst>
            <a:ext uri="{FF2B5EF4-FFF2-40B4-BE49-F238E27FC236}">
              <a16:creationId xmlns:a16="http://schemas.microsoft.com/office/drawing/2014/main" id="{634C9586-450A-4BF1-BA22-EE382FDFE7BE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9525" cy="9525"/>
    <xdr:pic>
      <xdr:nvPicPr>
        <xdr:cNvPr id="4991" name="Picture 4990">
          <a:extLst>
            <a:ext uri="{FF2B5EF4-FFF2-40B4-BE49-F238E27FC236}">
              <a16:creationId xmlns:a16="http://schemas.microsoft.com/office/drawing/2014/main" id="{B4A01EBF-84D1-4C05-8566-62C5A0377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24</xdr:row>
      <xdr:rowOff>0</xdr:rowOff>
    </xdr:from>
    <xdr:ext cx="304800" cy="303440"/>
    <xdr:sp macro="" textlink="">
      <xdr:nvSpPr>
        <xdr:cNvPr id="4992" name="AutoShape 199">
          <a:extLst>
            <a:ext uri="{FF2B5EF4-FFF2-40B4-BE49-F238E27FC236}">
              <a16:creationId xmlns:a16="http://schemas.microsoft.com/office/drawing/2014/main" id="{43ED6F2E-B1EA-4F87-86E9-7F7992A7B2A2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9525" cy="9525"/>
    <xdr:pic>
      <xdr:nvPicPr>
        <xdr:cNvPr id="4993" name="Picture 4992">
          <a:extLst>
            <a:ext uri="{FF2B5EF4-FFF2-40B4-BE49-F238E27FC236}">
              <a16:creationId xmlns:a16="http://schemas.microsoft.com/office/drawing/2014/main" id="{56950F50-195C-47F6-9AD3-01B8B3DF7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4994" name="AutoShape 223">
          <a:extLst>
            <a:ext uri="{FF2B5EF4-FFF2-40B4-BE49-F238E27FC236}">
              <a16:creationId xmlns:a16="http://schemas.microsoft.com/office/drawing/2014/main" id="{BEF49BF9-B969-4EA4-A42F-9D918E124C57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9525" cy="9525"/>
    <xdr:pic>
      <xdr:nvPicPr>
        <xdr:cNvPr id="4995" name="Picture 4994">
          <a:extLst>
            <a:ext uri="{FF2B5EF4-FFF2-40B4-BE49-F238E27FC236}">
              <a16:creationId xmlns:a16="http://schemas.microsoft.com/office/drawing/2014/main" id="{6A7773C3-C6B3-4D7A-B4CA-3D4D12E5B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4996" name="AutoShape 247">
          <a:extLst>
            <a:ext uri="{FF2B5EF4-FFF2-40B4-BE49-F238E27FC236}">
              <a16:creationId xmlns:a16="http://schemas.microsoft.com/office/drawing/2014/main" id="{0F9CECDA-BF0B-488F-98EE-6D11A94F8CD6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304800" cy="303440"/>
    <xdr:sp macro="" textlink="">
      <xdr:nvSpPr>
        <xdr:cNvPr id="4997" name="AutoShape 249">
          <a:extLst>
            <a:ext uri="{FF2B5EF4-FFF2-40B4-BE49-F238E27FC236}">
              <a16:creationId xmlns:a16="http://schemas.microsoft.com/office/drawing/2014/main" id="{63C68218-F72D-4556-8D73-903C10517FB1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9525" cy="9525"/>
    <xdr:pic>
      <xdr:nvPicPr>
        <xdr:cNvPr id="4998" name="Picture 4997">
          <a:extLst>
            <a:ext uri="{FF2B5EF4-FFF2-40B4-BE49-F238E27FC236}">
              <a16:creationId xmlns:a16="http://schemas.microsoft.com/office/drawing/2014/main" id="{1CE8E55D-A54B-4479-97F5-5D3956DBB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4999" name="AutoShape 273">
          <a:extLst>
            <a:ext uri="{FF2B5EF4-FFF2-40B4-BE49-F238E27FC236}">
              <a16:creationId xmlns:a16="http://schemas.microsoft.com/office/drawing/2014/main" id="{7D9DF1E5-7005-4FAC-8BC7-1C3090EA7542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304800" cy="303440"/>
    <xdr:sp macro="" textlink="">
      <xdr:nvSpPr>
        <xdr:cNvPr id="5000" name="AutoShape 275">
          <a:extLst>
            <a:ext uri="{FF2B5EF4-FFF2-40B4-BE49-F238E27FC236}">
              <a16:creationId xmlns:a16="http://schemas.microsoft.com/office/drawing/2014/main" id="{8D04475B-2549-4642-BE47-AF093BA7B0C4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9525" cy="9525"/>
    <xdr:pic>
      <xdr:nvPicPr>
        <xdr:cNvPr id="5001" name="Picture 5000">
          <a:extLst>
            <a:ext uri="{FF2B5EF4-FFF2-40B4-BE49-F238E27FC236}">
              <a16:creationId xmlns:a16="http://schemas.microsoft.com/office/drawing/2014/main" id="{51AF1C84-33E8-44E7-A47F-9C89370E6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5002" name="AutoShape 325">
          <a:extLst>
            <a:ext uri="{FF2B5EF4-FFF2-40B4-BE49-F238E27FC236}">
              <a16:creationId xmlns:a16="http://schemas.microsoft.com/office/drawing/2014/main" id="{F3EACDDA-4020-45AC-BBFC-40A1020011FD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304800" cy="303440"/>
    <xdr:sp macro="" textlink="">
      <xdr:nvSpPr>
        <xdr:cNvPr id="5003" name="AutoShape 327">
          <a:extLst>
            <a:ext uri="{FF2B5EF4-FFF2-40B4-BE49-F238E27FC236}">
              <a16:creationId xmlns:a16="http://schemas.microsoft.com/office/drawing/2014/main" id="{8CF1038C-080E-40E7-B7F6-293666540DEC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9525" cy="9525"/>
    <xdr:pic>
      <xdr:nvPicPr>
        <xdr:cNvPr id="5004" name="Picture 5003">
          <a:extLst>
            <a:ext uri="{FF2B5EF4-FFF2-40B4-BE49-F238E27FC236}">
              <a16:creationId xmlns:a16="http://schemas.microsoft.com/office/drawing/2014/main" id="{5820CAF9-1544-4F96-9481-7677D6178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5005" name="AutoShape 377">
          <a:extLst>
            <a:ext uri="{FF2B5EF4-FFF2-40B4-BE49-F238E27FC236}">
              <a16:creationId xmlns:a16="http://schemas.microsoft.com/office/drawing/2014/main" id="{BF6945F3-F82F-46C9-B8D2-11C54C4686B2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304800" cy="303440"/>
    <xdr:sp macro="" textlink="">
      <xdr:nvSpPr>
        <xdr:cNvPr id="5006" name="AutoShape 379">
          <a:extLst>
            <a:ext uri="{FF2B5EF4-FFF2-40B4-BE49-F238E27FC236}">
              <a16:creationId xmlns:a16="http://schemas.microsoft.com/office/drawing/2014/main" id="{07ED63FA-7A5B-4372-A089-84A1472D8701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9525" cy="9525"/>
    <xdr:pic>
      <xdr:nvPicPr>
        <xdr:cNvPr id="5007" name="Picture 5006">
          <a:extLst>
            <a:ext uri="{FF2B5EF4-FFF2-40B4-BE49-F238E27FC236}">
              <a16:creationId xmlns:a16="http://schemas.microsoft.com/office/drawing/2014/main" id="{8A947979-B9D8-4DD6-99EE-443C99434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5008" name="AutoShape 433">
          <a:extLst>
            <a:ext uri="{FF2B5EF4-FFF2-40B4-BE49-F238E27FC236}">
              <a16:creationId xmlns:a16="http://schemas.microsoft.com/office/drawing/2014/main" id="{315332D6-4DA6-4B32-A7D5-9757D374F646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304800" cy="303440"/>
    <xdr:sp macro="" textlink="">
      <xdr:nvSpPr>
        <xdr:cNvPr id="5009" name="AutoShape 435">
          <a:extLst>
            <a:ext uri="{FF2B5EF4-FFF2-40B4-BE49-F238E27FC236}">
              <a16:creationId xmlns:a16="http://schemas.microsoft.com/office/drawing/2014/main" id="{C706A135-0F5A-4BB7-A191-2A4FA0FAD231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9525" cy="9525"/>
    <xdr:pic>
      <xdr:nvPicPr>
        <xdr:cNvPr id="5010" name="Picture 5009">
          <a:extLst>
            <a:ext uri="{FF2B5EF4-FFF2-40B4-BE49-F238E27FC236}">
              <a16:creationId xmlns:a16="http://schemas.microsoft.com/office/drawing/2014/main" id="{91A04616-0539-4E29-8FB0-572AF692D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5011" name="AutoShape 489">
          <a:extLst>
            <a:ext uri="{FF2B5EF4-FFF2-40B4-BE49-F238E27FC236}">
              <a16:creationId xmlns:a16="http://schemas.microsoft.com/office/drawing/2014/main" id="{90A7D7EF-D0B0-4F1E-AC79-E5F9052B395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304800" cy="303440"/>
    <xdr:sp macro="" textlink="">
      <xdr:nvSpPr>
        <xdr:cNvPr id="5012" name="AutoShape 491">
          <a:extLst>
            <a:ext uri="{FF2B5EF4-FFF2-40B4-BE49-F238E27FC236}">
              <a16:creationId xmlns:a16="http://schemas.microsoft.com/office/drawing/2014/main" id="{2D868CB5-72F6-4EB4-BE80-12A9EE280DB4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9525" cy="9525"/>
    <xdr:pic>
      <xdr:nvPicPr>
        <xdr:cNvPr id="5013" name="Picture 5012">
          <a:extLst>
            <a:ext uri="{FF2B5EF4-FFF2-40B4-BE49-F238E27FC236}">
              <a16:creationId xmlns:a16="http://schemas.microsoft.com/office/drawing/2014/main" id="{CD6DE724-91AE-49E6-9F8D-9216DBE6B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5014" name="AutoShape 523">
          <a:extLst>
            <a:ext uri="{FF2B5EF4-FFF2-40B4-BE49-F238E27FC236}">
              <a16:creationId xmlns:a16="http://schemas.microsoft.com/office/drawing/2014/main" id="{086D3913-8C30-4B72-9AAB-AF6EF963A938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304800" cy="303440"/>
    <xdr:sp macro="" textlink="">
      <xdr:nvSpPr>
        <xdr:cNvPr id="5015" name="AutoShape 525">
          <a:extLst>
            <a:ext uri="{FF2B5EF4-FFF2-40B4-BE49-F238E27FC236}">
              <a16:creationId xmlns:a16="http://schemas.microsoft.com/office/drawing/2014/main" id="{07C3B019-E13F-4A60-B268-A3FF44BD4C1F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</xdr:row>
      <xdr:rowOff>0</xdr:rowOff>
    </xdr:from>
    <xdr:ext cx="9525" cy="9525"/>
    <xdr:pic>
      <xdr:nvPicPr>
        <xdr:cNvPr id="5016" name="Picture 5015">
          <a:extLst>
            <a:ext uri="{FF2B5EF4-FFF2-40B4-BE49-F238E27FC236}">
              <a16:creationId xmlns:a16="http://schemas.microsoft.com/office/drawing/2014/main" id="{1ABDA459-795D-4581-988E-0A30B7934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</xdr:row>
      <xdr:rowOff>0</xdr:rowOff>
    </xdr:from>
    <xdr:ext cx="304800" cy="303439"/>
    <xdr:sp macro="" textlink="">
      <xdr:nvSpPr>
        <xdr:cNvPr id="5017" name="AutoShape 25">
          <a:extLst>
            <a:ext uri="{FF2B5EF4-FFF2-40B4-BE49-F238E27FC236}">
              <a16:creationId xmlns:a16="http://schemas.microsoft.com/office/drawing/2014/main" id="{335109AC-37E0-4270-929A-D72727152A0C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</xdr:row>
      <xdr:rowOff>0</xdr:rowOff>
    </xdr:from>
    <xdr:ext cx="9525" cy="9525"/>
    <xdr:pic>
      <xdr:nvPicPr>
        <xdr:cNvPr id="5018" name="Picture 5017">
          <a:extLst>
            <a:ext uri="{FF2B5EF4-FFF2-40B4-BE49-F238E27FC236}">
              <a16:creationId xmlns:a16="http://schemas.microsoft.com/office/drawing/2014/main" id="{8EE15C14-FADA-444A-A810-B67BDF01A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9525" cy="9525"/>
    <xdr:pic>
      <xdr:nvPicPr>
        <xdr:cNvPr id="5019" name="Picture 5018">
          <a:extLst>
            <a:ext uri="{FF2B5EF4-FFF2-40B4-BE49-F238E27FC236}">
              <a16:creationId xmlns:a16="http://schemas.microsoft.com/office/drawing/2014/main" id="{F4EB2BAA-9B88-4081-9F6E-FD57E4262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6</xdr:row>
      <xdr:rowOff>0</xdr:rowOff>
    </xdr:from>
    <xdr:ext cx="9525" cy="9525"/>
    <xdr:pic>
      <xdr:nvPicPr>
        <xdr:cNvPr id="5020" name="Picture 5019">
          <a:extLst>
            <a:ext uri="{FF2B5EF4-FFF2-40B4-BE49-F238E27FC236}">
              <a16:creationId xmlns:a16="http://schemas.microsoft.com/office/drawing/2014/main" id="{BC72FCFA-85FA-4FA6-8D38-C69057F60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304800" cy="304800"/>
    <xdr:sp macro="" textlink="">
      <xdr:nvSpPr>
        <xdr:cNvPr id="5021" name="AutoShape 29">
          <a:extLst>
            <a:ext uri="{FF2B5EF4-FFF2-40B4-BE49-F238E27FC236}">
              <a16:creationId xmlns:a16="http://schemas.microsoft.com/office/drawing/2014/main" id="{D4FFF4A5-8655-4E08-B6B3-819AA0C03DC2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22" name="Picture 5021">
          <a:extLst>
            <a:ext uri="{FF2B5EF4-FFF2-40B4-BE49-F238E27FC236}">
              <a16:creationId xmlns:a16="http://schemas.microsoft.com/office/drawing/2014/main" id="{B54DD169-5AE1-46E2-BC21-D7F4CB1A7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26</xdr:row>
      <xdr:rowOff>0</xdr:rowOff>
    </xdr:from>
    <xdr:ext cx="9525" cy="9525"/>
    <xdr:pic>
      <xdr:nvPicPr>
        <xdr:cNvPr id="5023" name="Picture 5022">
          <a:extLst>
            <a:ext uri="{FF2B5EF4-FFF2-40B4-BE49-F238E27FC236}">
              <a16:creationId xmlns:a16="http://schemas.microsoft.com/office/drawing/2014/main" id="{B3434939-858E-4F1F-82CF-A6F2F3713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25</xdr:row>
      <xdr:rowOff>0</xdr:rowOff>
    </xdr:from>
    <xdr:ext cx="304800" cy="303440"/>
    <xdr:sp macro="" textlink="">
      <xdr:nvSpPr>
        <xdr:cNvPr id="5024" name="AutoShape 32">
          <a:extLst>
            <a:ext uri="{FF2B5EF4-FFF2-40B4-BE49-F238E27FC236}">
              <a16:creationId xmlns:a16="http://schemas.microsoft.com/office/drawing/2014/main" id="{337FFEC4-FA71-4D96-904F-EBD0DB8D33DD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25" name="Picture 5024">
          <a:extLst>
            <a:ext uri="{FF2B5EF4-FFF2-40B4-BE49-F238E27FC236}">
              <a16:creationId xmlns:a16="http://schemas.microsoft.com/office/drawing/2014/main" id="{8C38F57B-0219-42B1-BB51-2CDFB4F26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26" name="Picture 5025">
          <a:extLst>
            <a:ext uri="{FF2B5EF4-FFF2-40B4-BE49-F238E27FC236}">
              <a16:creationId xmlns:a16="http://schemas.microsoft.com/office/drawing/2014/main" id="{AD62A148-6420-43B8-87A8-854447BEF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27" name="Picture 5026">
          <a:extLst>
            <a:ext uri="{FF2B5EF4-FFF2-40B4-BE49-F238E27FC236}">
              <a16:creationId xmlns:a16="http://schemas.microsoft.com/office/drawing/2014/main" id="{EAC05C78-DB34-4126-ACB4-AA69E728F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28" name="Picture 5027">
          <a:extLst>
            <a:ext uri="{FF2B5EF4-FFF2-40B4-BE49-F238E27FC236}">
              <a16:creationId xmlns:a16="http://schemas.microsoft.com/office/drawing/2014/main" id="{29AC70ED-E1A0-49AD-ABE4-118BE80CB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29" name="Picture 5028">
          <a:extLst>
            <a:ext uri="{FF2B5EF4-FFF2-40B4-BE49-F238E27FC236}">
              <a16:creationId xmlns:a16="http://schemas.microsoft.com/office/drawing/2014/main" id="{9682F49A-1560-4288-A137-865256881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5030" name="AutoShape 38">
          <a:extLst>
            <a:ext uri="{FF2B5EF4-FFF2-40B4-BE49-F238E27FC236}">
              <a16:creationId xmlns:a16="http://schemas.microsoft.com/office/drawing/2014/main" id="{AD567E2B-63BC-4B78-8E5A-34E0E12D027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31" name="Picture 5030">
          <a:extLst>
            <a:ext uri="{FF2B5EF4-FFF2-40B4-BE49-F238E27FC236}">
              <a16:creationId xmlns:a16="http://schemas.microsoft.com/office/drawing/2014/main" id="{C905E6EB-280A-4641-A920-D796969FB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5032" name="AutoShape 40">
          <a:extLst>
            <a:ext uri="{FF2B5EF4-FFF2-40B4-BE49-F238E27FC236}">
              <a16:creationId xmlns:a16="http://schemas.microsoft.com/office/drawing/2014/main" id="{FBCCF144-64FA-4AC4-943B-A6182AC51023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13</xdr:row>
      <xdr:rowOff>0</xdr:rowOff>
    </xdr:from>
    <xdr:ext cx="9525" cy="9525"/>
    <xdr:pic>
      <xdr:nvPicPr>
        <xdr:cNvPr id="5033" name="Picture 5032">
          <a:extLst>
            <a:ext uri="{FF2B5EF4-FFF2-40B4-BE49-F238E27FC236}">
              <a16:creationId xmlns:a16="http://schemas.microsoft.com/office/drawing/2014/main" id="{E3920D58-CB0F-4FBB-B55F-6A90B75E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12</xdr:row>
      <xdr:rowOff>0</xdr:rowOff>
    </xdr:from>
    <xdr:ext cx="304800" cy="303439"/>
    <xdr:sp macro="" textlink="">
      <xdr:nvSpPr>
        <xdr:cNvPr id="5034" name="AutoShape 42">
          <a:extLst>
            <a:ext uri="{FF2B5EF4-FFF2-40B4-BE49-F238E27FC236}">
              <a16:creationId xmlns:a16="http://schemas.microsoft.com/office/drawing/2014/main" id="{E7AC7996-48DC-4BEE-9BE2-C7289245A583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13</xdr:row>
      <xdr:rowOff>0</xdr:rowOff>
    </xdr:from>
    <xdr:ext cx="304800" cy="304800"/>
    <xdr:sp macro="" textlink="">
      <xdr:nvSpPr>
        <xdr:cNvPr id="5035" name="AutoShape 44">
          <a:extLst>
            <a:ext uri="{FF2B5EF4-FFF2-40B4-BE49-F238E27FC236}">
              <a16:creationId xmlns:a16="http://schemas.microsoft.com/office/drawing/2014/main" id="{25F9E139-ADFA-407A-A577-C5D599A108D1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36" name="Picture 5035">
          <a:extLst>
            <a:ext uri="{FF2B5EF4-FFF2-40B4-BE49-F238E27FC236}">
              <a16:creationId xmlns:a16="http://schemas.microsoft.com/office/drawing/2014/main" id="{92954793-B165-4570-9BC1-C301A02D8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27</xdr:row>
      <xdr:rowOff>0</xdr:rowOff>
    </xdr:from>
    <xdr:ext cx="9525" cy="9525"/>
    <xdr:pic>
      <xdr:nvPicPr>
        <xdr:cNvPr id="5037" name="Picture 5036">
          <a:extLst>
            <a:ext uri="{FF2B5EF4-FFF2-40B4-BE49-F238E27FC236}">
              <a16:creationId xmlns:a16="http://schemas.microsoft.com/office/drawing/2014/main" id="{30D32108-B1A6-4A57-A4B0-1A34120A5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3</xdr:row>
      <xdr:rowOff>0</xdr:rowOff>
    </xdr:from>
    <xdr:ext cx="9525" cy="9525"/>
    <xdr:pic>
      <xdr:nvPicPr>
        <xdr:cNvPr id="5038" name="Picture 5037">
          <a:extLst>
            <a:ext uri="{FF2B5EF4-FFF2-40B4-BE49-F238E27FC236}">
              <a16:creationId xmlns:a16="http://schemas.microsoft.com/office/drawing/2014/main" id="{D0C39D1B-DD99-459A-8709-B31359CEC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</xdr:row>
      <xdr:rowOff>0</xdr:rowOff>
    </xdr:from>
    <xdr:ext cx="304800" cy="303439"/>
    <xdr:sp macro="" textlink="">
      <xdr:nvSpPr>
        <xdr:cNvPr id="5039" name="AutoShape 48">
          <a:extLst>
            <a:ext uri="{FF2B5EF4-FFF2-40B4-BE49-F238E27FC236}">
              <a16:creationId xmlns:a16="http://schemas.microsoft.com/office/drawing/2014/main" id="{53950E3A-501D-4A1B-90AC-6BEBFE72D8DE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</xdr:row>
      <xdr:rowOff>0</xdr:rowOff>
    </xdr:from>
    <xdr:ext cx="9525" cy="9525"/>
    <xdr:pic>
      <xdr:nvPicPr>
        <xdr:cNvPr id="5040" name="Picture 5039">
          <a:extLst>
            <a:ext uri="{FF2B5EF4-FFF2-40B4-BE49-F238E27FC236}">
              <a16:creationId xmlns:a16="http://schemas.microsoft.com/office/drawing/2014/main" id="{AEDC5038-7E24-4BEB-B894-246131600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9525" cy="9525"/>
    <xdr:pic>
      <xdr:nvPicPr>
        <xdr:cNvPr id="5041" name="Picture 5040">
          <a:extLst>
            <a:ext uri="{FF2B5EF4-FFF2-40B4-BE49-F238E27FC236}">
              <a16:creationId xmlns:a16="http://schemas.microsoft.com/office/drawing/2014/main" id="{624E52AA-2400-427B-B241-B6AC5E4BA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6</xdr:row>
      <xdr:rowOff>0</xdr:rowOff>
    </xdr:from>
    <xdr:ext cx="9525" cy="9525"/>
    <xdr:pic>
      <xdr:nvPicPr>
        <xdr:cNvPr id="5042" name="Picture 5041">
          <a:extLst>
            <a:ext uri="{FF2B5EF4-FFF2-40B4-BE49-F238E27FC236}">
              <a16:creationId xmlns:a16="http://schemas.microsoft.com/office/drawing/2014/main" id="{28FFE562-1CC8-4D9E-A235-7A88554AB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304800" cy="304800"/>
    <xdr:sp macro="" textlink="">
      <xdr:nvSpPr>
        <xdr:cNvPr id="5043" name="AutoShape 52">
          <a:extLst>
            <a:ext uri="{FF2B5EF4-FFF2-40B4-BE49-F238E27FC236}">
              <a16:creationId xmlns:a16="http://schemas.microsoft.com/office/drawing/2014/main" id="{6650B834-1C0D-4E8D-95A5-EAFAFDA8AE8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44" name="Picture 5043">
          <a:extLst>
            <a:ext uri="{FF2B5EF4-FFF2-40B4-BE49-F238E27FC236}">
              <a16:creationId xmlns:a16="http://schemas.microsoft.com/office/drawing/2014/main" id="{34B6FD11-A752-4DA6-AA79-5AA56195C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26</xdr:row>
      <xdr:rowOff>0</xdr:rowOff>
    </xdr:from>
    <xdr:ext cx="9525" cy="9525"/>
    <xdr:pic>
      <xdr:nvPicPr>
        <xdr:cNvPr id="5045" name="Picture 5044">
          <a:extLst>
            <a:ext uri="{FF2B5EF4-FFF2-40B4-BE49-F238E27FC236}">
              <a16:creationId xmlns:a16="http://schemas.microsoft.com/office/drawing/2014/main" id="{63AA5F3B-0019-473B-8A92-6DBD323B7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25</xdr:row>
      <xdr:rowOff>0</xdr:rowOff>
    </xdr:from>
    <xdr:ext cx="304800" cy="303440"/>
    <xdr:sp macro="" textlink="">
      <xdr:nvSpPr>
        <xdr:cNvPr id="5046" name="AutoShape 55">
          <a:extLst>
            <a:ext uri="{FF2B5EF4-FFF2-40B4-BE49-F238E27FC236}">
              <a16:creationId xmlns:a16="http://schemas.microsoft.com/office/drawing/2014/main" id="{AF852FA5-8D4D-436E-B961-D1C321EEDCF5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47" name="Picture 5046">
          <a:extLst>
            <a:ext uri="{FF2B5EF4-FFF2-40B4-BE49-F238E27FC236}">
              <a16:creationId xmlns:a16="http://schemas.microsoft.com/office/drawing/2014/main" id="{FF737C8D-9A33-464F-A0CB-2BEA04751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48" name="Picture 5047">
          <a:extLst>
            <a:ext uri="{FF2B5EF4-FFF2-40B4-BE49-F238E27FC236}">
              <a16:creationId xmlns:a16="http://schemas.microsoft.com/office/drawing/2014/main" id="{48F70582-186E-48A5-A30E-0A07FC6EA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49" name="Picture 5048">
          <a:extLst>
            <a:ext uri="{FF2B5EF4-FFF2-40B4-BE49-F238E27FC236}">
              <a16:creationId xmlns:a16="http://schemas.microsoft.com/office/drawing/2014/main" id="{8589C201-D16D-42FD-9A74-8F9BDF95C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50" name="Picture 5049">
          <a:extLst>
            <a:ext uri="{FF2B5EF4-FFF2-40B4-BE49-F238E27FC236}">
              <a16:creationId xmlns:a16="http://schemas.microsoft.com/office/drawing/2014/main" id="{9151BB4E-927E-4887-9509-03AEE1FA0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51" name="Picture 5050">
          <a:extLst>
            <a:ext uri="{FF2B5EF4-FFF2-40B4-BE49-F238E27FC236}">
              <a16:creationId xmlns:a16="http://schemas.microsoft.com/office/drawing/2014/main" id="{C88B6813-DC0A-4F1E-837A-A95BA6781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5052" name="AutoShape 61">
          <a:extLst>
            <a:ext uri="{FF2B5EF4-FFF2-40B4-BE49-F238E27FC236}">
              <a16:creationId xmlns:a16="http://schemas.microsoft.com/office/drawing/2014/main" id="{FC316C69-6FCC-40DC-9B4D-79B9CC6D07BA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53" name="Picture 5052">
          <a:extLst>
            <a:ext uri="{FF2B5EF4-FFF2-40B4-BE49-F238E27FC236}">
              <a16:creationId xmlns:a16="http://schemas.microsoft.com/office/drawing/2014/main" id="{6824D98B-9B13-4B71-8E01-A88B9C579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5054" name="AutoShape 63">
          <a:extLst>
            <a:ext uri="{FF2B5EF4-FFF2-40B4-BE49-F238E27FC236}">
              <a16:creationId xmlns:a16="http://schemas.microsoft.com/office/drawing/2014/main" id="{00938FDB-C14F-457F-B2E1-38ECC98D350C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13</xdr:row>
      <xdr:rowOff>0</xdr:rowOff>
    </xdr:from>
    <xdr:ext cx="9525" cy="9525"/>
    <xdr:pic>
      <xdr:nvPicPr>
        <xdr:cNvPr id="5055" name="Picture 5054">
          <a:extLst>
            <a:ext uri="{FF2B5EF4-FFF2-40B4-BE49-F238E27FC236}">
              <a16:creationId xmlns:a16="http://schemas.microsoft.com/office/drawing/2014/main" id="{BEABCBB2-9D99-44DA-891E-1A933E0E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12</xdr:row>
      <xdr:rowOff>0</xdr:rowOff>
    </xdr:from>
    <xdr:ext cx="304800" cy="303439"/>
    <xdr:sp macro="" textlink="">
      <xdr:nvSpPr>
        <xdr:cNvPr id="5056" name="AutoShape 65">
          <a:extLst>
            <a:ext uri="{FF2B5EF4-FFF2-40B4-BE49-F238E27FC236}">
              <a16:creationId xmlns:a16="http://schemas.microsoft.com/office/drawing/2014/main" id="{71E4DBAC-C8D6-4B72-92B1-9C5DB8B40204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13</xdr:row>
      <xdr:rowOff>0</xdr:rowOff>
    </xdr:from>
    <xdr:ext cx="304800" cy="304800"/>
    <xdr:sp macro="" textlink="">
      <xdr:nvSpPr>
        <xdr:cNvPr id="5057" name="AutoShape 67">
          <a:extLst>
            <a:ext uri="{FF2B5EF4-FFF2-40B4-BE49-F238E27FC236}">
              <a16:creationId xmlns:a16="http://schemas.microsoft.com/office/drawing/2014/main" id="{8B5A3FF1-7D59-4268-8A33-8063032E8DE1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58" name="Picture 5057">
          <a:extLst>
            <a:ext uri="{FF2B5EF4-FFF2-40B4-BE49-F238E27FC236}">
              <a16:creationId xmlns:a16="http://schemas.microsoft.com/office/drawing/2014/main" id="{AB054CAB-02C6-45E7-A937-DF34C9749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3440"/>
    <xdr:sp macro="" textlink="">
      <xdr:nvSpPr>
        <xdr:cNvPr id="5059" name="AutoShape 69">
          <a:extLst>
            <a:ext uri="{FF2B5EF4-FFF2-40B4-BE49-F238E27FC236}">
              <a16:creationId xmlns:a16="http://schemas.microsoft.com/office/drawing/2014/main" id="{99EEB4D3-2178-446C-837D-3B5E072EA63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27</xdr:row>
      <xdr:rowOff>0</xdr:rowOff>
    </xdr:from>
    <xdr:ext cx="9525" cy="9525"/>
    <xdr:pic>
      <xdr:nvPicPr>
        <xdr:cNvPr id="5060" name="Picture 5059">
          <a:extLst>
            <a:ext uri="{FF2B5EF4-FFF2-40B4-BE49-F238E27FC236}">
              <a16:creationId xmlns:a16="http://schemas.microsoft.com/office/drawing/2014/main" id="{F614AB97-3547-495B-82B3-61A1273E4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61" name="Picture 5060">
          <a:extLst>
            <a:ext uri="{FF2B5EF4-FFF2-40B4-BE49-F238E27FC236}">
              <a16:creationId xmlns:a16="http://schemas.microsoft.com/office/drawing/2014/main" id="{BC3F89E7-2D44-4BD3-BD34-D7A1A94E3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3</xdr:row>
      <xdr:rowOff>0</xdr:rowOff>
    </xdr:from>
    <xdr:ext cx="9525" cy="9525"/>
    <xdr:pic>
      <xdr:nvPicPr>
        <xdr:cNvPr id="5062" name="Picture 5061">
          <a:extLst>
            <a:ext uri="{FF2B5EF4-FFF2-40B4-BE49-F238E27FC236}">
              <a16:creationId xmlns:a16="http://schemas.microsoft.com/office/drawing/2014/main" id="{EE0249E0-1D73-4CF6-B5A4-1BDD8B8E1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</xdr:row>
      <xdr:rowOff>0</xdr:rowOff>
    </xdr:from>
    <xdr:ext cx="304800" cy="303439"/>
    <xdr:sp macro="" textlink="">
      <xdr:nvSpPr>
        <xdr:cNvPr id="5063" name="AutoShape 98">
          <a:extLst>
            <a:ext uri="{FF2B5EF4-FFF2-40B4-BE49-F238E27FC236}">
              <a16:creationId xmlns:a16="http://schemas.microsoft.com/office/drawing/2014/main" id="{AFCDE071-371E-4A51-A836-EBCE2BD6F4B6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</xdr:row>
      <xdr:rowOff>0</xdr:rowOff>
    </xdr:from>
    <xdr:ext cx="9525" cy="9525"/>
    <xdr:pic>
      <xdr:nvPicPr>
        <xdr:cNvPr id="5064" name="Picture 5063">
          <a:extLst>
            <a:ext uri="{FF2B5EF4-FFF2-40B4-BE49-F238E27FC236}">
              <a16:creationId xmlns:a16="http://schemas.microsoft.com/office/drawing/2014/main" id="{1384F587-E688-4F6D-AFB9-D639B4048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9525" cy="9525"/>
    <xdr:pic>
      <xdr:nvPicPr>
        <xdr:cNvPr id="5065" name="Picture 5064">
          <a:extLst>
            <a:ext uri="{FF2B5EF4-FFF2-40B4-BE49-F238E27FC236}">
              <a16:creationId xmlns:a16="http://schemas.microsoft.com/office/drawing/2014/main" id="{4D4B6ABD-1E1A-41AA-8208-E12452F51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6</xdr:row>
      <xdr:rowOff>0</xdr:rowOff>
    </xdr:from>
    <xdr:ext cx="9525" cy="9525"/>
    <xdr:pic>
      <xdr:nvPicPr>
        <xdr:cNvPr id="5066" name="Picture 5065">
          <a:extLst>
            <a:ext uri="{FF2B5EF4-FFF2-40B4-BE49-F238E27FC236}">
              <a16:creationId xmlns:a16="http://schemas.microsoft.com/office/drawing/2014/main" id="{461F8BB8-6AD6-431D-8115-8EDFB4188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304800" cy="304800"/>
    <xdr:sp macro="" textlink="">
      <xdr:nvSpPr>
        <xdr:cNvPr id="5067" name="AutoShape 102">
          <a:extLst>
            <a:ext uri="{FF2B5EF4-FFF2-40B4-BE49-F238E27FC236}">
              <a16:creationId xmlns:a16="http://schemas.microsoft.com/office/drawing/2014/main" id="{2D0D22F0-E458-4B5F-85DA-1A9E8584CC91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68" name="Picture 5067">
          <a:extLst>
            <a:ext uri="{FF2B5EF4-FFF2-40B4-BE49-F238E27FC236}">
              <a16:creationId xmlns:a16="http://schemas.microsoft.com/office/drawing/2014/main" id="{BDEDF515-2052-4F26-A913-C38F9CF11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26</xdr:row>
      <xdr:rowOff>0</xdr:rowOff>
    </xdr:from>
    <xdr:ext cx="9525" cy="9525"/>
    <xdr:pic>
      <xdr:nvPicPr>
        <xdr:cNvPr id="5069" name="Picture 5068">
          <a:extLst>
            <a:ext uri="{FF2B5EF4-FFF2-40B4-BE49-F238E27FC236}">
              <a16:creationId xmlns:a16="http://schemas.microsoft.com/office/drawing/2014/main" id="{559C83B6-759B-4F4B-9786-BFFA0A7F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25</xdr:row>
      <xdr:rowOff>0</xdr:rowOff>
    </xdr:from>
    <xdr:ext cx="304800" cy="303440"/>
    <xdr:sp macro="" textlink="">
      <xdr:nvSpPr>
        <xdr:cNvPr id="5070" name="AutoShape 105">
          <a:extLst>
            <a:ext uri="{FF2B5EF4-FFF2-40B4-BE49-F238E27FC236}">
              <a16:creationId xmlns:a16="http://schemas.microsoft.com/office/drawing/2014/main" id="{3A803E9E-968B-4ACF-BE8C-FDF7F615B0D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71" name="Picture 5070">
          <a:extLst>
            <a:ext uri="{FF2B5EF4-FFF2-40B4-BE49-F238E27FC236}">
              <a16:creationId xmlns:a16="http://schemas.microsoft.com/office/drawing/2014/main" id="{91088C27-BB8E-4E33-AF27-44C81C681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72" name="Picture 5071">
          <a:extLst>
            <a:ext uri="{FF2B5EF4-FFF2-40B4-BE49-F238E27FC236}">
              <a16:creationId xmlns:a16="http://schemas.microsoft.com/office/drawing/2014/main" id="{A05595A7-92DD-4903-935D-D49E3058B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73" name="Picture 5072">
          <a:extLst>
            <a:ext uri="{FF2B5EF4-FFF2-40B4-BE49-F238E27FC236}">
              <a16:creationId xmlns:a16="http://schemas.microsoft.com/office/drawing/2014/main" id="{C212FEEE-2181-4344-B4ED-97D4358E8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74" name="Picture 5073">
          <a:extLst>
            <a:ext uri="{FF2B5EF4-FFF2-40B4-BE49-F238E27FC236}">
              <a16:creationId xmlns:a16="http://schemas.microsoft.com/office/drawing/2014/main" id="{E98E9AA6-CB50-4D4E-814C-8D0FDC188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75" name="Picture 5074">
          <a:extLst>
            <a:ext uri="{FF2B5EF4-FFF2-40B4-BE49-F238E27FC236}">
              <a16:creationId xmlns:a16="http://schemas.microsoft.com/office/drawing/2014/main" id="{AAFC900A-F9DA-4938-8C63-60216E36E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5076" name="AutoShape 111">
          <a:extLst>
            <a:ext uri="{FF2B5EF4-FFF2-40B4-BE49-F238E27FC236}">
              <a16:creationId xmlns:a16="http://schemas.microsoft.com/office/drawing/2014/main" id="{470B00ED-9625-401B-9484-DE9EBF647F16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77" name="Picture 5076">
          <a:extLst>
            <a:ext uri="{FF2B5EF4-FFF2-40B4-BE49-F238E27FC236}">
              <a16:creationId xmlns:a16="http://schemas.microsoft.com/office/drawing/2014/main" id="{F99FFD44-CCAE-45F7-9909-19C20A53B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5078" name="AutoShape 113">
          <a:extLst>
            <a:ext uri="{FF2B5EF4-FFF2-40B4-BE49-F238E27FC236}">
              <a16:creationId xmlns:a16="http://schemas.microsoft.com/office/drawing/2014/main" id="{83FB4BD4-526E-4059-AF45-228CD8A78951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13</xdr:row>
      <xdr:rowOff>0</xdr:rowOff>
    </xdr:from>
    <xdr:ext cx="9525" cy="9525"/>
    <xdr:pic>
      <xdr:nvPicPr>
        <xdr:cNvPr id="5079" name="Picture 5078">
          <a:extLst>
            <a:ext uri="{FF2B5EF4-FFF2-40B4-BE49-F238E27FC236}">
              <a16:creationId xmlns:a16="http://schemas.microsoft.com/office/drawing/2014/main" id="{4D224DB3-CF47-4C8D-8ECC-48731624C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12</xdr:row>
      <xdr:rowOff>0</xdr:rowOff>
    </xdr:from>
    <xdr:ext cx="304800" cy="303439"/>
    <xdr:sp macro="" textlink="">
      <xdr:nvSpPr>
        <xdr:cNvPr id="5080" name="AutoShape 115">
          <a:extLst>
            <a:ext uri="{FF2B5EF4-FFF2-40B4-BE49-F238E27FC236}">
              <a16:creationId xmlns:a16="http://schemas.microsoft.com/office/drawing/2014/main" id="{9F25F1FE-E1C4-4BF1-9DFB-B595B8567E61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81" name="Picture 5080">
          <a:extLst>
            <a:ext uri="{FF2B5EF4-FFF2-40B4-BE49-F238E27FC236}">
              <a16:creationId xmlns:a16="http://schemas.microsoft.com/office/drawing/2014/main" id="{C657740E-E4B7-4515-8A0B-F921CC5A1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13</xdr:row>
      <xdr:rowOff>0</xdr:rowOff>
    </xdr:from>
    <xdr:ext cx="304800" cy="304800"/>
    <xdr:sp macro="" textlink="">
      <xdr:nvSpPr>
        <xdr:cNvPr id="5082" name="AutoShape 117">
          <a:extLst>
            <a:ext uri="{FF2B5EF4-FFF2-40B4-BE49-F238E27FC236}">
              <a16:creationId xmlns:a16="http://schemas.microsoft.com/office/drawing/2014/main" id="{415314F5-CBCD-423E-B430-88BF61154AF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83" name="Picture 5082">
          <a:extLst>
            <a:ext uri="{FF2B5EF4-FFF2-40B4-BE49-F238E27FC236}">
              <a16:creationId xmlns:a16="http://schemas.microsoft.com/office/drawing/2014/main" id="{9698CD21-FF7A-408B-BB07-A54173A33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3440"/>
    <xdr:sp macro="" textlink="">
      <xdr:nvSpPr>
        <xdr:cNvPr id="5084" name="AutoShape 119">
          <a:extLst>
            <a:ext uri="{FF2B5EF4-FFF2-40B4-BE49-F238E27FC236}">
              <a16:creationId xmlns:a16="http://schemas.microsoft.com/office/drawing/2014/main" id="{E98C44B3-58C9-44FD-B7E8-6E0233D336D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27</xdr:row>
      <xdr:rowOff>0</xdr:rowOff>
    </xdr:from>
    <xdr:ext cx="9525" cy="9525"/>
    <xdr:pic>
      <xdr:nvPicPr>
        <xdr:cNvPr id="5085" name="Picture 5084">
          <a:extLst>
            <a:ext uri="{FF2B5EF4-FFF2-40B4-BE49-F238E27FC236}">
              <a16:creationId xmlns:a16="http://schemas.microsoft.com/office/drawing/2014/main" id="{EB218EA0-F7BF-43D1-8A73-84A7C82BC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86" name="Picture 5085">
          <a:extLst>
            <a:ext uri="{FF2B5EF4-FFF2-40B4-BE49-F238E27FC236}">
              <a16:creationId xmlns:a16="http://schemas.microsoft.com/office/drawing/2014/main" id="{26CCB617-1D9E-4333-8118-016296E0E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3</xdr:row>
      <xdr:rowOff>0</xdr:rowOff>
    </xdr:from>
    <xdr:ext cx="9525" cy="9525"/>
    <xdr:pic>
      <xdr:nvPicPr>
        <xdr:cNvPr id="5087" name="Picture 5086">
          <a:extLst>
            <a:ext uri="{FF2B5EF4-FFF2-40B4-BE49-F238E27FC236}">
              <a16:creationId xmlns:a16="http://schemas.microsoft.com/office/drawing/2014/main" id="{98894C6D-EBF9-4DE5-A246-2601AEACA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</xdr:row>
      <xdr:rowOff>0</xdr:rowOff>
    </xdr:from>
    <xdr:ext cx="304800" cy="303439"/>
    <xdr:sp macro="" textlink="">
      <xdr:nvSpPr>
        <xdr:cNvPr id="5088" name="AutoShape 123">
          <a:extLst>
            <a:ext uri="{FF2B5EF4-FFF2-40B4-BE49-F238E27FC236}">
              <a16:creationId xmlns:a16="http://schemas.microsoft.com/office/drawing/2014/main" id="{2EA2D586-ABC2-4452-9FEE-654860D5145C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</xdr:row>
      <xdr:rowOff>0</xdr:rowOff>
    </xdr:from>
    <xdr:ext cx="9525" cy="9525"/>
    <xdr:pic>
      <xdr:nvPicPr>
        <xdr:cNvPr id="5089" name="Picture 5088">
          <a:extLst>
            <a:ext uri="{FF2B5EF4-FFF2-40B4-BE49-F238E27FC236}">
              <a16:creationId xmlns:a16="http://schemas.microsoft.com/office/drawing/2014/main" id="{688850C3-6CF9-43E0-9D4F-68977C53E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9525" cy="9525"/>
    <xdr:pic>
      <xdr:nvPicPr>
        <xdr:cNvPr id="5090" name="Picture 5089">
          <a:extLst>
            <a:ext uri="{FF2B5EF4-FFF2-40B4-BE49-F238E27FC236}">
              <a16:creationId xmlns:a16="http://schemas.microsoft.com/office/drawing/2014/main" id="{8645A6A0-1631-4BE3-9743-99D9E5001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6</xdr:row>
      <xdr:rowOff>0</xdr:rowOff>
    </xdr:from>
    <xdr:ext cx="9525" cy="9525"/>
    <xdr:pic>
      <xdr:nvPicPr>
        <xdr:cNvPr id="5091" name="Picture 5090">
          <a:extLst>
            <a:ext uri="{FF2B5EF4-FFF2-40B4-BE49-F238E27FC236}">
              <a16:creationId xmlns:a16="http://schemas.microsoft.com/office/drawing/2014/main" id="{225431E4-9A26-4185-B2ED-AB3850307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5</xdr:row>
      <xdr:rowOff>0</xdr:rowOff>
    </xdr:from>
    <xdr:ext cx="304800" cy="304800"/>
    <xdr:sp macro="" textlink="">
      <xdr:nvSpPr>
        <xdr:cNvPr id="5092" name="AutoShape 127">
          <a:extLst>
            <a:ext uri="{FF2B5EF4-FFF2-40B4-BE49-F238E27FC236}">
              <a16:creationId xmlns:a16="http://schemas.microsoft.com/office/drawing/2014/main" id="{C2F6866C-EA21-4BBE-B372-33D4628EC263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93" name="Picture 5092">
          <a:extLst>
            <a:ext uri="{FF2B5EF4-FFF2-40B4-BE49-F238E27FC236}">
              <a16:creationId xmlns:a16="http://schemas.microsoft.com/office/drawing/2014/main" id="{06962DBA-72B6-40C9-88EC-D041BD077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26</xdr:row>
      <xdr:rowOff>0</xdr:rowOff>
    </xdr:from>
    <xdr:ext cx="9525" cy="9525"/>
    <xdr:pic>
      <xdr:nvPicPr>
        <xdr:cNvPr id="5094" name="Picture 5093">
          <a:extLst>
            <a:ext uri="{FF2B5EF4-FFF2-40B4-BE49-F238E27FC236}">
              <a16:creationId xmlns:a16="http://schemas.microsoft.com/office/drawing/2014/main" id="{AA3DB971-F6AA-47CA-89FD-23E6186F6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25</xdr:row>
      <xdr:rowOff>0</xdr:rowOff>
    </xdr:from>
    <xdr:ext cx="304800" cy="303440"/>
    <xdr:sp macro="" textlink="">
      <xdr:nvSpPr>
        <xdr:cNvPr id="5095" name="AutoShape 130">
          <a:extLst>
            <a:ext uri="{FF2B5EF4-FFF2-40B4-BE49-F238E27FC236}">
              <a16:creationId xmlns:a16="http://schemas.microsoft.com/office/drawing/2014/main" id="{8D648680-2F52-4934-9D2C-84D4893C2ABC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96" name="Picture 5095">
          <a:extLst>
            <a:ext uri="{FF2B5EF4-FFF2-40B4-BE49-F238E27FC236}">
              <a16:creationId xmlns:a16="http://schemas.microsoft.com/office/drawing/2014/main" id="{7E3A917A-1F9D-4E8B-82A3-1B24084B4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97" name="Picture 5096">
          <a:extLst>
            <a:ext uri="{FF2B5EF4-FFF2-40B4-BE49-F238E27FC236}">
              <a16:creationId xmlns:a16="http://schemas.microsoft.com/office/drawing/2014/main" id="{3C6B23B1-8B05-4FA9-BA7A-204C9DFFE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98" name="Picture 5097">
          <a:extLst>
            <a:ext uri="{FF2B5EF4-FFF2-40B4-BE49-F238E27FC236}">
              <a16:creationId xmlns:a16="http://schemas.microsoft.com/office/drawing/2014/main" id="{8027BE7B-2510-4A5D-9028-AC2C33DDB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099" name="Picture 5098">
          <a:extLst>
            <a:ext uri="{FF2B5EF4-FFF2-40B4-BE49-F238E27FC236}">
              <a16:creationId xmlns:a16="http://schemas.microsoft.com/office/drawing/2014/main" id="{38FCEFB0-64C7-4345-AD12-2BAB62B87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100" name="Picture 5099">
          <a:extLst>
            <a:ext uri="{FF2B5EF4-FFF2-40B4-BE49-F238E27FC236}">
              <a16:creationId xmlns:a16="http://schemas.microsoft.com/office/drawing/2014/main" id="{38984AD7-E395-4C6C-A48C-CE8C92FC8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5101" name="AutoShape 136">
          <a:extLst>
            <a:ext uri="{FF2B5EF4-FFF2-40B4-BE49-F238E27FC236}">
              <a16:creationId xmlns:a16="http://schemas.microsoft.com/office/drawing/2014/main" id="{8C2EE3FC-16FA-41E5-8632-AD659FD9A524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102" name="Picture 5101">
          <a:extLst>
            <a:ext uri="{FF2B5EF4-FFF2-40B4-BE49-F238E27FC236}">
              <a16:creationId xmlns:a16="http://schemas.microsoft.com/office/drawing/2014/main" id="{8B615F98-939F-4A82-BCE2-710C15CE0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4800"/>
    <xdr:sp macro="" textlink="">
      <xdr:nvSpPr>
        <xdr:cNvPr id="5103" name="AutoShape 138">
          <a:extLst>
            <a:ext uri="{FF2B5EF4-FFF2-40B4-BE49-F238E27FC236}">
              <a16:creationId xmlns:a16="http://schemas.microsoft.com/office/drawing/2014/main" id="{8AA75493-3286-48C7-9D75-A8AA10E5D3F7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13</xdr:row>
      <xdr:rowOff>0</xdr:rowOff>
    </xdr:from>
    <xdr:ext cx="9525" cy="9525"/>
    <xdr:pic>
      <xdr:nvPicPr>
        <xdr:cNvPr id="5104" name="Picture 5103">
          <a:extLst>
            <a:ext uri="{FF2B5EF4-FFF2-40B4-BE49-F238E27FC236}">
              <a16:creationId xmlns:a16="http://schemas.microsoft.com/office/drawing/2014/main" id="{4622FF40-244F-4AC1-B241-AFA028FAE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12</xdr:row>
      <xdr:rowOff>0</xdr:rowOff>
    </xdr:from>
    <xdr:ext cx="304800" cy="303439"/>
    <xdr:sp macro="" textlink="">
      <xdr:nvSpPr>
        <xdr:cNvPr id="5105" name="AutoShape 140">
          <a:extLst>
            <a:ext uri="{FF2B5EF4-FFF2-40B4-BE49-F238E27FC236}">
              <a16:creationId xmlns:a16="http://schemas.microsoft.com/office/drawing/2014/main" id="{609AF934-1A40-4E6A-B7C5-A43BF207D6F6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106" name="Picture 5105">
          <a:extLst>
            <a:ext uri="{FF2B5EF4-FFF2-40B4-BE49-F238E27FC236}">
              <a16:creationId xmlns:a16="http://schemas.microsoft.com/office/drawing/2014/main" id="{BE61A616-7105-46B6-A773-BC2458BAF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13</xdr:row>
      <xdr:rowOff>0</xdr:rowOff>
    </xdr:from>
    <xdr:ext cx="304800" cy="304800"/>
    <xdr:sp macro="" textlink="">
      <xdr:nvSpPr>
        <xdr:cNvPr id="5107" name="AutoShape 142">
          <a:extLst>
            <a:ext uri="{FF2B5EF4-FFF2-40B4-BE49-F238E27FC236}">
              <a16:creationId xmlns:a16="http://schemas.microsoft.com/office/drawing/2014/main" id="{1CECEFB2-B9F0-431B-BF10-97F8ECA08D68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108" name="Picture 5107">
          <a:extLst>
            <a:ext uri="{FF2B5EF4-FFF2-40B4-BE49-F238E27FC236}">
              <a16:creationId xmlns:a16="http://schemas.microsoft.com/office/drawing/2014/main" id="{59B771FA-6430-41D7-90C5-44B8AFA12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304800" cy="303440"/>
    <xdr:sp macro="" textlink="">
      <xdr:nvSpPr>
        <xdr:cNvPr id="5109" name="AutoShape 144">
          <a:extLst>
            <a:ext uri="{FF2B5EF4-FFF2-40B4-BE49-F238E27FC236}">
              <a16:creationId xmlns:a16="http://schemas.microsoft.com/office/drawing/2014/main" id="{C9951096-3398-436B-86BA-7C8BD42A1B23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27</xdr:row>
      <xdr:rowOff>0</xdr:rowOff>
    </xdr:from>
    <xdr:ext cx="9525" cy="9525"/>
    <xdr:pic>
      <xdr:nvPicPr>
        <xdr:cNvPr id="5110" name="Picture 5109">
          <a:extLst>
            <a:ext uri="{FF2B5EF4-FFF2-40B4-BE49-F238E27FC236}">
              <a16:creationId xmlns:a16="http://schemas.microsoft.com/office/drawing/2014/main" id="{E339F0DB-92C8-465D-A3AE-7CAD3B81C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29</xdr:row>
      <xdr:rowOff>0</xdr:rowOff>
    </xdr:from>
    <xdr:ext cx="9525" cy="9525"/>
    <xdr:pic>
      <xdr:nvPicPr>
        <xdr:cNvPr id="5111" name="Picture 5110">
          <a:extLst>
            <a:ext uri="{FF2B5EF4-FFF2-40B4-BE49-F238E27FC236}">
              <a16:creationId xmlns:a16="http://schemas.microsoft.com/office/drawing/2014/main" id="{4F4BAEF4-C848-4881-A8F6-202B6E268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</xdr:row>
      <xdr:rowOff>0</xdr:rowOff>
    </xdr:from>
    <xdr:ext cx="9525" cy="9525"/>
    <xdr:pic>
      <xdr:nvPicPr>
        <xdr:cNvPr id="5112" name="Picture 5111">
          <a:extLst>
            <a:ext uri="{FF2B5EF4-FFF2-40B4-BE49-F238E27FC236}">
              <a16:creationId xmlns:a16="http://schemas.microsoft.com/office/drawing/2014/main" id="{9A768F97-3B9E-41E1-B06D-C9BD87781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</xdr:row>
      <xdr:rowOff>0</xdr:rowOff>
    </xdr:from>
    <xdr:ext cx="9525" cy="9525"/>
    <xdr:pic>
      <xdr:nvPicPr>
        <xdr:cNvPr id="5113" name="Picture 5112">
          <a:extLst>
            <a:ext uri="{FF2B5EF4-FFF2-40B4-BE49-F238E27FC236}">
              <a16:creationId xmlns:a16="http://schemas.microsoft.com/office/drawing/2014/main" id="{9A50027D-BA39-48A0-B365-D615EE523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</xdr:row>
      <xdr:rowOff>0</xdr:rowOff>
    </xdr:from>
    <xdr:ext cx="9525" cy="9525"/>
    <xdr:pic>
      <xdr:nvPicPr>
        <xdr:cNvPr id="5114" name="Picture 5113">
          <a:extLst>
            <a:ext uri="{FF2B5EF4-FFF2-40B4-BE49-F238E27FC236}">
              <a16:creationId xmlns:a16="http://schemas.microsoft.com/office/drawing/2014/main" id="{9521F3B4-A557-45E5-9B85-D8D988FCC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7</xdr:row>
      <xdr:rowOff>0</xdr:rowOff>
    </xdr:from>
    <xdr:ext cx="9525" cy="9525"/>
    <xdr:pic>
      <xdr:nvPicPr>
        <xdr:cNvPr id="5115" name="Picture 5114">
          <a:extLst>
            <a:ext uri="{FF2B5EF4-FFF2-40B4-BE49-F238E27FC236}">
              <a16:creationId xmlns:a16="http://schemas.microsoft.com/office/drawing/2014/main" id="{4B957CB3-505A-4907-9DDE-5F7A904C2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9525" cy="9525"/>
    <xdr:pic>
      <xdr:nvPicPr>
        <xdr:cNvPr id="5116" name="Picture 5115">
          <a:extLst>
            <a:ext uri="{FF2B5EF4-FFF2-40B4-BE49-F238E27FC236}">
              <a16:creationId xmlns:a16="http://schemas.microsoft.com/office/drawing/2014/main" id="{B396A136-B32E-4C8D-8FB6-5B67D9E7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9525" cy="9525"/>
    <xdr:pic>
      <xdr:nvPicPr>
        <xdr:cNvPr id="5117" name="Picture 5116">
          <a:extLst>
            <a:ext uri="{FF2B5EF4-FFF2-40B4-BE49-F238E27FC236}">
              <a16:creationId xmlns:a16="http://schemas.microsoft.com/office/drawing/2014/main" id="{06AC7CC8-2A70-41CC-ABAD-AFE5FB773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9525" cy="9525"/>
    <xdr:pic>
      <xdr:nvPicPr>
        <xdr:cNvPr id="5118" name="Picture 5117">
          <a:extLst>
            <a:ext uri="{FF2B5EF4-FFF2-40B4-BE49-F238E27FC236}">
              <a16:creationId xmlns:a16="http://schemas.microsoft.com/office/drawing/2014/main" id="{B8A2F399-A929-4E3D-A25D-984C737B9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9525" cy="9525"/>
    <xdr:pic>
      <xdr:nvPicPr>
        <xdr:cNvPr id="5119" name="Picture 5118">
          <a:extLst>
            <a:ext uri="{FF2B5EF4-FFF2-40B4-BE49-F238E27FC236}">
              <a16:creationId xmlns:a16="http://schemas.microsoft.com/office/drawing/2014/main" id="{C19866C8-194D-45A0-A6BF-03D6FA629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21</xdr:row>
      <xdr:rowOff>0</xdr:rowOff>
    </xdr:from>
    <xdr:ext cx="9525" cy="9525"/>
    <xdr:pic>
      <xdr:nvPicPr>
        <xdr:cNvPr id="5120" name="Picture 5119">
          <a:extLst>
            <a:ext uri="{FF2B5EF4-FFF2-40B4-BE49-F238E27FC236}">
              <a16:creationId xmlns:a16="http://schemas.microsoft.com/office/drawing/2014/main" id="{A64C5FE1-39C0-4A5C-A39F-C65B91245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21</xdr:row>
      <xdr:rowOff>0</xdr:rowOff>
    </xdr:from>
    <xdr:ext cx="9525" cy="9525"/>
    <xdr:pic>
      <xdr:nvPicPr>
        <xdr:cNvPr id="5121" name="Picture 5120">
          <a:extLst>
            <a:ext uri="{FF2B5EF4-FFF2-40B4-BE49-F238E27FC236}">
              <a16:creationId xmlns:a16="http://schemas.microsoft.com/office/drawing/2014/main" id="{C2B40A86-66D9-4A69-8458-515876AA6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21</xdr:row>
      <xdr:rowOff>0</xdr:rowOff>
    </xdr:from>
    <xdr:ext cx="9525" cy="9525"/>
    <xdr:pic>
      <xdr:nvPicPr>
        <xdr:cNvPr id="5122" name="Picture 5121">
          <a:extLst>
            <a:ext uri="{FF2B5EF4-FFF2-40B4-BE49-F238E27FC236}">
              <a16:creationId xmlns:a16="http://schemas.microsoft.com/office/drawing/2014/main" id="{2E7F6D2E-6547-454F-814B-F7E857B09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21</xdr:row>
      <xdr:rowOff>0</xdr:rowOff>
    </xdr:from>
    <xdr:ext cx="9525" cy="9525"/>
    <xdr:pic>
      <xdr:nvPicPr>
        <xdr:cNvPr id="5123" name="Picture 5122">
          <a:extLst>
            <a:ext uri="{FF2B5EF4-FFF2-40B4-BE49-F238E27FC236}">
              <a16:creationId xmlns:a16="http://schemas.microsoft.com/office/drawing/2014/main" id="{8960A187-8949-4BAC-80E1-D7D63BE73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16</xdr:row>
      <xdr:rowOff>0</xdr:rowOff>
    </xdr:from>
    <xdr:ext cx="9525" cy="9525"/>
    <xdr:pic>
      <xdr:nvPicPr>
        <xdr:cNvPr id="5124" name="Picture 5123">
          <a:extLst>
            <a:ext uri="{FF2B5EF4-FFF2-40B4-BE49-F238E27FC236}">
              <a16:creationId xmlns:a16="http://schemas.microsoft.com/office/drawing/2014/main" id="{28C3541D-1A27-4BC8-8B67-3FC659B3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16</xdr:row>
      <xdr:rowOff>0</xdr:rowOff>
    </xdr:from>
    <xdr:ext cx="9525" cy="9525"/>
    <xdr:pic>
      <xdr:nvPicPr>
        <xdr:cNvPr id="5125" name="Picture 5124">
          <a:extLst>
            <a:ext uri="{FF2B5EF4-FFF2-40B4-BE49-F238E27FC236}">
              <a16:creationId xmlns:a16="http://schemas.microsoft.com/office/drawing/2014/main" id="{E2999F58-8FBD-49ED-B832-04B317971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3440"/>
    <xdr:sp macro="" textlink="">
      <xdr:nvSpPr>
        <xdr:cNvPr id="5126" name="AutoShape 69">
          <a:extLst>
            <a:ext uri="{FF2B5EF4-FFF2-40B4-BE49-F238E27FC236}">
              <a16:creationId xmlns:a16="http://schemas.microsoft.com/office/drawing/2014/main" id="{55F101B4-E0BD-48C8-AAD1-AF953DB56D16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9525" cy="9525"/>
    <xdr:pic>
      <xdr:nvPicPr>
        <xdr:cNvPr id="5127" name="Picture 5126">
          <a:extLst>
            <a:ext uri="{FF2B5EF4-FFF2-40B4-BE49-F238E27FC236}">
              <a16:creationId xmlns:a16="http://schemas.microsoft.com/office/drawing/2014/main" id="{88999ACD-88CE-41C8-BE2C-ADDC80704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3440"/>
    <xdr:sp macro="" textlink="">
      <xdr:nvSpPr>
        <xdr:cNvPr id="5128" name="AutoShape 119">
          <a:extLst>
            <a:ext uri="{FF2B5EF4-FFF2-40B4-BE49-F238E27FC236}">
              <a16:creationId xmlns:a16="http://schemas.microsoft.com/office/drawing/2014/main" id="{B1C5EA79-00C5-4A0C-B21A-0EEA10A2867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16</xdr:row>
      <xdr:rowOff>0</xdr:rowOff>
    </xdr:from>
    <xdr:ext cx="9525" cy="9525"/>
    <xdr:pic>
      <xdr:nvPicPr>
        <xdr:cNvPr id="5129" name="Picture 5128">
          <a:extLst>
            <a:ext uri="{FF2B5EF4-FFF2-40B4-BE49-F238E27FC236}">
              <a16:creationId xmlns:a16="http://schemas.microsoft.com/office/drawing/2014/main" id="{A0C4C26B-C7CF-41CE-83D9-3D217A8B1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15</xdr:row>
      <xdr:rowOff>0</xdr:rowOff>
    </xdr:from>
    <xdr:ext cx="304800" cy="303440"/>
    <xdr:sp macro="" textlink="">
      <xdr:nvSpPr>
        <xdr:cNvPr id="5130" name="AutoShape 144">
          <a:extLst>
            <a:ext uri="{FF2B5EF4-FFF2-40B4-BE49-F238E27FC236}">
              <a16:creationId xmlns:a16="http://schemas.microsoft.com/office/drawing/2014/main" id="{C1CA309D-6F42-4A30-86B1-81AE6541CF54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19</xdr:row>
      <xdr:rowOff>0</xdr:rowOff>
    </xdr:from>
    <xdr:ext cx="9525" cy="9525"/>
    <xdr:pic>
      <xdr:nvPicPr>
        <xdr:cNvPr id="5131" name="Picture 5130">
          <a:extLst>
            <a:ext uri="{FF2B5EF4-FFF2-40B4-BE49-F238E27FC236}">
              <a16:creationId xmlns:a16="http://schemas.microsoft.com/office/drawing/2014/main" id="{B70EDAEC-6B00-4420-A160-F8C50CF12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19</xdr:row>
      <xdr:rowOff>0</xdr:rowOff>
    </xdr:from>
    <xdr:ext cx="9525" cy="9525"/>
    <xdr:pic>
      <xdr:nvPicPr>
        <xdr:cNvPr id="5132" name="Picture 5131">
          <a:extLst>
            <a:ext uri="{FF2B5EF4-FFF2-40B4-BE49-F238E27FC236}">
              <a16:creationId xmlns:a16="http://schemas.microsoft.com/office/drawing/2014/main" id="{0927A372-7C08-4771-9C5D-061E40C90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19</xdr:row>
      <xdr:rowOff>0</xdr:rowOff>
    </xdr:from>
    <xdr:ext cx="9525" cy="9525"/>
    <xdr:pic>
      <xdr:nvPicPr>
        <xdr:cNvPr id="5133" name="Picture 5132">
          <a:extLst>
            <a:ext uri="{FF2B5EF4-FFF2-40B4-BE49-F238E27FC236}">
              <a16:creationId xmlns:a16="http://schemas.microsoft.com/office/drawing/2014/main" id="{7529F06C-9CB4-4032-84A1-E2E3CC0DD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17</xdr:row>
      <xdr:rowOff>0</xdr:rowOff>
    </xdr:from>
    <xdr:ext cx="9525" cy="9525"/>
    <xdr:pic>
      <xdr:nvPicPr>
        <xdr:cNvPr id="5134" name="Picture 5133">
          <a:extLst>
            <a:ext uri="{FF2B5EF4-FFF2-40B4-BE49-F238E27FC236}">
              <a16:creationId xmlns:a16="http://schemas.microsoft.com/office/drawing/2014/main" id="{339BD215-7315-4AB3-811E-1F20FA7B9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16</xdr:row>
      <xdr:rowOff>0</xdr:rowOff>
    </xdr:from>
    <xdr:ext cx="304800" cy="304800"/>
    <xdr:sp macro="" textlink="">
      <xdr:nvSpPr>
        <xdr:cNvPr id="5135" name="AutoShape 40">
          <a:extLst>
            <a:ext uri="{FF2B5EF4-FFF2-40B4-BE49-F238E27FC236}">
              <a16:creationId xmlns:a16="http://schemas.microsoft.com/office/drawing/2014/main" id="{9461C821-B5DF-4595-9240-9AC13938A695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304800" cy="303439"/>
    <xdr:sp macro="" textlink="">
      <xdr:nvSpPr>
        <xdr:cNvPr id="5136" name="AutoShape 42">
          <a:extLst>
            <a:ext uri="{FF2B5EF4-FFF2-40B4-BE49-F238E27FC236}">
              <a16:creationId xmlns:a16="http://schemas.microsoft.com/office/drawing/2014/main" id="{A857F1EA-3F09-4ED5-B91E-8967B0450647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9525" cy="9525"/>
    <xdr:pic>
      <xdr:nvPicPr>
        <xdr:cNvPr id="5137" name="Picture 5136">
          <a:extLst>
            <a:ext uri="{FF2B5EF4-FFF2-40B4-BE49-F238E27FC236}">
              <a16:creationId xmlns:a16="http://schemas.microsoft.com/office/drawing/2014/main" id="{7DFAEE4F-BE56-4A03-BEF1-9FF834697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16</xdr:row>
      <xdr:rowOff>0</xdr:rowOff>
    </xdr:from>
    <xdr:ext cx="304800" cy="304800"/>
    <xdr:sp macro="" textlink="">
      <xdr:nvSpPr>
        <xdr:cNvPr id="5138" name="AutoShape 63">
          <a:extLst>
            <a:ext uri="{FF2B5EF4-FFF2-40B4-BE49-F238E27FC236}">
              <a16:creationId xmlns:a16="http://schemas.microsoft.com/office/drawing/2014/main" id="{89129A6B-B05E-44E3-8EDF-16A48489050F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304800" cy="303439"/>
    <xdr:sp macro="" textlink="">
      <xdr:nvSpPr>
        <xdr:cNvPr id="5139" name="AutoShape 65">
          <a:extLst>
            <a:ext uri="{FF2B5EF4-FFF2-40B4-BE49-F238E27FC236}">
              <a16:creationId xmlns:a16="http://schemas.microsoft.com/office/drawing/2014/main" id="{9055DFB2-78FD-4E58-B1D0-A3A8920C2FE8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9525" cy="9525"/>
    <xdr:pic>
      <xdr:nvPicPr>
        <xdr:cNvPr id="5140" name="Picture 5139">
          <a:extLst>
            <a:ext uri="{FF2B5EF4-FFF2-40B4-BE49-F238E27FC236}">
              <a16:creationId xmlns:a16="http://schemas.microsoft.com/office/drawing/2014/main" id="{B991B446-DF76-4892-A689-A54172ECF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16</xdr:row>
      <xdr:rowOff>0</xdr:rowOff>
    </xdr:from>
    <xdr:ext cx="304800" cy="304800"/>
    <xdr:sp macro="" textlink="">
      <xdr:nvSpPr>
        <xdr:cNvPr id="5141" name="AutoShape 113">
          <a:extLst>
            <a:ext uri="{FF2B5EF4-FFF2-40B4-BE49-F238E27FC236}">
              <a16:creationId xmlns:a16="http://schemas.microsoft.com/office/drawing/2014/main" id="{1A033F82-8C96-44A6-9BCA-95A78B70CC2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304800" cy="303439"/>
    <xdr:sp macro="" textlink="">
      <xdr:nvSpPr>
        <xdr:cNvPr id="5142" name="AutoShape 115">
          <a:extLst>
            <a:ext uri="{FF2B5EF4-FFF2-40B4-BE49-F238E27FC236}">
              <a16:creationId xmlns:a16="http://schemas.microsoft.com/office/drawing/2014/main" id="{E3ABA425-CDC6-49D4-9B63-590FE985D6C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9525" cy="9525"/>
    <xdr:pic>
      <xdr:nvPicPr>
        <xdr:cNvPr id="5143" name="Picture 5142">
          <a:extLst>
            <a:ext uri="{FF2B5EF4-FFF2-40B4-BE49-F238E27FC236}">
              <a16:creationId xmlns:a16="http://schemas.microsoft.com/office/drawing/2014/main" id="{AD4D41D6-0A42-4822-8A17-362DEE8EC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16</xdr:row>
      <xdr:rowOff>0</xdr:rowOff>
    </xdr:from>
    <xdr:ext cx="304800" cy="304800"/>
    <xdr:sp macro="" textlink="">
      <xdr:nvSpPr>
        <xdr:cNvPr id="5144" name="AutoShape 138">
          <a:extLst>
            <a:ext uri="{FF2B5EF4-FFF2-40B4-BE49-F238E27FC236}">
              <a16:creationId xmlns:a16="http://schemas.microsoft.com/office/drawing/2014/main" id="{7D937127-FE12-430B-B60F-4EB8B779E9D1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304800" cy="303439"/>
    <xdr:sp macro="" textlink="">
      <xdr:nvSpPr>
        <xdr:cNvPr id="5145" name="AutoShape 140">
          <a:extLst>
            <a:ext uri="{FF2B5EF4-FFF2-40B4-BE49-F238E27FC236}">
              <a16:creationId xmlns:a16="http://schemas.microsoft.com/office/drawing/2014/main" id="{684EB4E7-7C9A-41FD-916B-9850E321D3D8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18</xdr:row>
      <xdr:rowOff>0</xdr:rowOff>
    </xdr:from>
    <xdr:ext cx="9525" cy="9525"/>
    <xdr:pic>
      <xdr:nvPicPr>
        <xdr:cNvPr id="5146" name="Picture 5145">
          <a:extLst>
            <a:ext uri="{FF2B5EF4-FFF2-40B4-BE49-F238E27FC236}">
              <a16:creationId xmlns:a16="http://schemas.microsoft.com/office/drawing/2014/main" id="{1EB5D892-1CAB-427B-A7A4-FDDF7A61C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18</xdr:row>
      <xdr:rowOff>0</xdr:rowOff>
    </xdr:from>
    <xdr:ext cx="9525" cy="9525"/>
    <xdr:pic>
      <xdr:nvPicPr>
        <xdr:cNvPr id="5147" name="Picture 5146">
          <a:extLst>
            <a:ext uri="{FF2B5EF4-FFF2-40B4-BE49-F238E27FC236}">
              <a16:creationId xmlns:a16="http://schemas.microsoft.com/office/drawing/2014/main" id="{3CAE6930-DF30-427A-A388-62F852D7A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18</xdr:row>
      <xdr:rowOff>0</xdr:rowOff>
    </xdr:from>
    <xdr:ext cx="9525" cy="9525"/>
    <xdr:pic>
      <xdr:nvPicPr>
        <xdr:cNvPr id="5148" name="Picture 5147">
          <a:extLst>
            <a:ext uri="{FF2B5EF4-FFF2-40B4-BE49-F238E27FC236}">
              <a16:creationId xmlns:a16="http://schemas.microsoft.com/office/drawing/2014/main" id="{F9669DE5-EC1C-4B29-8D54-66712D185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18</xdr:row>
      <xdr:rowOff>0</xdr:rowOff>
    </xdr:from>
    <xdr:ext cx="9525" cy="9525"/>
    <xdr:pic>
      <xdr:nvPicPr>
        <xdr:cNvPr id="5149" name="Picture 5148">
          <a:extLst>
            <a:ext uri="{FF2B5EF4-FFF2-40B4-BE49-F238E27FC236}">
              <a16:creationId xmlns:a16="http://schemas.microsoft.com/office/drawing/2014/main" id="{2E2CA0D7-AE45-4B8C-88B4-6EB93AE40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9525" cy="9525"/>
    <xdr:pic>
      <xdr:nvPicPr>
        <xdr:cNvPr id="5150" name="Picture 5149">
          <a:extLst>
            <a:ext uri="{FF2B5EF4-FFF2-40B4-BE49-F238E27FC236}">
              <a16:creationId xmlns:a16="http://schemas.microsoft.com/office/drawing/2014/main" id="{FE827B60-83C4-4E90-9C8C-1AE9AF38E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9525" cy="9525"/>
    <xdr:pic>
      <xdr:nvPicPr>
        <xdr:cNvPr id="5151" name="Picture 5150">
          <a:extLst>
            <a:ext uri="{FF2B5EF4-FFF2-40B4-BE49-F238E27FC236}">
              <a16:creationId xmlns:a16="http://schemas.microsoft.com/office/drawing/2014/main" id="{34D6CD4B-E7AC-4C14-BF65-39E8B7229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9525" cy="9525"/>
    <xdr:pic>
      <xdr:nvPicPr>
        <xdr:cNvPr id="5152" name="Picture 5151">
          <a:extLst>
            <a:ext uri="{FF2B5EF4-FFF2-40B4-BE49-F238E27FC236}">
              <a16:creationId xmlns:a16="http://schemas.microsoft.com/office/drawing/2014/main" id="{B5F87288-F7F5-4F90-9B64-9AFD29060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9525" cy="9525"/>
    <xdr:pic>
      <xdr:nvPicPr>
        <xdr:cNvPr id="5153" name="Picture 5152">
          <a:extLst>
            <a:ext uri="{FF2B5EF4-FFF2-40B4-BE49-F238E27FC236}">
              <a16:creationId xmlns:a16="http://schemas.microsoft.com/office/drawing/2014/main" id="{DB49675B-FF8B-4860-A9F2-0C17D9A81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</xdr:row>
      <xdr:rowOff>0</xdr:rowOff>
    </xdr:from>
    <xdr:ext cx="9525" cy="9525"/>
    <xdr:pic>
      <xdr:nvPicPr>
        <xdr:cNvPr id="5154" name="Picture 5153">
          <a:extLst>
            <a:ext uri="{FF2B5EF4-FFF2-40B4-BE49-F238E27FC236}">
              <a16:creationId xmlns:a16="http://schemas.microsoft.com/office/drawing/2014/main" id="{52674A49-0164-43B4-BB41-48C3542EF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304800" cy="304800"/>
    <xdr:sp macro="" textlink="">
      <xdr:nvSpPr>
        <xdr:cNvPr id="5155" name="AutoShape 38">
          <a:extLst>
            <a:ext uri="{FF2B5EF4-FFF2-40B4-BE49-F238E27FC236}">
              <a16:creationId xmlns:a16="http://schemas.microsoft.com/office/drawing/2014/main" id="{9F434BD5-3417-435C-8BF6-15B8B836B83A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304800" cy="304800"/>
    <xdr:sp macro="" textlink="">
      <xdr:nvSpPr>
        <xdr:cNvPr id="5156" name="AutoShape 40">
          <a:extLst>
            <a:ext uri="{FF2B5EF4-FFF2-40B4-BE49-F238E27FC236}">
              <a16:creationId xmlns:a16="http://schemas.microsoft.com/office/drawing/2014/main" id="{7486B359-C6BB-453F-BADC-6AB4D09E49BA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9525" cy="9525"/>
    <xdr:pic>
      <xdr:nvPicPr>
        <xdr:cNvPr id="5157" name="Picture 5156">
          <a:extLst>
            <a:ext uri="{FF2B5EF4-FFF2-40B4-BE49-F238E27FC236}">
              <a16:creationId xmlns:a16="http://schemas.microsoft.com/office/drawing/2014/main" id="{262AE34C-8F1A-44BC-991F-ADC9770A0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304800" cy="304800"/>
    <xdr:sp macro="" textlink="">
      <xdr:nvSpPr>
        <xdr:cNvPr id="5158" name="AutoShape 61">
          <a:extLst>
            <a:ext uri="{FF2B5EF4-FFF2-40B4-BE49-F238E27FC236}">
              <a16:creationId xmlns:a16="http://schemas.microsoft.com/office/drawing/2014/main" id="{8DBB2865-C58D-478A-9DAC-A4747F149D57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304800" cy="304800"/>
    <xdr:sp macro="" textlink="">
      <xdr:nvSpPr>
        <xdr:cNvPr id="5159" name="AutoShape 63">
          <a:extLst>
            <a:ext uri="{FF2B5EF4-FFF2-40B4-BE49-F238E27FC236}">
              <a16:creationId xmlns:a16="http://schemas.microsoft.com/office/drawing/2014/main" id="{74AAE3BF-E72B-46D3-A5B6-57AB9B7E42E7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9525" cy="9525"/>
    <xdr:pic>
      <xdr:nvPicPr>
        <xdr:cNvPr id="5160" name="Picture 5159">
          <a:extLst>
            <a:ext uri="{FF2B5EF4-FFF2-40B4-BE49-F238E27FC236}">
              <a16:creationId xmlns:a16="http://schemas.microsoft.com/office/drawing/2014/main" id="{05CD01CE-1364-4553-AD78-EBE16B7B4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304800" cy="304800"/>
    <xdr:sp macro="" textlink="">
      <xdr:nvSpPr>
        <xdr:cNvPr id="5161" name="AutoShape 111">
          <a:extLst>
            <a:ext uri="{FF2B5EF4-FFF2-40B4-BE49-F238E27FC236}">
              <a16:creationId xmlns:a16="http://schemas.microsoft.com/office/drawing/2014/main" id="{F1EBAC54-4F1E-4D89-8AF1-4ACFB8ED48B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304800" cy="304800"/>
    <xdr:sp macro="" textlink="">
      <xdr:nvSpPr>
        <xdr:cNvPr id="5162" name="AutoShape 113">
          <a:extLst>
            <a:ext uri="{FF2B5EF4-FFF2-40B4-BE49-F238E27FC236}">
              <a16:creationId xmlns:a16="http://schemas.microsoft.com/office/drawing/2014/main" id="{F248430A-A5B0-42C9-947B-FBDB1ADE76AC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9525" cy="9525"/>
    <xdr:pic>
      <xdr:nvPicPr>
        <xdr:cNvPr id="5163" name="Picture 5162">
          <a:extLst>
            <a:ext uri="{FF2B5EF4-FFF2-40B4-BE49-F238E27FC236}">
              <a16:creationId xmlns:a16="http://schemas.microsoft.com/office/drawing/2014/main" id="{5E88888F-7A7B-4795-BD9D-D3AA69BDC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9</xdr:row>
      <xdr:rowOff>0</xdr:rowOff>
    </xdr:from>
    <xdr:ext cx="304800" cy="304800"/>
    <xdr:sp macro="" textlink="">
      <xdr:nvSpPr>
        <xdr:cNvPr id="5164" name="AutoShape 136">
          <a:extLst>
            <a:ext uri="{FF2B5EF4-FFF2-40B4-BE49-F238E27FC236}">
              <a16:creationId xmlns:a16="http://schemas.microsoft.com/office/drawing/2014/main" id="{AD5E3CB5-9DF8-4F34-ADAA-D731A027D9D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304800" cy="304800"/>
    <xdr:sp macro="" textlink="">
      <xdr:nvSpPr>
        <xdr:cNvPr id="5165" name="AutoShape 138">
          <a:extLst>
            <a:ext uri="{FF2B5EF4-FFF2-40B4-BE49-F238E27FC236}">
              <a16:creationId xmlns:a16="http://schemas.microsoft.com/office/drawing/2014/main" id="{DE6C44FF-B55E-4BCA-A93E-F5B17DABC87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22</xdr:row>
      <xdr:rowOff>0</xdr:rowOff>
    </xdr:from>
    <xdr:ext cx="9525" cy="9525"/>
    <xdr:pic>
      <xdr:nvPicPr>
        <xdr:cNvPr id="5166" name="Picture 5165">
          <a:extLst>
            <a:ext uri="{FF2B5EF4-FFF2-40B4-BE49-F238E27FC236}">
              <a16:creationId xmlns:a16="http://schemas.microsoft.com/office/drawing/2014/main" id="{4B97BD74-AFFD-4BBF-8476-162B43682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22</xdr:row>
      <xdr:rowOff>0</xdr:rowOff>
    </xdr:from>
    <xdr:ext cx="9525" cy="9525"/>
    <xdr:pic>
      <xdr:nvPicPr>
        <xdr:cNvPr id="5167" name="Picture 5166">
          <a:extLst>
            <a:ext uri="{FF2B5EF4-FFF2-40B4-BE49-F238E27FC236}">
              <a16:creationId xmlns:a16="http://schemas.microsoft.com/office/drawing/2014/main" id="{4CE80FC7-50F6-4774-9193-1A9172F0E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22</xdr:row>
      <xdr:rowOff>0</xdr:rowOff>
    </xdr:from>
    <xdr:ext cx="9525" cy="9525"/>
    <xdr:pic>
      <xdr:nvPicPr>
        <xdr:cNvPr id="5168" name="Picture 5167">
          <a:extLst>
            <a:ext uri="{FF2B5EF4-FFF2-40B4-BE49-F238E27FC236}">
              <a16:creationId xmlns:a16="http://schemas.microsoft.com/office/drawing/2014/main" id="{DE871070-58D0-42E6-BD0E-40862CA2B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22</xdr:row>
      <xdr:rowOff>0</xdr:rowOff>
    </xdr:from>
    <xdr:ext cx="9525" cy="9525"/>
    <xdr:pic>
      <xdr:nvPicPr>
        <xdr:cNvPr id="5169" name="Picture 5168">
          <a:extLst>
            <a:ext uri="{FF2B5EF4-FFF2-40B4-BE49-F238E27FC236}">
              <a16:creationId xmlns:a16="http://schemas.microsoft.com/office/drawing/2014/main" id="{B5ED9EA5-4668-4C00-BCC1-99B21BD47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9525" cy="9525"/>
    <xdr:pic>
      <xdr:nvPicPr>
        <xdr:cNvPr id="5170" name="Picture 5169">
          <a:extLst>
            <a:ext uri="{FF2B5EF4-FFF2-40B4-BE49-F238E27FC236}">
              <a16:creationId xmlns:a16="http://schemas.microsoft.com/office/drawing/2014/main" id="{5CF3476D-5E4F-41A3-8A1F-CBFE46006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5171" name="AutoShape 38">
          <a:extLst>
            <a:ext uri="{FF2B5EF4-FFF2-40B4-BE49-F238E27FC236}">
              <a16:creationId xmlns:a16="http://schemas.microsoft.com/office/drawing/2014/main" id="{A596D85C-F969-493C-92C7-B3221D60A5F2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23</xdr:row>
      <xdr:rowOff>0</xdr:rowOff>
    </xdr:from>
    <xdr:ext cx="9525" cy="9525"/>
    <xdr:pic>
      <xdr:nvPicPr>
        <xdr:cNvPr id="5172" name="Picture 5171">
          <a:extLst>
            <a:ext uri="{FF2B5EF4-FFF2-40B4-BE49-F238E27FC236}">
              <a16:creationId xmlns:a16="http://schemas.microsoft.com/office/drawing/2014/main" id="{D5D8F812-C0D2-4C47-8356-B00F702BC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5173" name="AutoShape 61">
          <a:extLst>
            <a:ext uri="{FF2B5EF4-FFF2-40B4-BE49-F238E27FC236}">
              <a16:creationId xmlns:a16="http://schemas.microsoft.com/office/drawing/2014/main" id="{A89F7F20-5AD9-4152-A672-A078186AD8C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23</xdr:row>
      <xdr:rowOff>0</xdr:rowOff>
    </xdr:from>
    <xdr:ext cx="9525" cy="9525"/>
    <xdr:pic>
      <xdr:nvPicPr>
        <xdr:cNvPr id="5174" name="Picture 5173">
          <a:extLst>
            <a:ext uri="{FF2B5EF4-FFF2-40B4-BE49-F238E27FC236}">
              <a16:creationId xmlns:a16="http://schemas.microsoft.com/office/drawing/2014/main" id="{90B7F061-F472-4C72-8F9E-FA4F721D9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5175" name="AutoShape 111">
          <a:extLst>
            <a:ext uri="{FF2B5EF4-FFF2-40B4-BE49-F238E27FC236}">
              <a16:creationId xmlns:a16="http://schemas.microsoft.com/office/drawing/2014/main" id="{3FC24539-2F70-400C-8764-8680156805C9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23</xdr:row>
      <xdr:rowOff>0</xdr:rowOff>
    </xdr:from>
    <xdr:ext cx="9525" cy="9525"/>
    <xdr:pic>
      <xdr:nvPicPr>
        <xdr:cNvPr id="5176" name="Picture 5175">
          <a:extLst>
            <a:ext uri="{FF2B5EF4-FFF2-40B4-BE49-F238E27FC236}">
              <a16:creationId xmlns:a16="http://schemas.microsoft.com/office/drawing/2014/main" id="{9FD34698-5F97-4980-95C1-8C3C09ACC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5177" name="AutoShape 136">
          <a:extLst>
            <a:ext uri="{FF2B5EF4-FFF2-40B4-BE49-F238E27FC236}">
              <a16:creationId xmlns:a16="http://schemas.microsoft.com/office/drawing/2014/main" id="{CB0B4C5E-ED89-484E-8BDB-3BB3646726F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5178" name="AutoShape 44">
          <a:extLst>
            <a:ext uri="{FF2B5EF4-FFF2-40B4-BE49-F238E27FC236}">
              <a16:creationId xmlns:a16="http://schemas.microsoft.com/office/drawing/2014/main" id="{C8FA5F48-1AEC-487D-BC50-ACF6D1C5EF8A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5179" name="AutoShape 67">
          <a:extLst>
            <a:ext uri="{FF2B5EF4-FFF2-40B4-BE49-F238E27FC236}">
              <a16:creationId xmlns:a16="http://schemas.microsoft.com/office/drawing/2014/main" id="{57ABF456-D8EF-4BE2-9345-9F0141C74B4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304800" cy="303440"/>
    <xdr:sp macro="" textlink="">
      <xdr:nvSpPr>
        <xdr:cNvPr id="5180" name="AutoShape 69">
          <a:extLst>
            <a:ext uri="{FF2B5EF4-FFF2-40B4-BE49-F238E27FC236}">
              <a16:creationId xmlns:a16="http://schemas.microsoft.com/office/drawing/2014/main" id="{95C44754-08F2-4428-9C0F-FA3ADFB606B0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9525" cy="9525"/>
    <xdr:pic>
      <xdr:nvPicPr>
        <xdr:cNvPr id="5181" name="Picture 5180">
          <a:extLst>
            <a:ext uri="{FF2B5EF4-FFF2-40B4-BE49-F238E27FC236}">
              <a16:creationId xmlns:a16="http://schemas.microsoft.com/office/drawing/2014/main" id="{E07D0C6E-718F-4E86-92BE-30569B053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5182" name="AutoShape 117">
          <a:extLst>
            <a:ext uri="{FF2B5EF4-FFF2-40B4-BE49-F238E27FC236}">
              <a16:creationId xmlns:a16="http://schemas.microsoft.com/office/drawing/2014/main" id="{0737B35F-D911-4C54-A8F9-FE278607994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304800" cy="303440"/>
    <xdr:sp macro="" textlink="">
      <xdr:nvSpPr>
        <xdr:cNvPr id="5183" name="AutoShape 119">
          <a:extLst>
            <a:ext uri="{FF2B5EF4-FFF2-40B4-BE49-F238E27FC236}">
              <a16:creationId xmlns:a16="http://schemas.microsoft.com/office/drawing/2014/main" id="{4445ED65-E52C-4B9C-BB6D-47061C37BBAB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9525" cy="9525"/>
    <xdr:pic>
      <xdr:nvPicPr>
        <xdr:cNvPr id="5184" name="Picture 5183">
          <a:extLst>
            <a:ext uri="{FF2B5EF4-FFF2-40B4-BE49-F238E27FC236}">
              <a16:creationId xmlns:a16="http://schemas.microsoft.com/office/drawing/2014/main" id="{18135D4F-A6B1-4080-9520-E2B0E3CEC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7957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23</xdr:row>
      <xdr:rowOff>0</xdr:rowOff>
    </xdr:from>
    <xdr:ext cx="304800" cy="304800"/>
    <xdr:sp macro="" textlink="">
      <xdr:nvSpPr>
        <xdr:cNvPr id="5185" name="AutoShape 142">
          <a:extLst>
            <a:ext uri="{FF2B5EF4-FFF2-40B4-BE49-F238E27FC236}">
              <a16:creationId xmlns:a16="http://schemas.microsoft.com/office/drawing/2014/main" id="{45CFC7AE-A26A-4354-847B-5B87E8989EAD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24</xdr:row>
      <xdr:rowOff>0</xdr:rowOff>
    </xdr:from>
    <xdr:ext cx="304800" cy="303440"/>
    <xdr:sp macro="" textlink="">
      <xdr:nvSpPr>
        <xdr:cNvPr id="5186" name="AutoShape 144">
          <a:extLst>
            <a:ext uri="{FF2B5EF4-FFF2-40B4-BE49-F238E27FC236}">
              <a16:creationId xmlns:a16="http://schemas.microsoft.com/office/drawing/2014/main" id="{84E7BCB5-F422-460F-9635-DDCED089A8EE}"/>
            </a:ext>
          </a:extLst>
        </xdr:cNvPr>
        <xdr:cNvSpPr>
          <a:spLocks noChangeAspect="1" noChangeArrowheads="1"/>
        </xdr:cNvSpPr>
      </xdr:nvSpPr>
      <xdr:spPr bwMode="auto">
        <a:xfrm>
          <a:off x="4337957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3</xdr:row>
      <xdr:rowOff>0</xdr:rowOff>
    </xdr:from>
    <xdr:ext cx="9525" cy="9525"/>
    <xdr:pic>
      <xdr:nvPicPr>
        <xdr:cNvPr id="5187" name="Picture 5186">
          <a:extLst>
            <a:ext uri="{FF2B5EF4-FFF2-40B4-BE49-F238E27FC236}">
              <a16:creationId xmlns:a16="http://schemas.microsoft.com/office/drawing/2014/main" id="{4CE0EA51-A082-4E18-A854-92D04AC50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</xdr:row>
      <xdr:rowOff>0</xdr:rowOff>
    </xdr:from>
    <xdr:ext cx="304800" cy="303439"/>
    <xdr:sp macro="" textlink="">
      <xdr:nvSpPr>
        <xdr:cNvPr id="5188" name="AutoShape 148">
          <a:extLst>
            <a:ext uri="{FF2B5EF4-FFF2-40B4-BE49-F238E27FC236}">
              <a16:creationId xmlns:a16="http://schemas.microsoft.com/office/drawing/2014/main" id="{1E32374F-1C50-47C2-AAB9-664B1705F331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3</xdr:row>
      <xdr:rowOff>0</xdr:rowOff>
    </xdr:from>
    <xdr:ext cx="304800" cy="304800"/>
    <xdr:sp macro="" textlink="">
      <xdr:nvSpPr>
        <xdr:cNvPr id="5189" name="AutoShape 150">
          <a:extLst>
            <a:ext uri="{FF2B5EF4-FFF2-40B4-BE49-F238E27FC236}">
              <a16:creationId xmlns:a16="http://schemas.microsoft.com/office/drawing/2014/main" id="{FE25A62C-4B01-426E-B9F9-803E68BCCED8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9525" cy="9525"/>
    <xdr:pic>
      <xdr:nvPicPr>
        <xdr:cNvPr id="5190" name="Picture 5189">
          <a:extLst>
            <a:ext uri="{FF2B5EF4-FFF2-40B4-BE49-F238E27FC236}">
              <a16:creationId xmlns:a16="http://schemas.microsoft.com/office/drawing/2014/main" id="{13707815-6C67-48A1-9909-5A9A186FF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6</xdr:row>
      <xdr:rowOff>0</xdr:rowOff>
    </xdr:from>
    <xdr:ext cx="9525" cy="9525"/>
    <xdr:pic>
      <xdr:nvPicPr>
        <xdr:cNvPr id="5191" name="Picture 5190">
          <a:extLst>
            <a:ext uri="{FF2B5EF4-FFF2-40B4-BE49-F238E27FC236}">
              <a16:creationId xmlns:a16="http://schemas.microsoft.com/office/drawing/2014/main" id="{91A1BCBC-3A56-47E1-966F-5A7EE93E8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192" name="Picture 5191">
          <a:extLst>
            <a:ext uri="{FF2B5EF4-FFF2-40B4-BE49-F238E27FC236}">
              <a16:creationId xmlns:a16="http://schemas.microsoft.com/office/drawing/2014/main" id="{CC9A7C65-5391-4D06-B27A-B729FB743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6</xdr:row>
      <xdr:rowOff>0</xdr:rowOff>
    </xdr:from>
    <xdr:ext cx="304800" cy="304800"/>
    <xdr:sp macro="" textlink="">
      <xdr:nvSpPr>
        <xdr:cNvPr id="5193" name="AutoShape 154">
          <a:extLst>
            <a:ext uri="{FF2B5EF4-FFF2-40B4-BE49-F238E27FC236}">
              <a16:creationId xmlns:a16="http://schemas.microsoft.com/office/drawing/2014/main" id="{A15F6810-3B82-4BAB-B25A-4CC8A661FE9F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26</xdr:row>
      <xdr:rowOff>0</xdr:rowOff>
    </xdr:from>
    <xdr:ext cx="9525" cy="9525"/>
    <xdr:pic>
      <xdr:nvPicPr>
        <xdr:cNvPr id="5194" name="Picture 5193">
          <a:extLst>
            <a:ext uri="{FF2B5EF4-FFF2-40B4-BE49-F238E27FC236}">
              <a16:creationId xmlns:a16="http://schemas.microsoft.com/office/drawing/2014/main" id="{311E13D7-B9AD-4658-8398-E404269A6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25</xdr:row>
      <xdr:rowOff>0</xdr:rowOff>
    </xdr:from>
    <xdr:ext cx="304800" cy="303440"/>
    <xdr:sp macro="" textlink="">
      <xdr:nvSpPr>
        <xdr:cNvPr id="5195" name="AutoShape 156">
          <a:extLst>
            <a:ext uri="{FF2B5EF4-FFF2-40B4-BE49-F238E27FC236}">
              <a16:creationId xmlns:a16="http://schemas.microsoft.com/office/drawing/2014/main" id="{BD2EFC66-B135-4D0D-A9AF-F27C0C52558B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196" name="Picture 5195">
          <a:extLst>
            <a:ext uri="{FF2B5EF4-FFF2-40B4-BE49-F238E27FC236}">
              <a16:creationId xmlns:a16="http://schemas.microsoft.com/office/drawing/2014/main" id="{7E50BCCD-C114-47CA-9A63-BBCB9A93A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197" name="Picture 5196">
          <a:extLst>
            <a:ext uri="{FF2B5EF4-FFF2-40B4-BE49-F238E27FC236}">
              <a16:creationId xmlns:a16="http://schemas.microsoft.com/office/drawing/2014/main" id="{E0A1F667-92EC-47C4-95B7-1AF31C63F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198" name="AutoShape 159">
          <a:extLst>
            <a:ext uri="{FF2B5EF4-FFF2-40B4-BE49-F238E27FC236}">
              <a16:creationId xmlns:a16="http://schemas.microsoft.com/office/drawing/2014/main" id="{D79B477B-FB51-4292-9B6F-59643DB25B4B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199" name="Picture 5198">
          <a:extLst>
            <a:ext uri="{FF2B5EF4-FFF2-40B4-BE49-F238E27FC236}">
              <a16:creationId xmlns:a16="http://schemas.microsoft.com/office/drawing/2014/main" id="{50ACB056-BBB3-46DB-A1A0-1F2C412EC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00" name="Picture 5199">
          <a:extLst>
            <a:ext uri="{FF2B5EF4-FFF2-40B4-BE49-F238E27FC236}">
              <a16:creationId xmlns:a16="http://schemas.microsoft.com/office/drawing/2014/main" id="{9281FE83-89AF-48D5-931D-85611D6FB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01" name="Picture 5200">
          <a:extLst>
            <a:ext uri="{FF2B5EF4-FFF2-40B4-BE49-F238E27FC236}">
              <a16:creationId xmlns:a16="http://schemas.microsoft.com/office/drawing/2014/main" id="{9D090036-158E-4AB0-90AC-E55296177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02" name="Picture 5201">
          <a:extLst>
            <a:ext uri="{FF2B5EF4-FFF2-40B4-BE49-F238E27FC236}">
              <a16:creationId xmlns:a16="http://schemas.microsoft.com/office/drawing/2014/main" id="{A8431826-ACA6-465C-97B7-D6AD1592B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13</xdr:row>
      <xdr:rowOff>0</xdr:rowOff>
    </xdr:from>
    <xdr:ext cx="9525" cy="9525"/>
    <xdr:pic>
      <xdr:nvPicPr>
        <xdr:cNvPr id="5203" name="Picture 5202">
          <a:extLst>
            <a:ext uri="{FF2B5EF4-FFF2-40B4-BE49-F238E27FC236}">
              <a16:creationId xmlns:a16="http://schemas.microsoft.com/office/drawing/2014/main" id="{845D7878-1B38-4F7F-8272-DE7D18297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12</xdr:row>
      <xdr:rowOff>0</xdr:rowOff>
    </xdr:from>
    <xdr:ext cx="304800" cy="303439"/>
    <xdr:sp macro="" textlink="">
      <xdr:nvSpPr>
        <xdr:cNvPr id="5204" name="AutoShape 165">
          <a:extLst>
            <a:ext uri="{FF2B5EF4-FFF2-40B4-BE49-F238E27FC236}">
              <a16:creationId xmlns:a16="http://schemas.microsoft.com/office/drawing/2014/main" id="{4D31746E-7E7E-45F4-90D0-E85A63183F2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05" name="Picture 5204">
          <a:extLst>
            <a:ext uri="{FF2B5EF4-FFF2-40B4-BE49-F238E27FC236}">
              <a16:creationId xmlns:a16="http://schemas.microsoft.com/office/drawing/2014/main" id="{185C03B8-27E7-4464-9D66-D65C04990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06" name="Picture 5205">
          <a:extLst>
            <a:ext uri="{FF2B5EF4-FFF2-40B4-BE49-F238E27FC236}">
              <a16:creationId xmlns:a16="http://schemas.microsoft.com/office/drawing/2014/main" id="{2D64D377-5984-4858-BD5B-29985F62F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3440"/>
    <xdr:sp macro="" textlink="">
      <xdr:nvSpPr>
        <xdr:cNvPr id="5207" name="AutoShape 169">
          <a:extLst>
            <a:ext uri="{FF2B5EF4-FFF2-40B4-BE49-F238E27FC236}">
              <a16:creationId xmlns:a16="http://schemas.microsoft.com/office/drawing/2014/main" id="{8CFE2C4F-C5B2-47DF-AE7C-F9796E8C40F4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27</xdr:row>
      <xdr:rowOff>0</xdr:rowOff>
    </xdr:from>
    <xdr:ext cx="9525" cy="9525"/>
    <xdr:pic>
      <xdr:nvPicPr>
        <xdr:cNvPr id="5208" name="Picture 5207">
          <a:extLst>
            <a:ext uri="{FF2B5EF4-FFF2-40B4-BE49-F238E27FC236}">
              <a16:creationId xmlns:a16="http://schemas.microsoft.com/office/drawing/2014/main" id="{484E5BD5-CC4F-41AD-8BE5-14CC128AA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26</xdr:row>
      <xdr:rowOff>0</xdr:rowOff>
    </xdr:from>
    <xdr:ext cx="304800" cy="303439"/>
    <xdr:sp macro="" textlink="">
      <xdr:nvSpPr>
        <xdr:cNvPr id="5209" name="AutoShape 171">
          <a:extLst>
            <a:ext uri="{FF2B5EF4-FFF2-40B4-BE49-F238E27FC236}">
              <a16:creationId xmlns:a16="http://schemas.microsoft.com/office/drawing/2014/main" id="{23781FC9-C997-4025-96DA-ED2C03196893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10" name="Picture 5209">
          <a:extLst>
            <a:ext uri="{FF2B5EF4-FFF2-40B4-BE49-F238E27FC236}">
              <a16:creationId xmlns:a16="http://schemas.microsoft.com/office/drawing/2014/main" id="{E484D0EE-CDC4-45A0-B468-AA2F01D76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27</xdr:row>
      <xdr:rowOff>0</xdr:rowOff>
    </xdr:from>
    <xdr:ext cx="304800" cy="303440"/>
    <xdr:sp macro="" textlink="">
      <xdr:nvSpPr>
        <xdr:cNvPr id="5211" name="AutoShape 173">
          <a:extLst>
            <a:ext uri="{FF2B5EF4-FFF2-40B4-BE49-F238E27FC236}">
              <a16:creationId xmlns:a16="http://schemas.microsoft.com/office/drawing/2014/main" id="{8589ADDD-C55A-4C41-A0CC-D966A06A04B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477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12" name="Picture 5211">
          <a:extLst>
            <a:ext uri="{FF2B5EF4-FFF2-40B4-BE49-F238E27FC236}">
              <a16:creationId xmlns:a16="http://schemas.microsoft.com/office/drawing/2014/main" id="{F48B6DDD-11F6-4FC6-A2E8-40840AD58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13" name="Picture 5212">
          <a:extLst>
            <a:ext uri="{FF2B5EF4-FFF2-40B4-BE49-F238E27FC236}">
              <a16:creationId xmlns:a16="http://schemas.microsoft.com/office/drawing/2014/main" id="{62BDC6A4-B7F3-42AB-A5C8-6B7F2AAD5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</xdr:row>
      <xdr:rowOff>0</xdr:rowOff>
    </xdr:from>
    <xdr:ext cx="9525" cy="9525"/>
    <xdr:pic>
      <xdr:nvPicPr>
        <xdr:cNvPr id="5214" name="Picture 5213">
          <a:extLst>
            <a:ext uri="{FF2B5EF4-FFF2-40B4-BE49-F238E27FC236}">
              <a16:creationId xmlns:a16="http://schemas.microsoft.com/office/drawing/2014/main" id="{FD9577D8-DD1A-4F28-9C36-A0352C4A7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</xdr:row>
      <xdr:rowOff>0</xdr:rowOff>
    </xdr:from>
    <xdr:ext cx="304800" cy="303439"/>
    <xdr:sp macro="" textlink="">
      <xdr:nvSpPr>
        <xdr:cNvPr id="5215" name="AutoShape 177">
          <a:extLst>
            <a:ext uri="{FF2B5EF4-FFF2-40B4-BE49-F238E27FC236}">
              <a16:creationId xmlns:a16="http://schemas.microsoft.com/office/drawing/2014/main" id="{BDB9744A-CA9D-41C8-8DC4-ED3F224D3BC4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9525" cy="9525"/>
    <xdr:pic>
      <xdr:nvPicPr>
        <xdr:cNvPr id="5216" name="Picture 5215">
          <a:extLst>
            <a:ext uri="{FF2B5EF4-FFF2-40B4-BE49-F238E27FC236}">
              <a16:creationId xmlns:a16="http://schemas.microsoft.com/office/drawing/2014/main" id="{C425A503-5D70-44E8-B468-1126FBD59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9525" cy="9525"/>
    <xdr:pic>
      <xdr:nvPicPr>
        <xdr:cNvPr id="5217" name="Picture 5216">
          <a:extLst>
            <a:ext uri="{FF2B5EF4-FFF2-40B4-BE49-F238E27FC236}">
              <a16:creationId xmlns:a16="http://schemas.microsoft.com/office/drawing/2014/main" id="{5A5DFCF0-930F-489C-AE47-FB5A305B7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6</xdr:row>
      <xdr:rowOff>0</xdr:rowOff>
    </xdr:from>
    <xdr:ext cx="9525" cy="9525"/>
    <xdr:pic>
      <xdr:nvPicPr>
        <xdr:cNvPr id="5218" name="Picture 5217">
          <a:extLst>
            <a:ext uri="{FF2B5EF4-FFF2-40B4-BE49-F238E27FC236}">
              <a16:creationId xmlns:a16="http://schemas.microsoft.com/office/drawing/2014/main" id="{9C97A339-3FE3-4FB5-9551-A65EF1EFE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5219" name="AutoShape 181">
          <a:extLst>
            <a:ext uri="{FF2B5EF4-FFF2-40B4-BE49-F238E27FC236}">
              <a16:creationId xmlns:a16="http://schemas.microsoft.com/office/drawing/2014/main" id="{74C30D65-A23E-4E2F-9389-F7DD48FF806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20" name="Picture 5219">
          <a:extLst>
            <a:ext uri="{FF2B5EF4-FFF2-40B4-BE49-F238E27FC236}">
              <a16:creationId xmlns:a16="http://schemas.microsoft.com/office/drawing/2014/main" id="{4713D1AB-191B-4052-AECF-83CD9CAA5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24</xdr:row>
      <xdr:rowOff>0</xdr:rowOff>
    </xdr:from>
    <xdr:ext cx="304800" cy="304800"/>
    <xdr:sp macro="" textlink="">
      <xdr:nvSpPr>
        <xdr:cNvPr id="5221" name="AutoShape 183">
          <a:extLst>
            <a:ext uri="{FF2B5EF4-FFF2-40B4-BE49-F238E27FC236}">
              <a16:creationId xmlns:a16="http://schemas.microsoft.com/office/drawing/2014/main" id="{71298423-7275-4190-A1BB-451E4B73CBB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26</xdr:row>
      <xdr:rowOff>0</xdr:rowOff>
    </xdr:from>
    <xdr:ext cx="9525" cy="9525"/>
    <xdr:pic>
      <xdr:nvPicPr>
        <xdr:cNvPr id="5222" name="Picture 5221">
          <a:extLst>
            <a:ext uri="{FF2B5EF4-FFF2-40B4-BE49-F238E27FC236}">
              <a16:creationId xmlns:a16="http://schemas.microsoft.com/office/drawing/2014/main" id="{3165C7F5-6C08-43CB-AF96-8CA4CBC41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25</xdr:row>
      <xdr:rowOff>0</xdr:rowOff>
    </xdr:from>
    <xdr:ext cx="304800" cy="303440"/>
    <xdr:sp macro="" textlink="">
      <xdr:nvSpPr>
        <xdr:cNvPr id="5223" name="AutoShape 185">
          <a:extLst>
            <a:ext uri="{FF2B5EF4-FFF2-40B4-BE49-F238E27FC236}">
              <a16:creationId xmlns:a16="http://schemas.microsoft.com/office/drawing/2014/main" id="{15265422-6E58-4BA1-805B-8153FE6390C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24" name="Picture 5223">
          <a:extLst>
            <a:ext uri="{FF2B5EF4-FFF2-40B4-BE49-F238E27FC236}">
              <a16:creationId xmlns:a16="http://schemas.microsoft.com/office/drawing/2014/main" id="{20EFC301-4738-418B-B50F-4E45C06C7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25" name="Picture 5224">
          <a:extLst>
            <a:ext uri="{FF2B5EF4-FFF2-40B4-BE49-F238E27FC236}">
              <a16:creationId xmlns:a16="http://schemas.microsoft.com/office/drawing/2014/main" id="{E01AC05E-90C8-43D3-AFE5-15FDE95DA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26" name="Picture 5225">
          <a:extLst>
            <a:ext uri="{FF2B5EF4-FFF2-40B4-BE49-F238E27FC236}">
              <a16:creationId xmlns:a16="http://schemas.microsoft.com/office/drawing/2014/main" id="{A6F8CA9A-BE31-44A0-832D-EE85BC182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27" name="Picture 5226">
          <a:extLst>
            <a:ext uri="{FF2B5EF4-FFF2-40B4-BE49-F238E27FC236}">
              <a16:creationId xmlns:a16="http://schemas.microsoft.com/office/drawing/2014/main" id="{E47CF900-5BBC-45AE-9413-95C2FEF58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28" name="Picture 5227">
          <a:extLst>
            <a:ext uri="{FF2B5EF4-FFF2-40B4-BE49-F238E27FC236}">
              <a16:creationId xmlns:a16="http://schemas.microsoft.com/office/drawing/2014/main" id="{E5484B30-EE11-4501-97FA-EB9661C26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229" name="AutoShape 191">
          <a:extLst>
            <a:ext uri="{FF2B5EF4-FFF2-40B4-BE49-F238E27FC236}">
              <a16:creationId xmlns:a16="http://schemas.microsoft.com/office/drawing/2014/main" id="{F9726B5F-7AD0-40B6-9118-D96C24FA777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30" name="Picture 5229">
          <a:extLst>
            <a:ext uri="{FF2B5EF4-FFF2-40B4-BE49-F238E27FC236}">
              <a16:creationId xmlns:a16="http://schemas.microsoft.com/office/drawing/2014/main" id="{EC345888-1F6F-4931-BADB-7C50B7085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231" name="AutoShape 193">
          <a:extLst>
            <a:ext uri="{FF2B5EF4-FFF2-40B4-BE49-F238E27FC236}">
              <a16:creationId xmlns:a16="http://schemas.microsoft.com/office/drawing/2014/main" id="{6B38EC5C-C1CE-43F9-B35B-3B3008E19789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13</xdr:row>
      <xdr:rowOff>0</xdr:rowOff>
    </xdr:from>
    <xdr:ext cx="9525" cy="9525"/>
    <xdr:pic>
      <xdr:nvPicPr>
        <xdr:cNvPr id="5232" name="Picture 5231">
          <a:extLst>
            <a:ext uri="{FF2B5EF4-FFF2-40B4-BE49-F238E27FC236}">
              <a16:creationId xmlns:a16="http://schemas.microsoft.com/office/drawing/2014/main" id="{2879AA83-EB01-4136-A255-0672BF2E8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12</xdr:row>
      <xdr:rowOff>0</xdr:rowOff>
    </xdr:from>
    <xdr:ext cx="304800" cy="303439"/>
    <xdr:sp macro="" textlink="">
      <xdr:nvSpPr>
        <xdr:cNvPr id="5233" name="AutoShape 195">
          <a:extLst>
            <a:ext uri="{FF2B5EF4-FFF2-40B4-BE49-F238E27FC236}">
              <a16:creationId xmlns:a16="http://schemas.microsoft.com/office/drawing/2014/main" id="{2AF1B5D8-2F82-4A65-BBD3-6E4D8F37E54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34" name="Picture 5233">
          <a:extLst>
            <a:ext uri="{FF2B5EF4-FFF2-40B4-BE49-F238E27FC236}">
              <a16:creationId xmlns:a16="http://schemas.microsoft.com/office/drawing/2014/main" id="{03CC35E2-7D6E-484D-8EA3-30FD06992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35" name="Picture 5234">
          <a:extLst>
            <a:ext uri="{FF2B5EF4-FFF2-40B4-BE49-F238E27FC236}">
              <a16:creationId xmlns:a16="http://schemas.microsoft.com/office/drawing/2014/main" id="{8998F2FA-67BA-4752-ACDC-88257FD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3440"/>
    <xdr:sp macro="" textlink="">
      <xdr:nvSpPr>
        <xdr:cNvPr id="5236" name="AutoShape 199">
          <a:extLst>
            <a:ext uri="{FF2B5EF4-FFF2-40B4-BE49-F238E27FC236}">
              <a16:creationId xmlns:a16="http://schemas.microsoft.com/office/drawing/2014/main" id="{63F566D3-F986-4B88-8183-04BAA45E57DB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27</xdr:row>
      <xdr:rowOff>0</xdr:rowOff>
    </xdr:from>
    <xdr:ext cx="9525" cy="9525"/>
    <xdr:pic>
      <xdr:nvPicPr>
        <xdr:cNvPr id="5237" name="Picture 5236">
          <a:extLst>
            <a:ext uri="{FF2B5EF4-FFF2-40B4-BE49-F238E27FC236}">
              <a16:creationId xmlns:a16="http://schemas.microsoft.com/office/drawing/2014/main" id="{9DF312B5-27C2-4B1B-87F4-854BE1542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38" name="Picture 5237">
          <a:extLst>
            <a:ext uri="{FF2B5EF4-FFF2-40B4-BE49-F238E27FC236}">
              <a16:creationId xmlns:a16="http://schemas.microsoft.com/office/drawing/2014/main" id="{FDC216B7-E96E-4432-B1F5-AA042D144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</xdr:row>
      <xdr:rowOff>0</xdr:rowOff>
    </xdr:from>
    <xdr:ext cx="9525" cy="9525"/>
    <xdr:pic>
      <xdr:nvPicPr>
        <xdr:cNvPr id="5239" name="Picture 5238">
          <a:extLst>
            <a:ext uri="{FF2B5EF4-FFF2-40B4-BE49-F238E27FC236}">
              <a16:creationId xmlns:a16="http://schemas.microsoft.com/office/drawing/2014/main" id="{628A45DC-647C-4734-8352-136484133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</xdr:row>
      <xdr:rowOff>0</xdr:rowOff>
    </xdr:from>
    <xdr:ext cx="304800" cy="303439"/>
    <xdr:sp macro="" textlink="">
      <xdr:nvSpPr>
        <xdr:cNvPr id="5240" name="AutoShape 203">
          <a:extLst>
            <a:ext uri="{FF2B5EF4-FFF2-40B4-BE49-F238E27FC236}">
              <a16:creationId xmlns:a16="http://schemas.microsoft.com/office/drawing/2014/main" id="{45E756EA-449A-4EFC-9B4D-B932D0AABFF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9525" cy="9525"/>
    <xdr:pic>
      <xdr:nvPicPr>
        <xdr:cNvPr id="5241" name="Picture 5240">
          <a:extLst>
            <a:ext uri="{FF2B5EF4-FFF2-40B4-BE49-F238E27FC236}">
              <a16:creationId xmlns:a16="http://schemas.microsoft.com/office/drawing/2014/main" id="{D16F17A9-5D97-49F6-9E85-3A5A17044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9525" cy="9525"/>
    <xdr:pic>
      <xdr:nvPicPr>
        <xdr:cNvPr id="5242" name="Picture 5241">
          <a:extLst>
            <a:ext uri="{FF2B5EF4-FFF2-40B4-BE49-F238E27FC236}">
              <a16:creationId xmlns:a16="http://schemas.microsoft.com/office/drawing/2014/main" id="{9AFB9977-4909-4D67-959D-F15A333EE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6</xdr:row>
      <xdr:rowOff>0</xdr:rowOff>
    </xdr:from>
    <xdr:ext cx="9525" cy="9525"/>
    <xdr:pic>
      <xdr:nvPicPr>
        <xdr:cNvPr id="5243" name="Picture 5242">
          <a:extLst>
            <a:ext uri="{FF2B5EF4-FFF2-40B4-BE49-F238E27FC236}">
              <a16:creationId xmlns:a16="http://schemas.microsoft.com/office/drawing/2014/main" id="{79733F7E-A089-4865-88D8-2BFFD7285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5244" name="AutoShape 207">
          <a:extLst>
            <a:ext uri="{FF2B5EF4-FFF2-40B4-BE49-F238E27FC236}">
              <a16:creationId xmlns:a16="http://schemas.microsoft.com/office/drawing/2014/main" id="{D524A0F4-28FA-4116-9379-2C3C180A04B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45" name="Picture 5244">
          <a:extLst>
            <a:ext uri="{FF2B5EF4-FFF2-40B4-BE49-F238E27FC236}">
              <a16:creationId xmlns:a16="http://schemas.microsoft.com/office/drawing/2014/main" id="{0258AB4D-D61B-4899-A6B0-6D8267810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24</xdr:row>
      <xdr:rowOff>0</xdr:rowOff>
    </xdr:from>
    <xdr:ext cx="304800" cy="304800"/>
    <xdr:sp macro="" textlink="">
      <xdr:nvSpPr>
        <xdr:cNvPr id="5246" name="AutoShape 209">
          <a:extLst>
            <a:ext uri="{FF2B5EF4-FFF2-40B4-BE49-F238E27FC236}">
              <a16:creationId xmlns:a16="http://schemas.microsoft.com/office/drawing/2014/main" id="{DD847DC3-DB53-4A70-979F-D036CC1DFC34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26</xdr:row>
      <xdr:rowOff>0</xdr:rowOff>
    </xdr:from>
    <xdr:ext cx="9525" cy="9525"/>
    <xdr:pic>
      <xdr:nvPicPr>
        <xdr:cNvPr id="5247" name="Picture 5246">
          <a:extLst>
            <a:ext uri="{FF2B5EF4-FFF2-40B4-BE49-F238E27FC236}">
              <a16:creationId xmlns:a16="http://schemas.microsoft.com/office/drawing/2014/main" id="{26EBC6C0-DAA0-447A-B4F3-D132657E0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25</xdr:row>
      <xdr:rowOff>0</xdr:rowOff>
    </xdr:from>
    <xdr:ext cx="304800" cy="303440"/>
    <xdr:sp macro="" textlink="">
      <xdr:nvSpPr>
        <xdr:cNvPr id="5248" name="AutoShape 211">
          <a:extLst>
            <a:ext uri="{FF2B5EF4-FFF2-40B4-BE49-F238E27FC236}">
              <a16:creationId xmlns:a16="http://schemas.microsoft.com/office/drawing/2014/main" id="{A12D3967-5B71-41DF-9EF0-32BB47F5F69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49" name="Picture 5248">
          <a:extLst>
            <a:ext uri="{FF2B5EF4-FFF2-40B4-BE49-F238E27FC236}">
              <a16:creationId xmlns:a16="http://schemas.microsoft.com/office/drawing/2014/main" id="{0FADCB37-2CF7-4EDC-BA3C-5D78FAAF3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50" name="Picture 5249">
          <a:extLst>
            <a:ext uri="{FF2B5EF4-FFF2-40B4-BE49-F238E27FC236}">
              <a16:creationId xmlns:a16="http://schemas.microsoft.com/office/drawing/2014/main" id="{5E2C5C2D-4874-4D1E-B926-2E925D272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51" name="Picture 5250">
          <a:extLst>
            <a:ext uri="{FF2B5EF4-FFF2-40B4-BE49-F238E27FC236}">
              <a16:creationId xmlns:a16="http://schemas.microsoft.com/office/drawing/2014/main" id="{6980ACF9-0590-4102-9317-EF4F0BF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52" name="Picture 5251">
          <a:extLst>
            <a:ext uri="{FF2B5EF4-FFF2-40B4-BE49-F238E27FC236}">
              <a16:creationId xmlns:a16="http://schemas.microsoft.com/office/drawing/2014/main" id="{5154905F-77C6-4052-AA0F-763446688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53" name="Picture 5252">
          <a:extLst>
            <a:ext uri="{FF2B5EF4-FFF2-40B4-BE49-F238E27FC236}">
              <a16:creationId xmlns:a16="http://schemas.microsoft.com/office/drawing/2014/main" id="{3A5A491A-7BAF-47AD-845D-0E0DBB9E8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254" name="AutoShape 217">
          <a:extLst>
            <a:ext uri="{FF2B5EF4-FFF2-40B4-BE49-F238E27FC236}">
              <a16:creationId xmlns:a16="http://schemas.microsoft.com/office/drawing/2014/main" id="{5DDEFE5A-B8DE-4297-9A58-D1A2695888FA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55" name="Picture 5254">
          <a:extLst>
            <a:ext uri="{FF2B5EF4-FFF2-40B4-BE49-F238E27FC236}">
              <a16:creationId xmlns:a16="http://schemas.microsoft.com/office/drawing/2014/main" id="{2CA05284-44FE-46AE-9F6D-B08ACE68F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256" name="AutoShape 219">
          <a:extLst>
            <a:ext uri="{FF2B5EF4-FFF2-40B4-BE49-F238E27FC236}">
              <a16:creationId xmlns:a16="http://schemas.microsoft.com/office/drawing/2014/main" id="{EAAF2484-670B-4C89-A8A4-6984E11AECA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13</xdr:row>
      <xdr:rowOff>0</xdr:rowOff>
    </xdr:from>
    <xdr:ext cx="9525" cy="9525"/>
    <xdr:pic>
      <xdr:nvPicPr>
        <xdr:cNvPr id="5257" name="Picture 5256">
          <a:extLst>
            <a:ext uri="{FF2B5EF4-FFF2-40B4-BE49-F238E27FC236}">
              <a16:creationId xmlns:a16="http://schemas.microsoft.com/office/drawing/2014/main" id="{709F59F0-405A-4FC1-8FD3-9D2DDC116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12</xdr:row>
      <xdr:rowOff>0</xdr:rowOff>
    </xdr:from>
    <xdr:ext cx="304800" cy="303439"/>
    <xdr:sp macro="" textlink="">
      <xdr:nvSpPr>
        <xdr:cNvPr id="5258" name="AutoShape 221">
          <a:extLst>
            <a:ext uri="{FF2B5EF4-FFF2-40B4-BE49-F238E27FC236}">
              <a16:creationId xmlns:a16="http://schemas.microsoft.com/office/drawing/2014/main" id="{3EBE5803-8628-4CAB-8A6E-ACA7F78A8FB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59" name="Picture 5258">
          <a:extLst>
            <a:ext uri="{FF2B5EF4-FFF2-40B4-BE49-F238E27FC236}">
              <a16:creationId xmlns:a16="http://schemas.microsoft.com/office/drawing/2014/main" id="{BB3F09E8-DC65-4AB8-9BED-2E934D031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13</xdr:row>
      <xdr:rowOff>0</xdr:rowOff>
    </xdr:from>
    <xdr:ext cx="304800" cy="304800"/>
    <xdr:sp macro="" textlink="">
      <xdr:nvSpPr>
        <xdr:cNvPr id="5260" name="AutoShape 223">
          <a:extLst>
            <a:ext uri="{FF2B5EF4-FFF2-40B4-BE49-F238E27FC236}">
              <a16:creationId xmlns:a16="http://schemas.microsoft.com/office/drawing/2014/main" id="{786A0063-0A3F-4958-9CA5-1409FA3BD759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61" name="Picture 5260">
          <a:extLst>
            <a:ext uri="{FF2B5EF4-FFF2-40B4-BE49-F238E27FC236}">
              <a16:creationId xmlns:a16="http://schemas.microsoft.com/office/drawing/2014/main" id="{6164616E-5370-4467-95DD-F57055F29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27</xdr:row>
      <xdr:rowOff>0</xdr:rowOff>
    </xdr:from>
    <xdr:ext cx="9525" cy="9525"/>
    <xdr:pic>
      <xdr:nvPicPr>
        <xdr:cNvPr id="5262" name="Picture 5261">
          <a:extLst>
            <a:ext uri="{FF2B5EF4-FFF2-40B4-BE49-F238E27FC236}">
              <a16:creationId xmlns:a16="http://schemas.microsoft.com/office/drawing/2014/main" id="{49D5B016-D8B4-49A7-9C33-C3742F02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</xdr:row>
      <xdr:rowOff>0</xdr:rowOff>
    </xdr:from>
    <xdr:ext cx="9525" cy="9525"/>
    <xdr:pic>
      <xdr:nvPicPr>
        <xdr:cNvPr id="5263" name="Picture 5262">
          <a:extLst>
            <a:ext uri="{FF2B5EF4-FFF2-40B4-BE49-F238E27FC236}">
              <a16:creationId xmlns:a16="http://schemas.microsoft.com/office/drawing/2014/main" id="{603A56AA-389E-4BDC-A96F-442C641B1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</xdr:row>
      <xdr:rowOff>0</xdr:rowOff>
    </xdr:from>
    <xdr:ext cx="304800" cy="303439"/>
    <xdr:sp macro="" textlink="">
      <xdr:nvSpPr>
        <xdr:cNvPr id="5264" name="AutoShape 227">
          <a:extLst>
            <a:ext uri="{FF2B5EF4-FFF2-40B4-BE49-F238E27FC236}">
              <a16:creationId xmlns:a16="http://schemas.microsoft.com/office/drawing/2014/main" id="{B4FDF9C5-A5FE-4847-959F-C3C52D0FE9F8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9525" cy="9525"/>
    <xdr:pic>
      <xdr:nvPicPr>
        <xdr:cNvPr id="5265" name="Picture 5264">
          <a:extLst>
            <a:ext uri="{FF2B5EF4-FFF2-40B4-BE49-F238E27FC236}">
              <a16:creationId xmlns:a16="http://schemas.microsoft.com/office/drawing/2014/main" id="{5886FCBE-3DCD-4549-A377-143364D58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9525" cy="9525"/>
    <xdr:pic>
      <xdr:nvPicPr>
        <xdr:cNvPr id="5266" name="Picture 5265">
          <a:extLst>
            <a:ext uri="{FF2B5EF4-FFF2-40B4-BE49-F238E27FC236}">
              <a16:creationId xmlns:a16="http://schemas.microsoft.com/office/drawing/2014/main" id="{43CA6D0D-F51F-4B2D-9DC6-CE9E89320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6</xdr:row>
      <xdr:rowOff>0</xdr:rowOff>
    </xdr:from>
    <xdr:ext cx="9525" cy="9525"/>
    <xdr:pic>
      <xdr:nvPicPr>
        <xdr:cNvPr id="5267" name="Picture 5266">
          <a:extLst>
            <a:ext uri="{FF2B5EF4-FFF2-40B4-BE49-F238E27FC236}">
              <a16:creationId xmlns:a16="http://schemas.microsoft.com/office/drawing/2014/main" id="{459A7157-6B9C-44A5-8A39-F705400C6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5268" name="AutoShape 231">
          <a:extLst>
            <a:ext uri="{FF2B5EF4-FFF2-40B4-BE49-F238E27FC236}">
              <a16:creationId xmlns:a16="http://schemas.microsoft.com/office/drawing/2014/main" id="{7B02946D-B490-4F21-B230-CF613CE5727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69" name="Picture 5268">
          <a:extLst>
            <a:ext uri="{FF2B5EF4-FFF2-40B4-BE49-F238E27FC236}">
              <a16:creationId xmlns:a16="http://schemas.microsoft.com/office/drawing/2014/main" id="{F9A16DB8-D84E-448B-B660-522BA1AA2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24</xdr:row>
      <xdr:rowOff>0</xdr:rowOff>
    </xdr:from>
    <xdr:ext cx="304800" cy="304800"/>
    <xdr:sp macro="" textlink="">
      <xdr:nvSpPr>
        <xdr:cNvPr id="5270" name="AutoShape 233">
          <a:extLst>
            <a:ext uri="{FF2B5EF4-FFF2-40B4-BE49-F238E27FC236}">
              <a16:creationId xmlns:a16="http://schemas.microsoft.com/office/drawing/2014/main" id="{0697CB8D-41C4-4CDF-B77A-C2993089680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26</xdr:row>
      <xdr:rowOff>0</xdr:rowOff>
    </xdr:from>
    <xdr:ext cx="9525" cy="9525"/>
    <xdr:pic>
      <xdr:nvPicPr>
        <xdr:cNvPr id="5271" name="Picture 5270">
          <a:extLst>
            <a:ext uri="{FF2B5EF4-FFF2-40B4-BE49-F238E27FC236}">
              <a16:creationId xmlns:a16="http://schemas.microsoft.com/office/drawing/2014/main" id="{9C8A3CF5-BAE0-4EF6-AA94-10C52CA8F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25</xdr:row>
      <xdr:rowOff>0</xdr:rowOff>
    </xdr:from>
    <xdr:ext cx="304800" cy="303440"/>
    <xdr:sp macro="" textlink="">
      <xdr:nvSpPr>
        <xdr:cNvPr id="5272" name="AutoShape 235">
          <a:extLst>
            <a:ext uri="{FF2B5EF4-FFF2-40B4-BE49-F238E27FC236}">
              <a16:creationId xmlns:a16="http://schemas.microsoft.com/office/drawing/2014/main" id="{1311092F-C5DB-4625-BDDD-3251C65F2B33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73" name="Picture 5272">
          <a:extLst>
            <a:ext uri="{FF2B5EF4-FFF2-40B4-BE49-F238E27FC236}">
              <a16:creationId xmlns:a16="http://schemas.microsoft.com/office/drawing/2014/main" id="{D72B21B0-2AC8-4812-93F5-625BF5781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74" name="Picture 5273">
          <a:extLst>
            <a:ext uri="{FF2B5EF4-FFF2-40B4-BE49-F238E27FC236}">
              <a16:creationId xmlns:a16="http://schemas.microsoft.com/office/drawing/2014/main" id="{2F461ACF-9864-4CAE-BFE0-BB634F212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75" name="Picture 5274">
          <a:extLst>
            <a:ext uri="{FF2B5EF4-FFF2-40B4-BE49-F238E27FC236}">
              <a16:creationId xmlns:a16="http://schemas.microsoft.com/office/drawing/2014/main" id="{C4E782DA-0AD6-4862-B4B3-47318DE6A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76" name="Picture 5275">
          <a:extLst>
            <a:ext uri="{FF2B5EF4-FFF2-40B4-BE49-F238E27FC236}">
              <a16:creationId xmlns:a16="http://schemas.microsoft.com/office/drawing/2014/main" id="{D28208C7-0A66-4D0A-A142-48E87ECAB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77" name="Picture 5276">
          <a:extLst>
            <a:ext uri="{FF2B5EF4-FFF2-40B4-BE49-F238E27FC236}">
              <a16:creationId xmlns:a16="http://schemas.microsoft.com/office/drawing/2014/main" id="{D04199CC-1F3B-4132-9103-89FC42EB4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278" name="AutoShape 241">
          <a:extLst>
            <a:ext uri="{FF2B5EF4-FFF2-40B4-BE49-F238E27FC236}">
              <a16:creationId xmlns:a16="http://schemas.microsoft.com/office/drawing/2014/main" id="{07BA44CD-0007-4AEB-AB65-1B35A57921F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79" name="Picture 5278">
          <a:extLst>
            <a:ext uri="{FF2B5EF4-FFF2-40B4-BE49-F238E27FC236}">
              <a16:creationId xmlns:a16="http://schemas.microsoft.com/office/drawing/2014/main" id="{9BF81EC6-0A45-43CC-8D6B-6AF8056F2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280" name="AutoShape 243">
          <a:extLst>
            <a:ext uri="{FF2B5EF4-FFF2-40B4-BE49-F238E27FC236}">
              <a16:creationId xmlns:a16="http://schemas.microsoft.com/office/drawing/2014/main" id="{35955B3B-B61C-44EF-A130-29D8880A89AA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13</xdr:row>
      <xdr:rowOff>0</xdr:rowOff>
    </xdr:from>
    <xdr:ext cx="9525" cy="9525"/>
    <xdr:pic>
      <xdr:nvPicPr>
        <xdr:cNvPr id="5281" name="Picture 5280">
          <a:extLst>
            <a:ext uri="{FF2B5EF4-FFF2-40B4-BE49-F238E27FC236}">
              <a16:creationId xmlns:a16="http://schemas.microsoft.com/office/drawing/2014/main" id="{C2A065F5-80C4-41B8-8F0E-BD742DA7F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12</xdr:row>
      <xdr:rowOff>0</xdr:rowOff>
    </xdr:from>
    <xdr:ext cx="304800" cy="303439"/>
    <xdr:sp macro="" textlink="">
      <xdr:nvSpPr>
        <xdr:cNvPr id="5282" name="AutoShape 245">
          <a:extLst>
            <a:ext uri="{FF2B5EF4-FFF2-40B4-BE49-F238E27FC236}">
              <a16:creationId xmlns:a16="http://schemas.microsoft.com/office/drawing/2014/main" id="{C79B4750-D1D3-4BB1-B69E-554732BA04F1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83" name="Picture 5282">
          <a:extLst>
            <a:ext uri="{FF2B5EF4-FFF2-40B4-BE49-F238E27FC236}">
              <a16:creationId xmlns:a16="http://schemas.microsoft.com/office/drawing/2014/main" id="{FCCE3395-316E-41D7-811F-86195FC60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13</xdr:row>
      <xdr:rowOff>0</xdr:rowOff>
    </xdr:from>
    <xdr:ext cx="304800" cy="304800"/>
    <xdr:sp macro="" textlink="">
      <xdr:nvSpPr>
        <xdr:cNvPr id="5284" name="AutoShape 247">
          <a:extLst>
            <a:ext uri="{FF2B5EF4-FFF2-40B4-BE49-F238E27FC236}">
              <a16:creationId xmlns:a16="http://schemas.microsoft.com/office/drawing/2014/main" id="{82E4F5C3-9265-45D1-8141-C5740BA48280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85" name="Picture 5284">
          <a:extLst>
            <a:ext uri="{FF2B5EF4-FFF2-40B4-BE49-F238E27FC236}">
              <a16:creationId xmlns:a16="http://schemas.microsoft.com/office/drawing/2014/main" id="{3CF75539-CF1F-4406-8BDB-63041A68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3440"/>
    <xdr:sp macro="" textlink="">
      <xdr:nvSpPr>
        <xdr:cNvPr id="5286" name="AutoShape 249">
          <a:extLst>
            <a:ext uri="{FF2B5EF4-FFF2-40B4-BE49-F238E27FC236}">
              <a16:creationId xmlns:a16="http://schemas.microsoft.com/office/drawing/2014/main" id="{0DDF3BCE-C36D-42AF-A78A-8195A3B57BAB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27</xdr:row>
      <xdr:rowOff>0</xdr:rowOff>
    </xdr:from>
    <xdr:ext cx="9525" cy="9525"/>
    <xdr:pic>
      <xdr:nvPicPr>
        <xdr:cNvPr id="5287" name="Picture 5286">
          <a:extLst>
            <a:ext uri="{FF2B5EF4-FFF2-40B4-BE49-F238E27FC236}">
              <a16:creationId xmlns:a16="http://schemas.microsoft.com/office/drawing/2014/main" id="{AF4882F8-1875-4F73-B44F-A460A1E10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88" name="Picture 5287">
          <a:extLst>
            <a:ext uri="{FF2B5EF4-FFF2-40B4-BE49-F238E27FC236}">
              <a16:creationId xmlns:a16="http://schemas.microsoft.com/office/drawing/2014/main" id="{94DD4DC4-FA2C-45B7-9102-F9CB602A5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</xdr:row>
      <xdr:rowOff>0</xdr:rowOff>
    </xdr:from>
    <xdr:ext cx="9525" cy="9525"/>
    <xdr:pic>
      <xdr:nvPicPr>
        <xdr:cNvPr id="5289" name="Picture 5288">
          <a:extLst>
            <a:ext uri="{FF2B5EF4-FFF2-40B4-BE49-F238E27FC236}">
              <a16:creationId xmlns:a16="http://schemas.microsoft.com/office/drawing/2014/main" id="{5BB1CF07-BCB3-4E2B-9DBB-DF748D47E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</xdr:row>
      <xdr:rowOff>0</xdr:rowOff>
    </xdr:from>
    <xdr:ext cx="304800" cy="303439"/>
    <xdr:sp macro="" textlink="">
      <xdr:nvSpPr>
        <xdr:cNvPr id="5290" name="AutoShape 253">
          <a:extLst>
            <a:ext uri="{FF2B5EF4-FFF2-40B4-BE49-F238E27FC236}">
              <a16:creationId xmlns:a16="http://schemas.microsoft.com/office/drawing/2014/main" id="{08F99E2D-FDFA-4770-B4C9-0F28D5347E14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9525" cy="9525"/>
    <xdr:pic>
      <xdr:nvPicPr>
        <xdr:cNvPr id="5291" name="Picture 5290">
          <a:extLst>
            <a:ext uri="{FF2B5EF4-FFF2-40B4-BE49-F238E27FC236}">
              <a16:creationId xmlns:a16="http://schemas.microsoft.com/office/drawing/2014/main" id="{AD8D98EC-BC6B-4E80-B4CD-169F89A66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9525" cy="9525"/>
    <xdr:pic>
      <xdr:nvPicPr>
        <xdr:cNvPr id="5292" name="Picture 5291">
          <a:extLst>
            <a:ext uri="{FF2B5EF4-FFF2-40B4-BE49-F238E27FC236}">
              <a16:creationId xmlns:a16="http://schemas.microsoft.com/office/drawing/2014/main" id="{F17D507D-7638-48D1-9F72-993F27847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6</xdr:row>
      <xdr:rowOff>0</xdr:rowOff>
    </xdr:from>
    <xdr:ext cx="9525" cy="9525"/>
    <xdr:pic>
      <xdr:nvPicPr>
        <xdr:cNvPr id="5293" name="Picture 5292">
          <a:extLst>
            <a:ext uri="{FF2B5EF4-FFF2-40B4-BE49-F238E27FC236}">
              <a16:creationId xmlns:a16="http://schemas.microsoft.com/office/drawing/2014/main" id="{8D23A8B5-5F81-4835-9E90-EEEC50E4F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5294" name="AutoShape 257">
          <a:extLst>
            <a:ext uri="{FF2B5EF4-FFF2-40B4-BE49-F238E27FC236}">
              <a16:creationId xmlns:a16="http://schemas.microsoft.com/office/drawing/2014/main" id="{00FC0AB9-C56A-4A2B-BF27-5C9726363F33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95" name="Picture 5294">
          <a:extLst>
            <a:ext uri="{FF2B5EF4-FFF2-40B4-BE49-F238E27FC236}">
              <a16:creationId xmlns:a16="http://schemas.microsoft.com/office/drawing/2014/main" id="{B23DAF15-D4C4-4F5A-A120-DF64B7769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24</xdr:row>
      <xdr:rowOff>0</xdr:rowOff>
    </xdr:from>
    <xdr:ext cx="304800" cy="304800"/>
    <xdr:sp macro="" textlink="">
      <xdr:nvSpPr>
        <xdr:cNvPr id="5296" name="AutoShape 259">
          <a:extLst>
            <a:ext uri="{FF2B5EF4-FFF2-40B4-BE49-F238E27FC236}">
              <a16:creationId xmlns:a16="http://schemas.microsoft.com/office/drawing/2014/main" id="{A990C613-DDE7-439D-941D-28B6A34A5B30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26</xdr:row>
      <xdr:rowOff>0</xdr:rowOff>
    </xdr:from>
    <xdr:ext cx="9525" cy="9525"/>
    <xdr:pic>
      <xdr:nvPicPr>
        <xdr:cNvPr id="5297" name="Picture 5296">
          <a:extLst>
            <a:ext uri="{FF2B5EF4-FFF2-40B4-BE49-F238E27FC236}">
              <a16:creationId xmlns:a16="http://schemas.microsoft.com/office/drawing/2014/main" id="{5D479D7C-967A-4218-8F95-F06753263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25</xdr:row>
      <xdr:rowOff>0</xdr:rowOff>
    </xdr:from>
    <xdr:ext cx="304800" cy="303440"/>
    <xdr:sp macro="" textlink="">
      <xdr:nvSpPr>
        <xdr:cNvPr id="5298" name="AutoShape 261">
          <a:extLst>
            <a:ext uri="{FF2B5EF4-FFF2-40B4-BE49-F238E27FC236}">
              <a16:creationId xmlns:a16="http://schemas.microsoft.com/office/drawing/2014/main" id="{57FDBB22-1787-477F-92BB-C3C47A4CF1A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299" name="Picture 5298">
          <a:extLst>
            <a:ext uri="{FF2B5EF4-FFF2-40B4-BE49-F238E27FC236}">
              <a16:creationId xmlns:a16="http://schemas.microsoft.com/office/drawing/2014/main" id="{56E79842-F453-467D-8AF8-95BB9411A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00" name="Picture 5299">
          <a:extLst>
            <a:ext uri="{FF2B5EF4-FFF2-40B4-BE49-F238E27FC236}">
              <a16:creationId xmlns:a16="http://schemas.microsoft.com/office/drawing/2014/main" id="{F39FFB7F-08E9-43D6-B43C-D15FFE7FF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01" name="Picture 5300">
          <a:extLst>
            <a:ext uri="{FF2B5EF4-FFF2-40B4-BE49-F238E27FC236}">
              <a16:creationId xmlns:a16="http://schemas.microsoft.com/office/drawing/2014/main" id="{B3769144-F60A-4B6D-8E39-2E70A78C5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02" name="Picture 5301">
          <a:extLst>
            <a:ext uri="{FF2B5EF4-FFF2-40B4-BE49-F238E27FC236}">
              <a16:creationId xmlns:a16="http://schemas.microsoft.com/office/drawing/2014/main" id="{F8D586DF-B2C8-4167-A3FA-8288C38D3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03" name="Picture 5302">
          <a:extLst>
            <a:ext uri="{FF2B5EF4-FFF2-40B4-BE49-F238E27FC236}">
              <a16:creationId xmlns:a16="http://schemas.microsoft.com/office/drawing/2014/main" id="{E8D60E21-DEFD-46FC-AFE8-8893C3DAE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304" name="AutoShape 267">
          <a:extLst>
            <a:ext uri="{FF2B5EF4-FFF2-40B4-BE49-F238E27FC236}">
              <a16:creationId xmlns:a16="http://schemas.microsoft.com/office/drawing/2014/main" id="{28216FFD-03EA-4824-9857-39E617D972C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05" name="Picture 5304">
          <a:extLst>
            <a:ext uri="{FF2B5EF4-FFF2-40B4-BE49-F238E27FC236}">
              <a16:creationId xmlns:a16="http://schemas.microsoft.com/office/drawing/2014/main" id="{F2C5CBF6-85AF-4E22-845A-BDB57B1FD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306" name="AutoShape 269">
          <a:extLst>
            <a:ext uri="{FF2B5EF4-FFF2-40B4-BE49-F238E27FC236}">
              <a16:creationId xmlns:a16="http://schemas.microsoft.com/office/drawing/2014/main" id="{70011BC7-2A52-417D-AA8A-CE45E2F4078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13</xdr:row>
      <xdr:rowOff>0</xdr:rowOff>
    </xdr:from>
    <xdr:ext cx="9525" cy="9525"/>
    <xdr:pic>
      <xdr:nvPicPr>
        <xdr:cNvPr id="5307" name="Picture 5306">
          <a:extLst>
            <a:ext uri="{FF2B5EF4-FFF2-40B4-BE49-F238E27FC236}">
              <a16:creationId xmlns:a16="http://schemas.microsoft.com/office/drawing/2014/main" id="{F340AABF-CB66-4715-BF00-4FED76426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12</xdr:row>
      <xdr:rowOff>0</xdr:rowOff>
    </xdr:from>
    <xdr:ext cx="304800" cy="303439"/>
    <xdr:sp macro="" textlink="">
      <xdr:nvSpPr>
        <xdr:cNvPr id="5308" name="AutoShape 271">
          <a:extLst>
            <a:ext uri="{FF2B5EF4-FFF2-40B4-BE49-F238E27FC236}">
              <a16:creationId xmlns:a16="http://schemas.microsoft.com/office/drawing/2014/main" id="{143B808F-DC02-4FE9-A206-B01ECB17FCE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09" name="Picture 5308">
          <a:extLst>
            <a:ext uri="{FF2B5EF4-FFF2-40B4-BE49-F238E27FC236}">
              <a16:creationId xmlns:a16="http://schemas.microsoft.com/office/drawing/2014/main" id="{56D37308-658C-4AB9-BD66-EB53328A7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13</xdr:row>
      <xdr:rowOff>0</xdr:rowOff>
    </xdr:from>
    <xdr:ext cx="304800" cy="304800"/>
    <xdr:sp macro="" textlink="">
      <xdr:nvSpPr>
        <xdr:cNvPr id="5310" name="AutoShape 273">
          <a:extLst>
            <a:ext uri="{FF2B5EF4-FFF2-40B4-BE49-F238E27FC236}">
              <a16:creationId xmlns:a16="http://schemas.microsoft.com/office/drawing/2014/main" id="{DA9A681B-366A-464D-90BF-16DB5EC52A7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11" name="Picture 5310">
          <a:extLst>
            <a:ext uri="{FF2B5EF4-FFF2-40B4-BE49-F238E27FC236}">
              <a16:creationId xmlns:a16="http://schemas.microsoft.com/office/drawing/2014/main" id="{72B7B647-2C89-4E8D-AF5D-8DFA3DC18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3440"/>
    <xdr:sp macro="" textlink="">
      <xdr:nvSpPr>
        <xdr:cNvPr id="5312" name="AutoShape 275">
          <a:extLst>
            <a:ext uri="{FF2B5EF4-FFF2-40B4-BE49-F238E27FC236}">
              <a16:creationId xmlns:a16="http://schemas.microsoft.com/office/drawing/2014/main" id="{E21324DD-143E-404C-B1CD-364C4C3ABDB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27</xdr:row>
      <xdr:rowOff>0</xdr:rowOff>
    </xdr:from>
    <xdr:ext cx="9525" cy="9525"/>
    <xdr:pic>
      <xdr:nvPicPr>
        <xdr:cNvPr id="5313" name="Picture 5312">
          <a:extLst>
            <a:ext uri="{FF2B5EF4-FFF2-40B4-BE49-F238E27FC236}">
              <a16:creationId xmlns:a16="http://schemas.microsoft.com/office/drawing/2014/main" id="{283F533D-C6BD-44B1-BA1C-9461AE9D0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14" name="Picture 5313">
          <a:extLst>
            <a:ext uri="{FF2B5EF4-FFF2-40B4-BE49-F238E27FC236}">
              <a16:creationId xmlns:a16="http://schemas.microsoft.com/office/drawing/2014/main" id="{6867A7BD-223C-4CF0-A029-7EA521703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</xdr:row>
      <xdr:rowOff>0</xdr:rowOff>
    </xdr:from>
    <xdr:ext cx="9525" cy="9525"/>
    <xdr:pic>
      <xdr:nvPicPr>
        <xdr:cNvPr id="5315" name="Picture 5314">
          <a:extLst>
            <a:ext uri="{FF2B5EF4-FFF2-40B4-BE49-F238E27FC236}">
              <a16:creationId xmlns:a16="http://schemas.microsoft.com/office/drawing/2014/main" id="{A1A076A6-400B-4C70-9662-8C65162C1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</xdr:row>
      <xdr:rowOff>0</xdr:rowOff>
    </xdr:from>
    <xdr:ext cx="304800" cy="303439"/>
    <xdr:sp macro="" textlink="">
      <xdr:nvSpPr>
        <xdr:cNvPr id="5316" name="AutoShape 305">
          <a:extLst>
            <a:ext uri="{FF2B5EF4-FFF2-40B4-BE49-F238E27FC236}">
              <a16:creationId xmlns:a16="http://schemas.microsoft.com/office/drawing/2014/main" id="{A9BDEEA0-6F48-4131-9783-82F3DEFDEF74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9525" cy="9525"/>
    <xdr:pic>
      <xdr:nvPicPr>
        <xdr:cNvPr id="5317" name="Picture 5316">
          <a:extLst>
            <a:ext uri="{FF2B5EF4-FFF2-40B4-BE49-F238E27FC236}">
              <a16:creationId xmlns:a16="http://schemas.microsoft.com/office/drawing/2014/main" id="{882FA0EE-CCC4-42F4-B85A-E26C5728F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9525" cy="9525"/>
    <xdr:pic>
      <xdr:nvPicPr>
        <xdr:cNvPr id="5318" name="Picture 5317">
          <a:extLst>
            <a:ext uri="{FF2B5EF4-FFF2-40B4-BE49-F238E27FC236}">
              <a16:creationId xmlns:a16="http://schemas.microsoft.com/office/drawing/2014/main" id="{40DA22DD-C9AB-4C89-BC70-8A7BC1FBD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6</xdr:row>
      <xdr:rowOff>0</xdr:rowOff>
    </xdr:from>
    <xdr:ext cx="9525" cy="9525"/>
    <xdr:pic>
      <xdr:nvPicPr>
        <xdr:cNvPr id="5319" name="Picture 5318">
          <a:extLst>
            <a:ext uri="{FF2B5EF4-FFF2-40B4-BE49-F238E27FC236}">
              <a16:creationId xmlns:a16="http://schemas.microsoft.com/office/drawing/2014/main" id="{08523F2C-0495-41CF-AE43-5AC1832BA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5320" name="AutoShape 309">
          <a:extLst>
            <a:ext uri="{FF2B5EF4-FFF2-40B4-BE49-F238E27FC236}">
              <a16:creationId xmlns:a16="http://schemas.microsoft.com/office/drawing/2014/main" id="{A72FAB6B-F6DA-4CD2-833C-40319D5C0B84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21" name="Picture 5320">
          <a:extLst>
            <a:ext uri="{FF2B5EF4-FFF2-40B4-BE49-F238E27FC236}">
              <a16:creationId xmlns:a16="http://schemas.microsoft.com/office/drawing/2014/main" id="{4FB6FBF6-51F8-41F1-B0E8-5864B9E41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24</xdr:row>
      <xdr:rowOff>0</xdr:rowOff>
    </xdr:from>
    <xdr:ext cx="304800" cy="304800"/>
    <xdr:sp macro="" textlink="">
      <xdr:nvSpPr>
        <xdr:cNvPr id="5322" name="AutoShape 311">
          <a:extLst>
            <a:ext uri="{FF2B5EF4-FFF2-40B4-BE49-F238E27FC236}">
              <a16:creationId xmlns:a16="http://schemas.microsoft.com/office/drawing/2014/main" id="{D1A6B73E-8284-4924-8B8D-2E38CD200B6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26</xdr:row>
      <xdr:rowOff>0</xdr:rowOff>
    </xdr:from>
    <xdr:ext cx="9525" cy="9525"/>
    <xdr:pic>
      <xdr:nvPicPr>
        <xdr:cNvPr id="5323" name="Picture 5322">
          <a:extLst>
            <a:ext uri="{FF2B5EF4-FFF2-40B4-BE49-F238E27FC236}">
              <a16:creationId xmlns:a16="http://schemas.microsoft.com/office/drawing/2014/main" id="{05014FD9-3CAC-48B0-9DBD-EFE714A16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25</xdr:row>
      <xdr:rowOff>0</xdr:rowOff>
    </xdr:from>
    <xdr:ext cx="304800" cy="303440"/>
    <xdr:sp macro="" textlink="">
      <xdr:nvSpPr>
        <xdr:cNvPr id="5324" name="AutoShape 313">
          <a:extLst>
            <a:ext uri="{FF2B5EF4-FFF2-40B4-BE49-F238E27FC236}">
              <a16:creationId xmlns:a16="http://schemas.microsoft.com/office/drawing/2014/main" id="{37DB38D1-BD43-4870-A1B2-F0E9AC814B3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25" name="Picture 5324">
          <a:extLst>
            <a:ext uri="{FF2B5EF4-FFF2-40B4-BE49-F238E27FC236}">
              <a16:creationId xmlns:a16="http://schemas.microsoft.com/office/drawing/2014/main" id="{BE89352D-A130-45A4-A772-5BDE23747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26" name="Picture 5325">
          <a:extLst>
            <a:ext uri="{FF2B5EF4-FFF2-40B4-BE49-F238E27FC236}">
              <a16:creationId xmlns:a16="http://schemas.microsoft.com/office/drawing/2014/main" id="{833C60F1-725F-410B-B451-8D9A4854E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27" name="Picture 5326">
          <a:extLst>
            <a:ext uri="{FF2B5EF4-FFF2-40B4-BE49-F238E27FC236}">
              <a16:creationId xmlns:a16="http://schemas.microsoft.com/office/drawing/2014/main" id="{404A078D-769B-4058-A225-2E411B3AB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28" name="Picture 5327">
          <a:extLst>
            <a:ext uri="{FF2B5EF4-FFF2-40B4-BE49-F238E27FC236}">
              <a16:creationId xmlns:a16="http://schemas.microsoft.com/office/drawing/2014/main" id="{C2ACD9ED-0ED3-4745-9174-5053C6CDB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29" name="Picture 5328">
          <a:extLst>
            <a:ext uri="{FF2B5EF4-FFF2-40B4-BE49-F238E27FC236}">
              <a16:creationId xmlns:a16="http://schemas.microsoft.com/office/drawing/2014/main" id="{E1D617BD-8775-4CFD-B530-CE2007F06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330" name="AutoShape 319">
          <a:extLst>
            <a:ext uri="{FF2B5EF4-FFF2-40B4-BE49-F238E27FC236}">
              <a16:creationId xmlns:a16="http://schemas.microsoft.com/office/drawing/2014/main" id="{E667FF00-138B-4329-B619-04D9A693F66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31" name="Picture 5330">
          <a:extLst>
            <a:ext uri="{FF2B5EF4-FFF2-40B4-BE49-F238E27FC236}">
              <a16:creationId xmlns:a16="http://schemas.microsoft.com/office/drawing/2014/main" id="{E149E967-8051-4DD4-AB71-79853252D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332" name="AutoShape 321">
          <a:extLst>
            <a:ext uri="{FF2B5EF4-FFF2-40B4-BE49-F238E27FC236}">
              <a16:creationId xmlns:a16="http://schemas.microsoft.com/office/drawing/2014/main" id="{A39240AF-A2C4-4267-AC67-526608B23D6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13</xdr:row>
      <xdr:rowOff>0</xdr:rowOff>
    </xdr:from>
    <xdr:ext cx="9525" cy="9525"/>
    <xdr:pic>
      <xdr:nvPicPr>
        <xdr:cNvPr id="5333" name="Picture 5332">
          <a:extLst>
            <a:ext uri="{FF2B5EF4-FFF2-40B4-BE49-F238E27FC236}">
              <a16:creationId xmlns:a16="http://schemas.microsoft.com/office/drawing/2014/main" id="{56FB4107-99C9-463B-8456-FA178ECE9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12</xdr:row>
      <xdr:rowOff>0</xdr:rowOff>
    </xdr:from>
    <xdr:ext cx="304800" cy="303439"/>
    <xdr:sp macro="" textlink="">
      <xdr:nvSpPr>
        <xdr:cNvPr id="5334" name="AutoShape 323">
          <a:extLst>
            <a:ext uri="{FF2B5EF4-FFF2-40B4-BE49-F238E27FC236}">
              <a16:creationId xmlns:a16="http://schemas.microsoft.com/office/drawing/2014/main" id="{C11035E8-6008-4C68-96D0-2BBE2F4F1F4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35" name="Picture 5334">
          <a:extLst>
            <a:ext uri="{FF2B5EF4-FFF2-40B4-BE49-F238E27FC236}">
              <a16:creationId xmlns:a16="http://schemas.microsoft.com/office/drawing/2014/main" id="{40CAA2AA-84FD-4349-A058-E03389EB0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13</xdr:row>
      <xdr:rowOff>0</xdr:rowOff>
    </xdr:from>
    <xdr:ext cx="304800" cy="304800"/>
    <xdr:sp macro="" textlink="">
      <xdr:nvSpPr>
        <xdr:cNvPr id="5336" name="AutoShape 325">
          <a:extLst>
            <a:ext uri="{FF2B5EF4-FFF2-40B4-BE49-F238E27FC236}">
              <a16:creationId xmlns:a16="http://schemas.microsoft.com/office/drawing/2014/main" id="{DCA0B7AB-2780-4A12-BA5A-779A3BF284A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37" name="Picture 5336">
          <a:extLst>
            <a:ext uri="{FF2B5EF4-FFF2-40B4-BE49-F238E27FC236}">
              <a16:creationId xmlns:a16="http://schemas.microsoft.com/office/drawing/2014/main" id="{0E7F6AC8-2AD6-4580-94A7-BC6C0C654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3440"/>
    <xdr:sp macro="" textlink="">
      <xdr:nvSpPr>
        <xdr:cNvPr id="5338" name="AutoShape 327">
          <a:extLst>
            <a:ext uri="{FF2B5EF4-FFF2-40B4-BE49-F238E27FC236}">
              <a16:creationId xmlns:a16="http://schemas.microsoft.com/office/drawing/2014/main" id="{5C3D0B1C-10C2-42B1-8DBB-CC9B4FAC4A4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27</xdr:row>
      <xdr:rowOff>0</xdr:rowOff>
    </xdr:from>
    <xdr:ext cx="9525" cy="9525"/>
    <xdr:pic>
      <xdr:nvPicPr>
        <xdr:cNvPr id="5339" name="Picture 5338">
          <a:extLst>
            <a:ext uri="{FF2B5EF4-FFF2-40B4-BE49-F238E27FC236}">
              <a16:creationId xmlns:a16="http://schemas.microsoft.com/office/drawing/2014/main" id="{D9E1690A-E0FB-4E54-8FAD-EDFA3DA55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40" name="Picture 5339">
          <a:extLst>
            <a:ext uri="{FF2B5EF4-FFF2-40B4-BE49-F238E27FC236}">
              <a16:creationId xmlns:a16="http://schemas.microsoft.com/office/drawing/2014/main" id="{4428CC01-886D-4340-94A3-514A058F4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</xdr:row>
      <xdr:rowOff>0</xdr:rowOff>
    </xdr:from>
    <xdr:ext cx="9525" cy="9525"/>
    <xdr:pic>
      <xdr:nvPicPr>
        <xdr:cNvPr id="5341" name="Picture 5340">
          <a:extLst>
            <a:ext uri="{FF2B5EF4-FFF2-40B4-BE49-F238E27FC236}">
              <a16:creationId xmlns:a16="http://schemas.microsoft.com/office/drawing/2014/main" id="{53E8CC58-D3E1-4C68-8BF6-3AFC37B80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</xdr:row>
      <xdr:rowOff>0</xdr:rowOff>
    </xdr:from>
    <xdr:ext cx="304800" cy="303439"/>
    <xdr:sp macro="" textlink="">
      <xdr:nvSpPr>
        <xdr:cNvPr id="5342" name="AutoShape 357">
          <a:extLst>
            <a:ext uri="{FF2B5EF4-FFF2-40B4-BE49-F238E27FC236}">
              <a16:creationId xmlns:a16="http://schemas.microsoft.com/office/drawing/2014/main" id="{F81C1240-0D3C-492E-AA3F-B61D4B7812FB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9525" cy="9525"/>
    <xdr:pic>
      <xdr:nvPicPr>
        <xdr:cNvPr id="5343" name="Picture 5342">
          <a:extLst>
            <a:ext uri="{FF2B5EF4-FFF2-40B4-BE49-F238E27FC236}">
              <a16:creationId xmlns:a16="http://schemas.microsoft.com/office/drawing/2014/main" id="{C717B9E3-4E84-49D0-9067-DF6609FAC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9525" cy="9525"/>
    <xdr:pic>
      <xdr:nvPicPr>
        <xdr:cNvPr id="5344" name="Picture 5343">
          <a:extLst>
            <a:ext uri="{FF2B5EF4-FFF2-40B4-BE49-F238E27FC236}">
              <a16:creationId xmlns:a16="http://schemas.microsoft.com/office/drawing/2014/main" id="{EA310B27-ACC4-4B22-B42C-2AD6EA71E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6</xdr:row>
      <xdr:rowOff>0</xdr:rowOff>
    </xdr:from>
    <xdr:ext cx="9525" cy="9525"/>
    <xdr:pic>
      <xdr:nvPicPr>
        <xdr:cNvPr id="5345" name="Picture 5344">
          <a:extLst>
            <a:ext uri="{FF2B5EF4-FFF2-40B4-BE49-F238E27FC236}">
              <a16:creationId xmlns:a16="http://schemas.microsoft.com/office/drawing/2014/main" id="{42B85F27-FECD-4345-A00D-43EE55560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5346" name="AutoShape 361">
          <a:extLst>
            <a:ext uri="{FF2B5EF4-FFF2-40B4-BE49-F238E27FC236}">
              <a16:creationId xmlns:a16="http://schemas.microsoft.com/office/drawing/2014/main" id="{75532AAF-71FB-4199-A895-AF02646AA279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47" name="Picture 5346">
          <a:extLst>
            <a:ext uri="{FF2B5EF4-FFF2-40B4-BE49-F238E27FC236}">
              <a16:creationId xmlns:a16="http://schemas.microsoft.com/office/drawing/2014/main" id="{A73E516B-0E94-493B-9CCF-0441CB723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24</xdr:row>
      <xdr:rowOff>0</xdr:rowOff>
    </xdr:from>
    <xdr:ext cx="304800" cy="304800"/>
    <xdr:sp macro="" textlink="">
      <xdr:nvSpPr>
        <xdr:cNvPr id="5348" name="AutoShape 363">
          <a:extLst>
            <a:ext uri="{FF2B5EF4-FFF2-40B4-BE49-F238E27FC236}">
              <a16:creationId xmlns:a16="http://schemas.microsoft.com/office/drawing/2014/main" id="{A3757BDE-62FF-4268-B5CC-5676AA6F0311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26</xdr:row>
      <xdr:rowOff>0</xdr:rowOff>
    </xdr:from>
    <xdr:ext cx="9525" cy="9525"/>
    <xdr:pic>
      <xdr:nvPicPr>
        <xdr:cNvPr id="5349" name="Picture 5348">
          <a:extLst>
            <a:ext uri="{FF2B5EF4-FFF2-40B4-BE49-F238E27FC236}">
              <a16:creationId xmlns:a16="http://schemas.microsoft.com/office/drawing/2014/main" id="{616C578B-FF8E-4A0C-B625-DD092F993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25</xdr:row>
      <xdr:rowOff>0</xdr:rowOff>
    </xdr:from>
    <xdr:ext cx="304800" cy="303440"/>
    <xdr:sp macro="" textlink="">
      <xdr:nvSpPr>
        <xdr:cNvPr id="5350" name="AutoShape 365">
          <a:extLst>
            <a:ext uri="{FF2B5EF4-FFF2-40B4-BE49-F238E27FC236}">
              <a16:creationId xmlns:a16="http://schemas.microsoft.com/office/drawing/2014/main" id="{6EF619AD-1299-46A7-BB0A-A1594333442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51" name="Picture 5350">
          <a:extLst>
            <a:ext uri="{FF2B5EF4-FFF2-40B4-BE49-F238E27FC236}">
              <a16:creationId xmlns:a16="http://schemas.microsoft.com/office/drawing/2014/main" id="{F7292F2A-BAAE-46EF-938D-534A98828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52" name="Picture 5351">
          <a:extLst>
            <a:ext uri="{FF2B5EF4-FFF2-40B4-BE49-F238E27FC236}">
              <a16:creationId xmlns:a16="http://schemas.microsoft.com/office/drawing/2014/main" id="{7719AFB0-8554-4984-951B-2D2B710F4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53" name="Picture 5352">
          <a:extLst>
            <a:ext uri="{FF2B5EF4-FFF2-40B4-BE49-F238E27FC236}">
              <a16:creationId xmlns:a16="http://schemas.microsoft.com/office/drawing/2014/main" id="{85155F69-9680-4271-945D-9552FA1EC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54" name="Picture 5353">
          <a:extLst>
            <a:ext uri="{FF2B5EF4-FFF2-40B4-BE49-F238E27FC236}">
              <a16:creationId xmlns:a16="http://schemas.microsoft.com/office/drawing/2014/main" id="{0554A767-5AD5-4CF8-B88D-B41EEF974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55" name="Picture 5354">
          <a:extLst>
            <a:ext uri="{FF2B5EF4-FFF2-40B4-BE49-F238E27FC236}">
              <a16:creationId xmlns:a16="http://schemas.microsoft.com/office/drawing/2014/main" id="{D348C7AC-6EFD-4993-B6A6-7632F3DB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356" name="AutoShape 371">
          <a:extLst>
            <a:ext uri="{FF2B5EF4-FFF2-40B4-BE49-F238E27FC236}">
              <a16:creationId xmlns:a16="http://schemas.microsoft.com/office/drawing/2014/main" id="{4FD3FDED-85A7-4015-B845-E1FD2AA2BB3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57" name="Picture 5356">
          <a:extLst>
            <a:ext uri="{FF2B5EF4-FFF2-40B4-BE49-F238E27FC236}">
              <a16:creationId xmlns:a16="http://schemas.microsoft.com/office/drawing/2014/main" id="{7A2629DC-369C-4CB7-A362-3C0AA3B68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358" name="AutoShape 373">
          <a:extLst>
            <a:ext uri="{FF2B5EF4-FFF2-40B4-BE49-F238E27FC236}">
              <a16:creationId xmlns:a16="http://schemas.microsoft.com/office/drawing/2014/main" id="{9856AEB6-BDB0-4723-993A-19475FB73B9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13</xdr:row>
      <xdr:rowOff>0</xdr:rowOff>
    </xdr:from>
    <xdr:ext cx="9525" cy="9525"/>
    <xdr:pic>
      <xdr:nvPicPr>
        <xdr:cNvPr id="5359" name="Picture 5358">
          <a:extLst>
            <a:ext uri="{FF2B5EF4-FFF2-40B4-BE49-F238E27FC236}">
              <a16:creationId xmlns:a16="http://schemas.microsoft.com/office/drawing/2014/main" id="{D5BEA2DF-4DA4-4EBE-9D6D-433C4B411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12</xdr:row>
      <xdr:rowOff>0</xdr:rowOff>
    </xdr:from>
    <xdr:ext cx="304800" cy="303439"/>
    <xdr:sp macro="" textlink="">
      <xdr:nvSpPr>
        <xdr:cNvPr id="5360" name="AutoShape 375">
          <a:extLst>
            <a:ext uri="{FF2B5EF4-FFF2-40B4-BE49-F238E27FC236}">
              <a16:creationId xmlns:a16="http://schemas.microsoft.com/office/drawing/2014/main" id="{B6566199-C2DF-42AD-9CEF-1E6E477B7869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61" name="Picture 5360">
          <a:extLst>
            <a:ext uri="{FF2B5EF4-FFF2-40B4-BE49-F238E27FC236}">
              <a16:creationId xmlns:a16="http://schemas.microsoft.com/office/drawing/2014/main" id="{CD7C8CCB-0158-48C8-8A40-68C17C140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13</xdr:row>
      <xdr:rowOff>0</xdr:rowOff>
    </xdr:from>
    <xdr:ext cx="304800" cy="304800"/>
    <xdr:sp macro="" textlink="">
      <xdr:nvSpPr>
        <xdr:cNvPr id="5362" name="AutoShape 377">
          <a:extLst>
            <a:ext uri="{FF2B5EF4-FFF2-40B4-BE49-F238E27FC236}">
              <a16:creationId xmlns:a16="http://schemas.microsoft.com/office/drawing/2014/main" id="{F704C0B2-F389-4BA4-BAE6-99F9507B7A79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63" name="Picture 5362">
          <a:extLst>
            <a:ext uri="{FF2B5EF4-FFF2-40B4-BE49-F238E27FC236}">
              <a16:creationId xmlns:a16="http://schemas.microsoft.com/office/drawing/2014/main" id="{9CC249BC-654C-439B-8DC5-E25129B86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3440"/>
    <xdr:sp macro="" textlink="">
      <xdr:nvSpPr>
        <xdr:cNvPr id="5364" name="AutoShape 379">
          <a:extLst>
            <a:ext uri="{FF2B5EF4-FFF2-40B4-BE49-F238E27FC236}">
              <a16:creationId xmlns:a16="http://schemas.microsoft.com/office/drawing/2014/main" id="{79F193E4-8812-45F1-B6EF-D29C655A5368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27</xdr:row>
      <xdr:rowOff>0</xdr:rowOff>
    </xdr:from>
    <xdr:ext cx="9525" cy="9525"/>
    <xdr:pic>
      <xdr:nvPicPr>
        <xdr:cNvPr id="5365" name="Picture 5364">
          <a:extLst>
            <a:ext uri="{FF2B5EF4-FFF2-40B4-BE49-F238E27FC236}">
              <a16:creationId xmlns:a16="http://schemas.microsoft.com/office/drawing/2014/main" id="{10635A70-1E6E-4FC4-B79C-E47608576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26</xdr:row>
      <xdr:rowOff>0</xdr:rowOff>
    </xdr:from>
    <xdr:ext cx="304800" cy="303439"/>
    <xdr:sp macro="" textlink="">
      <xdr:nvSpPr>
        <xdr:cNvPr id="5366" name="AutoShape 381">
          <a:extLst>
            <a:ext uri="{FF2B5EF4-FFF2-40B4-BE49-F238E27FC236}">
              <a16:creationId xmlns:a16="http://schemas.microsoft.com/office/drawing/2014/main" id="{711AB455-DB3A-4ECA-96FB-7CAEDFAB3D5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67" name="Picture 5366">
          <a:extLst>
            <a:ext uri="{FF2B5EF4-FFF2-40B4-BE49-F238E27FC236}">
              <a16:creationId xmlns:a16="http://schemas.microsoft.com/office/drawing/2014/main" id="{AE751C0E-B28F-472F-A8BE-D20AFFD47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68" name="Picture 5367">
          <a:extLst>
            <a:ext uri="{FF2B5EF4-FFF2-40B4-BE49-F238E27FC236}">
              <a16:creationId xmlns:a16="http://schemas.microsoft.com/office/drawing/2014/main" id="{C4FC0E81-8991-4765-8C70-19049AC77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</xdr:row>
      <xdr:rowOff>0</xdr:rowOff>
    </xdr:from>
    <xdr:ext cx="9525" cy="9525"/>
    <xdr:pic>
      <xdr:nvPicPr>
        <xdr:cNvPr id="5369" name="Picture 5368">
          <a:extLst>
            <a:ext uri="{FF2B5EF4-FFF2-40B4-BE49-F238E27FC236}">
              <a16:creationId xmlns:a16="http://schemas.microsoft.com/office/drawing/2014/main" id="{96828BFB-84B3-4955-9A95-3E400C411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</xdr:row>
      <xdr:rowOff>0</xdr:rowOff>
    </xdr:from>
    <xdr:ext cx="304800" cy="303439"/>
    <xdr:sp macro="" textlink="">
      <xdr:nvSpPr>
        <xdr:cNvPr id="5370" name="AutoShape 413">
          <a:extLst>
            <a:ext uri="{FF2B5EF4-FFF2-40B4-BE49-F238E27FC236}">
              <a16:creationId xmlns:a16="http://schemas.microsoft.com/office/drawing/2014/main" id="{CADBAE29-5DA9-48D8-BB31-5C33C7AD799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9525" cy="9525"/>
    <xdr:pic>
      <xdr:nvPicPr>
        <xdr:cNvPr id="5371" name="Picture 5370">
          <a:extLst>
            <a:ext uri="{FF2B5EF4-FFF2-40B4-BE49-F238E27FC236}">
              <a16:creationId xmlns:a16="http://schemas.microsoft.com/office/drawing/2014/main" id="{BFE67870-116D-4EB0-9FD1-698226DC5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9525" cy="9525"/>
    <xdr:pic>
      <xdr:nvPicPr>
        <xdr:cNvPr id="5372" name="Picture 5371">
          <a:extLst>
            <a:ext uri="{FF2B5EF4-FFF2-40B4-BE49-F238E27FC236}">
              <a16:creationId xmlns:a16="http://schemas.microsoft.com/office/drawing/2014/main" id="{9BEA6225-C0DB-43AF-AAA4-C69B06805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6</xdr:row>
      <xdr:rowOff>0</xdr:rowOff>
    </xdr:from>
    <xdr:ext cx="9525" cy="9525"/>
    <xdr:pic>
      <xdr:nvPicPr>
        <xdr:cNvPr id="5373" name="Picture 5372">
          <a:extLst>
            <a:ext uri="{FF2B5EF4-FFF2-40B4-BE49-F238E27FC236}">
              <a16:creationId xmlns:a16="http://schemas.microsoft.com/office/drawing/2014/main" id="{863395A0-1AAA-448C-91F8-9A78E9B92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5374" name="AutoShape 417">
          <a:extLst>
            <a:ext uri="{FF2B5EF4-FFF2-40B4-BE49-F238E27FC236}">
              <a16:creationId xmlns:a16="http://schemas.microsoft.com/office/drawing/2014/main" id="{9ECC7258-ACA9-4C78-A118-36D0A4780C6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75" name="Picture 5374">
          <a:extLst>
            <a:ext uri="{FF2B5EF4-FFF2-40B4-BE49-F238E27FC236}">
              <a16:creationId xmlns:a16="http://schemas.microsoft.com/office/drawing/2014/main" id="{DA12AB25-B5E9-4C57-8DA7-0957BD85B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24</xdr:row>
      <xdr:rowOff>0</xdr:rowOff>
    </xdr:from>
    <xdr:ext cx="304800" cy="304800"/>
    <xdr:sp macro="" textlink="">
      <xdr:nvSpPr>
        <xdr:cNvPr id="5376" name="AutoShape 419">
          <a:extLst>
            <a:ext uri="{FF2B5EF4-FFF2-40B4-BE49-F238E27FC236}">
              <a16:creationId xmlns:a16="http://schemas.microsoft.com/office/drawing/2014/main" id="{E98C6EB2-3515-4593-82A4-211BB2BCDF19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26</xdr:row>
      <xdr:rowOff>0</xdr:rowOff>
    </xdr:from>
    <xdr:ext cx="9525" cy="9525"/>
    <xdr:pic>
      <xdr:nvPicPr>
        <xdr:cNvPr id="5377" name="Picture 5376">
          <a:extLst>
            <a:ext uri="{FF2B5EF4-FFF2-40B4-BE49-F238E27FC236}">
              <a16:creationId xmlns:a16="http://schemas.microsoft.com/office/drawing/2014/main" id="{A8325E43-F333-4725-860B-66C20E6A7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25</xdr:row>
      <xdr:rowOff>0</xdr:rowOff>
    </xdr:from>
    <xdr:ext cx="304800" cy="303440"/>
    <xdr:sp macro="" textlink="">
      <xdr:nvSpPr>
        <xdr:cNvPr id="5378" name="AutoShape 421">
          <a:extLst>
            <a:ext uri="{FF2B5EF4-FFF2-40B4-BE49-F238E27FC236}">
              <a16:creationId xmlns:a16="http://schemas.microsoft.com/office/drawing/2014/main" id="{48EDE5C8-EF7A-45E9-ABD8-29F033F3AB11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79" name="Picture 5378">
          <a:extLst>
            <a:ext uri="{FF2B5EF4-FFF2-40B4-BE49-F238E27FC236}">
              <a16:creationId xmlns:a16="http://schemas.microsoft.com/office/drawing/2014/main" id="{6E756847-F039-4F6E-B292-E7D323238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80" name="Picture 5379">
          <a:extLst>
            <a:ext uri="{FF2B5EF4-FFF2-40B4-BE49-F238E27FC236}">
              <a16:creationId xmlns:a16="http://schemas.microsoft.com/office/drawing/2014/main" id="{FC31EF77-F15E-4EDE-8EBA-CBD99B32B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81" name="Picture 5380">
          <a:extLst>
            <a:ext uri="{FF2B5EF4-FFF2-40B4-BE49-F238E27FC236}">
              <a16:creationId xmlns:a16="http://schemas.microsoft.com/office/drawing/2014/main" id="{A3D3A7AF-44C7-4245-98EC-569C3702A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82" name="Picture 5381">
          <a:extLst>
            <a:ext uri="{FF2B5EF4-FFF2-40B4-BE49-F238E27FC236}">
              <a16:creationId xmlns:a16="http://schemas.microsoft.com/office/drawing/2014/main" id="{C5EAC911-6AE8-4BBD-9409-403734A1C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83" name="Picture 5382">
          <a:extLst>
            <a:ext uri="{FF2B5EF4-FFF2-40B4-BE49-F238E27FC236}">
              <a16:creationId xmlns:a16="http://schemas.microsoft.com/office/drawing/2014/main" id="{FD5F0BB1-749D-4FB3-AC65-784FCCBB5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384" name="AutoShape 427">
          <a:extLst>
            <a:ext uri="{FF2B5EF4-FFF2-40B4-BE49-F238E27FC236}">
              <a16:creationId xmlns:a16="http://schemas.microsoft.com/office/drawing/2014/main" id="{3759CB43-6134-4E90-952D-62F7874CFA3A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85" name="Picture 5384">
          <a:extLst>
            <a:ext uri="{FF2B5EF4-FFF2-40B4-BE49-F238E27FC236}">
              <a16:creationId xmlns:a16="http://schemas.microsoft.com/office/drawing/2014/main" id="{8AB95544-1552-4C31-B19B-27E551285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386" name="AutoShape 429">
          <a:extLst>
            <a:ext uri="{FF2B5EF4-FFF2-40B4-BE49-F238E27FC236}">
              <a16:creationId xmlns:a16="http://schemas.microsoft.com/office/drawing/2014/main" id="{99F12E4D-C2C1-49DE-A820-DCA584EF8DB8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13</xdr:row>
      <xdr:rowOff>0</xdr:rowOff>
    </xdr:from>
    <xdr:ext cx="9525" cy="9525"/>
    <xdr:pic>
      <xdr:nvPicPr>
        <xdr:cNvPr id="5387" name="Picture 5386">
          <a:extLst>
            <a:ext uri="{FF2B5EF4-FFF2-40B4-BE49-F238E27FC236}">
              <a16:creationId xmlns:a16="http://schemas.microsoft.com/office/drawing/2014/main" id="{5AA8FEAE-EDDB-41AF-9740-4D349A1A2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12</xdr:row>
      <xdr:rowOff>0</xdr:rowOff>
    </xdr:from>
    <xdr:ext cx="304800" cy="303439"/>
    <xdr:sp macro="" textlink="">
      <xdr:nvSpPr>
        <xdr:cNvPr id="5388" name="AutoShape 431">
          <a:extLst>
            <a:ext uri="{FF2B5EF4-FFF2-40B4-BE49-F238E27FC236}">
              <a16:creationId xmlns:a16="http://schemas.microsoft.com/office/drawing/2014/main" id="{18B8D609-EF35-4EB4-B0AB-A0BC57C84AD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89" name="Picture 5388">
          <a:extLst>
            <a:ext uri="{FF2B5EF4-FFF2-40B4-BE49-F238E27FC236}">
              <a16:creationId xmlns:a16="http://schemas.microsoft.com/office/drawing/2014/main" id="{865BE139-E1E9-4F3B-B921-61DEDCA10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13</xdr:row>
      <xdr:rowOff>0</xdr:rowOff>
    </xdr:from>
    <xdr:ext cx="304800" cy="304800"/>
    <xdr:sp macro="" textlink="">
      <xdr:nvSpPr>
        <xdr:cNvPr id="5390" name="AutoShape 433">
          <a:extLst>
            <a:ext uri="{FF2B5EF4-FFF2-40B4-BE49-F238E27FC236}">
              <a16:creationId xmlns:a16="http://schemas.microsoft.com/office/drawing/2014/main" id="{50A11315-8DE5-4A9E-88A9-7C3957000A3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91" name="Picture 5390">
          <a:extLst>
            <a:ext uri="{FF2B5EF4-FFF2-40B4-BE49-F238E27FC236}">
              <a16:creationId xmlns:a16="http://schemas.microsoft.com/office/drawing/2014/main" id="{A618DCCE-F172-4453-BFB3-80B7198A8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3440"/>
    <xdr:sp macro="" textlink="">
      <xdr:nvSpPr>
        <xdr:cNvPr id="5392" name="AutoShape 435">
          <a:extLst>
            <a:ext uri="{FF2B5EF4-FFF2-40B4-BE49-F238E27FC236}">
              <a16:creationId xmlns:a16="http://schemas.microsoft.com/office/drawing/2014/main" id="{3DB4F3F4-F85A-480F-B33B-354B55FF9CD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27</xdr:row>
      <xdr:rowOff>0</xdr:rowOff>
    </xdr:from>
    <xdr:ext cx="9525" cy="9525"/>
    <xdr:pic>
      <xdr:nvPicPr>
        <xdr:cNvPr id="5393" name="Picture 5392">
          <a:extLst>
            <a:ext uri="{FF2B5EF4-FFF2-40B4-BE49-F238E27FC236}">
              <a16:creationId xmlns:a16="http://schemas.microsoft.com/office/drawing/2014/main" id="{A1C7D07F-AC47-4DBE-A640-81F76AF8B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26</xdr:row>
      <xdr:rowOff>0</xdr:rowOff>
    </xdr:from>
    <xdr:ext cx="304800" cy="303439"/>
    <xdr:sp macro="" textlink="">
      <xdr:nvSpPr>
        <xdr:cNvPr id="5394" name="AutoShape 437">
          <a:extLst>
            <a:ext uri="{FF2B5EF4-FFF2-40B4-BE49-F238E27FC236}">
              <a16:creationId xmlns:a16="http://schemas.microsoft.com/office/drawing/2014/main" id="{3AB08C82-87B7-41F9-BDAD-C71F7C6F9EF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95" name="Picture 5394">
          <a:extLst>
            <a:ext uri="{FF2B5EF4-FFF2-40B4-BE49-F238E27FC236}">
              <a16:creationId xmlns:a16="http://schemas.microsoft.com/office/drawing/2014/main" id="{FD6FEB64-92B1-4A38-AB5C-D095DE402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396" name="Picture 5395">
          <a:extLst>
            <a:ext uri="{FF2B5EF4-FFF2-40B4-BE49-F238E27FC236}">
              <a16:creationId xmlns:a16="http://schemas.microsoft.com/office/drawing/2014/main" id="{54183FBF-69D1-4811-86D7-178EF7929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</xdr:row>
      <xdr:rowOff>0</xdr:rowOff>
    </xdr:from>
    <xdr:ext cx="9525" cy="9525"/>
    <xdr:pic>
      <xdr:nvPicPr>
        <xdr:cNvPr id="5397" name="Picture 5396">
          <a:extLst>
            <a:ext uri="{FF2B5EF4-FFF2-40B4-BE49-F238E27FC236}">
              <a16:creationId xmlns:a16="http://schemas.microsoft.com/office/drawing/2014/main" id="{1A907475-6BDD-4735-8764-5FE937488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</xdr:row>
      <xdr:rowOff>0</xdr:rowOff>
    </xdr:from>
    <xdr:ext cx="304800" cy="303439"/>
    <xdr:sp macro="" textlink="">
      <xdr:nvSpPr>
        <xdr:cNvPr id="5398" name="AutoShape 469">
          <a:extLst>
            <a:ext uri="{FF2B5EF4-FFF2-40B4-BE49-F238E27FC236}">
              <a16:creationId xmlns:a16="http://schemas.microsoft.com/office/drawing/2014/main" id="{3B81C149-13C5-40F6-902C-72F4650C904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9525" cy="9525"/>
    <xdr:pic>
      <xdr:nvPicPr>
        <xdr:cNvPr id="5399" name="Picture 5398">
          <a:extLst>
            <a:ext uri="{FF2B5EF4-FFF2-40B4-BE49-F238E27FC236}">
              <a16:creationId xmlns:a16="http://schemas.microsoft.com/office/drawing/2014/main" id="{B94D875B-4D28-4B4A-A1D0-1C2B29BB6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9525" cy="9525"/>
    <xdr:pic>
      <xdr:nvPicPr>
        <xdr:cNvPr id="5400" name="Picture 5399">
          <a:extLst>
            <a:ext uri="{FF2B5EF4-FFF2-40B4-BE49-F238E27FC236}">
              <a16:creationId xmlns:a16="http://schemas.microsoft.com/office/drawing/2014/main" id="{BF73CB68-6B22-4935-BEE1-35C176D87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6</xdr:row>
      <xdr:rowOff>0</xdr:rowOff>
    </xdr:from>
    <xdr:ext cx="9525" cy="9525"/>
    <xdr:pic>
      <xdr:nvPicPr>
        <xdr:cNvPr id="5401" name="Picture 5400">
          <a:extLst>
            <a:ext uri="{FF2B5EF4-FFF2-40B4-BE49-F238E27FC236}">
              <a16:creationId xmlns:a16="http://schemas.microsoft.com/office/drawing/2014/main" id="{F294D0BF-37FB-4173-8286-8A0CC7657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5402" name="AutoShape 473">
          <a:extLst>
            <a:ext uri="{FF2B5EF4-FFF2-40B4-BE49-F238E27FC236}">
              <a16:creationId xmlns:a16="http://schemas.microsoft.com/office/drawing/2014/main" id="{FAE0E69E-A3A6-45AC-BA03-1FD45EE47D18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03" name="Picture 5402">
          <a:extLst>
            <a:ext uri="{FF2B5EF4-FFF2-40B4-BE49-F238E27FC236}">
              <a16:creationId xmlns:a16="http://schemas.microsoft.com/office/drawing/2014/main" id="{1F6ADCA1-F77F-47FF-B693-5A7F012A1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24</xdr:row>
      <xdr:rowOff>0</xdr:rowOff>
    </xdr:from>
    <xdr:ext cx="304800" cy="304800"/>
    <xdr:sp macro="" textlink="">
      <xdr:nvSpPr>
        <xdr:cNvPr id="5404" name="AutoShape 475">
          <a:extLst>
            <a:ext uri="{FF2B5EF4-FFF2-40B4-BE49-F238E27FC236}">
              <a16:creationId xmlns:a16="http://schemas.microsoft.com/office/drawing/2014/main" id="{D12B8D4A-B975-4095-B83E-FB2EBC912E0A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26</xdr:row>
      <xdr:rowOff>0</xdr:rowOff>
    </xdr:from>
    <xdr:ext cx="9525" cy="9525"/>
    <xdr:pic>
      <xdr:nvPicPr>
        <xdr:cNvPr id="5405" name="Picture 5404">
          <a:extLst>
            <a:ext uri="{FF2B5EF4-FFF2-40B4-BE49-F238E27FC236}">
              <a16:creationId xmlns:a16="http://schemas.microsoft.com/office/drawing/2014/main" id="{D067AB11-F98B-4230-BBC1-41B5A16F0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25</xdr:row>
      <xdr:rowOff>0</xdr:rowOff>
    </xdr:from>
    <xdr:ext cx="304800" cy="303440"/>
    <xdr:sp macro="" textlink="">
      <xdr:nvSpPr>
        <xdr:cNvPr id="5406" name="AutoShape 477">
          <a:extLst>
            <a:ext uri="{FF2B5EF4-FFF2-40B4-BE49-F238E27FC236}">
              <a16:creationId xmlns:a16="http://schemas.microsoft.com/office/drawing/2014/main" id="{C1B0C861-86B3-411B-98CB-0B9E7FE9177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07" name="Picture 5406">
          <a:extLst>
            <a:ext uri="{FF2B5EF4-FFF2-40B4-BE49-F238E27FC236}">
              <a16:creationId xmlns:a16="http://schemas.microsoft.com/office/drawing/2014/main" id="{7F4291A1-2620-4AAF-B099-081A29180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08" name="Picture 5407">
          <a:extLst>
            <a:ext uri="{FF2B5EF4-FFF2-40B4-BE49-F238E27FC236}">
              <a16:creationId xmlns:a16="http://schemas.microsoft.com/office/drawing/2014/main" id="{0DBF994D-318C-408D-A323-F29B8BB34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09" name="Picture 5408">
          <a:extLst>
            <a:ext uri="{FF2B5EF4-FFF2-40B4-BE49-F238E27FC236}">
              <a16:creationId xmlns:a16="http://schemas.microsoft.com/office/drawing/2014/main" id="{8F3CA1FD-BC5E-4D0B-B14E-F7EDB9C52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10" name="Picture 5409">
          <a:extLst>
            <a:ext uri="{FF2B5EF4-FFF2-40B4-BE49-F238E27FC236}">
              <a16:creationId xmlns:a16="http://schemas.microsoft.com/office/drawing/2014/main" id="{E208680F-39D1-4B56-B9D0-3F519C19D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11" name="Picture 5410">
          <a:extLst>
            <a:ext uri="{FF2B5EF4-FFF2-40B4-BE49-F238E27FC236}">
              <a16:creationId xmlns:a16="http://schemas.microsoft.com/office/drawing/2014/main" id="{4F8CFA5E-B6E8-42F0-9882-AADAF9642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412" name="AutoShape 483">
          <a:extLst>
            <a:ext uri="{FF2B5EF4-FFF2-40B4-BE49-F238E27FC236}">
              <a16:creationId xmlns:a16="http://schemas.microsoft.com/office/drawing/2014/main" id="{5F352088-2834-48B6-B4E7-FB7300F68F41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13" name="Picture 5412">
          <a:extLst>
            <a:ext uri="{FF2B5EF4-FFF2-40B4-BE49-F238E27FC236}">
              <a16:creationId xmlns:a16="http://schemas.microsoft.com/office/drawing/2014/main" id="{25A5EFCA-F88E-4761-846D-F5CC9987C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414" name="AutoShape 485">
          <a:extLst>
            <a:ext uri="{FF2B5EF4-FFF2-40B4-BE49-F238E27FC236}">
              <a16:creationId xmlns:a16="http://schemas.microsoft.com/office/drawing/2014/main" id="{2DD20389-E776-4008-A34C-AC656FED0DB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13</xdr:row>
      <xdr:rowOff>0</xdr:rowOff>
    </xdr:from>
    <xdr:ext cx="9525" cy="9525"/>
    <xdr:pic>
      <xdr:nvPicPr>
        <xdr:cNvPr id="5415" name="Picture 5414">
          <a:extLst>
            <a:ext uri="{FF2B5EF4-FFF2-40B4-BE49-F238E27FC236}">
              <a16:creationId xmlns:a16="http://schemas.microsoft.com/office/drawing/2014/main" id="{ABD2BF83-B7D6-4B48-8E0F-543672AE3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12</xdr:row>
      <xdr:rowOff>0</xdr:rowOff>
    </xdr:from>
    <xdr:ext cx="304800" cy="303439"/>
    <xdr:sp macro="" textlink="">
      <xdr:nvSpPr>
        <xdr:cNvPr id="5416" name="AutoShape 487">
          <a:extLst>
            <a:ext uri="{FF2B5EF4-FFF2-40B4-BE49-F238E27FC236}">
              <a16:creationId xmlns:a16="http://schemas.microsoft.com/office/drawing/2014/main" id="{CC1D73EA-7341-40A3-8DD3-5CFF9D67DFF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17" name="Picture 5416">
          <a:extLst>
            <a:ext uri="{FF2B5EF4-FFF2-40B4-BE49-F238E27FC236}">
              <a16:creationId xmlns:a16="http://schemas.microsoft.com/office/drawing/2014/main" id="{6FDE77C7-CAB5-4062-8EFF-1BC7BB944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18" name="Picture 5417">
          <a:extLst>
            <a:ext uri="{FF2B5EF4-FFF2-40B4-BE49-F238E27FC236}">
              <a16:creationId xmlns:a16="http://schemas.microsoft.com/office/drawing/2014/main" id="{347DFDDA-9E93-40CA-9FAA-2E68E545F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3440"/>
    <xdr:sp macro="" textlink="">
      <xdr:nvSpPr>
        <xdr:cNvPr id="5419" name="AutoShape 491">
          <a:extLst>
            <a:ext uri="{FF2B5EF4-FFF2-40B4-BE49-F238E27FC236}">
              <a16:creationId xmlns:a16="http://schemas.microsoft.com/office/drawing/2014/main" id="{AF6013C9-D592-402B-840B-353797BFF17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27</xdr:row>
      <xdr:rowOff>0</xdr:rowOff>
    </xdr:from>
    <xdr:ext cx="9525" cy="9525"/>
    <xdr:pic>
      <xdr:nvPicPr>
        <xdr:cNvPr id="5420" name="Picture 5419">
          <a:extLst>
            <a:ext uri="{FF2B5EF4-FFF2-40B4-BE49-F238E27FC236}">
              <a16:creationId xmlns:a16="http://schemas.microsoft.com/office/drawing/2014/main" id="{FB25D365-F91B-4130-B27A-FBB4713E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26</xdr:row>
      <xdr:rowOff>0</xdr:rowOff>
    </xdr:from>
    <xdr:ext cx="304800" cy="303439"/>
    <xdr:sp macro="" textlink="">
      <xdr:nvSpPr>
        <xdr:cNvPr id="5421" name="AutoShape 493">
          <a:extLst>
            <a:ext uri="{FF2B5EF4-FFF2-40B4-BE49-F238E27FC236}">
              <a16:creationId xmlns:a16="http://schemas.microsoft.com/office/drawing/2014/main" id="{AE2DFCBF-940E-4BFF-B625-62AE8BDB0A0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22" name="Picture 5421">
          <a:extLst>
            <a:ext uri="{FF2B5EF4-FFF2-40B4-BE49-F238E27FC236}">
              <a16:creationId xmlns:a16="http://schemas.microsoft.com/office/drawing/2014/main" id="{CADD5DFE-A2AB-40F2-9160-81B32EB58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23" name="Picture 5422">
          <a:extLst>
            <a:ext uri="{FF2B5EF4-FFF2-40B4-BE49-F238E27FC236}">
              <a16:creationId xmlns:a16="http://schemas.microsoft.com/office/drawing/2014/main" id="{1EC82A1A-533E-4907-AD91-AB84F011E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</xdr:row>
      <xdr:rowOff>0</xdr:rowOff>
    </xdr:from>
    <xdr:ext cx="9525" cy="9525"/>
    <xdr:pic>
      <xdr:nvPicPr>
        <xdr:cNvPr id="5424" name="Picture 5423">
          <a:extLst>
            <a:ext uri="{FF2B5EF4-FFF2-40B4-BE49-F238E27FC236}">
              <a16:creationId xmlns:a16="http://schemas.microsoft.com/office/drawing/2014/main" id="{62E696B7-2944-44C8-83D6-3E97A70E7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</xdr:row>
      <xdr:rowOff>0</xdr:rowOff>
    </xdr:from>
    <xdr:ext cx="304800" cy="303439"/>
    <xdr:sp macro="" textlink="">
      <xdr:nvSpPr>
        <xdr:cNvPr id="5425" name="AutoShape 497">
          <a:extLst>
            <a:ext uri="{FF2B5EF4-FFF2-40B4-BE49-F238E27FC236}">
              <a16:creationId xmlns:a16="http://schemas.microsoft.com/office/drawing/2014/main" id="{BA6CC48D-B172-4B34-A6E5-C3CA0AF2624F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9525" cy="9525"/>
    <xdr:pic>
      <xdr:nvPicPr>
        <xdr:cNvPr id="5426" name="Picture 5425">
          <a:extLst>
            <a:ext uri="{FF2B5EF4-FFF2-40B4-BE49-F238E27FC236}">
              <a16:creationId xmlns:a16="http://schemas.microsoft.com/office/drawing/2014/main" id="{75A06AC3-4796-4EFE-9012-D4299FDA9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</xdr:row>
      <xdr:rowOff>0</xdr:rowOff>
    </xdr:from>
    <xdr:ext cx="304800" cy="304800"/>
    <xdr:sp macro="" textlink="">
      <xdr:nvSpPr>
        <xdr:cNvPr id="5427" name="AutoShape 499">
          <a:extLst>
            <a:ext uri="{FF2B5EF4-FFF2-40B4-BE49-F238E27FC236}">
              <a16:creationId xmlns:a16="http://schemas.microsoft.com/office/drawing/2014/main" id="{A443DAF4-061A-47B1-93A4-EC1078D76461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9525" cy="9525"/>
    <xdr:pic>
      <xdr:nvPicPr>
        <xdr:cNvPr id="5428" name="Picture 5427">
          <a:extLst>
            <a:ext uri="{FF2B5EF4-FFF2-40B4-BE49-F238E27FC236}">
              <a16:creationId xmlns:a16="http://schemas.microsoft.com/office/drawing/2014/main" id="{C620CE3D-4B2A-4889-B5DD-3DE823EBB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4</xdr:row>
      <xdr:rowOff>0</xdr:rowOff>
    </xdr:from>
    <xdr:ext cx="304800" cy="304800"/>
    <xdr:sp macro="" textlink="">
      <xdr:nvSpPr>
        <xdr:cNvPr id="5429" name="AutoShape 501">
          <a:extLst>
            <a:ext uri="{FF2B5EF4-FFF2-40B4-BE49-F238E27FC236}">
              <a16:creationId xmlns:a16="http://schemas.microsoft.com/office/drawing/2014/main" id="{29B210F5-8546-4DD9-B9EF-4A0EBE32D311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537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6</xdr:row>
      <xdr:rowOff>0</xdr:rowOff>
    </xdr:from>
    <xdr:ext cx="9525" cy="9525"/>
    <xdr:pic>
      <xdr:nvPicPr>
        <xdr:cNvPr id="5430" name="Picture 5429">
          <a:extLst>
            <a:ext uri="{FF2B5EF4-FFF2-40B4-BE49-F238E27FC236}">
              <a16:creationId xmlns:a16="http://schemas.microsoft.com/office/drawing/2014/main" id="{BA3C78B7-EACE-4F35-B3AF-7FDAA429C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5431" name="AutoShape 503">
          <a:extLst>
            <a:ext uri="{FF2B5EF4-FFF2-40B4-BE49-F238E27FC236}">
              <a16:creationId xmlns:a16="http://schemas.microsoft.com/office/drawing/2014/main" id="{58688506-1054-4004-9617-B149A7BF80D1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32" name="Picture 5431">
          <a:extLst>
            <a:ext uri="{FF2B5EF4-FFF2-40B4-BE49-F238E27FC236}">
              <a16:creationId xmlns:a16="http://schemas.microsoft.com/office/drawing/2014/main" id="{7707F3AF-F37C-46D9-8A06-C239D2393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6</xdr:row>
      <xdr:rowOff>0</xdr:rowOff>
    </xdr:from>
    <xdr:ext cx="304800" cy="304800"/>
    <xdr:sp macro="" textlink="">
      <xdr:nvSpPr>
        <xdr:cNvPr id="5433" name="AutoShape 505">
          <a:extLst>
            <a:ext uri="{FF2B5EF4-FFF2-40B4-BE49-F238E27FC236}">
              <a16:creationId xmlns:a16="http://schemas.microsoft.com/office/drawing/2014/main" id="{FE5D69DA-EF4C-4486-94A7-1B310C2233EF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26</xdr:row>
      <xdr:rowOff>0</xdr:rowOff>
    </xdr:from>
    <xdr:ext cx="9525" cy="9525"/>
    <xdr:pic>
      <xdr:nvPicPr>
        <xdr:cNvPr id="5434" name="Picture 5433">
          <a:extLst>
            <a:ext uri="{FF2B5EF4-FFF2-40B4-BE49-F238E27FC236}">
              <a16:creationId xmlns:a16="http://schemas.microsoft.com/office/drawing/2014/main" id="{4A05D8F4-0CC6-44CF-9840-1BEC9C44D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25</xdr:row>
      <xdr:rowOff>0</xdr:rowOff>
    </xdr:from>
    <xdr:ext cx="304800" cy="303439"/>
    <xdr:sp macro="" textlink="">
      <xdr:nvSpPr>
        <xdr:cNvPr id="5435" name="AutoShape 507">
          <a:extLst>
            <a:ext uri="{FF2B5EF4-FFF2-40B4-BE49-F238E27FC236}">
              <a16:creationId xmlns:a16="http://schemas.microsoft.com/office/drawing/2014/main" id="{52764175-2342-4BC7-A7CD-3B7D03F8A053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06878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36" name="Picture 5435">
          <a:extLst>
            <a:ext uri="{FF2B5EF4-FFF2-40B4-BE49-F238E27FC236}">
              <a16:creationId xmlns:a16="http://schemas.microsoft.com/office/drawing/2014/main" id="{5F5C9C9D-50BB-454D-B5E3-7D37283AE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26</xdr:row>
      <xdr:rowOff>0</xdr:rowOff>
    </xdr:from>
    <xdr:ext cx="304800" cy="304800"/>
    <xdr:sp macro="" textlink="">
      <xdr:nvSpPr>
        <xdr:cNvPr id="5437" name="AutoShape 509">
          <a:extLst>
            <a:ext uri="{FF2B5EF4-FFF2-40B4-BE49-F238E27FC236}">
              <a16:creationId xmlns:a16="http://schemas.microsoft.com/office/drawing/2014/main" id="{A3F191D4-0ADF-410E-95B7-C1360A4E785F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38" name="Picture 5437">
          <a:extLst>
            <a:ext uri="{FF2B5EF4-FFF2-40B4-BE49-F238E27FC236}">
              <a16:creationId xmlns:a16="http://schemas.microsoft.com/office/drawing/2014/main" id="{B6FF4980-D15C-4D51-8C31-D131628BF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439" name="AutoShape 511">
          <a:extLst>
            <a:ext uri="{FF2B5EF4-FFF2-40B4-BE49-F238E27FC236}">
              <a16:creationId xmlns:a16="http://schemas.microsoft.com/office/drawing/2014/main" id="{EE80565E-E216-4F77-B05C-2F1E59CF7014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40" name="Picture 5439">
          <a:extLst>
            <a:ext uri="{FF2B5EF4-FFF2-40B4-BE49-F238E27FC236}">
              <a16:creationId xmlns:a16="http://schemas.microsoft.com/office/drawing/2014/main" id="{3F37C2CE-F4EE-4202-B82B-03E2E63B7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3439"/>
    <xdr:sp macro="" textlink="">
      <xdr:nvSpPr>
        <xdr:cNvPr id="5441" name="AutoShape 513">
          <a:extLst>
            <a:ext uri="{FF2B5EF4-FFF2-40B4-BE49-F238E27FC236}">
              <a16:creationId xmlns:a16="http://schemas.microsoft.com/office/drawing/2014/main" id="{330751A8-C45C-46A8-BA44-88B11BF95459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42" name="Picture 5441">
          <a:extLst>
            <a:ext uri="{FF2B5EF4-FFF2-40B4-BE49-F238E27FC236}">
              <a16:creationId xmlns:a16="http://schemas.microsoft.com/office/drawing/2014/main" id="{153F37C2-6982-4416-BB52-E15FAC9E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443" name="AutoShape 515">
          <a:extLst>
            <a:ext uri="{FF2B5EF4-FFF2-40B4-BE49-F238E27FC236}">
              <a16:creationId xmlns:a16="http://schemas.microsoft.com/office/drawing/2014/main" id="{8A2C1554-0205-492F-AE83-147C3DA4E95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44" name="Picture 5443">
          <a:extLst>
            <a:ext uri="{FF2B5EF4-FFF2-40B4-BE49-F238E27FC236}">
              <a16:creationId xmlns:a16="http://schemas.microsoft.com/office/drawing/2014/main" id="{E7EFE180-EFAA-4B3F-9514-1B30D201D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445" name="AutoShape 517">
          <a:extLst>
            <a:ext uri="{FF2B5EF4-FFF2-40B4-BE49-F238E27FC236}">
              <a16:creationId xmlns:a16="http://schemas.microsoft.com/office/drawing/2014/main" id="{364F1CA9-B428-4BB3-95DE-137A35549213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46" name="Picture 5445">
          <a:extLst>
            <a:ext uri="{FF2B5EF4-FFF2-40B4-BE49-F238E27FC236}">
              <a16:creationId xmlns:a16="http://schemas.microsoft.com/office/drawing/2014/main" id="{65FEEBB0-4D9A-49CC-8352-77378E68B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447" name="AutoShape 519">
          <a:extLst>
            <a:ext uri="{FF2B5EF4-FFF2-40B4-BE49-F238E27FC236}">
              <a16:creationId xmlns:a16="http://schemas.microsoft.com/office/drawing/2014/main" id="{B9BF5F1B-C6A0-4A03-BE3F-520AD09F9F30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48" name="Picture 5447">
          <a:extLst>
            <a:ext uri="{FF2B5EF4-FFF2-40B4-BE49-F238E27FC236}">
              <a16:creationId xmlns:a16="http://schemas.microsoft.com/office/drawing/2014/main" id="{4FA57066-F698-4EDC-BD15-86223A86C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49" name="Picture 5448">
          <a:extLst>
            <a:ext uri="{FF2B5EF4-FFF2-40B4-BE49-F238E27FC236}">
              <a16:creationId xmlns:a16="http://schemas.microsoft.com/office/drawing/2014/main" id="{CD5CFB81-8823-49C3-B2DF-DB50DECDC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3440"/>
    <xdr:sp macro="" textlink="">
      <xdr:nvSpPr>
        <xdr:cNvPr id="5450" name="AutoShape 525">
          <a:extLst>
            <a:ext uri="{FF2B5EF4-FFF2-40B4-BE49-F238E27FC236}">
              <a16:creationId xmlns:a16="http://schemas.microsoft.com/office/drawing/2014/main" id="{80A71D07-449E-438B-978A-6021DE41F20A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27</xdr:row>
      <xdr:rowOff>0</xdr:rowOff>
    </xdr:from>
    <xdr:ext cx="9525" cy="9525"/>
    <xdr:pic>
      <xdr:nvPicPr>
        <xdr:cNvPr id="5451" name="Picture 5450">
          <a:extLst>
            <a:ext uri="{FF2B5EF4-FFF2-40B4-BE49-F238E27FC236}">
              <a16:creationId xmlns:a16="http://schemas.microsoft.com/office/drawing/2014/main" id="{7D1383F1-E7CA-4B7E-918F-38754EB43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26</xdr:row>
      <xdr:rowOff>0</xdr:rowOff>
    </xdr:from>
    <xdr:ext cx="304800" cy="303439"/>
    <xdr:sp macro="" textlink="">
      <xdr:nvSpPr>
        <xdr:cNvPr id="5452" name="AutoShape 527">
          <a:extLst>
            <a:ext uri="{FF2B5EF4-FFF2-40B4-BE49-F238E27FC236}">
              <a16:creationId xmlns:a16="http://schemas.microsoft.com/office/drawing/2014/main" id="{7D15C22D-0729-4FE5-8644-ED3DF20AF08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53" name="Picture 5452">
          <a:extLst>
            <a:ext uri="{FF2B5EF4-FFF2-40B4-BE49-F238E27FC236}">
              <a16:creationId xmlns:a16="http://schemas.microsoft.com/office/drawing/2014/main" id="{A34AF8FC-6C97-41AA-92DD-89FEC769E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27</xdr:row>
      <xdr:rowOff>0</xdr:rowOff>
    </xdr:from>
    <xdr:ext cx="304800" cy="303439"/>
    <xdr:sp macro="" textlink="">
      <xdr:nvSpPr>
        <xdr:cNvPr id="5454" name="AutoShape 529">
          <a:extLst>
            <a:ext uri="{FF2B5EF4-FFF2-40B4-BE49-F238E27FC236}">
              <a16:creationId xmlns:a16="http://schemas.microsoft.com/office/drawing/2014/main" id="{051CCE81-1FAB-416E-9A67-6ED1552FA9C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477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455" name="Picture 5454">
          <a:extLst>
            <a:ext uri="{FF2B5EF4-FFF2-40B4-BE49-F238E27FC236}">
              <a16:creationId xmlns:a16="http://schemas.microsoft.com/office/drawing/2014/main" id="{B83E289F-31F6-4268-AC36-BAF8F1E27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3439"/>
    <xdr:sp macro="" textlink="">
      <xdr:nvSpPr>
        <xdr:cNvPr id="5456" name="AutoShape 531">
          <a:extLst>
            <a:ext uri="{FF2B5EF4-FFF2-40B4-BE49-F238E27FC236}">
              <a16:creationId xmlns:a16="http://schemas.microsoft.com/office/drawing/2014/main" id="{CC512642-C91A-4AA9-9AAC-D74281E8CE0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7</xdr:row>
      <xdr:rowOff>0</xdr:rowOff>
    </xdr:from>
    <xdr:ext cx="9525" cy="9525"/>
    <xdr:pic>
      <xdr:nvPicPr>
        <xdr:cNvPr id="5457" name="Picture 5456">
          <a:extLst>
            <a:ext uri="{FF2B5EF4-FFF2-40B4-BE49-F238E27FC236}">
              <a16:creationId xmlns:a16="http://schemas.microsoft.com/office/drawing/2014/main" id="{41A0B500-A898-44E3-B221-157EC9902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7</xdr:row>
      <xdr:rowOff>0</xdr:rowOff>
    </xdr:from>
    <xdr:ext cx="9525" cy="9525"/>
    <xdr:pic>
      <xdr:nvPicPr>
        <xdr:cNvPr id="5458" name="Picture 5457">
          <a:extLst>
            <a:ext uri="{FF2B5EF4-FFF2-40B4-BE49-F238E27FC236}">
              <a16:creationId xmlns:a16="http://schemas.microsoft.com/office/drawing/2014/main" id="{7149A413-BC48-4C70-85A4-2D59E722F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7</xdr:row>
      <xdr:rowOff>0</xdr:rowOff>
    </xdr:from>
    <xdr:ext cx="304800" cy="304800"/>
    <xdr:sp macro="" textlink="">
      <xdr:nvSpPr>
        <xdr:cNvPr id="5459" name="AutoShape 183">
          <a:extLst>
            <a:ext uri="{FF2B5EF4-FFF2-40B4-BE49-F238E27FC236}">
              <a16:creationId xmlns:a16="http://schemas.microsoft.com/office/drawing/2014/main" id="{D192E5CD-6BBF-4810-9596-425789154CA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7</xdr:row>
      <xdr:rowOff>0</xdr:rowOff>
    </xdr:from>
    <xdr:ext cx="9525" cy="9525"/>
    <xdr:pic>
      <xdr:nvPicPr>
        <xdr:cNvPr id="5460" name="Picture 5459">
          <a:extLst>
            <a:ext uri="{FF2B5EF4-FFF2-40B4-BE49-F238E27FC236}">
              <a16:creationId xmlns:a16="http://schemas.microsoft.com/office/drawing/2014/main" id="{BF50571B-5154-4DCB-A3F8-126754D35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7</xdr:row>
      <xdr:rowOff>0</xdr:rowOff>
    </xdr:from>
    <xdr:ext cx="304800" cy="304800"/>
    <xdr:sp macro="" textlink="">
      <xdr:nvSpPr>
        <xdr:cNvPr id="5461" name="AutoShape 209">
          <a:extLst>
            <a:ext uri="{FF2B5EF4-FFF2-40B4-BE49-F238E27FC236}">
              <a16:creationId xmlns:a16="http://schemas.microsoft.com/office/drawing/2014/main" id="{84274154-1E44-46C8-A7C0-3915E4CC2E38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7</xdr:row>
      <xdr:rowOff>0</xdr:rowOff>
    </xdr:from>
    <xdr:ext cx="9525" cy="9525"/>
    <xdr:pic>
      <xdr:nvPicPr>
        <xdr:cNvPr id="5462" name="Picture 5461">
          <a:extLst>
            <a:ext uri="{FF2B5EF4-FFF2-40B4-BE49-F238E27FC236}">
              <a16:creationId xmlns:a16="http://schemas.microsoft.com/office/drawing/2014/main" id="{AFF578EA-23B2-47FB-AE5C-77F4037FE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7</xdr:row>
      <xdr:rowOff>0</xdr:rowOff>
    </xdr:from>
    <xdr:ext cx="304800" cy="304800"/>
    <xdr:sp macro="" textlink="">
      <xdr:nvSpPr>
        <xdr:cNvPr id="5463" name="AutoShape 233">
          <a:extLst>
            <a:ext uri="{FF2B5EF4-FFF2-40B4-BE49-F238E27FC236}">
              <a16:creationId xmlns:a16="http://schemas.microsoft.com/office/drawing/2014/main" id="{0A85F3DC-4943-4FAB-BBD4-32FFFBD02AF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7</xdr:row>
      <xdr:rowOff>0</xdr:rowOff>
    </xdr:from>
    <xdr:ext cx="9525" cy="9525"/>
    <xdr:pic>
      <xdr:nvPicPr>
        <xdr:cNvPr id="5464" name="Picture 5463">
          <a:extLst>
            <a:ext uri="{FF2B5EF4-FFF2-40B4-BE49-F238E27FC236}">
              <a16:creationId xmlns:a16="http://schemas.microsoft.com/office/drawing/2014/main" id="{9CE3A6AC-D080-4D50-B369-87BA43B58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7</xdr:row>
      <xdr:rowOff>0</xdr:rowOff>
    </xdr:from>
    <xdr:ext cx="304800" cy="304800"/>
    <xdr:sp macro="" textlink="">
      <xdr:nvSpPr>
        <xdr:cNvPr id="5465" name="AutoShape 259">
          <a:extLst>
            <a:ext uri="{FF2B5EF4-FFF2-40B4-BE49-F238E27FC236}">
              <a16:creationId xmlns:a16="http://schemas.microsoft.com/office/drawing/2014/main" id="{50930436-9F06-484F-9A16-1354EA3B186B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7</xdr:row>
      <xdr:rowOff>0</xdr:rowOff>
    </xdr:from>
    <xdr:ext cx="9525" cy="9525"/>
    <xdr:pic>
      <xdr:nvPicPr>
        <xdr:cNvPr id="5466" name="Picture 5465">
          <a:extLst>
            <a:ext uri="{FF2B5EF4-FFF2-40B4-BE49-F238E27FC236}">
              <a16:creationId xmlns:a16="http://schemas.microsoft.com/office/drawing/2014/main" id="{A20CA519-B4E4-4E7F-A65A-F08D3104A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7</xdr:row>
      <xdr:rowOff>0</xdr:rowOff>
    </xdr:from>
    <xdr:ext cx="304800" cy="304800"/>
    <xdr:sp macro="" textlink="">
      <xdr:nvSpPr>
        <xdr:cNvPr id="5467" name="AutoShape 311">
          <a:extLst>
            <a:ext uri="{FF2B5EF4-FFF2-40B4-BE49-F238E27FC236}">
              <a16:creationId xmlns:a16="http://schemas.microsoft.com/office/drawing/2014/main" id="{90BBB29C-72A3-4DE5-BA50-EC6713A18B6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7</xdr:row>
      <xdr:rowOff>0</xdr:rowOff>
    </xdr:from>
    <xdr:ext cx="9525" cy="9525"/>
    <xdr:pic>
      <xdr:nvPicPr>
        <xdr:cNvPr id="5468" name="Picture 5467">
          <a:extLst>
            <a:ext uri="{FF2B5EF4-FFF2-40B4-BE49-F238E27FC236}">
              <a16:creationId xmlns:a16="http://schemas.microsoft.com/office/drawing/2014/main" id="{440C781F-D646-4F27-A85A-73620D862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7</xdr:row>
      <xdr:rowOff>0</xdr:rowOff>
    </xdr:from>
    <xdr:ext cx="304800" cy="304800"/>
    <xdr:sp macro="" textlink="">
      <xdr:nvSpPr>
        <xdr:cNvPr id="5469" name="AutoShape 363">
          <a:extLst>
            <a:ext uri="{FF2B5EF4-FFF2-40B4-BE49-F238E27FC236}">
              <a16:creationId xmlns:a16="http://schemas.microsoft.com/office/drawing/2014/main" id="{A771A6A6-A171-4BF1-9BE2-A0E4891661C1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7</xdr:row>
      <xdr:rowOff>0</xdr:rowOff>
    </xdr:from>
    <xdr:ext cx="9525" cy="9525"/>
    <xdr:pic>
      <xdr:nvPicPr>
        <xdr:cNvPr id="5470" name="Picture 5469">
          <a:extLst>
            <a:ext uri="{FF2B5EF4-FFF2-40B4-BE49-F238E27FC236}">
              <a16:creationId xmlns:a16="http://schemas.microsoft.com/office/drawing/2014/main" id="{C9AB4364-E3E5-445B-8D47-D1A846A02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7</xdr:row>
      <xdr:rowOff>0</xdr:rowOff>
    </xdr:from>
    <xdr:ext cx="304800" cy="304800"/>
    <xdr:sp macro="" textlink="">
      <xdr:nvSpPr>
        <xdr:cNvPr id="5471" name="AutoShape 419">
          <a:extLst>
            <a:ext uri="{FF2B5EF4-FFF2-40B4-BE49-F238E27FC236}">
              <a16:creationId xmlns:a16="http://schemas.microsoft.com/office/drawing/2014/main" id="{D6733588-2067-4E16-8F6B-78E50853DC00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7</xdr:row>
      <xdr:rowOff>0</xdr:rowOff>
    </xdr:from>
    <xdr:ext cx="9525" cy="9525"/>
    <xdr:pic>
      <xdr:nvPicPr>
        <xdr:cNvPr id="5472" name="Picture 5471">
          <a:extLst>
            <a:ext uri="{FF2B5EF4-FFF2-40B4-BE49-F238E27FC236}">
              <a16:creationId xmlns:a16="http://schemas.microsoft.com/office/drawing/2014/main" id="{03D3B133-D980-44F9-A238-792F156E0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7</xdr:row>
      <xdr:rowOff>0</xdr:rowOff>
    </xdr:from>
    <xdr:ext cx="304800" cy="304800"/>
    <xdr:sp macro="" textlink="">
      <xdr:nvSpPr>
        <xdr:cNvPr id="5473" name="AutoShape 475">
          <a:extLst>
            <a:ext uri="{FF2B5EF4-FFF2-40B4-BE49-F238E27FC236}">
              <a16:creationId xmlns:a16="http://schemas.microsoft.com/office/drawing/2014/main" id="{850B9481-DAEE-41C5-89E4-DEB2152FBDCF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7</xdr:row>
      <xdr:rowOff>0</xdr:rowOff>
    </xdr:from>
    <xdr:ext cx="9525" cy="9525"/>
    <xdr:pic>
      <xdr:nvPicPr>
        <xdr:cNvPr id="5474" name="Picture 5473">
          <a:extLst>
            <a:ext uri="{FF2B5EF4-FFF2-40B4-BE49-F238E27FC236}">
              <a16:creationId xmlns:a16="http://schemas.microsoft.com/office/drawing/2014/main" id="{6D55C365-1E6C-4C33-A0B4-B7612D457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9525" cy="9525"/>
    <xdr:pic>
      <xdr:nvPicPr>
        <xdr:cNvPr id="5475" name="Picture 5474">
          <a:extLst>
            <a:ext uri="{FF2B5EF4-FFF2-40B4-BE49-F238E27FC236}">
              <a16:creationId xmlns:a16="http://schemas.microsoft.com/office/drawing/2014/main" id="{68C3EBB8-91B3-4D72-8F14-F5388DBC2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9525" cy="9525"/>
    <xdr:pic>
      <xdr:nvPicPr>
        <xdr:cNvPr id="5476" name="Picture 5475">
          <a:extLst>
            <a:ext uri="{FF2B5EF4-FFF2-40B4-BE49-F238E27FC236}">
              <a16:creationId xmlns:a16="http://schemas.microsoft.com/office/drawing/2014/main" id="{BE0BED62-FFA3-493A-BDFB-38DB6DFC1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4800"/>
    <xdr:sp macro="" textlink="">
      <xdr:nvSpPr>
        <xdr:cNvPr id="5477" name="AutoShape 183">
          <a:extLst>
            <a:ext uri="{FF2B5EF4-FFF2-40B4-BE49-F238E27FC236}">
              <a16:creationId xmlns:a16="http://schemas.microsoft.com/office/drawing/2014/main" id="{E8D696A9-CB55-4FF9-9DE1-0E95B606234F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15</xdr:row>
      <xdr:rowOff>0</xdr:rowOff>
    </xdr:from>
    <xdr:ext cx="9525" cy="9525"/>
    <xdr:pic>
      <xdr:nvPicPr>
        <xdr:cNvPr id="5478" name="Picture 5477">
          <a:extLst>
            <a:ext uri="{FF2B5EF4-FFF2-40B4-BE49-F238E27FC236}">
              <a16:creationId xmlns:a16="http://schemas.microsoft.com/office/drawing/2014/main" id="{C5CB8385-8C66-4F76-92E6-C87F07896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4800"/>
    <xdr:sp macro="" textlink="">
      <xdr:nvSpPr>
        <xdr:cNvPr id="5479" name="AutoShape 209">
          <a:extLst>
            <a:ext uri="{FF2B5EF4-FFF2-40B4-BE49-F238E27FC236}">
              <a16:creationId xmlns:a16="http://schemas.microsoft.com/office/drawing/2014/main" id="{D804EECB-E1D2-4F9D-9605-1F7777EEC11A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15</xdr:row>
      <xdr:rowOff>0</xdr:rowOff>
    </xdr:from>
    <xdr:ext cx="9525" cy="9525"/>
    <xdr:pic>
      <xdr:nvPicPr>
        <xdr:cNvPr id="5480" name="Picture 5479">
          <a:extLst>
            <a:ext uri="{FF2B5EF4-FFF2-40B4-BE49-F238E27FC236}">
              <a16:creationId xmlns:a16="http://schemas.microsoft.com/office/drawing/2014/main" id="{B9F3261A-D10F-4846-A68C-1DB06804E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4800"/>
    <xdr:sp macro="" textlink="">
      <xdr:nvSpPr>
        <xdr:cNvPr id="5481" name="AutoShape 233">
          <a:extLst>
            <a:ext uri="{FF2B5EF4-FFF2-40B4-BE49-F238E27FC236}">
              <a16:creationId xmlns:a16="http://schemas.microsoft.com/office/drawing/2014/main" id="{191A4355-075F-4A1D-B321-C068946152AA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15</xdr:row>
      <xdr:rowOff>0</xdr:rowOff>
    </xdr:from>
    <xdr:ext cx="9525" cy="9525"/>
    <xdr:pic>
      <xdr:nvPicPr>
        <xdr:cNvPr id="5482" name="Picture 5481">
          <a:extLst>
            <a:ext uri="{FF2B5EF4-FFF2-40B4-BE49-F238E27FC236}">
              <a16:creationId xmlns:a16="http://schemas.microsoft.com/office/drawing/2014/main" id="{6309889E-EA73-46EE-A008-6AF448B83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4800"/>
    <xdr:sp macro="" textlink="">
      <xdr:nvSpPr>
        <xdr:cNvPr id="5483" name="AutoShape 259">
          <a:extLst>
            <a:ext uri="{FF2B5EF4-FFF2-40B4-BE49-F238E27FC236}">
              <a16:creationId xmlns:a16="http://schemas.microsoft.com/office/drawing/2014/main" id="{F103703F-557E-4602-836B-2186A359916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15</xdr:row>
      <xdr:rowOff>0</xdr:rowOff>
    </xdr:from>
    <xdr:ext cx="9525" cy="9525"/>
    <xdr:pic>
      <xdr:nvPicPr>
        <xdr:cNvPr id="5484" name="Picture 5483">
          <a:extLst>
            <a:ext uri="{FF2B5EF4-FFF2-40B4-BE49-F238E27FC236}">
              <a16:creationId xmlns:a16="http://schemas.microsoft.com/office/drawing/2014/main" id="{0EE5F26D-EE3B-4C4D-8A77-6CD5AF14D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4800"/>
    <xdr:sp macro="" textlink="">
      <xdr:nvSpPr>
        <xdr:cNvPr id="5485" name="AutoShape 311">
          <a:extLst>
            <a:ext uri="{FF2B5EF4-FFF2-40B4-BE49-F238E27FC236}">
              <a16:creationId xmlns:a16="http://schemas.microsoft.com/office/drawing/2014/main" id="{3F9836EF-F36C-4783-AC97-388B7E2C0AC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15</xdr:row>
      <xdr:rowOff>0</xdr:rowOff>
    </xdr:from>
    <xdr:ext cx="9525" cy="9525"/>
    <xdr:pic>
      <xdr:nvPicPr>
        <xdr:cNvPr id="5486" name="Picture 5485">
          <a:extLst>
            <a:ext uri="{FF2B5EF4-FFF2-40B4-BE49-F238E27FC236}">
              <a16:creationId xmlns:a16="http://schemas.microsoft.com/office/drawing/2014/main" id="{CF9DC4CB-39D5-4A13-9AB6-A83E080A2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4800"/>
    <xdr:sp macro="" textlink="">
      <xdr:nvSpPr>
        <xdr:cNvPr id="5487" name="AutoShape 363">
          <a:extLst>
            <a:ext uri="{FF2B5EF4-FFF2-40B4-BE49-F238E27FC236}">
              <a16:creationId xmlns:a16="http://schemas.microsoft.com/office/drawing/2014/main" id="{E05F9F96-6D06-4CF9-B1E2-73C473CECF7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15</xdr:row>
      <xdr:rowOff>0</xdr:rowOff>
    </xdr:from>
    <xdr:ext cx="9525" cy="9525"/>
    <xdr:pic>
      <xdr:nvPicPr>
        <xdr:cNvPr id="5488" name="Picture 5487">
          <a:extLst>
            <a:ext uri="{FF2B5EF4-FFF2-40B4-BE49-F238E27FC236}">
              <a16:creationId xmlns:a16="http://schemas.microsoft.com/office/drawing/2014/main" id="{797C57CC-F0F4-4022-8005-D978FDACF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4800"/>
    <xdr:sp macro="" textlink="">
      <xdr:nvSpPr>
        <xdr:cNvPr id="5489" name="AutoShape 419">
          <a:extLst>
            <a:ext uri="{FF2B5EF4-FFF2-40B4-BE49-F238E27FC236}">
              <a16:creationId xmlns:a16="http://schemas.microsoft.com/office/drawing/2014/main" id="{E1CC784D-2C0C-4CB5-BAF0-121842982BB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15</xdr:row>
      <xdr:rowOff>0</xdr:rowOff>
    </xdr:from>
    <xdr:ext cx="9525" cy="9525"/>
    <xdr:pic>
      <xdr:nvPicPr>
        <xdr:cNvPr id="5490" name="Picture 5489">
          <a:extLst>
            <a:ext uri="{FF2B5EF4-FFF2-40B4-BE49-F238E27FC236}">
              <a16:creationId xmlns:a16="http://schemas.microsoft.com/office/drawing/2014/main" id="{818486F6-EF78-458A-A5F6-CC829A87A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4800"/>
    <xdr:sp macro="" textlink="">
      <xdr:nvSpPr>
        <xdr:cNvPr id="5491" name="AutoShape 475">
          <a:extLst>
            <a:ext uri="{FF2B5EF4-FFF2-40B4-BE49-F238E27FC236}">
              <a16:creationId xmlns:a16="http://schemas.microsoft.com/office/drawing/2014/main" id="{A1B746E3-63E4-49AA-8B0B-40EB66E276B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15</xdr:row>
      <xdr:rowOff>0</xdr:rowOff>
    </xdr:from>
    <xdr:ext cx="9525" cy="9525"/>
    <xdr:pic>
      <xdr:nvPicPr>
        <xdr:cNvPr id="5492" name="Picture 5491">
          <a:extLst>
            <a:ext uri="{FF2B5EF4-FFF2-40B4-BE49-F238E27FC236}">
              <a16:creationId xmlns:a16="http://schemas.microsoft.com/office/drawing/2014/main" id="{FB3F31DD-BF21-4B28-BBC2-417476609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21</xdr:row>
      <xdr:rowOff>0</xdr:rowOff>
    </xdr:from>
    <xdr:ext cx="304800" cy="304800"/>
    <xdr:sp macro="" textlink="">
      <xdr:nvSpPr>
        <xdr:cNvPr id="5493" name="AutoShape 154">
          <a:extLst>
            <a:ext uri="{FF2B5EF4-FFF2-40B4-BE49-F238E27FC236}">
              <a16:creationId xmlns:a16="http://schemas.microsoft.com/office/drawing/2014/main" id="{1A6F61CC-1A8F-42C0-B8E5-B44BAAA19729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21</xdr:row>
      <xdr:rowOff>0</xdr:rowOff>
    </xdr:from>
    <xdr:ext cx="304800" cy="304800"/>
    <xdr:sp macro="" textlink="">
      <xdr:nvSpPr>
        <xdr:cNvPr id="5494" name="AutoShape 505">
          <a:extLst>
            <a:ext uri="{FF2B5EF4-FFF2-40B4-BE49-F238E27FC236}">
              <a16:creationId xmlns:a16="http://schemas.microsoft.com/office/drawing/2014/main" id="{E767F776-45BE-4F9C-A858-0B070C70C028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21</xdr:row>
      <xdr:rowOff>0</xdr:rowOff>
    </xdr:from>
    <xdr:ext cx="9525" cy="9525"/>
    <xdr:pic>
      <xdr:nvPicPr>
        <xdr:cNvPr id="5495" name="Picture 5494">
          <a:extLst>
            <a:ext uri="{FF2B5EF4-FFF2-40B4-BE49-F238E27FC236}">
              <a16:creationId xmlns:a16="http://schemas.microsoft.com/office/drawing/2014/main" id="{2C27F389-32BF-47EC-8EAA-68A71D19B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21</xdr:row>
      <xdr:rowOff>0</xdr:rowOff>
    </xdr:from>
    <xdr:ext cx="9525" cy="9525"/>
    <xdr:pic>
      <xdr:nvPicPr>
        <xdr:cNvPr id="5496" name="Picture 5495">
          <a:extLst>
            <a:ext uri="{FF2B5EF4-FFF2-40B4-BE49-F238E27FC236}">
              <a16:creationId xmlns:a16="http://schemas.microsoft.com/office/drawing/2014/main" id="{8F7B101B-F8A8-46DA-A08B-7C93C4A9C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21</xdr:row>
      <xdr:rowOff>0</xdr:rowOff>
    </xdr:from>
    <xdr:ext cx="304800" cy="304800"/>
    <xdr:sp macro="" textlink="">
      <xdr:nvSpPr>
        <xdr:cNvPr id="5497" name="AutoShape 183">
          <a:extLst>
            <a:ext uri="{FF2B5EF4-FFF2-40B4-BE49-F238E27FC236}">
              <a16:creationId xmlns:a16="http://schemas.microsoft.com/office/drawing/2014/main" id="{68239E03-97AF-425F-9209-09E6B2E0C74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21</xdr:row>
      <xdr:rowOff>0</xdr:rowOff>
    </xdr:from>
    <xdr:ext cx="9525" cy="9525"/>
    <xdr:pic>
      <xdr:nvPicPr>
        <xdr:cNvPr id="5498" name="Picture 5497">
          <a:extLst>
            <a:ext uri="{FF2B5EF4-FFF2-40B4-BE49-F238E27FC236}">
              <a16:creationId xmlns:a16="http://schemas.microsoft.com/office/drawing/2014/main" id="{B134713F-6512-4AEB-A31E-3380E5DA6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21</xdr:row>
      <xdr:rowOff>0</xdr:rowOff>
    </xdr:from>
    <xdr:ext cx="304800" cy="304800"/>
    <xdr:sp macro="" textlink="">
      <xdr:nvSpPr>
        <xdr:cNvPr id="5499" name="AutoShape 209">
          <a:extLst>
            <a:ext uri="{FF2B5EF4-FFF2-40B4-BE49-F238E27FC236}">
              <a16:creationId xmlns:a16="http://schemas.microsoft.com/office/drawing/2014/main" id="{BFDFD045-C109-496B-91F8-785FC888D290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21</xdr:row>
      <xdr:rowOff>0</xdr:rowOff>
    </xdr:from>
    <xdr:ext cx="9525" cy="9525"/>
    <xdr:pic>
      <xdr:nvPicPr>
        <xdr:cNvPr id="5500" name="Picture 5499">
          <a:extLst>
            <a:ext uri="{FF2B5EF4-FFF2-40B4-BE49-F238E27FC236}">
              <a16:creationId xmlns:a16="http://schemas.microsoft.com/office/drawing/2014/main" id="{0846D6B8-FFFB-4C24-BB25-F622C9021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21</xdr:row>
      <xdr:rowOff>0</xdr:rowOff>
    </xdr:from>
    <xdr:ext cx="304800" cy="304800"/>
    <xdr:sp macro="" textlink="">
      <xdr:nvSpPr>
        <xdr:cNvPr id="5501" name="AutoShape 233">
          <a:extLst>
            <a:ext uri="{FF2B5EF4-FFF2-40B4-BE49-F238E27FC236}">
              <a16:creationId xmlns:a16="http://schemas.microsoft.com/office/drawing/2014/main" id="{6CA3B2ED-FF62-4BE5-AACF-8814B3489518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21</xdr:row>
      <xdr:rowOff>0</xdr:rowOff>
    </xdr:from>
    <xdr:ext cx="9525" cy="9525"/>
    <xdr:pic>
      <xdr:nvPicPr>
        <xdr:cNvPr id="5502" name="Picture 5501">
          <a:extLst>
            <a:ext uri="{FF2B5EF4-FFF2-40B4-BE49-F238E27FC236}">
              <a16:creationId xmlns:a16="http://schemas.microsoft.com/office/drawing/2014/main" id="{2DFB4B84-9E74-462E-B59D-FCF2430F5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21</xdr:row>
      <xdr:rowOff>0</xdr:rowOff>
    </xdr:from>
    <xdr:ext cx="304800" cy="304800"/>
    <xdr:sp macro="" textlink="">
      <xdr:nvSpPr>
        <xdr:cNvPr id="5503" name="AutoShape 259">
          <a:extLst>
            <a:ext uri="{FF2B5EF4-FFF2-40B4-BE49-F238E27FC236}">
              <a16:creationId xmlns:a16="http://schemas.microsoft.com/office/drawing/2014/main" id="{59748E39-517A-4D13-B68A-A595F7AF2279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21</xdr:row>
      <xdr:rowOff>0</xdr:rowOff>
    </xdr:from>
    <xdr:ext cx="9525" cy="9525"/>
    <xdr:pic>
      <xdr:nvPicPr>
        <xdr:cNvPr id="5504" name="Picture 5503">
          <a:extLst>
            <a:ext uri="{FF2B5EF4-FFF2-40B4-BE49-F238E27FC236}">
              <a16:creationId xmlns:a16="http://schemas.microsoft.com/office/drawing/2014/main" id="{CDC9B362-BA2D-42FE-A11E-CC1E730CD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21</xdr:row>
      <xdr:rowOff>0</xdr:rowOff>
    </xdr:from>
    <xdr:ext cx="304800" cy="304800"/>
    <xdr:sp macro="" textlink="">
      <xdr:nvSpPr>
        <xdr:cNvPr id="5505" name="AutoShape 311">
          <a:extLst>
            <a:ext uri="{FF2B5EF4-FFF2-40B4-BE49-F238E27FC236}">
              <a16:creationId xmlns:a16="http://schemas.microsoft.com/office/drawing/2014/main" id="{82F0B0C2-9ED5-46C8-959E-BA4B5112A50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21</xdr:row>
      <xdr:rowOff>0</xdr:rowOff>
    </xdr:from>
    <xdr:ext cx="9525" cy="9525"/>
    <xdr:pic>
      <xdr:nvPicPr>
        <xdr:cNvPr id="5506" name="Picture 5505">
          <a:extLst>
            <a:ext uri="{FF2B5EF4-FFF2-40B4-BE49-F238E27FC236}">
              <a16:creationId xmlns:a16="http://schemas.microsoft.com/office/drawing/2014/main" id="{1694EAE3-B993-4959-9E84-F448CFC06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21</xdr:row>
      <xdr:rowOff>0</xdr:rowOff>
    </xdr:from>
    <xdr:ext cx="304800" cy="304800"/>
    <xdr:sp macro="" textlink="">
      <xdr:nvSpPr>
        <xdr:cNvPr id="5507" name="AutoShape 363">
          <a:extLst>
            <a:ext uri="{FF2B5EF4-FFF2-40B4-BE49-F238E27FC236}">
              <a16:creationId xmlns:a16="http://schemas.microsoft.com/office/drawing/2014/main" id="{4BCEDC77-6513-4761-8E38-0ECAF997FB43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21</xdr:row>
      <xdr:rowOff>0</xdr:rowOff>
    </xdr:from>
    <xdr:ext cx="9525" cy="9525"/>
    <xdr:pic>
      <xdr:nvPicPr>
        <xdr:cNvPr id="5508" name="Picture 5507">
          <a:extLst>
            <a:ext uri="{FF2B5EF4-FFF2-40B4-BE49-F238E27FC236}">
              <a16:creationId xmlns:a16="http://schemas.microsoft.com/office/drawing/2014/main" id="{9F37B301-48C3-4863-873E-4F7393B35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21</xdr:row>
      <xdr:rowOff>0</xdr:rowOff>
    </xdr:from>
    <xdr:ext cx="304800" cy="304800"/>
    <xdr:sp macro="" textlink="">
      <xdr:nvSpPr>
        <xdr:cNvPr id="5509" name="AutoShape 419">
          <a:extLst>
            <a:ext uri="{FF2B5EF4-FFF2-40B4-BE49-F238E27FC236}">
              <a16:creationId xmlns:a16="http://schemas.microsoft.com/office/drawing/2014/main" id="{9139AC42-1310-4AE8-A63D-835CE06DE18A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21</xdr:row>
      <xdr:rowOff>0</xdr:rowOff>
    </xdr:from>
    <xdr:ext cx="9525" cy="9525"/>
    <xdr:pic>
      <xdr:nvPicPr>
        <xdr:cNvPr id="5510" name="Picture 5509">
          <a:extLst>
            <a:ext uri="{FF2B5EF4-FFF2-40B4-BE49-F238E27FC236}">
              <a16:creationId xmlns:a16="http://schemas.microsoft.com/office/drawing/2014/main" id="{619DA2E9-6813-4151-A4E0-73FD082C9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21</xdr:row>
      <xdr:rowOff>0</xdr:rowOff>
    </xdr:from>
    <xdr:ext cx="304800" cy="304800"/>
    <xdr:sp macro="" textlink="">
      <xdr:nvSpPr>
        <xdr:cNvPr id="5511" name="AutoShape 475">
          <a:extLst>
            <a:ext uri="{FF2B5EF4-FFF2-40B4-BE49-F238E27FC236}">
              <a16:creationId xmlns:a16="http://schemas.microsoft.com/office/drawing/2014/main" id="{FA9E5E12-D42A-49F0-9876-2D297EE2E94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21</xdr:row>
      <xdr:rowOff>0</xdr:rowOff>
    </xdr:from>
    <xdr:ext cx="9525" cy="9525"/>
    <xdr:pic>
      <xdr:nvPicPr>
        <xdr:cNvPr id="5512" name="Picture 5511">
          <a:extLst>
            <a:ext uri="{FF2B5EF4-FFF2-40B4-BE49-F238E27FC236}">
              <a16:creationId xmlns:a16="http://schemas.microsoft.com/office/drawing/2014/main" id="{FC86FA8B-9A5A-4A4F-BFF0-E6E6EE878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9525" cy="9525"/>
    <xdr:pic>
      <xdr:nvPicPr>
        <xdr:cNvPr id="5513" name="Picture 5512">
          <a:extLst>
            <a:ext uri="{FF2B5EF4-FFF2-40B4-BE49-F238E27FC236}">
              <a16:creationId xmlns:a16="http://schemas.microsoft.com/office/drawing/2014/main" id="{F919A46E-E662-4C0F-9B0F-A867C1549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3440"/>
    <xdr:sp macro="" textlink="">
      <xdr:nvSpPr>
        <xdr:cNvPr id="5514" name="AutoShape 169">
          <a:extLst>
            <a:ext uri="{FF2B5EF4-FFF2-40B4-BE49-F238E27FC236}">
              <a16:creationId xmlns:a16="http://schemas.microsoft.com/office/drawing/2014/main" id="{784E24A1-F728-45CD-B4CC-011E34126F3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304800" cy="303439"/>
    <xdr:sp macro="" textlink="">
      <xdr:nvSpPr>
        <xdr:cNvPr id="5515" name="AutoShape 171">
          <a:extLst>
            <a:ext uri="{FF2B5EF4-FFF2-40B4-BE49-F238E27FC236}">
              <a16:creationId xmlns:a16="http://schemas.microsoft.com/office/drawing/2014/main" id="{FC21AE58-0539-4472-870D-7E64E3B47AE8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9525" cy="9525"/>
    <xdr:pic>
      <xdr:nvPicPr>
        <xdr:cNvPr id="5516" name="Picture 5515">
          <a:extLst>
            <a:ext uri="{FF2B5EF4-FFF2-40B4-BE49-F238E27FC236}">
              <a16:creationId xmlns:a16="http://schemas.microsoft.com/office/drawing/2014/main" id="{290E38CB-2429-48E3-A639-B69430168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3440"/>
    <xdr:sp macro="" textlink="">
      <xdr:nvSpPr>
        <xdr:cNvPr id="5517" name="AutoShape 199">
          <a:extLst>
            <a:ext uri="{FF2B5EF4-FFF2-40B4-BE49-F238E27FC236}">
              <a16:creationId xmlns:a16="http://schemas.microsoft.com/office/drawing/2014/main" id="{A5F52335-6B49-4E05-AA91-AEB3C7973F5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9525" cy="9525"/>
    <xdr:pic>
      <xdr:nvPicPr>
        <xdr:cNvPr id="5518" name="Picture 5517">
          <a:extLst>
            <a:ext uri="{FF2B5EF4-FFF2-40B4-BE49-F238E27FC236}">
              <a16:creationId xmlns:a16="http://schemas.microsoft.com/office/drawing/2014/main" id="{148DAE1F-C62C-4233-9591-FF7BD9DF6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9525" cy="9525"/>
    <xdr:pic>
      <xdr:nvPicPr>
        <xdr:cNvPr id="5519" name="Picture 5518">
          <a:extLst>
            <a:ext uri="{FF2B5EF4-FFF2-40B4-BE49-F238E27FC236}">
              <a16:creationId xmlns:a16="http://schemas.microsoft.com/office/drawing/2014/main" id="{D5F0EF5E-F89A-440C-9076-A175398BB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3440"/>
    <xdr:sp macro="" textlink="">
      <xdr:nvSpPr>
        <xdr:cNvPr id="5520" name="AutoShape 249">
          <a:extLst>
            <a:ext uri="{FF2B5EF4-FFF2-40B4-BE49-F238E27FC236}">
              <a16:creationId xmlns:a16="http://schemas.microsoft.com/office/drawing/2014/main" id="{50BE72AC-57A6-4E81-B872-A6220EF81EA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9525" cy="9525"/>
    <xdr:pic>
      <xdr:nvPicPr>
        <xdr:cNvPr id="5521" name="Picture 5520">
          <a:extLst>
            <a:ext uri="{FF2B5EF4-FFF2-40B4-BE49-F238E27FC236}">
              <a16:creationId xmlns:a16="http://schemas.microsoft.com/office/drawing/2014/main" id="{67FE3819-700B-488B-B3DA-F02904A4B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3440"/>
    <xdr:sp macro="" textlink="">
      <xdr:nvSpPr>
        <xdr:cNvPr id="5522" name="AutoShape 275">
          <a:extLst>
            <a:ext uri="{FF2B5EF4-FFF2-40B4-BE49-F238E27FC236}">
              <a16:creationId xmlns:a16="http://schemas.microsoft.com/office/drawing/2014/main" id="{51ACEA35-4B0C-4D9B-A1B8-D500B1F8370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9525" cy="9525"/>
    <xdr:pic>
      <xdr:nvPicPr>
        <xdr:cNvPr id="5523" name="Picture 5522">
          <a:extLst>
            <a:ext uri="{FF2B5EF4-FFF2-40B4-BE49-F238E27FC236}">
              <a16:creationId xmlns:a16="http://schemas.microsoft.com/office/drawing/2014/main" id="{FB31216B-243B-4878-8525-47B33CFE3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3440"/>
    <xdr:sp macro="" textlink="">
      <xdr:nvSpPr>
        <xdr:cNvPr id="5524" name="AutoShape 327">
          <a:extLst>
            <a:ext uri="{FF2B5EF4-FFF2-40B4-BE49-F238E27FC236}">
              <a16:creationId xmlns:a16="http://schemas.microsoft.com/office/drawing/2014/main" id="{13E67E54-4439-41FC-A841-9E4A3278F9A1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9525" cy="9525"/>
    <xdr:pic>
      <xdr:nvPicPr>
        <xdr:cNvPr id="5525" name="Picture 5524">
          <a:extLst>
            <a:ext uri="{FF2B5EF4-FFF2-40B4-BE49-F238E27FC236}">
              <a16:creationId xmlns:a16="http://schemas.microsoft.com/office/drawing/2014/main" id="{39392D4F-BA50-4CB8-8E8A-76A3326DA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3440"/>
    <xdr:sp macro="" textlink="">
      <xdr:nvSpPr>
        <xdr:cNvPr id="5526" name="AutoShape 379">
          <a:extLst>
            <a:ext uri="{FF2B5EF4-FFF2-40B4-BE49-F238E27FC236}">
              <a16:creationId xmlns:a16="http://schemas.microsoft.com/office/drawing/2014/main" id="{2A4825E4-0F5C-4792-ABC0-FEB39E2E05C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304800" cy="303439"/>
    <xdr:sp macro="" textlink="">
      <xdr:nvSpPr>
        <xdr:cNvPr id="5527" name="AutoShape 381">
          <a:extLst>
            <a:ext uri="{FF2B5EF4-FFF2-40B4-BE49-F238E27FC236}">
              <a16:creationId xmlns:a16="http://schemas.microsoft.com/office/drawing/2014/main" id="{99F488B1-325D-4B70-96F0-23840294EA1F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9525" cy="9525"/>
    <xdr:pic>
      <xdr:nvPicPr>
        <xdr:cNvPr id="5528" name="Picture 5527">
          <a:extLst>
            <a:ext uri="{FF2B5EF4-FFF2-40B4-BE49-F238E27FC236}">
              <a16:creationId xmlns:a16="http://schemas.microsoft.com/office/drawing/2014/main" id="{C4AF43EE-0F84-44F3-A984-870316F21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3440"/>
    <xdr:sp macro="" textlink="">
      <xdr:nvSpPr>
        <xdr:cNvPr id="5529" name="AutoShape 435">
          <a:extLst>
            <a:ext uri="{FF2B5EF4-FFF2-40B4-BE49-F238E27FC236}">
              <a16:creationId xmlns:a16="http://schemas.microsoft.com/office/drawing/2014/main" id="{777A7981-5DF3-4E22-BE18-9DE42784ADA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304800" cy="303439"/>
    <xdr:sp macro="" textlink="">
      <xdr:nvSpPr>
        <xdr:cNvPr id="5530" name="AutoShape 437">
          <a:extLst>
            <a:ext uri="{FF2B5EF4-FFF2-40B4-BE49-F238E27FC236}">
              <a16:creationId xmlns:a16="http://schemas.microsoft.com/office/drawing/2014/main" id="{800F8209-D4F4-4C46-8515-AD935538640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9525" cy="9525"/>
    <xdr:pic>
      <xdr:nvPicPr>
        <xdr:cNvPr id="5531" name="Picture 5530">
          <a:extLst>
            <a:ext uri="{FF2B5EF4-FFF2-40B4-BE49-F238E27FC236}">
              <a16:creationId xmlns:a16="http://schemas.microsoft.com/office/drawing/2014/main" id="{B4DFC757-A56B-48C0-91BC-FA9503603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3440"/>
    <xdr:sp macro="" textlink="">
      <xdr:nvSpPr>
        <xdr:cNvPr id="5532" name="AutoShape 491">
          <a:extLst>
            <a:ext uri="{FF2B5EF4-FFF2-40B4-BE49-F238E27FC236}">
              <a16:creationId xmlns:a16="http://schemas.microsoft.com/office/drawing/2014/main" id="{24243DF1-FE4C-4203-8962-5057F608E3C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304800" cy="303439"/>
    <xdr:sp macro="" textlink="">
      <xdr:nvSpPr>
        <xdr:cNvPr id="5533" name="AutoShape 493">
          <a:extLst>
            <a:ext uri="{FF2B5EF4-FFF2-40B4-BE49-F238E27FC236}">
              <a16:creationId xmlns:a16="http://schemas.microsoft.com/office/drawing/2014/main" id="{B206F1A6-FDEA-411B-BA5E-A6CEFD5EA154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9525" cy="9525"/>
    <xdr:pic>
      <xdr:nvPicPr>
        <xdr:cNvPr id="5534" name="Picture 5533">
          <a:extLst>
            <a:ext uri="{FF2B5EF4-FFF2-40B4-BE49-F238E27FC236}">
              <a16:creationId xmlns:a16="http://schemas.microsoft.com/office/drawing/2014/main" id="{38C224A6-4EF6-43F3-A2B8-66E9F47E8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3440"/>
    <xdr:sp macro="" textlink="">
      <xdr:nvSpPr>
        <xdr:cNvPr id="5535" name="AutoShape 525">
          <a:extLst>
            <a:ext uri="{FF2B5EF4-FFF2-40B4-BE49-F238E27FC236}">
              <a16:creationId xmlns:a16="http://schemas.microsoft.com/office/drawing/2014/main" id="{B13D7888-3633-493B-B1EF-D939369671E0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304800" cy="303439"/>
    <xdr:sp macro="" textlink="">
      <xdr:nvSpPr>
        <xdr:cNvPr id="5536" name="AutoShape 527">
          <a:extLst>
            <a:ext uri="{FF2B5EF4-FFF2-40B4-BE49-F238E27FC236}">
              <a16:creationId xmlns:a16="http://schemas.microsoft.com/office/drawing/2014/main" id="{768E037D-BA76-41F6-99F9-58E5F469B7F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19</xdr:row>
      <xdr:rowOff>0</xdr:rowOff>
    </xdr:from>
    <xdr:ext cx="9525" cy="9525"/>
    <xdr:pic>
      <xdr:nvPicPr>
        <xdr:cNvPr id="5537" name="Picture 5536">
          <a:extLst>
            <a:ext uri="{FF2B5EF4-FFF2-40B4-BE49-F238E27FC236}">
              <a16:creationId xmlns:a16="http://schemas.microsoft.com/office/drawing/2014/main" id="{B9184D58-20BF-4985-9229-3EDED667F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18</xdr:row>
      <xdr:rowOff>0</xdr:rowOff>
    </xdr:from>
    <xdr:ext cx="304800" cy="303440"/>
    <xdr:sp macro="" textlink="">
      <xdr:nvSpPr>
        <xdr:cNvPr id="5538" name="AutoShape 173">
          <a:extLst>
            <a:ext uri="{FF2B5EF4-FFF2-40B4-BE49-F238E27FC236}">
              <a16:creationId xmlns:a16="http://schemas.microsoft.com/office/drawing/2014/main" id="{46995E55-BBD8-4AB6-A980-DCA5FB31D88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653643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20</xdr:row>
      <xdr:rowOff>0</xdr:rowOff>
    </xdr:from>
    <xdr:ext cx="9525" cy="9525"/>
    <xdr:pic>
      <xdr:nvPicPr>
        <xdr:cNvPr id="5539" name="Picture 5538">
          <a:extLst>
            <a:ext uri="{FF2B5EF4-FFF2-40B4-BE49-F238E27FC236}">
              <a16:creationId xmlns:a16="http://schemas.microsoft.com/office/drawing/2014/main" id="{19652969-BFCD-4AA2-B673-199F4C5E4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19</xdr:row>
      <xdr:rowOff>0</xdr:rowOff>
    </xdr:from>
    <xdr:ext cx="9525" cy="9525"/>
    <xdr:pic>
      <xdr:nvPicPr>
        <xdr:cNvPr id="5540" name="Picture 5539">
          <a:extLst>
            <a:ext uri="{FF2B5EF4-FFF2-40B4-BE49-F238E27FC236}">
              <a16:creationId xmlns:a16="http://schemas.microsoft.com/office/drawing/2014/main" id="{59B31611-755E-4021-A1B1-5C727B770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19</xdr:row>
      <xdr:rowOff>0</xdr:rowOff>
    </xdr:from>
    <xdr:ext cx="9525" cy="9525"/>
    <xdr:pic>
      <xdr:nvPicPr>
        <xdr:cNvPr id="5541" name="Picture 5540">
          <a:extLst>
            <a:ext uri="{FF2B5EF4-FFF2-40B4-BE49-F238E27FC236}">
              <a16:creationId xmlns:a16="http://schemas.microsoft.com/office/drawing/2014/main" id="{CC5C9AA9-F275-4A4B-9D5E-CAA439DBB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19</xdr:row>
      <xdr:rowOff>0</xdr:rowOff>
    </xdr:from>
    <xdr:ext cx="9525" cy="9525"/>
    <xdr:pic>
      <xdr:nvPicPr>
        <xdr:cNvPr id="5542" name="Picture 5541">
          <a:extLst>
            <a:ext uri="{FF2B5EF4-FFF2-40B4-BE49-F238E27FC236}">
              <a16:creationId xmlns:a16="http://schemas.microsoft.com/office/drawing/2014/main" id="{C26958C2-486B-4653-95DF-8368A54F8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19</xdr:row>
      <xdr:rowOff>0</xdr:rowOff>
    </xdr:from>
    <xdr:ext cx="9525" cy="9525"/>
    <xdr:pic>
      <xdr:nvPicPr>
        <xdr:cNvPr id="5543" name="Picture 5542">
          <a:extLst>
            <a:ext uri="{FF2B5EF4-FFF2-40B4-BE49-F238E27FC236}">
              <a16:creationId xmlns:a16="http://schemas.microsoft.com/office/drawing/2014/main" id="{B7ACE19A-B220-4108-809F-5C298B17B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19</xdr:row>
      <xdr:rowOff>0</xdr:rowOff>
    </xdr:from>
    <xdr:ext cx="9525" cy="9525"/>
    <xdr:pic>
      <xdr:nvPicPr>
        <xdr:cNvPr id="5544" name="Picture 5543">
          <a:extLst>
            <a:ext uri="{FF2B5EF4-FFF2-40B4-BE49-F238E27FC236}">
              <a16:creationId xmlns:a16="http://schemas.microsoft.com/office/drawing/2014/main" id="{C74BE534-C008-4AAC-9DEA-D7D901C4F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20</xdr:row>
      <xdr:rowOff>0</xdr:rowOff>
    </xdr:from>
    <xdr:ext cx="9525" cy="9525"/>
    <xdr:pic>
      <xdr:nvPicPr>
        <xdr:cNvPr id="5545" name="Picture 5544">
          <a:extLst>
            <a:ext uri="{FF2B5EF4-FFF2-40B4-BE49-F238E27FC236}">
              <a16:creationId xmlns:a16="http://schemas.microsoft.com/office/drawing/2014/main" id="{2F1D1B68-71AD-4BE1-A4AB-9243780E8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19</xdr:row>
      <xdr:rowOff>0</xdr:rowOff>
    </xdr:from>
    <xdr:ext cx="9525" cy="9525"/>
    <xdr:pic>
      <xdr:nvPicPr>
        <xdr:cNvPr id="5546" name="Picture 5545">
          <a:extLst>
            <a:ext uri="{FF2B5EF4-FFF2-40B4-BE49-F238E27FC236}">
              <a16:creationId xmlns:a16="http://schemas.microsoft.com/office/drawing/2014/main" id="{6C7D6D96-02A3-464F-8560-8D62B8771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20</xdr:row>
      <xdr:rowOff>0</xdr:rowOff>
    </xdr:from>
    <xdr:ext cx="9525" cy="9525"/>
    <xdr:pic>
      <xdr:nvPicPr>
        <xdr:cNvPr id="5547" name="Picture 5546">
          <a:extLst>
            <a:ext uri="{FF2B5EF4-FFF2-40B4-BE49-F238E27FC236}">
              <a16:creationId xmlns:a16="http://schemas.microsoft.com/office/drawing/2014/main" id="{88107855-A95A-4929-9987-975B14675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19</xdr:row>
      <xdr:rowOff>0</xdr:rowOff>
    </xdr:from>
    <xdr:ext cx="9525" cy="9525"/>
    <xdr:pic>
      <xdr:nvPicPr>
        <xdr:cNvPr id="5548" name="Picture 5547">
          <a:extLst>
            <a:ext uri="{FF2B5EF4-FFF2-40B4-BE49-F238E27FC236}">
              <a16:creationId xmlns:a16="http://schemas.microsoft.com/office/drawing/2014/main" id="{C191E41F-C34C-4AF4-A212-17C213836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20</xdr:row>
      <xdr:rowOff>0</xdr:rowOff>
    </xdr:from>
    <xdr:ext cx="9525" cy="9525"/>
    <xdr:pic>
      <xdr:nvPicPr>
        <xdr:cNvPr id="5549" name="Picture 5548">
          <a:extLst>
            <a:ext uri="{FF2B5EF4-FFF2-40B4-BE49-F238E27FC236}">
              <a16:creationId xmlns:a16="http://schemas.microsoft.com/office/drawing/2014/main" id="{41CEA2F8-BC70-494C-8A52-5B339A4ED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19</xdr:row>
      <xdr:rowOff>0</xdr:rowOff>
    </xdr:from>
    <xdr:ext cx="9525" cy="9525"/>
    <xdr:pic>
      <xdr:nvPicPr>
        <xdr:cNvPr id="5550" name="Picture 5549">
          <a:extLst>
            <a:ext uri="{FF2B5EF4-FFF2-40B4-BE49-F238E27FC236}">
              <a16:creationId xmlns:a16="http://schemas.microsoft.com/office/drawing/2014/main" id="{652E3625-2132-4824-ACB6-32FA388ED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18</xdr:row>
      <xdr:rowOff>0</xdr:rowOff>
    </xdr:from>
    <xdr:ext cx="304800" cy="303439"/>
    <xdr:sp macro="" textlink="">
      <xdr:nvSpPr>
        <xdr:cNvPr id="5551" name="AutoShape 529">
          <a:extLst>
            <a:ext uri="{FF2B5EF4-FFF2-40B4-BE49-F238E27FC236}">
              <a16:creationId xmlns:a16="http://schemas.microsoft.com/office/drawing/2014/main" id="{A1B6ADA8-7A6D-4352-BA22-FACAE1C775E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6536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20</xdr:row>
      <xdr:rowOff>0</xdr:rowOff>
    </xdr:from>
    <xdr:ext cx="9525" cy="9525"/>
    <xdr:pic>
      <xdr:nvPicPr>
        <xdr:cNvPr id="5552" name="Picture 5551">
          <a:extLst>
            <a:ext uri="{FF2B5EF4-FFF2-40B4-BE49-F238E27FC236}">
              <a16:creationId xmlns:a16="http://schemas.microsoft.com/office/drawing/2014/main" id="{2D95C735-430F-4770-87FC-9FBE40BCD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19</xdr:row>
      <xdr:rowOff>0</xdr:rowOff>
    </xdr:from>
    <xdr:ext cx="304800" cy="303439"/>
    <xdr:sp macro="" textlink="">
      <xdr:nvSpPr>
        <xdr:cNvPr id="5553" name="AutoShape 531">
          <a:extLst>
            <a:ext uri="{FF2B5EF4-FFF2-40B4-BE49-F238E27FC236}">
              <a16:creationId xmlns:a16="http://schemas.microsoft.com/office/drawing/2014/main" id="{05AE4B0B-E026-4D9C-9FBB-171C98DCD3BA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8441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9525" cy="9525"/>
    <xdr:pic>
      <xdr:nvPicPr>
        <xdr:cNvPr id="5554" name="Picture 5553">
          <a:extLst>
            <a:ext uri="{FF2B5EF4-FFF2-40B4-BE49-F238E27FC236}">
              <a16:creationId xmlns:a16="http://schemas.microsoft.com/office/drawing/2014/main" id="{F0D6D1A0-CA43-4B68-972B-B3C8199CC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17</xdr:row>
      <xdr:rowOff>0</xdr:rowOff>
    </xdr:from>
    <xdr:ext cx="304800" cy="303439"/>
    <xdr:sp macro="" textlink="">
      <xdr:nvSpPr>
        <xdr:cNvPr id="5555" name="AutoShape 165">
          <a:extLst>
            <a:ext uri="{FF2B5EF4-FFF2-40B4-BE49-F238E27FC236}">
              <a16:creationId xmlns:a16="http://schemas.microsoft.com/office/drawing/2014/main" id="{5ABA0923-57D5-445E-AF0D-AF3D968EF29F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9525" cy="9525"/>
    <xdr:pic>
      <xdr:nvPicPr>
        <xdr:cNvPr id="5556" name="Picture 5555">
          <a:extLst>
            <a:ext uri="{FF2B5EF4-FFF2-40B4-BE49-F238E27FC236}">
              <a16:creationId xmlns:a16="http://schemas.microsoft.com/office/drawing/2014/main" id="{670EA408-50E3-49D9-95D9-EC878549B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304800" cy="304800"/>
    <xdr:sp macro="" textlink="">
      <xdr:nvSpPr>
        <xdr:cNvPr id="5557" name="AutoShape 193">
          <a:extLst>
            <a:ext uri="{FF2B5EF4-FFF2-40B4-BE49-F238E27FC236}">
              <a16:creationId xmlns:a16="http://schemas.microsoft.com/office/drawing/2014/main" id="{ADA41FCC-653D-4614-B7F3-D4B8C2B2F8A9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304800" cy="303439"/>
    <xdr:sp macro="" textlink="">
      <xdr:nvSpPr>
        <xdr:cNvPr id="5558" name="AutoShape 195">
          <a:extLst>
            <a:ext uri="{FF2B5EF4-FFF2-40B4-BE49-F238E27FC236}">
              <a16:creationId xmlns:a16="http://schemas.microsoft.com/office/drawing/2014/main" id="{578B3AC1-A92C-41D9-AF5B-EBC21141721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9525" cy="9525"/>
    <xdr:pic>
      <xdr:nvPicPr>
        <xdr:cNvPr id="5559" name="Picture 5558">
          <a:extLst>
            <a:ext uri="{FF2B5EF4-FFF2-40B4-BE49-F238E27FC236}">
              <a16:creationId xmlns:a16="http://schemas.microsoft.com/office/drawing/2014/main" id="{2CAB1739-EBE6-4E52-A10D-9DA14BD29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304800" cy="304800"/>
    <xdr:sp macro="" textlink="">
      <xdr:nvSpPr>
        <xdr:cNvPr id="5560" name="AutoShape 219">
          <a:extLst>
            <a:ext uri="{FF2B5EF4-FFF2-40B4-BE49-F238E27FC236}">
              <a16:creationId xmlns:a16="http://schemas.microsoft.com/office/drawing/2014/main" id="{92B75BF9-0CF5-4C74-B876-73EA8E4D8C8B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304800" cy="303439"/>
    <xdr:sp macro="" textlink="">
      <xdr:nvSpPr>
        <xdr:cNvPr id="5561" name="AutoShape 221">
          <a:extLst>
            <a:ext uri="{FF2B5EF4-FFF2-40B4-BE49-F238E27FC236}">
              <a16:creationId xmlns:a16="http://schemas.microsoft.com/office/drawing/2014/main" id="{F85810A8-74E7-4849-A926-F0F376E4468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9525" cy="9525"/>
    <xdr:pic>
      <xdr:nvPicPr>
        <xdr:cNvPr id="5562" name="Picture 5561">
          <a:extLst>
            <a:ext uri="{FF2B5EF4-FFF2-40B4-BE49-F238E27FC236}">
              <a16:creationId xmlns:a16="http://schemas.microsoft.com/office/drawing/2014/main" id="{0187AEF5-A781-4CFB-9037-9FF46FA0D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304800" cy="304800"/>
    <xdr:sp macro="" textlink="">
      <xdr:nvSpPr>
        <xdr:cNvPr id="5563" name="AutoShape 243">
          <a:extLst>
            <a:ext uri="{FF2B5EF4-FFF2-40B4-BE49-F238E27FC236}">
              <a16:creationId xmlns:a16="http://schemas.microsoft.com/office/drawing/2014/main" id="{7223DAEC-2868-41D6-86E6-DC548720984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304800" cy="303439"/>
    <xdr:sp macro="" textlink="">
      <xdr:nvSpPr>
        <xdr:cNvPr id="5564" name="AutoShape 245">
          <a:extLst>
            <a:ext uri="{FF2B5EF4-FFF2-40B4-BE49-F238E27FC236}">
              <a16:creationId xmlns:a16="http://schemas.microsoft.com/office/drawing/2014/main" id="{0C9933D1-5FEF-48E6-B0C7-432C1D4F9CE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9525" cy="9525"/>
    <xdr:pic>
      <xdr:nvPicPr>
        <xdr:cNvPr id="5565" name="Picture 5564">
          <a:extLst>
            <a:ext uri="{FF2B5EF4-FFF2-40B4-BE49-F238E27FC236}">
              <a16:creationId xmlns:a16="http://schemas.microsoft.com/office/drawing/2014/main" id="{5228EB27-8155-42CB-8F78-57DBEA276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304800" cy="304800"/>
    <xdr:sp macro="" textlink="">
      <xdr:nvSpPr>
        <xdr:cNvPr id="5566" name="AutoShape 269">
          <a:extLst>
            <a:ext uri="{FF2B5EF4-FFF2-40B4-BE49-F238E27FC236}">
              <a16:creationId xmlns:a16="http://schemas.microsoft.com/office/drawing/2014/main" id="{5F9CE425-B438-46BA-8AB2-8E1E8572C17A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304800" cy="303439"/>
    <xdr:sp macro="" textlink="">
      <xdr:nvSpPr>
        <xdr:cNvPr id="5567" name="AutoShape 271">
          <a:extLst>
            <a:ext uri="{FF2B5EF4-FFF2-40B4-BE49-F238E27FC236}">
              <a16:creationId xmlns:a16="http://schemas.microsoft.com/office/drawing/2014/main" id="{8E3B7671-D05A-4BCA-8D3E-BFC0742242A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9525" cy="9525"/>
    <xdr:pic>
      <xdr:nvPicPr>
        <xdr:cNvPr id="5568" name="Picture 5567">
          <a:extLst>
            <a:ext uri="{FF2B5EF4-FFF2-40B4-BE49-F238E27FC236}">
              <a16:creationId xmlns:a16="http://schemas.microsoft.com/office/drawing/2014/main" id="{6BEA17B4-DC3E-4DE8-9409-A70EF346A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304800" cy="304800"/>
    <xdr:sp macro="" textlink="">
      <xdr:nvSpPr>
        <xdr:cNvPr id="5569" name="AutoShape 321">
          <a:extLst>
            <a:ext uri="{FF2B5EF4-FFF2-40B4-BE49-F238E27FC236}">
              <a16:creationId xmlns:a16="http://schemas.microsoft.com/office/drawing/2014/main" id="{841B0594-A193-4CDE-AB93-338EC3741F6B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304800" cy="303439"/>
    <xdr:sp macro="" textlink="">
      <xdr:nvSpPr>
        <xdr:cNvPr id="5570" name="AutoShape 323">
          <a:extLst>
            <a:ext uri="{FF2B5EF4-FFF2-40B4-BE49-F238E27FC236}">
              <a16:creationId xmlns:a16="http://schemas.microsoft.com/office/drawing/2014/main" id="{394B72B5-C7E3-4BA4-AA51-23713C101EA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9525" cy="9525"/>
    <xdr:pic>
      <xdr:nvPicPr>
        <xdr:cNvPr id="5571" name="Picture 5570">
          <a:extLst>
            <a:ext uri="{FF2B5EF4-FFF2-40B4-BE49-F238E27FC236}">
              <a16:creationId xmlns:a16="http://schemas.microsoft.com/office/drawing/2014/main" id="{A2B53689-E25A-4E1D-94E2-0F8251258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304800" cy="304800"/>
    <xdr:sp macro="" textlink="">
      <xdr:nvSpPr>
        <xdr:cNvPr id="5572" name="AutoShape 373">
          <a:extLst>
            <a:ext uri="{FF2B5EF4-FFF2-40B4-BE49-F238E27FC236}">
              <a16:creationId xmlns:a16="http://schemas.microsoft.com/office/drawing/2014/main" id="{F6F550C0-C863-47E1-B2BF-5A578520793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304800" cy="303439"/>
    <xdr:sp macro="" textlink="">
      <xdr:nvSpPr>
        <xdr:cNvPr id="5573" name="AutoShape 375">
          <a:extLst>
            <a:ext uri="{FF2B5EF4-FFF2-40B4-BE49-F238E27FC236}">
              <a16:creationId xmlns:a16="http://schemas.microsoft.com/office/drawing/2014/main" id="{AADC3B33-0BF9-4BB4-A8B7-89B1D6FBADB0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9525" cy="9525"/>
    <xdr:pic>
      <xdr:nvPicPr>
        <xdr:cNvPr id="5574" name="Picture 5573">
          <a:extLst>
            <a:ext uri="{FF2B5EF4-FFF2-40B4-BE49-F238E27FC236}">
              <a16:creationId xmlns:a16="http://schemas.microsoft.com/office/drawing/2014/main" id="{F3AC1CC2-0009-4016-B809-7424CEDEC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304800" cy="304800"/>
    <xdr:sp macro="" textlink="">
      <xdr:nvSpPr>
        <xdr:cNvPr id="5575" name="AutoShape 429">
          <a:extLst>
            <a:ext uri="{FF2B5EF4-FFF2-40B4-BE49-F238E27FC236}">
              <a16:creationId xmlns:a16="http://schemas.microsoft.com/office/drawing/2014/main" id="{436C4762-E17D-4E81-A8E2-A654DD97F691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304800" cy="303439"/>
    <xdr:sp macro="" textlink="">
      <xdr:nvSpPr>
        <xdr:cNvPr id="5576" name="AutoShape 431">
          <a:extLst>
            <a:ext uri="{FF2B5EF4-FFF2-40B4-BE49-F238E27FC236}">
              <a16:creationId xmlns:a16="http://schemas.microsoft.com/office/drawing/2014/main" id="{1FE176CC-DD60-4445-96CC-22116956C60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9525" cy="9525"/>
    <xdr:pic>
      <xdr:nvPicPr>
        <xdr:cNvPr id="5577" name="Picture 5576">
          <a:extLst>
            <a:ext uri="{FF2B5EF4-FFF2-40B4-BE49-F238E27FC236}">
              <a16:creationId xmlns:a16="http://schemas.microsoft.com/office/drawing/2014/main" id="{52626589-8126-4DA7-9F1F-D7371D643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304800" cy="304800"/>
    <xdr:sp macro="" textlink="">
      <xdr:nvSpPr>
        <xdr:cNvPr id="5578" name="AutoShape 485">
          <a:extLst>
            <a:ext uri="{FF2B5EF4-FFF2-40B4-BE49-F238E27FC236}">
              <a16:creationId xmlns:a16="http://schemas.microsoft.com/office/drawing/2014/main" id="{B4CE2FB2-ADC9-43D9-95FC-59D762289C93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304800" cy="303439"/>
    <xdr:sp macro="" textlink="">
      <xdr:nvSpPr>
        <xdr:cNvPr id="5579" name="AutoShape 487">
          <a:extLst>
            <a:ext uri="{FF2B5EF4-FFF2-40B4-BE49-F238E27FC236}">
              <a16:creationId xmlns:a16="http://schemas.microsoft.com/office/drawing/2014/main" id="{E227883D-5B46-4D03-B740-0017AFB94143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9525" cy="9525"/>
    <xdr:pic>
      <xdr:nvPicPr>
        <xdr:cNvPr id="5580" name="Picture 5579">
          <a:extLst>
            <a:ext uri="{FF2B5EF4-FFF2-40B4-BE49-F238E27FC236}">
              <a16:creationId xmlns:a16="http://schemas.microsoft.com/office/drawing/2014/main" id="{302C09C8-C9B1-4AC8-8875-AA1BC8C39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304800" cy="304800"/>
    <xdr:sp macro="" textlink="">
      <xdr:nvSpPr>
        <xdr:cNvPr id="5581" name="AutoShape 519">
          <a:extLst>
            <a:ext uri="{FF2B5EF4-FFF2-40B4-BE49-F238E27FC236}">
              <a16:creationId xmlns:a16="http://schemas.microsoft.com/office/drawing/2014/main" id="{51699310-EC59-49E5-A20E-5D000DE803B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304800" cy="303439"/>
    <xdr:sp macro="" textlink="">
      <xdr:nvSpPr>
        <xdr:cNvPr id="5582" name="AutoShape 521">
          <a:extLst>
            <a:ext uri="{FF2B5EF4-FFF2-40B4-BE49-F238E27FC236}">
              <a16:creationId xmlns:a16="http://schemas.microsoft.com/office/drawing/2014/main" id="{919A642F-2F5D-4975-A045-7500EDCA30A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18</xdr:row>
      <xdr:rowOff>0</xdr:rowOff>
    </xdr:from>
    <xdr:ext cx="9525" cy="9525"/>
    <xdr:pic>
      <xdr:nvPicPr>
        <xdr:cNvPr id="5583" name="Picture 5582">
          <a:extLst>
            <a:ext uri="{FF2B5EF4-FFF2-40B4-BE49-F238E27FC236}">
              <a16:creationId xmlns:a16="http://schemas.microsoft.com/office/drawing/2014/main" id="{CBE4E4D6-4857-4315-8C94-1DCB15792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18</xdr:row>
      <xdr:rowOff>0</xdr:rowOff>
    </xdr:from>
    <xdr:ext cx="304800" cy="304800"/>
    <xdr:sp macro="" textlink="">
      <xdr:nvSpPr>
        <xdr:cNvPr id="5584" name="AutoShape 159">
          <a:extLst>
            <a:ext uri="{FF2B5EF4-FFF2-40B4-BE49-F238E27FC236}">
              <a16:creationId xmlns:a16="http://schemas.microsoft.com/office/drawing/2014/main" id="{136A6947-23E9-4388-AE03-80180440961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18</xdr:row>
      <xdr:rowOff>0</xdr:rowOff>
    </xdr:from>
    <xdr:ext cx="9525" cy="9525"/>
    <xdr:pic>
      <xdr:nvPicPr>
        <xdr:cNvPr id="5585" name="Picture 5584">
          <a:extLst>
            <a:ext uri="{FF2B5EF4-FFF2-40B4-BE49-F238E27FC236}">
              <a16:creationId xmlns:a16="http://schemas.microsoft.com/office/drawing/2014/main" id="{7299D8D3-7C7E-4599-9761-DB89EA610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18</xdr:row>
      <xdr:rowOff>0</xdr:rowOff>
    </xdr:from>
    <xdr:ext cx="9525" cy="9525"/>
    <xdr:pic>
      <xdr:nvPicPr>
        <xdr:cNvPr id="5586" name="Picture 5585">
          <a:extLst>
            <a:ext uri="{FF2B5EF4-FFF2-40B4-BE49-F238E27FC236}">
              <a16:creationId xmlns:a16="http://schemas.microsoft.com/office/drawing/2014/main" id="{6B9C3F3E-F369-4BE3-BB09-246CFDE18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18</xdr:row>
      <xdr:rowOff>0</xdr:rowOff>
    </xdr:from>
    <xdr:ext cx="9525" cy="9525"/>
    <xdr:pic>
      <xdr:nvPicPr>
        <xdr:cNvPr id="5587" name="Picture 5586">
          <a:extLst>
            <a:ext uri="{FF2B5EF4-FFF2-40B4-BE49-F238E27FC236}">
              <a16:creationId xmlns:a16="http://schemas.microsoft.com/office/drawing/2014/main" id="{7269B5FA-F675-4C83-823B-E28E9D8DA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18</xdr:row>
      <xdr:rowOff>0</xdr:rowOff>
    </xdr:from>
    <xdr:ext cx="9525" cy="9525"/>
    <xdr:pic>
      <xdr:nvPicPr>
        <xdr:cNvPr id="5588" name="Picture 5587">
          <a:extLst>
            <a:ext uri="{FF2B5EF4-FFF2-40B4-BE49-F238E27FC236}">
              <a16:creationId xmlns:a16="http://schemas.microsoft.com/office/drawing/2014/main" id="{2794CDAA-AE52-453E-BACE-B6958D077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18</xdr:row>
      <xdr:rowOff>0</xdr:rowOff>
    </xdr:from>
    <xdr:ext cx="9525" cy="9525"/>
    <xdr:pic>
      <xdr:nvPicPr>
        <xdr:cNvPr id="5589" name="Picture 5588">
          <a:extLst>
            <a:ext uri="{FF2B5EF4-FFF2-40B4-BE49-F238E27FC236}">
              <a16:creationId xmlns:a16="http://schemas.microsoft.com/office/drawing/2014/main" id="{844163D0-5312-47CF-A59A-8B0B9F927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18</xdr:row>
      <xdr:rowOff>0</xdr:rowOff>
    </xdr:from>
    <xdr:ext cx="9525" cy="9525"/>
    <xdr:pic>
      <xdr:nvPicPr>
        <xdr:cNvPr id="5590" name="Picture 5589">
          <a:extLst>
            <a:ext uri="{FF2B5EF4-FFF2-40B4-BE49-F238E27FC236}">
              <a16:creationId xmlns:a16="http://schemas.microsoft.com/office/drawing/2014/main" id="{53E039B1-BD02-4832-85C6-70B8F7F45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18</xdr:row>
      <xdr:rowOff>0</xdr:rowOff>
    </xdr:from>
    <xdr:ext cx="9525" cy="9525"/>
    <xdr:pic>
      <xdr:nvPicPr>
        <xdr:cNvPr id="5591" name="Picture 5590">
          <a:extLst>
            <a:ext uri="{FF2B5EF4-FFF2-40B4-BE49-F238E27FC236}">
              <a16:creationId xmlns:a16="http://schemas.microsoft.com/office/drawing/2014/main" id="{A5FE4C0F-3E51-4FD8-AC14-783961879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18</xdr:row>
      <xdr:rowOff>0</xdr:rowOff>
    </xdr:from>
    <xdr:ext cx="9525" cy="9525"/>
    <xdr:pic>
      <xdr:nvPicPr>
        <xdr:cNvPr id="5592" name="Picture 5591">
          <a:extLst>
            <a:ext uri="{FF2B5EF4-FFF2-40B4-BE49-F238E27FC236}">
              <a16:creationId xmlns:a16="http://schemas.microsoft.com/office/drawing/2014/main" id="{1B33110A-C771-43A3-8652-FAE24171E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18</xdr:row>
      <xdr:rowOff>0</xdr:rowOff>
    </xdr:from>
    <xdr:ext cx="9525" cy="9525"/>
    <xdr:pic>
      <xdr:nvPicPr>
        <xdr:cNvPr id="5593" name="Picture 5592">
          <a:extLst>
            <a:ext uri="{FF2B5EF4-FFF2-40B4-BE49-F238E27FC236}">
              <a16:creationId xmlns:a16="http://schemas.microsoft.com/office/drawing/2014/main" id="{1839AEC1-6AF2-476C-B95A-0699C2DAD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17</xdr:row>
      <xdr:rowOff>0</xdr:rowOff>
    </xdr:from>
    <xdr:ext cx="304800" cy="304800"/>
    <xdr:sp macro="" textlink="">
      <xdr:nvSpPr>
        <xdr:cNvPr id="5594" name="AutoShape 509">
          <a:extLst>
            <a:ext uri="{FF2B5EF4-FFF2-40B4-BE49-F238E27FC236}">
              <a16:creationId xmlns:a16="http://schemas.microsoft.com/office/drawing/2014/main" id="{12846E09-DEE0-4FB2-8FCC-0C6D299BFD7F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4359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18</xdr:row>
      <xdr:rowOff>0</xdr:rowOff>
    </xdr:from>
    <xdr:ext cx="304800" cy="304800"/>
    <xdr:sp macro="" textlink="">
      <xdr:nvSpPr>
        <xdr:cNvPr id="5595" name="AutoShape 511">
          <a:extLst>
            <a:ext uri="{FF2B5EF4-FFF2-40B4-BE49-F238E27FC236}">
              <a16:creationId xmlns:a16="http://schemas.microsoft.com/office/drawing/2014/main" id="{FE73001A-B158-48ED-9DF4-DA0DB968FB99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9</xdr:row>
      <xdr:rowOff>0</xdr:rowOff>
    </xdr:from>
    <xdr:ext cx="9525" cy="9525"/>
    <xdr:pic>
      <xdr:nvPicPr>
        <xdr:cNvPr id="5596" name="Picture 5595">
          <a:extLst>
            <a:ext uri="{FF2B5EF4-FFF2-40B4-BE49-F238E27FC236}">
              <a16:creationId xmlns:a16="http://schemas.microsoft.com/office/drawing/2014/main" id="{F72E39F8-A2E7-4ED4-A29A-EDFCA50C8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7</xdr:row>
      <xdr:rowOff>0</xdr:rowOff>
    </xdr:from>
    <xdr:ext cx="304800" cy="304800"/>
    <xdr:sp macro="" textlink="">
      <xdr:nvSpPr>
        <xdr:cNvPr id="5597" name="AutoShape 159">
          <a:extLst>
            <a:ext uri="{FF2B5EF4-FFF2-40B4-BE49-F238E27FC236}">
              <a16:creationId xmlns:a16="http://schemas.microsoft.com/office/drawing/2014/main" id="{3C564438-F0BC-4C29-8F10-899F9DA2B80A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9</xdr:row>
      <xdr:rowOff>0</xdr:rowOff>
    </xdr:from>
    <xdr:ext cx="9525" cy="9525"/>
    <xdr:pic>
      <xdr:nvPicPr>
        <xdr:cNvPr id="5598" name="Picture 5597">
          <a:extLst>
            <a:ext uri="{FF2B5EF4-FFF2-40B4-BE49-F238E27FC236}">
              <a16:creationId xmlns:a16="http://schemas.microsoft.com/office/drawing/2014/main" id="{9DBB3117-B9FF-467B-B984-2158B3AB3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9525" cy="9525"/>
    <xdr:pic>
      <xdr:nvPicPr>
        <xdr:cNvPr id="5599" name="Picture 5598">
          <a:extLst>
            <a:ext uri="{FF2B5EF4-FFF2-40B4-BE49-F238E27FC236}">
              <a16:creationId xmlns:a16="http://schemas.microsoft.com/office/drawing/2014/main" id="{95F578CE-6F62-4664-9F3E-F11BEC172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9525" cy="9525"/>
    <xdr:pic>
      <xdr:nvPicPr>
        <xdr:cNvPr id="5600" name="Picture 5599">
          <a:extLst>
            <a:ext uri="{FF2B5EF4-FFF2-40B4-BE49-F238E27FC236}">
              <a16:creationId xmlns:a16="http://schemas.microsoft.com/office/drawing/2014/main" id="{18117429-F4EF-46C6-BA8A-0D11A98F1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9525" cy="9525"/>
    <xdr:pic>
      <xdr:nvPicPr>
        <xdr:cNvPr id="5601" name="Picture 5600">
          <a:extLst>
            <a:ext uri="{FF2B5EF4-FFF2-40B4-BE49-F238E27FC236}">
              <a16:creationId xmlns:a16="http://schemas.microsoft.com/office/drawing/2014/main" id="{9CBB8F34-FBD9-449F-8DC2-033966956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9525" cy="9525"/>
    <xdr:pic>
      <xdr:nvPicPr>
        <xdr:cNvPr id="5602" name="Picture 5601">
          <a:extLst>
            <a:ext uri="{FF2B5EF4-FFF2-40B4-BE49-F238E27FC236}">
              <a16:creationId xmlns:a16="http://schemas.microsoft.com/office/drawing/2014/main" id="{1BE1DE89-ED1A-4C72-975A-69E6D2D5E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9525" cy="9525"/>
    <xdr:pic>
      <xdr:nvPicPr>
        <xdr:cNvPr id="5603" name="Picture 5602">
          <a:extLst>
            <a:ext uri="{FF2B5EF4-FFF2-40B4-BE49-F238E27FC236}">
              <a16:creationId xmlns:a16="http://schemas.microsoft.com/office/drawing/2014/main" id="{4EA61ABF-F1B1-432C-9BE8-3802D72CB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9525" cy="9525"/>
    <xdr:pic>
      <xdr:nvPicPr>
        <xdr:cNvPr id="5604" name="Picture 5603">
          <a:extLst>
            <a:ext uri="{FF2B5EF4-FFF2-40B4-BE49-F238E27FC236}">
              <a16:creationId xmlns:a16="http://schemas.microsoft.com/office/drawing/2014/main" id="{AD9A8E82-450F-48B3-B895-DEA99F240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9525" cy="9525"/>
    <xdr:pic>
      <xdr:nvPicPr>
        <xdr:cNvPr id="5605" name="Picture 5604">
          <a:extLst>
            <a:ext uri="{FF2B5EF4-FFF2-40B4-BE49-F238E27FC236}">
              <a16:creationId xmlns:a16="http://schemas.microsoft.com/office/drawing/2014/main" id="{2DED8BD2-0AB2-49AE-85B3-00762C3CD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9525" cy="9525"/>
    <xdr:pic>
      <xdr:nvPicPr>
        <xdr:cNvPr id="5606" name="Picture 5605">
          <a:extLst>
            <a:ext uri="{FF2B5EF4-FFF2-40B4-BE49-F238E27FC236}">
              <a16:creationId xmlns:a16="http://schemas.microsoft.com/office/drawing/2014/main" id="{64457F9E-2793-44F3-ADE9-EB7CA2F59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304800" cy="303439"/>
    <xdr:sp macro="" textlink="">
      <xdr:nvSpPr>
        <xdr:cNvPr id="5607" name="AutoShape 513">
          <a:extLst>
            <a:ext uri="{FF2B5EF4-FFF2-40B4-BE49-F238E27FC236}">
              <a16:creationId xmlns:a16="http://schemas.microsoft.com/office/drawing/2014/main" id="{4AB254D9-B3D1-407A-A72B-5971B212BE63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54453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9525" cy="9525"/>
    <xdr:pic>
      <xdr:nvPicPr>
        <xdr:cNvPr id="5608" name="Picture 5607">
          <a:extLst>
            <a:ext uri="{FF2B5EF4-FFF2-40B4-BE49-F238E27FC236}">
              <a16:creationId xmlns:a16="http://schemas.microsoft.com/office/drawing/2014/main" id="{82B72F00-D45C-4EBD-94FA-DA042DA90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10</xdr:row>
      <xdr:rowOff>0</xdr:rowOff>
    </xdr:from>
    <xdr:ext cx="9525" cy="9525"/>
    <xdr:pic>
      <xdr:nvPicPr>
        <xdr:cNvPr id="5609" name="Picture 5608">
          <a:extLst>
            <a:ext uri="{FF2B5EF4-FFF2-40B4-BE49-F238E27FC236}">
              <a16:creationId xmlns:a16="http://schemas.microsoft.com/office/drawing/2014/main" id="{86F37502-0109-469F-9AE4-516DD5C58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304800" cy="304800"/>
    <xdr:sp macro="" textlink="">
      <xdr:nvSpPr>
        <xdr:cNvPr id="5610" name="AutoShape 191">
          <a:extLst>
            <a:ext uri="{FF2B5EF4-FFF2-40B4-BE49-F238E27FC236}">
              <a16:creationId xmlns:a16="http://schemas.microsoft.com/office/drawing/2014/main" id="{F4325E20-FBA0-4C3A-8C79-909B6804D2AB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304800" cy="304800"/>
    <xdr:sp macro="" textlink="">
      <xdr:nvSpPr>
        <xdr:cNvPr id="5611" name="AutoShape 193">
          <a:extLst>
            <a:ext uri="{FF2B5EF4-FFF2-40B4-BE49-F238E27FC236}">
              <a16:creationId xmlns:a16="http://schemas.microsoft.com/office/drawing/2014/main" id="{9A25DC25-F833-47C8-9CD5-453603F7F04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9525" cy="9525"/>
    <xdr:pic>
      <xdr:nvPicPr>
        <xdr:cNvPr id="5612" name="Picture 5611">
          <a:extLst>
            <a:ext uri="{FF2B5EF4-FFF2-40B4-BE49-F238E27FC236}">
              <a16:creationId xmlns:a16="http://schemas.microsoft.com/office/drawing/2014/main" id="{CDB3685B-5E58-45D9-9521-E9F7749EF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304800" cy="304800"/>
    <xdr:sp macro="" textlink="">
      <xdr:nvSpPr>
        <xdr:cNvPr id="5613" name="AutoShape 217">
          <a:extLst>
            <a:ext uri="{FF2B5EF4-FFF2-40B4-BE49-F238E27FC236}">
              <a16:creationId xmlns:a16="http://schemas.microsoft.com/office/drawing/2014/main" id="{F34CF80A-AFAC-4C80-AE8F-80C564CBEF8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304800" cy="304800"/>
    <xdr:sp macro="" textlink="">
      <xdr:nvSpPr>
        <xdr:cNvPr id="5614" name="AutoShape 219">
          <a:extLst>
            <a:ext uri="{FF2B5EF4-FFF2-40B4-BE49-F238E27FC236}">
              <a16:creationId xmlns:a16="http://schemas.microsoft.com/office/drawing/2014/main" id="{E3484B4B-0412-4800-AF7A-61CEEF5CD23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9525" cy="9525"/>
    <xdr:pic>
      <xdr:nvPicPr>
        <xdr:cNvPr id="5615" name="Picture 5614">
          <a:extLst>
            <a:ext uri="{FF2B5EF4-FFF2-40B4-BE49-F238E27FC236}">
              <a16:creationId xmlns:a16="http://schemas.microsoft.com/office/drawing/2014/main" id="{8DEECA7C-D5BF-4848-844D-56AABB50C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304800" cy="304800"/>
    <xdr:sp macro="" textlink="">
      <xdr:nvSpPr>
        <xdr:cNvPr id="5616" name="AutoShape 241">
          <a:extLst>
            <a:ext uri="{FF2B5EF4-FFF2-40B4-BE49-F238E27FC236}">
              <a16:creationId xmlns:a16="http://schemas.microsoft.com/office/drawing/2014/main" id="{520EAECD-9718-462E-96D7-F09FA699782B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304800" cy="304800"/>
    <xdr:sp macro="" textlink="">
      <xdr:nvSpPr>
        <xdr:cNvPr id="5617" name="AutoShape 243">
          <a:extLst>
            <a:ext uri="{FF2B5EF4-FFF2-40B4-BE49-F238E27FC236}">
              <a16:creationId xmlns:a16="http://schemas.microsoft.com/office/drawing/2014/main" id="{DB0C25D6-3263-4560-A53C-D1DD7614D8D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9525" cy="9525"/>
    <xdr:pic>
      <xdr:nvPicPr>
        <xdr:cNvPr id="5618" name="Picture 5617">
          <a:extLst>
            <a:ext uri="{FF2B5EF4-FFF2-40B4-BE49-F238E27FC236}">
              <a16:creationId xmlns:a16="http://schemas.microsoft.com/office/drawing/2014/main" id="{43A449C8-2A7A-4B39-92C5-56704D15B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304800" cy="304800"/>
    <xdr:sp macro="" textlink="">
      <xdr:nvSpPr>
        <xdr:cNvPr id="5619" name="AutoShape 267">
          <a:extLst>
            <a:ext uri="{FF2B5EF4-FFF2-40B4-BE49-F238E27FC236}">
              <a16:creationId xmlns:a16="http://schemas.microsoft.com/office/drawing/2014/main" id="{5597A2BF-977F-488A-AFC4-705FBFB71BD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304800" cy="304800"/>
    <xdr:sp macro="" textlink="">
      <xdr:nvSpPr>
        <xdr:cNvPr id="5620" name="AutoShape 269">
          <a:extLst>
            <a:ext uri="{FF2B5EF4-FFF2-40B4-BE49-F238E27FC236}">
              <a16:creationId xmlns:a16="http://schemas.microsoft.com/office/drawing/2014/main" id="{1CFECDAC-D1B3-4575-94E0-846265130F31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9525" cy="9525"/>
    <xdr:pic>
      <xdr:nvPicPr>
        <xdr:cNvPr id="5621" name="Picture 5620">
          <a:extLst>
            <a:ext uri="{FF2B5EF4-FFF2-40B4-BE49-F238E27FC236}">
              <a16:creationId xmlns:a16="http://schemas.microsoft.com/office/drawing/2014/main" id="{65661298-36B1-4434-ADBC-8CD56EAFE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304800" cy="304800"/>
    <xdr:sp macro="" textlink="">
      <xdr:nvSpPr>
        <xdr:cNvPr id="5622" name="AutoShape 319">
          <a:extLst>
            <a:ext uri="{FF2B5EF4-FFF2-40B4-BE49-F238E27FC236}">
              <a16:creationId xmlns:a16="http://schemas.microsoft.com/office/drawing/2014/main" id="{6D39CF3B-EF32-4035-BF7F-DBBE0D455970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9525" cy="9525"/>
    <xdr:pic>
      <xdr:nvPicPr>
        <xdr:cNvPr id="5623" name="Picture 5622">
          <a:extLst>
            <a:ext uri="{FF2B5EF4-FFF2-40B4-BE49-F238E27FC236}">
              <a16:creationId xmlns:a16="http://schemas.microsoft.com/office/drawing/2014/main" id="{740964BA-F649-44BF-BA09-7D24190E2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10</xdr:row>
      <xdr:rowOff>0</xdr:rowOff>
    </xdr:from>
    <xdr:ext cx="9525" cy="9525"/>
    <xdr:pic>
      <xdr:nvPicPr>
        <xdr:cNvPr id="5624" name="Picture 5623">
          <a:extLst>
            <a:ext uri="{FF2B5EF4-FFF2-40B4-BE49-F238E27FC236}">
              <a16:creationId xmlns:a16="http://schemas.microsoft.com/office/drawing/2014/main" id="{AC9AB6E8-FAE4-444B-B9D0-5FA9F6E80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10</xdr:row>
      <xdr:rowOff>0</xdr:rowOff>
    </xdr:from>
    <xdr:ext cx="9525" cy="9525"/>
    <xdr:pic>
      <xdr:nvPicPr>
        <xdr:cNvPr id="5625" name="Picture 5624">
          <a:extLst>
            <a:ext uri="{FF2B5EF4-FFF2-40B4-BE49-F238E27FC236}">
              <a16:creationId xmlns:a16="http://schemas.microsoft.com/office/drawing/2014/main" id="{2147E48E-F8A0-4B4E-BBA0-DF7795808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10</xdr:row>
      <xdr:rowOff>0</xdr:rowOff>
    </xdr:from>
    <xdr:ext cx="9525" cy="9525"/>
    <xdr:pic>
      <xdr:nvPicPr>
        <xdr:cNvPr id="5626" name="Picture 5625">
          <a:extLst>
            <a:ext uri="{FF2B5EF4-FFF2-40B4-BE49-F238E27FC236}">
              <a16:creationId xmlns:a16="http://schemas.microsoft.com/office/drawing/2014/main" id="{994DE72B-E6B2-4E07-800D-76BFDA68B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11</xdr:row>
      <xdr:rowOff>0</xdr:rowOff>
    </xdr:from>
    <xdr:ext cx="9525" cy="9525"/>
    <xdr:pic>
      <xdr:nvPicPr>
        <xdr:cNvPr id="5627" name="Picture 5626">
          <a:extLst>
            <a:ext uri="{FF2B5EF4-FFF2-40B4-BE49-F238E27FC236}">
              <a16:creationId xmlns:a16="http://schemas.microsoft.com/office/drawing/2014/main" id="{3AA0E0AA-8206-4BF1-A590-C5D0E2318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979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22</xdr:row>
      <xdr:rowOff>0</xdr:rowOff>
    </xdr:from>
    <xdr:ext cx="9525" cy="9525"/>
    <xdr:pic>
      <xdr:nvPicPr>
        <xdr:cNvPr id="5628" name="Picture 5627">
          <a:extLst>
            <a:ext uri="{FF2B5EF4-FFF2-40B4-BE49-F238E27FC236}">
              <a16:creationId xmlns:a16="http://schemas.microsoft.com/office/drawing/2014/main" id="{0D116B98-23A2-402A-B1D2-0A5CC5673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22</xdr:row>
      <xdr:rowOff>0</xdr:rowOff>
    </xdr:from>
    <xdr:ext cx="9525" cy="9525"/>
    <xdr:pic>
      <xdr:nvPicPr>
        <xdr:cNvPr id="5629" name="Picture 5628">
          <a:extLst>
            <a:ext uri="{FF2B5EF4-FFF2-40B4-BE49-F238E27FC236}">
              <a16:creationId xmlns:a16="http://schemas.microsoft.com/office/drawing/2014/main" id="{FA526C02-144B-46CE-88FA-30801A2B6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22</xdr:row>
      <xdr:rowOff>0</xdr:rowOff>
    </xdr:from>
    <xdr:ext cx="9525" cy="9525"/>
    <xdr:pic>
      <xdr:nvPicPr>
        <xdr:cNvPr id="5630" name="Picture 5629">
          <a:extLst>
            <a:ext uri="{FF2B5EF4-FFF2-40B4-BE49-F238E27FC236}">
              <a16:creationId xmlns:a16="http://schemas.microsoft.com/office/drawing/2014/main" id="{6E3098A0-CF35-4688-B4E0-3BEC325B3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22</xdr:row>
      <xdr:rowOff>0</xdr:rowOff>
    </xdr:from>
    <xdr:ext cx="9525" cy="9525"/>
    <xdr:pic>
      <xdr:nvPicPr>
        <xdr:cNvPr id="5631" name="Picture 5630">
          <a:extLst>
            <a:ext uri="{FF2B5EF4-FFF2-40B4-BE49-F238E27FC236}">
              <a16:creationId xmlns:a16="http://schemas.microsoft.com/office/drawing/2014/main" id="{896F77AE-63F3-4CCE-A724-D73CA0777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22</xdr:row>
      <xdr:rowOff>0</xdr:rowOff>
    </xdr:from>
    <xdr:ext cx="9525" cy="9525"/>
    <xdr:pic>
      <xdr:nvPicPr>
        <xdr:cNvPr id="5632" name="Picture 5631">
          <a:extLst>
            <a:ext uri="{FF2B5EF4-FFF2-40B4-BE49-F238E27FC236}">
              <a16:creationId xmlns:a16="http://schemas.microsoft.com/office/drawing/2014/main" id="{686EF2ED-A02E-43E0-BEF0-463E34E1E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22</xdr:row>
      <xdr:rowOff>0</xdr:rowOff>
    </xdr:from>
    <xdr:ext cx="9525" cy="9525"/>
    <xdr:pic>
      <xdr:nvPicPr>
        <xdr:cNvPr id="5633" name="Picture 5632">
          <a:extLst>
            <a:ext uri="{FF2B5EF4-FFF2-40B4-BE49-F238E27FC236}">
              <a16:creationId xmlns:a16="http://schemas.microsoft.com/office/drawing/2014/main" id="{C75EE1FE-0C2D-4B97-A893-14308D5FB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22</xdr:row>
      <xdr:rowOff>0</xdr:rowOff>
    </xdr:from>
    <xdr:ext cx="9525" cy="9525"/>
    <xdr:pic>
      <xdr:nvPicPr>
        <xdr:cNvPr id="5634" name="Picture 5633">
          <a:extLst>
            <a:ext uri="{FF2B5EF4-FFF2-40B4-BE49-F238E27FC236}">
              <a16:creationId xmlns:a16="http://schemas.microsoft.com/office/drawing/2014/main" id="{1C5E5275-688A-45E6-A449-363566BEA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22</xdr:row>
      <xdr:rowOff>0</xdr:rowOff>
    </xdr:from>
    <xdr:ext cx="9525" cy="9525"/>
    <xdr:pic>
      <xdr:nvPicPr>
        <xdr:cNvPr id="5635" name="Picture 5634">
          <a:extLst>
            <a:ext uri="{FF2B5EF4-FFF2-40B4-BE49-F238E27FC236}">
              <a16:creationId xmlns:a16="http://schemas.microsoft.com/office/drawing/2014/main" id="{1E025D5D-F03C-463A-9E8F-B812F0D2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22</xdr:row>
      <xdr:rowOff>0</xdr:rowOff>
    </xdr:from>
    <xdr:ext cx="9525" cy="9525"/>
    <xdr:pic>
      <xdr:nvPicPr>
        <xdr:cNvPr id="5636" name="Picture 5635">
          <a:extLst>
            <a:ext uri="{FF2B5EF4-FFF2-40B4-BE49-F238E27FC236}">
              <a16:creationId xmlns:a16="http://schemas.microsoft.com/office/drawing/2014/main" id="{179EFD35-D89E-45DC-80B1-D00BE888D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22</xdr:row>
      <xdr:rowOff>0</xdr:rowOff>
    </xdr:from>
    <xdr:ext cx="9525" cy="9525"/>
    <xdr:pic>
      <xdr:nvPicPr>
        <xdr:cNvPr id="5637" name="Picture 5636">
          <a:extLst>
            <a:ext uri="{FF2B5EF4-FFF2-40B4-BE49-F238E27FC236}">
              <a16:creationId xmlns:a16="http://schemas.microsoft.com/office/drawing/2014/main" id="{15F74CC1-42B3-490B-88BB-94FA40FE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21</xdr:row>
      <xdr:rowOff>0</xdr:rowOff>
    </xdr:from>
    <xdr:ext cx="304800" cy="303439"/>
    <xdr:sp macro="" textlink="">
      <xdr:nvSpPr>
        <xdr:cNvPr id="5638" name="AutoShape 513">
          <a:extLst>
            <a:ext uri="{FF2B5EF4-FFF2-40B4-BE49-F238E27FC236}">
              <a16:creationId xmlns:a16="http://schemas.microsoft.com/office/drawing/2014/main" id="{8B9DD486-1582-45CB-B704-2CFDBEBEF89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26596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22</xdr:row>
      <xdr:rowOff>0</xdr:rowOff>
    </xdr:from>
    <xdr:ext cx="304800" cy="304800"/>
    <xdr:sp macro="" textlink="">
      <xdr:nvSpPr>
        <xdr:cNvPr id="5639" name="AutoShape 515">
          <a:extLst>
            <a:ext uri="{FF2B5EF4-FFF2-40B4-BE49-F238E27FC236}">
              <a16:creationId xmlns:a16="http://schemas.microsoft.com/office/drawing/2014/main" id="{E44C66BA-2025-44FB-8CDE-84792CC8D86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23</xdr:row>
      <xdr:rowOff>0</xdr:rowOff>
    </xdr:from>
    <xdr:ext cx="9525" cy="9525"/>
    <xdr:pic>
      <xdr:nvPicPr>
        <xdr:cNvPr id="5640" name="Picture 5639">
          <a:extLst>
            <a:ext uri="{FF2B5EF4-FFF2-40B4-BE49-F238E27FC236}">
              <a16:creationId xmlns:a16="http://schemas.microsoft.com/office/drawing/2014/main" id="{9E210F4A-9CF2-48E8-9BF6-D6FB1C6BE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9525" cy="9525"/>
    <xdr:pic>
      <xdr:nvPicPr>
        <xdr:cNvPr id="5641" name="Picture 5640">
          <a:extLst>
            <a:ext uri="{FF2B5EF4-FFF2-40B4-BE49-F238E27FC236}">
              <a16:creationId xmlns:a16="http://schemas.microsoft.com/office/drawing/2014/main" id="{9F84EC03-A32B-4184-B7EA-2B649B2C2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642" name="AutoShape 191">
          <a:extLst>
            <a:ext uri="{FF2B5EF4-FFF2-40B4-BE49-F238E27FC236}">
              <a16:creationId xmlns:a16="http://schemas.microsoft.com/office/drawing/2014/main" id="{7EA8A9A9-3C3B-459D-B73D-E6AB94A90F4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23</xdr:row>
      <xdr:rowOff>0</xdr:rowOff>
    </xdr:from>
    <xdr:ext cx="9525" cy="9525"/>
    <xdr:pic>
      <xdr:nvPicPr>
        <xdr:cNvPr id="5643" name="Picture 5642">
          <a:extLst>
            <a:ext uri="{FF2B5EF4-FFF2-40B4-BE49-F238E27FC236}">
              <a16:creationId xmlns:a16="http://schemas.microsoft.com/office/drawing/2014/main" id="{C58F9920-A482-42B2-875E-DDC3A7E9E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644" name="AutoShape 217">
          <a:extLst>
            <a:ext uri="{FF2B5EF4-FFF2-40B4-BE49-F238E27FC236}">
              <a16:creationId xmlns:a16="http://schemas.microsoft.com/office/drawing/2014/main" id="{37F9C028-53F0-43FE-A0E8-A50C2637403F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23</xdr:row>
      <xdr:rowOff>0</xdr:rowOff>
    </xdr:from>
    <xdr:ext cx="9525" cy="9525"/>
    <xdr:pic>
      <xdr:nvPicPr>
        <xdr:cNvPr id="5645" name="Picture 5644">
          <a:extLst>
            <a:ext uri="{FF2B5EF4-FFF2-40B4-BE49-F238E27FC236}">
              <a16:creationId xmlns:a16="http://schemas.microsoft.com/office/drawing/2014/main" id="{8448B6EE-2500-4E16-B02E-36521E476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646" name="AutoShape 241">
          <a:extLst>
            <a:ext uri="{FF2B5EF4-FFF2-40B4-BE49-F238E27FC236}">
              <a16:creationId xmlns:a16="http://schemas.microsoft.com/office/drawing/2014/main" id="{70DEDC51-35F4-4B87-9144-EE6C011A42A4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23</xdr:row>
      <xdr:rowOff>0</xdr:rowOff>
    </xdr:from>
    <xdr:ext cx="9525" cy="9525"/>
    <xdr:pic>
      <xdr:nvPicPr>
        <xdr:cNvPr id="5647" name="Picture 5646">
          <a:extLst>
            <a:ext uri="{FF2B5EF4-FFF2-40B4-BE49-F238E27FC236}">
              <a16:creationId xmlns:a16="http://schemas.microsoft.com/office/drawing/2014/main" id="{CB56863E-50AE-4A7B-8ADB-2494DCE98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648" name="AutoShape 267">
          <a:extLst>
            <a:ext uri="{FF2B5EF4-FFF2-40B4-BE49-F238E27FC236}">
              <a16:creationId xmlns:a16="http://schemas.microsoft.com/office/drawing/2014/main" id="{3E75DD50-E0F0-4F5B-863D-FF245FEDF9F3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23</xdr:row>
      <xdr:rowOff>0</xdr:rowOff>
    </xdr:from>
    <xdr:ext cx="9525" cy="9525"/>
    <xdr:pic>
      <xdr:nvPicPr>
        <xdr:cNvPr id="5649" name="Picture 5648">
          <a:extLst>
            <a:ext uri="{FF2B5EF4-FFF2-40B4-BE49-F238E27FC236}">
              <a16:creationId xmlns:a16="http://schemas.microsoft.com/office/drawing/2014/main" id="{8BECA99B-2F0F-44DC-A7F0-AF29F7FD5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650" name="AutoShape 319">
          <a:extLst>
            <a:ext uri="{FF2B5EF4-FFF2-40B4-BE49-F238E27FC236}">
              <a16:creationId xmlns:a16="http://schemas.microsoft.com/office/drawing/2014/main" id="{6055E779-152C-41D9-843F-D248D3551A2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23</xdr:row>
      <xdr:rowOff>0</xdr:rowOff>
    </xdr:from>
    <xdr:ext cx="9525" cy="9525"/>
    <xdr:pic>
      <xdr:nvPicPr>
        <xdr:cNvPr id="5651" name="Picture 5650">
          <a:extLst>
            <a:ext uri="{FF2B5EF4-FFF2-40B4-BE49-F238E27FC236}">
              <a16:creationId xmlns:a16="http://schemas.microsoft.com/office/drawing/2014/main" id="{6F8A7C4C-1A7E-421D-B7A0-EA35375DA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652" name="AutoShape 371">
          <a:extLst>
            <a:ext uri="{FF2B5EF4-FFF2-40B4-BE49-F238E27FC236}">
              <a16:creationId xmlns:a16="http://schemas.microsoft.com/office/drawing/2014/main" id="{17AC7034-B980-4CC0-A16A-4709AD92A36F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23</xdr:row>
      <xdr:rowOff>0</xdr:rowOff>
    </xdr:from>
    <xdr:ext cx="9525" cy="9525"/>
    <xdr:pic>
      <xdr:nvPicPr>
        <xdr:cNvPr id="5653" name="Picture 5652">
          <a:extLst>
            <a:ext uri="{FF2B5EF4-FFF2-40B4-BE49-F238E27FC236}">
              <a16:creationId xmlns:a16="http://schemas.microsoft.com/office/drawing/2014/main" id="{741A9FBA-B668-4016-8C78-66ECE7AA7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654" name="AutoShape 427">
          <a:extLst>
            <a:ext uri="{FF2B5EF4-FFF2-40B4-BE49-F238E27FC236}">
              <a16:creationId xmlns:a16="http://schemas.microsoft.com/office/drawing/2014/main" id="{2538B02D-C9CF-471C-9D4A-1767AAE265E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23</xdr:row>
      <xdr:rowOff>0</xdr:rowOff>
    </xdr:from>
    <xdr:ext cx="9525" cy="9525"/>
    <xdr:pic>
      <xdr:nvPicPr>
        <xdr:cNvPr id="5655" name="Picture 5654">
          <a:extLst>
            <a:ext uri="{FF2B5EF4-FFF2-40B4-BE49-F238E27FC236}">
              <a16:creationId xmlns:a16="http://schemas.microsoft.com/office/drawing/2014/main" id="{67D8FF80-8B99-4341-B969-883FE0EF3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656" name="AutoShape 483">
          <a:extLst>
            <a:ext uri="{FF2B5EF4-FFF2-40B4-BE49-F238E27FC236}">
              <a16:creationId xmlns:a16="http://schemas.microsoft.com/office/drawing/2014/main" id="{0A76C3D6-122C-4022-9DE8-BEA57D9E6E0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23</xdr:row>
      <xdr:rowOff>0</xdr:rowOff>
    </xdr:from>
    <xdr:ext cx="9525" cy="9525"/>
    <xdr:pic>
      <xdr:nvPicPr>
        <xdr:cNvPr id="5657" name="Picture 5656">
          <a:extLst>
            <a:ext uri="{FF2B5EF4-FFF2-40B4-BE49-F238E27FC236}">
              <a16:creationId xmlns:a16="http://schemas.microsoft.com/office/drawing/2014/main" id="{C1F026DA-0679-4B62-8DD7-3F767B2BC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22</xdr:row>
      <xdr:rowOff>0</xdr:rowOff>
    </xdr:from>
    <xdr:ext cx="304800" cy="304800"/>
    <xdr:sp macro="" textlink="">
      <xdr:nvSpPr>
        <xdr:cNvPr id="5658" name="AutoShape 515">
          <a:extLst>
            <a:ext uri="{FF2B5EF4-FFF2-40B4-BE49-F238E27FC236}">
              <a16:creationId xmlns:a16="http://schemas.microsoft.com/office/drawing/2014/main" id="{6EED3AB3-B44D-4150-B94F-AB81072D597A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659" name="AutoShape 517">
          <a:extLst>
            <a:ext uri="{FF2B5EF4-FFF2-40B4-BE49-F238E27FC236}">
              <a16:creationId xmlns:a16="http://schemas.microsoft.com/office/drawing/2014/main" id="{BCBAF10E-A77B-454D-8985-578D7C31206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9525" cy="9525"/>
    <xdr:pic>
      <xdr:nvPicPr>
        <xdr:cNvPr id="5660" name="Picture 5659">
          <a:extLst>
            <a:ext uri="{FF2B5EF4-FFF2-40B4-BE49-F238E27FC236}">
              <a16:creationId xmlns:a16="http://schemas.microsoft.com/office/drawing/2014/main" id="{5C938D11-4C82-47A0-87B5-6A5128E82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24</xdr:row>
      <xdr:rowOff>0</xdr:rowOff>
    </xdr:from>
    <xdr:ext cx="304800" cy="303440"/>
    <xdr:sp macro="" textlink="">
      <xdr:nvSpPr>
        <xdr:cNvPr id="5661" name="AutoShape 169">
          <a:extLst>
            <a:ext uri="{FF2B5EF4-FFF2-40B4-BE49-F238E27FC236}">
              <a16:creationId xmlns:a16="http://schemas.microsoft.com/office/drawing/2014/main" id="{B1340851-D3EF-45D0-9992-6D0892995A0A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9525" cy="9525"/>
    <xdr:pic>
      <xdr:nvPicPr>
        <xdr:cNvPr id="5662" name="Picture 5661">
          <a:extLst>
            <a:ext uri="{FF2B5EF4-FFF2-40B4-BE49-F238E27FC236}">
              <a16:creationId xmlns:a16="http://schemas.microsoft.com/office/drawing/2014/main" id="{B52AC7AE-6BB5-40E5-A4AF-83B926FD9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24</xdr:row>
      <xdr:rowOff>0</xdr:rowOff>
    </xdr:from>
    <xdr:ext cx="304800" cy="303440"/>
    <xdr:sp macro="" textlink="">
      <xdr:nvSpPr>
        <xdr:cNvPr id="5663" name="AutoShape 199">
          <a:extLst>
            <a:ext uri="{FF2B5EF4-FFF2-40B4-BE49-F238E27FC236}">
              <a16:creationId xmlns:a16="http://schemas.microsoft.com/office/drawing/2014/main" id="{20AA95A0-7839-4A12-9D23-6AB48CFA21D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9525" cy="9525"/>
    <xdr:pic>
      <xdr:nvPicPr>
        <xdr:cNvPr id="5664" name="Picture 5663">
          <a:extLst>
            <a:ext uri="{FF2B5EF4-FFF2-40B4-BE49-F238E27FC236}">
              <a16:creationId xmlns:a16="http://schemas.microsoft.com/office/drawing/2014/main" id="{2232ED04-1EE6-4897-A764-70C52C124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665" name="AutoShape 223">
          <a:extLst>
            <a:ext uri="{FF2B5EF4-FFF2-40B4-BE49-F238E27FC236}">
              <a16:creationId xmlns:a16="http://schemas.microsoft.com/office/drawing/2014/main" id="{6B65B0C4-9125-46B9-84A0-CE1E479B5C9B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9525" cy="9525"/>
    <xdr:pic>
      <xdr:nvPicPr>
        <xdr:cNvPr id="5666" name="Picture 5665">
          <a:extLst>
            <a:ext uri="{FF2B5EF4-FFF2-40B4-BE49-F238E27FC236}">
              <a16:creationId xmlns:a16="http://schemas.microsoft.com/office/drawing/2014/main" id="{764EBA28-9F5D-45F5-8100-A165B4528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667" name="AutoShape 247">
          <a:extLst>
            <a:ext uri="{FF2B5EF4-FFF2-40B4-BE49-F238E27FC236}">
              <a16:creationId xmlns:a16="http://schemas.microsoft.com/office/drawing/2014/main" id="{06CA9385-9155-49C2-84FF-5957D4AC8B0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304800" cy="303440"/>
    <xdr:sp macro="" textlink="">
      <xdr:nvSpPr>
        <xdr:cNvPr id="5668" name="AutoShape 249">
          <a:extLst>
            <a:ext uri="{FF2B5EF4-FFF2-40B4-BE49-F238E27FC236}">
              <a16:creationId xmlns:a16="http://schemas.microsoft.com/office/drawing/2014/main" id="{7DE5C153-7EE2-4738-A1DB-EC1328CD3621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9525" cy="9525"/>
    <xdr:pic>
      <xdr:nvPicPr>
        <xdr:cNvPr id="5669" name="Picture 5668">
          <a:extLst>
            <a:ext uri="{FF2B5EF4-FFF2-40B4-BE49-F238E27FC236}">
              <a16:creationId xmlns:a16="http://schemas.microsoft.com/office/drawing/2014/main" id="{8D25B184-CE8F-497E-87CA-B830E74AF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670" name="AutoShape 273">
          <a:extLst>
            <a:ext uri="{FF2B5EF4-FFF2-40B4-BE49-F238E27FC236}">
              <a16:creationId xmlns:a16="http://schemas.microsoft.com/office/drawing/2014/main" id="{D6E8C0C6-332A-442A-8AA9-AE33FCFD20C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304800" cy="303440"/>
    <xdr:sp macro="" textlink="">
      <xdr:nvSpPr>
        <xdr:cNvPr id="5671" name="AutoShape 275">
          <a:extLst>
            <a:ext uri="{FF2B5EF4-FFF2-40B4-BE49-F238E27FC236}">
              <a16:creationId xmlns:a16="http://schemas.microsoft.com/office/drawing/2014/main" id="{31D63E98-DDBF-4530-AD9F-D55197D1E844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9525" cy="9525"/>
    <xdr:pic>
      <xdr:nvPicPr>
        <xdr:cNvPr id="5672" name="Picture 5671">
          <a:extLst>
            <a:ext uri="{FF2B5EF4-FFF2-40B4-BE49-F238E27FC236}">
              <a16:creationId xmlns:a16="http://schemas.microsoft.com/office/drawing/2014/main" id="{64D8B075-369D-4703-8823-3E22F6FE1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673" name="AutoShape 325">
          <a:extLst>
            <a:ext uri="{FF2B5EF4-FFF2-40B4-BE49-F238E27FC236}">
              <a16:creationId xmlns:a16="http://schemas.microsoft.com/office/drawing/2014/main" id="{E99A78BD-4B66-46C7-BB60-7096F9ACB25B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304800" cy="303440"/>
    <xdr:sp macro="" textlink="">
      <xdr:nvSpPr>
        <xdr:cNvPr id="5674" name="AutoShape 327">
          <a:extLst>
            <a:ext uri="{FF2B5EF4-FFF2-40B4-BE49-F238E27FC236}">
              <a16:creationId xmlns:a16="http://schemas.microsoft.com/office/drawing/2014/main" id="{EC4D9AFC-57CB-418D-8235-D4E088C9E06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9525" cy="9525"/>
    <xdr:pic>
      <xdr:nvPicPr>
        <xdr:cNvPr id="5675" name="Picture 5674">
          <a:extLst>
            <a:ext uri="{FF2B5EF4-FFF2-40B4-BE49-F238E27FC236}">
              <a16:creationId xmlns:a16="http://schemas.microsoft.com/office/drawing/2014/main" id="{016C481A-D17F-491D-91CA-8C9647E2E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676" name="AutoShape 377">
          <a:extLst>
            <a:ext uri="{FF2B5EF4-FFF2-40B4-BE49-F238E27FC236}">
              <a16:creationId xmlns:a16="http://schemas.microsoft.com/office/drawing/2014/main" id="{CEA5C124-13FF-4A29-ACEE-430D4FBD0C4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304800" cy="303440"/>
    <xdr:sp macro="" textlink="">
      <xdr:nvSpPr>
        <xdr:cNvPr id="5677" name="AutoShape 379">
          <a:extLst>
            <a:ext uri="{FF2B5EF4-FFF2-40B4-BE49-F238E27FC236}">
              <a16:creationId xmlns:a16="http://schemas.microsoft.com/office/drawing/2014/main" id="{BF117B4A-921A-470B-97EC-0837DE44171A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9525" cy="9525"/>
    <xdr:pic>
      <xdr:nvPicPr>
        <xdr:cNvPr id="5678" name="Picture 5677">
          <a:extLst>
            <a:ext uri="{FF2B5EF4-FFF2-40B4-BE49-F238E27FC236}">
              <a16:creationId xmlns:a16="http://schemas.microsoft.com/office/drawing/2014/main" id="{118BB234-4934-4845-9BFE-C95EC912B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679" name="AutoShape 433">
          <a:extLst>
            <a:ext uri="{FF2B5EF4-FFF2-40B4-BE49-F238E27FC236}">
              <a16:creationId xmlns:a16="http://schemas.microsoft.com/office/drawing/2014/main" id="{89B1ADEA-F65E-4781-9704-2A63651C4E38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304800" cy="303440"/>
    <xdr:sp macro="" textlink="">
      <xdr:nvSpPr>
        <xdr:cNvPr id="5680" name="AutoShape 435">
          <a:extLst>
            <a:ext uri="{FF2B5EF4-FFF2-40B4-BE49-F238E27FC236}">
              <a16:creationId xmlns:a16="http://schemas.microsoft.com/office/drawing/2014/main" id="{C2D5115D-FE9C-477B-B333-11166F31A099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9525" cy="9525"/>
    <xdr:pic>
      <xdr:nvPicPr>
        <xdr:cNvPr id="5681" name="Picture 5680">
          <a:extLst>
            <a:ext uri="{FF2B5EF4-FFF2-40B4-BE49-F238E27FC236}">
              <a16:creationId xmlns:a16="http://schemas.microsoft.com/office/drawing/2014/main" id="{DFBC0E87-A255-4AF8-9632-832A72969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682" name="AutoShape 489">
          <a:extLst>
            <a:ext uri="{FF2B5EF4-FFF2-40B4-BE49-F238E27FC236}">
              <a16:creationId xmlns:a16="http://schemas.microsoft.com/office/drawing/2014/main" id="{CA1EE1D9-78EF-4785-9C69-C0B634F216AF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304800" cy="303440"/>
    <xdr:sp macro="" textlink="">
      <xdr:nvSpPr>
        <xdr:cNvPr id="5683" name="AutoShape 491">
          <a:extLst>
            <a:ext uri="{FF2B5EF4-FFF2-40B4-BE49-F238E27FC236}">
              <a16:creationId xmlns:a16="http://schemas.microsoft.com/office/drawing/2014/main" id="{7B00855B-7099-418D-85B1-6831136540B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9525" cy="9525"/>
    <xdr:pic>
      <xdr:nvPicPr>
        <xdr:cNvPr id="5684" name="Picture 5683">
          <a:extLst>
            <a:ext uri="{FF2B5EF4-FFF2-40B4-BE49-F238E27FC236}">
              <a16:creationId xmlns:a16="http://schemas.microsoft.com/office/drawing/2014/main" id="{EACBDAAB-BE79-4D4E-8380-CFCDA1C72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685" name="AutoShape 523">
          <a:extLst>
            <a:ext uri="{FF2B5EF4-FFF2-40B4-BE49-F238E27FC236}">
              <a16:creationId xmlns:a16="http://schemas.microsoft.com/office/drawing/2014/main" id="{B4547755-1314-430B-A305-9B60850A12D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304800" cy="303440"/>
    <xdr:sp macro="" textlink="">
      <xdr:nvSpPr>
        <xdr:cNvPr id="5686" name="AutoShape 525">
          <a:extLst>
            <a:ext uri="{FF2B5EF4-FFF2-40B4-BE49-F238E27FC236}">
              <a16:creationId xmlns:a16="http://schemas.microsoft.com/office/drawing/2014/main" id="{365B6FAA-AEC3-4F71-A05A-0E095F3BE313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3</xdr:row>
      <xdr:rowOff>0</xdr:rowOff>
    </xdr:from>
    <xdr:ext cx="9525" cy="9525"/>
    <xdr:pic>
      <xdr:nvPicPr>
        <xdr:cNvPr id="5687" name="Picture 5686">
          <a:extLst>
            <a:ext uri="{FF2B5EF4-FFF2-40B4-BE49-F238E27FC236}">
              <a16:creationId xmlns:a16="http://schemas.microsoft.com/office/drawing/2014/main" id="{16A2945B-731A-4245-A5AD-A7A995D03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</xdr:row>
      <xdr:rowOff>0</xdr:rowOff>
    </xdr:from>
    <xdr:ext cx="304800" cy="303439"/>
    <xdr:sp macro="" textlink="">
      <xdr:nvSpPr>
        <xdr:cNvPr id="5688" name="AutoShape 25">
          <a:extLst>
            <a:ext uri="{FF2B5EF4-FFF2-40B4-BE49-F238E27FC236}">
              <a16:creationId xmlns:a16="http://schemas.microsoft.com/office/drawing/2014/main" id="{37143E18-0D61-4119-9B7E-8DA9AB95208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9525" cy="9525"/>
    <xdr:pic>
      <xdr:nvPicPr>
        <xdr:cNvPr id="5689" name="Picture 5688">
          <a:extLst>
            <a:ext uri="{FF2B5EF4-FFF2-40B4-BE49-F238E27FC236}">
              <a16:creationId xmlns:a16="http://schemas.microsoft.com/office/drawing/2014/main" id="{AAF36041-9382-4A51-A5AC-C56B10055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9525" cy="9525"/>
    <xdr:pic>
      <xdr:nvPicPr>
        <xdr:cNvPr id="5690" name="Picture 5689">
          <a:extLst>
            <a:ext uri="{FF2B5EF4-FFF2-40B4-BE49-F238E27FC236}">
              <a16:creationId xmlns:a16="http://schemas.microsoft.com/office/drawing/2014/main" id="{FB6F4C59-7D22-4451-BE54-8581D6636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6</xdr:row>
      <xdr:rowOff>0</xdr:rowOff>
    </xdr:from>
    <xdr:ext cx="9525" cy="9525"/>
    <xdr:pic>
      <xdr:nvPicPr>
        <xdr:cNvPr id="5691" name="Picture 5690">
          <a:extLst>
            <a:ext uri="{FF2B5EF4-FFF2-40B4-BE49-F238E27FC236}">
              <a16:creationId xmlns:a16="http://schemas.microsoft.com/office/drawing/2014/main" id="{8435ADC8-5446-4B64-8674-997B144BD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5692" name="AutoShape 29">
          <a:extLst>
            <a:ext uri="{FF2B5EF4-FFF2-40B4-BE49-F238E27FC236}">
              <a16:creationId xmlns:a16="http://schemas.microsoft.com/office/drawing/2014/main" id="{D2109403-ACA1-4818-9EEA-419B6C0B86F8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693" name="Picture 5692">
          <a:extLst>
            <a:ext uri="{FF2B5EF4-FFF2-40B4-BE49-F238E27FC236}">
              <a16:creationId xmlns:a16="http://schemas.microsoft.com/office/drawing/2014/main" id="{0F29901D-D2B6-4C1C-BBB2-E1F14874B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26</xdr:row>
      <xdr:rowOff>0</xdr:rowOff>
    </xdr:from>
    <xdr:ext cx="9525" cy="9525"/>
    <xdr:pic>
      <xdr:nvPicPr>
        <xdr:cNvPr id="5694" name="Picture 5693">
          <a:extLst>
            <a:ext uri="{FF2B5EF4-FFF2-40B4-BE49-F238E27FC236}">
              <a16:creationId xmlns:a16="http://schemas.microsoft.com/office/drawing/2014/main" id="{6A9A680E-64F4-45A1-8A2E-0C7F8A856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25</xdr:row>
      <xdr:rowOff>0</xdr:rowOff>
    </xdr:from>
    <xdr:ext cx="304800" cy="303440"/>
    <xdr:sp macro="" textlink="">
      <xdr:nvSpPr>
        <xdr:cNvPr id="5695" name="AutoShape 32">
          <a:extLst>
            <a:ext uri="{FF2B5EF4-FFF2-40B4-BE49-F238E27FC236}">
              <a16:creationId xmlns:a16="http://schemas.microsoft.com/office/drawing/2014/main" id="{0CDC2E67-056D-43C5-B3C2-B02460B21FB4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696" name="Picture 5695">
          <a:extLst>
            <a:ext uri="{FF2B5EF4-FFF2-40B4-BE49-F238E27FC236}">
              <a16:creationId xmlns:a16="http://schemas.microsoft.com/office/drawing/2014/main" id="{B637B16C-FEC0-4ADC-B6C3-A4C8683B3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697" name="Picture 5696">
          <a:extLst>
            <a:ext uri="{FF2B5EF4-FFF2-40B4-BE49-F238E27FC236}">
              <a16:creationId xmlns:a16="http://schemas.microsoft.com/office/drawing/2014/main" id="{ECE3AD51-6FC6-4BF1-8302-0320B0D46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698" name="Picture 5697">
          <a:extLst>
            <a:ext uri="{FF2B5EF4-FFF2-40B4-BE49-F238E27FC236}">
              <a16:creationId xmlns:a16="http://schemas.microsoft.com/office/drawing/2014/main" id="{0555B884-2912-49B9-8569-F8044638F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699" name="Picture 5698">
          <a:extLst>
            <a:ext uri="{FF2B5EF4-FFF2-40B4-BE49-F238E27FC236}">
              <a16:creationId xmlns:a16="http://schemas.microsoft.com/office/drawing/2014/main" id="{5552BFC7-20FC-4B1E-B970-0996C5048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00" name="Picture 5699">
          <a:extLst>
            <a:ext uri="{FF2B5EF4-FFF2-40B4-BE49-F238E27FC236}">
              <a16:creationId xmlns:a16="http://schemas.microsoft.com/office/drawing/2014/main" id="{39AE5972-58CD-4890-9B2C-75DAE7505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701" name="AutoShape 38">
          <a:extLst>
            <a:ext uri="{FF2B5EF4-FFF2-40B4-BE49-F238E27FC236}">
              <a16:creationId xmlns:a16="http://schemas.microsoft.com/office/drawing/2014/main" id="{AED4BA36-5D34-41B5-B2D1-6B634686A00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02" name="Picture 5701">
          <a:extLst>
            <a:ext uri="{FF2B5EF4-FFF2-40B4-BE49-F238E27FC236}">
              <a16:creationId xmlns:a16="http://schemas.microsoft.com/office/drawing/2014/main" id="{EBB9D146-DE1F-41DF-A78C-7AAE6F031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703" name="AutoShape 40">
          <a:extLst>
            <a:ext uri="{FF2B5EF4-FFF2-40B4-BE49-F238E27FC236}">
              <a16:creationId xmlns:a16="http://schemas.microsoft.com/office/drawing/2014/main" id="{06775148-0AB2-4508-A0E6-FDBA0482DCFA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13</xdr:row>
      <xdr:rowOff>0</xdr:rowOff>
    </xdr:from>
    <xdr:ext cx="9525" cy="9525"/>
    <xdr:pic>
      <xdr:nvPicPr>
        <xdr:cNvPr id="5704" name="Picture 5703">
          <a:extLst>
            <a:ext uri="{FF2B5EF4-FFF2-40B4-BE49-F238E27FC236}">
              <a16:creationId xmlns:a16="http://schemas.microsoft.com/office/drawing/2014/main" id="{D53AE3CD-B884-4490-9921-DCF5D7849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12</xdr:row>
      <xdr:rowOff>0</xdr:rowOff>
    </xdr:from>
    <xdr:ext cx="304800" cy="303439"/>
    <xdr:sp macro="" textlink="">
      <xdr:nvSpPr>
        <xdr:cNvPr id="5705" name="AutoShape 42">
          <a:extLst>
            <a:ext uri="{FF2B5EF4-FFF2-40B4-BE49-F238E27FC236}">
              <a16:creationId xmlns:a16="http://schemas.microsoft.com/office/drawing/2014/main" id="{B0AA6EDA-8AC5-44A6-9D0C-24E62105194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13</xdr:row>
      <xdr:rowOff>0</xdr:rowOff>
    </xdr:from>
    <xdr:ext cx="304800" cy="304800"/>
    <xdr:sp macro="" textlink="">
      <xdr:nvSpPr>
        <xdr:cNvPr id="5706" name="AutoShape 44">
          <a:extLst>
            <a:ext uri="{FF2B5EF4-FFF2-40B4-BE49-F238E27FC236}">
              <a16:creationId xmlns:a16="http://schemas.microsoft.com/office/drawing/2014/main" id="{077A0A1D-EF81-49DD-95AA-06E0C8FA396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07" name="Picture 5706">
          <a:extLst>
            <a:ext uri="{FF2B5EF4-FFF2-40B4-BE49-F238E27FC236}">
              <a16:creationId xmlns:a16="http://schemas.microsoft.com/office/drawing/2014/main" id="{E29702FC-7B91-4188-8FE5-D325CA6EE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27</xdr:row>
      <xdr:rowOff>0</xdr:rowOff>
    </xdr:from>
    <xdr:ext cx="9525" cy="9525"/>
    <xdr:pic>
      <xdr:nvPicPr>
        <xdr:cNvPr id="5708" name="Picture 5707">
          <a:extLst>
            <a:ext uri="{FF2B5EF4-FFF2-40B4-BE49-F238E27FC236}">
              <a16:creationId xmlns:a16="http://schemas.microsoft.com/office/drawing/2014/main" id="{2E598EF6-404C-4E99-9FAD-584774DE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</xdr:row>
      <xdr:rowOff>0</xdr:rowOff>
    </xdr:from>
    <xdr:ext cx="9525" cy="9525"/>
    <xdr:pic>
      <xdr:nvPicPr>
        <xdr:cNvPr id="5709" name="Picture 5708">
          <a:extLst>
            <a:ext uri="{FF2B5EF4-FFF2-40B4-BE49-F238E27FC236}">
              <a16:creationId xmlns:a16="http://schemas.microsoft.com/office/drawing/2014/main" id="{44CD683F-60B8-42FB-B943-4E9B76D2A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</xdr:row>
      <xdr:rowOff>0</xdr:rowOff>
    </xdr:from>
    <xdr:ext cx="304800" cy="303439"/>
    <xdr:sp macro="" textlink="">
      <xdr:nvSpPr>
        <xdr:cNvPr id="5710" name="AutoShape 48">
          <a:extLst>
            <a:ext uri="{FF2B5EF4-FFF2-40B4-BE49-F238E27FC236}">
              <a16:creationId xmlns:a16="http://schemas.microsoft.com/office/drawing/2014/main" id="{B95F168B-260D-4D6A-9E26-19448A87B7B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9525" cy="9525"/>
    <xdr:pic>
      <xdr:nvPicPr>
        <xdr:cNvPr id="5711" name="Picture 5710">
          <a:extLst>
            <a:ext uri="{FF2B5EF4-FFF2-40B4-BE49-F238E27FC236}">
              <a16:creationId xmlns:a16="http://schemas.microsoft.com/office/drawing/2014/main" id="{557F77BE-809D-4923-AB10-4041B5434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9525" cy="9525"/>
    <xdr:pic>
      <xdr:nvPicPr>
        <xdr:cNvPr id="5712" name="Picture 5711">
          <a:extLst>
            <a:ext uri="{FF2B5EF4-FFF2-40B4-BE49-F238E27FC236}">
              <a16:creationId xmlns:a16="http://schemas.microsoft.com/office/drawing/2014/main" id="{7D9AD346-9D70-4ED7-80EF-46E57C22D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6</xdr:row>
      <xdr:rowOff>0</xdr:rowOff>
    </xdr:from>
    <xdr:ext cx="9525" cy="9525"/>
    <xdr:pic>
      <xdr:nvPicPr>
        <xdr:cNvPr id="5713" name="Picture 5712">
          <a:extLst>
            <a:ext uri="{FF2B5EF4-FFF2-40B4-BE49-F238E27FC236}">
              <a16:creationId xmlns:a16="http://schemas.microsoft.com/office/drawing/2014/main" id="{B9CCA4B2-219C-4627-B958-51A8C33F5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5714" name="AutoShape 52">
          <a:extLst>
            <a:ext uri="{FF2B5EF4-FFF2-40B4-BE49-F238E27FC236}">
              <a16:creationId xmlns:a16="http://schemas.microsoft.com/office/drawing/2014/main" id="{79041A51-007C-49B8-88FE-01AA9004EDD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15" name="Picture 5714">
          <a:extLst>
            <a:ext uri="{FF2B5EF4-FFF2-40B4-BE49-F238E27FC236}">
              <a16:creationId xmlns:a16="http://schemas.microsoft.com/office/drawing/2014/main" id="{861CF90C-7ABA-45BD-9F79-F7B37F9D1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26</xdr:row>
      <xdr:rowOff>0</xdr:rowOff>
    </xdr:from>
    <xdr:ext cx="9525" cy="9525"/>
    <xdr:pic>
      <xdr:nvPicPr>
        <xdr:cNvPr id="5716" name="Picture 5715">
          <a:extLst>
            <a:ext uri="{FF2B5EF4-FFF2-40B4-BE49-F238E27FC236}">
              <a16:creationId xmlns:a16="http://schemas.microsoft.com/office/drawing/2014/main" id="{10755441-E4B8-4FC8-96DC-6ADB496B1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25</xdr:row>
      <xdr:rowOff>0</xdr:rowOff>
    </xdr:from>
    <xdr:ext cx="304800" cy="303440"/>
    <xdr:sp macro="" textlink="">
      <xdr:nvSpPr>
        <xdr:cNvPr id="5717" name="AutoShape 55">
          <a:extLst>
            <a:ext uri="{FF2B5EF4-FFF2-40B4-BE49-F238E27FC236}">
              <a16:creationId xmlns:a16="http://schemas.microsoft.com/office/drawing/2014/main" id="{82E42277-B285-4C33-940F-D93BDAE7654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18" name="Picture 5717">
          <a:extLst>
            <a:ext uri="{FF2B5EF4-FFF2-40B4-BE49-F238E27FC236}">
              <a16:creationId xmlns:a16="http://schemas.microsoft.com/office/drawing/2014/main" id="{E9D286BC-9C93-4615-854B-5ABD84B12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19" name="Picture 5718">
          <a:extLst>
            <a:ext uri="{FF2B5EF4-FFF2-40B4-BE49-F238E27FC236}">
              <a16:creationId xmlns:a16="http://schemas.microsoft.com/office/drawing/2014/main" id="{AB7631E6-AF80-49E7-8325-1D0EF73E3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20" name="Picture 5719">
          <a:extLst>
            <a:ext uri="{FF2B5EF4-FFF2-40B4-BE49-F238E27FC236}">
              <a16:creationId xmlns:a16="http://schemas.microsoft.com/office/drawing/2014/main" id="{A053EC13-92BB-48C6-8B16-4513F7248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21" name="Picture 5720">
          <a:extLst>
            <a:ext uri="{FF2B5EF4-FFF2-40B4-BE49-F238E27FC236}">
              <a16:creationId xmlns:a16="http://schemas.microsoft.com/office/drawing/2014/main" id="{5EE286C0-79EC-4D8B-A4B8-2880DD874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22" name="Picture 5721">
          <a:extLst>
            <a:ext uri="{FF2B5EF4-FFF2-40B4-BE49-F238E27FC236}">
              <a16:creationId xmlns:a16="http://schemas.microsoft.com/office/drawing/2014/main" id="{3C6100D2-93D3-4C94-9910-B9B046D70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723" name="AutoShape 61">
          <a:extLst>
            <a:ext uri="{FF2B5EF4-FFF2-40B4-BE49-F238E27FC236}">
              <a16:creationId xmlns:a16="http://schemas.microsoft.com/office/drawing/2014/main" id="{0BE35E1E-992B-433A-A761-9E7FC281739B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24" name="Picture 5723">
          <a:extLst>
            <a:ext uri="{FF2B5EF4-FFF2-40B4-BE49-F238E27FC236}">
              <a16:creationId xmlns:a16="http://schemas.microsoft.com/office/drawing/2014/main" id="{01A2E5D2-6421-45E7-9860-939A6ED06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725" name="AutoShape 63">
          <a:extLst>
            <a:ext uri="{FF2B5EF4-FFF2-40B4-BE49-F238E27FC236}">
              <a16:creationId xmlns:a16="http://schemas.microsoft.com/office/drawing/2014/main" id="{501AA382-C35C-438B-B838-E4178470737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13</xdr:row>
      <xdr:rowOff>0</xdr:rowOff>
    </xdr:from>
    <xdr:ext cx="9525" cy="9525"/>
    <xdr:pic>
      <xdr:nvPicPr>
        <xdr:cNvPr id="5726" name="Picture 5725">
          <a:extLst>
            <a:ext uri="{FF2B5EF4-FFF2-40B4-BE49-F238E27FC236}">
              <a16:creationId xmlns:a16="http://schemas.microsoft.com/office/drawing/2014/main" id="{18076D03-E8AC-4D67-BA21-E76DD5968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12</xdr:row>
      <xdr:rowOff>0</xdr:rowOff>
    </xdr:from>
    <xdr:ext cx="304800" cy="303439"/>
    <xdr:sp macro="" textlink="">
      <xdr:nvSpPr>
        <xdr:cNvPr id="5727" name="AutoShape 65">
          <a:extLst>
            <a:ext uri="{FF2B5EF4-FFF2-40B4-BE49-F238E27FC236}">
              <a16:creationId xmlns:a16="http://schemas.microsoft.com/office/drawing/2014/main" id="{67906F0A-D29A-4F5E-9649-27D4098E635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13</xdr:row>
      <xdr:rowOff>0</xdr:rowOff>
    </xdr:from>
    <xdr:ext cx="304800" cy="304800"/>
    <xdr:sp macro="" textlink="">
      <xdr:nvSpPr>
        <xdr:cNvPr id="5728" name="AutoShape 67">
          <a:extLst>
            <a:ext uri="{FF2B5EF4-FFF2-40B4-BE49-F238E27FC236}">
              <a16:creationId xmlns:a16="http://schemas.microsoft.com/office/drawing/2014/main" id="{A8C5AB7F-3EB7-4D7B-84C9-BF0822096D6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29" name="Picture 5728">
          <a:extLst>
            <a:ext uri="{FF2B5EF4-FFF2-40B4-BE49-F238E27FC236}">
              <a16:creationId xmlns:a16="http://schemas.microsoft.com/office/drawing/2014/main" id="{E79AFBDD-493D-43CB-8A82-40C8084AB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3440"/>
    <xdr:sp macro="" textlink="">
      <xdr:nvSpPr>
        <xdr:cNvPr id="5730" name="AutoShape 69">
          <a:extLst>
            <a:ext uri="{FF2B5EF4-FFF2-40B4-BE49-F238E27FC236}">
              <a16:creationId xmlns:a16="http://schemas.microsoft.com/office/drawing/2014/main" id="{AD0ED1CC-5D52-48BE-BB1E-58CA32A0462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27</xdr:row>
      <xdr:rowOff>0</xdr:rowOff>
    </xdr:from>
    <xdr:ext cx="9525" cy="9525"/>
    <xdr:pic>
      <xdr:nvPicPr>
        <xdr:cNvPr id="5731" name="Picture 5730">
          <a:extLst>
            <a:ext uri="{FF2B5EF4-FFF2-40B4-BE49-F238E27FC236}">
              <a16:creationId xmlns:a16="http://schemas.microsoft.com/office/drawing/2014/main" id="{B75D51DD-3C72-4285-BCE4-42A586A9A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32" name="Picture 5731">
          <a:extLst>
            <a:ext uri="{FF2B5EF4-FFF2-40B4-BE49-F238E27FC236}">
              <a16:creationId xmlns:a16="http://schemas.microsoft.com/office/drawing/2014/main" id="{B578F7B9-C90E-44D3-8560-98CE33A5D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</xdr:row>
      <xdr:rowOff>0</xdr:rowOff>
    </xdr:from>
    <xdr:ext cx="9525" cy="9525"/>
    <xdr:pic>
      <xdr:nvPicPr>
        <xdr:cNvPr id="5733" name="Picture 5732">
          <a:extLst>
            <a:ext uri="{FF2B5EF4-FFF2-40B4-BE49-F238E27FC236}">
              <a16:creationId xmlns:a16="http://schemas.microsoft.com/office/drawing/2014/main" id="{73D781D3-E735-41D4-8E93-CE2E6CF8C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</xdr:row>
      <xdr:rowOff>0</xdr:rowOff>
    </xdr:from>
    <xdr:ext cx="304800" cy="303439"/>
    <xdr:sp macro="" textlink="">
      <xdr:nvSpPr>
        <xdr:cNvPr id="5734" name="AutoShape 98">
          <a:extLst>
            <a:ext uri="{FF2B5EF4-FFF2-40B4-BE49-F238E27FC236}">
              <a16:creationId xmlns:a16="http://schemas.microsoft.com/office/drawing/2014/main" id="{8DC7A2B3-798A-44C4-8547-14E673079E2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9525" cy="9525"/>
    <xdr:pic>
      <xdr:nvPicPr>
        <xdr:cNvPr id="5735" name="Picture 5734">
          <a:extLst>
            <a:ext uri="{FF2B5EF4-FFF2-40B4-BE49-F238E27FC236}">
              <a16:creationId xmlns:a16="http://schemas.microsoft.com/office/drawing/2014/main" id="{6A1F19D6-CDEE-48B6-A5FE-E8DD4E51B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9525" cy="9525"/>
    <xdr:pic>
      <xdr:nvPicPr>
        <xdr:cNvPr id="5736" name="Picture 5735">
          <a:extLst>
            <a:ext uri="{FF2B5EF4-FFF2-40B4-BE49-F238E27FC236}">
              <a16:creationId xmlns:a16="http://schemas.microsoft.com/office/drawing/2014/main" id="{4F1F1EFB-F7EF-4384-A94F-F55AC05CD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6</xdr:row>
      <xdr:rowOff>0</xdr:rowOff>
    </xdr:from>
    <xdr:ext cx="9525" cy="9525"/>
    <xdr:pic>
      <xdr:nvPicPr>
        <xdr:cNvPr id="5737" name="Picture 5736">
          <a:extLst>
            <a:ext uri="{FF2B5EF4-FFF2-40B4-BE49-F238E27FC236}">
              <a16:creationId xmlns:a16="http://schemas.microsoft.com/office/drawing/2014/main" id="{6ABD675D-5CAC-4154-8D73-7159D96E3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5738" name="AutoShape 102">
          <a:extLst>
            <a:ext uri="{FF2B5EF4-FFF2-40B4-BE49-F238E27FC236}">
              <a16:creationId xmlns:a16="http://schemas.microsoft.com/office/drawing/2014/main" id="{921E5F1B-C45B-44CD-A241-B3CDBAA0DC9B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39" name="Picture 5738">
          <a:extLst>
            <a:ext uri="{FF2B5EF4-FFF2-40B4-BE49-F238E27FC236}">
              <a16:creationId xmlns:a16="http://schemas.microsoft.com/office/drawing/2014/main" id="{5F170B17-B84F-435A-8479-BE3995615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26</xdr:row>
      <xdr:rowOff>0</xdr:rowOff>
    </xdr:from>
    <xdr:ext cx="9525" cy="9525"/>
    <xdr:pic>
      <xdr:nvPicPr>
        <xdr:cNvPr id="5740" name="Picture 5739">
          <a:extLst>
            <a:ext uri="{FF2B5EF4-FFF2-40B4-BE49-F238E27FC236}">
              <a16:creationId xmlns:a16="http://schemas.microsoft.com/office/drawing/2014/main" id="{CC3A74EE-BEB0-4186-8697-6FB9764C2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25</xdr:row>
      <xdr:rowOff>0</xdr:rowOff>
    </xdr:from>
    <xdr:ext cx="304800" cy="303440"/>
    <xdr:sp macro="" textlink="">
      <xdr:nvSpPr>
        <xdr:cNvPr id="5741" name="AutoShape 105">
          <a:extLst>
            <a:ext uri="{FF2B5EF4-FFF2-40B4-BE49-F238E27FC236}">
              <a16:creationId xmlns:a16="http://schemas.microsoft.com/office/drawing/2014/main" id="{B699FF6F-3216-428C-B5DC-9B0C12CAEC6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42" name="Picture 5741">
          <a:extLst>
            <a:ext uri="{FF2B5EF4-FFF2-40B4-BE49-F238E27FC236}">
              <a16:creationId xmlns:a16="http://schemas.microsoft.com/office/drawing/2014/main" id="{D07CA393-31E5-4950-9B43-DE02C6E95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43" name="Picture 5742">
          <a:extLst>
            <a:ext uri="{FF2B5EF4-FFF2-40B4-BE49-F238E27FC236}">
              <a16:creationId xmlns:a16="http://schemas.microsoft.com/office/drawing/2014/main" id="{B0721C9E-C6AB-4A4D-BF64-C528B5D54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44" name="Picture 5743">
          <a:extLst>
            <a:ext uri="{FF2B5EF4-FFF2-40B4-BE49-F238E27FC236}">
              <a16:creationId xmlns:a16="http://schemas.microsoft.com/office/drawing/2014/main" id="{89F8517B-803F-458C-9F2B-60935B506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45" name="Picture 5744">
          <a:extLst>
            <a:ext uri="{FF2B5EF4-FFF2-40B4-BE49-F238E27FC236}">
              <a16:creationId xmlns:a16="http://schemas.microsoft.com/office/drawing/2014/main" id="{BE286990-0B35-43B3-B652-78AA8A703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46" name="Picture 5745">
          <a:extLst>
            <a:ext uri="{FF2B5EF4-FFF2-40B4-BE49-F238E27FC236}">
              <a16:creationId xmlns:a16="http://schemas.microsoft.com/office/drawing/2014/main" id="{A67868BB-B167-4EB6-9D4D-6CEF4F8EA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747" name="AutoShape 111">
          <a:extLst>
            <a:ext uri="{FF2B5EF4-FFF2-40B4-BE49-F238E27FC236}">
              <a16:creationId xmlns:a16="http://schemas.microsoft.com/office/drawing/2014/main" id="{0FCF213E-C82F-4ED3-B4D0-FE71C78B487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48" name="Picture 5747">
          <a:extLst>
            <a:ext uri="{FF2B5EF4-FFF2-40B4-BE49-F238E27FC236}">
              <a16:creationId xmlns:a16="http://schemas.microsoft.com/office/drawing/2014/main" id="{677F8ABE-9DC0-4F27-93C5-E76E095B6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749" name="AutoShape 113">
          <a:extLst>
            <a:ext uri="{FF2B5EF4-FFF2-40B4-BE49-F238E27FC236}">
              <a16:creationId xmlns:a16="http://schemas.microsoft.com/office/drawing/2014/main" id="{2D6B795D-55A6-43E4-A0B9-612A225C3D1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13</xdr:row>
      <xdr:rowOff>0</xdr:rowOff>
    </xdr:from>
    <xdr:ext cx="9525" cy="9525"/>
    <xdr:pic>
      <xdr:nvPicPr>
        <xdr:cNvPr id="5750" name="Picture 5749">
          <a:extLst>
            <a:ext uri="{FF2B5EF4-FFF2-40B4-BE49-F238E27FC236}">
              <a16:creationId xmlns:a16="http://schemas.microsoft.com/office/drawing/2014/main" id="{C676CCF2-CB42-4AFA-B3F4-141EE9898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12</xdr:row>
      <xdr:rowOff>0</xdr:rowOff>
    </xdr:from>
    <xdr:ext cx="304800" cy="303439"/>
    <xdr:sp macro="" textlink="">
      <xdr:nvSpPr>
        <xdr:cNvPr id="5751" name="AutoShape 115">
          <a:extLst>
            <a:ext uri="{FF2B5EF4-FFF2-40B4-BE49-F238E27FC236}">
              <a16:creationId xmlns:a16="http://schemas.microsoft.com/office/drawing/2014/main" id="{0937207D-DDCD-44D8-AE54-98CED686A22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52" name="Picture 5751">
          <a:extLst>
            <a:ext uri="{FF2B5EF4-FFF2-40B4-BE49-F238E27FC236}">
              <a16:creationId xmlns:a16="http://schemas.microsoft.com/office/drawing/2014/main" id="{EFB9FFFD-5594-4FBB-A8EF-7B912F47D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13</xdr:row>
      <xdr:rowOff>0</xdr:rowOff>
    </xdr:from>
    <xdr:ext cx="304800" cy="304800"/>
    <xdr:sp macro="" textlink="">
      <xdr:nvSpPr>
        <xdr:cNvPr id="5753" name="AutoShape 117">
          <a:extLst>
            <a:ext uri="{FF2B5EF4-FFF2-40B4-BE49-F238E27FC236}">
              <a16:creationId xmlns:a16="http://schemas.microsoft.com/office/drawing/2014/main" id="{BB34E872-7047-4255-96A1-85A1F236A58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54" name="Picture 5753">
          <a:extLst>
            <a:ext uri="{FF2B5EF4-FFF2-40B4-BE49-F238E27FC236}">
              <a16:creationId xmlns:a16="http://schemas.microsoft.com/office/drawing/2014/main" id="{936D4537-55D8-46CA-9461-5B496162A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3440"/>
    <xdr:sp macro="" textlink="">
      <xdr:nvSpPr>
        <xdr:cNvPr id="5755" name="AutoShape 119">
          <a:extLst>
            <a:ext uri="{FF2B5EF4-FFF2-40B4-BE49-F238E27FC236}">
              <a16:creationId xmlns:a16="http://schemas.microsoft.com/office/drawing/2014/main" id="{363DC530-8009-4B1A-9861-99458BB4C4E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27</xdr:row>
      <xdr:rowOff>0</xdr:rowOff>
    </xdr:from>
    <xdr:ext cx="9525" cy="9525"/>
    <xdr:pic>
      <xdr:nvPicPr>
        <xdr:cNvPr id="5756" name="Picture 5755">
          <a:extLst>
            <a:ext uri="{FF2B5EF4-FFF2-40B4-BE49-F238E27FC236}">
              <a16:creationId xmlns:a16="http://schemas.microsoft.com/office/drawing/2014/main" id="{EDD91D4B-63C8-4EA6-B6D1-25E290AA5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57" name="Picture 5756">
          <a:extLst>
            <a:ext uri="{FF2B5EF4-FFF2-40B4-BE49-F238E27FC236}">
              <a16:creationId xmlns:a16="http://schemas.microsoft.com/office/drawing/2014/main" id="{A1509E5B-2DC5-4F1B-BE0E-ABA3E4156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3</xdr:row>
      <xdr:rowOff>0</xdr:rowOff>
    </xdr:from>
    <xdr:ext cx="9525" cy="9525"/>
    <xdr:pic>
      <xdr:nvPicPr>
        <xdr:cNvPr id="5758" name="Picture 5757">
          <a:extLst>
            <a:ext uri="{FF2B5EF4-FFF2-40B4-BE49-F238E27FC236}">
              <a16:creationId xmlns:a16="http://schemas.microsoft.com/office/drawing/2014/main" id="{A6D0A5D2-3F31-4FF7-91D5-35E1EA4DD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</xdr:row>
      <xdr:rowOff>0</xdr:rowOff>
    </xdr:from>
    <xdr:ext cx="304800" cy="303439"/>
    <xdr:sp macro="" textlink="">
      <xdr:nvSpPr>
        <xdr:cNvPr id="5759" name="AutoShape 123">
          <a:extLst>
            <a:ext uri="{FF2B5EF4-FFF2-40B4-BE49-F238E27FC236}">
              <a16:creationId xmlns:a16="http://schemas.microsoft.com/office/drawing/2014/main" id="{01970944-6848-4EDC-AAC6-B1D246CB5E3B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9525" cy="9525"/>
    <xdr:pic>
      <xdr:nvPicPr>
        <xdr:cNvPr id="5760" name="Picture 5759">
          <a:extLst>
            <a:ext uri="{FF2B5EF4-FFF2-40B4-BE49-F238E27FC236}">
              <a16:creationId xmlns:a16="http://schemas.microsoft.com/office/drawing/2014/main" id="{A102B85B-9305-44A3-9272-8226E88DD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9525" cy="9525"/>
    <xdr:pic>
      <xdr:nvPicPr>
        <xdr:cNvPr id="5761" name="Picture 5760">
          <a:extLst>
            <a:ext uri="{FF2B5EF4-FFF2-40B4-BE49-F238E27FC236}">
              <a16:creationId xmlns:a16="http://schemas.microsoft.com/office/drawing/2014/main" id="{D656371E-9E34-404E-8452-4E3B6356D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6</xdr:row>
      <xdr:rowOff>0</xdr:rowOff>
    </xdr:from>
    <xdr:ext cx="9525" cy="9525"/>
    <xdr:pic>
      <xdr:nvPicPr>
        <xdr:cNvPr id="5762" name="Picture 5761">
          <a:extLst>
            <a:ext uri="{FF2B5EF4-FFF2-40B4-BE49-F238E27FC236}">
              <a16:creationId xmlns:a16="http://schemas.microsoft.com/office/drawing/2014/main" id="{2DD76859-F1E5-45D0-BDDD-D14727900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5</xdr:row>
      <xdr:rowOff>0</xdr:rowOff>
    </xdr:from>
    <xdr:ext cx="304800" cy="304800"/>
    <xdr:sp macro="" textlink="">
      <xdr:nvSpPr>
        <xdr:cNvPr id="5763" name="AutoShape 127">
          <a:extLst>
            <a:ext uri="{FF2B5EF4-FFF2-40B4-BE49-F238E27FC236}">
              <a16:creationId xmlns:a16="http://schemas.microsoft.com/office/drawing/2014/main" id="{475543A0-C2D1-42CF-A535-D3888568856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64" name="Picture 5763">
          <a:extLst>
            <a:ext uri="{FF2B5EF4-FFF2-40B4-BE49-F238E27FC236}">
              <a16:creationId xmlns:a16="http://schemas.microsoft.com/office/drawing/2014/main" id="{7C67D2C9-C82A-4B56-A46C-BD4B38786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26</xdr:row>
      <xdr:rowOff>0</xdr:rowOff>
    </xdr:from>
    <xdr:ext cx="9525" cy="9525"/>
    <xdr:pic>
      <xdr:nvPicPr>
        <xdr:cNvPr id="5765" name="Picture 5764">
          <a:extLst>
            <a:ext uri="{FF2B5EF4-FFF2-40B4-BE49-F238E27FC236}">
              <a16:creationId xmlns:a16="http://schemas.microsoft.com/office/drawing/2014/main" id="{CC86CB70-FA10-4EB1-9FB8-9464E86C6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25</xdr:row>
      <xdr:rowOff>0</xdr:rowOff>
    </xdr:from>
    <xdr:ext cx="304800" cy="303440"/>
    <xdr:sp macro="" textlink="">
      <xdr:nvSpPr>
        <xdr:cNvPr id="5766" name="AutoShape 130">
          <a:extLst>
            <a:ext uri="{FF2B5EF4-FFF2-40B4-BE49-F238E27FC236}">
              <a16:creationId xmlns:a16="http://schemas.microsoft.com/office/drawing/2014/main" id="{100466EE-A79C-4DBA-A448-A42B754B8EA3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67" name="Picture 5766">
          <a:extLst>
            <a:ext uri="{FF2B5EF4-FFF2-40B4-BE49-F238E27FC236}">
              <a16:creationId xmlns:a16="http://schemas.microsoft.com/office/drawing/2014/main" id="{71951E0B-805C-469A-80FF-AA153E35F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68" name="Picture 5767">
          <a:extLst>
            <a:ext uri="{FF2B5EF4-FFF2-40B4-BE49-F238E27FC236}">
              <a16:creationId xmlns:a16="http://schemas.microsoft.com/office/drawing/2014/main" id="{0DAB4405-3D88-449E-BF99-8470F1F1E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69" name="Picture 5768">
          <a:extLst>
            <a:ext uri="{FF2B5EF4-FFF2-40B4-BE49-F238E27FC236}">
              <a16:creationId xmlns:a16="http://schemas.microsoft.com/office/drawing/2014/main" id="{03FB45EE-363D-45D9-8628-976AFBB0B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70" name="Picture 5769">
          <a:extLst>
            <a:ext uri="{FF2B5EF4-FFF2-40B4-BE49-F238E27FC236}">
              <a16:creationId xmlns:a16="http://schemas.microsoft.com/office/drawing/2014/main" id="{76FD93C0-F913-43FC-B4A6-E47B4B5CD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71" name="Picture 5770">
          <a:extLst>
            <a:ext uri="{FF2B5EF4-FFF2-40B4-BE49-F238E27FC236}">
              <a16:creationId xmlns:a16="http://schemas.microsoft.com/office/drawing/2014/main" id="{2BC5AD2E-9916-4143-9821-F3F03EC55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772" name="AutoShape 136">
          <a:extLst>
            <a:ext uri="{FF2B5EF4-FFF2-40B4-BE49-F238E27FC236}">
              <a16:creationId xmlns:a16="http://schemas.microsoft.com/office/drawing/2014/main" id="{88BAEF92-EB1D-4BC0-A30E-BC3944AEF3C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73" name="Picture 5772">
          <a:extLst>
            <a:ext uri="{FF2B5EF4-FFF2-40B4-BE49-F238E27FC236}">
              <a16:creationId xmlns:a16="http://schemas.microsoft.com/office/drawing/2014/main" id="{D1B1BB22-58F3-4067-B65F-A945BDCE0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4800"/>
    <xdr:sp macro="" textlink="">
      <xdr:nvSpPr>
        <xdr:cNvPr id="5774" name="AutoShape 138">
          <a:extLst>
            <a:ext uri="{FF2B5EF4-FFF2-40B4-BE49-F238E27FC236}">
              <a16:creationId xmlns:a16="http://schemas.microsoft.com/office/drawing/2014/main" id="{97F51208-BC0F-47FB-941E-DA6B201ED33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13</xdr:row>
      <xdr:rowOff>0</xdr:rowOff>
    </xdr:from>
    <xdr:ext cx="9525" cy="9525"/>
    <xdr:pic>
      <xdr:nvPicPr>
        <xdr:cNvPr id="5775" name="Picture 5774">
          <a:extLst>
            <a:ext uri="{FF2B5EF4-FFF2-40B4-BE49-F238E27FC236}">
              <a16:creationId xmlns:a16="http://schemas.microsoft.com/office/drawing/2014/main" id="{3D919823-6BA8-40A0-B8E3-273249A3D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12</xdr:row>
      <xdr:rowOff>0</xdr:rowOff>
    </xdr:from>
    <xdr:ext cx="304800" cy="303439"/>
    <xdr:sp macro="" textlink="">
      <xdr:nvSpPr>
        <xdr:cNvPr id="5776" name="AutoShape 140">
          <a:extLst>
            <a:ext uri="{FF2B5EF4-FFF2-40B4-BE49-F238E27FC236}">
              <a16:creationId xmlns:a16="http://schemas.microsoft.com/office/drawing/2014/main" id="{FF7145E2-8A54-4717-9BF8-3A2FAFDA01E0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77" name="Picture 5776">
          <a:extLst>
            <a:ext uri="{FF2B5EF4-FFF2-40B4-BE49-F238E27FC236}">
              <a16:creationId xmlns:a16="http://schemas.microsoft.com/office/drawing/2014/main" id="{AEF14930-D9FC-4CD6-B421-218E6D6BD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13</xdr:row>
      <xdr:rowOff>0</xdr:rowOff>
    </xdr:from>
    <xdr:ext cx="304800" cy="304800"/>
    <xdr:sp macro="" textlink="">
      <xdr:nvSpPr>
        <xdr:cNvPr id="5778" name="AutoShape 142">
          <a:extLst>
            <a:ext uri="{FF2B5EF4-FFF2-40B4-BE49-F238E27FC236}">
              <a16:creationId xmlns:a16="http://schemas.microsoft.com/office/drawing/2014/main" id="{93966BC5-2CE7-48D3-BC7C-249BEA6FA080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79" name="Picture 5778">
          <a:extLst>
            <a:ext uri="{FF2B5EF4-FFF2-40B4-BE49-F238E27FC236}">
              <a16:creationId xmlns:a16="http://schemas.microsoft.com/office/drawing/2014/main" id="{30A3723B-C53B-4C40-8B9C-DD3B90D6D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304800" cy="303440"/>
    <xdr:sp macro="" textlink="">
      <xdr:nvSpPr>
        <xdr:cNvPr id="5780" name="AutoShape 144">
          <a:extLst>
            <a:ext uri="{FF2B5EF4-FFF2-40B4-BE49-F238E27FC236}">
              <a16:creationId xmlns:a16="http://schemas.microsoft.com/office/drawing/2014/main" id="{39241B35-001E-4FC6-8DB1-0C1E943EE154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27</xdr:row>
      <xdr:rowOff>0</xdr:rowOff>
    </xdr:from>
    <xdr:ext cx="9525" cy="9525"/>
    <xdr:pic>
      <xdr:nvPicPr>
        <xdr:cNvPr id="5781" name="Picture 5780">
          <a:extLst>
            <a:ext uri="{FF2B5EF4-FFF2-40B4-BE49-F238E27FC236}">
              <a16:creationId xmlns:a16="http://schemas.microsoft.com/office/drawing/2014/main" id="{DB2BC8EE-D521-4952-9EA2-46727348B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29</xdr:row>
      <xdr:rowOff>0</xdr:rowOff>
    </xdr:from>
    <xdr:ext cx="9525" cy="9525"/>
    <xdr:pic>
      <xdr:nvPicPr>
        <xdr:cNvPr id="5782" name="Picture 5781">
          <a:extLst>
            <a:ext uri="{FF2B5EF4-FFF2-40B4-BE49-F238E27FC236}">
              <a16:creationId xmlns:a16="http://schemas.microsoft.com/office/drawing/2014/main" id="{63985383-5A3D-4DF2-BFE5-A16293C7A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7</xdr:row>
      <xdr:rowOff>0</xdr:rowOff>
    </xdr:from>
    <xdr:ext cx="9525" cy="9525"/>
    <xdr:pic>
      <xdr:nvPicPr>
        <xdr:cNvPr id="5783" name="Picture 5782">
          <a:extLst>
            <a:ext uri="{FF2B5EF4-FFF2-40B4-BE49-F238E27FC236}">
              <a16:creationId xmlns:a16="http://schemas.microsoft.com/office/drawing/2014/main" id="{7B677239-A9EE-4C66-88EF-8849E8C78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7</xdr:row>
      <xdr:rowOff>0</xdr:rowOff>
    </xdr:from>
    <xdr:ext cx="9525" cy="9525"/>
    <xdr:pic>
      <xdr:nvPicPr>
        <xdr:cNvPr id="5784" name="Picture 5783">
          <a:extLst>
            <a:ext uri="{FF2B5EF4-FFF2-40B4-BE49-F238E27FC236}">
              <a16:creationId xmlns:a16="http://schemas.microsoft.com/office/drawing/2014/main" id="{372C97D0-D771-41FB-9F7D-66E3CBD7D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7</xdr:row>
      <xdr:rowOff>0</xdr:rowOff>
    </xdr:from>
    <xdr:ext cx="9525" cy="9525"/>
    <xdr:pic>
      <xdr:nvPicPr>
        <xdr:cNvPr id="5785" name="Picture 5784">
          <a:extLst>
            <a:ext uri="{FF2B5EF4-FFF2-40B4-BE49-F238E27FC236}">
              <a16:creationId xmlns:a16="http://schemas.microsoft.com/office/drawing/2014/main" id="{C4A49147-7A11-4EA3-8D2C-32B642318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7</xdr:row>
      <xdr:rowOff>0</xdr:rowOff>
    </xdr:from>
    <xdr:ext cx="9525" cy="9525"/>
    <xdr:pic>
      <xdr:nvPicPr>
        <xdr:cNvPr id="5786" name="Picture 5785">
          <a:extLst>
            <a:ext uri="{FF2B5EF4-FFF2-40B4-BE49-F238E27FC236}">
              <a16:creationId xmlns:a16="http://schemas.microsoft.com/office/drawing/2014/main" id="{E0F7DDAF-CCAB-48DD-803E-B114C248D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9525" cy="9525"/>
    <xdr:pic>
      <xdr:nvPicPr>
        <xdr:cNvPr id="5787" name="Picture 5786">
          <a:extLst>
            <a:ext uri="{FF2B5EF4-FFF2-40B4-BE49-F238E27FC236}">
              <a16:creationId xmlns:a16="http://schemas.microsoft.com/office/drawing/2014/main" id="{FFB0160A-679B-4370-A5A4-FA9005185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9525" cy="9525"/>
    <xdr:pic>
      <xdr:nvPicPr>
        <xdr:cNvPr id="5788" name="Picture 5787">
          <a:extLst>
            <a:ext uri="{FF2B5EF4-FFF2-40B4-BE49-F238E27FC236}">
              <a16:creationId xmlns:a16="http://schemas.microsoft.com/office/drawing/2014/main" id="{4E8BCD00-4F1C-49E4-B571-46B8A7E74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9525" cy="9525"/>
    <xdr:pic>
      <xdr:nvPicPr>
        <xdr:cNvPr id="5789" name="Picture 5788">
          <a:extLst>
            <a:ext uri="{FF2B5EF4-FFF2-40B4-BE49-F238E27FC236}">
              <a16:creationId xmlns:a16="http://schemas.microsoft.com/office/drawing/2014/main" id="{BD0895F4-F23D-42A2-870D-6FDAB73C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9525" cy="9525"/>
    <xdr:pic>
      <xdr:nvPicPr>
        <xdr:cNvPr id="5790" name="Picture 5789">
          <a:extLst>
            <a:ext uri="{FF2B5EF4-FFF2-40B4-BE49-F238E27FC236}">
              <a16:creationId xmlns:a16="http://schemas.microsoft.com/office/drawing/2014/main" id="{03773ED8-CCBA-4F5F-9368-946222888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21</xdr:row>
      <xdr:rowOff>0</xdr:rowOff>
    </xdr:from>
    <xdr:ext cx="9525" cy="9525"/>
    <xdr:pic>
      <xdr:nvPicPr>
        <xdr:cNvPr id="5791" name="Picture 5790">
          <a:extLst>
            <a:ext uri="{FF2B5EF4-FFF2-40B4-BE49-F238E27FC236}">
              <a16:creationId xmlns:a16="http://schemas.microsoft.com/office/drawing/2014/main" id="{F6D777AC-9B0F-446F-B4CA-44788CC98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21</xdr:row>
      <xdr:rowOff>0</xdr:rowOff>
    </xdr:from>
    <xdr:ext cx="9525" cy="9525"/>
    <xdr:pic>
      <xdr:nvPicPr>
        <xdr:cNvPr id="5792" name="Picture 5791">
          <a:extLst>
            <a:ext uri="{FF2B5EF4-FFF2-40B4-BE49-F238E27FC236}">
              <a16:creationId xmlns:a16="http://schemas.microsoft.com/office/drawing/2014/main" id="{0727CC1F-25B0-462D-9A65-C2B9AD971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21</xdr:row>
      <xdr:rowOff>0</xdr:rowOff>
    </xdr:from>
    <xdr:ext cx="9525" cy="9525"/>
    <xdr:pic>
      <xdr:nvPicPr>
        <xdr:cNvPr id="5793" name="Picture 5792">
          <a:extLst>
            <a:ext uri="{FF2B5EF4-FFF2-40B4-BE49-F238E27FC236}">
              <a16:creationId xmlns:a16="http://schemas.microsoft.com/office/drawing/2014/main" id="{107BAC46-7EA4-4939-8120-810D20855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21</xdr:row>
      <xdr:rowOff>0</xdr:rowOff>
    </xdr:from>
    <xdr:ext cx="9525" cy="9525"/>
    <xdr:pic>
      <xdr:nvPicPr>
        <xdr:cNvPr id="5794" name="Picture 5793">
          <a:extLst>
            <a:ext uri="{FF2B5EF4-FFF2-40B4-BE49-F238E27FC236}">
              <a16:creationId xmlns:a16="http://schemas.microsoft.com/office/drawing/2014/main" id="{954EADEA-4689-41CA-BF2B-19AB9571C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9525" cy="9525"/>
    <xdr:pic>
      <xdr:nvPicPr>
        <xdr:cNvPr id="5795" name="Picture 5794">
          <a:extLst>
            <a:ext uri="{FF2B5EF4-FFF2-40B4-BE49-F238E27FC236}">
              <a16:creationId xmlns:a16="http://schemas.microsoft.com/office/drawing/2014/main" id="{827B17B3-1799-4BDC-B4F7-F22230569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9525" cy="9525"/>
    <xdr:pic>
      <xdr:nvPicPr>
        <xdr:cNvPr id="5796" name="Picture 5795">
          <a:extLst>
            <a:ext uri="{FF2B5EF4-FFF2-40B4-BE49-F238E27FC236}">
              <a16:creationId xmlns:a16="http://schemas.microsoft.com/office/drawing/2014/main" id="{891FF16C-B84E-4E6C-920F-351BAB2F9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3440"/>
    <xdr:sp macro="" textlink="">
      <xdr:nvSpPr>
        <xdr:cNvPr id="5797" name="AutoShape 69">
          <a:extLst>
            <a:ext uri="{FF2B5EF4-FFF2-40B4-BE49-F238E27FC236}">
              <a16:creationId xmlns:a16="http://schemas.microsoft.com/office/drawing/2014/main" id="{6EB22F3F-C5FE-4AE7-8730-762EF9C36240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9525" cy="9525"/>
    <xdr:pic>
      <xdr:nvPicPr>
        <xdr:cNvPr id="5798" name="Picture 5797">
          <a:extLst>
            <a:ext uri="{FF2B5EF4-FFF2-40B4-BE49-F238E27FC236}">
              <a16:creationId xmlns:a16="http://schemas.microsoft.com/office/drawing/2014/main" id="{DEC193BD-BC01-4ABA-8FE2-4214D4BF8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3440"/>
    <xdr:sp macro="" textlink="">
      <xdr:nvSpPr>
        <xdr:cNvPr id="5799" name="AutoShape 119">
          <a:extLst>
            <a:ext uri="{FF2B5EF4-FFF2-40B4-BE49-F238E27FC236}">
              <a16:creationId xmlns:a16="http://schemas.microsoft.com/office/drawing/2014/main" id="{8A274957-6BF2-4BA5-A9D0-C645689ACEF8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16</xdr:row>
      <xdr:rowOff>0</xdr:rowOff>
    </xdr:from>
    <xdr:ext cx="9525" cy="9525"/>
    <xdr:pic>
      <xdr:nvPicPr>
        <xdr:cNvPr id="5800" name="Picture 5799">
          <a:extLst>
            <a:ext uri="{FF2B5EF4-FFF2-40B4-BE49-F238E27FC236}">
              <a16:creationId xmlns:a16="http://schemas.microsoft.com/office/drawing/2014/main" id="{CFB35F56-D879-4A66-9EC1-B977AE914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15</xdr:row>
      <xdr:rowOff>0</xdr:rowOff>
    </xdr:from>
    <xdr:ext cx="304800" cy="303440"/>
    <xdr:sp macro="" textlink="">
      <xdr:nvSpPr>
        <xdr:cNvPr id="5801" name="AutoShape 144">
          <a:extLst>
            <a:ext uri="{FF2B5EF4-FFF2-40B4-BE49-F238E27FC236}">
              <a16:creationId xmlns:a16="http://schemas.microsoft.com/office/drawing/2014/main" id="{D8AFD2F3-94FD-468E-A9DB-EB94EC8A4A1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19</xdr:row>
      <xdr:rowOff>0</xdr:rowOff>
    </xdr:from>
    <xdr:ext cx="9525" cy="9525"/>
    <xdr:pic>
      <xdr:nvPicPr>
        <xdr:cNvPr id="5802" name="Picture 5801">
          <a:extLst>
            <a:ext uri="{FF2B5EF4-FFF2-40B4-BE49-F238E27FC236}">
              <a16:creationId xmlns:a16="http://schemas.microsoft.com/office/drawing/2014/main" id="{75A35972-A29A-4B75-B460-4F1396392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19</xdr:row>
      <xdr:rowOff>0</xdr:rowOff>
    </xdr:from>
    <xdr:ext cx="9525" cy="9525"/>
    <xdr:pic>
      <xdr:nvPicPr>
        <xdr:cNvPr id="5803" name="Picture 5802">
          <a:extLst>
            <a:ext uri="{FF2B5EF4-FFF2-40B4-BE49-F238E27FC236}">
              <a16:creationId xmlns:a16="http://schemas.microsoft.com/office/drawing/2014/main" id="{458F2388-1573-4A68-95FC-B5786ADB4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19</xdr:row>
      <xdr:rowOff>0</xdr:rowOff>
    </xdr:from>
    <xdr:ext cx="9525" cy="9525"/>
    <xdr:pic>
      <xdr:nvPicPr>
        <xdr:cNvPr id="5804" name="Picture 5803">
          <a:extLst>
            <a:ext uri="{FF2B5EF4-FFF2-40B4-BE49-F238E27FC236}">
              <a16:creationId xmlns:a16="http://schemas.microsoft.com/office/drawing/2014/main" id="{998DDB16-4000-4795-A744-B06E6E1F4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17</xdr:row>
      <xdr:rowOff>0</xdr:rowOff>
    </xdr:from>
    <xdr:ext cx="9525" cy="9525"/>
    <xdr:pic>
      <xdr:nvPicPr>
        <xdr:cNvPr id="5805" name="Picture 5804">
          <a:extLst>
            <a:ext uri="{FF2B5EF4-FFF2-40B4-BE49-F238E27FC236}">
              <a16:creationId xmlns:a16="http://schemas.microsoft.com/office/drawing/2014/main" id="{587C6E3E-6D3C-402A-BA7B-50D631742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304800" cy="304800"/>
    <xdr:sp macro="" textlink="">
      <xdr:nvSpPr>
        <xdr:cNvPr id="5806" name="AutoShape 40">
          <a:extLst>
            <a:ext uri="{FF2B5EF4-FFF2-40B4-BE49-F238E27FC236}">
              <a16:creationId xmlns:a16="http://schemas.microsoft.com/office/drawing/2014/main" id="{E72AA2E7-9C97-4C0F-A891-E3EC2C03D83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304800" cy="303439"/>
    <xdr:sp macro="" textlink="">
      <xdr:nvSpPr>
        <xdr:cNvPr id="5807" name="AutoShape 42">
          <a:extLst>
            <a:ext uri="{FF2B5EF4-FFF2-40B4-BE49-F238E27FC236}">
              <a16:creationId xmlns:a16="http://schemas.microsoft.com/office/drawing/2014/main" id="{A31B5808-B15B-4DF7-8789-BB21B2FAEA4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9525" cy="9525"/>
    <xdr:pic>
      <xdr:nvPicPr>
        <xdr:cNvPr id="5808" name="Picture 5807">
          <a:extLst>
            <a:ext uri="{FF2B5EF4-FFF2-40B4-BE49-F238E27FC236}">
              <a16:creationId xmlns:a16="http://schemas.microsoft.com/office/drawing/2014/main" id="{612408DE-80E7-4C2A-ADAD-E2D31698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304800" cy="304800"/>
    <xdr:sp macro="" textlink="">
      <xdr:nvSpPr>
        <xdr:cNvPr id="5809" name="AutoShape 63">
          <a:extLst>
            <a:ext uri="{FF2B5EF4-FFF2-40B4-BE49-F238E27FC236}">
              <a16:creationId xmlns:a16="http://schemas.microsoft.com/office/drawing/2014/main" id="{15834D85-C84E-4E60-A1B1-5F2BC5C04E2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304800" cy="303439"/>
    <xdr:sp macro="" textlink="">
      <xdr:nvSpPr>
        <xdr:cNvPr id="5810" name="AutoShape 65">
          <a:extLst>
            <a:ext uri="{FF2B5EF4-FFF2-40B4-BE49-F238E27FC236}">
              <a16:creationId xmlns:a16="http://schemas.microsoft.com/office/drawing/2014/main" id="{983585DC-7376-4369-ABF1-AA3E056C547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9525" cy="9525"/>
    <xdr:pic>
      <xdr:nvPicPr>
        <xdr:cNvPr id="5811" name="Picture 5810">
          <a:extLst>
            <a:ext uri="{FF2B5EF4-FFF2-40B4-BE49-F238E27FC236}">
              <a16:creationId xmlns:a16="http://schemas.microsoft.com/office/drawing/2014/main" id="{9D529160-A313-4D20-A65A-38DE8CD0B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304800" cy="304800"/>
    <xdr:sp macro="" textlink="">
      <xdr:nvSpPr>
        <xdr:cNvPr id="5812" name="AutoShape 113">
          <a:extLst>
            <a:ext uri="{FF2B5EF4-FFF2-40B4-BE49-F238E27FC236}">
              <a16:creationId xmlns:a16="http://schemas.microsoft.com/office/drawing/2014/main" id="{B8597C08-6259-4E7C-911B-97C12CFB7C17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304800" cy="303439"/>
    <xdr:sp macro="" textlink="">
      <xdr:nvSpPr>
        <xdr:cNvPr id="5813" name="AutoShape 115">
          <a:extLst>
            <a:ext uri="{FF2B5EF4-FFF2-40B4-BE49-F238E27FC236}">
              <a16:creationId xmlns:a16="http://schemas.microsoft.com/office/drawing/2014/main" id="{4E0E9B2F-C537-4E9B-B4CD-BF6E81933F40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9525" cy="9525"/>
    <xdr:pic>
      <xdr:nvPicPr>
        <xdr:cNvPr id="5814" name="Picture 5813">
          <a:extLst>
            <a:ext uri="{FF2B5EF4-FFF2-40B4-BE49-F238E27FC236}">
              <a16:creationId xmlns:a16="http://schemas.microsoft.com/office/drawing/2014/main" id="{7D264E5F-B332-473D-BE22-D7B58FBAC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16</xdr:row>
      <xdr:rowOff>0</xdr:rowOff>
    </xdr:from>
    <xdr:ext cx="304800" cy="304800"/>
    <xdr:sp macro="" textlink="">
      <xdr:nvSpPr>
        <xdr:cNvPr id="5815" name="AutoShape 138">
          <a:extLst>
            <a:ext uri="{FF2B5EF4-FFF2-40B4-BE49-F238E27FC236}">
              <a16:creationId xmlns:a16="http://schemas.microsoft.com/office/drawing/2014/main" id="{0CC360EF-8A86-4F4E-87A4-B002ACEB51F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17</xdr:row>
      <xdr:rowOff>0</xdr:rowOff>
    </xdr:from>
    <xdr:ext cx="304800" cy="303439"/>
    <xdr:sp macro="" textlink="">
      <xdr:nvSpPr>
        <xdr:cNvPr id="5816" name="AutoShape 140">
          <a:extLst>
            <a:ext uri="{FF2B5EF4-FFF2-40B4-BE49-F238E27FC236}">
              <a16:creationId xmlns:a16="http://schemas.microsoft.com/office/drawing/2014/main" id="{515E66DC-0BBA-4763-BF22-E62DACE3FD43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18</xdr:row>
      <xdr:rowOff>0</xdr:rowOff>
    </xdr:from>
    <xdr:ext cx="9525" cy="9525"/>
    <xdr:pic>
      <xdr:nvPicPr>
        <xdr:cNvPr id="5817" name="Picture 5816">
          <a:extLst>
            <a:ext uri="{FF2B5EF4-FFF2-40B4-BE49-F238E27FC236}">
              <a16:creationId xmlns:a16="http://schemas.microsoft.com/office/drawing/2014/main" id="{F99702E6-213C-4953-B039-86F33EFC5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18</xdr:row>
      <xdr:rowOff>0</xdr:rowOff>
    </xdr:from>
    <xdr:ext cx="9525" cy="9525"/>
    <xdr:pic>
      <xdr:nvPicPr>
        <xdr:cNvPr id="5818" name="Picture 5817">
          <a:extLst>
            <a:ext uri="{FF2B5EF4-FFF2-40B4-BE49-F238E27FC236}">
              <a16:creationId xmlns:a16="http://schemas.microsoft.com/office/drawing/2014/main" id="{4EEB2A72-86D4-4443-AEC5-E7254DE59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18</xdr:row>
      <xdr:rowOff>0</xdr:rowOff>
    </xdr:from>
    <xdr:ext cx="9525" cy="9525"/>
    <xdr:pic>
      <xdr:nvPicPr>
        <xdr:cNvPr id="5819" name="Picture 5818">
          <a:extLst>
            <a:ext uri="{FF2B5EF4-FFF2-40B4-BE49-F238E27FC236}">
              <a16:creationId xmlns:a16="http://schemas.microsoft.com/office/drawing/2014/main" id="{070E6308-C2F0-4B75-B197-671BF1313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18</xdr:row>
      <xdr:rowOff>0</xdr:rowOff>
    </xdr:from>
    <xdr:ext cx="9525" cy="9525"/>
    <xdr:pic>
      <xdr:nvPicPr>
        <xdr:cNvPr id="5820" name="Picture 5819">
          <a:extLst>
            <a:ext uri="{FF2B5EF4-FFF2-40B4-BE49-F238E27FC236}">
              <a16:creationId xmlns:a16="http://schemas.microsoft.com/office/drawing/2014/main" id="{2D79E35F-DFC2-4112-83A0-A25EB1401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9525" cy="9525"/>
    <xdr:pic>
      <xdr:nvPicPr>
        <xdr:cNvPr id="5821" name="Picture 5820">
          <a:extLst>
            <a:ext uri="{FF2B5EF4-FFF2-40B4-BE49-F238E27FC236}">
              <a16:creationId xmlns:a16="http://schemas.microsoft.com/office/drawing/2014/main" id="{3D3D9A02-944D-4FF8-8E67-E512C064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9525" cy="9525"/>
    <xdr:pic>
      <xdr:nvPicPr>
        <xdr:cNvPr id="5822" name="Picture 5821">
          <a:extLst>
            <a:ext uri="{FF2B5EF4-FFF2-40B4-BE49-F238E27FC236}">
              <a16:creationId xmlns:a16="http://schemas.microsoft.com/office/drawing/2014/main" id="{A434B5B4-BB01-49E4-B153-B36ECAB01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9525" cy="9525"/>
    <xdr:pic>
      <xdr:nvPicPr>
        <xdr:cNvPr id="5823" name="Picture 5822">
          <a:extLst>
            <a:ext uri="{FF2B5EF4-FFF2-40B4-BE49-F238E27FC236}">
              <a16:creationId xmlns:a16="http://schemas.microsoft.com/office/drawing/2014/main" id="{3186F18C-0129-4792-9873-6A8CFA649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9525" cy="9525"/>
    <xdr:pic>
      <xdr:nvPicPr>
        <xdr:cNvPr id="5824" name="Picture 5823">
          <a:extLst>
            <a:ext uri="{FF2B5EF4-FFF2-40B4-BE49-F238E27FC236}">
              <a16:creationId xmlns:a16="http://schemas.microsoft.com/office/drawing/2014/main" id="{EAF682F9-76A7-41C5-88B0-E64DCCEE5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10</xdr:row>
      <xdr:rowOff>0</xdr:rowOff>
    </xdr:from>
    <xdr:ext cx="9525" cy="9525"/>
    <xdr:pic>
      <xdr:nvPicPr>
        <xdr:cNvPr id="5825" name="Picture 5824">
          <a:extLst>
            <a:ext uri="{FF2B5EF4-FFF2-40B4-BE49-F238E27FC236}">
              <a16:creationId xmlns:a16="http://schemas.microsoft.com/office/drawing/2014/main" id="{4009275D-24A2-4FA3-918C-0C453AEF3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304800" cy="304800"/>
    <xdr:sp macro="" textlink="">
      <xdr:nvSpPr>
        <xdr:cNvPr id="5826" name="AutoShape 38">
          <a:extLst>
            <a:ext uri="{FF2B5EF4-FFF2-40B4-BE49-F238E27FC236}">
              <a16:creationId xmlns:a16="http://schemas.microsoft.com/office/drawing/2014/main" id="{4F5FE7B3-0583-4ADB-A1F8-9449C8FB1B6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304800" cy="304800"/>
    <xdr:sp macro="" textlink="">
      <xdr:nvSpPr>
        <xdr:cNvPr id="5827" name="AutoShape 40">
          <a:extLst>
            <a:ext uri="{FF2B5EF4-FFF2-40B4-BE49-F238E27FC236}">
              <a16:creationId xmlns:a16="http://schemas.microsoft.com/office/drawing/2014/main" id="{ADFEDAF5-F217-4FC8-B7C5-47F28E64B858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9525" cy="9525"/>
    <xdr:pic>
      <xdr:nvPicPr>
        <xdr:cNvPr id="5828" name="Picture 5827">
          <a:extLst>
            <a:ext uri="{FF2B5EF4-FFF2-40B4-BE49-F238E27FC236}">
              <a16:creationId xmlns:a16="http://schemas.microsoft.com/office/drawing/2014/main" id="{DE039542-0200-4829-9041-43F0DCB66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304800" cy="304800"/>
    <xdr:sp macro="" textlink="">
      <xdr:nvSpPr>
        <xdr:cNvPr id="5829" name="AutoShape 61">
          <a:extLst>
            <a:ext uri="{FF2B5EF4-FFF2-40B4-BE49-F238E27FC236}">
              <a16:creationId xmlns:a16="http://schemas.microsoft.com/office/drawing/2014/main" id="{BE708688-A603-4EA2-9DB9-6299FEB9EFE2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304800" cy="304800"/>
    <xdr:sp macro="" textlink="">
      <xdr:nvSpPr>
        <xdr:cNvPr id="5830" name="AutoShape 63">
          <a:extLst>
            <a:ext uri="{FF2B5EF4-FFF2-40B4-BE49-F238E27FC236}">
              <a16:creationId xmlns:a16="http://schemas.microsoft.com/office/drawing/2014/main" id="{87C16FFF-302B-44C0-9AF5-235798045C49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9525" cy="9525"/>
    <xdr:pic>
      <xdr:nvPicPr>
        <xdr:cNvPr id="5831" name="Picture 5830">
          <a:extLst>
            <a:ext uri="{FF2B5EF4-FFF2-40B4-BE49-F238E27FC236}">
              <a16:creationId xmlns:a16="http://schemas.microsoft.com/office/drawing/2014/main" id="{6F634598-44F1-4276-A17E-69CCB48F0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304800" cy="304800"/>
    <xdr:sp macro="" textlink="">
      <xdr:nvSpPr>
        <xdr:cNvPr id="5832" name="AutoShape 111">
          <a:extLst>
            <a:ext uri="{FF2B5EF4-FFF2-40B4-BE49-F238E27FC236}">
              <a16:creationId xmlns:a16="http://schemas.microsoft.com/office/drawing/2014/main" id="{AD9D5F4F-A11C-48CD-958E-1346B1A103A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304800" cy="304800"/>
    <xdr:sp macro="" textlink="">
      <xdr:nvSpPr>
        <xdr:cNvPr id="5833" name="AutoShape 113">
          <a:extLst>
            <a:ext uri="{FF2B5EF4-FFF2-40B4-BE49-F238E27FC236}">
              <a16:creationId xmlns:a16="http://schemas.microsoft.com/office/drawing/2014/main" id="{2A43873C-1449-40A3-A7C0-42002DF728A9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9525" cy="9525"/>
    <xdr:pic>
      <xdr:nvPicPr>
        <xdr:cNvPr id="5834" name="Picture 5833">
          <a:extLst>
            <a:ext uri="{FF2B5EF4-FFF2-40B4-BE49-F238E27FC236}">
              <a16:creationId xmlns:a16="http://schemas.microsoft.com/office/drawing/2014/main" id="{BAEC5D16-1ED7-4C01-BE73-9897C722A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9</xdr:row>
      <xdr:rowOff>0</xdr:rowOff>
    </xdr:from>
    <xdr:ext cx="304800" cy="304800"/>
    <xdr:sp macro="" textlink="">
      <xdr:nvSpPr>
        <xdr:cNvPr id="5835" name="AutoShape 136">
          <a:extLst>
            <a:ext uri="{FF2B5EF4-FFF2-40B4-BE49-F238E27FC236}">
              <a16:creationId xmlns:a16="http://schemas.microsoft.com/office/drawing/2014/main" id="{EAE1481F-ECD3-4855-B87C-C3CF90AE857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10</xdr:row>
      <xdr:rowOff>0</xdr:rowOff>
    </xdr:from>
    <xdr:ext cx="304800" cy="304800"/>
    <xdr:sp macro="" textlink="">
      <xdr:nvSpPr>
        <xdr:cNvPr id="5836" name="AutoShape 138">
          <a:extLst>
            <a:ext uri="{FF2B5EF4-FFF2-40B4-BE49-F238E27FC236}">
              <a16:creationId xmlns:a16="http://schemas.microsoft.com/office/drawing/2014/main" id="{6B8E5790-B26D-4AB2-B91A-C63DAB64A623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22</xdr:row>
      <xdr:rowOff>0</xdr:rowOff>
    </xdr:from>
    <xdr:ext cx="9525" cy="9525"/>
    <xdr:pic>
      <xdr:nvPicPr>
        <xdr:cNvPr id="5837" name="Picture 5836">
          <a:extLst>
            <a:ext uri="{FF2B5EF4-FFF2-40B4-BE49-F238E27FC236}">
              <a16:creationId xmlns:a16="http://schemas.microsoft.com/office/drawing/2014/main" id="{AA1606BE-A7B3-4939-AC4E-3682B2294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22</xdr:row>
      <xdr:rowOff>0</xdr:rowOff>
    </xdr:from>
    <xdr:ext cx="9525" cy="9525"/>
    <xdr:pic>
      <xdr:nvPicPr>
        <xdr:cNvPr id="5838" name="Picture 5837">
          <a:extLst>
            <a:ext uri="{FF2B5EF4-FFF2-40B4-BE49-F238E27FC236}">
              <a16:creationId xmlns:a16="http://schemas.microsoft.com/office/drawing/2014/main" id="{4BFAC59A-A20D-427E-9C66-7696C3ADC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22</xdr:row>
      <xdr:rowOff>0</xdr:rowOff>
    </xdr:from>
    <xdr:ext cx="9525" cy="9525"/>
    <xdr:pic>
      <xdr:nvPicPr>
        <xdr:cNvPr id="5839" name="Picture 5838">
          <a:extLst>
            <a:ext uri="{FF2B5EF4-FFF2-40B4-BE49-F238E27FC236}">
              <a16:creationId xmlns:a16="http://schemas.microsoft.com/office/drawing/2014/main" id="{391CBBC0-0F48-4742-9859-13A513A64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22</xdr:row>
      <xdr:rowOff>0</xdr:rowOff>
    </xdr:from>
    <xdr:ext cx="9525" cy="9525"/>
    <xdr:pic>
      <xdr:nvPicPr>
        <xdr:cNvPr id="5840" name="Picture 5839">
          <a:extLst>
            <a:ext uri="{FF2B5EF4-FFF2-40B4-BE49-F238E27FC236}">
              <a16:creationId xmlns:a16="http://schemas.microsoft.com/office/drawing/2014/main" id="{C8AB026D-C06D-4E8A-804D-DD6C57E7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9525" cy="9525"/>
    <xdr:pic>
      <xdr:nvPicPr>
        <xdr:cNvPr id="5841" name="Picture 5840">
          <a:extLst>
            <a:ext uri="{FF2B5EF4-FFF2-40B4-BE49-F238E27FC236}">
              <a16:creationId xmlns:a16="http://schemas.microsoft.com/office/drawing/2014/main" id="{331F0A92-2DB9-4C24-A615-94AA7CAC5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842" name="AutoShape 38">
          <a:extLst>
            <a:ext uri="{FF2B5EF4-FFF2-40B4-BE49-F238E27FC236}">
              <a16:creationId xmlns:a16="http://schemas.microsoft.com/office/drawing/2014/main" id="{B10CC9AE-9A2A-465C-AA77-2DFD1ECF2E84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23</xdr:row>
      <xdr:rowOff>0</xdr:rowOff>
    </xdr:from>
    <xdr:ext cx="9525" cy="9525"/>
    <xdr:pic>
      <xdr:nvPicPr>
        <xdr:cNvPr id="5843" name="Picture 5842">
          <a:extLst>
            <a:ext uri="{FF2B5EF4-FFF2-40B4-BE49-F238E27FC236}">
              <a16:creationId xmlns:a16="http://schemas.microsoft.com/office/drawing/2014/main" id="{6F5180BD-2BA7-4ECE-87C6-9CD16A924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844" name="AutoShape 61">
          <a:extLst>
            <a:ext uri="{FF2B5EF4-FFF2-40B4-BE49-F238E27FC236}">
              <a16:creationId xmlns:a16="http://schemas.microsoft.com/office/drawing/2014/main" id="{832DF51B-098A-421A-95B4-5ED0632D839F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23</xdr:row>
      <xdr:rowOff>0</xdr:rowOff>
    </xdr:from>
    <xdr:ext cx="9525" cy="9525"/>
    <xdr:pic>
      <xdr:nvPicPr>
        <xdr:cNvPr id="5845" name="Picture 5844">
          <a:extLst>
            <a:ext uri="{FF2B5EF4-FFF2-40B4-BE49-F238E27FC236}">
              <a16:creationId xmlns:a16="http://schemas.microsoft.com/office/drawing/2014/main" id="{4CF42C34-9EE2-4FEC-8F20-0751CD4D5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846" name="AutoShape 111">
          <a:extLst>
            <a:ext uri="{FF2B5EF4-FFF2-40B4-BE49-F238E27FC236}">
              <a16:creationId xmlns:a16="http://schemas.microsoft.com/office/drawing/2014/main" id="{F1B4204E-9E15-421C-920E-5DC90E6CA065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23</xdr:row>
      <xdr:rowOff>0</xdr:rowOff>
    </xdr:from>
    <xdr:ext cx="9525" cy="9525"/>
    <xdr:pic>
      <xdr:nvPicPr>
        <xdr:cNvPr id="5847" name="Picture 5846">
          <a:extLst>
            <a:ext uri="{FF2B5EF4-FFF2-40B4-BE49-F238E27FC236}">
              <a16:creationId xmlns:a16="http://schemas.microsoft.com/office/drawing/2014/main" id="{8DE9D300-6FA1-4FCB-B65C-2D916FBA8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848" name="AutoShape 136">
          <a:extLst>
            <a:ext uri="{FF2B5EF4-FFF2-40B4-BE49-F238E27FC236}">
              <a16:creationId xmlns:a16="http://schemas.microsoft.com/office/drawing/2014/main" id="{B1556098-5724-48C5-AED8-F06722DB004F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849" name="AutoShape 44">
          <a:extLst>
            <a:ext uri="{FF2B5EF4-FFF2-40B4-BE49-F238E27FC236}">
              <a16:creationId xmlns:a16="http://schemas.microsoft.com/office/drawing/2014/main" id="{0696A9D4-6A89-4AAA-917E-89DCBFC5C176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850" name="AutoShape 67">
          <a:extLst>
            <a:ext uri="{FF2B5EF4-FFF2-40B4-BE49-F238E27FC236}">
              <a16:creationId xmlns:a16="http://schemas.microsoft.com/office/drawing/2014/main" id="{CB853273-A30D-41D9-A08E-EFBB972C0A3E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304800" cy="303440"/>
    <xdr:sp macro="" textlink="">
      <xdr:nvSpPr>
        <xdr:cNvPr id="5851" name="AutoShape 69">
          <a:extLst>
            <a:ext uri="{FF2B5EF4-FFF2-40B4-BE49-F238E27FC236}">
              <a16:creationId xmlns:a16="http://schemas.microsoft.com/office/drawing/2014/main" id="{74D2CB4D-272F-4AE3-8D3C-E967522A1624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9525" cy="9525"/>
    <xdr:pic>
      <xdr:nvPicPr>
        <xdr:cNvPr id="5852" name="Picture 5851">
          <a:extLst>
            <a:ext uri="{FF2B5EF4-FFF2-40B4-BE49-F238E27FC236}">
              <a16:creationId xmlns:a16="http://schemas.microsoft.com/office/drawing/2014/main" id="{B1B87B0D-CF87-4E6E-AA34-3E29E16F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853" name="AutoShape 117">
          <a:extLst>
            <a:ext uri="{FF2B5EF4-FFF2-40B4-BE49-F238E27FC236}">
              <a16:creationId xmlns:a16="http://schemas.microsoft.com/office/drawing/2014/main" id="{BE0CBC6E-8BCA-48B4-A431-932DD364CE54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304800" cy="303440"/>
    <xdr:sp macro="" textlink="">
      <xdr:nvSpPr>
        <xdr:cNvPr id="5854" name="AutoShape 119">
          <a:extLst>
            <a:ext uri="{FF2B5EF4-FFF2-40B4-BE49-F238E27FC236}">
              <a16:creationId xmlns:a16="http://schemas.microsoft.com/office/drawing/2014/main" id="{17087CA3-037F-4205-B684-BEC144B005CF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9525" cy="9525"/>
    <xdr:pic>
      <xdr:nvPicPr>
        <xdr:cNvPr id="5855" name="Picture 5854">
          <a:extLst>
            <a:ext uri="{FF2B5EF4-FFF2-40B4-BE49-F238E27FC236}">
              <a16:creationId xmlns:a16="http://schemas.microsoft.com/office/drawing/2014/main" id="{3BFE037D-304B-44DD-968A-C064DB658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714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0</xdr:colOff>
      <xdr:row>23</xdr:row>
      <xdr:rowOff>0</xdr:rowOff>
    </xdr:from>
    <xdr:ext cx="304800" cy="304800"/>
    <xdr:sp macro="" textlink="">
      <xdr:nvSpPr>
        <xdr:cNvPr id="5856" name="AutoShape 142">
          <a:extLst>
            <a:ext uri="{FF2B5EF4-FFF2-40B4-BE49-F238E27FC236}">
              <a16:creationId xmlns:a16="http://schemas.microsoft.com/office/drawing/2014/main" id="{39ECD232-F08D-4ADF-A3EF-60CBF59272AC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24</xdr:row>
      <xdr:rowOff>0</xdr:rowOff>
    </xdr:from>
    <xdr:ext cx="304800" cy="303440"/>
    <xdr:sp macro="" textlink="">
      <xdr:nvSpPr>
        <xdr:cNvPr id="5857" name="AutoShape 144">
          <a:extLst>
            <a:ext uri="{FF2B5EF4-FFF2-40B4-BE49-F238E27FC236}">
              <a16:creationId xmlns:a16="http://schemas.microsoft.com/office/drawing/2014/main" id="{0B05B5A1-7FEE-4B9A-A19F-EB3D78E304DD}"/>
            </a:ext>
          </a:extLst>
        </xdr:cNvPr>
        <xdr:cNvSpPr>
          <a:spLocks noChangeAspect="1" noChangeArrowheads="1"/>
        </xdr:cNvSpPr>
      </xdr:nvSpPr>
      <xdr:spPr bwMode="auto">
        <a:xfrm>
          <a:off x="45175714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3</xdr:row>
      <xdr:rowOff>0</xdr:rowOff>
    </xdr:from>
    <xdr:ext cx="9525" cy="9525"/>
    <xdr:pic>
      <xdr:nvPicPr>
        <xdr:cNvPr id="5858" name="Picture 5857">
          <a:extLst>
            <a:ext uri="{FF2B5EF4-FFF2-40B4-BE49-F238E27FC236}">
              <a16:creationId xmlns:a16="http://schemas.microsoft.com/office/drawing/2014/main" id="{B8C45A2E-7996-4718-B9D4-5C8AF326E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</xdr:row>
      <xdr:rowOff>0</xdr:rowOff>
    </xdr:from>
    <xdr:ext cx="304800" cy="303439"/>
    <xdr:sp macro="" textlink="">
      <xdr:nvSpPr>
        <xdr:cNvPr id="5859" name="AutoShape 148">
          <a:extLst>
            <a:ext uri="{FF2B5EF4-FFF2-40B4-BE49-F238E27FC236}">
              <a16:creationId xmlns:a16="http://schemas.microsoft.com/office/drawing/2014/main" id="{6B05502E-3C77-4C8B-BE30-867E4DF4EF34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3</xdr:row>
      <xdr:rowOff>0</xdr:rowOff>
    </xdr:from>
    <xdr:ext cx="304800" cy="304800"/>
    <xdr:sp macro="" textlink="">
      <xdr:nvSpPr>
        <xdr:cNvPr id="5860" name="AutoShape 150">
          <a:extLst>
            <a:ext uri="{FF2B5EF4-FFF2-40B4-BE49-F238E27FC236}">
              <a16:creationId xmlns:a16="http://schemas.microsoft.com/office/drawing/2014/main" id="{36FAF829-4AC9-43D6-9C72-2D5C0C106EC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5</xdr:row>
      <xdr:rowOff>0</xdr:rowOff>
    </xdr:from>
    <xdr:ext cx="9525" cy="9525"/>
    <xdr:pic>
      <xdr:nvPicPr>
        <xdr:cNvPr id="5861" name="Picture 5860">
          <a:extLst>
            <a:ext uri="{FF2B5EF4-FFF2-40B4-BE49-F238E27FC236}">
              <a16:creationId xmlns:a16="http://schemas.microsoft.com/office/drawing/2014/main" id="{AE5D5B03-91AD-4DD0-8021-6CB5C30A8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9525" cy="9525"/>
    <xdr:pic>
      <xdr:nvPicPr>
        <xdr:cNvPr id="5862" name="Picture 5861">
          <a:extLst>
            <a:ext uri="{FF2B5EF4-FFF2-40B4-BE49-F238E27FC236}">
              <a16:creationId xmlns:a16="http://schemas.microsoft.com/office/drawing/2014/main" id="{7C5A573D-A2F8-4400-B146-7635A15CD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63" name="Picture 5862">
          <a:extLst>
            <a:ext uri="{FF2B5EF4-FFF2-40B4-BE49-F238E27FC236}">
              <a16:creationId xmlns:a16="http://schemas.microsoft.com/office/drawing/2014/main" id="{2CF96FEA-DBA6-4C60-A7F0-9CB7E8583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304800" cy="304800"/>
    <xdr:sp macro="" textlink="">
      <xdr:nvSpPr>
        <xdr:cNvPr id="5864" name="AutoShape 154">
          <a:extLst>
            <a:ext uri="{FF2B5EF4-FFF2-40B4-BE49-F238E27FC236}">
              <a16:creationId xmlns:a16="http://schemas.microsoft.com/office/drawing/2014/main" id="{6F263DB0-F5B9-424B-9D05-6E8B9662239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26</xdr:row>
      <xdr:rowOff>0</xdr:rowOff>
    </xdr:from>
    <xdr:ext cx="9525" cy="9525"/>
    <xdr:pic>
      <xdr:nvPicPr>
        <xdr:cNvPr id="5865" name="Picture 5864">
          <a:extLst>
            <a:ext uri="{FF2B5EF4-FFF2-40B4-BE49-F238E27FC236}">
              <a16:creationId xmlns:a16="http://schemas.microsoft.com/office/drawing/2014/main" id="{CCD1BB3F-35AD-4343-B631-2DDE725B7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25</xdr:row>
      <xdr:rowOff>0</xdr:rowOff>
    </xdr:from>
    <xdr:ext cx="304800" cy="303440"/>
    <xdr:sp macro="" textlink="">
      <xdr:nvSpPr>
        <xdr:cNvPr id="5866" name="AutoShape 156">
          <a:extLst>
            <a:ext uri="{FF2B5EF4-FFF2-40B4-BE49-F238E27FC236}">
              <a16:creationId xmlns:a16="http://schemas.microsoft.com/office/drawing/2014/main" id="{1E531D07-3410-4E95-BF64-E2858F12E7A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67" name="Picture 5866">
          <a:extLst>
            <a:ext uri="{FF2B5EF4-FFF2-40B4-BE49-F238E27FC236}">
              <a16:creationId xmlns:a16="http://schemas.microsoft.com/office/drawing/2014/main" id="{94A14E91-1B4E-422F-A014-93EC42A91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68" name="Picture 5867">
          <a:extLst>
            <a:ext uri="{FF2B5EF4-FFF2-40B4-BE49-F238E27FC236}">
              <a16:creationId xmlns:a16="http://schemas.microsoft.com/office/drawing/2014/main" id="{A2732C80-1F52-4FE7-A581-904C256B8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5869" name="AutoShape 159">
          <a:extLst>
            <a:ext uri="{FF2B5EF4-FFF2-40B4-BE49-F238E27FC236}">
              <a16:creationId xmlns:a16="http://schemas.microsoft.com/office/drawing/2014/main" id="{944EFB7D-9D6A-4BFB-9940-0F39A9744BB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70" name="Picture 5869">
          <a:extLst>
            <a:ext uri="{FF2B5EF4-FFF2-40B4-BE49-F238E27FC236}">
              <a16:creationId xmlns:a16="http://schemas.microsoft.com/office/drawing/2014/main" id="{489F380D-8B74-4A78-8720-B2A00875E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71" name="Picture 5870">
          <a:extLst>
            <a:ext uri="{FF2B5EF4-FFF2-40B4-BE49-F238E27FC236}">
              <a16:creationId xmlns:a16="http://schemas.microsoft.com/office/drawing/2014/main" id="{F6470AD2-20A1-4B40-B8AC-5B2044FDC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72" name="Picture 5871">
          <a:extLst>
            <a:ext uri="{FF2B5EF4-FFF2-40B4-BE49-F238E27FC236}">
              <a16:creationId xmlns:a16="http://schemas.microsoft.com/office/drawing/2014/main" id="{ABFA2677-5B6C-47D3-A752-5CA2CF121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73" name="Picture 5872">
          <a:extLst>
            <a:ext uri="{FF2B5EF4-FFF2-40B4-BE49-F238E27FC236}">
              <a16:creationId xmlns:a16="http://schemas.microsoft.com/office/drawing/2014/main" id="{04E7261F-F83F-4082-8A88-AF6954DF0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13</xdr:row>
      <xdr:rowOff>0</xdr:rowOff>
    </xdr:from>
    <xdr:ext cx="9525" cy="9525"/>
    <xdr:pic>
      <xdr:nvPicPr>
        <xdr:cNvPr id="5874" name="Picture 5873">
          <a:extLst>
            <a:ext uri="{FF2B5EF4-FFF2-40B4-BE49-F238E27FC236}">
              <a16:creationId xmlns:a16="http://schemas.microsoft.com/office/drawing/2014/main" id="{86B18441-DE39-49A6-91D1-A9CF2C60E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</xdr:row>
      <xdr:rowOff>0</xdr:rowOff>
    </xdr:from>
    <xdr:ext cx="304800" cy="303439"/>
    <xdr:sp macro="" textlink="">
      <xdr:nvSpPr>
        <xdr:cNvPr id="5875" name="AutoShape 165">
          <a:extLst>
            <a:ext uri="{FF2B5EF4-FFF2-40B4-BE49-F238E27FC236}">
              <a16:creationId xmlns:a16="http://schemas.microsoft.com/office/drawing/2014/main" id="{6ECC291C-6102-4548-B5EF-5727EA645B8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76" name="Picture 5875">
          <a:extLst>
            <a:ext uri="{FF2B5EF4-FFF2-40B4-BE49-F238E27FC236}">
              <a16:creationId xmlns:a16="http://schemas.microsoft.com/office/drawing/2014/main" id="{A32B6C4D-7A23-4030-950C-13E64386C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77" name="Picture 5876">
          <a:extLst>
            <a:ext uri="{FF2B5EF4-FFF2-40B4-BE49-F238E27FC236}">
              <a16:creationId xmlns:a16="http://schemas.microsoft.com/office/drawing/2014/main" id="{6F58FC43-8808-4380-BA4E-EAD4DE794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3440"/>
    <xdr:sp macro="" textlink="">
      <xdr:nvSpPr>
        <xdr:cNvPr id="5878" name="AutoShape 169">
          <a:extLst>
            <a:ext uri="{FF2B5EF4-FFF2-40B4-BE49-F238E27FC236}">
              <a16:creationId xmlns:a16="http://schemas.microsoft.com/office/drawing/2014/main" id="{6E419AB4-ABA3-4105-9CB7-34D3110D57E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27</xdr:row>
      <xdr:rowOff>0</xdr:rowOff>
    </xdr:from>
    <xdr:ext cx="9525" cy="9525"/>
    <xdr:pic>
      <xdr:nvPicPr>
        <xdr:cNvPr id="5879" name="Picture 5878">
          <a:extLst>
            <a:ext uri="{FF2B5EF4-FFF2-40B4-BE49-F238E27FC236}">
              <a16:creationId xmlns:a16="http://schemas.microsoft.com/office/drawing/2014/main" id="{3568548D-D219-456B-86EF-7FB17E99C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26</xdr:row>
      <xdr:rowOff>0</xdr:rowOff>
    </xdr:from>
    <xdr:ext cx="304800" cy="303439"/>
    <xdr:sp macro="" textlink="">
      <xdr:nvSpPr>
        <xdr:cNvPr id="5880" name="AutoShape 171">
          <a:extLst>
            <a:ext uri="{FF2B5EF4-FFF2-40B4-BE49-F238E27FC236}">
              <a16:creationId xmlns:a16="http://schemas.microsoft.com/office/drawing/2014/main" id="{46BBF5A2-9A6E-4B75-BE32-C03E5EEF3EA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81" name="Picture 5880">
          <a:extLst>
            <a:ext uri="{FF2B5EF4-FFF2-40B4-BE49-F238E27FC236}">
              <a16:creationId xmlns:a16="http://schemas.microsoft.com/office/drawing/2014/main" id="{E832420F-6B17-44CE-9730-2476948F3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27</xdr:row>
      <xdr:rowOff>0</xdr:rowOff>
    </xdr:from>
    <xdr:ext cx="304800" cy="303440"/>
    <xdr:sp macro="" textlink="">
      <xdr:nvSpPr>
        <xdr:cNvPr id="5882" name="AutoShape 173">
          <a:extLst>
            <a:ext uri="{FF2B5EF4-FFF2-40B4-BE49-F238E27FC236}">
              <a16:creationId xmlns:a16="http://schemas.microsoft.com/office/drawing/2014/main" id="{C97C3D19-2A54-4E63-9B09-261B9A7A6DE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477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83" name="Picture 5882">
          <a:extLst>
            <a:ext uri="{FF2B5EF4-FFF2-40B4-BE49-F238E27FC236}">
              <a16:creationId xmlns:a16="http://schemas.microsoft.com/office/drawing/2014/main" id="{3678C442-C222-45B7-B425-E7BADAE5D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84" name="Picture 5883">
          <a:extLst>
            <a:ext uri="{FF2B5EF4-FFF2-40B4-BE49-F238E27FC236}">
              <a16:creationId xmlns:a16="http://schemas.microsoft.com/office/drawing/2014/main" id="{FDA17347-0A74-467B-B523-6EE85EA1C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</xdr:row>
      <xdr:rowOff>0</xdr:rowOff>
    </xdr:from>
    <xdr:ext cx="9525" cy="9525"/>
    <xdr:pic>
      <xdr:nvPicPr>
        <xdr:cNvPr id="5885" name="Picture 5884">
          <a:extLst>
            <a:ext uri="{FF2B5EF4-FFF2-40B4-BE49-F238E27FC236}">
              <a16:creationId xmlns:a16="http://schemas.microsoft.com/office/drawing/2014/main" id="{5FC3D726-7891-460A-AB57-8D6CE6F64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</xdr:row>
      <xdr:rowOff>0</xdr:rowOff>
    </xdr:from>
    <xdr:ext cx="304800" cy="303439"/>
    <xdr:sp macro="" textlink="">
      <xdr:nvSpPr>
        <xdr:cNvPr id="5886" name="AutoShape 177">
          <a:extLst>
            <a:ext uri="{FF2B5EF4-FFF2-40B4-BE49-F238E27FC236}">
              <a16:creationId xmlns:a16="http://schemas.microsoft.com/office/drawing/2014/main" id="{F6D9C92F-7D86-40BA-A4FD-8907170E887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</xdr:row>
      <xdr:rowOff>0</xdr:rowOff>
    </xdr:from>
    <xdr:ext cx="9525" cy="9525"/>
    <xdr:pic>
      <xdr:nvPicPr>
        <xdr:cNvPr id="5887" name="Picture 5886">
          <a:extLst>
            <a:ext uri="{FF2B5EF4-FFF2-40B4-BE49-F238E27FC236}">
              <a16:creationId xmlns:a16="http://schemas.microsoft.com/office/drawing/2014/main" id="{512784E4-D757-4FE4-87EA-8D774616E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9525" cy="9525"/>
    <xdr:pic>
      <xdr:nvPicPr>
        <xdr:cNvPr id="5888" name="Picture 5887">
          <a:extLst>
            <a:ext uri="{FF2B5EF4-FFF2-40B4-BE49-F238E27FC236}">
              <a16:creationId xmlns:a16="http://schemas.microsoft.com/office/drawing/2014/main" id="{974CB5A9-482E-42A6-B7BC-26EBA6268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9525" cy="9525"/>
    <xdr:pic>
      <xdr:nvPicPr>
        <xdr:cNvPr id="5889" name="Picture 5888">
          <a:extLst>
            <a:ext uri="{FF2B5EF4-FFF2-40B4-BE49-F238E27FC236}">
              <a16:creationId xmlns:a16="http://schemas.microsoft.com/office/drawing/2014/main" id="{C19DCC49-1865-481E-A294-C3821EA4C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304800" cy="304800"/>
    <xdr:sp macro="" textlink="">
      <xdr:nvSpPr>
        <xdr:cNvPr id="5890" name="AutoShape 181">
          <a:extLst>
            <a:ext uri="{FF2B5EF4-FFF2-40B4-BE49-F238E27FC236}">
              <a16:creationId xmlns:a16="http://schemas.microsoft.com/office/drawing/2014/main" id="{D75958E8-6162-427F-A37E-BCFF71DD243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91" name="Picture 5890">
          <a:extLst>
            <a:ext uri="{FF2B5EF4-FFF2-40B4-BE49-F238E27FC236}">
              <a16:creationId xmlns:a16="http://schemas.microsoft.com/office/drawing/2014/main" id="{EF1B74E6-7B69-45C1-A027-1AC7234A1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304800" cy="304800"/>
    <xdr:sp macro="" textlink="">
      <xdr:nvSpPr>
        <xdr:cNvPr id="5892" name="AutoShape 183">
          <a:extLst>
            <a:ext uri="{FF2B5EF4-FFF2-40B4-BE49-F238E27FC236}">
              <a16:creationId xmlns:a16="http://schemas.microsoft.com/office/drawing/2014/main" id="{A9F800D6-529B-4206-B282-CFB78F114B25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26</xdr:row>
      <xdr:rowOff>0</xdr:rowOff>
    </xdr:from>
    <xdr:ext cx="9525" cy="9525"/>
    <xdr:pic>
      <xdr:nvPicPr>
        <xdr:cNvPr id="5893" name="Picture 5892">
          <a:extLst>
            <a:ext uri="{FF2B5EF4-FFF2-40B4-BE49-F238E27FC236}">
              <a16:creationId xmlns:a16="http://schemas.microsoft.com/office/drawing/2014/main" id="{17D7B8CF-A835-4BDA-8615-5BFF0310B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25</xdr:row>
      <xdr:rowOff>0</xdr:rowOff>
    </xdr:from>
    <xdr:ext cx="304800" cy="303440"/>
    <xdr:sp macro="" textlink="">
      <xdr:nvSpPr>
        <xdr:cNvPr id="5894" name="AutoShape 185">
          <a:extLst>
            <a:ext uri="{FF2B5EF4-FFF2-40B4-BE49-F238E27FC236}">
              <a16:creationId xmlns:a16="http://schemas.microsoft.com/office/drawing/2014/main" id="{623C49A2-00A7-45FD-BF82-6106755C077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95" name="Picture 5894">
          <a:extLst>
            <a:ext uri="{FF2B5EF4-FFF2-40B4-BE49-F238E27FC236}">
              <a16:creationId xmlns:a16="http://schemas.microsoft.com/office/drawing/2014/main" id="{C3EFCD03-739C-4068-948C-3B4AE5494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96" name="Picture 5895">
          <a:extLst>
            <a:ext uri="{FF2B5EF4-FFF2-40B4-BE49-F238E27FC236}">
              <a16:creationId xmlns:a16="http://schemas.microsoft.com/office/drawing/2014/main" id="{106E078E-346C-4537-BEED-3E24532A4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97" name="Picture 5896">
          <a:extLst>
            <a:ext uri="{FF2B5EF4-FFF2-40B4-BE49-F238E27FC236}">
              <a16:creationId xmlns:a16="http://schemas.microsoft.com/office/drawing/2014/main" id="{F1CB747E-BF48-4CC3-AE39-252887BDA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98" name="Picture 5897">
          <a:extLst>
            <a:ext uri="{FF2B5EF4-FFF2-40B4-BE49-F238E27FC236}">
              <a16:creationId xmlns:a16="http://schemas.microsoft.com/office/drawing/2014/main" id="{FDDDDB30-A26E-4837-93DC-191277F1F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899" name="Picture 5898">
          <a:extLst>
            <a:ext uri="{FF2B5EF4-FFF2-40B4-BE49-F238E27FC236}">
              <a16:creationId xmlns:a16="http://schemas.microsoft.com/office/drawing/2014/main" id="{B06F95E1-EFD3-429B-8B69-43470758A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5900" name="AutoShape 191">
          <a:extLst>
            <a:ext uri="{FF2B5EF4-FFF2-40B4-BE49-F238E27FC236}">
              <a16:creationId xmlns:a16="http://schemas.microsoft.com/office/drawing/2014/main" id="{73C364AC-ADC2-4C51-9E55-E804E4B11D89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01" name="Picture 5900">
          <a:extLst>
            <a:ext uri="{FF2B5EF4-FFF2-40B4-BE49-F238E27FC236}">
              <a16:creationId xmlns:a16="http://schemas.microsoft.com/office/drawing/2014/main" id="{E7F00954-4A7E-4D0F-95D3-DBE16142B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5902" name="AutoShape 193">
          <a:extLst>
            <a:ext uri="{FF2B5EF4-FFF2-40B4-BE49-F238E27FC236}">
              <a16:creationId xmlns:a16="http://schemas.microsoft.com/office/drawing/2014/main" id="{2A1B6334-068F-4ECF-BD9F-15C8A34F3EBC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13</xdr:row>
      <xdr:rowOff>0</xdr:rowOff>
    </xdr:from>
    <xdr:ext cx="9525" cy="9525"/>
    <xdr:pic>
      <xdr:nvPicPr>
        <xdr:cNvPr id="5903" name="Picture 5902">
          <a:extLst>
            <a:ext uri="{FF2B5EF4-FFF2-40B4-BE49-F238E27FC236}">
              <a16:creationId xmlns:a16="http://schemas.microsoft.com/office/drawing/2014/main" id="{24DC4693-CA5C-4EA3-B82C-BFBC8500C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</xdr:row>
      <xdr:rowOff>0</xdr:rowOff>
    </xdr:from>
    <xdr:ext cx="304800" cy="303439"/>
    <xdr:sp macro="" textlink="">
      <xdr:nvSpPr>
        <xdr:cNvPr id="5904" name="AutoShape 195">
          <a:extLst>
            <a:ext uri="{FF2B5EF4-FFF2-40B4-BE49-F238E27FC236}">
              <a16:creationId xmlns:a16="http://schemas.microsoft.com/office/drawing/2014/main" id="{AF7FACEA-FCF8-4FCC-A897-D457146153D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05" name="Picture 5904">
          <a:extLst>
            <a:ext uri="{FF2B5EF4-FFF2-40B4-BE49-F238E27FC236}">
              <a16:creationId xmlns:a16="http://schemas.microsoft.com/office/drawing/2014/main" id="{B487F22D-6BF9-457B-AFEF-4D29B7783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06" name="Picture 5905">
          <a:extLst>
            <a:ext uri="{FF2B5EF4-FFF2-40B4-BE49-F238E27FC236}">
              <a16:creationId xmlns:a16="http://schemas.microsoft.com/office/drawing/2014/main" id="{8F3BC208-B321-4A1B-A4FE-EC49613BC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3440"/>
    <xdr:sp macro="" textlink="">
      <xdr:nvSpPr>
        <xdr:cNvPr id="5907" name="AutoShape 199">
          <a:extLst>
            <a:ext uri="{FF2B5EF4-FFF2-40B4-BE49-F238E27FC236}">
              <a16:creationId xmlns:a16="http://schemas.microsoft.com/office/drawing/2014/main" id="{DF76E6D2-0095-4CEE-86F3-D2B2887FA8A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27</xdr:row>
      <xdr:rowOff>0</xdr:rowOff>
    </xdr:from>
    <xdr:ext cx="9525" cy="9525"/>
    <xdr:pic>
      <xdr:nvPicPr>
        <xdr:cNvPr id="5908" name="Picture 5907">
          <a:extLst>
            <a:ext uri="{FF2B5EF4-FFF2-40B4-BE49-F238E27FC236}">
              <a16:creationId xmlns:a16="http://schemas.microsoft.com/office/drawing/2014/main" id="{5DB6B604-D8D5-40D4-823E-F9A6941E5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09" name="Picture 5908">
          <a:extLst>
            <a:ext uri="{FF2B5EF4-FFF2-40B4-BE49-F238E27FC236}">
              <a16:creationId xmlns:a16="http://schemas.microsoft.com/office/drawing/2014/main" id="{B7C82482-995C-46AA-8A13-D8181B196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</xdr:row>
      <xdr:rowOff>0</xdr:rowOff>
    </xdr:from>
    <xdr:ext cx="9525" cy="9525"/>
    <xdr:pic>
      <xdr:nvPicPr>
        <xdr:cNvPr id="5910" name="Picture 5909">
          <a:extLst>
            <a:ext uri="{FF2B5EF4-FFF2-40B4-BE49-F238E27FC236}">
              <a16:creationId xmlns:a16="http://schemas.microsoft.com/office/drawing/2014/main" id="{0759EFCE-CEFA-46EA-916D-8D372C10F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</xdr:row>
      <xdr:rowOff>0</xdr:rowOff>
    </xdr:from>
    <xdr:ext cx="304800" cy="303439"/>
    <xdr:sp macro="" textlink="">
      <xdr:nvSpPr>
        <xdr:cNvPr id="5911" name="AutoShape 203">
          <a:extLst>
            <a:ext uri="{FF2B5EF4-FFF2-40B4-BE49-F238E27FC236}">
              <a16:creationId xmlns:a16="http://schemas.microsoft.com/office/drawing/2014/main" id="{94159E73-5AE0-4F83-9061-0968EEF990C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</xdr:row>
      <xdr:rowOff>0</xdr:rowOff>
    </xdr:from>
    <xdr:ext cx="9525" cy="9525"/>
    <xdr:pic>
      <xdr:nvPicPr>
        <xdr:cNvPr id="5912" name="Picture 5911">
          <a:extLst>
            <a:ext uri="{FF2B5EF4-FFF2-40B4-BE49-F238E27FC236}">
              <a16:creationId xmlns:a16="http://schemas.microsoft.com/office/drawing/2014/main" id="{5DD81050-45FD-4A73-926A-7445903D1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9525" cy="9525"/>
    <xdr:pic>
      <xdr:nvPicPr>
        <xdr:cNvPr id="5913" name="Picture 5912">
          <a:extLst>
            <a:ext uri="{FF2B5EF4-FFF2-40B4-BE49-F238E27FC236}">
              <a16:creationId xmlns:a16="http://schemas.microsoft.com/office/drawing/2014/main" id="{BBDCBB3A-498E-4DD5-B2B5-6390F9C76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9525" cy="9525"/>
    <xdr:pic>
      <xdr:nvPicPr>
        <xdr:cNvPr id="5914" name="Picture 5913">
          <a:extLst>
            <a:ext uri="{FF2B5EF4-FFF2-40B4-BE49-F238E27FC236}">
              <a16:creationId xmlns:a16="http://schemas.microsoft.com/office/drawing/2014/main" id="{9852389D-064C-4F6F-9FED-A06BE3FD3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304800" cy="304800"/>
    <xdr:sp macro="" textlink="">
      <xdr:nvSpPr>
        <xdr:cNvPr id="5915" name="AutoShape 207">
          <a:extLst>
            <a:ext uri="{FF2B5EF4-FFF2-40B4-BE49-F238E27FC236}">
              <a16:creationId xmlns:a16="http://schemas.microsoft.com/office/drawing/2014/main" id="{BBE8B287-48A3-4B63-8B8D-19602B57E055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16" name="Picture 5915">
          <a:extLst>
            <a:ext uri="{FF2B5EF4-FFF2-40B4-BE49-F238E27FC236}">
              <a16:creationId xmlns:a16="http://schemas.microsoft.com/office/drawing/2014/main" id="{29987B0A-7704-4494-AB27-F69DD3EE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304800" cy="304800"/>
    <xdr:sp macro="" textlink="">
      <xdr:nvSpPr>
        <xdr:cNvPr id="5917" name="AutoShape 209">
          <a:extLst>
            <a:ext uri="{FF2B5EF4-FFF2-40B4-BE49-F238E27FC236}">
              <a16:creationId xmlns:a16="http://schemas.microsoft.com/office/drawing/2014/main" id="{2419983C-DC28-478C-8C8A-3E279114EBF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26</xdr:row>
      <xdr:rowOff>0</xdr:rowOff>
    </xdr:from>
    <xdr:ext cx="9525" cy="9525"/>
    <xdr:pic>
      <xdr:nvPicPr>
        <xdr:cNvPr id="5918" name="Picture 5917">
          <a:extLst>
            <a:ext uri="{FF2B5EF4-FFF2-40B4-BE49-F238E27FC236}">
              <a16:creationId xmlns:a16="http://schemas.microsoft.com/office/drawing/2014/main" id="{7207CB01-D12D-4061-BC63-83C8CB0C9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25</xdr:row>
      <xdr:rowOff>0</xdr:rowOff>
    </xdr:from>
    <xdr:ext cx="304800" cy="303440"/>
    <xdr:sp macro="" textlink="">
      <xdr:nvSpPr>
        <xdr:cNvPr id="5919" name="AutoShape 211">
          <a:extLst>
            <a:ext uri="{FF2B5EF4-FFF2-40B4-BE49-F238E27FC236}">
              <a16:creationId xmlns:a16="http://schemas.microsoft.com/office/drawing/2014/main" id="{A2DB2E58-DEEC-47BD-930B-0750E09ACEBD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20" name="Picture 5919">
          <a:extLst>
            <a:ext uri="{FF2B5EF4-FFF2-40B4-BE49-F238E27FC236}">
              <a16:creationId xmlns:a16="http://schemas.microsoft.com/office/drawing/2014/main" id="{4B391FDD-CCC9-4151-A4C5-E8A7B5F9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21" name="Picture 5920">
          <a:extLst>
            <a:ext uri="{FF2B5EF4-FFF2-40B4-BE49-F238E27FC236}">
              <a16:creationId xmlns:a16="http://schemas.microsoft.com/office/drawing/2014/main" id="{06F44932-0E9F-420B-BD8A-A966563ED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22" name="Picture 5921">
          <a:extLst>
            <a:ext uri="{FF2B5EF4-FFF2-40B4-BE49-F238E27FC236}">
              <a16:creationId xmlns:a16="http://schemas.microsoft.com/office/drawing/2014/main" id="{EC255C36-3B67-4AE5-839F-4ACDA54DC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23" name="Picture 5922">
          <a:extLst>
            <a:ext uri="{FF2B5EF4-FFF2-40B4-BE49-F238E27FC236}">
              <a16:creationId xmlns:a16="http://schemas.microsoft.com/office/drawing/2014/main" id="{A8BBC82A-3652-4E50-B886-0AD6A4C0D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24" name="Picture 5923">
          <a:extLst>
            <a:ext uri="{FF2B5EF4-FFF2-40B4-BE49-F238E27FC236}">
              <a16:creationId xmlns:a16="http://schemas.microsoft.com/office/drawing/2014/main" id="{286FC114-B355-4610-99E8-61EDD91A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5925" name="AutoShape 217">
          <a:extLst>
            <a:ext uri="{FF2B5EF4-FFF2-40B4-BE49-F238E27FC236}">
              <a16:creationId xmlns:a16="http://schemas.microsoft.com/office/drawing/2014/main" id="{EA169784-21C3-4F5D-B3D5-EA5910B572A8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26" name="Picture 5925">
          <a:extLst>
            <a:ext uri="{FF2B5EF4-FFF2-40B4-BE49-F238E27FC236}">
              <a16:creationId xmlns:a16="http://schemas.microsoft.com/office/drawing/2014/main" id="{ABADDE24-F73F-4B0D-A765-DB9ED02B0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5927" name="AutoShape 219">
          <a:extLst>
            <a:ext uri="{FF2B5EF4-FFF2-40B4-BE49-F238E27FC236}">
              <a16:creationId xmlns:a16="http://schemas.microsoft.com/office/drawing/2014/main" id="{DD1FFFFD-41B6-4556-8A52-A47296CC5B98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13</xdr:row>
      <xdr:rowOff>0</xdr:rowOff>
    </xdr:from>
    <xdr:ext cx="9525" cy="9525"/>
    <xdr:pic>
      <xdr:nvPicPr>
        <xdr:cNvPr id="5928" name="Picture 5927">
          <a:extLst>
            <a:ext uri="{FF2B5EF4-FFF2-40B4-BE49-F238E27FC236}">
              <a16:creationId xmlns:a16="http://schemas.microsoft.com/office/drawing/2014/main" id="{3153D433-56C8-42C1-B1ED-73AA731C3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</xdr:row>
      <xdr:rowOff>0</xdr:rowOff>
    </xdr:from>
    <xdr:ext cx="304800" cy="303439"/>
    <xdr:sp macro="" textlink="">
      <xdr:nvSpPr>
        <xdr:cNvPr id="5929" name="AutoShape 221">
          <a:extLst>
            <a:ext uri="{FF2B5EF4-FFF2-40B4-BE49-F238E27FC236}">
              <a16:creationId xmlns:a16="http://schemas.microsoft.com/office/drawing/2014/main" id="{37CD4D8B-E0E5-42D5-BAC3-419BF97AA480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30" name="Picture 5929">
          <a:extLst>
            <a:ext uri="{FF2B5EF4-FFF2-40B4-BE49-F238E27FC236}">
              <a16:creationId xmlns:a16="http://schemas.microsoft.com/office/drawing/2014/main" id="{70951CFD-5175-4823-9630-C235B4682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13</xdr:row>
      <xdr:rowOff>0</xdr:rowOff>
    </xdr:from>
    <xdr:ext cx="304800" cy="304800"/>
    <xdr:sp macro="" textlink="">
      <xdr:nvSpPr>
        <xdr:cNvPr id="5931" name="AutoShape 223">
          <a:extLst>
            <a:ext uri="{FF2B5EF4-FFF2-40B4-BE49-F238E27FC236}">
              <a16:creationId xmlns:a16="http://schemas.microsoft.com/office/drawing/2014/main" id="{FF28EBAC-DED3-4CC7-8374-B4EC562F1CB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32" name="Picture 5931">
          <a:extLst>
            <a:ext uri="{FF2B5EF4-FFF2-40B4-BE49-F238E27FC236}">
              <a16:creationId xmlns:a16="http://schemas.microsoft.com/office/drawing/2014/main" id="{AADC5841-F15B-4BB2-B857-AEED85D07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27</xdr:row>
      <xdr:rowOff>0</xdr:rowOff>
    </xdr:from>
    <xdr:ext cx="9525" cy="9525"/>
    <xdr:pic>
      <xdr:nvPicPr>
        <xdr:cNvPr id="5933" name="Picture 5932">
          <a:extLst>
            <a:ext uri="{FF2B5EF4-FFF2-40B4-BE49-F238E27FC236}">
              <a16:creationId xmlns:a16="http://schemas.microsoft.com/office/drawing/2014/main" id="{347631E8-D4D2-460D-9A45-962C3E11A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</xdr:row>
      <xdr:rowOff>0</xdr:rowOff>
    </xdr:from>
    <xdr:ext cx="9525" cy="9525"/>
    <xdr:pic>
      <xdr:nvPicPr>
        <xdr:cNvPr id="5934" name="Picture 5933">
          <a:extLst>
            <a:ext uri="{FF2B5EF4-FFF2-40B4-BE49-F238E27FC236}">
              <a16:creationId xmlns:a16="http://schemas.microsoft.com/office/drawing/2014/main" id="{8522841C-4B86-4A5E-AB0C-94C331D64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</xdr:row>
      <xdr:rowOff>0</xdr:rowOff>
    </xdr:from>
    <xdr:ext cx="304800" cy="303439"/>
    <xdr:sp macro="" textlink="">
      <xdr:nvSpPr>
        <xdr:cNvPr id="5935" name="AutoShape 227">
          <a:extLst>
            <a:ext uri="{FF2B5EF4-FFF2-40B4-BE49-F238E27FC236}">
              <a16:creationId xmlns:a16="http://schemas.microsoft.com/office/drawing/2014/main" id="{3F4053A2-9C3D-4826-AC6F-7CB710088AB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</xdr:row>
      <xdr:rowOff>0</xdr:rowOff>
    </xdr:from>
    <xdr:ext cx="9525" cy="9525"/>
    <xdr:pic>
      <xdr:nvPicPr>
        <xdr:cNvPr id="5936" name="Picture 5935">
          <a:extLst>
            <a:ext uri="{FF2B5EF4-FFF2-40B4-BE49-F238E27FC236}">
              <a16:creationId xmlns:a16="http://schemas.microsoft.com/office/drawing/2014/main" id="{1F2B194F-999C-4119-A774-CF4AD7474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9525" cy="9525"/>
    <xdr:pic>
      <xdr:nvPicPr>
        <xdr:cNvPr id="5937" name="Picture 5936">
          <a:extLst>
            <a:ext uri="{FF2B5EF4-FFF2-40B4-BE49-F238E27FC236}">
              <a16:creationId xmlns:a16="http://schemas.microsoft.com/office/drawing/2014/main" id="{BA0B799D-4684-46F4-B604-D915764A9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9525" cy="9525"/>
    <xdr:pic>
      <xdr:nvPicPr>
        <xdr:cNvPr id="5938" name="Picture 5937">
          <a:extLst>
            <a:ext uri="{FF2B5EF4-FFF2-40B4-BE49-F238E27FC236}">
              <a16:creationId xmlns:a16="http://schemas.microsoft.com/office/drawing/2014/main" id="{04EA726A-55E9-4C09-A242-DAB841D0C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304800" cy="304800"/>
    <xdr:sp macro="" textlink="">
      <xdr:nvSpPr>
        <xdr:cNvPr id="5939" name="AutoShape 231">
          <a:extLst>
            <a:ext uri="{FF2B5EF4-FFF2-40B4-BE49-F238E27FC236}">
              <a16:creationId xmlns:a16="http://schemas.microsoft.com/office/drawing/2014/main" id="{E206B73D-2E88-4C99-A5AA-23F52C841B2E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40" name="Picture 5939">
          <a:extLst>
            <a:ext uri="{FF2B5EF4-FFF2-40B4-BE49-F238E27FC236}">
              <a16:creationId xmlns:a16="http://schemas.microsoft.com/office/drawing/2014/main" id="{00BFCDDA-F79C-42D4-91E0-39064DE83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304800" cy="304800"/>
    <xdr:sp macro="" textlink="">
      <xdr:nvSpPr>
        <xdr:cNvPr id="5941" name="AutoShape 233">
          <a:extLst>
            <a:ext uri="{FF2B5EF4-FFF2-40B4-BE49-F238E27FC236}">
              <a16:creationId xmlns:a16="http://schemas.microsoft.com/office/drawing/2014/main" id="{2E27DC82-82C0-4E45-8CF2-BCF14A0D3561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26</xdr:row>
      <xdr:rowOff>0</xdr:rowOff>
    </xdr:from>
    <xdr:ext cx="9525" cy="9525"/>
    <xdr:pic>
      <xdr:nvPicPr>
        <xdr:cNvPr id="5942" name="Picture 5941">
          <a:extLst>
            <a:ext uri="{FF2B5EF4-FFF2-40B4-BE49-F238E27FC236}">
              <a16:creationId xmlns:a16="http://schemas.microsoft.com/office/drawing/2014/main" id="{6FF40320-4359-4D89-BAA2-78BAF0994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25</xdr:row>
      <xdr:rowOff>0</xdr:rowOff>
    </xdr:from>
    <xdr:ext cx="304800" cy="303440"/>
    <xdr:sp macro="" textlink="">
      <xdr:nvSpPr>
        <xdr:cNvPr id="5943" name="AutoShape 235">
          <a:extLst>
            <a:ext uri="{FF2B5EF4-FFF2-40B4-BE49-F238E27FC236}">
              <a16:creationId xmlns:a16="http://schemas.microsoft.com/office/drawing/2014/main" id="{6C8627A8-1AEF-44B5-9D49-F3F7FCB7701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44" name="Picture 5943">
          <a:extLst>
            <a:ext uri="{FF2B5EF4-FFF2-40B4-BE49-F238E27FC236}">
              <a16:creationId xmlns:a16="http://schemas.microsoft.com/office/drawing/2014/main" id="{9B67E193-6C5D-46C2-BCF0-9776E015D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45" name="Picture 5944">
          <a:extLst>
            <a:ext uri="{FF2B5EF4-FFF2-40B4-BE49-F238E27FC236}">
              <a16:creationId xmlns:a16="http://schemas.microsoft.com/office/drawing/2014/main" id="{1D2E4684-65CC-4B50-A8F6-03AF06856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46" name="Picture 5945">
          <a:extLst>
            <a:ext uri="{FF2B5EF4-FFF2-40B4-BE49-F238E27FC236}">
              <a16:creationId xmlns:a16="http://schemas.microsoft.com/office/drawing/2014/main" id="{5CCC85A1-6653-45C1-8BE0-073411ED5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47" name="Picture 5946">
          <a:extLst>
            <a:ext uri="{FF2B5EF4-FFF2-40B4-BE49-F238E27FC236}">
              <a16:creationId xmlns:a16="http://schemas.microsoft.com/office/drawing/2014/main" id="{118B3308-91EE-47DA-B63B-0440132C6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48" name="Picture 5947">
          <a:extLst>
            <a:ext uri="{FF2B5EF4-FFF2-40B4-BE49-F238E27FC236}">
              <a16:creationId xmlns:a16="http://schemas.microsoft.com/office/drawing/2014/main" id="{D90E41C4-DDF8-4E13-BDA7-7467B3BEE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5949" name="AutoShape 241">
          <a:extLst>
            <a:ext uri="{FF2B5EF4-FFF2-40B4-BE49-F238E27FC236}">
              <a16:creationId xmlns:a16="http://schemas.microsoft.com/office/drawing/2014/main" id="{AA31455A-F646-4855-9A4A-C1FD771491C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50" name="Picture 5949">
          <a:extLst>
            <a:ext uri="{FF2B5EF4-FFF2-40B4-BE49-F238E27FC236}">
              <a16:creationId xmlns:a16="http://schemas.microsoft.com/office/drawing/2014/main" id="{3B92D375-C893-4C74-B7B9-485CA94B4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5951" name="AutoShape 243">
          <a:extLst>
            <a:ext uri="{FF2B5EF4-FFF2-40B4-BE49-F238E27FC236}">
              <a16:creationId xmlns:a16="http://schemas.microsoft.com/office/drawing/2014/main" id="{BBD8BD65-696C-43C0-A107-5AF85857160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13</xdr:row>
      <xdr:rowOff>0</xdr:rowOff>
    </xdr:from>
    <xdr:ext cx="9525" cy="9525"/>
    <xdr:pic>
      <xdr:nvPicPr>
        <xdr:cNvPr id="5952" name="Picture 5951">
          <a:extLst>
            <a:ext uri="{FF2B5EF4-FFF2-40B4-BE49-F238E27FC236}">
              <a16:creationId xmlns:a16="http://schemas.microsoft.com/office/drawing/2014/main" id="{FD436B99-8C2C-445A-8ADE-2488478FD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</xdr:row>
      <xdr:rowOff>0</xdr:rowOff>
    </xdr:from>
    <xdr:ext cx="304800" cy="303439"/>
    <xdr:sp macro="" textlink="">
      <xdr:nvSpPr>
        <xdr:cNvPr id="5953" name="AutoShape 245">
          <a:extLst>
            <a:ext uri="{FF2B5EF4-FFF2-40B4-BE49-F238E27FC236}">
              <a16:creationId xmlns:a16="http://schemas.microsoft.com/office/drawing/2014/main" id="{DDC1969D-AE2F-4C16-B401-6399897245A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54" name="Picture 5953">
          <a:extLst>
            <a:ext uri="{FF2B5EF4-FFF2-40B4-BE49-F238E27FC236}">
              <a16:creationId xmlns:a16="http://schemas.microsoft.com/office/drawing/2014/main" id="{72C7AD4F-B700-4235-B0E8-D9F2DEB0A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13</xdr:row>
      <xdr:rowOff>0</xdr:rowOff>
    </xdr:from>
    <xdr:ext cx="304800" cy="304800"/>
    <xdr:sp macro="" textlink="">
      <xdr:nvSpPr>
        <xdr:cNvPr id="5955" name="AutoShape 247">
          <a:extLst>
            <a:ext uri="{FF2B5EF4-FFF2-40B4-BE49-F238E27FC236}">
              <a16:creationId xmlns:a16="http://schemas.microsoft.com/office/drawing/2014/main" id="{C2E3F358-FDE9-4737-9223-4C69FB91A23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56" name="Picture 5955">
          <a:extLst>
            <a:ext uri="{FF2B5EF4-FFF2-40B4-BE49-F238E27FC236}">
              <a16:creationId xmlns:a16="http://schemas.microsoft.com/office/drawing/2014/main" id="{2C032E6F-7A42-44AA-8FDE-C25611A99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3440"/>
    <xdr:sp macro="" textlink="">
      <xdr:nvSpPr>
        <xdr:cNvPr id="5957" name="AutoShape 249">
          <a:extLst>
            <a:ext uri="{FF2B5EF4-FFF2-40B4-BE49-F238E27FC236}">
              <a16:creationId xmlns:a16="http://schemas.microsoft.com/office/drawing/2014/main" id="{60FB44E1-2263-4C50-A412-098824FBD03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27</xdr:row>
      <xdr:rowOff>0</xdr:rowOff>
    </xdr:from>
    <xdr:ext cx="9525" cy="9525"/>
    <xdr:pic>
      <xdr:nvPicPr>
        <xdr:cNvPr id="5958" name="Picture 5957">
          <a:extLst>
            <a:ext uri="{FF2B5EF4-FFF2-40B4-BE49-F238E27FC236}">
              <a16:creationId xmlns:a16="http://schemas.microsoft.com/office/drawing/2014/main" id="{C129753D-C906-4B23-B3D1-412F7D072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59" name="Picture 5958">
          <a:extLst>
            <a:ext uri="{FF2B5EF4-FFF2-40B4-BE49-F238E27FC236}">
              <a16:creationId xmlns:a16="http://schemas.microsoft.com/office/drawing/2014/main" id="{9D138E21-ECBF-4B00-B46C-536A1D4B9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</xdr:row>
      <xdr:rowOff>0</xdr:rowOff>
    </xdr:from>
    <xdr:ext cx="9525" cy="9525"/>
    <xdr:pic>
      <xdr:nvPicPr>
        <xdr:cNvPr id="5960" name="Picture 5959">
          <a:extLst>
            <a:ext uri="{FF2B5EF4-FFF2-40B4-BE49-F238E27FC236}">
              <a16:creationId xmlns:a16="http://schemas.microsoft.com/office/drawing/2014/main" id="{155A1608-3EB4-411A-A28F-9A62B81CD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</xdr:row>
      <xdr:rowOff>0</xdr:rowOff>
    </xdr:from>
    <xdr:ext cx="304800" cy="303439"/>
    <xdr:sp macro="" textlink="">
      <xdr:nvSpPr>
        <xdr:cNvPr id="5961" name="AutoShape 253">
          <a:extLst>
            <a:ext uri="{FF2B5EF4-FFF2-40B4-BE49-F238E27FC236}">
              <a16:creationId xmlns:a16="http://schemas.microsoft.com/office/drawing/2014/main" id="{B11D6931-2BA4-4326-8A01-81392C3B6265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</xdr:row>
      <xdr:rowOff>0</xdr:rowOff>
    </xdr:from>
    <xdr:ext cx="9525" cy="9525"/>
    <xdr:pic>
      <xdr:nvPicPr>
        <xdr:cNvPr id="5962" name="Picture 5961">
          <a:extLst>
            <a:ext uri="{FF2B5EF4-FFF2-40B4-BE49-F238E27FC236}">
              <a16:creationId xmlns:a16="http://schemas.microsoft.com/office/drawing/2014/main" id="{69316DE7-EF05-43D4-98F4-136C3BB13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9525" cy="9525"/>
    <xdr:pic>
      <xdr:nvPicPr>
        <xdr:cNvPr id="5963" name="Picture 5962">
          <a:extLst>
            <a:ext uri="{FF2B5EF4-FFF2-40B4-BE49-F238E27FC236}">
              <a16:creationId xmlns:a16="http://schemas.microsoft.com/office/drawing/2014/main" id="{46FA6DE8-73A1-406D-9210-8862AC0E4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9525" cy="9525"/>
    <xdr:pic>
      <xdr:nvPicPr>
        <xdr:cNvPr id="5964" name="Picture 5963">
          <a:extLst>
            <a:ext uri="{FF2B5EF4-FFF2-40B4-BE49-F238E27FC236}">
              <a16:creationId xmlns:a16="http://schemas.microsoft.com/office/drawing/2014/main" id="{8E4E7C1C-913B-41E2-A65F-7DA2CD1CF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304800" cy="304800"/>
    <xdr:sp macro="" textlink="">
      <xdr:nvSpPr>
        <xdr:cNvPr id="5965" name="AutoShape 257">
          <a:extLst>
            <a:ext uri="{FF2B5EF4-FFF2-40B4-BE49-F238E27FC236}">
              <a16:creationId xmlns:a16="http://schemas.microsoft.com/office/drawing/2014/main" id="{E1CA53E9-710C-4387-AC9D-508B7FBEA15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66" name="Picture 5965">
          <a:extLst>
            <a:ext uri="{FF2B5EF4-FFF2-40B4-BE49-F238E27FC236}">
              <a16:creationId xmlns:a16="http://schemas.microsoft.com/office/drawing/2014/main" id="{D4089126-004D-4951-A1F3-87F8421C4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304800" cy="304800"/>
    <xdr:sp macro="" textlink="">
      <xdr:nvSpPr>
        <xdr:cNvPr id="5967" name="AutoShape 259">
          <a:extLst>
            <a:ext uri="{FF2B5EF4-FFF2-40B4-BE49-F238E27FC236}">
              <a16:creationId xmlns:a16="http://schemas.microsoft.com/office/drawing/2014/main" id="{CB3BD5B1-41AD-4FC1-A72A-3385A0F155E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26</xdr:row>
      <xdr:rowOff>0</xdr:rowOff>
    </xdr:from>
    <xdr:ext cx="9525" cy="9525"/>
    <xdr:pic>
      <xdr:nvPicPr>
        <xdr:cNvPr id="5968" name="Picture 5967">
          <a:extLst>
            <a:ext uri="{FF2B5EF4-FFF2-40B4-BE49-F238E27FC236}">
              <a16:creationId xmlns:a16="http://schemas.microsoft.com/office/drawing/2014/main" id="{F527B504-8ACF-4D1E-84A3-80D2417D1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25</xdr:row>
      <xdr:rowOff>0</xdr:rowOff>
    </xdr:from>
    <xdr:ext cx="304800" cy="303440"/>
    <xdr:sp macro="" textlink="">
      <xdr:nvSpPr>
        <xdr:cNvPr id="5969" name="AutoShape 261">
          <a:extLst>
            <a:ext uri="{FF2B5EF4-FFF2-40B4-BE49-F238E27FC236}">
              <a16:creationId xmlns:a16="http://schemas.microsoft.com/office/drawing/2014/main" id="{8459538A-6AAD-4442-B0E3-713A1AF395A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70" name="Picture 5969">
          <a:extLst>
            <a:ext uri="{FF2B5EF4-FFF2-40B4-BE49-F238E27FC236}">
              <a16:creationId xmlns:a16="http://schemas.microsoft.com/office/drawing/2014/main" id="{FCAA2705-824E-4613-8CC1-509BC476E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71" name="Picture 5970">
          <a:extLst>
            <a:ext uri="{FF2B5EF4-FFF2-40B4-BE49-F238E27FC236}">
              <a16:creationId xmlns:a16="http://schemas.microsoft.com/office/drawing/2014/main" id="{3D015C4B-0E9A-438F-B990-3AB472860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72" name="Picture 5971">
          <a:extLst>
            <a:ext uri="{FF2B5EF4-FFF2-40B4-BE49-F238E27FC236}">
              <a16:creationId xmlns:a16="http://schemas.microsoft.com/office/drawing/2014/main" id="{C41F10F4-6BCF-402F-8DA4-368104436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73" name="Picture 5972">
          <a:extLst>
            <a:ext uri="{FF2B5EF4-FFF2-40B4-BE49-F238E27FC236}">
              <a16:creationId xmlns:a16="http://schemas.microsoft.com/office/drawing/2014/main" id="{338F7BFA-4B0D-4D6B-B28F-EAFA64B5E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74" name="Picture 5973">
          <a:extLst>
            <a:ext uri="{FF2B5EF4-FFF2-40B4-BE49-F238E27FC236}">
              <a16:creationId xmlns:a16="http://schemas.microsoft.com/office/drawing/2014/main" id="{A322468D-4057-4B15-89AD-72D6AAD9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5975" name="AutoShape 267">
          <a:extLst>
            <a:ext uri="{FF2B5EF4-FFF2-40B4-BE49-F238E27FC236}">
              <a16:creationId xmlns:a16="http://schemas.microsoft.com/office/drawing/2014/main" id="{56FBC400-1ECA-4B2A-B1DC-A0E104B2C72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76" name="Picture 5975">
          <a:extLst>
            <a:ext uri="{FF2B5EF4-FFF2-40B4-BE49-F238E27FC236}">
              <a16:creationId xmlns:a16="http://schemas.microsoft.com/office/drawing/2014/main" id="{CBFE79DE-913C-4DDA-AFEF-EC8A6202B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5977" name="AutoShape 269">
          <a:extLst>
            <a:ext uri="{FF2B5EF4-FFF2-40B4-BE49-F238E27FC236}">
              <a16:creationId xmlns:a16="http://schemas.microsoft.com/office/drawing/2014/main" id="{3FD010CF-6ABC-489E-8AD0-84050EA3A6A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13</xdr:row>
      <xdr:rowOff>0</xdr:rowOff>
    </xdr:from>
    <xdr:ext cx="9525" cy="9525"/>
    <xdr:pic>
      <xdr:nvPicPr>
        <xdr:cNvPr id="5978" name="Picture 5977">
          <a:extLst>
            <a:ext uri="{FF2B5EF4-FFF2-40B4-BE49-F238E27FC236}">
              <a16:creationId xmlns:a16="http://schemas.microsoft.com/office/drawing/2014/main" id="{89E1FBFD-3212-4E87-93D7-E44BF9081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</xdr:row>
      <xdr:rowOff>0</xdr:rowOff>
    </xdr:from>
    <xdr:ext cx="304800" cy="303439"/>
    <xdr:sp macro="" textlink="">
      <xdr:nvSpPr>
        <xdr:cNvPr id="5979" name="AutoShape 271">
          <a:extLst>
            <a:ext uri="{FF2B5EF4-FFF2-40B4-BE49-F238E27FC236}">
              <a16:creationId xmlns:a16="http://schemas.microsoft.com/office/drawing/2014/main" id="{C90A21EB-2030-4607-81B9-5B1BE5ED5FF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80" name="Picture 5979">
          <a:extLst>
            <a:ext uri="{FF2B5EF4-FFF2-40B4-BE49-F238E27FC236}">
              <a16:creationId xmlns:a16="http://schemas.microsoft.com/office/drawing/2014/main" id="{C36B6661-AF59-46A3-B040-0E83F60A8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13</xdr:row>
      <xdr:rowOff>0</xdr:rowOff>
    </xdr:from>
    <xdr:ext cx="304800" cy="304800"/>
    <xdr:sp macro="" textlink="">
      <xdr:nvSpPr>
        <xdr:cNvPr id="5981" name="AutoShape 273">
          <a:extLst>
            <a:ext uri="{FF2B5EF4-FFF2-40B4-BE49-F238E27FC236}">
              <a16:creationId xmlns:a16="http://schemas.microsoft.com/office/drawing/2014/main" id="{9847EC82-B291-470B-A8F2-B4FE49A5B1E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82" name="Picture 5981">
          <a:extLst>
            <a:ext uri="{FF2B5EF4-FFF2-40B4-BE49-F238E27FC236}">
              <a16:creationId xmlns:a16="http://schemas.microsoft.com/office/drawing/2014/main" id="{EBE5F8B4-0141-4274-9444-2B363D6BA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3440"/>
    <xdr:sp macro="" textlink="">
      <xdr:nvSpPr>
        <xdr:cNvPr id="5983" name="AutoShape 275">
          <a:extLst>
            <a:ext uri="{FF2B5EF4-FFF2-40B4-BE49-F238E27FC236}">
              <a16:creationId xmlns:a16="http://schemas.microsoft.com/office/drawing/2014/main" id="{007A71C4-3416-4D10-95A9-DFFFCE7AA34C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27</xdr:row>
      <xdr:rowOff>0</xdr:rowOff>
    </xdr:from>
    <xdr:ext cx="9525" cy="9525"/>
    <xdr:pic>
      <xdr:nvPicPr>
        <xdr:cNvPr id="5984" name="Picture 5983">
          <a:extLst>
            <a:ext uri="{FF2B5EF4-FFF2-40B4-BE49-F238E27FC236}">
              <a16:creationId xmlns:a16="http://schemas.microsoft.com/office/drawing/2014/main" id="{912A9A0C-2576-4245-AC35-A14FF7A93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85" name="Picture 5984">
          <a:extLst>
            <a:ext uri="{FF2B5EF4-FFF2-40B4-BE49-F238E27FC236}">
              <a16:creationId xmlns:a16="http://schemas.microsoft.com/office/drawing/2014/main" id="{607DDAE2-AD6D-48B9-8D7D-82E0448CF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</xdr:row>
      <xdr:rowOff>0</xdr:rowOff>
    </xdr:from>
    <xdr:ext cx="9525" cy="9525"/>
    <xdr:pic>
      <xdr:nvPicPr>
        <xdr:cNvPr id="5986" name="Picture 5985">
          <a:extLst>
            <a:ext uri="{FF2B5EF4-FFF2-40B4-BE49-F238E27FC236}">
              <a16:creationId xmlns:a16="http://schemas.microsoft.com/office/drawing/2014/main" id="{9FC6AD77-E51E-4131-AA36-CEF13E4E0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</xdr:row>
      <xdr:rowOff>0</xdr:rowOff>
    </xdr:from>
    <xdr:ext cx="304800" cy="303439"/>
    <xdr:sp macro="" textlink="">
      <xdr:nvSpPr>
        <xdr:cNvPr id="5987" name="AutoShape 305">
          <a:extLst>
            <a:ext uri="{FF2B5EF4-FFF2-40B4-BE49-F238E27FC236}">
              <a16:creationId xmlns:a16="http://schemas.microsoft.com/office/drawing/2014/main" id="{04A60023-688E-4818-99EF-13C4B226812E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</xdr:row>
      <xdr:rowOff>0</xdr:rowOff>
    </xdr:from>
    <xdr:ext cx="9525" cy="9525"/>
    <xdr:pic>
      <xdr:nvPicPr>
        <xdr:cNvPr id="5988" name="Picture 5987">
          <a:extLst>
            <a:ext uri="{FF2B5EF4-FFF2-40B4-BE49-F238E27FC236}">
              <a16:creationId xmlns:a16="http://schemas.microsoft.com/office/drawing/2014/main" id="{76BA3F79-30B9-4322-9981-6EF680F7E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9525" cy="9525"/>
    <xdr:pic>
      <xdr:nvPicPr>
        <xdr:cNvPr id="5989" name="Picture 5988">
          <a:extLst>
            <a:ext uri="{FF2B5EF4-FFF2-40B4-BE49-F238E27FC236}">
              <a16:creationId xmlns:a16="http://schemas.microsoft.com/office/drawing/2014/main" id="{70BEE76B-CB58-4656-92B8-1988E5238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9525" cy="9525"/>
    <xdr:pic>
      <xdr:nvPicPr>
        <xdr:cNvPr id="5990" name="Picture 5989">
          <a:extLst>
            <a:ext uri="{FF2B5EF4-FFF2-40B4-BE49-F238E27FC236}">
              <a16:creationId xmlns:a16="http://schemas.microsoft.com/office/drawing/2014/main" id="{C0D5477F-BF74-41A4-8B7D-D26E72C7A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304800" cy="304800"/>
    <xdr:sp macro="" textlink="">
      <xdr:nvSpPr>
        <xdr:cNvPr id="5991" name="AutoShape 309">
          <a:extLst>
            <a:ext uri="{FF2B5EF4-FFF2-40B4-BE49-F238E27FC236}">
              <a16:creationId xmlns:a16="http://schemas.microsoft.com/office/drawing/2014/main" id="{39E85BE0-7592-477A-ABA4-95602CDBF305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92" name="Picture 5991">
          <a:extLst>
            <a:ext uri="{FF2B5EF4-FFF2-40B4-BE49-F238E27FC236}">
              <a16:creationId xmlns:a16="http://schemas.microsoft.com/office/drawing/2014/main" id="{2FC89FB4-3CC7-4955-AFAC-C6DC4F40D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304800" cy="304800"/>
    <xdr:sp macro="" textlink="">
      <xdr:nvSpPr>
        <xdr:cNvPr id="5993" name="AutoShape 311">
          <a:extLst>
            <a:ext uri="{FF2B5EF4-FFF2-40B4-BE49-F238E27FC236}">
              <a16:creationId xmlns:a16="http://schemas.microsoft.com/office/drawing/2014/main" id="{50BEE582-0446-4608-BB25-ACBC1C0B740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26</xdr:row>
      <xdr:rowOff>0</xdr:rowOff>
    </xdr:from>
    <xdr:ext cx="9525" cy="9525"/>
    <xdr:pic>
      <xdr:nvPicPr>
        <xdr:cNvPr id="5994" name="Picture 5993">
          <a:extLst>
            <a:ext uri="{FF2B5EF4-FFF2-40B4-BE49-F238E27FC236}">
              <a16:creationId xmlns:a16="http://schemas.microsoft.com/office/drawing/2014/main" id="{EC7C8CBE-19F3-44C6-8289-9BEA54008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25</xdr:row>
      <xdr:rowOff>0</xdr:rowOff>
    </xdr:from>
    <xdr:ext cx="304800" cy="303440"/>
    <xdr:sp macro="" textlink="">
      <xdr:nvSpPr>
        <xdr:cNvPr id="5995" name="AutoShape 313">
          <a:extLst>
            <a:ext uri="{FF2B5EF4-FFF2-40B4-BE49-F238E27FC236}">
              <a16:creationId xmlns:a16="http://schemas.microsoft.com/office/drawing/2014/main" id="{642F2D07-C1F9-455A-B62C-1ADC71A2E54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96" name="Picture 5995">
          <a:extLst>
            <a:ext uri="{FF2B5EF4-FFF2-40B4-BE49-F238E27FC236}">
              <a16:creationId xmlns:a16="http://schemas.microsoft.com/office/drawing/2014/main" id="{8A77DDA3-27FE-4C45-A5CF-2F5A62DF0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97" name="Picture 5996">
          <a:extLst>
            <a:ext uri="{FF2B5EF4-FFF2-40B4-BE49-F238E27FC236}">
              <a16:creationId xmlns:a16="http://schemas.microsoft.com/office/drawing/2014/main" id="{61C3A881-1DFC-44FC-8992-23D15A334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98" name="Picture 5997">
          <a:extLst>
            <a:ext uri="{FF2B5EF4-FFF2-40B4-BE49-F238E27FC236}">
              <a16:creationId xmlns:a16="http://schemas.microsoft.com/office/drawing/2014/main" id="{7B72005C-7A45-45BB-8984-8BF440D03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5999" name="Picture 5998">
          <a:extLst>
            <a:ext uri="{FF2B5EF4-FFF2-40B4-BE49-F238E27FC236}">
              <a16:creationId xmlns:a16="http://schemas.microsoft.com/office/drawing/2014/main" id="{FFB5E49E-9C5D-46F2-A778-58756B672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00" name="Picture 5999">
          <a:extLst>
            <a:ext uri="{FF2B5EF4-FFF2-40B4-BE49-F238E27FC236}">
              <a16:creationId xmlns:a16="http://schemas.microsoft.com/office/drawing/2014/main" id="{28999B7A-6A51-4569-AC15-F4AA32F0C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001" name="AutoShape 319">
          <a:extLst>
            <a:ext uri="{FF2B5EF4-FFF2-40B4-BE49-F238E27FC236}">
              <a16:creationId xmlns:a16="http://schemas.microsoft.com/office/drawing/2014/main" id="{D4B5B0EA-6E42-4542-AB4C-19FBF8CAA7F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02" name="Picture 6001">
          <a:extLst>
            <a:ext uri="{FF2B5EF4-FFF2-40B4-BE49-F238E27FC236}">
              <a16:creationId xmlns:a16="http://schemas.microsoft.com/office/drawing/2014/main" id="{CCB8B64D-FE03-4F7F-8668-40DB160D1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003" name="AutoShape 321">
          <a:extLst>
            <a:ext uri="{FF2B5EF4-FFF2-40B4-BE49-F238E27FC236}">
              <a16:creationId xmlns:a16="http://schemas.microsoft.com/office/drawing/2014/main" id="{C6FF5900-E5FF-49C5-A84E-F21A8736911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13</xdr:row>
      <xdr:rowOff>0</xdr:rowOff>
    </xdr:from>
    <xdr:ext cx="9525" cy="9525"/>
    <xdr:pic>
      <xdr:nvPicPr>
        <xdr:cNvPr id="6004" name="Picture 6003">
          <a:extLst>
            <a:ext uri="{FF2B5EF4-FFF2-40B4-BE49-F238E27FC236}">
              <a16:creationId xmlns:a16="http://schemas.microsoft.com/office/drawing/2014/main" id="{07D5D8DF-9266-4570-B0A0-58AF6E241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</xdr:row>
      <xdr:rowOff>0</xdr:rowOff>
    </xdr:from>
    <xdr:ext cx="304800" cy="303439"/>
    <xdr:sp macro="" textlink="">
      <xdr:nvSpPr>
        <xdr:cNvPr id="6005" name="AutoShape 323">
          <a:extLst>
            <a:ext uri="{FF2B5EF4-FFF2-40B4-BE49-F238E27FC236}">
              <a16:creationId xmlns:a16="http://schemas.microsoft.com/office/drawing/2014/main" id="{1E6D0F6B-CED3-4211-A4B3-A85272B60B20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06" name="Picture 6005">
          <a:extLst>
            <a:ext uri="{FF2B5EF4-FFF2-40B4-BE49-F238E27FC236}">
              <a16:creationId xmlns:a16="http://schemas.microsoft.com/office/drawing/2014/main" id="{835ECE75-9528-4400-80AF-D9907AB08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13</xdr:row>
      <xdr:rowOff>0</xdr:rowOff>
    </xdr:from>
    <xdr:ext cx="304800" cy="304800"/>
    <xdr:sp macro="" textlink="">
      <xdr:nvSpPr>
        <xdr:cNvPr id="6007" name="AutoShape 325">
          <a:extLst>
            <a:ext uri="{FF2B5EF4-FFF2-40B4-BE49-F238E27FC236}">
              <a16:creationId xmlns:a16="http://schemas.microsoft.com/office/drawing/2014/main" id="{34E43E5D-B280-4B49-B788-3D97DF16FE9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08" name="Picture 6007">
          <a:extLst>
            <a:ext uri="{FF2B5EF4-FFF2-40B4-BE49-F238E27FC236}">
              <a16:creationId xmlns:a16="http://schemas.microsoft.com/office/drawing/2014/main" id="{50547677-4B53-49BF-9B77-3838D3095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3440"/>
    <xdr:sp macro="" textlink="">
      <xdr:nvSpPr>
        <xdr:cNvPr id="6009" name="AutoShape 327">
          <a:extLst>
            <a:ext uri="{FF2B5EF4-FFF2-40B4-BE49-F238E27FC236}">
              <a16:creationId xmlns:a16="http://schemas.microsoft.com/office/drawing/2014/main" id="{68BD47B9-D403-42F3-AF62-559B9F0D0EC8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27</xdr:row>
      <xdr:rowOff>0</xdr:rowOff>
    </xdr:from>
    <xdr:ext cx="9525" cy="9525"/>
    <xdr:pic>
      <xdr:nvPicPr>
        <xdr:cNvPr id="6010" name="Picture 6009">
          <a:extLst>
            <a:ext uri="{FF2B5EF4-FFF2-40B4-BE49-F238E27FC236}">
              <a16:creationId xmlns:a16="http://schemas.microsoft.com/office/drawing/2014/main" id="{A2D28CA5-4CA2-4FC3-8510-E246BD18E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11" name="Picture 6010">
          <a:extLst>
            <a:ext uri="{FF2B5EF4-FFF2-40B4-BE49-F238E27FC236}">
              <a16:creationId xmlns:a16="http://schemas.microsoft.com/office/drawing/2014/main" id="{4F2A1726-279E-4EB1-B36D-F517E17EC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</xdr:row>
      <xdr:rowOff>0</xdr:rowOff>
    </xdr:from>
    <xdr:ext cx="9525" cy="9525"/>
    <xdr:pic>
      <xdr:nvPicPr>
        <xdr:cNvPr id="6012" name="Picture 6011">
          <a:extLst>
            <a:ext uri="{FF2B5EF4-FFF2-40B4-BE49-F238E27FC236}">
              <a16:creationId xmlns:a16="http://schemas.microsoft.com/office/drawing/2014/main" id="{79759848-4857-4D5E-9240-888F1E727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</xdr:row>
      <xdr:rowOff>0</xdr:rowOff>
    </xdr:from>
    <xdr:ext cx="304800" cy="303439"/>
    <xdr:sp macro="" textlink="">
      <xdr:nvSpPr>
        <xdr:cNvPr id="6013" name="AutoShape 357">
          <a:extLst>
            <a:ext uri="{FF2B5EF4-FFF2-40B4-BE49-F238E27FC236}">
              <a16:creationId xmlns:a16="http://schemas.microsoft.com/office/drawing/2014/main" id="{EDB2E5FA-55D5-47FC-92AE-D71DFE5F3601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</xdr:row>
      <xdr:rowOff>0</xdr:rowOff>
    </xdr:from>
    <xdr:ext cx="9525" cy="9525"/>
    <xdr:pic>
      <xdr:nvPicPr>
        <xdr:cNvPr id="6014" name="Picture 6013">
          <a:extLst>
            <a:ext uri="{FF2B5EF4-FFF2-40B4-BE49-F238E27FC236}">
              <a16:creationId xmlns:a16="http://schemas.microsoft.com/office/drawing/2014/main" id="{F2093DB7-CACE-49D1-9BF0-A2ADC4EAE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9525" cy="9525"/>
    <xdr:pic>
      <xdr:nvPicPr>
        <xdr:cNvPr id="6015" name="Picture 6014">
          <a:extLst>
            <a:ext uri="{FF2B5EF4-FFF2-40B4-BE49-F238E27FC236}">
              <a16:creationId xmlns:a16="http://schemas.microsoft.com/office/drawing/2014/main" id="{9133BA82-D7F4-4771-8227-5E5A76BB4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9525" cy="9525"/>
    <xdr:pic>
      <xdr:nvPicPr>
        <xdr:cNvPr id="6016" name="Picture 6015">
          <a:extLst>
            <a:ext uri="{FF2B5EF4-FFF2-40B4-BE49-F238E27FC236}">
              <a16:creationId xmlns:a16="http://schemas.microsoft.com/office/drawing/2014/main" id="{8D8C0FDB-F2E9-40B9-AB2A-C1E2ED23E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304800" cy="304800"/>
    <xdr:sp macro="" textlink="">
      <xdr:nvSpPr>
        <xdr:cNvPr id="6017" name="AutoShape 361">
          <a:extLst>
            <a:ext uri="{FF2B5EF4-FFF2-40B4-BE49-F238E27FC236}">
              <a16:creationId xmlns:a16="http://schemas.microsoft.com/office/drawing/2014/main" id="{64D055FF-BB4A-4ACA-B30D-08A0C2C469E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18" name="Picture 6017">
          <a:extLst>
            <a:ext uri="{FF2B5EF4-FFF2-40B4-BE49-F238E27FC236}">
              <a16:creationId xmlns:a16="http://schemas.microsoft.com/office/drawing/2014/main" id="{C40753F9-EC98-4BD4-A91E-E42E98DE9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304800" cy="304800"/>
    <xdr:sp macro="" textlink="">
      <xdr:nvSpPr>
        <xdr:cNvPr id="6019" name="AutoShape 363">
          <a:extLst>
            <a:ext uri="{FF2B5EF4-FFF2-40B4-BE49-F238E27FC236}">
              <a16:creationId xmlns:a16="http://schemas.microsoft.com/office/drawing/2014/main" id="{2489FD8A-ACB9-4F30-B88E-1E2F5EB6F19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26</xdr:row>
      <xdr:rowOff>0</xdr:rowOff>
    </xdr:from>
    <xdr:ext cx="9525" cy="9525"/>
    <xdr:pic>
      <xdr:nvPicPr>
        <xdr:cNvPr id="6020" name="Picture 6019">
          <a:extLst>
            <a:ext uri="{FF2B5EF4-FFF2-40B4-BE49-F238E27FC236}">
              <a16:creationId xmlns:a16="http://schemas.microsoft.com/office/drawing/2014/main" id="{20DA83A7-C297-42D1-AC3F-04871E2AC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25</xdr:row>
      <xdr:rowOff>0</xdr:rowOff>
    </xdr:from>
    <xdr:ext cx="304800" cy="303440"/>
    <xdr:sp macro="" textlink="">
      <xdr:nvSpPr>
        <xdr:cNvPr id="6021" name="AutoShape 365">
          <a:extLst>
            <a:ext uri="{FF2B5EF4-FFF2-40B4-BE49-F238E27FC236}">
              <a16:creationId xmlns:a16="http://schemas.microsoft.com/office/drawing/2014/main" id="{972A158F-D905-448C-A968-096B66727A34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22" name="Picture 6021">
          <a:extLst>
            <a:ext uri="{FF2B5EF4-FFF2-40B4-BE49-F238E27FC236}">
              <a16:creationId xmlns:a16="http://schemas.microsoft.com/office/drawing/2014/main" id="{1FDFB69A-85B7-4C47-8D39-464618097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23" name="Picture 6022">
          <a:extLst>
            <a:ext uri="{FF2B5EF4-FFF2-40B4-BE49-F238E27FC236}">
              <a16:creationId xmlns:a16="http://schemas.microsoft.com/office/drawing/2014/main" id="{C69F9511-7670-4FF7-A42A-483C09918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24" name="Picture 6023">
          <a:extLst>
            <a:ext uri="{FF2B5EF4-FFF2-40B4-BE49-F238E27FC236}">
              <a16:creationId xmlns:a16="http://schemas.microsoft.com/office/drawing/2014/main" id="{A074819E-72FD-44B4-B67C-939993B7A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25" name="Picture 6024">
          <a:extLst>
            <a:ext uri="{FF2B5EF4-FFF2-40B4-BE49-F238E27FC236}">
              <a16:creationId xmlns:a16="http://schemas.microsoft.com/office/drawing/2014/main" id="{7EBA302B-6961-4501-A04C-55524FFF5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26" name="Picture 6025">
          <a:extLst>
            <a:ext uri="{FF2B5EF4-FFF2-40B4-BE49-F238E27FC236}">
              <a16:creationId xmlns:a16="http://schemas.microsoft.com/office/drawing/2014/main" id="{C7AAF03B-ADE6-45F1-80E2-0235008FA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027" name="AutoShape 371">
          <a:extLst>
            <a:ext uri="{FF2B5EF4-FFF2-40B4-BE49-F238E27FC236}">
              <a16:creationId xmlns:a16="http://schemas.microsoft.com/office/drawing/2014/main" id="{73CB9914-37EF-4A94-97E3-95F901AD351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28" name="Picture 6027">
          <a:extLst>
            <a:ext uri="{FF2B5EF4-FFF2-40B4-BE49-F238E27FC236}">
              <a16:creationId xmlns:a16="http://schemas.microsoft.com/office/drawing/2014/main" id="{53A2C89A-D40F-4107-A20A-BF8CB280E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029" name="AutoShape 373">
          <a:extLst>
            <a:ext uri="{FF2B5EF4-FFF2-40B4-BE49-F238E27FC236}">
              <a16:creationId xmlns:a16="http://schemas.microsoft.com/office/drawing/2014/main" id="{552E057E-965D-497A-A646-C2237D794A4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13</xdr:row>
      <xdr:rowOff>0</xdr:rowOff>
    </xdr:from>
    <xdr:ext cx="9525" cy="9525"/>
    <xdr:pic>
      <xdr:nvPicPr>
        <xdr:cNvPr id="6030" name="Picture 6029">
          <a:extLst>
            <a:ext uri="{FF2B5EF4-FFF2-40B4-BE49-F238E27FC236}">
              <a16:creationId xmlns:a16="http://schemas.microsoft.com/office/drawing/2014/main" id="{D1E95DB1-63BE-4B79-B918-46668B2C9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</xdr:row>
      <xdr:rowOff>0</xdr:rowOff>
    </xdr:from>
    <xdr:ext cx="304800" cy="303439"/>
    <xdr:sp macro="" textlink="">
      <xdr:nvSpPr>
        <xdr:cNvPr id="6031" name="AutoShape 375">
          <a:extLst>
            <a:ext uri="{FF2B5EF4-FFF2-40B4-BE49-F238E27FC236}">
              <a16:creationId xmlns:a16="http://schemas.microsoft.com/office/drawing/2014/main" id="{E17FFCF2-DE35-41A9-A480-B62220F03D75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32" name="Picture 6031">
          <a:extLst>
            <a:ext uri="{FF2B5EF4-FFF2-40B4-BE49-F238E27FC236}">
              <a16:creationId xmlns:a16="http://schemas.microsoft.com/office/drawing/2014/main" id="{4A50CFF8-349F-4053-B86F-351BE4B6A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13</xdr:row>
      <xdr:rowOff>0</xdr:rowOff>
    </xdr:from>
    <xdr:ext cx="304800" cy="304800"/>
    <xdr:sp macro="" textlink="">
      <xdr:nvSpPr>
        <xdr:cNvPr id="6033" name="AutoShape 377">
          <a:extLst>
            <a:ext uri="{FF2B5EF4-FFF2-40B4-BE49-F238E27FC236}">
              <a16:creationId xmlns:a16="http://schemas.microsoft.com/office/drawing/2014/main" id="{E45C1749-91EA-49F8-9377-137E3C056F15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34" name="Picture 6033">
          <a:extLst>
            <a:ext uri="{FF2B5EF4-FFF2-40B4-BE49-F238E27FC236}">
              <a16:creationId xmlns:a16="http://schemas.microsoft.com/office/drawing/2014/main" id="{2DB0F9FF-9695-4690-8C92-33B0D25F6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3440"/>
    <xdr:sp macro="" textlink="">
      <xdr:nvSpPr>
        <xdr:cNvPr id="6035" name="AutoShape 379">
          <a:extLst>
            <a:ext uri="{FF2B5EF4-FFF2-40B4-BE49-F238E27FC236}">
              <a16:creationId xmlns:a16="http://schemas.microsoft.com/office/drawing/2014/main" id="{454E7CAA-6B69-4423-ABE7-20CDC02923A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27</xdr:row>
      <xdr:rowOff>0</xdr:rowOff>
    </xdr:from>
    <xdr:ext cx="9525" cy="9525"/>
    <xdr:pic>
      <xdr:nvPicPr>
        <xdr:cNvPr id="6036" name="Picture 6035">
          <a:extLst>
            <a:ext uri="{FF2B5EF4-FFF2-40B4-BE49-F238E27FC236}">
              <a16:creationId xmlns:a16="http://schemas.microsoft.com/office/drawing/2014/main" id="{810D8E91-43BC-4532-89DB-CE4F474C6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26</xdr:row>
      <xdr:rowOff>0</xdr:rowOff>
    </xdr:from>
    <xdr:ext cx="304800" cy="303439"/>
    <xdr:sp macro="" textlink="">
      <xdr:nvSpPr>
        <xdr:cNvPr id="6037" name="AutoShape 381">
          <a:extLst>
            <a:ext uri="{FF2B5EF4-FFF2-40B4-BE49-F238E27FC236}">
              <a16:creationId xmlns:a16="http://schemas.microsoft.com/office/drawing/2014/main" id="{A3E06FB1-029B-4C9D-BC47-8418AFAF568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38" name="Picture 6037">
          <a:extLst>
            <a:ext uri="{FF2B5EF4-FFF2-40B4-BE49-F238E27FC236}">
              <a16:creationId xmlns:a16="http://schemas.microsoft.com/office/drawing/2014/main" id="{D9F95832-E9E3-40A8-8765-E69EB7742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39" name="Picture 6038">
          <a:extLst>
            <a:ext uri="{FF2B5EF4-FFF2-40B4-BE49-F238E27FC236}">
              <a16:creationId xmlns:a16="http://schemas.microsoft.com/office/drawing/2014/main" id="{0B991F75-0031-46C5-9305-498567C57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</xdr:row>
      <xdr:rowOff>0</xdr:rowOff>
    </xdr:from>
    <xdr:ext cx="9525" cy="9525"/>
    <xdr:pic>
      <xdr:nvPicPr>
        <xdr:cNvPr id="6040" name="Picture 6039">
          <a:extLst>
            <a:ext uri="{FF2B5EF4-FFF2-40B4-BE49-F238E27FC236}">
              <a16:creationId xmlns:a16="http://schemas.microsoft.com/office/drawing/2014/main" id="{197B3A0B-9FCC-4FCF-8F19-AE8FCE819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</xdr:row>
      <xdr:rowOff>0</xdr:rowOff>
    </xdr:from>
    <xdr:ext cx="304800" cy="303439"/>
    <xdr:sp macro="" textlink="">
      <xdr:nvSpPr>
        <xdr:cNvPr id="6041" name="AutoShape 413">
          <a:extLst>
            <a:ext uri="{FF2B5EF4-FFF2-40B4-BE49-F238E27FC236}">
              <a16:creationId xmlns:a16="http://schemas.microsoft.com/office/drawing/2014/main" id="{C609E8FF-CD6A-48ED-BBB8-9255BF3E47C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</xdr:row>
      <xdr:rowOff>0</xdr:rowOff>
    </xdr:from>
    <xdr:ext cx="9525" cy="9525"/>
    <xdr:pic>
      <xdr:nvPicPr>
        <xdr:cNvPr id="6042" name="Picture 6041">
          <a:extLst>
            <a:ext uri="{FF2B5EF4-FFF2-40B4-BE49-F238E27FC236}">
              <a16:creationId xmlns:a16="http://schemas.microsoft.com/office/drawing/2014/main" id="{DD1F4C00-C790-477D-8842-EDADB4187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9525" cy="9525"/>
    <xdr:pic>
      <xdr:nvPicPr>
        <xdr:cNvPr id="6043" name="Picture 6042">
          <a:extLst>
            <a:ext uri="{FF2B5EF4-FFF2-40B4-BE49-F238E27FC236}">
              <a16:creationId xmlns:a16="http://schemas.microsoft.com/office/drawing/2014/main" id="{B39141BD-D7FB-41AA-B68F-051A95F72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9525" cy="9525"/>
    <xdr:pic>
      <xdr:nvPicPr>
        <xdr:cNvPr id="6044" name="Picture 6043">
          <a:extLst>
            <a:ext uri="{FF2B5EF4-FFF2-40B4-BE49-F238E27FC236}">
              <a16:creationId xmlns:a16="http://schemas.microsoft.com/office/drawing/2014/main" id="{830251FC-FA91-48AB-B24E-4891F1E53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304800" cy="304800"/>
    <xdr:sp macro="" textlink="">
      <xdr:nvSpPr>
        <xdr:cNvPr id="6045" name="AutoShape 417">
          <a:extLst>
            <a:ext uri="{FF2B5EF4-FFF2-40B4-BE49-F238E27FC236}">
              <a16:creationId xmlns:a16="http://schemas.microsoft.com/office/drawing/2014/main" id="{80AD5B3F-59B9-4A89-BCF9-E82C463CCF04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46" name="Picture 6045">
          <a:extLst>
            <a:ext uri="{FF2B5EF4-FFF2-40B4-BE49-F238E27FC236}">
              <a16:creationId xmlns:a16="http://schemas.microsoft.com/office/drawing/2014/main" id="{E3C926D3-ADC0-4214-B2F1-829473A33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304800" cy="304800"/>
    <xdr:sp macro="" textlink="">
      <xdr:nvSpPr>
        <xdr:cNvPr id="6047" name="AutoShape 419">
          <a:extLst>
            <a:ext uri="{FF2B5EF4-FFF2-40B4-BE49-F238E27FC236}">
              <a16:creationId xmlns:a16="http://schemas.microsoft.com/office/drawing/2014/main" id="{ECC9A168-CAAA-4171-B70C-6F7815467C14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26</xdr:row>
      <xdr:rowOff>0</xdr:rowOff>
    </xdr:from>
    <xdr:ext cx="9525" cy="9525"/>
    <xdr:pic>
      <xdr:nvPicPr>
        <xdr:cNvPr id="6048" name="Picture 6047">
          <a:extLst>
            <a:ext uri="{FF2B5EF4-FFF2-40B4-BE49-F238E27FC236}">
              <a16:creationId xmlns:a16="http://schemas.microsoft.com/office/drawing/2014/main" id="{63E078C3-3F04-413C-8B2A-0C7D5D69F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25</xdr:row>
      <xdr:rowOff>0</xdr:rowOff>
    </xdr:from>
    <xdr:ext cx="304800" cy="303440"/>
    <xdr:sp macro="" textlink="">
      <xdr:nvSpPr>
        <xdr:cNvPr id="6049" name="AutoShape 421">
          <a:extLst>
            <a:ext uri="{FF2B5EF4-FFF2-40B4-BE49-F238E27FC236}">
              <a16:creationId xmlns:a16="http://schemas.microsoft.com/office/drawing/2014/main" id="{C4E8B715-01F5-4294-A4F0-012810AFFCD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50" name="Picture 6049">
          <a:extLst>
            <a:ext uri="{FF2B5EF4-FFF2-40B4-BE49-F238E27FC236}">
              <a16:creationId xmlns:a16="http://schemas.microsoft.com/office/drawing/2014/main" id="{184E743C-F415-46F4-8C95-D0C26A523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51" name="Picture 6050">
          <a:extLst>
            <a:ext uri="{FF2B5EF4-FFF2-40B4-BE49-F238E27FC236}">
              <a16:creationId xmlns:a16="http://schemas.microsoft.com/office/drawing/2014/main" id="{28D1DBAD-BEBA-48B1-8C55-E4414684E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52" name="Picture 6051">
          <a:extLst>
            <a:ext uri="{FF2B5EF4-FFF2-40B4-BE49-F238E27FC236}">
              <a16:creationId xmlns:a16="http://schemas.microsoft.com/office/drawing/2014/main" id="{5013466C-D3B8-4A8C-9170-13DCFA640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53" name="Picture 6052">
          <a:extLst>
            <a:ext uri="{FF2B5EF4-FFF2-40B4-BE49-F238E27FC236}">
              <a16:creationId xmlns:a16="http://schemas.microsoft.com/office/drawing/2014/main" id="{82ACAB43-E04C-47FA-8236-598B4A00C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54" name="Picture 6053">
          <a:extLst>
            <a:ext uri="{FF2B5EF4-FFF2-40B4-BE49-F238E27FC236}">
              <a16:creationId xmlns:a16="http://schemas.microsoft.com/office/drawing/2014/main" id="{90338E20-5527-499B-AF7B-946FF0147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055" name="AutoShape 427">
          <a:extLst>
            <a:ext uri="{FF2B5EF4-FFF2-40B4-BE49-F238E27FC236}">
              <a16:creationId xmlns:a16="http://schemas.microsoft.com/office/drawing/2014/main" id="{35722573-46C6-4F92-AAD8-4745917026BD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56" name="Picture 6055">
          <a:extLst>
            <a:ext uri="{FF2B5EF4-FFF2-40B4-BE49-F238E27FC236}">
              <a16:creationId xmlns:a16="http://schemas.microsoft.com/office/drawing/2014/main" id="{1A1EAB22-611E-452D-91F7-B51953772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057" name="AutoShape 429">
          <a:extLst>
            <a:ext uri="{FF2B5EF4-FFF2-40B4-BE49-F238E27FC236}">
              <a16:creationId xmlns:a16="http://schemas.microsoft.com/office/drawing/2014/main" id="{2D49585C-1B09-4570-B962-A05E6844AF91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13</xdr:row>
      <xdr:rowOff>0</xdr:rowOff>
    </xdr:from>
    <xdr:ext cx="9525" cy="9525"/>
    <xdr:pic>
      <xdr:nvPicPr>
        <xdr:cNvPr id="6058" name="Picture 6057">
          <a:extLst>
            <a:ext uri="{FF2B5EF4-FFF2-40B4-BE49-F238E27FC236}">
              <a16:creationId xmlns:a16="http://schemas.microsoft.com/office/drawing/2014/main" id="{0A3C1694-11C6-403F-A3FD-264F39230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</xdr:row>
      <xdr:rowOff>0</xdr:rowOff>
    </xdr:from>
    <xdr:ext cx="304800" cy="303439"/>
    <xdr:sp macro="" textlink="">
      <xdr:nvSpPr>
        <xdr:cNvPr id="6059" name="AutoShape 431">
          <a:extLst>
            <a:ext uri="{FF2B5EF4-FFF2-40B4-BE49-F238E27FC236}">
              <a16:creationId xmlns:a16="http://schemas.microsoft.com/office/drawing/2014/main" id="{84804FDF-23DE-491C-BBB3-AE9C2074DA6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60" name="Picture 6059">
          <a:extLst>
            <a:ext uri="{FF2B5EF4-FFF2-40B4-BE49-F238E27FC236}">
              <a16:creationId xmlns:a16="http://schemas.microsoft.com/office/drawing/2014/main" id="{C0210F6C-857F-4CD6-B479-9B4440FE2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13</xdr:row>
      <xdr:rowOff>0</xdr:rowOff>
    </xdr:from>
    <xdr:ext cx="304800" cy="304800"/>
    <xdr:sp macro="" textlink="">
      <xdr:nvSpPr>
        <xdr:cNvPr id="6061" name="AutoShape 433">
          <a:extLst>
            <a:ext uri="{FF2B5EF4-FFF2-40B4-BE49-F238E27FC236}">
              <a16:creationId xmlns:a16="http://schemas.microsoft.com/office/drawing/2014/main" id="{A1B3DFF6-DDE3-4D78-8EA1-8D9198B55FF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62" name="Picture 6061">
          <a:extLst>
            <a:ext uri="{FF2B5EF4-FFF2-40B4-BE49-F238E27FC236}">
              <a16:creationId xmlns:a16="http://schemas.microsoft.com/office/drawing/2014/main" id="{7CBFA3FB-9FBC-4E7A-913B-D38E50379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3440"/>
    <xdr:sp macro="" textlink="">
      <xdr:nvSpPr>
        <xdr:cNvPr id="6063" name="AutoShape 435">
          <a:extLst>
            <a:ext uri="{FF2B5EF4-FFF2-40B4-BE49-F238E27FC236}">
              <a16:creationId xmlns:a16="http://schemas.microsoft.com/office/drawing/2014/main" id="{54B7DE42-141E-4C03-8753-9338E94DFFE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27</xdr:row>
      <xdr:rowOff>0</xdr:rowOff>
    </xdr:from>
    <xdr:ext cx="9525" cy="9525"/>
    <xdr:pic>
      <xdr:nvPicPr>
        <xdr:cNvPr id="6064" name="Picture 6063">
          <a:extLst>
            <a:ext uri="{FF2B5EF4-FFF2-40B4-BE49-F238E27FC236}">
              <a16:creationId xmlns:a16="http://schemas.microsoft.com/office/drawing/2014/main" id="{8E886A12-0371-4CA3-8EC0-0FC3C291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26</xdr:row>
      <xdr:rowOff>0</xdr:rowOff>
    </xdr:from>
    <xdr:ext cx="304800" cy="303439"/>
    <xdr:sp macro="" textlink="">
      <xdr:nvSpPr>
        <xdr:cNvPr id="6065" name="AutoShape 437">
          <a:extLst>
            <a:ext uri="{FF2B5EF4-FFF2-40B4-BE49-F238E27FC236}">
              <a16:creationId xmlns:a16="http://schemas.microsoft.com/office/drawing/2014/main" id="{A40D84EC-DE95-4784-B6CC-7BEAF258A1D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66" name="Picture 6065">
          <a:extLst>
            <a:ext uri="{FF2B5EF4-FFF2-40B4-BE49-F238E27FC236}">
              <a16:creationId xmlns:a16="http://schemas.microsoft.com/office/drawing/2014/main" id="{87DDCC23-F737-47CB-ADB3-BC004FEC1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67" name="Picture 6066">
          <a:extLst>
            <a:ext uri="{FF2B5EF4-FFF2-40B4-BE49-F238E27FC236}">
              <a16:creationId xmlns:a16="http://schemas.microsoft.com/office/drawing/2014/main" id="{0C128CB3-0072-4806-8A15-1A3C3A814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</xdr:row>
      <xdr:rowOff>0</xdr:rowOff>
    </xdr:from>
    <xdr:ext cx="9525" cy="9525"/>
    <xdr:pic>
      <xdr:nvPicPr>
        <xdr:cNvPr id="6068" name="Picture 6067">
          <a:extLst>
            <a:ext uri="{FF2B5EF4-FFF2-40B4-BE49-F238E27FC236}">
              <a16:creationId xmlns:a16="http://schemas.microsoft.com/office/drawing/2014/main" id="{6F4E0A9B-E263-4727-8B4F-9B62BCA38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</xdr:row>
      <xdr:rowOff>0</xdr:rowOff>
    </xdr:from>
    <xdr:ext cx="304800" cy="303439"/>
    <xdr:sp macro="" textlink="">
      <xdr:nvSpPr>
        <xdr:cNvPr id="6069" name="AutoShape 469">
          <a:extLst>
            <a:ext uri="{FF2B5EF4-FFF2-40B4-BE49-F238E27FC236}">
              <a16:creationId xmlns:a16="http://schemas.microsoft.com/office/drawing/2014/main" id="{456ECB4D-41BA-4515-8726-360AF58DE4E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</xdr:row>
      <xdr:rowOff>0</xdr:rowOff>
    </xdr:from>
    <xdr:ext cx="9525" cy="9525"/>
    <xdr:pic>
      <xdr:nvPicPr>
        <xdr:cNvPr id="6070" name="Picture 6069">
          <a:extLst>
            <a:ext uri="{FF2B5EF4-FFF2-40B4-BE49-F238E27FC236}">
              <a16:creationId xmlns:a16="http://schemas.microsoft.com/office/drawing/2014/main" id="{725CAE40-56AD-4E15-9346-EAC5637D8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9525" cy="9525"/>
    <xdr:pic>
      <xdr:nvPicPr>
        <xdr:cNvPr id="6071" name="Picture 6070">
          <a:extLst>
            <a:ext uri="{FF2B5EF4-FFF2-40B4-BE49-F238E27FC236}">
              <a16:creationId xmlns:a16="http://schemas.microsoft.com/office/drawing/2014/main" id="{59CA6094-C329-44EC-B4EE-197FA31B0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9525" cy="9525"/>
    <xdr:pic>
      <xdr:nvPicPr>
        <xdr:cNvPr id="6072" name="Picture 6071">
          <a:extLst>
            <a:ext uri="{FF2B5EF4-FFF2-40B4-BE49-F238E27FC236}">
              <a16:creationId xmlns:a16="http://schemas.microsoft.com/office/drawing/2014/main" id="{41946ABF-9851-489B-94B0-88BAB7FC6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304800" cy="304800"/>
    <xdr:sp macro="" textlink="">
      <xdr:nvSpPr>
        <xdr:cNvPr id="6073" name="AutoShape 473">
          <a:extLst>
            <a:ext uri="{FF2B5EF4-FFF2-40B4-BE49-F238E27FC236}">
              <a16:creationId xmlns:a16="http://schemas.microsoft.com/office/drawing/2014/main" id="{0FC36FE0-562F-409A-8656-D08D1FBBA23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74" name="Picture 6073">
          <a:extLst>
            <a:ext uri="{FF2B5EF4-FFF2-40B4-BE49-F238E27FC236}">
              <a16:creationId xmlns:a16="http://schemas.microsoft.com/office/drawing/2014/main" id="{9CE3A94A-037D-4BCA-85CF-E0521CD37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304800" cy="304800"/>
    <xdr:sp macro="" textlink="">
      <xdr:nvSpPr>
        <xdr:cNvPr id="6075" name="AutoShape 475">
          <a:extLst>
            <a:ext uri="{FF2B5EF4-FFF2-40B4-BE49-F238E27FC236}">
              <a16:creationId xmlns:a16="http://schemas.microsoft.com/office/drawing/2014/main" id="{26E18638-F1D0-479A-A859-36E89A807C5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26</xdr:row>
      <xdr:rowOff>0</xdr:rowOff>
    </xdr:from>
    <xdr:ext cx="9525" cy="9525"/>
    <xdr:pic>
      <xdr:nvPicPr>
        <xdr:cNvPr id="6076" name="Picture 6075">
          <a:extLst>
            <a:ext uri="{FF2B5EF4-FFF2-40B4-BE49-F238E27FC236}">
              <a16:creationId xmlns:a16="http://schemas.microsoft.com/office/drawing/2014/main" id="{06D6B0C5-2ED5-4D10-94D1-0D67E13FD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25</xdr:row>
      <xdr:rowOff>0</xdr:rowOff>
    </xdr:from>
    <xdr:ext cx="304800" cy="303440"/>
    <xdr:sp macro="" textlink="">
      <xdr:nvSpPr>
        <xdr:cNvPr id="6077" name="AutoShape 477">
          <a:extLst>
            <a:ext uri="{FF2B5EF4-FFF2-40B4-BE49-F238E27FC236}">
              <a16:creationId xmlns:a16="http://schemas.microsoft.com/office/drawing/2014/main" id="{D000BB33-EE4A-4641-BBDC-2F57FEBE61FE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78" name="Picture 6077">
          <a:extLst>
            <a:ext uri="{FF2B5EF4-FFF2-40B4-BE49-F238E27FC236}">
              <a16:creationId xmlns:a16="http://schemas.microsoft.com/office/drawing/2014/main" id="{54FE3A3C-541E-4E47-A9AA-8E3033516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79" name="Picture 6078">
          <a:extLst>
            <a:ext uri="{FF2B5EF4-FFF2-40B4-BE49-F238E27FC236}">
              <a16:creationId xmlns:a16="http://schemas.microsoft.com/office/drawing/2014/main" id="{01E3120C-3A4A-4951-B9F8-5849D078B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80" name="Picture 6079">
          <a:extLst>
            <a:ext uri="{FF2B5EF4-FFF2-40B4-BE49-F238E27FC236}">
              <a16:creationId xmlns:a16="http://schemas.microsoft.com/office/drawing/2014/main" id="{DD2F53AD-3A74-4985-9BF2-0307AD148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81" name="Picture 6080">
          <a:extLst>
            <a:ext uri="{FF2B5EF4-FFF2-40B4-BE49-F238E27FC236}">
              <a16:creationId xmlns:a16="http://schemas.microsoft.com/office/drawing/2014/main" id="{2E2D9B4D-06FF-4386-AF79-ABDA45174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82" name="Picture 6081">
          <a:extLst>
            <a:ext uri="{FF2B5EF4-FFF2-40B4-BE49-F238E27FC236}">
              <a16:creationId xmlns:a16="http://schemas.microsoft.com/office/drawing/2014/main" id="{CB81BB8B-ED68-473E-8AEC-409BF6161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083" name="AutoShape 483">
          <a:extLst>
            <a:ext uri="{FF2B5EF4-FFF2-40B4-BE49-F238E27FC236}">
              <a16:creationId xmlns:a16="http://schemas.microsoft.com/office/drawing/2014/main" id="{18490C15-AB53-4F0B-861B-EEEC11F5CC1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84" name="Picture 6083">
          <a:extLst>
            <a:ext uri="{FF2B5EF4-FFF2-40B4-BE49-F238E27FC236}">
              <a16:creationId xmlns:a16="http://schemas.microsoft.com/office/drawing/2014/main" id="{F29AF886-444F-4488-A879-3F48F3740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085" name="AutoShape 485">
          <a:extLst>
            <a:ext uri="{FF2B5EF4-FFF2-40B4-BE49-F238E27FC236}">
              <a16:creationId xmlns:a16="http://schemas.microsoft.com/office/drawing/2014/main" id="{8650D94E-1582-409B-BEBA-17A6C5E4259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13</xdr:row>
      <xdr:rowOff>0</xdr:rowOff>
    </xdr:from>
    <xdr:ext cx="9525" cy="9525"/>
    <xdr:pic>
      <xdr:nvPicPr>
        <xdr:cNvPr id="6086" name="Picture 6085">
          <a:extLst>
            <a:ext uri="{FF2B5EF4-FFF2-40B4-BE49-F238E27FC236}">
              <a16:creationId xmlns:a16="http://schemas.microsoft.com/office/drawing/2014/main" id="{EDE1353F-1CD3-48AB-8547-07CEE74B0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</xdr:row>
      <xdr:rowOff>0</xdr:rowOff>
    </xdr:from>
    <xdr:ext cx="304800" cy="303439"/>
    <xdr:sp macro="" textlink="">
      <xdr:nvSpPr>
        <xdr:cNvPr id="6087" name="AutoShape 487">
          <a:extLst>
            <a:ext uri="{FF2B5EF4-FFF2-40B4-BE49-F238E27FC236}">
              <a16:creationId xmlns:a16="http://schemas.microsoft.com/office/drawing/2014/main" id="{B2B1BB23-76C8-4D89-AC71-1254A900F45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88" name="Picture 6087">
          <a:extLst>
            <a:ext uri="{FF2B5EF4-FFF2-40B4-BE49-F238E27FC236}">
              <a16:creationId xmlns:a16="http://schemas.microsoft.com/office/drawing/2014/main" id="{37754059-E0CC-4B20-9F81-4D9E7C97E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89" name="Picture 6088">
          <a:extLst>
            <a:ext uri="{FF2B5EF4-FFF2-40B4-BE49-F238E27FC236}">
              <a16:creationId xmlns:a16="http://schemas.microsoft.com/office/drawing/2014/main" id="{CF0005F6-8393-47AE-9803-728AD744F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3440"/>
    <xdr:sp macro="" textlink="">
      <xdr:nvSpPr>
        <xdr:cNvPr id="6090" name="AutoShape 491">
          <a:extLst>
            <a:ext uri="{FF2B5EF4-FFF2-40B4-BE49-F238E27FC236}">
              <a16:creationId xmlns:a16="http://schemas.microsoft.com/office/drawing/2014/main" id="{2DDF6F7B-BA76-479C-A15E-7B3CEEF7735C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27</xdr:row>
      <xdr:rowOff>0</xdr:rowOff>
    </xdr:from>
    <xdr:ext cx="9525" cy="9525"/>
    <xdr:pic>
      <xdr:nvPicPr>
        <xdr:cNvPr id="6091" name="Picture 6090">
          <a:extLst>
            <a:ext uri="{FF2B5EF4-FFF2-40B4-BE49-F238E27FC236}">
              <a16:creationId xmlns:a16="http://schemas.microsoft.com/office/drawing/2014/main" id="{2E37DFB7-7BDA-4CEB-8749-4DCD1B3E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26</xdr:row>
      <xdr:rowOff>0</xdr:rowOff>
    </xdr:from>
    <xdr:ext cx="304800" cy="303439"/>
    <xdr:sp macro="" textlink="">
      <xdr:nvSpPr>
        <xdr:cNvPr id="6092" name="AutoShape 493">
          <a:extLst>
            <a:ext uri="{FF2B5EF4-FFF2-40B4-BE49-F238E27FC236}">
              <a16:creationId xmlns:a16="http://schemas.microsoft.com/office/drawing/2014/main" id="{80EEA416-A06D-4864-959D-763681126D4D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93" name="Picture 6092">
          <a:extLst>
            <a:ext uri="{FF2B5EF4-FFF2-40B4-BE49-F238E27FC236}">
              <a16:creationId xmlns:a16="http://schemas.microsoft.com/office/drawing/2014/main" id="{57AFBF07-76D7-425E-A539-B893DDBC4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094" name="Picture 6093">
          <a:extLst>
            <a:ext uri="{FF2B5EF4-FFF2-40B4-BE49-F238E27FC236}">
              <a16:creationId xmlns:a16="http://schemas.microsoft.com/office/drawing/2014/main" id="{B273B18D-C88A-4B3C-A7F7-CF1EFA0E3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</xdr:row>
      <xdr:rowOff>0</xdr:rowOff>
    </xdr:from>
    <xdr:ext cx="9525" cy="9525"/>
    <xdr:pic>
      <xdr:nvPicPr>
        <xdr:cNvPr id="6095" name="Picture 6094">
          <a:extLst>
            <a:ext uri="{FF2B5EF4-FFF2-40B4-BE49-F238E27FC236}">
              <a16:creationId xmlns:a16="http://schemas.microsoft.com/office/drawing/2014/main" id="{DE0C17B9-B3EF-45A1-899C-886C4439E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</xdr:row>
      <xdr:rowOff>0</xdr:rowOff>
    </xdr:from>
    <xdr:ext cx="304800" cy="303439"/>
    <xdr:sp macro="" textlink="">
      <xdr:nvSpPr>
        <xdr:cNvPr id="6096" name="AutoShape 497">
          <a:extLst>
            <a:ext uri="{FF2B5EF4-FFF2-40B4-BE49-F238E27FC236}">
              <a16:creationId xmlns:a16="http://schemas.microsoft.com/office/drawing/2014/main" id="{A07D7D5C-A4D7-4DF9-969C-AF6AF24F48ED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</xdr:row>
      <xdr:rowOff>0</xdr:rowOff>
    </xdr:from>
    <xdr:ext cx="9525" cy="9525"/>
    <xdr:pic>
      <xdr:nvPicPr>
        <xdr:cNvPr id="6097" name="Picture 6096">
          <a:extLst>
            <a:ext uri="{FF2B5EF4-FFF2-40B4-BE49-F238E27FC236}">
              <a16:creationId xmlns:a16="http://schemas.microsoft.com/office/drawing/2014/main" id="{E011DECC-5C21-4035-9B39-02719FC0C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</xdr:row>
      <xdr:rowOff>0</xdr:rowOff>
    </xdr:from>
    <xdr:ext cx="304800" cy="304800"/>
    <xdr:sp macro="" textlink="">
      <xdr:nvSpPr>
        <xdr:cNvPr id="6098" name="AutoShape 499">
          <a:extLst>
            <a:ext uri="{FF2B5EF4-FFF2-40B4-BE49-F238E27FC236}">
              <a16:creationId xmlns:a16="http://schemas.microsoft.com/office/drawing/2014/main" id="{572D9BB5-0F07-43AA-B7AB-F9CCC439145C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5</xdr:row>
      <xdr:rowOff>0</xdr:rowOff>
    </xdr:from>
    <xdr:ext cx="9525" cy="9525"/>
    <xdr:pic>
      <xdr:nvPicPr>
        <xdr:cNvPr id="6099" name="Picture 6098">
          <a:extLst>
            <a:ext uri="{FF2B5EF4-FFF2-40B4-BE49-F238E27FC236}">
              <a16:creationId xmlns:a16="http://schemas.microsoft.com/office/drawing/2014/main" id="{741BE043-BB4F-44A1-AABC-DE12CFE9D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</xdr:row>
      <xdr:rowOff>0</xdr:rowOff>
    </xdr:from>
    <xdr:ext cx="304800" cy="304800"/>
    <xdr:sp macro="" textlink="">
      <xdr:nvSpPr>
        <xdr:cNvPr id="6100" name="AutoShape 501">
          <a:extLst>
            <a:ext uri="{FF2B5EF4-FFF2-40B4-BE49-F238E27FC236}">
              <a16:creationId xmlns:a16="http://schemas.microsoft.com/office/drawing/2014/main" id="{30553160-3C7B-4CBF-A10B-79B5C0D81309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537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</xdr:row>
      <xdr:rowOff>0</xdr:rowOff>
    </xdr:from>
    <xdr:ext cx="9525" cy="9525"/>
    <xdr:pic>
      <xdr:nvPicPr>
        <xdr:cNvPr id="6101" name="Picture 6100">
          <a:extLst>
            <a:ext uri="{FF2B5EF4-FFF2-40B4-BE49-F238E27FC236}">
              <a16:creationId xmlns:a16="http://schemas.microsoft.com/office/drawing/2014/main" id="{51E8C23D-5B3E-45B2-9A65-11804E96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304800" cy="304800"/>
    <xdr:sp macro="" textlink="">
      <xdr:nvSpPr>
        <xdr:cNvPr id="6102" name="AutoShape 503">
          <a:extLst>
            <a:ext uri="{FF2B5EF4-FFF2-40B4-BE49-F238E27FC236}">
              <a16:creationId xmlns:a16="http://schemas.microsoft.com/office/drawing/2014/main" id="{1D6A52BB-5D46-4C22-9F21-C7B82541F42D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103" name="Picture 6102">
          <a:extLst>
            <a:ext uri="{FF2B5EF4-FFF2-40B4-BE49-F238E27FC236}">
              <a16:creationId xmlns:a16="http://schemas.microsoft.com/office/drawing/2014/main" id="{96D6E0A9-4B00-4930-AFA3-8DA566536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304800" cy="304800"/>
    <xdr:sp macro="" textlink="">
      <xdr:nvSpPr>
        <xdr:cNvPr id="6104" name="AutoShape 505">
          <a:extLst>
            <a:ext uri="{FF2B5EF4-FFF2-40B4-BE49-F238E27FC236}">
              <a16:creationId xmlns:a16="http://schemas.microsoft.com/office/drawing/2014/main" id="{EDEEA5CB-9F0A-4460-9BCD-FDBA0D80064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26</xdr:row>
      <xdr:rowOff>0</xdr:rowOff>
    </xdr:from>
    <xdr:ext cx="9525" cy="9525"/>
    <xdr:pic>
      <xdr:nvPicPr>
        <xdr:cNvPr id="6105" name="Picture 6104">
          <a:extLst>
            <a:ext uri="{FF2B5EF4-FFF2-40B4-BE49-F238E27FC236}">
              <a16:creationId xmlns:a16="http://schemas.microsoft.com/office/drawing/2014/main" id="{C87D1AAB-7067-456F-807D-02498BB6F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25</xdr:row>
      <xdr:rowOff>0</xdr:rowOff>
    </xdr:from>
    <xdr:ext cx="304800" cy="303439"/>
    <xdr:sp macro="" textlink="">
      <xdr:nvSpPr>
        <xdr:cNvPr id="6106" name="AutoShape 507">
          <a:extLst>
            <a:ext uri="{FF2B5EF4-FFF2-40B4-BE49-F238E27FC236}">
              <a16:creationId xmlns:a16="http://schemas.microsoft.com/office/drawing/2014/main" id="{55283384-0B38-4B1C-8A54-5871D315DD8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06878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107" name="Picture 6106">
          <a:extLst>
            <a:ext uri="{FF2B5EF4-FFF2-40B4-BE49-F238E27FC236}">
              <a16:creationId xmlns:a16="http://schemas.microsoft.com/office/drawing/2014/main" id="{17C466B0-A192-46ED-BA99-28F705956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26</xdr:row>
      <xdr:rowOff>0</xdr:rowOff>
    </xdr:from>
    <xdr:ext cx="304800" cy="304800"/>
    <xdr:sp macro="" textlink="">
      <xdr:nvSpPr>
        <xdr:cNvPr id="6108" name="AutoShape 509">
          <a:extLst>
            <a:ext uri="{FF2B5EF4-FFF2-40B4-BE49-F238E27FC236}">
              <a16:creationId xmlns:a16="http://schemas.microsoft.com/office/drawing/2014/main" id="{70467E5E-1D86-40EF-9E38-B7EA04EFA94D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109" name="Picture 6108">
          <a:extLst>
            <a:ext uri="{FF2B5EF4-FFF2-40B4-BE49-F238E27FC236}">
              <a16:creationId xmlns:a16="http://schemas.microsoft.com/office/drawing/2014/main" id="{6F3DE3E3-7A97-4482-91C3-31CCD8166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110" name="AutoShape 511">
          <a:extLst>
            <a:ext uri="{FF2B5EF4-FFF2-40B4-BE49-F238E27FC236}">
              <a16:creationId xmlns:a16="http://schemas.microsoft.com/office/drawing/2014/main" id="{2B43AC42-6B9B-4533-9BA1-9E0E6665AFD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111" name="Picture 6110">
          <a:extLst>
            <a:ext uri="{FF2B5EF4-FFF2-40B4-BE49-F238E27FC236}">
              <a16:creationId xmlns:a16="http://schemas.microsoft.com/office/drawing/2014/main" id="{4ED7D13D-3083-4D8B-9B93-B4B7E0928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3439"/>
    <xdr:sp macro="" textlink="">
      <xdr:nvSpPr>
        <xdr:cNvPr id="6112" name="AutoShape 513">
          <a:extLst>
            <a:ext uri="{FF2B5EF4-FFF2-40B4-BE49-F238E27FC236}">
              <a16:creationId xmlns:a16="http://schemas.microsoft.com/office/drawing/2014/main" id="{A5D37E88-24EB-43A0-8A3F-198C5C83B691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113" name="Picture 6112">
          <a:extLst>
            <a:ext uri="{FF2B5EF4-FFF2-40B4-BE49-F238E27FC236}">
              <a16:creationId xmlns:a16="http://schemas.microsoft.com/office/drawing/2014/main" id="{624F223A-50A1-4F37-93A0-31BCEFC74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114" name="AutoShape 515">
          <a:extLst>
            <a:ext uri="{FF2B5EF4-FFF2-40B4-BE49-F238E27FC236}">
              <a16:creationId xmlns:a16="http://schemas.microsoft.com/office/drawing/2014/main" id="{A2EC957F-C712-41BE-BC52-1DEBB99905E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115" name="Picture 6114">
          <a:extLst>
            <a:ext uri="{FF2B5EF4-FFF2-40B4-BE49-F238E27FC236}">
              <a16:creationId xmlns:a16="http://schemas.microsoft.com/office/drawing/2014/main" id="{9B09906B-B8F9-4F20-9206-DBBAB322A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116" name="AutoShape 517">
          <a:extLst>
            <a:ext uri="{FF2B5EF4-FFF2-40B4-BE49-F238E27FC236}">
              <a16:creationId xmlns:a16="http://schemas.microsoft.com/office/drawing/2014/main" id="{188FC2AC-591A-4CDD-AD97-2B86EF614D1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117" name="Picture 6116">
          <a:extLst>
            <a:ext uri="{FF2B5EF4-FFF2-40B4-BE49-F238E27FC236}">
              <a16:creationId xmlns:a16="http://schemas.microsoft.com/office/drawing/2014/main" id="{113C2290-007F-4CBA-8993-6863F1EC3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118" name="AutoShape 519">
          <a:extLst>
            <a:ext uri="{FF2B5EF4-FFF2-40B4-BE49-F238E27FC236}">
              <a16:creationId xmlns:a16="http://schemas.microsoft.com/office/drawing/2014/main" id="{B55CA67B-2C96-4490-AD9C-CE6B509782D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119" name="Picture 6118">
          <a:extLst>
            <a:ext uri="{FF2B5EF4-FFF2-40B4-BE49-F238E27FC236}">
              <a16:creationId xmlns:a16="http://schemas.microsoft.com/office/drawing/2014/main" id="{D2840844-85AF-4237-8AD7-BADA2BB48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120" name="Picture 6119">
          <a:extLst>
            <a:ext uri="{FF2B5EF4-FFF2-40B4-BE49-F238E27FC236}">
              <a16:creationId xmlns:a16="http://schemas.microsoft.com/office/drawing/2014/main" id="{16FC3770-448A-4E72-9CCF-61378DB11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3440"/>
    <xdr:sp macro="" textlink="">
      <xdr:nvSpPr>
        <xdr:cNvPr id="6121" name="AutoShape 525">
          <a:extLst>
            <a:ext uri="{FF2B5EF4-FFF2-40B4-BE49-F238E27FC236}">
              <a16:creationId xmlns:a16="http://schemas.microsoft.com/office/drawing/2014/main" id="{C3CFB9EB-2BDE-4E06-9EBC-25E590AFB97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27</xdr:row>
      <xdr:rowOff>0</xdr:rowOff>
    </xdr:from>
    <xdr:ext cx="9525" cy="9525"/>
    <xdr:pic>
      <xdr:nvPicPr>
        <xdr:cNvPr id="6122" name="Picture 6121">
          <a:extLst>
            <a:ext uri="{FF2B5EF4-FFF2-40B4-BE49-F238E27FC236}">
              <a16:creationId xmlns:a16="http://schemas.microsoft.com/office/drawing/2014/main" id="{FE814CB0-1113-406E-A5E3-9863463EC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26</xdr:row>
      <xdr:rowOff>0</xdr:rowOff>
    </xdr:from>
    <xdr:ext cx="304800" cy="303439"/>
    <xdr:sp macro="" textlink="">
      <xdr:nvSpPr>
        <xdr:cNvPr id="6123" name="AutoShape 527">
          <a:extLst>
            <a:ext uri="{FF2B5EF4-FFF2-40B4-BE49-F238E27FC236}">
              <a16:creationId xmlns:a16="http://schemas.microsoft.com/office/drawing/2014/main" id="{20C193FA-26B0-4294-8E51-5500B16F247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124" name="Picture 6123">
          <a:extLst>
            <a:ext uri="{FF2B5EF4-FFF2-40B4-BE49-F238E27FC236}">
              <a16:creationId xmlns:a16="http://schemas.microsoft.com/office/drawing/2014/main" id="{916FCA01-435B-405E-80EF-5BABBA39A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27</xdr:row>
      <xdr:rowOff>0</xdr:rowOff>
    </xdr:from>
    <xdr:ext cx="304800" cy="303439"/>
    <xdr:sp macro="" textlink="">
      <xdr:nvSpPr>
        <xdr:cNvPr id="6125" name="AutoShape 529">
          <a:extLst>
            <a:ext uri="{FF2B5EF4-FFF2-40B4-BE49-F238E27FC236}">
              <a16:creationId xmlns:a16="http://schemas.microsoft.com/office/drawing/2014/main" id="{BA5D926B-111A-45CC-B140-15F403DBC539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477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126" name="Picture 6125">
          <a:extLst>
            <a:ext uri="{FF2B5EF4-FFF2-40B4-BE49-F238E27FC236}">
              <a16:creationId xmlns:a16="http://schemas.microsoft.com/office/drawing/2014/main" id="{64CDF179-06D4-493C-89C8-E735DAED0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3439"/>
    <xdr:sp macro="" textlink="">
      <xdr:nvSpPr>
        <xdr:cNvPr id="6127" name="AutoShape 531">
          <a:extLst>
            <a:ext uri="{FF2B5EF4-FFF2-40B4-BE49-F238E27FC236}">
              <a16:creationId xmlns:a16="http://schemas.microsoft.com/office/drawing/2014/main" id="{5FD7AAD8-5399-41E1-9542-F272F74F267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</xdr:row>
      <xdr:rowOff>0</xdr:rowOff>
    </xdr:from>
    <xdr:ext cx="9525" cy="9525"/>
    <xdr:pic>
      <xdr:nvPicPr>
        <xdr:cNvPr id="6128" name="Picture 6127">
          <a:extLst>
            <a:ext uri="{FF2B5EF4-FFF2-40B4-BE49-F238E27FC236}">
              <a16:creationId xmlns:a16="http://schemas.microsoft.com/office/drawing/2014/main" id="{530F5D11-D9A8-4778-8A02-83083FD71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</xdr:row>
      <xdr:rowOff>0</xdr:rowOff>
    </xdr:from>
    <xdr:ext cx="9525" cy="9525"/>
    <xdr:pic>
      <xdr:nvPicPr>
        <xdr:cNvPr id="6129" name="Picture 6128">
          <a:extLst>
            <a:ext uri="{FF2B5EF4-FFF2-40B4-BE49-F238E27FC236}">
              <a16:creationId xmlns:a16="http://schemas.microsoft.com/office/drawing/2014/main" id="{95C1BF5B-3732-4D79-A2FF-0A500D259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</xdr:row>
      <xdr:rowOff>0</xdr:rowOff>
    </xdr:from>
    <xdr:ext cx="304800" cy="304800"/>
    <xdr:sp macro="" textlink="">
      <xdr:nvSpPr>
        <xdr:cNvPr id="6130" name="AutoShape 183">
          <a:extLst>
            <a:ext uri="{FF2B5EF4-FFF2-40B4-BE49-F238E27FC236}">
              <a16:creationId xmlns:a16="http://schemas.microsoft.com/office/drawing/2014/main" id="{AE2E8455-EC89-4D20-B9C3-747CE181154D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</xdr:row>
      <xdr:rowOff>0</xdr:rowOff>
    </xdr:from>
    <xdr:ext cx="9525" cy="9525"/>
    <xdr:pic>
      <xdr:nvPicPr>
        <xdr:cNvPr id="6131" name="Picture 6130">
          <a:extLst>
            <a:ext uri="{FF2B5EF4-FFF2-40B4-BE49-F238E27FC236}">
              <a16:creationId xmlns:a16="http://schemas.microsoft.com/office/drawing/2014/main" id="{1486191D-64FC-4629-BFBF-71FE69BBD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</xdr:row>
      <xdr:rowOff>0</xdr:rowOff>
    </xdr:from>
    <xdr:ext cx="304800" cy="304800"/>
    <xdr:sp macro="" textlink="">
      <xdr:nvSpPr>
        <xdr:cNvPr id="6132" name="AutoShape 209">
          <a:extLst>
            <a:ext uri="{FF2B5EF4-FFF2-40B4-BE49-F238E27FC236}">
              <a16:creationId xmlns:a16="http://schemas.microsoft.com/office/drawing/2014/main" id="{21541A9B-BAE0-4F33-8B4F-C4E6CB919A1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</xdr:row>
      <xdr:rowOff>0</xdr:rowOff>
    </xdr:from>
    <xdr:ext cx="9525" cy="9525"/>
    <xdr:pic>
      <xdr:nvPicPr>
        <xdr:cNvPr id="6133" name="Picture 6132">
          <a:extLst>
            <a:ext uri="{FF2B5EF4-FFF2-40B4-BE49-F238E27FC236}">
              <a16:creationId xmlns:a16="http://schemas.microsoft.com/office/drawing/2014/main" id="{FA398676-961D-4D1D-886B-EE9161E46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</xdr:row>
      <xdr:rowOff>0</xdr:rowOff>
    </xdr:from>
    <xdr:ext cx="304800" cy="304800"/>
    <xdr:sp macro="" textlink="">
      <xdr:nvSpPr>
        <xdr:cNvPr id="6134" name="AutoShape 233">
          <a:extLst>
            <a:ext uri="{FF2B5EF4-FFF2-40B4-BE49-F238E27FC236}">
              <a16:creationId xmlns:a16="http://schemas.microsoft.com/office/drawing/2014/main" id="{DE29499F-6B87-4D96-8B83-AAFA1F7B4DB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</xdr:row>
      <xdr:rowOff>0</xdr:rowOff>
    </xdr:from>
    <xdr:ext cx="9525" cy="9525"/>
    <xdr:pic>
      <xdr:nvPicPr>
        <xdr:cNvPr id="6135" name="Picture 6134">
          <a:extLst>
            <a:ext uri="{FF2B5EF4-FFF2-40B4-BE49-F238E27FC236}">
              <a16:creationId xmlns:a16="http://schemas.microsoft.com/office/drawing/2014/main" id="{FD70496B-9791-4684-910B-FA56138D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</xdr:row>
      <xdr:rowOff>0</xdr:rowOff>
    </xdr:from>
    <xdr:ext cx="304800" cy="304800"/>
    <xdr:sp macro="" textlink="">
      <xdr:nvSpPr>
        <xdr:cNvPr id="6136" name="AutoShape 259">
          <a:extLst>
            <a:ext uri="{FF2B5EF4-FFF2-40B4-BE49-F238E27FC236}">
              <a16:creationId xmlns:a16="http://schemas.microsoft.com/office/drawing/2014/main" id="{C7E088CF-E52E-4323-9496-45BF86795DAD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</xdr:row>
      <xdr:rowOff>0</xdr:rowOff>
    </xdr:from>
    <xdr:ext cx="9525" cy="9525"/>
    <xdr:pic>
      <xdr:nvPicPr>
        <xdr:cNvPr id="6137" name="Picture 6136">
          <a:extLst>
            <a:ext uri="{FF2B5EF4-FFF2-40B4-BE49-F238E27FC236}">
              <a16:creationId xmlns:a16="http://schemas.microsoft.com/office/drawing/2014/main" id="{F40926B7-30DE-4921-AE90-CDFF5C7C7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</xdr:row>
      <xdr:rowOff>0</xdr:rowOff>
    </xdr:from>
    <xdr:ext cx="304800" cy="304800"/>
    <xdr:sp macro="" textlink="">
      <xdr:nvSpPr>
        <xdr:cNvPr id="6138" name="AutoShape 311">
          <a:extLst>
            <a:ext uri="{FF2B5EF4-FFF2-40B4-BE49-F238E27FC236}">
              <a16:creationId xmlns:a16="http://schemas.microsoft.com/office/drawing/2014/main" id="{50DF214B-1640-4FC4-85BE-A124B24CC3A8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</xdr:row>
      <xdr:rowOff>0</xdr:rowOff>
    </xdr:from>
    <xdr:ext cx="9525" cy="9525"/>
    <xdr:pic>
      <xdr:nvPicPr>
        <xdr:cNvPr id="6139" name="Picture 6138">
          <a:extLst>
            <a:ext uri="{FF2B5EF4-FFF2-40B4-BE49-F238E27FC236}">
              <a16:creationId xmlns:a16="http://schemas.microsoft.com/office/drawing/2014/main" id="{1AD01CFC-9B16-4F7E-A977-68F3BA2D9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</xdr:row>
      <xdr:rowOff>0</xdr:rowOff>
    </xdr:from>
    <xdr:ext cx="304800" cy="304800"/>
    <xdr:sp macro="" textlink="">
      <xdr:nvSpPr>
        <xdr:cNvPr id="6140" name="AutoShape 363">
          <a:extLst>
            <a:ext uri="{FF2B5EF4-FFF2-40B4-BE49-F238E27FC236}">
              <a16:creationId xmlns:a16="http://schemas.microsoft.com/office/drawing/2014/main" id="{D003D9F7-3D4E-4816-87F7-E82C461987E0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</xdr:row>
      <xdr:rowOff>0</xdr:rowOff>
    </xdr:from>
    <xdr:ext cx="9525" cy="9525"/>
    <xdr:pic>
      <xdr:nvPicPr>
        <xdr:cNvPr id="6141" name="Picture 6140">
          <a:extLst>
            <a:ext uri="{FF2B5EF4-FFF2-40B4-BE49-F238E27FC236}">
              <a16:creationId xmlns:a16="http://schemas.microsoft.com/office/drawing/2014/main" id="{C216C523-942F-4899-91E7-4CD93E4DD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</xdr:row>
      <xdr:rowOff>0</xdr:rowOff>
    </xdr:from>
    <xdr:ext cx="304800" cy="304800"/>
    <xdr:sp macro="" textlink="">
      <xdr:nvSpPr>
        <xdr:cNvPr id="6142" name="AutoShape 419">
          <a:extLst>
            <a:ext uri="{FF2B5EF4-FFF2-40B4-BE49-F238E27FC236}">
              <a16:creationId xmlns:a16="http://schemas.microsoft.com/office/drawing/2014/main" id="{BC718DBB-C637-4C74-B7BB-495AD119121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</xdr:row>
      <xdr:rowOff>0</xdr:rowOff>
    </xdr:from>
    <xdr:ext cx="9525" cy="9525"/>
    <xdr:pic>
      <xdr:nvPicPr>
        <xdr:cNvPr id="6143" name="Picture 6142">
          <a:extLst>
            <a:ext uri="{FF2B5EF4-FFF2-40B4-BE49-F238E27FC236}">
              <a16:creationId xmlns:a16="http://schemas.microsoft.com/office/drawing/2014/main" id="{E325C754-6FB1-4360-8EC0-AD9BAF5D1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</xdr:row>
      <xdr:rowOff>0</xdr:rowOff>
    </xdr:from>
    <xdr:ext cx="304800" cy="304800"/>
    <xdr:sp macro="" textlink="">
      <xdr:nvSpPr>
        <xdr:cNvPr id="6144" name="AutoShape 475">
          <a:extLst>
            <a:ext uri="{FF2B5EF4-FFF2-40B4-BE49-F238E27FC236}">
              <a16:creationId xmlns:a16="http://schemas.microsoft.com/office/drawing/2014/main" id="{D6B5E9A7-0999-4856-9009-DA5635EEA77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</xdr:row>
      <xdr:rowOff>0</xdr:rowOff>
    </xdr:from>
    <xdr:ext cx="9525" cy="9525"/>
    <xdr:pic>
      <xdr:nvPicPr>
        <xdr:cNvPr id="6145" name="Picture 6144">
          <a:extLst>
            <a:ext uri="{FF2B5EF4-FFF2-40B4-BE49-F238E27FC236}">
              <a16:creationId xmlns:a16="http://schemas.microsoft.com/office/drawing/2014/main" id="{B6E9E4E0-7204-4FAA-B3A6-CC6393C76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9525" cy="9525"/>
    <xdr:pic>
      <xdr:nvPicPr>
        <xdr:cNvPr id="6146" name="Picture 6145">
          <a:extLst>
            <a:ext uri="{FF2B5EF4-FFF2-40B4-BE49-F238E27FC236}">
              <a16:creationId xmlns:a16="http://schemas.microsoft.com/office/drawing/2014/main" id="{4A4CC4B5-2D08-4262-81A8-2EBF9710E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9525" cy="9525"/>
    <xdr:pic>
      <xdr:nvPicPr>
        <xdr:cNvPr id="6147" name="Picture 6146">
          <a:extLst>
            <a:ext uri="{FF2B5EF4-FFF2-40B4-BE49-F238E27FC236}">
              <a16:creationId xmlns:a16="http://schemas.microsoft.com/office/drawing/2014/main" id="{2E690C67-B90B-4F45-9010-F5DD5CFB3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4800"/>
    <xdr:sp macro="" textlink="">
      <xdr:nvSpPr>
        <xdr:cNvPr id="6148" name="AutoShape 183">
          <a:extLst>
            <a:ext uri="{FF2B5EF4-FFF2-40B4-BE49-F238E27FC236}">
              <a16:creationId xmlns:a16="http://schemas.microsoft.com/office/drawing/2014/main" id="{2B0611E9-EA07-4005-9811-984A18F8CC38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15</xdr:row>
      <xdr:rowOff>0</xdr:rowOff>
    </xdr:from>
    <xdr:ext cx="9525" cy="9525"/>
    <xdr:pic>
      <xdr:nvPicPr>
        <xdr:cNvPr id="6149" name="Picture 6148">
          <a:extLst>
            <a:ext uri="{FF2B5EF4-FFF2-40B4-BE49-F238E27FC236}">
              <a16:creationId xmlns:a16="http://schemas.microsoft.com/office/drawing/2014/main" id="{EF6A7E9F-4589-42A2-98A9-A5680A027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4800"/>
    <xdr:sp macro="" textlink="">
      <xdr:nvSpPr>
        <xdr:cNvPr id="6150" name="AutoShape 209">
          <a:extLst>
            <a:ext uri="{FF2B5EF4-FFF2-40B4-BE49-F238E27FC236}">
              <a16:creationId xmlns:a16="http://schemas.microsoft.com/office/drawing/2014/main" id="{E22710A8-17C2-4946-9DBD-15BCCD1E8EB1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15</xdr:row>
      <xdr:rowOff>0</xdr:rowOff>
    </xdr:from>
    <xdr:ext cx="9525" cy="9525"/>
    <xdr:pic>
      <xdr:nvPicPr>
        <xdr:cNvPr id="6151" name="Picture 6150">
          <a:extLst>
            <a:ext uri="{FF2B5EF4-FFF2-40B4-BE49-F238E27FC236}">
              <a16:creationId xmlns:a16="http://schemas.microsoft.com/office/drawing/2014/main" id="{849ADF5D-97EB-42D6-904B-8B9E89643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4800"/>
    <xdr:sp macro="" textlink="">
      <xdr:nvSpPr>
        <xdr:cNvPr id="6152" name="AutoShape 233">
          <a:extLst>
            <a:ext uri="{FF2B5EF4-FFF2-40B4-BE49-F238E27FC236}">
              <a16:creationId xmlns:a16="http://schemas.microsoft.com/office/drawing/2014/main" id="{2F54F967-3129-42D7-8D69-E333520FED7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15</xdr:row>
      <xdr:rowOff>0</xdr:rowOff>
    </xdr:from>
    <xdr:ext cx="9525" cy="9525"/>
    <xdr:pic>
      <xdr:nvPicPr>
        <xdr:cNvPr id="6153" name="Picture 6152">
          <a:extLst>
            <a:ext uri="{FF2B5EF4-FFF2-40B4-BE49-F238E27FC236}">
              <a16:creationId xmlns:a16="http://schemas.microsoft.com/office/drawing/2014/main" id="{473CB8E3-1749-4A7A-94EC-4B2A4C63C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4800"/>
    <xdr:sp macro="" textlink="">
      <xdr:nvSpPr>
        <xdr:cNvPr id="6154" name="AutoShape 259">
          <a:extLst>
            <a:ext uri="{FF2B5EF4-FFF2-40B4-BE49-F238E27FC236}">
              <a16:creationId xmlns:a16="http://schemas.microsoft.com/office/drawing/2014/main" id="{9C9BC87E-279C-4CE9-A98A-0C15B8EC7A3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15</xdr:row>
      <xdr:rowOff>0</xdr:rowOff>
    </xdr:from>
    <xdr:ext cx="9525" cy="9525"/>
    <xdr:pic>
      <xdr:nvPicPr>
        <xdr:cNvPr id="6155" name="Picture 6154">
          <a:extLst>
            <a:ext uri="{FF2B5EF4-FFF2-40B4-BE49-F238E27FC236}">
              <a16:creationId xmlns:a16="http://schemas.microsoft.com/office/drawing/2014/main" id="{DF0B9020-B5C3-42C4-A5E4-4E01CDE85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4800"/>
    <xdr:sp macro="" textlink="">
      <xdr:nvSpPr>
        <xdr:cNvPr id="6156" name="AutoShape 311">
          <a:extLst>
            <a:ext uri="{FF2B5EF4-FFF2-40B4-BE49-F238E27FC236}">
              <a16:creationId xmlns:a16="http://schemas.microsoft.com/office/drawing/2014/main" id="{B60382FC-D16B-40F4-9A6A-63B9A911C41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15</xdr:row>
      <xdr:rowOff>0</xdr:rowOff>
    </xdr:from>
    <xdr:ext cx="9525" cy="9525"/>
    <xdr:pic>
      <xdr:nvPicPr>
        <xdr:cNvPr id="6157" name="Picture 6156">
          <a:extLst>
            <a:ext uri="{FF2B5EF4-FFF2-40B4-BE49-F238E27FC236}">
              <a16:creationId xmlns:a16="http://schemas.microsoft.com/office/drawing/2014/main" id="{2AAD2798-9C5D-40C9-B5ED-9C2A97EA4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4800"/>
    <xdr:sp macro="" textlink="">
      <xdr:nvSpPr>
        <xdr:cNvPr id="6158" name="AutoShape 363">
          <a:extLst>
            <a:ext uri="{FF2B5EF4-FFF2-40B4-BE49-F238E27FC236}">
              <a16:creationId xmlns:a16="http://schemas.microsoft.com/office/drawing/2014/main" id="{EF8AEF6A-E6E2-4A8E-9188-BDA7219480E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15</xdr:row>
      <xdr:rowOff>0</xdr:rowOff>
    </xdr:from>
    <xdr:ext cx="9525" cy="9525"/>
    <xdr:pic>
      <xdr:nvPicPr>
        <xdr:cNvPr id="6159" name="Picture 6158">
          <a:extLst>
            <a:ext uri="{FF2B5EF4-FFF2-40B4-BE49-F238E27FC236}">
              <a16:creationId xmlns:a16="http://schemas.microsoft.com/office/drawing/2014/main" id="{3A91BE8E-1EB6-4147-A638-1507D9F97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4800"/>
    <xdr:sp macro="" textlink="">
      <xdr:nvSpPr>
        <xdr:cNvPr id="6160" name="AutoShape 419">
          <a:extLst>
            <a:ext uri="{FF2B5EF4-FFF2-40B4-BE49-F238E27FC236}">
              <a16:creationId xmlns:a16="http://schemas.microsoft.com/office/drawing/2014/main" id="{FF18176E-B691-41CE-A38E-9F264679630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15</xdr:row>
      <xdr:rowOff>0</xdr:rowOff>
    </xdr:from>
    <xdr:ext cx="9525" cy="9525"/>
    <xdr:pic>
      <xdr:nvPicPr>
        <xdr:cNvPr id="6161" name="Picture 6160">
          <a:extLst>
            <a:ext uri="{FF2B5EF4-FFF2-40B4-BE49-F238E27FC236}">
              <a16:creationId xmlns:a16="http://schemas.microsoft.com/office/drawing/2014/main" id="{C156FA8C-C828-4457-9A0D-77C144B03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4800"/>
    <xdr:sp macro="" textlink="">
      <xdr:nvSpPr>
        <xdr:cNvPr id="6162" name="AutoShape 475">
          <a:extLst>
            <a:ext uri="{FF2B5EF4-FFF2-40B4-BE49-F238E27FC236}">
              <a16:creationId xmlns:a16="http://schemas.microsoft.com/office/drawing/2014/main" id="{B68A7F44-A044-4129-9875-BB431802DBCD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15</xdr:row>
      <xdr:rowOff>0</xdr:rowOff>
    </xdr:from>
    <xdr:ext cx="9525" cy="9525"/>
    <xdr:pic>
      <xdr:nvPicPr>
        <xdr:cNvPr id="6163" name="Picture 6162">
          <a:extLst>
            <a:ext uri="{FF2B5EF4-FFF2-40B4-BE49-F238E27FC236}">
              <a16:creationId xmlns:a16="http://schemas.microsoft.com/office/drawing/2014/main" id="{B030EB27-D5A3-4E72-A170-AEF184E8D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304800" cy="304800"/>
    <xdr:sp macro="" textlink="">
      <xdr:nvSpPr>
        <xdr:cNvPr id="6164" name="AutoShape 154">
          <a:extLst>
            <a:ext uri="{FF2B5EF4-FFF2-40B4-BE49-F238E27FC236}">
              <a16:creationId xmlns:a16="http://schemas.microsoft.com/office/drawing/2014/main" id="{199E7574-8FD6-4299-A837-C287646DBBC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21</xdr:row>
      <xdr:rowOff>0</xdr:rowOff>
    </xdr:from>
    <xdr:ext cx="304800" cy="304800"/>
    <xdr:sp macro="" textlink="">
      <xdr:nvSpPr>
        <xdr:cNvPr id="6165" name="AutoShape 505">
          <a:extLst>
            <a:ext uri="{FF2B5EF4-FFF2-40B4-BE49-F238E27FC236}">
              <a16:creationId xmlns:a16="http://schemas.microsoft.com/office/drawing/2014/main" id="{355DCEC6-D445-4088-B578-57ACEF74CECC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21</xdr:row>
      <xdr:rowOff>0</xdr:rowOff>
    </xdr:from>
    <xdr:ext cx="9525" cy="9525"/>
    <xdr:pic>
      <xdr:nvPicPr>
        <xdr:cNvPr id="6166" name="Picture 6165">
          <a:extLst>
            <a:ext uri="{FF2B5EF4-FFF2-40B4-BE49-F238E27FC236}">
              <a16:creationId xmlns:a16="http://schemas.microsoft.com/office/drawing/2014/main" id="{3840D539-3938-49A8-A0B3-B9DF570B0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9525" cy="9525"/>
    <xdr:pic>
      <xdr:nvPicPr>
        <xdr:cNvPr id="6167" name="Picture 6166">
          <a:extLst>
            <a:ext uri="{FF2B5EF4-FFF2-40B4-BE49-F238E27FC236}">
              <a16:creationId xmlns:a16="http://schemas.microsoft.com/office/drawing/2014/main" id="{BEB513B7-96C4-4FC6-A883-8256E934C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304800" cy="304800"/>
    <xdr:sp macro="" textlink="">
      <xdr:nvSpPr>
        <xdr:cNvPr id="6168" name="AutoShape 183">
          <a:extLst>
            <a:ext uri="{FF2B5EF4-FFF2-40B4-BE49-F238E27FC236}">
              <a16:creationId xmlns:a16="http://schemas.microsoft.com/office/drawing/2014/main" id="{8E30F658-836A-4B93-B57E-5431D02F8765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21</xdr:row>
      <xdr:rowOff>0</xdr:rowOff>
    </xdr:from>
    <xdr:ext cx="9525" cy="9525"/>
    <xdr:pic>
      <xdr:nvPicPr>
        <xdr:cNvPr id="6169" name="Picture 6168">
          <a:extLst>
            <a:ext uri="{FF2B5EF4-FFF2-40B4-BE49-F238E27FC236}">
              <a16:creationId xmlns:a16="http://schemas.microsoft.com/office/drawing/2014/main" id="{9B1F72DD-54BA-4852-81E7-6ED84593F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304800" cy="304800"/>
    <xdr:sp macro="" textlink="">
      <xdr:nvSpPr>
        <xdr:cNvPr id="6170" name="AutoShape 209">
          <a:extLst>
            <a:ext uri="{FF2B5EF4-FFF2-40B4-BE49-F238E27FC236}">
              <a16:creationId xmlns:a16="http://schemas.microsoft.com/office/drawing/2014/main" id="{2F78427B-D967-4555-B89F-C7FFA583F38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21</xdr:row>
      <xdr:rowOff>0</xdr:rowOff>
    </xdr:from>
    <xdr:ext cx="9525" cy="9525"/>
    <xdr:pic>
      <xdr:nvPicPr>
        <xdr:cNvPr id="6171" name="Picture 6170">
          <a:extLst>
            <a:ext uri="{FF2B5EF4-FFF2-40B4-BE49-F238E27FC236}">
              <a16:creationId xmlns:a16="http://schemas.microsoft.com/office/drawing/2014/main" id="{6ECCD905-CA97-4DBB-9EBD-B82865BC1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304800" cy="304800"/>
    <xdr:sp macro="" textlink="">
      <xdr:nvSpPr>
        <xdr:cNvPr id="6172" name="AutoShape 233">
          <a:extLst>
            <a:ext uri="{FF2B5EF4-FFF2-40B4-BE49-F238E27FC236}">
              <a16:creationId xmlns:a16="http://schemas.microsoft.com/office/drawing/2014/main" id="{4338CCD9-C12E-49B9-8EF7-C1CA48D1B83C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21</xdr:row>
      <xdr:rowOff>0</xdr:rowOff>
    </xdr:from>
    <xdr:ext cx="9525" cy="9525"/>
    <xdr:pic>
      <xdr:nvPicPr>
        <xdr:cNvPr id="6173" name="Picture 6172">
          <a:extLst>
            <a:ext uri="{FF2B5EF4-FFF2-40B4-BE49-F238E27FC236}">
              <a16:creationId xmlns:a16="http://schemas.microsoft.com/office/drawing/2014/main" id="{D6CEB128-C58E-4C62-8498-297179D23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304800" cy="304800"/>
    <xdr:sp macro="" textlink="">
      <xdr:nvSpPr>
        <xdr:cNvPr id="6174" name="AutoShape 259">
          <a:extLst>
            <a:ext uri="{FF2B5EF4-FFF2-40B4-BE49-F238E27FC236}">
              <a16:creationId xmlns:a16="http://schemas.microsoft.com/office/drawing/2014/main" id="{FB69F570-2C7D-4BF4-B039-B86134020A89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21</xdr:row>
      <xdr:rowOff>0</xdr:rowOff>
    </xdr:from>
    <xdr:ext cx="9525" cy="9525"/>
    <xdr:pic>
      <xdr:nvPicPr>
        <xdr:cNvPr id="6175" name="Picture 6174">
          <a:extLst>
            <a:ext uri="{FF2B5EF4-FFF2-40B4-BE49-F238E27FC236}">
              <a16:creationId xmlns:a16="http://schemas.microsoft.com/office/drawing/2014/main" id="{EA999905-68C4-4955-A2CB-37B32D2F6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304800" cy="304800"/>
    <xdr:sp macro="" textlink="">
      <xdr:nvSpPr>
        <xdr:cNvPr id="6176" name="AutoShape 311">
          <a:extLst>
            <a:ext uri="{FF2B5EF4-FFF2-40B4-BE49-F238E27FC236}">
              <a16:creationId xmlns:a16="http://schemas.microsoft.com/office/drawing/2014/main" id="{1BF17A31-A1D8-464D-9023-2BCD387A21D9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21</xdr:row>
      <xdr:rowOff>0</xdr:rowOff>
    </xdr:from>
    <xdr:ext cx="9525" cy="9525"/>
    <xdr:pic>
      <xdr:nvPicPr>
        <xdr:cNvPr id="6177" name="Picture 6176">
          <a:extLst>
            <a:ext uri="{FF2B5EF4-FFF2-40B4-BE49-F238E27FC236}">
              <a16:creationId xmlns:a16="http://schemas.microsoft.com/office/drawing/2014/main" id="{38CD2066-1572-459C-84E0-DDDA9E050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304800" cy="304800"/>
    <xdr:sp macro="" textlink="">
      <xdr:nvSpPr>
        <xdr:cNvPr id="6178" name="AutoShape 363">
          <a:extLst>
            <a:ext uri="{FF2B5EF4-FFF2-40B4-BE49-F238E27FC236}">
              <a16:creationId xmlns:a16="http://schemas.microsoft.com/office/drawing/2014/main" id="{4F847E24-BBBF-406D-995C-5371A711019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21</xdr:row>
      <xdr:rowOff>0</xdr:rowOff>
    </xdr:from>
    <xdr:ext cx="9525" cy="9525"/>
    <xdr:pic>
      <xdr:nvPicPr>
        <xdr:cNvPr id="6179" name="Picture 6178">
          <a:extLst>
            <a:ext uri="{FF2B5EF4-FFF2-40B4-BE49-F238E27FC236}">
              <a16:creationId xmlns:a16="http://schemas.microsoft.com/office/drawing/2014/main" id="{7C06AE2D-EC03-42BF-83D2-C469F066F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304800" cy="304800"/>
    <xdr:sp macro="" textlink="">
      <xdr:nvSpPr>
        <xdr:cNvPr id="6180" name="AutoShape 419">
          <a:extLst>
            <a:ext uri="{FF2B5EF4-FFF2-40B4-BE49-F238E27FC236}">
              <a16:creationId xmlns:a16="http://schemas.microsoft.com/office/drawing/2014/main" id="{F0908BD4-BD83-42E7-9F56-E0FA60489FDE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21</xdr:row>
      <xdr:rowOff>0</xdr:rowOff>
    </xdr:from>
    <xdr:ext cx="9525" cy="9525"/>
    <xdr:pic>
      <xdr:nvPicPr>
        <xdr:cNvPr id="6181" name="Picture 6180">
          <a:extLst>
            <a:ext uri="{FF2B5EF4-FFF2-40B4-BE49-F238E27FC236}">
              <a16:creationId xmlns:a16="http://schemas.microsoft.com/office/drawing/2014/main" id="{61300CBA-BE49-4A52-B81C-4AD53A8DE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304800" cy="304800"/>
    <xdr:sp macro="" textlink="">
      <xdr:nvSpPr>
        <xdr:cNvPr id="6182" name="AutoShape 475">
          <a:extLst>
            <a:ext uri="{FF2B5EF4-FFF2-40B4-BE49-F238E27FC236}">
              <a16:creationId xmlns:a16="http://schemas.microsoft.com/office/drawing/2014/main" id="{97A5308A-286D-4059-ACC2-F7C63EE80985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21</xdr:row>
      <xdr:rowOff>0</xdr:rowOff>
    </xdr:from>
    <xdr:ext cx="9525" cy="9525"/>
    <xdr:pic>
      <xdr:nvPicPr>
        <xdr:cNvPr id="6183" name="Picture 6182">
          <a:extLst>
            <a:ext uri="{FF2B5EF4-FFF2-40B4-BE49-F238E27FC236}">
              <a16:creationId xmlns:a16="http://schemas.microsoft.com/office/drawing/2014/main" id="{1B6074E3-A0A8-497D-8105-7EBE566EF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9525" cy="9525"/>
    <xdr:pic>
      <xdr:nvPicPr>
        <xdr:cNvPr id="6184" name="Picture 6183">
          <a:extLst>
            <a:ext uri="{FF2B5EF4-FFF2-40B4-BE49-F238E27FC236}">
              <a16:creationId xmlns:a16="http://schemas.microsoft.com/office/drawing/2014/main" id="{63047F68-517A-4010-AE3F-00D8BC2C9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3440"/>
    <xdr:sp macro="" textlink="">
      <xdr:nvSpPr>
        <xdr:cNvPr id="6185" name="AutoShape 169">
          <a:extLst>
            <a:ext uri="{FF2B5EF4-FFF2-40B4-BE49-F238E27FC236}">
              <a16:creationId xmlns:a16="http://schemas.microsoft.com/office/drawing/2014/main" id="{2949F7B2-E64A-4456-95A8-CD556381CA5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16</xdr:row>
      <xdr:rowOff>0</xdr:rowOff>
    </xdr:from>
    <xdr:ext cx="304800" cy="303439"/>
    <xdr:sp macro="" textlink="">
      <xdr:nvSpPr>
        <xdr:cNvPr id="6186" name="AutoShape 171">
          <a:extLst>
            <a:ext uri="{FF2B5EF4-FFF2-40B4-BE49-F238E27FC236}">
              <a16:creationId xmlns:a16="http://schemas.microsoft.com/office/drawing/2014/main" id="{E8CE54F2-FD59-464C-9C01-9CC6C7C4405C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16</xdr:row>
      <xdr:rowOff>0</xdr:rowOff>
    </xdr:from>
    <xdr:ext cx="9525" cy="9525"/>
    <xdr:pic>
      <xdr:nvPicPr>
        <xdr:cNvPr id="6187" name="Picture 6186">
          <a:extLst>
            <a:ext uri="{FF2B5EF4-FFF2-40B4-BE49-F238E27FC236}">
              <a16:creationId xmlns:a16="http://schemas.microsoft.com/office/drawing/2014/main" id="{4A9B87C4-A38A-47AC-A48B-2902214D9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3440"/>
    <xdr:sp macro="" textlink="">
      <xdr:nvSpPr>
        <xdr:cNvPr id="6188" name="AutoShape 199">
          <a:extLst>
            <a:ext uri="{FF2B5EF4-FFF2-40B4-BE49-F238E27FC236}">
              <a16:creationId xmlns:a16="http://schemas.microsoft.com/office/drawing/2014/main" id="{C6A4B88B-3B90-446B-92C0-0278B1F28610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16</xdr:row>
      <xdr:rowOff>0</xdr:rowOff>
    </xdr:from>
    <xdr:ext cx="9525" cy="9525"/>
    <xdr:pic>
      <xdr:nvPicPr>
        <xdr:cNvPr id="6189" name="Picture 6188">
          <a:extLst>
            <a:ext uri="{FF2B5EF4-FFF2-40B4-BE49-F238E27FC236}">
              <a16:creationId xmlns:a16="http://schemas.microsoft.com/office/drawing/2014/main" id="{9BDF9749-8862-4787-951B-03DC1205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9525" cy="9525"/>
    <xdr:pic>
      <xdr:nvPicPr>
        <xdr:cNvPr id="6190" name="Picture 6189">
          <a:extLst>
            <a:ext uri="{FF2B5EF4-FFF2-40B4-BE49-F238E27FC236}">
              <a16:creationId xmlns:a16="http://schemas.microsoft.com/office/drawing/2014/main" id="{4B34AB7E-7D77-41AE-B5DE-4E895CE58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3440"/>
    <xdr:sp macro="" textlink="">
      <xdr:nvSpPr>
        <xdr:cNvPr id="6191" name="AutoShape 249">
          <a:extLst>
            <a:ext uri="{FF2B5EF4-FFF2-40B4-BE49-F238E27FC236}">
              <a16:creationId xmlns:a16="http://schemas.microsoft.com/office/drawing/2014/main" id="{87DE1B8E-18CC-4716-A7F1-F5C5552703A1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16</xdr:row>
      <xdr:rowOff>0</xdr:rowOff>
    </xdr:from>
    <xdr:ext cx="9525" cy="9525"/>
    <xdr:pic>
      <xdr:nvPicPr>
        <xdr:cNvPr id="6192" name="Picture 6191">
          <a:extLst>
            <a:ext uri="{FF2B5EF4-FFF2-40B4-BE49-F238E27FC236}">
              <a16:creationId xmlns:a16="http://schemas.microsoft.com/office/drawing/2014/main" id="{1A234497-5D38-4F37-B28D-CB4CEF7F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3440"/>
    <xdr:sp macro="" textlink="">
      <xdr:nvSpPr>
        <xdr:cNvPr id="6193" name="AutoShape 275">
          <a:extLst>
            <a:ext uri="{FF2B5EF4-FFF2-40B4-BE49-F238E27FC236}">
              <a16:creationId xmlns:a16="http://schemas.microsoft.com/office/drawing/2014/main" id="{5B3A13E1-DFB1-4E19-80CA-6248AFFD9DFE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16</xdr:row>
      <xdr:rowOff>0</xdr:rowOff>
    </xdr:from>
    <xdr:ext cx="9525" cy="9525"/>
    <xdr:pic>
      <xdr:nvPicPr>
        <xdr:cNvPr id="6194" name="Picture 6193">
          <a:extLst>
            <a:ext uri="{FF2B5EF4-FFF2-40B4-BE49-F238E27FC236}">
              <a16:creationId xmlns:a16="http://schemas.microsoft.com/office/drawing/2014/main" id="{B2371510-2AF9-4567-A7B2-704CBA178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3440"/>
    <xdr:sp macro="" textlink="">
      <xdr:nvSpPr>
        <xdr:cNvPr id="6195" name="AutoShape 327">
          <a:extLst>
            <a:ext uri="{FF2B5EF4-FFF2-40B4-BE49-F238E27FC236}">
              <a16:creationId xmlns:a16="http://schemas.microsoft.com/office/drawing/2014/main" id="{2EBBCDFA-4938-4AAE-BD9A-33586D6245C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16</xdr:row>
      <xdr:rowOff>0</xdr:rowOff>
    </xdr:from>
    <xdr:ext cx="9525" cy="9525"/>
    <xdr:pic>
      <xdr:nvPicPr>
        <xdr:cNvPr id="6196" name="Picture 6195">
          <a:extLst>
            <a:ext uri="{FF2B5EF4-FFF2-40B4-BE49-F238E27FC236}">
              <a16:creationId xmlns:a16="http://schemas.microsoft.com/office/drawing/2014/main" id="{90F85965-168F-4CE7-9952-A2FE0A13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3440"/>
    <xdr:sp macro="" textlink="">
      <xdr:nvSpPr>
        <xdr:cNvPr id="6197" name="AutoShape 379">
          <a:extLst>
            <a:ext uri="{FF2B5EF4-FFF2-40B4-BE49-F238E27FC236}">
              <a16:creationId xmlns:a16="http://schemas.microsoft.com/office/drawing/2014/main" id="{CB9B579A-1EC6-4264-8F21-76E360EE33A9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16</xdr:row>
      <xdr:rowOff>0</xdr:rowOff>
    </xdr:from>
    <xdr:ext cx="304800" cy="303439"/>
    <xdr:sp macro="" textlink="">
      <xdr:nvSpPr>
        <xdr:cNvPr id="6198" name="AutoShape 381">
          <a:extLst>
            <a:ext uri="{FF2B5EF4-FFF2-40B4-BE49-F238E27FC236}">
              <a16:creationId xmlns:a16="http://schemas.microsoft.com/office/drawing/2014/main" id="{7F5EEB4A-5A7E-4BC7-BE18-F8D8F11B3354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16</xdr:row>
      <xdr:rowOff>0</xdr:rowOff>
    </xdr:from>
    <xdr:ext cx="9525" cy="9525"/>
    <xdr:pic>
      <xdr:nvPicPr>
        <xdr:cNvPr id="6199" name="Picture 6198">
          <a:extLst>
            <a:ext uri="{FF2B5EF4-FFF2-40B4-BE49-F238E27FC236}">
              <a16:creationId xmlns:a16="http://schemas.microsoft.com/office/drawing/2014/main" id="{676264D7-E3E6-4C7C-8C98-1B19C9B74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3440"/>
    <xdr:sp macro="" textlink="">
      <xdr:nvSpPr>
        <xdr:cNvPr id="6200" name="AutoShape 435">
          <a:extLst>
            <a:ext uri="{FF2B5EF4-FFF2-40B4-BE49-F238E27FC236}">
              <a16:creationId xmlns:a16="http://schemas.microsoft.com/office/drawing/2014/main" id="{503BE600-BACB-49D4-A6E3-1A0B886E0E8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16</xdr:row>
      <xdr:rowOff>0</xdr:rowOff>
    </xdr:from>
    <xdr:ext cx="304800" cy="303439"/>
    <xdr:sp macro="" textlink="">
      <xdr:nvSpPr>
        <xdr:cNvPr id="6201" name="AutoShape 437">
          <a:extLst>
            <a:ext uri="{FF2B5EF4-FFF2-40B4-BE49-F238E27FC236}">
              <a16:creationId xmlns:a16="http://schemas.microsoft.com/office/drawing/2014/main" id="{BFEC2D78-FA7F-46F7-A65C-E7A7B7FD2D9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16</xdr:row>
      <xdr:rowOff>0</xdr:rowOff>
    </xdr:from>
    <xdr:ext cx="9525" cy="9525"/>
    <xdr:pic>
      <xdr:nvPicPr>
        <xdr:cNvPr id="6202" name="Picture 6201">
          <a:extLst>
            <a:ext uri="{FF2B5EF4-FFF2-40B4-BE49-F238E27FC236}">
              <a16:creationId xmlns:a16="http://schemas.microsoft.com/office/drawing/2014/main" id="{C241382E-54C4-4A11-AE2A-D465140AA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3440"/>
    <xdr:sp macro="" textlink="">
      <xdr:nvSpPr>
        <xdr:cNvPr id="6203" name="AutoShape 491">
          <a:extLst>
            <a:ext uri="{FF2B5EF4-FFF2-40B4-BE49-F238E27FC236}">
              <a16:creationId xmlns:a16="http://schemas.microsoft.com/office/drawing/2014/main" id="{80DCB9A9-CE5F-4F19-98BB-1CEC2969621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16</xdr:row>
      <xdr:rowOff>0</xdr:rowOff>
    </xdr:from>
    <xdr:ext cx="304800" cy="303439"/>
    <xdr:sp macro="" textlink="">
      <xdr:nvSpPr>
        <xdr:cNvPr id="6204" name="AutoShape 493">
          <a:extLst>
            <a:ext uri="{FF2B5EF4-FFF2-40B4-BE49-F238E27FC236}">
              <a16:creationId xmlns:a16="http://schemas.microsoft.com/office/drawing/2014/main" id="{CBED3509-1C70-487A-AAE1-30B16EDF5B59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16</xdr:row>
      <xdr:rowOff>0</xdr:rowOff>
    </xdr:from>
    <xdr:ext cx="9525" cy="9525"/>
    <xdr:pic>
      <xdr:nvPicPr>
        <xdr:cNvPr id="6205" name="Picture 6204">
          <a:extLst>
            <a:ext uri="{FF2B5EF4-FFF2-40B4-BE49-F238E27FC236}">
              <a16:creationId xmlns:a16="http://schemas.microsoft.com/office/drawing/2014/main" id="{2862B75F-682B-42C0-8105-60B353286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3440"/>
    <xdr:sp macro="" textlink="">
      <xdr:nvSpPr>
        <xdr:cNvPr id="6206" name="AutoShape 525">
          <a:extLst>
            <a:ext uri="{FF2B5EF4-FFF2-40B4-BE49-F238E27FC236}">
              <a16:creationId xmlns:a16="http://schemas.microsoft.com/office/drawing/2014/main" id="{821CA471-6C7E-4D2F-B08F-3C700BF6996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16</xdr:row>
      <xdr:rowOff>0</xdr:rowOff>
    </xdr:from>
    <xdr:ext cx="304800" cy="303439"/>
    <xdr:sp macro="" textlink="">
      <xdr:nvSpPr>
        <xdr:cNvPr id="6207" name="AutoShape 527">
          <a:extLst>
            <a:ext uri="{FF2B5EF4-FFF2-40B4-BE49-F238E27FC236}">
              <a16:creationId xmlns:a16="http://schemas.microsoft.com/office/drawing/2014/main" id="{8F8DE4F2-B64B-447C-80F9-CDC9B919F814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19</xdr:row>
      <xdr:rowOff>0</xdr:rowOff>
    </xdr:from>
    <xdr:ext cx="9525" cy="9525"/>
    <xdr:pic>
      <xdr:nvPicPr>
        <xdr:cNvPr id="6208" name="Picture 6207">
          <a:extLst>
            <a:ext uri="{FF2B5EF4-FFF2-40B4-BE49-F238E27FC236}">
              <a16:creationId xmlns:a16="http://schemas.microsoft.com/office/drawing/2014/main" id="{1E74E5AE-05EA-4DEE-89D4-6C6B16430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304800" cy="303440"/>
    <xdr:sp macro="" textlink="">
      <xdr:nvSpPr>
        <xdr:cNvPr id="6209" name="AutoShape 173">
          <a:extLst>
            <a:ext uri="{FF2B5EF4-FFF2-40B4-BE49-F238E27FC236}">
              <a16:creationId xmlns:a16="http://schemas.microsoft.com/office/drawing/2014/main" id="{A7AE2C2F-8C87-406E-8DE5-44855F69AA59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653643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20</xdr:row>
      <xdr:rowOff>0</xdr:rowOff>
    </xdr:from>
    <xdr:ext cx="9525" cy="9525"/>
    <xdr:pic>
      <xdr:nvPicPr>
        <xdr:cNvPr id="6210" name="Picture 6209">
          <a:extLst>
            <a:ext uri="{FF2B5EF4-FFF2-40B4-BE49-F238E27FC236}">
              <a16:creationId xmlns:a16="http://schemas.microsoft.com/office/drawing/2014/main" id="{AB72F55F-3E6B-418B-8AC2-3B5D391BC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19</xdr:row>
      <xdr:rowOff>0</xdr:rowOff>
    </xdr:from>
    <xdr:ext cx="9525" cy="9525"/>
    <xdr:pic>
      <xdr:nvPicPr>
        <xdr:cNvPr id="6211" name="Picture 6210">
          <a:extLst>
            <a:ext uri="{FF2B5EF4-FFF2-40B4-BE49-F238E27FC236}">
              <a16:creationId xmlns:a16="http://schemas.microsoft.com/office/drawing/2014/main" id="{7CA04E9F-D69D-47F8-883F-109D9D2F8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19</xdr:row>
      <xdr:rowOff>0</xdr:rowOff>
    </xdr:from>
    <xdr:ext cx="9525" cy="9525"/>
    <xdr:pic>
      <xdr:nvPicPr>
        <xdr:cNvPr id="6212" name="Picture 6211">
          <a:extLst>
            <a:ext uri="{FF2B5EF4-FFF2-40B4-BE49-F238E27FC236}">
              <a16:creationId xmlns:a16="http://schemas.microsoft.com/office/drawing/2014/main" id="{E609F115-3B16-44EF-AA0A-092EEF229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19</xdr:row>
      <xdr:rowOff>0</xdr:rowOff>
    </xdr:from>
    <xdr:ext cx="9525" cy="9525"/>
    <xdr:pic>
      <xdr:nvPicPr>
        <xdr:cNvPr id="6213" name="Picture 6212">
          <a:extLst>
            <a:ext uri="{FF2B5EF4-FFF2-40B4-BE49-F238E27FC236}">
              <a16:creationId xmlns:a16="http://schemas.microsoft.com/office/drawing/2014/main" id="{5D6B7B2B-3729-49B3-B6B3-6F2557F51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19</xdr:row>
      <xdr:rowOff>0</xdr:rowOff>
    </xdr:from>
    <xdr:ext cx="9525" cy="9525"/>
    <xdr:pic>
      <xdr:nvPicPr>
        <xdr:cNvPr id="6214" name="Picture 6213">
          <a:extLst>
            <a:ext uri="{FF2B5EF4-FFF2-40B4-BE49-F238E27FC236}">
              <a16:creationId xmlns:a16="http://schemas.microsoft.com/office/drawing/2014/main" id="{3823C328-2F52-486E-8C5D-6FFF6A19F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19</xdr:row>
      <xdr:rowOff>0</xdr:rowOff>
    </xdr:from>
    <xdr:ext cx="9525" cy="9525"/>
    <xdr:pic>
      <xdr:nvPicPr>
        <xdr:cNvPr id="6215" name="Picture 6214">
          <a:extLst>
            <a:ext uri="{FF2B5EF4-FFF2-40B4-BE49-F238E27FC236}">
              <a16:creationId xmlns:a16="http://schemas.microsoft.com/office/drawing/2014/main" id="{61D4196A-A31C-4216-A298-CBE05C310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20</xdr:row>
      <xdr:rowOff>0</xdr:rowOff>
    </xdr:from>
    <xdr:ext cx="9525" cy="9525"/>
    <xdr:pic>
      <xdr:nvPicPr>
        <xdr:cNvPr id="6216" name="Picture 6215">
          <a:extLst>
            <a:ext uri="{FF2B5EF4-FFF2-40B4-BE49-F238E27FC236}">
              <a16:creationId xmlns:a16="http://schemas.microsoft.com/office/drawing/2014/main" id="{3BAE8E30-04BF-4379-8418-07FC18F70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19</xdr:row>
      <xdr:rowOff>0</xdr:rowOff>
    </xdr:from>
    <xdr:ext cx="9525" cy="9525"/>
    <xdr:pic>
      <xdr:nvPicPr>
        <xdr:cNvPr id="6217" name="Picture 6216">
          <a:extLst>
            <a:ext uri="{FF2B5EF4-FFF2-40B4-BE49-F238E27FC236}">
              <a16:creationId xmlns:a16="http://schemas.microsoft.com/office/drawing/2014/main" id="{D224C33D-83B0-455B-8B00-D78B755B4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20</xdr:row>
      <xdr:rowOff>0</xdr:rowOff>
    </xdr:from>
    <xdr:ext cx="9525" cy="9525"/>
    <xdr:pic>
      <xdr:nvPicPr>
        <xdr:cNvPr id="6218" name="Picture 6217">
          <a:extLst>
            <a:ext uri="{FF2B5EF4-FFF2-40B4-BE49-F238E27FC236}">
              <a16:creationId xmlns:a16="http://schemas.microsoft.com/office/drawing/2014/main" id="{4880BFEC-FEE5-4D49-A7EF-869B31858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19</xdr:row>
      <xdr:rowOff>0</xdr:rowOff>
    </xdr:from>
    <xdr:ext cx="9525" cy="9525"/>
    <xdr:pic>
      <xdr:nvPicPr>
        <xdr:cNvPr id="6219" name="Picture 6218">
          <a:extLst>
            <a:ext uri="{FF2B5EF4-FFF2-40B4-BE49-F238E27FC236}">
              <a16:creationId xmlns:a16="http://schemas.microsoft.com/office/drawing/2014/main" id="{702D6D67-8A1E-457C-833F-0E9B58892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20</xdr:row>
      <xdr:rowOff>0</xdr:rowOff>
    </xdr:from>
    <xdr:ext cx="9525" cy="9525"/>
    <xdr:pic>
      <xdr:nvPicPr>
        <xdr:cNvPr id="6220" name="Picture 6219">
          <a:extLst>
            <a:ext uri="{FF2B5EF4-FFF2-40B4-BE49-F238E27FC236}">
              <a16:creationId xmlns:a16="http://schemas.microsoft.com/office/drawing/2014/main" id="{C304F12F-0804-4B16-B40E-54CA0E52C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19</xdr:row>
      <xdr:rowOff>0</xdr:rowOff>
    </xdr:from>
    <xdr:ext cx="9525" cy="9525"/>
    <xdr:pic>
      <xdr:nvPicPr>
        <xdr:cNvPr id="6221" name="Picture 6220">
          <a:extLst>
            <a:ext uri="{FF2B5EF4-FFF2-40B4-BE49-F238E27FC236}">
              <a16:creationId xmlns:a16="http://schemas.microsoft.com/office/drawing/2014/main" id="{9E2222B1-E9FC-408E-A927-76DB2324A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304800" cy="303439"/>
    <xdr:sp macro="" textlink="">
      <xdr:nvSpPr>
        <xdr:cNvPr id="6222" name="AutoShape 529">
          <a:extLst>
            <a:ext uri="{FF2B5EF4-FFF2-40B4-BE49-F238E27FC236}">
              <a16:creationId xmlns:a16="http://schemas.microsoft.com/office/drawing/2014/main" id="{7FB45199-76F5-4898-8610-6DBD0CA6880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6536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20</xdr:row>
      <xdr:rowOff>0</xdr:rowOff>
    </xdr:from>
    <xdr:ext cx="9525" cy="9525"/>
    <xdr:pic>
      <xdr:nvPicPr>
        <xdr:cNvPr id="6223" name="Picture 6222">
          <a:extLst>
            <a:ext uri="{FF2B5EF4-FFF2-40B4-BE49-F238E27FC236}">
              <a16:creationId xmlns:a16="http://schemas.microsoft.com/office/drawing/2014/main" id="{50703FFF-7E6E-4F26-BBBB-C28C2612B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19</xdr:row>
      <xdr:rowOff>0</xdr:rowOff>
    </xdr:from>
    <xdr:ext cx="304800" cy="303439"/>
    <xdr:sp macro="" textlink="">
      <xdr:nvSpPr>
        <xdr:cNvPr id="6224" name="AutoShape 531">
          <a:extLst>
            <a:ext uri="{FF2B5EF4-FFF2-40B4-BE49-F238E27FC236}">
              <a16:creationId xmlns:a16="http://schemas.microsoft.com/office/drawing/2014/main" id="{993CAAA8-6F28-4096-9BC5-6CF8E8C5F89C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8441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9525" cy="9525"/>
    <xdr:pic>
      <xdr:nvPicPr>
        <xdr:cNvPr id="6225" name="Picture 6224">
          <a:extLst>
            <a:ext uri="{FF2B5EF4-FFF2-40B4-BE49-F238E27FC236}">
              <a16:creationId xmlns:a16="http://schemas.microsoft.com/office/drawing/2014/main" id="{32AD5D8C-9079-4EFF-9246-152C0EE04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17</xdr:row>
      <xdr:rowOff>0</xdr:rowOff>
    </xdr:from>
    <xdr:ext cx="304800" cy="303439"/>
    <xdr:sp macro="" textlink="">
      <xdr:nvSpPr>
        <xdr:cNvPr id="6226" name="AutoShape 165">
          <a:extLst>
            <a:ext uri="{FF2B5EF4-FFF2-40B4-BE49-F238E27FC236}">
              <a16:creationId xmlns:a16="http://schemas.microsoft.com/office/drawing/2014/main" id="{D887CFE3-822B-4B89-9498-96EFDF9FD290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9525" cy="9525"/>
    <xdr:pic>
      <xdr:nvPicPr>
        <xdr:cNvPr id="6227" name="Picture 6226">
          <a:extLst>
            <a:ext uri="{FF2B5EF4-FFF2-40B4-BE49-F238E27FC236}">
              <a16:creationId xmlns:a16="http://schemas.microsoft.com/office/drawing/2014/main" id="{4CEAC27E-2662-4699-AC4E-13AE78FB4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304800" cy="304800"/>
    <xdr:sp macro="" textlink="">
      <xdr:nvSpPr>
        <xdr:cNvPr id="6228" name="AutoShape 193">
          <a:extLst>
            <a:ext uri="{FF2B5EF4-FFF2-40B4-BE49-F238E27FC236}">
              <a16:creationId xmlns:a16="http://schemas.microsoft.com/office/drawing/2014/main" id="{75BA9AB2-99EB-40F7-B22C-8D0DD162A9BC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304800" cy="303439"/>
    <xdr:sp macro="" textlink="">
      <xdr:nvSpPr>
        <xdr:cNvPr id="6229" name="AutoShape 195">
          <a:extLst>
            <a:ext uri="{FF2B5EF4-FFF2-40B4-BE49-F238E27FC236}">
              <a16:creationId xmlns:a16="http://schemas.microsoft.com/office/drawing/2014/main" id="{BE3D2A44-8CC4-4B8F-8A33-847EAAC9843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9525" cy="9525"/>
    <xdr:pic>
      <xdr:nvPicPr>
        <xdr:cNvPr id="6230" name="Picture 6229">
          <a:extLst>
            <a:ext uri="{FF2B5EF4-FFF2-40B4-BE49-F238E27FC236}">
              <a16:creationId xmlns:a16="http://schemas.microsoft.com/office/drawing/2014/main" id="{F6F57299-5472-414A-8CFB-0FD5EAE74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304800" cy="304800"/>
    <xdr:sp macro="" textlink="">
      <xdr:nvSpPr>
        <xdr:cNvPr id="6231" name="AutoShape 219">
          <a:extLst>
            <a:ext uri="{FF2B5EF4-FFF2-40B4-BE49-F238E27FC236}">
              <a16:creationId xmlns:a16="http://schemas.microsoft.com/office/drawing/2014/main" id="{4638C0C3-C57A-4E2E-9053-9F9EBF94BAD9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304800" cy="303439"/>
    <xdr:sp macro="" textlink="">
      <xdr:nvSpPr>
        <xdr:cNvPr id="6232" name="AutoShape 221">
          <a:extLst>
            <a:ext uri="{FF2B5EF4-FFF2-40B4-BE49-F238E27FC236}">
              <a16:creationId xmlns:a16="http://schemas.microsoft.com/office/drawing/2014/main" id="{2AD8E1C7-BF17-4897-A3FC-BCBA91E7448D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9525" cy="9525"/>
    <xdr:pic>
      <xdr:nvPicPr>
        <xdr:cNvPr id="6233" name="Picture 6232">
          <a:extLst>
            <a:ext uri="{FF2B5EF4-FFF2-40B4-BE49-F238E27FC236}">
              <a16:creationId xmlns:a16="http://schemas.microsoft.com/office/drawing/2014/main" id="{EF904E92-41FD-4997-B0A9-B05803234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304800" cy="304800"/>
    <xdr:sp macro="" textlink="">
      <xdr:nvSpPr>
        <xdr:cNvPr id="6234" name="AutoShape 243">
          <a:extLst>
            <a:ext uri="{FF2B5EF4-FFF2-40B4-BE49-F238E27FC236}">
              <a16:creationId xmlns:a16="http://schemas.microsoft.com/office/drawing/2014/main" id="{24DF752C-952A-447F-AF9C-E41047C6EE01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304800" cy="303439"/>
    <xdr:sp macro="" textlink="">
      <xdr:nvSpPr>
        <xdr:cNvPr id="6235" name="AutoShape 245">
          <a:extLst>
            <a:ext uri="{FF2B5EF4-FFF2-40B4-BE49-F238E27FC236}">
              <a16:creationId xmlns:a16="http://schemas.microsoft.com/office/drawing/2014/main" id="{BCDF4A3F-0EB6-4B79-92C9-95068D46C9D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9525" cy="9525"/>
    <xdr:pic>
      <xdr:nvPicPr>
        <xdr:cNvPr id="6236" name="Picture 6235">
          <a:extLst>
            <a:ext uri="{FF2B5EF4-FFF2-40B4-BE49-F238E27FC236}">
              <a16:creationId xmlns:a16="http://schemas.microsoft.com/office/drawing/2014/main" id="{4A081C54-FD94-49B4-93BB-34A241C65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304800" cy="304800"/>
    <xdr:sp macro="" textlink="">
      <xdr:nvSpPr>
        <xdr:cNvPr id="6237" name="AutoShape 269">
          <a:extLst>
            <a:ext uri="{FF2B5EF4-FFF2-40B4-BE49-F238E27FC236}">
              <a16:creationId xmlns:a16="http://schemas.microsoft.com/office/drawing/2014/main" id="{32923547-C428-4AA4-AF1D-0CC0BDE5F9ED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304800" cy="303439"/>
    <xdr:sp macro="" textlink="">
      <xdr:nvSpPr>
        <xdr:cNvPr id="6238" name="AutoShape 271">
          <a:extLst>
            <a:ext uri="{FF2B5EF4-FFF2-40B4-BE49-F238E27FC236}">
              <a16:creationId xmlns:a16="http://schemas.microsoft.com/office/drawing/2014/main" id="{E20B156F-5129-4EFB-A861-EB42CF19CEB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9525" cy="9525"/>
    <xdr:pic>
      <xdr:nvPicPr>
        <xdr:cNvPr id="6239" name="Picture 6238">
          <a:extLst>
            <a:ext uri="{FF2B5EF4-FFF2-40B4-BE49-F238E27FC236}">
              <a16:creationId xmlns:a16="http://schemas.microsoft.com/office/drawing/2014/main" id="{0FD2AE17-5448-42FE-B32D-D566F2001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304800" cy="304800"/>
    <xdr:sp macro="" textlink="">
      <xdr:nvSpPr>
        <xdr:cNvPr id="6240" name="AutoShape 321">
          <a:extLst>
            <a:ext uri="{FF2B5EF4-FFF2-40B4-BE49-F238E27FC236}">
              <a16:creationId xmlns:a16="http://schemas.microsoft.com/office/drawing/2014/main" id="{578C70EB-DED7-4E19-B2BE-CD50656EC04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304800" cy="303439"/>
    <xdr:sp macro="" textlink="">
      <xdr:nvSpPr>
        <xdr:cNvPr id="6241" name="AutoShape 323">
          <a:extLst>
            <a:ext uri="{FF2B5EF4-FFF2-40B4-BE49-F238E27FC236}">
              <a16:creationId xmlns:a16="http://schemas.microsoft.com/office/drawing/2014/main" id="{F85AD0B3-83F8-4D28-BEBC-E3042114A9C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9525" cy="9525"/>
    <xdr:pic>
      <xdr:nvPicPr>
        <xdr:cNvPr id="6242" name="Picture 6241">
          <a:extLst>
            <a:ext uri="{FF2B5EF4-FFF2-40B4-BE49-F238E27FC236}">
              <a16:creationId xmlns:a16="http://schemas.microsoft.com/office/drawing/2014/main" id="{7575AB1D-DDAD-4A23-B586-80744B399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304800" cy="304800"/>
    <xdr:sp macro="" textlink="">
      <xdr:nvSpPr>
        <xdr:cNvPr id="6243" name="AutoShape 373">
          <a:extLst>
            <a:ext uri="{FF2B5EF4-FFF2-40B4-BE49-F238E27FC236}">
              <a16:creationId xmlns:a16="http://schemas.microsoft.com/office/drawing/2014/main" id="{A9B59674-7496-41ED-9B6F-1D56EFBD15D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304800" cy="303439"/>
    <xdr:sp macro="" textlink="">
      <xdr:nvSpPr>
        <xdr:cNvPr id="6244" name="AutoShape 375">
          <a:extLst>
            <a:ext uri="{FF2B5EF4-FFF2-40B4-BE49-F238E27FC236}">
              <a16:creationId xmlns:a16="http://schemas.microsoft.com/office/drawing/2014/main" id="{EF67B718-ED59-4132-8450-21E9D2A21C18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9525" cy="9525"/>
    <xdr:pic>
      <xdr:nvPicPr>
        <xdr:cNvPr id="6245" name="Picture 6244">
          <a:extLst>
            <a:ext uri="{FF2B5EF4-FFF2-40B4-BE49-F238E27FC236}">
              <a16:creationId xmlns:a16="http://schemas.microsoft.com/office/drawing/2014/main" id="{4FD03EEA-1CA7-493F-9ADC-8B53BDC03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304800" cy="304800"/>
    <xdr:sp macro="" textlink="">
      <xdr:nvSpPr>
        <xdr:cNvPr id="6246" name="AutoShape 429">
          <a:extLst>
            <a:ext uri="{FF2B5EF4-FFF2-40B4-BE49-F238E27FC236}">
              <a16:creationId xmlns:a16="http://schemas.microsoft.com/office/drawing/2014/main" id="{66F4F20B-C602-4D82-A0CA-9326F0C8A0B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304800" cy="303439"/>
    <xdr:sp macro="" textlink="">
      <xdr:nvSpPr>
        <xdr:cNvPr id="6247" name="AutoShape 431">
          <a:extLst>
            <a:ext uri="{FF2B5EF4-FFF2-40B4-BE49-F238E27FC236}">
              <a16:creationId xmlns:a16="http://schemas.microsoft.com/office/drawing/2014/main" id="{860A180F-759E-4BB9-9F97-D5FC9164880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9525" cy="9525"/>
    <xdr:pic>
      <xdr:nvPicPr>
        <xdr:cNvPr id="6248" name="Picture 6247">
          <a:extLst>
            <a:ext uri="{FF2B5EF4-FFF2-40B4-BE49-F238E27FC236}">
              <a16:creationId xmlns:a16="http://schemas.microsoft.com/office/drawing/2014/main" id="{1C59070B-886F-49AE-9232-FC3649BF0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304800" cy="304800"/>
    <xdr:sp macro="" textlink="">
      <xdr:nvSpPr>
        <xdr:cNvPr id="6249" name="AutoShape 485">
          <a:extLst>
            <a:ext uri="{FF2B5EF4-FFF2-40B4-BE49-F238E27FC236}">
              <a16:creationId xmlns:a16="http://schemas.microsoft.com/office/drawing/2014/main" id="{A267B31B-6B46-4C36-86F5-A47444D21D5C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304800" cy="303439"/>
    <xdr:sp macro="" textlink="">
      <xdr:nvSpPr>
        <xdr:cNvPr id="6250" name="AutoShape 487">
          <a:extLst>
            <a:ext uri="{FF2B5EF4-FFF2-40B4-BE49-F238E27FC236}">
              <a16:creationId xmlns:a16="http://schemas.microsoft.com/office/drawing/2014/main" id="{E0E04205-2297-4CFF-8761-0E4603FA5A74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9525" cy="9525"/>
    <xdr:pic>
      <xdr:nvPicPr>
        <xdr:cNvPr id="6251" name="Picture 6250">
          <a:extLst>
            <a:ext uri="{FF2B5EF4-FFF2-40B4-BE49-F238E27FC236}">
              <a16:creationId xmlns:a16="http://schemas.microsoft.com/office/drawing/2014/main" id="{0F7DFD6D-7D4B-4DD3-9566-4FC28679E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304800" cy="304800"/>
    <xdr:sp macro="" textlink="">
      <xdr:nvSpPr>
        <xdr:cNvPr id="6252" name="AutoShape 519">
          <a:extLst>
            <a:ext uri="{FF2B5EF4-FFF2-40B4-BE49-F238E27FC236}">
              <a16:creationId xmlns:a16="http://schemas.microsoft.com/office/drawing/2014/main" id="{DFE94C28-45CA-48A0-8CE4-C31B365BBC5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304800" cy="303439"/>
    <xdr:sp macro="" textlink="">
      <xdr:nvSpPr>
        <xdr:cNvPr id="6253" name="AutoShape 521">
          <a:extLst>
            <a:ext uri="{FF2B5EF4-FFF2-40B4-BE49-F238E27FC236}">
              <a16:creationId xmlns:a16="http://schemas.microsoft.com/office/drawing/2014/main" id="{8D60E062-D464-4C1E-82E7-4C0BD36D49E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18</xdr:row>
      <xdr:rowOff>0</xdr:rowOff>
    </xdr:from>
    <xdr:ext cx="9525" cy="9525"/>
    <xdr:pic>
      <xdr:nvPicPr>
        <xdr:cNvPr id="6254" name="Picture 6253">
          <a:extLst>
            <a:ext uri="{FF2B5EF4-FFF2-40B4-BE49-F238E27FC236}">
              <a16:creationId xmlns:a16="http://schemas.microsoft.com/office/drawing/2014/main" id="{475B89C3-46E4-44F5-B10D-717470A5F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304800" cy="304800"/>
    <xdr:sp macro="" textlink="">
      <xdr:nvSpPr>
        <xdr:cNvPr id="6255" name="AutoShape 159">
          <a:extLst>
            <a:ext uri="{FF2B5EF4-FFF2-40B4-BE49-F238E27FC236}">
              <a16:creationId xmlns:a16="http://schemas.microsoft.com/office/drawing/2014/main" id="{CF8D32FA-6550-4FF6-97EC-D05AD419AA39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18</xdr:row>
      <xdr:rowOff>0</xdr:rowOff>
    </xdr:from>
    <xdr:ext cx="9525" cy="9525"/>
    <xdr:pic>
      <xdr:nvPicPr>
        <xdr:cNvPr id="6256" name="Picture 6255">
          <a:extLst>
            <a:ext uri="{FF2B5EF4-FFF2-40B4-BE49-F238E27FC236}">
              <a16:creationId xmlns:a16="http://schemas.microsoft.com/office/drawing/2014/main" id="{E3C588FE-F3E4-4B8E-B6E2-322F9C283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9525" cy="9525"/>
    <xdr:pic>
      <xdr:nvPicPr>
        <xdr:cNvPr id="6257" name="Picture 6256">
          <a:extLst>
            <a:ext uri="{FF2B5EF4-FFF2-40B4-BE49-F238E27FC236}">
              <a16:creationId xmlns:a16="http://schemas.microsoft.com/office/drawing/2014/main" id="{4E39AEC2-FB42-418A-99FC-35E987236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9525" cy="9525"/>
    <xdr:pic>
      <xdr:nvPicPr>
        <xdr:cNvPr id="6258" name="Picture 6257">
          <a:extLst>
            <a:ext uri="{FF2B5EF4-FFF2-40B4-BE49-F238E27FC236}">
              <a16:creationId xmlns:a16="http://schemas.microsoft.com/office/drawing/2014/main" id="{DFD3BC79-00DF-4063-B8AA-2C1634900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9525" cy="9525"/>
    <xdr:pic>
      <xdr:nvPicPr>
        <xdr:cNvPr id="6259" name="Picture 6258">
          <a:extLst>
            <a:ext uri="{FF2B5EF4-FFF2-40B4-BE49-F238E27FC236}">
              <a16:creationId xmlns:a16="http://schemas.microsoft.com/office/drawing/2014/main" id="{F5A39E9C-4367-4BED-A120-5F2C5019E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9525" cy="9525"/>
    <xdr:pic>
      <xdr:nvPicPr>
        <xdr:cNvPr id="6260" name="Picture 6259">
          <a:extLst>
            <a:ext uri="{FF2B5EF4-FFF2-40B4-BE49-F238E27FC236}">
              <a16:creationId xmlns:a16="http://schemas.microsoft.com/office/drawing/2014/main" id="{8CF73426-5FA4-4B11-B980-E17DE6513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9525" cy="9525"/>
    <xdr:pic>
      <xdr:nvPicPr>
        <xdr:cNvPr id="6261" name="Picture 6260">
          <a:extLst>
            <a:ext uri="{FF2B5EF4-FFF2-40B4-BE49-F238E27FC236}">
              <a16:creationId xmlns:a16="http://schemas.microsoft.com/office/drawing/2014/main" id="{01CCE7AB-9949-4324-9451-01EEF9EA1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9525" cy="9525"/>
    <xdr:pic>
      <xdr:nvPicPr>
        <xdr:cNvPr id="6262" name="Picture 6261">
          <a:extLst>
            <a:ext uri="{FF2B5EF4-FFF2-40B4-BE49-F238E27FC236}">
              <a16:creationId xmlns:a16="http://schemas.microsoft.com/office/drawing/2014/main" id="{2ACDD11B-95C5-4323-9905-0629A03E4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9525" cy="9525"/>
    <xdr:pic>
      <xdr:nvPicPr>
        <xdr:cNvPr id="6263" name="Picture 6262">
          <a:extLst>
            <a:ext uri="{FF2B5EF4-FFF2-40B4-BE49-F238E27FC236}">
              <a16:creationId xmlns:a16="http://schemas.microsoft.com/office/drawing/2014/main" id="{FB31B06D-A10B-47F9-BC3C-CB8B671EC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9525" cy="9525"/>
    <xdr:pic>
      <xdr:nvPicPr>
        <xdr:cNvPr id="6264" name="Picture 6263">
          <a:extLst>
            <a:ext uri="{FF2B5EF4-FFF2-40B4-BE49-F238E27FC236}">
              <a16:creationId xmlns:a16="http://schemas.microsoft.com/office/drawing/2014/main" id="{7668AFF5-45B1-44E2-ACA1-FBA871AB2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17</xdr:row>
      <xdr:rowOff>0</xdr:rowOff>
    </xdr:from>
    <xdr:ext cx="304800" cy="304800"/>
    <xdr:sp macro="" textlink="">
      <xdr:nvSpPr>
        <xdr:cNvPr id="6265" name="AutoShape 509">
          <a:extLst>
            <a:ext uri="{FF2B5EF4-FFF2-40B4-BE49-F238E27FC236}">
              <a16:creationId xmlns:a16="http://schemas.microsoft.com/office/drawing/2014/main" id="{73AD1A37-5976-4EF2-91F0-A413D95C690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4359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18</xdr:row>
      <xdr:rowOff>0</xdr:rowOff>
    </xdr:from>
    <xdr:ext cx="304800" cy="304800"/>
    <xdr:sp macro="" textlink="">
      <xdr:nvSpPr>
        <xdr:cNvPr id="6266" name="AutoShape 511">
          <a:extLst>
            <a:ext uri="{FF2B5EF4-FFF2-40B4-BE49-F238E27FC236}">
              <a16:creationId xmlns:a16="http://schemas.microsoft.com/office/drawing/2014/main" id="{F1F7DC1E-90D0-45CB-B645-58A449D011C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9</xdr:row>
      <xdr:rowOff>0</xdr:rowOff>
    </xdr:from>
    <xdr:ext cx="9525" cy="9525"/>
    <xdr:pic>
      <xdr:nvPicPr>
        <xdr:cNvPr id="6267" name="Picture 6266">
          <a:extLst>
            <a:ext uri="{FF2B5EF4-FFF2-40B4-BE49-F238E27FC236}">
              <a16:creationId xmlns:a16="http://schemas.microsoft.com/office/drawing/2014/main" id="{E89BA860-9918-43E6-9ED4-7A030F0A8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</xdr:row>
      <xdr:rowOff>0</xdr:rowOff>
    </xdr:from>
    <xdr:ext cx="304800" cy="304800"/>
    <xdr:sp macro="" textlink="">
      <xdr:nvSpPr>
        <xdr:cNvPr id="6268" name="AutoShape 159">
          <a:extLst>
            <a:ext uri="{FF2B5EF4-FFF2-40B4-BE49-F238E27FC236}">
              <a16:creationId xmlns:a16="http://schemas.microsoft.com/office/drawing/2014/main" id="{90D04FA4-851D-4922-8DA6-0836C33E68A9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9</xdr:row>
      <xdr:rowOff>0</xdr:rowOff>
    </xdr:from>
    <xdr:ext cx="9525" cy="9525"/>
    <xdr:pic>
      <xdr:nvPicPr>
        <xdr:cNvPr id="6269" name="Picture 6268">
          <a:extLst>
            <a:ext uri="{FF2B5EF4-FFF2-40B4-BE49-F238E27FC236}">
              <a16:creationId xmlns:a16="http://schemas.microsoft.com/office/drawing/2014/main" id="{49AB7F18-66FC-4E26-9B6D-82A37DC8A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9525" cy="9525"/>
    <xdr:pic>
      <xdr:nvPicPr>
        <xdr:cNvPr id="6270" name="Picture 6269">
          <a:extLst>
            <a:ext uri="{FF2B5EF4-FFF2-40B4-BE49-F238E27FC236}">
              <a16:creationId xmlns:a16="http://schemas.microsoft.com/office/drawing/2014/main" id="{3E336847-15B3-4D2E-87F3-9790AE686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9525" cy="9525"/>
    <xdr:pic>
      <xdr:nvPicPr>
        <xdr:cNvPr id="6271" name="Picture 6270">
          <a:extLst>
            <a:ext uri="{FF2B5EF4-FFF2-40B4-BE49-F238E27FC236}">
              <a16:creationId xmlns:a16="http://schemas.microsoft.com/office/drawing/2014/main" id="{9B1356C0-23F3-4F3D-9CE5-301736F68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9525" cy="9525"/>
    <xdr:pic>
      <xdr:nvPicPr>
        <xdr:cNvPr id="6272" name="Picture 6271">
          <a:extLst>
            <a:ext uri="{FF2B5EF4-FFF2-40B4-BE49-F238E27FC236}">
              <a16:creationId xmlns:a16="http://schemas.microsoft.com/office/drawing/2014/main" id="{AE9A328B-9D4C-4691-A87F-F4604B36F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9525" cy="9525"/>
    <xdr:pic>
      <xdr:nvPicPr>
        <xdr:cNvPr id="6273" name="Picture 6272">
          <a:extLst>
            <a:ext uri="{FF2B5EF4-FFF2-40B4-BE49-F238E27FC236}">
              <a16:creationId xmlns:a16="http://schemas.microsoft.com/office/drawing/2014/main" id="{30694563-F26C-4D5E-8154-317E250D4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9525" cy="9525"/>
    <xdr:pic>
      <xdr:nvPicPr>
        <xdr:cNvPr id="6274" name="Picture 6273">
          <a:extLst>
            <a:ext uri="{FF2B5EF4-FFF2-40B4-BE49-F238E27FC236}">
              <a16:creationId xmlns:a16="http://schemas.microsoft.com/office/drawing/2014/main" id="{5531A94D-EA89-4B6C-BD30-D9BECBAE1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9525" cy="9525"/>
    <xdr:pic>
      <xdr:nvPicPr>
        <xdr:cNvPr id="6275" name="Picture 6274">
          <a:extLst>
            <a:ext uri="{FF2B5EF4-FFF2-40B4-BE49-F238E27FC236}">
              <a16:creationId xmlns:a16="http://schemas.microsoft.com/office/drawing/2014/main" id="{1F3B0D4A-7D5A-49DF-80EA-9CD8C2138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9525" cy="9525"/>
    <xdr:pic>
      <xdr:nvPicPr>
        <xdr:cNvPr id="6276" name="Picture 6275">
          <a:extLst>
            <a:ext uri="{FF2B5EF4-FFF2-40B4-BE49-F238E27FC236}">
              <a16:creationId xmlns:a16="http://schemas.microsoft.com/office/drawing/2014/main" id="{601BE0BF-F9FE-45AF-B192-8C392F13A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9525" cy="9525"/>
    <xdr:pic>
      <xdr:nvPicPr>
        <xdr:cNvPr id="6277" name="Picture 6276">
          <a:extLst>
            <a:ext uri="{FF2B5EF4-FFF2-40B4-BE49-F238E27FC236}">
              <a16:creationId xmlns:a16="http://schemas.microsoft.com/office/drawing/2014/main" id="{0799AF41-F301-4206-8EFC-ABB1755C3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304800" cy="303439"/>
    <xdr:sp macro="" textlink="">
      <xdr:nvSpPr>
        <xdr:cNvPr id="6278" name="AutoShape 513">
          <a:extLst>
            <a:ext uri="{FF2B5EF4-FFF2-40B4-BE49-F238E27FC236}">
              <a16:creationId xmlns:a16="http://schemas.microsoft.com/office/drawing/2014/main" id="{87191251-C673-4590-9C4E-DC0ED8C523EC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54453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9525" cy="9525"/>
    <xdr:pic>
      <xdr:nvPicPr>
        <xdr:cNvPr id="6279" name="Picture 6278">
          <a:extLst>
            <a:ext uri="{FF2B5EF4-FFF2-40B4-BE49-F238E27FC236}">
              <a16:creationId xmlns:a16="http://schemas.microsoft.com/office/drawing/2014/main" id="{9418EC1D-CBBF-45BD-97D4-68BD8C4A6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</xdr:row>
      <xdr:rowOff>0</xdr:rowOff>
    </xdr:from>
    <xdr:ext cx="9525" cy="9525"/>
    <xdr:pic>
      <xdr:nvPicPr>
        <xdr:cNvPr id="6280" name="Picture 6279">
          <a:extLst>
            <a:ext uri="{FF2B5EF4-FFF2-40B4-BE49-F238E27FC236}">
              <a16:creationId xmlns:a16="http://schemas.microsoft.com/office/drawing/2014/main" id="{D05ECD1A-67FD-4649-8FA6-B1980BF8A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304800" cy="304800"/>
    <xdr:sp macro="" textlink="">
      <xdr:nvSpPr>
        <xdr:cNvPr id="6281" name="AutoShape 191">
          <a:extLst>
            <a:ext uri="{FF2B5EF4-FFF2-40B4-BE49-F238E27FC236}">
              <a16:creationId xmlns:a16="http://schemas.microsoft.com/office/drawing/2014/main" id="{299C4DE1-1476-466F-901E-5D71834DB03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304800" cy="304800"/>
    <xdr:sp macro="" textlink="">
      <xdr:nvSpPr>
        <xdr:cNvPr id="6282" name="AutoShape 193">
          <a:extLst>
            <a:ext uri="{FF2B5EF4-FFF2-40B4-BE49-F238E27FC236}">
              <a16:creationId xmlns:a16="http://schemas.microsoft.com/office/drawing/2014/main" id="{04E0B416-64C3-4F19-A4A9-110EBC85D485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9525" cy="9525"/>
    <xdr:pic>
      <xdr:nvPicPr>
        <xdr:cNvPr id="6283" name="Picture 6282">
          <a:extLst>
            <a:ext uri="{FF2B5EF4-FFF2-40B4-BE49-F238E27FC236}">
              <a16:creationId xmlns:a16="http://schemas.microsoft.com/office/drawing/2014/main" id="{058317AA-0536-40B3-83CD-BACF424C3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304800" cy="304800"/>
    <xdr:sp macro="" textlink="">
      <xdr:nvSpPr>
        <xdr:cNvPr id="6284" name="AutoShape 217">
          <a:extLst>
            <a:ext uri="{FF2B5EF4-FFF2-40B4-BE49-F238E27FC236}">
              <a16:creationId xmlns:a16="http://schemas.microsoft.com/office/drawing/2014/main" id="{69579E84-70C1-4E67-9E91-C1A79C4EF90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304800" cy="304800"/>
    <xdr:sp macro="" textlink="">
      <xdr:nvSpPr>
        <xdr:cNvPr id="6285" name="AutoShape 219">
          <a:extLst>
            <a:ext uri="{FF2B5EF4-FFF2-40B4-BE49-F238E27FC236}">
              <a16:creationId xmlns:a16="http://schemas.microsoft.com/office/drawing/2014/main" id="{92BBF0A3-C88E-4AE1-851E-E57B2427377C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9525" cy="9525"/>
    <xdr:pic>
      <xdr:nvPicPr>
        <xdr:cNvPr id="6286" name="Picture 6285">
          <a:extLst>
            <a:ext uri="{FF2B5EF4-FFF2-40B4-BE49-F238E27FC236}">
              <a16:creationId xmlns:a16="http://schemas.microsoft.com/office/drawing/2014/main" id="{DA93B441-58F2-4B4A-ADD8-03F48EAAB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304800" cy="304800"/>
    <xdr:sp macro="" textlink="">
      <xdr:nvSpPr>
        <xdr:cNvPr id="6287" name="AutoShape 241">
          <a:extLst>
            <a:ext uri="{FF2B5EF4-FFF2-40B4-BE49-F238E27FC236}">
              <a16:creationId xmlns:a16="http://schemas.microsoft.com/office/drawing/2014/main" id="{B0FC2B95-3A88-4E6E-B518-0CBC14DCECD0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304800" cy="304800"/>
    <xdr:sp macro="" textlink="">
      <xdr:nvSpPr>
        <xdr:cNvPr id="6288" name="AutoShape 243">
          <a:extLst>
            <a:ext uri="{FF2B5EF4-FFF2-40B4-BE49-F238E27FC236}">
              <a16:creationId xmlns:a16="http://schemas.microsoft.com/office/drawing/2014/main" id="{48CE1C39-66F9-408B-9D94-12ADE7DAD13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9525" cy="9525"/>
    <xdr:pic>
      <xdr:nvPicPr>
        <xdr:cNvPr id="6289" name="Picture 6288">
          <a:extLst>
            <a:ext uri="{FF2B5EF4-FFF2-40B4-BE49-F238E27FC236}">
              <a16:creationId xmlns:a16="http://schemas.microsoft.com/office/drawing/2014/main" id="{3ED4BFE7-C59C-4D72-A667-92FABBA80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304800" cy="304800"/>
    <xdr:sp macro="" textlink="">
      <xdr:nvSpPr>
        <xdr:cNvPr id="6290" name="AutoShape 267">
          <a:extLst>
            <a:ext uri="{FF2B5EF4-FFF2-40B4-BE49-F238E27FC236}">
              <a16:creationId xmlns:a16="http://schemas.microsoft.com/office/drawing/2014/main" id="{80F82D8B-AC59-46EC-9092-C784832A3594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304800" cy="304800"/>
    <xdr:sp macro="" textlink="">
      <xdr:nvSpPr>
        <xdr:cNvPr id="6291" name="AutoShape 269">
          <a:extLst>
            <a:ext uri="{FF2B5EF4-FFF2-40B4-BE49-F238E27FC236}">
              <a16:creationId xmlns:a16="http://schemas.microsoft.com/office/drawing/2014/main" id="{74917319-4CD5-4506-A9B5-0DEDB064E18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9525" cy="9525"/>
    <xdr:pic>
      <xdr:nvPicPr>
        <xdr:cNvPr id="6292" name="Picture 6291">
          <a:extLst>
            <a:ext uri="{FF2B5EF4-FFF2-40B4-BE49-F238E27FC236}">
              <a16:creationId xmlns:a16="http://schemas.microsoft.com/office/drawing/2014/main" id="{948677B8-684F-4943-B3D1-A6A91269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304800" cy="304800"/>
    <xdr:sp macro="" textlink="">
      <xdr:nvSpPr>
        <xdr:cNvPr id="6293" name="AutoShape 319">
          <a:extLst>
            <a:ext uri="{FF2B5EF4-FFF2-40B4-BE49-F238E27FC236}">
              <a16:creationId xmlns:a16="http://schemas.microsoft.com/office/drawing/2014/main" id="{A8FC119B-9643-4A16-92A1-64FBF0E1DCC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9525" cy="9525"/>
    <xdr:pic>
      <xdr:nvPicPr>
        <xdr:cNvPr id="6294" name="Picture 6293">
          <a:extLst>
            <a:ext uri="{FF2B5EF4-FFF2-40B4-BE49-F238E27FC236}">
              <a16:creationId xmlns:a16="http://schemas.microsoft.com/office/drawing/2014/main" id="{62CFA137-7533-4C47-A1C3-90D98C44A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</xdr:row>
      <xdr:rowOff>0</xdr:rowOff>
    </xdr:from>
    <xdr:ext cx="9525" cy="9525"/>
    <xdr:pic>
      <xdr:nvPicPr>
        <xdr:cNvPr id="6295" name="Picture 6294">
          <a:extLst>
            <a:ext uri="{FF2B5EF4-FFF2-40B4-BE49-F238E27FC236}">
              <a16:creationId xmlns:a16="http://schemas.microsoft.com/office/drawing/2014/main" id="{E2815042-6FED-425C-B62B-99A84B88F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</xdr:row>
      <xdr:rowOff>0</xdr:rowOff>
    </xdr:from>
    <xdr:ext cx="9525" cy="9525"/>
    <xdr:pic>
      <xdr:nvPicPr>
        <xdr:cNvPr id="6296" name="Picture 6295">
          <a:extLst>
            <a:ext uri="{FF2B5EF4-FFF2-40B4-BE49-F238E27FC236}">
              <a16:creationId xmlns:a16="http://schemas.microsoft.com/office/drawing/2014/main" id="{C214105D-C08E-464F-AA7A-546E27AC1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</xdr:row>
      <xdr:rowOff>0</xdr:rowOff>
    </xdr:from>
    <xdr:ext cx="9525" cy="9525"/>
    <xdr:pic>
      <xdr:nvPicPr>
        <xdr:cNvPr id="6297" name="Picture 6296">
          <a:extLst>
            <a:ext uri="{FF2B5EF4-FFF2-40B4-BE49-F238E27FC236}">
              <a16:creationId xmlns:a16="http://schemas.microsoft.com/office/drawing/2014/main" id="{5C470FD8-38B0-4D5E-97E5-26139CBDA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</xdr:row>
      <xdr:rowOff>0</xdr:rowOff>
    </xdr:from>
    <xdr:ext cx="9525" cy="9525"/>
    <xdr:pic>
      <xdr:nvPicPr>
        <xdr:cNvPr id="6298" name="Picture 6297">
          <a:extLst>
            <a:ext uri="{FF2B5EF4-FFF2-40B4-BE49-F238E27FC236}">
              <a16:creationId xmlns:a16="http://schemas.microsoft.com/office/drawing/2014/main" id="{FD1AA9DD-D312-4A04-B4BF-69073C006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979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9525" cy="9525"/>
    <xdr:pic>
      <xdr:nvPicPr>
        <xdr:cNvPr id="6299" name="Picture 6298">
          <a:extLst>
            <a:ext uri="{FF2B5EF4-FFF2-40B4-BE49-F238E27FC236}">
              <a16:creationId xmlns:a16="http://schemas.microsoft.com/office/drawing/2014/main" id="{D5EF5C31-27D5-4EDA-BFCD-CB92EFB77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9525" cy="9525"/>
    <xdr:pic>
      <xdr:nvPicPr>
        <xdr:cNvPr id="6300" name="Picture 6299">
          <a:extLst>
            <a:ext uri="{FF2B5EF4-FFF2-40B4-BE49-F238E27FC236}">
              <a16:creationId xmlns:a16="http://schemas.microsoft.com/office/drawing/2014/main" id="{8E7BD2BE-2D02-4860-A17D-6F2C9BAE4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9525" cy="9525"/>
    <xdr:pic>
      <xdr:nvPicPr>
        <xdr:cNvPr id="6301" name="Picture 6300">
          <a:extLst>
            <a:ext uri="{FF2B5EF4-FFF2-40B4-BE49-F238E27FC236}">
              <a16:creationId xmlns:a16="http://schemas.microsoft.com/office/drawing/2014/main" id="{85A78586-7823-49C3-B621-0E7E411DD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9525" cy="9525"/>
    <xdr:pic>
      <xdr:nvPicPr>
        <xdr:cNvPr id="6302" name="Picture 6301">
          <a:extLst>
            <a:ext uri="{FF2B5EF4-FFF2-40B4-BE49-F238E27FC236}">
              <a16:creationId xmlns:a16="http://schemas.microsoft.com/office/drawing/2014/main" id="{E381A8D1-9311-4ABC-B8F9-FE76889E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9525" cy="9525"/>
    <xdr:pic>
      <xdr:nvPicPr>
        <xdr:cNvPr id="6303" name="Picture 6302">
          <a:extLst>
            <a:ext uri="{FF2B5EF4-FFF2-40B4-BE49-F238E27FC236}">
              <a16:creationId xmlns:a16="http://schemas.microsoft.com/office/drawing/2014/main" id="{830BFB9B-D588-4A0A-9C1F-ED63CFF53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9525" cy="9525"/>
    <xdr:pic>
      <xdr:nvPicPr>
        <xdr:cNvPr id="6304" name="Picture 6303">
          <a:extLst>
            <a:ext uri="{FF2B5EF4-FFF2-40B4-BE49-F238E27FC236}">
              <a16:creationId xmlns:a16="http://schemas.microsoft.com/office/drawing/2014/main" id="{A9376C46-C600-4B92-8A24-4D592EF3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9525" cy="9525"/>
    <xdr:pic>
      <xdr:nvPicPr>
        <xdr:cNvPr id="6305" name="Picture 6304">
          <a:extLst>
            <a:ext uri="{FF2B5EF4-FFF2-40B4-BE49-F238E27FC236}">
              <a16:creationId xmlns:a16="http://schemas.microsoft.com/office/drawing/2014/main" id="{F978A1D6-7FA8-4612-A068-D7C65B001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9525" cy="9525"/>
    <xdr:pic>
      <xdr:nvPicPr>
        <xdr:cNvPr id="6306" name="Picture 6305">
          <a:extLst>
            <a:ext uri="{FF2B5EF4-FFF2-40B4-BE49-F238E27FC236}">
              <a16:creationId xmlns:a16="http://schemas.microsoft.com/office/drawing/2014/main" id="{F757C1FD-F3FF-4F14-9DAF-93023CF02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9525" cy="9525"/>
    <xdr:pic>
      <xdr:nvPicPr>
        <xdr:cNvPr id="6307" name="Picture 6306">
          <a:extLst>
            <a:ext uri="{FF2B5EF4-FFF2-40B4-BE49-F238E27FC236}">
              <a16:creationId xmlns:a16="http://schemas.microsoft.com/office/drawing/2014/main" id="{7CFE3BFB-0ED7-49DC-A33C-000250252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9525" cy="9525"/>
    <xdr:pic>
      <xdr:nvPicPr>
        <xdr:cNvPr id="6308" name="Picture 6307">
          <a:extLst>
            <a:ext uri="{FF2B5EF4-FFF2-40B4-BE49-F238E27FC236}">
              <a16:creationId xmlns:a16="http://schemas.microsoft.com/office/drawing/2014/main" id="{B83C5933-DC4E-4C57-886B-A81378B92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304800" cy="303439"/>
    <xdr:sp macro="" textlink="">
      <xdr:nvSpPr>
        <xdr:cNvPr id="6309" name="AutoShape 513">
          <a:extLst>
            <a:ext uri="{FF2B5EF4-FFF2-40B4-BE49-F238E27FC236}">
              <a16:creationId xmlns:a16="http://schemas.microsoft.com/office/drawing/2014/main" id="{692D936B-6085-472E-A9B7-229E8AAEFAE0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26596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22</xdr:row>
      <xdr:rowOff>0</xdr:rowOff>
    </xdr:from>
    <xdr:ext cx="304800" cy="304800"/>
    <xdr:sp macro="" textlink="">
      <xdr:nvSpPr>
        <xdr:cNvPr id="6310" name="AutoShape 515">
          <a:extLst>
            <a:ext uri="{FF2B5EF4-FFF2-40B4-BE49-F238E27FC236}">
              <a16:creationId xmlns:a16="http://schemas.microsoft.com/office/drawing/2014/main" id="{6C97AC1C-D666-413B-BFAF-B8B1557F119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23</xdr:row>
      <xdr:rowOff>0</xdr:rowOff>
    </xdr:from>
    <xdr:ext cx="9525" cy="9525"/>
    <xdr:pic>
      <xdr:nvPicPr>
        <xdr:cNvPr id="6311" name="Picture 6310">
          <a:extLst>
            <a:ext uri="{FF2B5EF4-FFF2-40B4-BE49-F238E27FC236}">
              <a16:creationId xmlns:a16="http://schemas.microsoft.com/office/drawing/2014/main" id="{1F77C4CF-9993-47A5-BC8E-0202B2B65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9525" cy="9525"/>
    <xdr:pic>
      <xdr:nvPicPr>
        <xdr:cNvPr id="6312" name="Picture 6311">
          <a:extLst>
            <a:ext uri="{FF2B5EF4-FFF2-40B4-BE49-F238E27FC236}">
              <a16:creationId xmlns:a16="http://schemas.microsoft.com/office/drawing/2014/main" id="{C6CB87C7-CB15-421B-902F-DDFBEC396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313" name="AutoShape 191">
          <a:extLst>
            <a:ext uri="{FF2B5EF4-FFF2-40B4-BE49-F238E27FC236}">
              <a16:creationId xmlns:a16="http://schemas.microsoft.com/office/drawing/2014/main" id="{76635345-D13B-48B7-9C88-DADEA585568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23</xdr:row>
      <xdr:rowOff>0</xdr:rowOff>
    </xdr:from>
    <xdr:ext cx="9525" cy="9525"/>
    <xdr:pic>
      <xdr:nvPicPr>
        <xdr:cNvPr id="6314" name="Picture 6313">
          <a:extLst>
            <a:ext uri="{FF2B5EF4-FFF2-40B4-BE49-F238E27FC236}">
              <a16:creationId xmlns:a16="http://schemas.microsoft.com/office/drawing/2014/main" id="{F7758BBC-500C-4E9E-BCAB-28398C4A3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315" name="AutoShape 217">
          <a:extLst>
            <a:ext uri="{FF2B5EF4-FFF2-40B4-BE49-F238E27FC236}">
              <a16:creationId xmlns:a16="http://schemas.microsoft.com/office/drawing/2014/main" id="{9810C08C-7550-468B-87A7-5DD83E74312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23</xdr:row>
      <xdr:rowOff>0</xdr:rowOff>
    </xdr:from>
    <xdr:ext cx="9525" cy="9525"/>
    <xdr:pic>
      <xdr:nvPicPr>
        <xdr:cNvPr id="6316" name="Picture 6315">
          <a:extLst>
            <a:ext uri="{FF2B5EF4-FFF2-40B4-BE49-F238E27FC236}">
              <a16:creationId xmlns:a16="http://schemas.microsoft.com/office/drawing/2014/main" id="{ED705FEC-DE27-4924-8555-BB1C991E2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317" name="AutoShape 241">
          <a:extLst>
            <a:ext uri="{FF2B5EF4-FFF2-40B4-BE49-F238E27FC236}">
              <a16:creationId xmlns:a16="http://schemas.microsoft.com/office/drawing/2014/main" id="{31E5DBA7-1EE6-4EB9-9497-06554D1142F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23</xdr:row>
      <xdr:rowOff>0</xdr:rowOff>
    </xdr:from>
    <xdr:ext cx="9525" cy="9525"/>
    <xdr:pic>
      <xdr:nvPicPr>
        <xdr:cNvPr id="6318" name="Picture 6317">
          <a:extLst>
            <a:ext uri="{FF2B5EF4-FFF2-40B4-BE49-F238E27FC236}">
              <a16:creationId xmlns:a16="http://schemas.microsoft.com/office/drawing/2014/main" id="{B3CEE63C-2394-4AF7-97E8-C13C092F8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319" name="AutoShape 267">
          <a:extLst>
            <a:ext uri="{FF2B5EF4-FFF2-40B4-BE49-F238E27FC236}">
              <a16:creationId xmlns:a16="http://schemas.microsoft.com/office/drawing/2014/main" id="{14133B72-B6D6-41A1-BD2D-2CFB7B215F5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23</xdr:row>
      <xdr:rowOff>0</xdr:rowOff>
    </xdr:from>
    <xdr:ext cx="9525" cy="9525"/>
    <xdr:pic>
      <xdr:nvPicPr>
        <xdr:cNvPr id="6320" name="Picture 6319">
          <a:extLst>
            <a:ext uri="{FF2B5EF4-FFF2-40B4-BE49-F238E27FC236}">
              <a16:creationId xmlns:a16="http://schemas.microsoft.com/office/drawing/2014/main" id="{E438C5E8-2374-4741-9B2F-372B3D380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321" name="AutoShape 319">
          <a:extLst>
            <a:ext uri="{FF2B5EF4-FFF2-40B4-BE49-F238E27FC236}">
              <a16:creationId xmlns:a16="http://schemas.microsoft.com/office/drawing/2014/main" id="{12D723E2-A5B0-4B23-BBDF-E33D039AB14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23</xdr:row>
      <xdr:rowOff>0</xdr:rowOff>
    </xdr:from>
    <xdr:ext cx="9525" cy="9525"/>
    <xdr:pic>
      <xdr:nvPicPr>
        <xdr:cNvPr id="6322" name="Picture 6321">
          <a:extLst>
            <a:ext uri="{FF2B5EF4-FFF2-40B4-BE49-F238E27FC236}">
              <a16:creationId xmlns:a16="http://schemas.microsoft.com/office/drawing/2014/main" id="{199A4797-F7CD-4E86-9A5E-3ADF9FC56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323" name="AutoShape 371">
          <a:extLst>
            <a:ext uri="{FF2B5EF4-FFF2-40B4-BE49-F238E27FC236}">
              <a16:creationId xmlns:a16="http://schemas.microsoft.com/office/drawing/2014/main" id="{E5A249E8-C879-4518-B9D1-4B1B57FFA99C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23</xdr:row>
      <xdr:rowOff>0</xdr:rowOff>
    </xdr:from>
    <xdr:ext cx="9525" cy="9525"/>
    <xdr:pic>
      <xdr:nvPicPr>
        <xdr:cNvPr id="6324" name="Picture 6323">
          <a:extLst>
            <a:ext uri="{FF2B5EF4-FFF2-40B4-BE49-F238E27FC236}">
              <a16:creationId xmlns:a16="http://schemas.microsoft.com/office/drawing/2014/main" id="{C047D11A-FB2E-47AE-9C67-25C6BBEAF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325" name="AutoShape 427">
          <a:extLst>
            <a:ext uri="{FF2B5EF4-FFF2-40B4-BE49-F238E27FC236}">
              <a16:creationId xmlns:a16="http://schemas.microsoft.com/office/drawing/2014/main" id="{F7A6CDDA-8B4D-4C69-A0B4-2F8EE499836C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23</xdr:row>
      <xdr:rowOff>0</xdr:rowOff>
    </xdr:from>
    <xdr:ext cx="9525" cy="9525"/>
    <xdr:pic>
      <xdr:nvPicPr>
        <xdr:cNvPr id="6326" name="Picture 6325">
          <a:extLst>
            <a:ext uri="{FF2B5EF4-FFF2-40B4-BE49-F238E27FC236}">
              <a16:creationId xmlns:a16="http://schemas.microsoft.com/office/drawing/2014/main" id="{CA53FF52-AB90-4463-A34B-009A98AFC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327" name="AutoShape 483">
          <a:extLst>
            <a:ext uri="{FF2B5EF4-FFF2-40B4-BE49-F238E27FC236}">
              <a16:creationId xmlns:a16="http://schemas.microsoft.com/office/drawing/2014/main" id="{1CAC7649-BB9A-4740-97F6-E188F2D21048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23</xdr:row>
      <xdr:rowOff>0</xdr:rowOff>
    </xdr:from>
    <xdr:ext cx="9525" cy="9525"/>
    <xdr:pic>
      <xdr:nvPicPr>
        <xdr:cNvPr id="6328" name="Picture 6327">
          <a:extLst>
            <a:ext uri="{FF2B5EF4-FFF2-40B4-BE49-F238E27FC236}">
              <a16:creationId xmlns:a16="http://schemas.microsoft.com/office/drawing/2014/main" id="{3529E396-D78F-4C2C-839A-8D49B8CF9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304800" cy="304800"/>
    <xdr:sp macro="" textlink="">
      <xdr:nvSpPr>
        <xdr:cNvPr id="6329" name="AutoShape 515">
          <a:extLst>
            <a:ext uri="{FF2B5EF4-FFF2-40B4-BE49-F238E27FC236}">
              <a16:creationId xmlns:a16="http://schemas.microsoft.com/office/drawing/2014/main" id="{21AFD6E0-7177-4F4B-9459-CBE087922BCD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330" name="AutoShape 517">
          <a:extLst>
            <a:ext uri="{FF2B5EF4-FFF2-40B4-BE49-F238E27FC236}">
              <a16:creationId xmlns:a16="http://schemas.microsoft.com/office/drawing/2014/main" id="{FA6E1342-D367-4BBD-9DEB-51038D4AD261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9525" cy="9525"/>
    <xdr:pic>
      <xdr:nvPicPr>
        <xdr:cNvPr id="6331" name="Picture 6330">
          <a:extLst>
            <a:ext uri="{FF2B5EF4-FFF2-40B4-BE49-F238E27FC236}">
              <a16:creationId xmlns:a16="http://schemas.microsoft.com/office/drawing/2014/main" id="{5C2E294F-A112-4FB6-8D50-1C549FA91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304800" cy="303440"/>
    <xdr:sp macro="" textlink="">
      <xdr:nvSpPr>
        <xdr:cNvPr id="6332" name="AutoShape 169">
          <a:extLst>
            <a:ext uri="{FF2B5EF4-FFF2-40B4-BE49-F238E27FC236}">
              <a16:creationId xmlns:a16="http://schemas.microsoft.com/office/drawing/2014/main" id="{C062ACA6-5298-4246-BB77-C3CBB368A01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9525" cy="9525"/>
    <xdr:pic>
      <xdr:nvPicPr>
        <xdr:cNvPr id="6333" name="Picture 6332">
          <a:extLst>
            <a:ext uri="{FF2B5EF4-FFF2-40B4-BE49-F238E27FC236}">
              <a16:creationId xmlns:a16="http://schemas.microsoft.com/office/drawing/2014/main" id="{C9B24531-B732-453F-98B2-FAC6892B8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304800" cy="303440"/>
    <xdr:sp macro="" textlink="">
      <xdr:nvSpPr>
        <xdr:cNvPr id="6334" name="AutoShape 199">
          <a:extLst>
            <a:ext uri="{FF2B5EF4-FFF2-40B4-BE49-F238E27FC236}">
              <a16:creationId xmlns:a16="http://schemas.microsoft.com/office/drawing/2014/main" id="{AD8A2182-7914-4F1B-A16C-C67B2F6AF3D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9525" cy="9525"/>
    <xdr:pic>
      <xdr:nvPicPr>
        <xdr:cNvPr id="6335" name="Picture 6334">
          <a:extLst>
            <a:ext uri="{FF2B5EF4-FFF2-40B4-BE49-F238E27FC236}">
              <a16:creationId xmlns:a16="http://schemas.microsoft.com/office/drawing/2014/main" id="{BD7FB46E-B1AC-4DCF-A019-1BE8FC542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336" name="AutoShape 223">
          <a:extLst>
            <a:ext uri="{FF2B5EF4-FFF2-40B4-BE49-F238E27FC236}">
              <a16:creationId xmlns:a16="http://schemas.microsoft.com/office/drawing/2014/main" id="{3B2B7E74-3133-418E-A071-86C017EB3ED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9525" cy="9525"/>
    <xdr:pic>
      <xdr:nvPicPr>
        <xdr:cNvPr id="6337" name="Picture 6336">
          <a:extLst>
            <a:ext uri="{FF2B5EF4-FFF2-40B4-BE49-F238E27FC236}">
              <a16:creationId xmlns:a16="http://schemas.microsoft.com/office/drawing/2014/main" id="{16D63231-AC84-4525-B6DE-C81BCECC8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338" name="AutoShape 247">
          <a:extLst>
            <a:ext uri="{FF2B5EF4-FFF2-40B4-BE49-F238E27FC236}">
              <a16:creationId xmlns:a16="http://schemas.microsoft.com/office/drawing/2014/main" id="{E63AFD2B-D665-497C-8438-89A29C828148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304800" cy="303440"/>
    <xdr:sp macro="" textlink="">
      <xdr:nvSpPr>
        <xdr:cNvPr id="6339" name="AutoShape 249">
          <a:extLst>
            <a:ext uri="{FF2B5EF4-FFF2-40B4-BE49-F238E27FC236}">
              <a16:creationId xmlns:a16="http://schemas.microsoft.com/office/drawing/2014/main" id="{6D5932EB-7168-4391-9EE9-DFD91F6933E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9525" cy="9525"/>
    <xdr:pic>
      <xdr:nvPicPr>
        <xdr:cNvPr id="6340" name="Picture 6339">
          <a:extLst>
            <a:ext uri="{FF2B5EF4-FFF2-40B4-BE49-F238E27FC236}">
              <a16:creationId xmlns:a16="http://schemas.microsoft.com/office/drawing/2014/main" id="{6A7BD334-FA23-4725-9B28-4AE9FAEC4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341" name="AutoShape 273">
          <a:extLst>
            <a:ext uri="{FF2B5EF4-FFF2-40B4-BE49-F238E27FC236}">
              <a16:creationId xmlns:a16="http://schemas.microsoft.com/office/drawing/2014/main" id="{CBE562E3-49FF-4201-B703-446B3D6E71D0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304800" cy="303440"/>
    <xdr:sp macro="" textlink="">
      <xdr:nvSpPr>
        <xdr:cNvPr id="6342" name="AutoShape 275">
          <a:extLst>
            <a:ext uri="{FF2B5EF4-FFF2-40B4-BE49-F238E27FC236}">
              <a16:creationId xmlns:a16="http://schemas.microsoft.com/office/drawing/2014/main" id="{DFB1E087-1483-4A98-A8E6-33A8E086C1CD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9525" cy="9525"/>
    <xdr:pic>
      <xdr:nvPicPr>
        <xdr:cNvPr id="6343" name="Picture 6342">
          <a:extLst>
            <a:ext uri="{FF2B5EF4-FFF2-40B4-BE49-F238E27FC236}">
              <a16:creationId xmlns:a16="http://schemas.microsoft.com/office/drawing/2014/main" id="{9BD94385-AA86-4346-B564-2F4C1D1FC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344" name="AutoShape 325">
          <a:extLst>
            <a:ext uri="{FF2B5EF4-FFF2-40B4-BE49-F238E27FC236}">
              <a16:creationId xmlns:a16="http://schemas.microsoft.com/office/drawing/2014/main" id="{DAD0DFBA-3046-42CF-9E3A-597CC8168E2E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304800" cy="303440"/>
    <xdr:sp macro="" textlink="">
      <xdr:nvSpPr>
        <xdr:cNvPr id="6345" name="AutoShape 327">
          <a:extLst>
            <a:ext uri="{FF2B5EF4-FFF2-40B4-BE49-F238E27FC236}">
              <a16:creationId xmlns:a16="http://schemas.microsoft.com/office/drawing/2014/main" id="{D1A68F06-AD42-44C6-B0C3-0208EBB29E40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9525" cy="9525"/>
    <xdr:pic>
      <xdr:nvPicPr>
        <xdr:cNvPr id="6346" name="Picture 6345">
          <a:extLst>
            <a:ext uri="{FF2B5EF4-FFF2-40B4-BE49-F238E27FC236}">
              <a16:creationId xmlns:a16="http://schemas.microsoft.com/office/drawing/2014/main" id="{9DFE6900-4CAA-4319-8BDB-BE7F3F59A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347" name="AutoShape 377">
          <a:extLst>
            <a:ext uri="{FF2B5EF4-FFF2-40B4-BE49-F238E27FC236}">
              <a16:creationId xmlns:a16="http://schemas.microsoft.com/office/drawing/2014/main" id="{A19685D7-5E89-4717-8FB8-9EDC5633AA7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304800" cy="303440"/>
    <xdr:sp macro="" textlink="">
      <xdr:nvSpPr>
        <xdr:cNvPr id="6348" name="AutoShape 379">
          <a:extLst>
            <a:ext uri="{FF2B5EF4-FFF2-40B4-BE49-F238E27FC236}">
              <a16:creationId xmlns:a16="http://schemas.microsoft.com/office/drawing/2014/main" id="{4E3B10F9-94A1-481A-9A8A-22707B84A58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9525" cy="9525"/>
    <xdr:pic>
      <xdr:nvPicPr>
        <xdr:cNvPr id="6349" name="Picture 6348">
          <a:extLst>
            <a:ext uri="{FF2B5EF4-FFF2-40B4-BE49-F238E27FC236}">
              <a16:creationId xmlns:a16="http://schemas.microsoft.com/office/drawing/2014/main" id="{BD28949A-AAE1-4A87-8061-224C0BF32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350" name="AutoShape 433">
          <a:extLst>
            <a:ext uri="{FF2B5EF4-FFF2-40B4-BE49-F238E27FC236}">
              <a16:creationId xmlns:a16="http://schemas.microsoft.com/office/drawing/2014/main" id="{CFBB7B1F-481E-4FB8-8F40-3194920703D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304800" cy="303440"/>
    <xdr:sp macro="" textlink="">
      <xdr:nvSpPr>
        <xdr:cNvPr id="6351" name="AutoShape 435">
          <a:extLst>
            <a:ext uri="{FF2B5EF4-FFF2-40B4-BE49-F238E27FC236}">
              <a16:creationId xmlns:a16="http://schemas.microsoft.com/office/drawing/2014/main" id="{27BAB568-272B-43C0-B5A5-EFAF373B611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9525" cy="9525"/>
    <xdr:pic>
      <xdr:nvPicPr>
        <xdr:cNvPr id="6352" name="Picture 6351">
          <a:extLst>
            <a:ext uri="{FF2B5EF4-FFF2-40B4-BE49-F238E27FC236}">
              <a16:creationId xmlns:a16="http://schemas.microsoft.com/office/drawing/2014/main" id="{9BE4C57F-12E0-432F-8B86-6C325BFD4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353" name="AutoShape 489">
          <a:extLst>
            <a:ext uri="{FF2B5EF4-FFF2-40B4-BE49-F238E27FC236}">
              <a16:creationId xmlns:a16="http://schemas.microsoft.com/office/drawing/2014/main" id="{56932566-A808-4013-B20F-10DF5762E69E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304800" cy="303440"/>
    <xdr:sp macro="" textlink="">
      <xdr:nvSpPr>
        <xdr:cNvPr id="6354" name="AutoShape 491">
          <a:extLst>
            <a:ext uri="{FF2B5EF4-FFF2-40B4-BE49-F238E27FC236}">
              <a16:creationId xmlns:a16="http://schemas.microsoft.com/office/drawing/2014/main" id="{F45C4FE6-5429-4DA5-8271-2D7BD9EB093D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9525" cy="9525"/>
    <xdr:pic>
      <xdr:nvPicPr>
        <xdr:cNvPr id="6355" name="Picture 6354">
          <a:extLst>
            <a:ext uri="{FF2B5EF4-FFF2-40B4-BE49-F238E27FC236}">
              <a16:creationId xmlns:a16="http://schemas.microsoft.com/office/drawing/2014/main" id="{D75B3396-1BA1-4922-8B26-962573A58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356" name="AutoShape 523">
          <a:extLst>
            <a:ext uri="{FF2B5EF4-FFF2-40B4-BE49-F238E27FC236}">
              <a16:creationId xmlns:a16="http://schemas.microsoft.com/office/drawing/2014/main" id="{C22A4C5C-7D2B-47C0-9BB1-07CB9315B74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304800" cy="303440"/>
    <xdr:sp macro="" textlink="">
      <xdr:nvSpPr>
        <xdr:cNvPr id="6357" name="AutoShape 525">
          <a:extLst>
            <a:ext uri="{FF2B5EF4-FFF2-40B4-BE49-F238E27FC236}">
              <a16:creationId xmlns:a16="http://schemas.microsoft.com/office/drawing/2014/main" id="{7A78165A-F0C2-4674-8451-16D5C5AE4CA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3</xdr:row>
      <xdr:rowOff>0</xdr:rowOff>
    </xdr:from>
    <xdr:ext cx="9525" cy="9525"/>
    <xdr:pic>
      <xdr:nvPicPr>
        <xdr:cNvPr id="6358" name="Picture 6357">
          <a:extLst>
            <a:ext uri="{FF2B5EF4-FFF2-40B4-BE49-F238E27FC236}">
              <a16:creationId xmlns:a16="http://schemas.microsoft.com/office/drawing/2014/main" id="{C6D7A517-0855-467B-9607-6E1B9671F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</xdr:row>
      <xdr:rowOff>0</xdr:rowOff>
    </xdr:from>
    <xdr:ext cx="304800" cy="303439"/>
    <xdr:sp macro="" textlink="">
      <xdr:nvSpPr>
        <xdr:cNvPr id="6359" name="AutoShape 25">
          <a:extLst>
            <a:ext uri="{FF2B5EF4-FFF2-40B4-BE49-F238E27FC236}">
              <a16:creationId xmlns:a16="http://schemas.microsoft.com/office/drawing/2014/main" id="{665498AC-24FA-44BD-AC28-BB61E86D939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</xdr:row>
      <xdr:rowOff>0</xdr:rowOff>
    </xdr:from>
    <xdr:ext cx="9525" cy="9525"/>
    <xdr:pic>
      <xdr:nvPicPr>
        <xdr:cNvPr id="6360" name="Picture 6359">
          <a:extLst>
            <a:ext uri="{FF2B5EF4-FFF2-40B4-BE49-F238E27FC236}">
              <a16:creationId xmlns:a16="http://schemas.microsoft.com/office/drawing/2014/main" id="{E2A3BB3B-8D6D-48D1-AF2A-8BFD0E99B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9525" cy="9525"/>
    <xdr:pic>
      <xdr:nvPicPr>
        <xdr:cNvPr id="6361" name="Picture 6360">
          <a:extLst>
            <a:ext uri="{FF2B5EF4-FFF2-40B4-BE49-F238E27FC236}">
              <a16:creationId xmlns:a16="http://schemas.microsoft.com/office/drawing/2014/main" id="{266DA506-F32E-4BCE-8379-16527143C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9525" cy="9525"/>
    <xdr:pic>
      <xdr:nvPicPr>
        <xdr:cNvPr id="6362" name="Picture 6361">
          <a:extLst>
            <a:ext uri="{FF2B5EF4-FFF2-40B4-BE49-F238E27FC236}">
              <a16:creationId xmlns:a16="http://schemas.microsoft.com/office/drawing/2014/main" id="{9BBC4B07-F88D-42A5-A927-90A54E371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304800" cy="304800"/>
    <xdr:sp macro="" textlink="">
      <xdr:nvSpPr>
        <xdr:cNvPr id="6363" name="AutoShape 29">
          <a:extLst>
            <a:ext uri="{FF2B5EF4-FFF2-40B4-BE49-F238E27FC236}">
              <a16:creationId xmlns:a16="http://schemas.microsoft.com/office/drawing/2014/main" id="{6382E64F-E714-4FFC-A072-1B551DBA0C2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364" name="Picture 6363">
          <a:extLst>
            <a:ext uri="{FF2B5EF4-FFF2-40B4-BE49-F238E27FC236}">
              <a16:creationId xmlns:a16="http://schemas.microsoft.com/office/drawing/2014/main" id="{6A0C2D88-E634-4919-B11C-0F541C23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26</xdr:row>
      <xdr:rowOff>0</xdr:rowOff>
    </xdr:from>
    <xdr:ext cx="9525" cy="9525"/>
    <xdr:pic>
      <xdr:nvPicPr>
        <xdr:cNvPr id="6365" name="Picture 6364">
          <a:extLst>
            <a:ext uri="{FF2B5EF4-FFF2-40B4-BE49-F238E27FC236}">
              <a16:creationId xmlns:a16="http://schemas.microsoft.com/office/drawing/2014/main" id="{01A8050B-145B-4A5A-ACDC-274A1817B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25</xdr:row>
      <xdr:rowOff>0</xdr:rowOff>
    </xdr:from>
    <xdr:ext cx="304800" cy="303440"/>
    <xdr:sp macro="" textlink="">
      <xdr:nvSpPr>
        <xdr:cNvPr id="6366" name="AutoShape 32">
          <a:extLst>
            <a:ext uri="{FF2B5EF4-FFF2-40B4-BE49-F238E27FC236}">
              <a16:creationId xmlns:a16="http://schemas.microsoft.com/office/drawing/2014/main" id="{17C64F43-0212-4A82-A940-CC099BF613BE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367" name="Picture 6366">
          <a:extLst>
            <a:ext uri="{FF2B5EF4-FFF2-40B4-BE49-F238E27FC236}">
              <a16:creationId xmlns:a16="http://schemas.microsoft.com/office/drawing/2014/main" id="{6AD06956-6019-4896-82FF-5168B38D1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368" name="Picture 6367">
          <a:extLst>
            <a:ext uri="{FF2B5EF4-FFF2-40B4-BE49-F238E27FC236}">
              <a16:creationId xmlns:a16="http://schemas.microsoft.com/office/drawing/2014/main" id="{2275BAC7-6622-4D4A-B06B-36C52970E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369" name="Picture 6368">
          <a:extLst>
            <a:ext uri="{FF2B5EF4-FFF2-40B4-BE49-F238E27FC236}">
              <a16:creationId xmlns:a16="http://schemas.microsoft.com/office/drawing/2014/main" id="{99333F1C-7BAA-4131-B458-4996BDB16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370" name="Picture 6369">
          <a:extLst>
            <a:ext uri="{FF2B5EF4-FFF2-40B4-BE49-F238E27FC236}">
              <a16:creationId xmlns:a16="http://schemas.microsoft.com/office/drawing/2014/main" id="{CE678B5F-647A-41D4-8D76-FCC3F397D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371" name="Picture 6370">
          <a:extLst>
            <a:ext uri="{FF2B5EF4-FFF2-40B4-BE49-F238E27FC236}">
              <a16:creationId xmlns:a16="http://schemas.microsoft.com/office/drawing/2014/main" id="{8B38401B-6F0E-43C2-853B-E54EBA89B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372" name="AutoShape 38">
          <a:extLst>
            <a:ext uri="{FF2B5EF4-FFF2-40B4-BE49-F238E27FC236}">
              <a16:creationId xmlns:a16="http://schemas.microsoft.com/office/drawing/2014/main" id="{9F7ED7EF-9D32-4CA2-A2ED-4F5EB7928745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373" name="Picture 6372">
          <a:extLst>
            <a:ext uri="{FF2B5EF4-FFF2-40B4-BE49-F238E27FC236}">
              <a16:creationId xmlns:a16="http://schemas.microsoft.com/office/drawing/2014/main" id="{D1381091-5786-458C-B75E-E407118F5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374" name="AutoShape 40">
          <a:extLst>
            <a:ext uri="{FF2B5EF4-FFF2-40B4-BE49-F238E27FC236}">
              <a16:creationId xmlns:a16="http://schemas.microsoft.com/office/drawing/2014/main" id="{77C7EE39-20DD-42EB-9F74-C0938BA1F23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13</xdr:row>
      <xdr:rowOff>0</xdr:rowOff>
    </xdr:from>
    <xdr:ext cx="9525" cy="9525"/>
    <xdr:pic>
      <xdr:nvPicPr>
        <xdr:cNvPr id="6375" name="Picture 6374">
          <a:extLst>
            <a:ext uri="{FF2B5EF4-FFF2-40B4-BE49-F238E27FC236}">
              <a16:creationId xmlns:a16="http://schemas.microsoft.com/office/drawing/2014/main" id="{4F2FF5FC-1A18-4B99-BFCE-9C55389D2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</xdr:row>
      <xdr:rowOff>0</xdr:rowOff>
    </xdr:from>
    <xdr:ext cx="304800" cy="303439"/>
    <xdr:sp macro="" textlink="">
      <xdr:nvSpPr>
        <xdr:cNvPr id="6376" name="AutoShape 42">
          <a:extLst>
            <a:ext uri="{FF2B5EF4-FFF2-40B4-BE49-F238E27FC236}">
              <a16:creationId xmlns:a16="http://schemas.microsoft.com/office/drawing/2014/main" id="{B2657036-1A71-47DC-A32E-A1EBBA96C4B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13</xdr:row>
      <xdr:rowOff>0</xdr:rowOff>
    </xdr:from>
    <xdr:ext cx="304800" cy="304800"/>
    <xdr:sp macro="" textlink="">
      <xdr:nvSpPr>
        <xdr:cNvPr id="6377" name="AutoShape 44">
          <a:extLst>
            <a:ext uri="{FF2B5EF4-FFF2-40B4-BE49-F238E27FC236}">
              <a16:creationId xmlns:a16="http://schemas.microsoft.com/office/drawing/2014/main" id="{E9C76DA2-C332-44DB-8F06-322F7A020FC4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378" name="Picture 6377">
          <a:extLst>
            <a:ext uri="{FF2B5EF4-FFF2-40B4-BE49-F238E27FC236}">
              <a16:creationId xmlns:a16="http://schemas.microsoft.com/office/drawing/2014/main" id="{E6F178A9-9870-4997-836F-E98181006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27</xdr:row>
      <xdr:rowOff>0</xdr:rowOff>
    </xdr:from>
    <xdr:ext cx="9525" cy="9525"/>
    <xdr:pic>
      <xdr:nvPicPr>
        <xdr:cNvPr id="6379" name="Picture 6378">
          <a:extLst>
            <a:ext uri="{FF2B5EF4-FFF2-40B4-BE49-F238E27FC236}">
              <a16:creationId xmlns:a16="http://schemas.microsoft.com/office/drawing/2014/main" id="{DC924F80-65CB-40C5-B477-897FCFE0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</xdr:row>
      <xdr:rowOff>0</xdr:rowOff>
    </xdr:from>
    <xdr:ext cx="9525" cy="9525"/>
    <xdr:pic>
      <xdr:nvPicPr>
        <xdr:cNvPr id="6380" name="Picture 6379">
          <a:extLst>
            <a:ext uri="{FF2B5EF4-FFF2-40B4-BE49-F238E27FC236}">
              <a16:creationId xmlns:a16="http://schemas.microsoft.com/office/drawing/2014/main" id="{9856F39E-30AE-4095-BFB6-BC5FCF0D3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</xdr:row>
      <xdr:rowOff>0</xdr:rowOff>
    </xdr:from>
    <xdr:ext cx="304800" cy="303439"/>
    <xdr:sp macro="" textlink="">
      <xdr:nvSpPr>
        <xdr:cNvPr id="6381" name="AutoShape 48">
          <a:extLst>
            <a:ext uri="{FF2B5EF4-FFF2-40B4-BE49-F238E27FC236}">
              <a16:creationId xmlns:a16="http://schemas.microsoft.com/office/drawing/2014/main" id="{792ED29C-3DAA-4FE4-822C-D8EC30B4004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</xdr:row>
      <xdr:rowOff>0</xdr:rowOff>
    </xdr:from>
    <xdr:ext cx="9525" cy="9525"/>
    <xdr:pic>
      <xdr:nvPicPr>
        <xdr:cNvPr id="6382" name="Picture 6381">
          <a:extLst>
            <a:ext uri="{FF2B5EF4-FFF2-40B4-BE49-F238E27FC236}">
              <a16:creationId xmlns:a16="http://schemas.microsoft.com/office/drawing/2014/main" id="{C2CA1A9E-3114-439A-8891-D94E87062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9525" cy="9525"/>
    <xdr:pic>
      <xdr:nvPicPr>
        <xdr:cNvPr id="6383" name="Picture 6382">
          <a:extLst>
            <a:ext uri="{FF2B5EF4-FFF2-40B4-BE49-F238E27FC236}">
              <a16:creationId xmlns:a16="http://schemas.microsoft.com/office/drawing/2014/main" id="{123B08B2-9B5E-4D21-B75D-E85FE3382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9525" cy="9525"/>
    <xdr:pic>
      <xdr:nvPicPr>
        <xdr:cNvPr id="6384" name="Picture 6383">
          <a:extLst>
            <a:ext uri="{FF2B5EF4-FFF2-40B4-BE49-F238E27FC236}">
              <a16:creationId xmlns:a16="http://schemas.microsoft.com/office/drawing/2014/main" id="{4E0D296D-D848-438C-BA57-3AE406863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304800" cy="304800"/>
    <xdr:sp macro="" textlink="">
      <xdr:nvSpPr>
        <xdr:cNvPr id="6385" name="AutoShape 52">
          <a:extLst>
            <a:ext uri="{FF2B5EF4-FFF2-40B4-BE49-F238E27FC236}">
              <a16:creationId xmlns:a16="http://schemas.microsoft.com/office/drawing/2014/main" id="{9A2C4C91-7B4E-4B87-815E-E4BD6AC7FC5C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386" name="Picture 6385">
          <a:extLst>
            <a:ext uri="{FF2B5EF4-FFF2-40B4-BE49-F238E27FC236}">
              <a16:creationId xmlns:a16="http://schemas.microsoft.com/office/drawing/2014/main" id="{0AB45843-6858-4D96-AF95-5356F17F4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26</xdr:row>
      <xdr:rowOff>0</xdr:rowOff>
    </xdr:from>
    <xdr:ext cx="9525" cy="9525"/>
    <xdr:pic>
      <xdr:nvPicPr>
        <xdr:cNvPr id="6387" name="Picture 6386">
          <a:extLst>
            <a:ext uri="{FF2B5EF4-FFF2-40B4-BE49-F238E27FC236}">
              <a16:creationId xmlns:a16="http://schemas.microsoft.com/office/drawing/2014/main" id="{6CC4BE4E-88DF-429A-BF99-7E11DEF51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25</xdr:row>
      <xdr:rowOff>0</xdr:rowOff>
    </xdr:from>
    <xdr:ext cx="304800" cy="303440"/>
    <xdr:sp macro="" textlink="">
      <xdr:nvSpPr>
        <xdr:cNvPr id="6388" name="AutoShape 55">
          <a:extLst>
            <a:ext uri="{FF2B5EF4-FFF2-40B4-BE49-F238E27FC236}">
              <a16:creationId xmlns:a16="http://schemas.microsoft.com/office/drawing/2014/main" id="{E27E3E37-3715-4613-9D90-70724B85E46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389" name="Picture 6388">
          <a:extLst>
            <a:ext uri="{FF2B5EF4-FFF2-40B4-BE49-F238E27FC236}">
              <a16:creationId xmlns:a16="http://schemas.microsoft.com/office/drawing/2014/main" id="{B967BDF9-6CEA-4D33-A27D-F904B6FE2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390" name="Picture 6389">
          <a:extLst>
            <a:ext uri="{FF2B5EF4-FFF2-40B4-BE49-F238E27FC236}">
              <a16:creationId xmlns:a16="http://schemas.microsoft.com/office/drawing/2014/main" id="{1D4FF525-41A1-4FC0-9DB2-22ED5DDC1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391" name="Picture 6390">
          <a:extLst>
            <a:ext uri="{FF2B5EF4-FFF2-40B4-BE49-F238E27FC236}">
              <a16:creationId xmlns:a16="http://schemas.microsoft.com/office/drawing/2014/main" id="{D4B15658-05A4-41CF-AC7F-5589222E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392" name="Picture 6391">
          <a:extLst>
            <a:ext uri="{FF2B5EF4-FFF2-40B4-BE49-F238E27FC236}">
              <a16:creationId xmlns:a16="http://schemas.microsoft.com/office/drawing/2014/main" id="{0289FC51-A758-4242-8385-CAC65F8B7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393" name="Picture 6392">
          <a:extLst>
            <a:ext uri="{FF2B5EF4-FFF2-40B4-BE49-F238E27FC236}">
              <a16:creationId xmlns:a16="http://schemas.microsoft.com/office/drawing/2014/main" id="{E594604F-A2B0-4279-AC38-1859F40F0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394" name="AutoShape 61">
          <a:extLst>
            <a:ext uri="{FF2B5EF4-FFF2-40B4-BE49-F238E27FC236}">
              <a16:creationId xmlns:a16="http://schemas.microsoft.com/office/drawing/2014/main" id="{1E5A9C5F-82A0-4D75-A2C0-F966F63D35E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395" name="Picture 6394">
          <a:extLst>
            <a:ext uri="{FF2B5EF4-FFF2-40B4-BE49-F238E27FC236}">
              <a16:creationId xmlns:a16="http://schemas.microsoft.com/office/drawing/2014/main" id="{814B1C2D-9D74-40B1-A27F-2A729E938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396" name="AutoShape 63">
          <a:extLst>
            <a:ext uri="{FF2B5EF4-FFF2-40B4-BE49-F238E27FC236}">
              <a16:creationId xmlns:a16="http://schemas.microsoft.com/office/drawing/2014/main" id="{8D69FBB6-C918-4340-95B0-2E6BF18FBC5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13</xdr:row>
      <xdr:rowOff>0</xdr:rowOff>
    </xdr:from>
    <xdr:ext cx="9525" cy="9525"/>
    <xdr:pic>
      <xdr:nvPicPr>
        <xdr:cNvPr id="6397" name="Picture 6396">
          <a:extLst>
            <a:ext uri="{FF2B5EF4-FFF2-40B4-BE49-F238E27FC236}">
              <a16:creationId xmlns:a16="http://schemas.microsoft.com/office/drawing/2014/main" id="{9284A472-287F-43AA-9655-3A72F05FB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</xdr:row>
      <xdr:rowOff>0</xdr:rowOff>
    </xdr:from>
    <xdr:ext cx="304800" cy="303439"/>
    <xdr:sp macro="" textlink="">
      <xdr:nvSpPr>
        <xdr:cNvPr id="6398" name="AutoShape 65">
          <a:extLst>
            <a:ext uri="{FF2B5EF4-FFF2-40B4-BE49-F238E27FC236}">
              <a16:creationId xmlns:a16="http://schemas.microsoft.com/office/drawing/2014/main" id="{E87A34AD-9464-4A39-803E-C67CF788F160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13</xdr:row>
      <xdr:rowOff>0</xdr:rowOff>
    </xdr:from>
    <xdr:ext cx="304800" cy="304800"/>
    <xdr:sp macro="" textlink="">
      <xdr:nvSpPr>
        <xdr:cNvPr id="6399" name="AutoShape 67">
          <a:extLst>
            <a:ext uri="{FF2B5EF4-FFF2-40B4-BE49-F238E27FC236}">
              <a16:creationId xmlns:a16="http://schemas.microsoft.com/office/drawing/2014/main" id="{EEA78CB4-0085-41CE-9552-966AEB142BB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00" name="Picture 6399">
          <a:extLst>
            <a:ext uri="{FF2B5EF4-FFF2-40B4-BE49-F238E27FC236}">
              <a16:creationId xmlns:a16="http://schemas.microsoft.com/office/drawing/2014/main" id="{ECED10B2-1A87-44CF-B967-AD4A9669F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3440"/>
    <xdr:sp macro="" textlink="">
      <xdr:nvSpPr>
        <xdr:cNvPr id="6401" name="AutoShape 69">
          <a:extLst>
            <a:ext uri="{FF2B5EF4-FFF2-40B4-BE49-F238E27FC236}">
              <a16:creationId xmlns:a16="http://schemas.microsoft.com/office/drawing/2014/main" id="{4D656504-F2D1-453B-9CD1-9B6B95280B5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27</xdr:row>
      <xdr:rowOff>0</xdr:rowOff>
    </xdr:from>
    <xdr:ext cx="9525" cy="9525"/>
    <xdr:pic>
      <xdr:nvPicPr>
        <xdr:cNvPr id="6402" name="Picture 6401">
          <a:extLst>
            <a:ext uri="{FF2B5EF4-FFF2-40B4-BE49-F238E27FC236}">
              <a16:creationId xmlns:a16="http://schemas.microsoft.com/office/drawing/2014/main" id="{B58B7B6F-6339-4D6B-BC7C-E93F10395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03" name="Picture 6402">
          <a:extLst>
            <a:ext uri="{FF2B5EF4-FFF2-40B4-BE49-F238E27FC236}">
              <a16:creationId xmlns:a16="http://schemas.microsoft.com/office/drawing/2014/main" id="{1EECC999-7B2E-4F18-BC2E-D989ED176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</xdr:row>
      <xdr:rowOff>0</xdr:rowOff>
    </xdr:from>
    <xdr:ext cx="9525" cy="9525"/>
    <xdr:pic>
      <xdr:nvPicPr>
        <xdr:cNvPr id="6404" name="Picture 6403">
          <a:extLst>
            <a:ext uri="{FF2B5EF4-FFF2-40B4-BE49-F238E27FC236}">
              <a16:creationId xmlns:a16="http://schemas.microsoft.com/office/drawing/2014/main" id="{1E97FE50-1DAF-4366-A7A6-736D0C95A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</xdr:row>
      <xdr:rowOff>0</xdr:rowOff>
    </xdr:from>
    <xdr:ext cx="304800" cy="303439"/>
    <xdr:sp macro="" textlink="">
      <xdr:nvSpPr>
        <xdr:cNvPr id="6405" name="AutoShape 98">
          <a:extLst>
            <a:ext uri="{FF2B5EF4-FFF2-40B4-BE49-F238E27FC236}">
              <a16:creationId xmlns:a16="http://schemas.microsoft.com/office/drawing/2014/main" id="{B472A727-86EF-4E8F-8E8A-8D344DF895E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</xdr:row>
      <xdr:rowOff>0</xdr:rowOff>
    </xdr:from>
    <xdr:ext cx="9525" cy="9525"/>
    <xdr:pic>
      <xdr:nvPicPr>
        <xdr:cNvPr id="6406" name="Picture 6405">
          <a:extLst>
            <a:ext uri="{FF2B5EF4-FFF2-40B4-BE49-F238E27FC236}">
              <a16:creationId xmlns:a16="http://schemas.microsoft.com/office/drawing/2014/main" id="{A552470A-E226-442F-B5FC-B949E993D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9525" cy="9525"/>
    <xdr:pic>
      <xdr:nvPicPr>
        <xdr:cNvPr id="6407" name="Picture 6406">
          <a:extLst>
            <a:ext uri="{FF2B5EF4-FFF2-40B4-BE49-F238E27FC236}">
              <a16:creationId xmlns:a16="http://schemas.microsoft.com/office/drawing/2014/main" id="{D725312C-A6B7-4755-99F9-1F99DD6BB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9525" cy="9525"/>
    <xdr:pic>
      <xdr:nvPicPr>
        <xdr:cNvPr id="6408" name="Picture 6407">
          <a:extLst>
            <a:ext uri="{FF2B5EF4-FFF2-40B4-BE49-F238E27FC236}">
              <a16:creationId xmlns:a16="http://schemas.microsoft.com/office/drawing/2014/main" id="{0412E864-A581-42B9-80DD-8918818CC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304800" cy="304800"/>
    <xdr:sp macro="" textlink="">
      <xdr:nvSpPr>
        <xdr:cNvPr id="6409" name="AutoShape 102">
          <a:extLst>
            <a:ext uri="{FF2B5EF4-FFF2-40B4-BE49-F238E27FC236}">
              <a16:creationId xmlns:a16="http://schemas.microsoft.com/office/drawing/2014/main" id="{0F01BEB0-446A-437F-B859-EB81717B8A2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10" name="Picture 6409">
          <a:extLst>
            <a:ext uri="{FF2B5EF4-FFF2-40B4-BE49-F238E27FC236}">
              <a16:creationId xmlns:a16="http://schemas.microsoft.com/office/drawing/2014/main" id="{4AC49348-15DA-4312-BD8E-7978E1A6C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26</xdr:row>
      <xdr:rowOff>0</xdr:rowOff>
    </xdr:from>
    <xdr:ext cx="9525" cy="9525"/>
    <xdr:pic>
      <xdr:nvPicPr>
        <xdr:cNvPr id="6411" name="Picture 6410">
          <a:extLst>
            <a:ext uri="{FF2B5EF4-FFF2-40B4-BE49-F238E27FC236}">
              <a16:creationId xmlns:a16="http://schemas.microsoft.com/office/drawing/2014/main" id="{5E3F3EA8-332A-4C99-8D6B-7A4CEC865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25</xdr:row>
      <xdr:rowOff>0</xdr:rowOff>
    </xdr:from>
    <xdr:ext cx="304800" cy="303440"/>
    <xdr:sp macro="" textlink="">
      <xdr:nvSpPr>
        <xdr:cNvPr id="6412" name="AutoShape 105">
          <a:extLst>
            <a:ext uri="{FF2B5EF4-FFF2-40B4-BE49-F238E27FC236}">
              <a16:creationId xmlns:a16="http://schemas.microsoft.com/office/drawing/2014/main" id="{340CA8E5-D104-42C2-8537-EBB1CB01FB5C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13" name="Picture 6412">
          <a:extLst>
            <a:ext uri="{FF2B5EF4-FFF2-40B4-BE49-F238E27FC236}">
              <a16:creationId xmlns:a16="http://schemas.microsoft.com/office/drawing/2014/main" id="{50D121A8-6EC7-4D93-ABBB-B4D85243C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14" name="Picture 6413">
          <a:extLst>
            <a:ext uri="{FF2B5EF4-FFF2-40B4-BE49-F238E27FC236}">
              <a16:creationId xmlns:a16="http://schemas.microsoft.com/office/drawing/2014/main" id="{E23DCCBF-74D4-4FD5-86B8-9F2492E04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15" name="Picture 6414">
          <a:extLst>
            <a:ext uri="{FF2B5EF4-FFF2-40B4-BE49-F238E27FC236}">
              <a16:creationId xmlns:a16="http://schemas.microsoft.com/office/drawing/2014/main" id="{BC0E75AB-C592-47DE-9EA2-F30BB50B5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16" name="Picture 6415">
          <a:extLst>
            <a:ext uri="{FF2B5EF4-FFF2-40B4-BE49-F238E27FC236}">
              <a16:creationId xmlns:a16="http://schemas.microsoft.com/office/drawing/2014/main" id="{97131C80-CE0D-4119-B452-597B8C677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17" name="Picture 6416">
          <a:extLst>
            <a:ext uri="{FF2B5EF4-FFF2-40B4-BE49-F238E27FC236}">
              <a16:creationId xmlns:a16="http://schemas.microsoft.com/office/drawing/2014/main" id="{84356B03-B6B3-4D96-8166-4A0D4E734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418" name="AutoShape 111">
          <a:extLst>
            <a:ext uri="{FF2B5EF4-FFF2-40B4-BE49-F238E27FC236}">
              <a16:creationId xmlns:a16="http://schemas.microsoft.com/office/drawing/2014/main" id="{30698785-A6DE-43FC-9AF6-70D431B1831E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19" name="Picture 6418">
          <a:extLst>
            <a:ext uri="{FF2B5EF4-FFF2-40B4-BE49-F238E27FC236}">
              <a16:creationId xmlns:a16="http://schemas.microsoft.com/office/drawing/2014/main" id="{04D5E3B6-3F1B-40C4-9AE7-83FADF096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420" name="AutoShape 113">
          <a:extLst>
            <a:ext uri="{FF2B5EF4-FFF2-40B4-BE49-F238E27FC236}">
              <a16:creationId xmlns:a16="http://schemas.microsoft.com/office/drawing/2014/main" id="{14F1F029-4157-49E8-8013-E43C521AB974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13</xdr:row>
      <xdr:rowOff>0</xdr:rowOff>
    </xdr:from>
    <xdr:ext cx="9525" cy="9525"/>
    <xdr:pic>
      <xdr:nvPicPr>
        <xdr:cNvPr id="6421" name="Picture 6420">
          <a:extLst>
            <a:ext uri="{FF2B5EF4-FFF2-40B4-BE49-F238E27FC236}">
              <a16:creationId xmlns:a16="http://schemas.microsoft.com/office/drawing/2014/main" id="{73896024-3650-488B-BFFF-BB84B4C02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</xdr:row>
      <xdr:rowOff>0</xdr:rowOff>
    </xdr:from>
    <xdr:ext cx="304800" cy="303439"/>
    <xdr:sp macro="" textlink="">
      <xdr:nvSpPr>
        <xdr:cNvPr id="6422" name="AutoShape 115">
          <a:extLst>
            <a:ext uri="{FF2B5EF4-FFF2-40B4-BE49-F238E27FC236}">
              <a16:creationId xmlns:a16="http://schemas.microsoft.com/office/drawing/2014/main" id="{A4EB9FFD-12BD-4FEE-B7C5-EE1F97168AC8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23" name="Picture 6422">
          <a:extLst>
            <a:ext uri="{FF2B5EF4-FFF2-40B4-BE49-F238E27FC236}">
              <a16:creationId xmlns:a16="http://schemas.microsoft.com/office/drawing/2014/main" id="{6CE93847-42ED-4721-8803-A7BF5D33B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13</xdr:row>
      <xdr:rowOff>0</xdr:rowOff>
    </xdr:from>
    <xdr:ext cx="304800" cy="304800"/>
    <xdr:sp macro="" textlink="">
      <xdr:nvSpPr>
        <xdr:cNvPr id="6424" name="AutoShape 117">
          <a:extLst>
            <a:ext uri="{FF2B5EF4-FFF2-40B4-BE49-F238E27FC236}">
              <a16:creationId xmlns:a16="http://schemas.microsoft.com/office/drawing/2014/main" id="{1B791492-AC80-4D95-92F2-6124D8860A5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25" name="Picture 6424">
          <a:extLst>
            <a:ext uri="{FF2B5EF4-FFF2-40B4-BE49-F238E27FC236}">
              <a16:creationId xmlns:a16="http://schemas.microsoft.com/office/drawing/2014/main" id="{309EB2BB-A255-471D-86F6-4158D8491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3440"/>
    <xdr:sp macro="" textlink="">
      <xdr:nvSpPr>
        <xdr:cNvPr id="6426" name="AutoShape 119">
          <a:extLst>
            <a:ext uri="{FF2B5EF4-FFF2-40B4-BE49-F238E27FC236}">
              <a16:creationId xmlns:a16="http://schemas.microsoft.com/office/drawing/2014/main" id="{6E789D67-A501-4DC1-97B2-E16ED8D15F1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27</xdr:row>
      <xdr:rowOff>0</xdr:rowOff>
    </xdr:from>
    <xdr:ext cx="9525" cy="9525"/>
    <xdr:pic>
      <xdr:nvPicPr>
        <xdr:cNvPr id="6427" name="Picture 6426">
          <a:extLst>
            <a:ext uri="{FF2B5EF4-FFF2-40B4-BE49-F238E27FC236}">
              <a16:creationId xmlns:a16="http://schemas.microsoft.com/office/drawing/2014/main" id="{83437A95-0614-4347-B106-1D6C5BE4F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28" name="Picture 6427">
          <a:extLst>
            <a:ext uri="{FF2B5EF4-FFF2-40B4-BE49-F238E27FC236}">
              <a16:creationId xmlns:a16="http://schemas.microsoft.com/office/drawing/2014/main" id="{69EEA7BB-66E2-42B9-A0EB-A1A4AEF65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</xdr:row>
      <xdr:rowOff>0</xdr:rowOff>
    </xdr:from>
    <xdr:ext cx="9525" cy="9525"/>
    <xdr:pic>
      <xdr:nvPicPr>
        <xdr:cNvPr id="6429" name="Picture 6428">
          <a:extLst>
            <a:ext uri="{FF2B5EF4-FFF2-40B4-BE49-F238E27FC236}">
              <a16:creationId xmlns:a16="http://schemas.microsoft.com/office/drawing/2014/main" id="{E857EFA8-E5FD-4332-B7FB-D3B152E4B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</xdr:row>
      <xdr:rowOff>0</xdr:rowOff>
    </xdr:from>
    <xdr:ext cx="304800" cy="303439"/>
    <xdr:sp macro="" textlink="">
      <xdr:nvSpPr>
        <xdr:cNvPr id="6430" name="AutoShape 123">
          <a:extLst>
            <a:ext uri="{FF2B5EF4-FFF2-40B4-BE49-F238E27FC236}">
              <a16:creationId xmlns:a16="http://schemas.microsoft.com/office/drawing/2014/main" id="{0C7048D7-28F9-44C4-A34E-FD093D3319B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</xdr:row>
      <xdr:rowOff>0</xdr:rowOff>
    </xdr:from>
    <xdr:ext cx="9525" cy="9525"/>
    <xdr:pic>
      <xdr:nvPicPr>
        <xdr:cNvPr id="6431" name="Picture 6430">
          <a:extLst>
            <a:ext uri="{FF2B5EF4-FFF2-40B4-BE49-F238E27FC236}">
              <a16:creationId xmlns:a16="http://schemas.microsoft.com/office/drawing/2014/main" id="{3825C8A4-0D5D-49C0-BB73-5ACF2548D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9525" cy="9525"/>
    <xdr:pic>
      <xdr:nvPicPr>
        <xdr:cNvPr id="6432" name="Picture 6431">
          <a:extLst>
            <a:ext uri="{FF2B5EF4-FFF2-40B4-BE49-F238E27FC236}">
              <a16:creationId xmlns:a16="http://schemas.microsoft.com/office/drawing/2014/main" id="{27ACE242-C176-4045-BDB4-6701021EE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9525" cy="9525"/>
    <xdr:pic>
      <xdr:nvPicPr>
        <xdr:cNvPr id="6433" name="Picture 6432">
          <a:extLst>
            <a:ext uri="{FF2B5EF4-FFF2-40B4-BE49-F238E27FC236}">
              <a16:creationId xmlns:a16="http://schemas.microsoft.com/office/drawing/2014/main" id="{970D7DBB-4008-453B-868A-CBBE6F1B9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</xdr:row>
      <xdr:rowOff>0</xdr:rowOff>
    </xdr:from>
    <xdr:ext cx="304800" cy="304800"/>
    <xdr:sp macro="" textlink="">
      <xdr:nvSpPr>
        <xdr:cNvPr id="6434" name="AutoShape 127">
          <a:extLst>
            <a:ext uri="{FF2B5EF4-FFF2-40B4-BE49-F238E27FC236}">
              <a16:creationId xmlns:a16="http://schemas.microsoft.com/office/drawing/2014/main" id="{231B8922-5244-4FF0-8199-5B393F04B4D5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35" name="Picture 6434">
          <a:extLst>
            <a:ext uri="{FF2B5EF4-FFF2-40B4-BE49-F238E27FC236}">
              <a16:creationId xmlns:a16="http://schemas.microsoft.com/office/drawing/2014/main" id="{1A36E8BE-03AC-4D52-BEFF-7CD51F3C3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26</xdr:row>
      <xdr:rowOff>0</xdr:rowOff>
    </xdr:from>
    <xdr:ext cx="9525" cy="9525"/>
    <xdr:pic>
      <xdr:nvPicPr>
        <xdr:cNvPr id="6436" name="Picture 6435">
          <a:extLst>
            <a:ext uri="{FF2B5EF4-FFF2-40B4-BE49-F238E27FC236}">
              <a16:creationId xmlns:a16="http://schemas.microsoft.com/office/drawing/2014/main" id="{815E3E0F-8A56-40D5-88D4-E35AB9DCF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25</xdr:row>
      <xdr:rowOff>0</xdr:rowOff>
    </xdr:from>
    <xdr:ext cx="304800" cy="303440"/>
    <xdr:sp macro="" textlink="">
      <xdr:nvSpPr>
        <xdr:cNvPr id="6437" name="AutoShape 130">
          <a:extLst>
            <a:ext uri="{FF2B5EF4-FFF2-40B4-BE49-F238E27FC236}">
              <a16:creationId xmlns:a16="http://schemas.microsoft.com/office/drawing/2014/main" id="{E6571EC1-8B46-45DB-8F70-65A79AF77B10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38" name="Picture 6437">
          <a:extLst>
            <a:ext uri="{FF2B5EF4-FFF2-40B4-BE49-F238E27FC236}">
              <a16:creationId xmlns:a16="http://schemas.microsoft.com/office/drawing/2014/main" id="{6332983E-0FA6-45AD-9D71-A490345B6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39" name="Picture 6438">
          <a:extLst>
            <a:ext uri="{FF2B5EF4-FFF2-40B4-BE49-F238E27FC236}">
              <a16:creationId xmlns:a16="http://schemas.microsoft.com/office/drawing/2014/main" id="{FE54AC3F-FCF0-40C2-B220-97ACBFA1F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40" name="Picture 6439">
          <a:extLst>
            <a:ext uri="{FF2B5EF4-FFF2-40B4-BE49-F238E27FC236}">
              <a16:creationId xmlns:a16="http://schemas.microsoft.com/office/drawing/2014/main" id="{8D4E2815-9799-4399-A49C-BEDD8F3DB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41" name="Picture 6440">
          <a:extLst>
            <a:ext uri="{FF2B5EF4-FFF2-40B4-BE49-F238E27FC236}">
              <a16:creationId xmlns:a16="http://schemas.microsoft.com/office/drawing/2014/main" id="{1E44C90B-C0CE-41AE-8F9E-7E8CC7714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42" name="Picture 6441">
          <a:extLst>
            <a:ext uri="{FF2B5EF4-FFF2-40B4-BE49-F238E27FC236}">
              <a16:creationId xmlns:a16="http://schemas.microsoft.com/office/drawing/2014/main" id="{5431D064-1E4A-4394-841B-62B95B49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443" name="AutoShape 136">
          <a:extLst>
            <a:ext uri="{FF2B5EF4-FFF2-40B4-BE49-F238E27FC236}">
              <a16:creationId xmlns:a16="http://schemas.microsoft.com/office/drawing/2014/main" id="{83AC3033-76FE-4BA8-B5BA-CB7EEA35F125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44" name="Picture 6443">
          <a:extLst>
            <a:ext uri="{FF2B5EF4-FFF2-40B4-BE49-F238E27FC236}">
              <a16:creationId xmlns:a16="http://schemas.microsoft.com/office/drawing/2014/main" id="{70AC194D-0BA9-4BBC-9D4D-6CA095365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4800"/>
    <xdr:sp macro="" textlink="">
      <xdr:nvSpPr>
        <xdr:cNvPr id="6445" name="AutoShape 138">
          <a:extLst>
            <a:ext uri="{FF2B5EF4-FFF2-40B4-BE49-F238E27FC236}">
              <a16:creationId xmlns:a16="http://schemas.microsoft.com/office/drawing/2014/main" id="{0F124360-1EB9-4187-B912-1111FFFE4B2E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13</xdr:row>
      <xdr:rowOff>0</xdr:rowOff>
    </xdr:from>
    <xdr:ext cx="9525" cy="9525"/>
    <xdr:pic>
      <xdr:nvPicPr>
        <xdr:cNvPr id="6446" name="Picture 6445">
          <a:extLst>
            <a:ext uri="{FF2B5EF4-FFF2-40B4-BE49-F238E27FC236}">
              <a16:creationId xmlns:a16="http://schemas.microsoft.com/office/drawing/2014/main" id="{9950E7A5-5540-4271-BC46-90841D57E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</xdr:row>
      <xdr:rowOff>0</xdr:rowOff>
    </xdr:from>
    <xdr:ext cx="304800" cy="303439"/>
    <xdr:sp macro="" textlink="">
      <xdr:nvSpPr>
        <xdr:cNvPr id="6447" name="AutoShape 140">
          <a:extLst>
            <a:ext uri="{FF2B5EF4-FFF2-40B4-BE49-F238E27FC236}">
              <a16:creationId xmlns:a16="http://schemas.microsoft.com/office/drawing/2014/main" id="{B02BD007-D5B2-4451-B7B5-EA33F5E7387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48" name="Picture 6447">
          <a:extLst>
            <a:ext uri="{FF2B5EF4-FFF2-40B4-BE49-F238E27FC236}">
              <a16:creationId xmlns:a16="http://schemas.microsoft.com/office/drawing/2014/main" id="{D644400F-B905-4530-8ED5-366493D4C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13</xdr:row>
      <xdr:rowOff>0</xdr:rowOff>
    </xdr:from>
    <xdr:ext cx="304800" cy="304800"/>
    <xdr:sp macro="" textlink="">
      <xdr:nvSpPr>
        <xdr:cNvPr id="6449" name="AutoShape 142">
          <a:extLst>
            <a:ext uri="{FF2B5EF4-FFF2-40B4-BE49-F238E27FC236}">
              <a16:creationId xmlns:a16="http://schemas.microsoft.com/office/drawing/2014/main" id="{CABA0753-0F4A-4B8A-B041-969A02018DC5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50" name="Picture 6449">
          <a:extLst>
            <a:ext uri="{FF2B5EF4-FFF2-40B4-BE49-F238E27FC236}">
              <a16:creationId xmlns:a16="http://schemas.microsoft.com/office/drawing/2014/main" id="{FC6C7884-6EFD-4215-8D1E-59B30ED47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304800" cy="303440"/>
    <xdr:sp macro="" textlink="">
      <xdr:nvSpPr>
        <xdr:cNvPr id="6451" name="AutoShape 144">
          <a:extLst>
            <a:ext uri="{FF2B5EF4-FFF2-40B4-BE49-F238E27FC236}">
              <a16:creationId xmlns:a16="http://schemas.microsoft.com/office/drawing/2014/main" id="{0CC486DB-3037-4593-83D9-E38036BB58AE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27</xdr:row>
      <xdr:rowOff>0</xdr:rowOff>
    </xdr:from>
    <xdr:ext cx="9525" cy="9525"/>
    <xdr:pic>
      <xdr:nvPicPr>
        <xdr:cNvPr id="6452" name="Picture 6451">
          <a:extLst>
            <a:ext uri="{FF2B5EF4-FFF2-40B4-BE49-F238E27FC236}">
              <a16:creationId xmlns:a16="http://schemas.microsoft.com/office/drawing/2014/main" id="{E3ACC5F2-82C9-4233-8C38-10C8F3035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29</xdr:row>
      <xdr:rowOff>0</xdr:rowOff>
    </xdr:from>
    <xdr:ext cx="9525" cy="9525"/>
    <xdr:pic>
      <xdr:nvPicPr>
        <xdr:cNvPr id="6453" name="Picture 6452">
          <a:extLst>
            <a:ext uri="{FF2B5EF4-FFF2-40B4-BE49-F238E27FC236}">
              <a16:creationId xmlns:a16="http://schemas.microsoft.com/office/drawing/2014/main" id="{ADD67CD0-3767-4526-8D5C-6CE2C64C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</xdr:row>
      <xdr:rowOff>0</xdr:rowOff>
    </xdr:from>
    <xdr:ext cx="9525" cy="9525"/>
    <xdr:pic>
      <xdr:nvPicPr>
        <xdr:cNvPr id="6454" name="Picture 6453">
          <a:extLst>
            <a:ext uri="{FF2B5EF4-FFF2-40B4-BE49-F238E27FC236}">
              <a16:creationId xmlns:a16="http://schemas.microsoft.com/office/drawing/2014/main" id="{8A40C8CE-7731-4D92-A42B-7E6FA8A96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</xdr:row>
      <xdr:rowOff>0</xdr:rowOff>
    </xdr:from>
    <xdr:ext cx="9525" cy="9525"/>
    <xdr:pic>
      <xdr:nvPicPr>
        <xdr:cNvPr id="6455" name="Picture 6454">
          <a:extLst>
            <a:ext uri="{FF2B5EF4-FFF2-40B4-BE49-F238E27FC236}">
              <a16:creationId xmlns:a16="http://schemas.microsoft.com/office/drawing/2014/main" id="{227ADB79-F469-4CD9-8F9D-CD930BEFA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</xdr:row>
      <xdr:rowOff>0</xdr:rowOff>
    </xdr:from>
    <xdr:ext cx="9525" cy="9525"/>
    <xdr:pic>
      <xdr:nvPicPr>
        <xdr:cNvPr id="6456" name="Picture 6455">
          <a:extLst>
            <a:ext uri="{FF2B5EF4-FFF2-40B4-BE49-F238E27FC236}">
              <a16:creationId xmlns:a16="http://schemas.microsoft.com/office/drawing/2014/main" id="{B8B20236-272C-49BF-971E-AF482CB00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</xdr:row>
      <xdr:rowOff>0</xdr:rowOff>
    </xdr:from>
    <xdr:ext cx="9525" cy="9525"/>
    <xdr:pic>
      <xdr:nvPicPr>
        <xdr:cNvPr id="6457" name="Picture 6456">
          <a:extLst>
            <a:ext uri="{FF2B5EF4-FFF2-40B4-BE49-F238E27FC236}">
              <a16:creationId xmlns:a16="http://schemas.microsoft.com/office/drawing/2014/main" id="{97265A9F-8374-4508-9E58-50E7DF5CC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9525" cy="9525"/>
    <xdr:pic>
      <xdr:nvPicPr>
        <xdr:cNvPr id="6458" name="Picture 6457">
          <a:extLst>
            <a:ext uri="{FF2B5EF4-FFF2-40B4-BE49-F238E27FC236}">
              <a16:creationId xmlns:a16="http://schemas.microsoft.com/office/drawing/2014/main" id="{19953F77-565E-45BF-A9D2-10274546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9525" cy="9525"/>
    <xdr:pic>
      <xdr:nvPicPr>
        <xdr:cNvPr id="6459" name="Picture 6458">
          <a:extLst>
            <a:ext uri="{FF2B5EF4-FFF2-40B4-BE49-F238E27FC236}">
              <a16:creationId xmlns:a16="http://schemas.microsoft.com/office/drawing/2014/main" id="{B0B8F24F-D589-4753-8766-6CF03D768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9525" cy="9525"/>
    <xdr:pic>
      <xdr:nvPicPr>
        <xdr:cNvPr id="6460" name="Picture 6459">
          <a:extLst>
            <a:ext uri="{FF2B5EF4-FFF2-40B4-BE49-F238E27FC236}">
              <a16:creationId xmlns:a16="http://schemas.microsoft.com/office/drawing/2014/main" id="{D9E2A12B-E8DE-4FA6-A2C8-12ABD97C6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9525" cy="9525"/>
    <xdr:pic>
      <xdr:nvPicPr>
        <xdr:cNvPr id="6461" name="Picture 6460">
          <a:extLst>
            <a:ext uri="{FF2B5EF4-FFF2-40B4-BE49-F238E27FC236}">
              <a16:creationId xmlns:a16="http://schemas.microsoft.com/office/drawing/2014/main" id="{04810325-992B-430F-AFB0-62855FE42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9525" cy="9525"/>
    <xdr:pic>
      <xdr:nvPicPr>
        <xdr:cNvPr id="6462" name="Picture 6461">
          <a:extLst>
            <a:ext uri="{FF2B5EF4-FFF2-40B4-BE49-F238E27FC236}">
              <a16:creationId xmlns:a16="http://schemas.microsoft.com/office/drawing/2014/main" id="{76043471-1CB9-4AC9-B294-7C7528940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9525" cy="9525"/>
    <xdr:pic>
      <xdr:nvPicPr>
        <xdr:cNvPr id="6463" name="Picture 6462">
          <a:extLst>
            <a:ext uri="{FF2B5EF4-FFF2-40B4-BE49-F238E27FC236}">
              <a16:creationId xmlns:a16="http://schemas.microsoft.com/office/drawing/2014/main" id="{427AA3B8-D00A-47A4-9C4B-F06C78892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9525" cy="9525"/>
    <xdr:pic>
      <xdr:nvPicPr>
        <xdr:cNvPr id="6464" name="Picture 6463">
          <a:extLst>
            <a:ext uri="{FF2B5EF4-FFF2-40B4-BE49-F238E27FC236}">
              <a16:creationId xmlns:a16="http://schemas.microsoft.com/office/drawing/2014/main" id="{B3BEBC00-F628-42D7-AD75-28243527D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21</xdr:row>
      <xdr:rowOff>0</xdr:rowOff>
    </xdr:from>
    <xdr:ext cx="9525" cy="9525"/>
    <xdr:pic>
      <xdr:nvPicPr>
        <xdr:cNvPr id="6465" name="Picture 6464">
          <a:extLst>
            <a:ext uri="{FF2B5EF4-FFF2-40B4-BE49-F238E27FC236}">
              <a16:creationId xmlns:a16="http://schemas.microsoft.com/office/drawing/2014/main" id="{8FF8EFAB-7299-40DD-B9F4-C4A2BF233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9525" cy="9525"/>
    <xdr:pic>
      <xdr:nvPicPr>
        <xdr:cNvPr id="6466" name="Picture 6465">
          <a:extLst>
            <a:ext uri="{FF2B5EF4-FFF2-40B4-BE49-F238E27FC236}">
              <a16:creationId xmlns:a16="http://schemas.microsoft.com/office/drawing/2014/main" id="{3DB7EB18-2DF1-45F7-9453-16CB61117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9525" cy="9525"/>
    <xdr:pic>
      <xdr:nvPicPr>
        <xdr:cNvPr id="6467" name="Picture 6466">
          <a:extLst>
            <a:ext uri="{FF2B5EF4-FFF2-40B4-BE49-F238E27FC236}">
              <a16:creationId xmlns:a16="http://schemas.microsoft.com/office/drawing/2014/main" id="{34F5F0E6-E2A4-483F-9E8A-B6EBB9194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3440"/>
    <xdr:sp macro="" textlink="">
      <xdr:nvSpPr>
        <xdr:cNvPr id="6468" name="AutoShape 69">
          <a:extLst>
            <a:ext uri="{FF2B5EF4-FFF2-40B4-BE49-F238E27FC236}">
              <a16:creationId xmlns:a16="http://schemas.microsoft.com/office/drawing/2014/main" id="{094664BC-E74A-4C25-8EC2-AB24436846FE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16</xdr:row>
      <xdr:rowOff>0</xdr:rowOff>
    </xdr:from>
    <xdr:ext cx="9525" cy="9525"/>
    <xdr:pic>
      <xdr:nvPicPr>
        <xdr:cNvPr id="6469" name="Picture 6468">
          <a:extLst>
            <a:ext uri="{FF2B5EF4-FFF2-40B4-BE49-F238E27FC236}">
              <a16:creationId xmlns:a16="http://schemas.microsoft.com/office/drawing/2014/main" id="{9B79FD9B-8172-4843-974C-6050C906B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3440"/>
    <xdr:sp macro="" textlink="">
      <xdr:nvSpPr>
        <xdr:cNvPr id="6470" name="AutoShape 119">
          <a:extLst>
            <a:ext uri="{FF2B5EF4-FFF2-40B4-BE49-F238E27FC236}">
              <a16:creationId xmlns:a16="http://schemas.microsoft.com/office/drawing/2014/main" id="{8956AAA2-58B0-4F4D-ABC6-65835FE72D29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16</xdr:row>
      <xdr:rowOff>0</xdr:rowOff>
    </xdr:from>
    <xdr:ext cx="9525" cy="9525"/>
    <xdr:pic>
      <xdr:nvPicPr>
        <xdr:cNvPr id="6471" name="Picture 6470">
          <a:extLst>
            <a:ext uri="{FF2B5EF4-FFF2-40B4-BE49-F238E27FC236}">
              <a16:creationId xmlns:a16="http://schemas.microsoft.com/office/drawing/2014/main" id="{B8302A27-078E-43A7-AD3A-0DE08E003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15</xdr:row>
      <xdr:rowOff>0</xdr:rowOff>
    </xdr:from>
    <xdr:ext cx="304800" cy="303440"/>
    <xdr:sp macro="" textlink="">
      <xdr:nvSpPr>
        <xdr:cNvPr id="6472" name="AutoShape 144">
          <a:extLst>
            <a:ext uri="{FF2B5EF4-FFF2-40B4-BE49-F238E27FC236}">
              <a16:creationId xmlns:a16="http://schemas.microsoft.com/office/drawing/2014/main" id="{1A631A49-DE99-4A74-A5BA-875C84D07CB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19</xdr:row>
      <xdr:rowOff>0</xdr:rowOff>
    </xdr:from>
    <xdr:ext cx="9525" cy="9525"/>
    <xdr:pic>
      <xdr:nvPicPr>
        <xdr:cNvPr id="6473" name="Picture 6472">
          <a:extLst>
            <a:ext uri="{FF2B5EF4-FFF2-40B4-BE49-F238E27FC236}">
              <a16:creationId xmlns:a16="http://schemas.microsoft.com/office/drawing/2014/main" id="{08F3B665-6022-45E4-8697-08A00B8F4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19</xdr:row>
      <xdr:rowOff>0</xdr:rowOff>
    </xdr:from>
    <xdr:ext cx="9525" cy="9525"/>
    <xdr:pic>
      <xdr:nvPicPr>
        <xdr:cNvPr id="6474" name="Picture 6473">
          <a:extLst>
            <a:ext uri="{FF2B5EF4-FFF2-40B4-BE49-F238E27FC236}">
              <a16:creationId xmlns:a16="http://schemas.microsoft.com/office/drawing/2014/main" id="{E64542CE-739B-440D-9034-01FEBEBDA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19</xdr:row>
      <xdr:rowOff>0</xdr:rowOff>
    </xdr:from>
    <xdr:ext cx="9525" cy="9525"/>
    <xdr:pic>
      <xdr:nvPicPr>
        <xdr:cNvPr id="6475" name="Picture 6474">
          <a:extLst>
            <a:ext uri="{FF2B5EF4-FFF2-40B4-BE49-F238E27FC236}">
              <a16:creationId xmlns:a16="http://schemas.microsoft.com/office/drawing/2014/main" id="{311747B6-DCCD-4F4A-B194-EAE12E332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17</xdr:row>
      <xdr:rowOff>0</xdr:rowOff>
    </xdr:from>
    <xdr:ext cx="9525" cy="9525"/>
    <xdr:pic>
      <xdr:nvPicPr>
        <xdr:cNvPr id="6476" name="Picture 6475">
          <a:extLst>
            <a:ext uri="{FF2B5EF4-FFF2-40B4-BE49-F238E27FC236}">
              <a16:creationId xmlns:a16="http://schemas.microsoft.com/office/drawing/2014/main" id="{0FCC22F2-C514-4C55-97D6-059F783F2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304800" cy="304800"/>
    <xdr:sp macro="" textlink="">
      <xdr:nvSpPr>
        <xdr:cNvPr id="6477" name="AutoShape 40">
          <a:extLst>
            <a:ext uri="{FF2B5EF4-FFF2-40B4-BE49-F238E27FC236}">
              <a16:creationId xmlns:a16="http://schemas.microsoft.com/office/drawing/2014/main" id="{D2D83321-5049-4118-B0F3-51B00DD1A020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304800" cy="303439"/>
    <xdr:sp macro="" textlink="">
      <xdr:nvSpPr>
        <xdr:cNvPr id="6478" name="AutoShape 42">
          <a:extLst>
            <a:ext uri="{FF2B5EF4-FFF2-40B4-BE49-F238E27FC236}">
              <a16:creationId xmlns:a16="http://schemas.microsoft.com/office/drawing/2014/main" id="{D569F7D7-B80E-428D-A0F5-67A9EC3AB6F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9525" cy="9525"/>
    <xdr:pic>
      <xdr:nvPicPr>
        <xdr:cNvPr id="6479" name="Picture 6478">
          <a:extLst>
            <a:ext uri="{FF2B5EF4-FFF2-40B4-BE49-F238E27FC236}">
              <a16:creationId xmlns:a16="http://schemas.microsoft.com/office/drawing/2014/main" id="{EFF2D25B-BE43-44F3-BAB1-4512D0D15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304800" cy="304800"/>
    <xdr:sp macro="" textlink="">
      <xdr:nvSpPr>
        <xdr:cNvPr id="6480" name="AutoShape 63">
          <a:extLst>
            <a:ext uri="{FF2B5EF4-FFF2-40B4-BE49-F238E27FC236}">
              <a16:creationId xmlns:a16="http://schemas.microsoft.com/office/drawing/2014/main" id="{885EE4C0-B3E9-4EAF-96CD-11D61C333C6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304800" cy="303439"/>
    <xdr:sp macro="" textlink="">
      <xdr:nvSpPr>
        <xdr:cNvPr id="6481" name="AutoShape 65">
          <a:extLst>
            <a:ext uri="{FF2B5EF4-FFF2-40B4-BE49-F238E27FC236}">
              <a16:creationId xmlns:a16="http://schemas.microsoft.com/office/drawing/2014/main" id="{3E46BDB8-A32F-4967-BE02-535599B0933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9525" cy="9525"/>
    <xdr:pic>
      <xdr:nvPicPr>
        <xdr:cNvPr id="6482" name="Picture 6481">
          <a:extLst>
            <a:ext uri="{FF2B5EF4-FFF2-40B4-BE49-F238E27FC236}">
              <a16:creationId xmlns:a16="http://schemas.microsoft.com/office/drawing/2014/main" id="{6C7F1761-E058-4683-8F8A-BD47CBDDD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304800" cy="304800"/>
    <xdr:sp macro="" textlink="">
      <xdr:nvSpPr>
        <xdr:cNvPr id="6483" name="AutoShape 113">
          <a:extLst>
            <a:ext uri="{FF2B5EF4-FFF2-40B4-BE49-F238E27FC236}">
              <a16:creationId xmlns:a16="http://schemas.microsoft.com/office/drawing/2014/main" id="{75CE1BF8-FEDD-48E2-9A99-EB650FEF730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304800" cy="303439"/>
    <xdr:sp macro="" textlink="">
      <xdr:nvSpPr>
        <xdr:cNvPr id="6484" name="AutoShape 115">
          <a:extLst>
            <a:ext uri="{FF2B5EF4-FFF2-40B4-BE49-F238E27FC236}">
              <a16:creationId xmlns:a16="http://schemas.microsoft.com/office/drawing/2014/main" id="{AB566AFB-348A-49F7-9F70-AAD6C55DAA65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9525" cy="9525"/>
    <xdr:pic>
      <xdr:nvPicPr>
        <xdr:cNvPr id="6485" name="Picture 6484">
          <a:extLst>
            <a:ext uri="{FF2B5EF4-FFF2-40B4-BE49-F238E27FC236}">
              <a16:creationId xmlns:a16="http://schemas.microsoft.com/office/drawing/2014/main" id="{355A6C35-C0E0-4D64-A869-D8BC2497F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</xdr:row>
      <xdr:rowOff>0</xdr:rowOff>
    </xdr:from>
    <xdr:ext cx="304800" cy="304800"/>
    <xdr:sp macro="" textlink="">
      <xdr:nvSpPr>
        <xdr:cNvPr id="6486" name="AutoShape 138">
          <a:extLst>
            <a:ext uri="{FF2B5EF4-FFF2-40B4-BE49-F238E27FC236}">
              <a16:creationId xmlns:a16="http://schemas.microsoft.com/office/drawing/2014/main" id="{63AA521C-C1E8-403F-84D4-82F088385E30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17</xdr:row>
      <xdr:rowOff>0</xdr:rowOff>
    </xdr:from>
    <xdr:ext cx="304800" cy="303439"/>
    <xdr:sp macro="" textlink="">
      <xdr:nvSpPr>
        <xdr:cNvPr id="6487" name="AutoShape 140">
          <a:extLst>
            <a:ext uri="{FF2B5EF4-FFF2-40B4-BE49-F238E27FC236}">
              <a16:creationId xmlns:a16="http://schemas.microsoft.com/office/drawing/2014/main" id="{0F600D14-DF72-417A-A445-334F17A56F98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18</xdr:row>
      <xdr:rowOff>0</xdr:rowOff>
    </xdr:from>
    <xdr:ext cx="9525" cy="9525"/>
    <xdr:pic>
      <xdr:nvPicPr>
        <xdr:cNvPr id="6488" name="Picture 6487">
          <a:extLst>
            <a:ext uri="{FF2B5EF4-FFF2-40B4-BE49-F238E27FC236}">
              <a16:creationId xmlns:a16="http://schemas.microsoft.com/office/drawing/2014/main" id="{5E33D403-D1FF-4338-AD27-A315DE1DC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9525" cy="9525"/>
    <xdr:pic>
      <xdr:nvPicPr>
        <xdr:cNvPr id="6489" name="Picture 6488">
          <a:extLst>
            <a:ext uri="{FF2B5EF4-FFF2-40B4-BE49-F238E27FC236}">
              <a16:creationId xmlns:a16="http://schemas.microsoft.com/office/drawing/2014/main" id="{4F450743-56B7-468D-AEC3-6041F0D4C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9525" cy="9525"/>
    <xdr:pic>
      <xdr:nvPicPr>
        <xdr:cNvPr id="6490" name="Picture 6489">
          <a:extLst>
            <a:ext uri="{FF2B5EF4-FFF2-40B4-BE49-F238E27FC236}">
              <a16:creationId xmlns:a16="http://schemas.microsoft.com/office/drawing/2014/main" id="{5A9060C3-9059-4378-95F8-A21D6EB99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18</xdr:row>
      <xdr:rowOff>0</xdr:rowOff>
    </xdr:from>
    <xdr:ext cx="9525" cy="9525"/>
    <xdr:pic>
      <xdr:nvPicPr>
        <xdr:cNvPr id="6491" name="Picture 6490">
          <a:extLst>
            <a:ext uri="{FF2B5EF4-FFF2-40B4-BE49-F238E27FC236}">
              <a16:creationId xmlns:a16="http://schemas.microsoft.com/office/drawing/2014/main" id="{D38E5BC1-0506-4E19-BEEB-0B0D7FD35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9525" cy="9525"/>
    <xdr:pic>
      <xdr:nvPicPr>
        <xdr:cNvPr id="6492" name="Picture 6491">
          <a:extLst>
            <a:ext uri="{FF2B5EF4-FFF2-40B4-BE49-F238E27FC236}">
              <a16:creationId xmlns:a16="http://schemas.microsoft.com/office/drawing/2014/main" id="{5DBEF52E-C218-4328-9204-E51398146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9525" cy="9525"/>
    <xdr:pic>
      <xdr:nvPicPr>
        <xdr:cNvPr id="6493" name="Picture 6492">
          <a:extLst>
            <a:ext uri="{FF2B5EF4-FFF2-40B4-BE49-F238E27FC236}">
              <a16:creationId xmlns:a16="http://schemas.microsoft.com/office/drawing/2014/main" id="{8DDD87C3-839D-4528-BABF-BFA56EF4B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9525" cy="9525"/>
    <xdr:pic>
      <xdr:nvPicPr>
        <xdr:cNvPr id="6494" name="Picture 6493">
          <a:extLst>
            <a:ext uri="{FF2B5EF4-FFF2-40B4-BE49-F238E27FC236}">
              <a16:creationId xmlns:a16="http://schemas.microsoft.com/office/drawing/2014/main" id="{B6CC8507-1678-4F29-8D9C-FB0DEBF77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9525" cy="9525"/>
    <xdr:pic>
      <xdr:nvPicPr>
        <xdr:cNvPr id="6495" name="Picture 6494">
          <a:extLst>
            <a:ext uri="{FF2B5EF4-FFF2-40B4-BE49-F238E27FC236}">
              <a16:creationId xmlns:a16="http://schemas.microsoft.com/office/drawing/2014/main" id="{D7431DFA-87CA-4358-B4F0-2E52F2E39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</xdr:row>
      <xdr:rowOff>0</xdr:rowOff>
    </xdr:from>
    <xdr:ext cx="9525" cy="9525"/>
    <xdr:pic>
      <xdr:nvPicPr>
        <xdr:cNvPr id="6496" name="Picture 6495">
          <a:extLst>
            <a:ext uri="{FF2B5EF4-FFF2-40B4-BE49-F238E27FC236}">
              <a16:creationId xmlns:a16="http://schemas.microsoft.com/office/drawing/2014/main" id="{B71819C1-BF17-4942-875D-D02EB31A0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304800" cy="304800"/>
    <xdr:sp macro="" textlink="">
      <xdr:nvSpPr>
        <xdr:cNvPr id="6497" name="AutoShape 38">
          <a:extLst>
            <a:ext uri="{FF2B5EF4-FFF2-40B4-BE49-F238E27FC236}">
              <a16:creationId xmlns:a16="http://schemas.microsoft.com/office/drawing/2014/main" id="{EB57BE04-B538-4C35-BC33-25953480A5C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304800" cy="304800"/>
    <xdr:sp macro="" textlink="">
      <xdr:nvSpPr>
        <xdr:cNvPr id="6498" name="AutoShape 40">
          <a:extLst>
            <a:ext uri="{FF2B5EF4-FFF2-40B4-BE49-F238E27FC236}">
              <a16:creationId xmlns:a16="http://schemas.microsoft.com/office/drawing/2014/main" id="{BE8F642F-D099-48DE-B6E7-60903FFEC96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9525" cy="9525"/>
    <xdr:pic>
      <xdr:nvPicPr>
        <xdr:cNvPr id="6499" name="Picture 6498">
          <a:extLst>
            <a:ext uri="{FF2B5EF4-FFF2-40B4-BE49-F238E27FC236}">
              <a16:creationId xmlns:a16="http://schemas.microsoft.com/office/drawing/2014/main" id="{212A9302-717E-4B53-856C-AD1F5717E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304800" cy="304800"/>
    <xdr:sp macro="" textlink="">
      <xdr:nvSpPr>
        <xdr:cNvPr id="6500" name="AutoShape 61">
          <a:extLst>
            <a:ext uri="{FF2B5EF4-FFF2-40B4-BE49-F238E27FC236}">
              <a16:creationId xmlns:a16="http://schemas.microsoft.com/office/drawing/2014/main" id="{A0971121-39F7-4E5E-983E-6D453865E80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304800" cy="304800"/>
    <xdr:sp macro="" textlink="">
      <xdr:nvSpPr>
        <xdr:cNvPr id="6501" name="AutoShape 63">
          <a:extLst>
            <a:ext uri="{FF2B5EF4-FFF2-40B4-BE49-F238E27FC236}">
              <a16:creationId xmlns:a16="http://schemas.microsoft.com/office/drawing/2014/main" id="{6AAB86CF-7C16-4474-9C0F-0B06828D1E3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9525" cy="9525"/>
    <xdr:pic>
      <xdr:nvPicPr>
        <xdr:cNvPr id="6502" name="Picture 6501">
          <a:extLst>
            <a:ext uri="{FF2B5EF4-FFF2-40B4-BE49-F238E27FC236}">
              <a16:creationId xmlns:a16="http://schemas.microsoft.com/office/drawing/2014/main" id="{8DABD218-056C-498A-851A-80A05532E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304800" cy="304800"/>
    <xdr:sp macro="" textlink="">
      <xdr:nvSpPr>
        <xdr:cNvPr id="6503" name="AutoShape 111">
          <a:extLst>
            <a:ext uri="{FF2B5EF4-FFF2-40B4-BE49-F238E27FC236}">
              <a16:creationId xmlns:a16="http://schemas.microsoft.com/office/drawing/2014/main" id="{E0C48379-3251-4A46-AA85-4FD06051BBE1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304800" cy="304800"/>
    <xdr:sp macro="" textlink="">
      <xdr:nvSpPr>
        <xdr:cNvPr id="6504" name="AutoShape 113">
          <a:extLst>
            <a:ext uri="{FF2B5EF4-FFF2-40B4-BE49-F238E27FC236}">
              <a16:creationId xmlns:a16="http://schemas.microsoft.com/office/drawing/2014/main" id="{56F0340B-2C67-4792-A66B-C29EF034A92F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9525" cy="9525"/>
    <xdr:pic>
      <xdr:nvPicPr>
        <xdr:cNvPr id="6505" name="Picture 6504">
          <a:extLst>
            <a:ext uri="{FF2B5EF4-FFF2-40B4-BE49-F238E27FC236}">
              <a16:creationId xmlns:a16="http://schemas.microsoft.com/office/drawing/2014/main" id="{84873282-5FA1-4856-B55C-8AB0D7D16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</xdr:row>
      <xdr:rowOff>0</xdr:rowOff>
    </xdr:from>
    <xdr:ext cx="304800" cy="304800"/>
    <xdr:sp macro="" textlink="">
      <xdr:nvSpPr>
        <xdr:cNvPr id="6506" name="AutoShape 136">
          <a:extLst>
            <a:ext uri="{FF2B5EF4-FFF2-40B4-BE49-F238E27FC236}">
              <a16:creationId xmlns:a16="http://schemas.microsoft.com/office/drawing/2014/main" id="{A7E6E86B-13E3-4E5E-9729-79883AB10D75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304800" cy="304800"/>
    <xdr:sp macro="" textlink="">
      <xdr:nvSpPr>
        <xdr:cNvPr id="6507" name="AutoShape 138">
          <a:extLst>
            <a:ext uri="{FF2B5EF4-FFF2-40B4-BE49-F238E27FC236}">
              <a16:creationId xmlns:a16="http://schemas.microsoft.com/office/drawing/2014/main" id="{606D0698-1FEF-43EC-A4AD-C727FD9B34C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22</xdr:row>
      <xdr:rowOff>0</xdr:rowOff>
    </xdr:from>
    <xdr:ext cx="9525" cy="9525"/>
    <xdr:pic>
      <xdr:nvPicPr>
        <xdr:cNvPr id="6508" name="Picture 6507">
          <a:extLst>
            <a:ext uri="{FF2B5EF4-FFF2-40B4-BE49-F238E27FC236}">
              <a16:creationId xmlns:a16="http://schemas.microsoft.com/office/drawing/2014/main" id="{EF2F5CD2-0AA9-4736-A26F-3BB4817B5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9525" cy="9525"/>
    <xdr:pic>
      <xdr:nvPicPr>
        <xdr:cNvPr id="6509" name="Picture 6508">
          <a:extLst>
            <a:ext uri="{FF2B5EF4-FFF2-40B4-BE49-F238E27FC236}">
              <a16:creationId xmlns:a16="http://schemas.microsoft.com/office/drawing/2014/main" id="{C01AA0B8-A698-442B-8F61-EE3098BE0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9525" cy="9525"/>
    <xdr:pic>
      <xdr:nvPicPr>
        <xdr:cNvPr id="6510" name="Picture 6509">
          <a:extLst>
            <a:ext uri="{FF2B5EF4-FFF2-40B4-BE49-F238E27FC236}">
              <a16:creationId xmlns:a16="http://schemas.microsoft.com/office/drawing/2014/main" id="{F3E7D453-A249-4CA4-8152-175706C86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9525" cy="9525"/>
    <xdr:pic>
      <xdr:nvPicPr>
        <xdr:cNvPr id="6511" name="Picture 6510">
          <a:extLst>
            <a:ext uri="{FF2B5EF4-FFF2-40B4-BE49-F238E27FC236}">
              <a16:creationId xmlns:a16="http://schemas.microsoft.com/office/drawing/2014/main" id="{0383755B-6DBC-478B-8671-980631CD0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9525" cy="9525"/>
    <xdr:pic>
      <xdr:nvPicPr>
        <xdr:cNvPr id="6512" name="Picture 6511">
          <a:extLst>
            <a:ext uri="{FF2B5EF4-FFF2-40B4-BE49-F238E27FC236}">
              <a16:creationId xmlns:a16="http://schemas.microsoft.com/office/drawing/2014/main" id="{13C8E22D-502D-41B2-80E9-A73BA6C70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513" name="AutoShape 38">
          <a:extLst>
            <a:ext uri="{FF2B5EF4-FFF2-40B4-BE49-F238E27FC236}">
              <a16:creationId xmlns:a16="http://schemas.microsoft.com/office/drawing/2014/main" id="{EA1BC6B7-71DC-44D4-A368-8DC8BA1943ED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23</xdr:row>
      <xdr:rowOff>0</xdr:rowOff>
    </xdr:from>
    <xdr:ext cx="9525" cy="9525"/>
    <xdr:pic>
      <xdr:nvPicPr>
        <xdr:cNvPr id="6514" name="Picture 6513">
          <a:extLst>
            <a:ext uri="{FF2B5EF4-FFF2-40B4-BE49-F238E27FC236}">
              <a16:creationId xmlns:a16="http://schemas.microsoft.com/office/drawing/2014/main" id="{A2F30F03-58F9-4468-A526-773AE042E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515" name="AutoShape 61">
          <a:extLst>
            <a:ext uri="{FF2B5EF4-FFF2-40B4-BE49-F238E27FC236}">
              <a16:creationId xmlns:a16="http://schemas.microsoft.com/office/drawing/2014/main" id="{74703267-BA30-48B3-AFDA-A9B9A7475AD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23</xdr:row>
      <xdr:rowOff>0</xdr:rowOff>
    </xdr:from>
    <xdr:ext cx="9525" cy="9525"/>
    <xdr:pic>
      <xdr:nvPicPr>
        <xdr:cNvPr id="6516" name="Picture 6515">
          <a:extLst>
            <a:ext uri="{FF2B5EF4-FFF2-40B4-BE49-F238E27FC236}">
              <a16:creationId xmlns:a16="http://schemas.microsoft.com/office/drawing/2014/main" id="{5B417CCA-FC1E-4D23-BFB9-86D2D201F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517" name="AutoShape 111">
          <a:extLst>
            <a:ext uri="{FF2B5EF4-FFF2-40B4-BE49-F238E27FC236}">
              <a16:creationId xmlns:a16="http://schemas.microsoft.com/office/drawing/2014/main" id="{1B9EC258-5902-456D-9C24-AE350BC8CA7A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23</xdr:row>
      <xdr:rowOff>0</xdr:rowOff>
    </xdr:from>
    <xdr:ext cx="9525" cy="9525"/>
    <xdr:pic>
      <xdr:nvPicPr>
        <xdr:cNvPr id="6518" name="Picture 6517">
          <a:extLst>
            <a:ext uri="{FF2B5EF4-FFF2-40B4-BE49-F238E27FC236}">
              <a16:creationId xmlns:a16="http://schemas.microsoft.com/office/drawing/2014/main" id="{C5BB3B8E-D1AE-416E-988B-54EC50FF8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519" name="AutoShape 136">
          <a:extLst>
            <a:ext uri="{FF2B5EF4-FFF2-40B4-BE49-F238E27FC236}">
              <a16:creationId xmlns:a16="http://schemas.microsoft.com/office/drawing/2014/main" id="{AC743766-833B-42C3-994A-80C0CFB4DAA7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520" name="AutoShape 44">
          <a:extLst>
            <a:ext uri="{FF2B5EF4-FFF2-40B4-BE49-F238E27FC236}">
              <a16:creationId xmlns:a16="http://schemas.microsoft.com/office/drawing/2014/main" id="{C9BFB04A-9ACD-45F9-BAEB-065257C59C4B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521" name="AutoShape 67">
          <a:extLst>
            <a:ext uri="{FF2B5EF4-FFF2-40B4-BE49-F238E27FC236}">
              <a16:creationId xmlns:a16="http://schemas.microsoft.com/office/drawing/2014/main" id="{8AACB2DD-49FB-46DC-9FE7-33FD36C994E9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304800" cy="303440"/>
    <xdr:sp macro="" textlink="">
      <xdr:nvSpPr>
        <xdr:cNvPr id="6522" name="AutoShape 69">
          <a:extLst>
            <a:ext uri="{FF2B5EF4-FFF2-40B4-BE49-F238E27FC236}">
              <a16:creationId xmlns:a16="http://schemas.microsoft.com/office/drawing/2014/main" id="{34BED79A-20DF-4774-BE4B-84DF7FE2F0F6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9525" cy="9525"/>
    <xdr:pic>
      <xdr:nvPicPr>
        <xdr:cNvPr id="6523" name="Picture 6522">
          <a:extLst>
            <a:ext uri="{FF2B5EF4-FFF2-40B4-BE49-F238E27FC236}">
              <a16:creationId xmlns:a16="http://schemas.microsoft.com/office/drawing/2014/main" id="{4547C072-15D2-4D2B-B2A8-0A4B9F305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524" name="AutoShape 117">
          <a:extLst>
            <a:ext uri="{FF2B5EF4-FFF2-40B4-BE49-F238E27FC236}">
              <a16:creationId xmlns:a16="http://schemas.microsoft.com/office/drawing/2014/main" id="{99458897-D736-427F-8834-9AA3AD0B1273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304800" cy="303440"/>
    <xdr:sp macro="" textlink="">
      <xdr:nvSpPr>
        <xdr:cNvPr id="6525" name="AutoShape 119">
          <a:extLst>
            <a:ext uri="{FF2B5EF4-FFF2-40B4-BE49-F238E27FC236}">
              <a16:creationId xmlns:a16="http://schemas.microsoft.com/office/drawing/2014/main" id="{C7E2D0AE-7E0A-4118-9713-D30974E8BF6E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9525" cy="9525"/>
    <xdr:pic>
      <xdr:nvPicPr>
        <xdr:cNvPr id="6526" name="Picture 6525">
          <a:extLst>
            <a:ext uri="{FF2B5EF4-FFF2-40B4-BE49-F238E27FC236}">
              <a16:creationId xmlns:a16="http://schemas.microsoft.com/office/drawing/2014/main" id="{B5EC8402-7D67-4927-B21C-E52381B25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74036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304800" cy="304800"/>
    <xdr:sp macro="" textlink="">
      <xdr:nvSpPr>
        <xdr:cNvPr id="6527" name="AutoShape 142">
          <a:extLst>
            <a:ext uri="{FF2B5EF4-FFF2-40B4-BE49-F238E27FC236}">
              <a16:creationId xmlns:a16="http://schemas.microsoft.com/office/drawing/2014/main" id="{0ECF8F53-F3AD-415E-9C5A-F571BB8CF432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24</xdr:row>
      <xdr:rowOff>0</xdr:rowOff>
    </xdr:from>
    <xdr:ext cx="304800" cy="303440"/>
    <xdr:sp macro="" textlink="">
      <xdr:nvSpPr>
        <xdr:cNvPr id="6528" name="AutoShape 144">
          <a:extLst>
            <a:ext uri="{FF2B5EF4-FFF2-40B4-BE49-F238E27FC236}">
              <a16:creationId xmlns:a16="http://schemas.microsoft.com/office/drawing/2014/main" id="{EC9D203B-3804-4C46-95E5-4B3F452AFF48}"/>
            </a:ext>
          </a:extLst>
        </xdr:cNvPr>
        <xdr:cNvSpPr>
          <a:spLocks noChangeAspect="1" noChangeArrowheads="1"/>
        </xdr:cNvSpPr>
      </xdr:nvSpPr>
      <xdr:spPr bwMode="auto">
        <a:xfrm>
          <a:off x="86174036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3</xdr:row>
      <xdr:rowOff>0</xdr:rowOff>
    </xdr:from>
    <xdr:ext cx="9525" cy="9525"/>
    <xdr:pic>
      <xdr:nvPicPr>
        <xdr:cNvPr id="6529" name="Picture 6528">
          <a:extLst>
            <a:ext uri="{FF2B5EF4-FFF2-40B4-BE49-F238E27FC236}">
              <a16:creationId xmlns:a16="http://schemas.microsoft.com/office/drawing/2014/main" id="{7A5B8CB3-9105-46E9-A5D3-1E476BD4E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</xdr:row>
      <xdr:rowOff>0</xdr:rowOff>
    </xdr:from>
    <xdr:ext cx="304800" cy="303439"/>
    <xdr:sp macro="" textlink="">
      <xdr:nvSpPr>
        <xdr:cNvPr id="6530" name="AutoShape 148">
          <a:extLst>
            <a:ext uri="{FF2B5EF4-FFF2-40B4-BE49-F238E27FC236}">
              <a16:creationId xmlns:a16="http://schemas.microsoft.com/office/drawing/2014/main" id="{4B95BE3E-E043-42D1-BE8B-F8FFE3BAF75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3</xdr:row>
      <xdr:rowOff>0</xdr:rowOff>
    </xdr:from>
    <xdr:ext cx="304800" cy="304800"/>
    <xdr:sp macro="" textlink="">
      <xdr:nvSpPr>
        <xdr:cNvPr id="6531" name="AutoShape 150">
          <a:extLst>
            <a:ext uri="{FF2B5EF4-FFF2-40B4-BE49-F238E27FC236}">
              <a16:creationId xmlns:a16="http://schemas.microsoft.com/office/drawing/2014/main" id="{2610638A-5173-4481-86B4-F540D0ABBED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5</xdr:row>
      <xdr:rowOff>0</xdr:rowOff>
    </xdr:from>
    <xdr:ext cx="9525" cy="9525"/>
    <xdr:pic>
      <xdr:nvPicPr>
        <xdr:cNvPr id="6532" name="Picture 6531">
          <a:extLst>
            <a:ext uri="{FF2B5EF4-FFF2-40B4-BE49-F238E27FC236}">
              <a16:creationId xmlns:a16="http://schemas.microsoft.com/office/drawing/2014/main" id="{C6CC00CB-2325-4B7D-8394-D13C39928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6</xdr:row>
      <xdr:rowOff>0</xdr:rowOff>
    </xdr:from>
    <xdr:ext cx="9525" cy="9525"/>
    <xdr:pic>
      <xdr:nvPicPr>
        <xdr:cNvPr id="6533" name="Picture 6532">
          <a:extLst>
            <a:ext uri="{FF2B5EF4-FFF2-40B4-BE49-F238E27FC236}">
              <a16:creationId xmlns:a16="http://schemas.microsoft.com/office/drawing/2014/main" id="{F37ED924-BCCD-42AE-8B0C-4BA006DD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34" name="Picture 6533">
          <a:extLst>
            <a:ext uri="{FF2B5EF4-FFF2-40B4-BE49-F238E27FC236}">
              <a16:creationId xmlns:a16="http://schemas.microsoft.com/office/drawing/2014/main" id="{6476A5FE-B791-468C-B366-FD3385A33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6</xdr:row>
      <xdr:rowOff>0</xdr:rowOff>
    </xdr:from>
    <xdr:ext cx="304800" cy="304800"/>
    <xdr:sp macro="" textlink="">
      <xdr:nvSpPr>
        <xdr:cNvPr id="6535" name="AutoShape 154">
          <a:extLst>
            <a:ext uri="{FF2B5EF4-FFF2-40B4-BE49-F238E27FC236}">
              <a16:creationId xmlns:a16="http://schemas.microsoft.com/office/drawing/2014/main" id="{07A24629-953A-4D40-9377-61A22CC3AD11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26</xdr:row>
      <xdr:rowOff>0</xdr:rowOff>
    </xdr:from>
    <xdr:ext cx="9525" cy="9525"/>
    <xdr:pic>
      <xdr:nvPicPr>
        <xdr:cNvPr id="6536" name="Picture 6535">
          <a:extLst>
            <a:ext uri="{FF2B5EF4-FFF2-40B4-BE49-F238E27FC236}">
              <a16:creationId xmlns:a16="http://schemas.microsoft.com/office/drawing/2014/main" id="{368075EC-F69B-4723-8902-84E8CF09C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25</xdr:row>
      <xdr:rowOff>0</xdr:rowOff>
    </xdr:from>
    <xdr:ext cx="304800" cy="303440"/>
    <xdr:sp macro="" textlink="">
      <xdr:nvSpPr>
        <xdr:cNvPr id="6537" name="AutoShape 156">
          <a:extLst>
            <a:ext uri="{FF2B5EF4-FFF2-40B4-BE49-F238E27FC236}">
              <a16:creationId xmlns:a16="http://schemas.microsoft.com/office/drawing/2014/main" id="{A4C70F57-C061-4FDA-85BB-C19FA394A94F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38" name="Picture 6537">
          <a:extLst>
            <a:ext uri="{FF2B5EF4-FFF2-40B4-BE49-F238E27FC236}">
              <a16:creationId xmlns:a16="http://schemas.microsoft.com/office/drawing/2014/main" id="{3CD25FED-2801-4A12-BB12-3AAC9A853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39" name="Picture 6538">
          <a:extLst>
            <a:ext uri="{FF2B5EF4-FFF2-40B4-BE49-F238E27FC236}">
              <a16:creationId xmlns:a16="http://schemas.microsoft.com/office/drawing/2014/main" id="{5E669E8F-3573-4082-AC78-1082E5229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540" name="AutoShape 159">
          <a:extLst>
            <a:ext uri="{FF2B5EF4-FFF2-40B4-BE49-F238E27FC236}">
              <a16:creationId xmlns:a16="http://schemas.microsoft.com/office/drawing/2014/main" id="{1F9DDBEB-45E3-4CE6-85F4-960ED57E1883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41" name="Picture 6540">
          <a:extLst>
            <a:ext uri="{FF2B5EF4-FFF2-40B4-BE49-F238E27FC236}">
              <a16:creationId xmlns:a16="http://schemas.microsoft.com/office/drawing/2014/main" id="{0A700FDF-F21E-47A2-9F27-346C07CAC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42" name="Picture 6541">
          <a:extLst>
            <a:ext uri="{FF2B5EF4-FFF2-40B4-BE49-F238E27FC236}">
              <a16:creationId xmlns:a16="http://schemas.microsoft.com/office/drawing/2014/main" id="{B5278D0A-5B7F-428F-B06C-00D144547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43" name="Picture 6542">
          <a:extLst>
            <a:ext uri="{FF2B5EF4-FFF2-40B4-BE49-F238E27FC236}">
              <a16:creationId xmlns:a16="http://schemas.microsoft.com/office/drawing/2014/main" id="{2974B159-D6B6-4060-B684-8924C8A65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44" name="Picture 6543">
          <a:extLst>
            <a:ext uri="{FF2B5EF4-FFF2-40B4-BE49-F238E27FC236}">
              <a16:creationId xmlns:a16="http://schemas.microsoft.com/office/drawing/2014/main" id="{7A47475E-50F6-42B8-A0C5-0884C6E1B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13</xdr:row>
      <xdr:rowOff>0</xdr:rowOff>
    </xdr:from>
    <xdr:ext cx="9525" cy="9525"/>
    <xdr:pic>
      <xdr:nvPicPr>
        <xdr:cNvPr id="6545" name="Picture 6544">
          <a:extLst>
            <a:ext uri="{FF2B5EF4-FFF2-40B4-BE49-F238E27FC236}">
              <a16:creationId xmlns:a16="http://schemas.microsoft.com/office/drawing/2014/main" id="{AC6BAAAA-ECDE-4ACF-990D-C06736CD2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12</xdr:row>
      <xdr:rowOff>0</xdr:rowOff>
    </xdr:from>
    <xdr:ext cx="304800" cy="303439"/>
    <xdr:sp macro="" textlink="">
      <xdr:nvSpPr>
        <xdr:cNvPr id="6546" name="AutoShape 165">
          <a:extLst>
            <a:ext uri="{FF2B5EF4-FFF2-40B4-BE49-F238E27FC236}">
              <a16:creationId xmlns:a16="http://schemas.microsoft.com/office/drawing/2014/main" id="{6B9D452B-8E21-47BE-8411-B86328A4E2CF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47" name="Picture 6546">
          <a:extLst>
            <a:ext uri="{FF2B5EF4-FFF2-40B4-BE49-F238E27FC236}">
              <a16:creationId xmlns:a16="http://schemas.microsoft.com/office/drawing/2014/main" id="{47463A13-7222-4282-9624-6549C57E8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48" name="Picture 6547">
          <a:extLst>
            <a:ext uri="{FF2B5EF4-FFF2-40B4-BE49-F238E27FC236}">
              <a16:creationId xmlns:a16="http://schemas.microsoft.com/office/drawing/2014/main" id="{3EFAAFE9-234B-4974-8195-B19B6C248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3440"/>
    <xdr:sp macro="" textlink="">
      <xdr:nvSpPr>
        <xdr:cNvPr id="6549" name="AutoShape 169">
          <a:extLst>
            <a:ext uri="{FF2B5EF4-FFF2-40B4-BE49-F238E27FC236}">
              <a16:creationId xmlns:a16="http://schemas.microsoft.com/office/drawing/2014/main" id="{4036A154-9E3A-4FDE-B7F5-0943E7E641B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27</xdr:row>
      <xdr:rowOff>0</xdr:rowOff>
    </xdr:from>
    <xdr:ext cx="9525" cy="9525"/>
    <xdr:pic>
      <xdr:nvPicPr>
        <xdr:cNvPr id="6550" name="Picture 6549">
          <a:extLst>
            <a:ext uri="{FF2B5EF4-FFF2-40B4-BE49-F238E27FC236}">
              <a16:creationId xmlns:a16="http://schemas.microsoft.com/office/drawing/2014/main" id="{7DAF2A2B-2F86-4154-9CC2-10ED2BD97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26</xdr:row>
      <xdr:rowOff>0</xdr:rowOff>
    </xdr:from>
    <xdr:ext cx="304800" cy="303439"/>
    <xdr:sp macro="" textlink="">
      <xdr:nvSpPr>
        <xdr:cNvPr id="6551" name="AutoShape 171">
          <a:extLst>
            <a:ext uri="{FF2B5EF4-FFF2-40B4-BE49-F238E27FC236}">
              <a16:creationId xmlns:a16="http://schemas.microsoft.com/office/drawing/2014/main" id="{ECDEBD68-7EE2-458E-B9D3-C48709CFB4DB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52" name="Picture 6551">
          <a:extLst>
            <a:ext uri="{FF2B5EF4-FFF2-40B4-BE49-F238E27FC236}">
              <a16:creationId xmlns:a16="http://schemas.microsoft.com/office/drawing/2014/main" id="{CA4FCCB9-8AF0-46B6-B70E-C4D09B33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27</xdr:row>
      <xdr:rowOff>0</xdr:rowOff>
    </xdr:from>
    <xdr:ext cx="304800" cy="303440"/>
    <xdr:sp macro="" textlink="">
      <xdr:nvSpPr>
        <xdr:cNvPr id="6553" name="AutoShape 173">
          <a:extLst>
            <a:ext uri="{FF2B5EF4-FFF2-40B4-BE49-F238E27FC236}">
              <a16:creationId xmlns:a16="http://schemas.microsoft.com/office/drawing/2014/main" id="{5BDDCFE3-2B42-46C5-8EF8-B397FB0BB222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477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54" name="Picture 6553">
          <a:extLst>
            <a:ext uri="{FF2B5EF4-FFF2-40B4-BE49-F238E27FC236}">
              <a16:creationId xmlns:a16="http://schemas.microsoft.com/office/drawing/2014/main" id="{1B832819-E9DE-43A4-B6CE-254B37D45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55" name="Picture 6554">
          <a:extLst>
            <a:ext uri="{FF2B5EF4-FFF2-40B4-BE49-F238E27FC236}">
              <a16:creationId xmlns:a16="http://schemas.microsoft.com/office/drawing/2014/main" id="{341B2433-9E23-4B54-9227-C9384976E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3</xdr:row>
      <xdr:rowOff>0</xdr:rowOff>
    </xdr:from>
    <xdr:ext cx="9525" cy="9525"/>
    <xdr:pic>
      <xdr:nvPicPr>
        <xdr:cNvPr id="6556" name="Picture 6555">
          <a:extLst>
            <a:ext uri="{FF2B5EF4-FFF2-40B4-BE49-F238E27FC236}">
              <a16:creationId xmlns:a16="http://schemas.microsoft.com/office/drawing/2014/main" id="{4A47DB3F-E3AC-4ACB-9A12-7F81E85ED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</xdr:row>
      <xdr:rowOff>0</xdr:rowOff>
    </xdr:from>
    <xdr:ext cx="304800" cy="303439"/>
    <xdr:sp macro="" textlink="">
      <xdr:nvSpPr>
        <xdr:cNvPr id="6557" name="AutoShape 177">
          <a:extLst>
            <a:ext uri="{FF2B5EF4-FFF2-40B4-BE49-F238E27FC236}">
              <a16:creationId xmlns:a16="http://schemas.microsoft.com/office/drawing/2014/main" id="{7F681300-8E01-49C0-A704-CBB9109412C5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4</xdr:row>
      <xdr:rowOff>0</xdr:rowOff>
    </xdr:from>
    <xdr:ext cx="9525" cy="9525"/>
    <xdr:pic>
      <xdr:nvPicPr>
        <xdr:cNvPr id="6558" name="Picture 6557">
          <a:extLst>
            <a:ext uri="{FF2B5EF4-FFF2-40B4-BE49-F238E27FC236}">
              <a16:creationId xmlns:a16="http://schemas.microsoft.com/office/drawing/2014/main" id="{1B3D41E2-EDE8-4F6B-9F4F-A38A52322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9525" cy="9525"/>
    <xdr:pic>
      <xdr:nvPicPr>
        <xdr:cNvPr id="6559" name="Picture 6558">
          <a:extLst>
            <a:ext uri="{FF2B5EF4-FFF2-40B4-BE49-F238E27FC236}">
              <a16:creationId xmlns:a16="http://schemas.microsoft.com/office/drawing/2014/main" id="{1C32C096-7AE1-4D56-83FF-1BE457001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6</xdr:row>
      <xdr:rowOff>0</xdr:rowOff>
    </xdr:from>
    <xdr:ext cx="9525" cy="9525"/>
    <xdr:pic>
      <xdr:nvPicPr>
        <xdr:cNvPr id="6560" name="Picture 6559">
          <a:extLst>
            <a:ext uri="{FF2B5EF4-FFF2-40B4-BE49-F238E27FC236}">
              <a16:creationId xmlns:a16="http://schemas.microsoft.com/office/drawing/2014/main" id="{607B0E05-5866-4C36-A59D-BD2CB4DD0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304800" cy="304800"/>
    <xdr:sp macro="" textlink="">
      <xdr:nvSpPr>
        <xdr:cNvPr id="6561" name="AutoShape 181">
          <a:extLst>
            <a:ext uri="{FF2B5EF4-FFF2-40B4-BE49-F238E27FC236}">
              <a16:creationId xmlns:a16="http://schemas.microsoft.com/office/drawing/2014/main" id="{593930AF-540E-4323-837F-EF06DCACF13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62" name="Picture 6561">
          <a:extLst>
            <a:ext uri="{FF2B5EF4-FFF2-40B4-BE49-F238E27FC236}">
              <a16:creationId xmlns:a16="http://schemas.microsoft.com/office/drawing/2014/main" id="{FAA464AD-5599-4AEC-AA1A-2708A3866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24</xdr:row>
      <xdr:rowOff>0</xdr:rowOff>
    </xdr:from>
    <xdr:ext cx="304800" cy="304800"/>
    <xdr:sp macro="" textlink="">
      <xdr:nvSpPr>
        <xdr:cNvPr id="6563" name="AutoShape 183">
          <a:extLst>
            <a:ext uri="{FF2B5EF4-FFF2-40B4-BE49-F238E27FC236}">
              <a16:creationId xmlns:a16="http://schemas.microsoft.com/office/drawing/2014/main" id="{CAB6A45C-88F3-46FC-AC56-56FAEFB27A48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26</xdr:row>
      <xdr:rowOff>0</xdr:rowOff>
    </xdr:from>
    <xdr:ext cx="9525" cy="9525"/>
    <xdr:pic>
      <xdr:nvPicPr>
        <xdr:cNvPr id="6564" name="Picture 6563">
          <a:extLst>
            <a:ext uri="{FF2B5EF4-FFF2-40B4-BE49-F238E27FC236}">
              <a16:creationId xmlns:a16="http://schemas.microsoft.com/office/drawing/2014/main" id="{69F07CAF-4BC3-490E-96D8-A97FEAAD2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25</xdr:row>
      <xdr:rowOff>0</xdr:rowOff>
    </xdr:from>
    <xdr:ext cx="304800" cy="303440"/>
    <xdr:sp macro="" textlink="">
      <xdr:nvSpPr>
        <xdr:cNvPr id="6565" name="AutoShape 185">
          <a:extLst>
            <a:ext uri="{FF2B5EF4-FFF2-40B4-BE49-F238E27FC236}">
              <a16:creationId xmlns:a16="http://schemas.microsoft.com/office/drawing/2014/main" id="{4FBF7B06-3553-45B8-80ED-D76072F05008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66" name="Picture 6565">
          <a:extLst>
            <a:ext uri="{FF2B5EF4-FFF2-40B4-BE49-F238E27FC236}">
              <a16:creationId xmlns:a16="http://schemas.microsoft.com/office/drawing/2014/main" id="{0FCCB5DE-A9D0-49B6-9A56-1AF0B399D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67" name="Picture 6566">
          <a:extLst>
            <a:ext uri="{FF2B5EF4-FFF2-40B4-BE49-F238E27FC236}">
              <a16:creationId xmlns:a16="http://schemas.microsoft.com/office/drawing/2014/main" id="{64BCB438-9B3D-4EC5-8451-4D9271811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68" name="Picture 6567">
          <a:extLst>
            <a:ext uri="{FF2B5EF4-FFF2-40B4-BE49-F238E27FC236}">
              <a16:creationId xmlns:a16="http://schemas.microsoft.com/office/drawing/2014/main" id="{EC71D8F7-8B9D-4FEF-8A20-57AAD6F9A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69" name="Picture 6568">
          <a:extLst>
            <a:ext uri="{FF2B5EF4-FFF2-40B4-BE49-F238E27FC236}">
              <a16:creationId xmlns:a16="http://schemas.microsoft.com/office/drawing/2014/main" id="{EB7328DB-85B6-4EAC-9812-9E3F7CBC2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70" name="Picture 6569">
          <a:extLst>
            <a:ext uri="{FF2B5EF4-FFF2-40B4-BE49-F238E27FC236}">
              <a16:creationId xmlns:a16="http://schemas.microsoft.com/office/drawing/2014/main" id="{B518C6EC-5B2B-4047-AACB-AD043FDDB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571" name="AutoShape 191">
          <a:extLst>
            <a:ext uri="{FF2B5EF4-FFF2-40B4-BE49-F238E27FC236}">
              <a16:creationId xmlns:a16="http://schemas.microsoft.com/office/drawing/2014/main" id="{28956026-D3F6-48E2-B915-D6C85069E5E2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72" name="Picture 6571">
          <a:extLst>
            <a:ext uri="{FF2B5EF4-FFF2-40B4-BE49-F238E27FC236}">
              <a16:creationId xmlns:a16="http://schemas.microsoft.com/office/drawing/2014/main" id="{F22AE57D-0412-40E4-B582-AB15D185A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573" name="AutoShape 193">
          <a:extLst>
            <a:ext uri="{FF2B5EF4-FFF2-40B4-BE49-F238E27FC236}">
              <a16:creationId xmlns:a16="http://schemas.microsoft.com/office/drawing/2014/main" id="{C967B67F-0E5E-4B85-970D-D9FCA83BA16B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13</xdr:row>
      <xdr:rowOff>0</xdr:rowOff>
    </xdr:from>
    <xdr:ext cx="9525" cy="9525"/>
    <xdr:pic>
      <xdr:nvPicPr>
        <xdr:cNvPr id="6574" name="Picture 6573">
          <a:extLst>
            <a:ext uri="{FF2B5EF4-FFF2-40B4-BE49-F238E27FC236}">
              <a16:creationId xmlns:a16="http://schemas.microsoft.com/office/drawing/2014/main" id="{B41566B5-A8E4-4ACB-827E-AA0ABE283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12</xdr:row>
      <xdr:rowOff>0</xdr:rowOff>
    </xdr:from>
    <xdr:ext cx="304800" cy="303439"/>
    <xdr:sp macro="" textlink="">
      <xdr:nvSpPr>
        <xdr:cNvPr id="6575" name="AutoShape 195">
          <a:extLst>
            <a:ext uri="{FF2B5EF4-FFF2-40B4-BE49-F238E27FC236}">
              <a16:creationId xmlns:a16="http://schemas.microsoft.com/office/drawing/2014/main" id="{329BF231-BAFD-44C1-94DD-B7F2C2662A35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76" name="Picture 6575">
          <a:extLst>
            <a:ext uri="{FF2B5EF4-FFF2-40B4-BE49-F238E27FC236}">
              <a16:creationId xmlns:a16="http://schemas.microsoft.com/office/drawing/2014/main" id="{702BF871-D186-47FC-BA76-691AE0A99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77" name="Picture 6576">
          <a:extLst>
            <a:ext uri="{FF2B5EF4-FFF2-40B4-BE49-F238E27FC236}">
              <a16:creationId xmlns:a16="http://schemas.microsoft.com/office/drawing/2014/main" id="{7C386E5A-FB25-4D01-8B04-C42EF3888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3440"/>
    <xdr:sp macro="" textlink="">
      <xdr:nvSpPr>
        <xdr:cNvPr id="6578" name="AutoShape 199">
          <a:extLst>
            <a:ext uri="{FF2B5EF4-FFF2-40B4-BE49-F238E27FC236}">
              <a16:creationId xmlns:a16="http://schemas.microsoft.com/office/drawing/2014/main" id="{BC2D0A7E-5697-4CF3-B0AE-0AB10113EDBC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27</xdr:row>
      <xdr:rowOff>0</xdr:rowOff>
    </xdr:from>
    <xdr:ext cx="9525" cy="9525"/>
    <xdr:pic>
      <xdr:nvPicPr>
        <xdr:cNvPr id="6579" name="Picture 6578">
          <a:extLst>
            <a:ext uri="{FF2B5EF4-FFF2-40B4-BE49-F238E27FC236}">
              <a16:creationId xmlns:a16="http://schemas.microsoft.com/office/drawing/2014/main" id="{B69E639F-DAAE-438F-82CD-924414832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80" name="Picture 6579">
          <a:extLst>
            <a:ext uri="{FF2B5EF4-FFF2-40B4-BE49-F238E27FC236}">
              <a16:creationId xmlns:a16="http://schemas.microsoft.com/office/drawing/2014/main" id="{6191F80D-04AF-4894-84D6-B4A2C75D9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3</xdr:row>
      <xdr:rowOff>0</xdr:rowOff>
    </xdr:from>
    <xdr:ext cx="9525" cy="9525"/>
    <xdr:pic>
      <xdr:nvPicPr>
        <xdr:cNvPr id="6581" name="Picture 6580">
          <a:extLst>
            <a:ext uri="{FF2B5EF4-FFF2-40B4-BE49-F238E27FC236}">
              <a16:creationId xmlns:a16="http://schemas.microsoft.com/office/drawing/2014/main" id="{DBEE7AB7-F722-4414-B529-CB4BD8135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</xdr:row>
      <xdr:rowOff>0</xdr:rowOff>
    </xdr:from>
    <xdr:ext cx="304800" cy="303439"/>
    <xdr:sp macro="" textlink="">
      <xdr:nvSpPr>
        <xdr:cNvPr id="6582" name="AutoShape 203">
          <a:extLst>
            <a:ext uri="{FF2B5EF4-FFF2-40B4-BE49-F238E27FC236}">
              <a16:creationId xmlns:a16="http://schemas.microsoft.com/office/drawing/2014/main" id="{7B9CAB4B-CA1B-42AC-8DBC-7B9C7E913B87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4</xdr:row>
      <xdr:rowOff>0</xdr:rowOff>
    </xdr:from>
    <xdr:ext cx="9525" cy="9525"/>
    <xdr:pic>
      <xdr:nvPicPr>
        <xdr:cNvPr id="6583" name="Picture 6582">
          <a:extLst>
            <a:ext uri="{FF2B5EF4-FFF2-40B4-BE49-F238E27FC236}">
              <a16:creationId xmlns:a16="http://schemas.microsoft.com/office/drawing/2014/main" id="{5612C8E8-A3A5-4309-AE52-363AB4118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9525" cy="9525"/>
    <xdr:pic>
      <xdr:nvPicPr>
        <xdr:cNvPr id="6584" name="Picture 6583">
          <a:extLst>
            <a:ext uri="{FF2B5EF4-FFF2-40B4-BE49-F238E27FC236}">
              <a16:creationId xmlns:a16="http://schemas.microsoft.com/office/drawing/2014/main" id="{C5ED577F-AD54-4667-AEB0-83960C7D6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6</xdr:row>
      <xdr:rowOff>0</xdr:rowOff>
    </xdr:from>
    <xdr:ext cx="9525" cy="9525"/>
    <xdr:pic>
      <xdr:nvPicPr>
        <xdr:cNvPr id="6585" name="Picture 6584">
          <a:extLst>
            <a:ext uri="{FF2B5EF4-FFF2-40B4-BE49-F238E27FC236}">
              <a16:creationId xmlns:a16="http://schemas.microsoft.com/office/drawing/2014/main" id="{6E340F32-F20A-4B8A-B449-D7730DBA8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304800" cy="304800"/>
    <xdr:sp macro="" textlink="">
      <xdr:nvSpPr>
        <xdr:cNvPr id="6586" name="AutoShape 207">
          <a:extLst>
            <a:ext uri="{FF2B5EF4-FFF2-40B4-BE49-F238E27FC236}">
              <a16:creationId xmlns:a16="http://schemas.microsoft.com/office/drawing/2014/main" id="{A52074F2-305D-4AA7-BD2F-2729F959E0E6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87" name="Picture 6586">
          <a:extLst>
            <a:ext uri="{FF2B5EF4-FFF2-40B4-BE49-F238E27FC236}">
              <a16:creationId xmlns:a16="http://schemas.microsoft.com/office/drawing/2014/main" id="{9B3A3CBD-B17F-4CFA-ADE0-90C1A7E30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24</xdr:row>
      <xdr:rowOff>0</xdr:rowOff>
    </xdr:from>
    <xdr:ext cx="304800" cy="304800"/>
    <xdr:sp macro="" textlink="">
      <xdr:nvSpPr>
        <xdr:cNvPr id="6588" name="AutoShape 209">
          <a:extLst>
            <a:ext uri="{FF2B5EF4-FFF2-40B4-BE49-F238E27FC236}">
              <a16:creationId xmlns:a16="http://schemas.microsoft.com/office/drawing/2014/main" id="{0DA138AC-EA4B-4115-B2BC-68A4E491792C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26</xdr:row>
      <xdr:rowOff>0</xdr:rowOff>
    </xdr:from>
    <xdr:ext cx="9525" cy="9525"/>
    <xdr:pic>
      <xdr:nvPicPr>
        <xdr:cNvPr id="6589" name="Picture 6588">
          <a:extLst>
            <a:ext uri="{FF2B5EF4-FFF2-40B4-BE49-F238E27FC236}">
              <a16:creationId xmlns:a16="http://schemas.microsoft.com/office/drawing/2014/main" id="{17806203-B4DA-49C7-93A4-BC3B37385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25</xdr:row>
      <xdr:rowOff>0</xdr:rowOff>
    </xdr:from>
    <xdr:ext cx="304800" cy="303440"/>
    <xdr:sp macro="" textlink="">
      <xdr:nvSpPr>
        <xdr:cNvPr id="6590" name="AutoShape 211">
          <a:extLst>
            <a:ext uri="{FF2B5EF4-FFF2-40B4-BE49-F238E27FC236}">
              <a16:creationId xmlns:a16="http://schemas.microsoft.com/office/drawing/2014/main" id="{C2EB48EC-29F3-4905-931F-BF043F0A5C92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91" name="Picture 6590">
          <a:extLst>
            <a:ext uri="{FF2B5EF4-FFF2-40B4-BE49-F238E27FC236}">
              <a16:creationId xmlns:a16="http://schemas.microsoft.com/office/drawing/2014/main" id="{B50BC346-1754-4486-B872-111349CF6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92" name="Picture 6591">
          <a:extLst>
            <a:ext uri="{FF2B5EF4-FFF2-40B4-BE49-F238E27FC236}">
              <a16:creationId xmlns:a16="http://schemas.microsoft.com/office/drawing/2014/main" id="{AF12322A-8130-4B45-AEB3-32BBAB9E0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93" name="Picture 6592">
          <a:extLst>
            <a:ext uri="{FF2B5EF4-FFF2-40B4-BE49-F238E27FC236}">
              <a16:creationId xmlns:a16="http://schemas.microsoft.com/office/drawing/2014/main" id="{466C570A-E2B2-447F-89FF-EAAF31C6B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94" name="Picture 6593">
          <a:extLst>
            <a:ext uri="{FF2B5EF4-FFF2-40B4-BE49-F238E27FC236}">
              <a16:creationId xmlns:a16="http://schemas.microsoft.com/office/drawing/2014/main" id="{02454B66-7500-4FFB-9F2F-2D162A6B5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95" name="Picture 6594">
          <a:extLst>
            <a:ext uri="{FF2B5EF4-FFF2-40B4-BE49-F238E27FC236}">
              <a16:creationId xmlns:a16="http://schemas.microsoft.com/office/drawing/2014/main" id="{8D4CEF76-14F3-49C0-87D8-18959852B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596" name="AutoShape 217">
          <a:extLst>
            <a:ext uri="{FF2B5EF4-FFF2-40B4-BE49-F238E27FC236}">
              <a16:creationId xmlns:a16="http://schemas.microsoft.com/office/drawing/2014/main" id="{B6539775-0C36-4C0B-9311-1E8255063AB5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597" name="Picture 6596">
          <a:extLst>
            <a:ext uri="{FF2B5EF4-FFF2-40B4-BE49-F238E27FC236}">
              <a16:creationId xmlns:a16="http://schemas.microsoft.com/office/drawing/2014/main" id="{9CB8FEB1-F55C-457F-9437-1E02559E5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598" name="AutoShape 219">
          <a:extLst>
            <a:ext uri="{FF2B5EF4-FFF2-40B4-BE49-F238E27FC236}">
              <a16:creationId xmlns:a16="http://schemas.microsoft.com/office/drawing/2014/main" id="{8C55EB5D-E5DE-41DD-B3D0-ABE03E9C70A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13</xdr:row>
      <xdr:rowOff>0</xdr:rowOff>
    </xdr:from>
    <xdr:ext cx="9525" cy="9525"/>
    <xdr:pic>
      <xdr:nvPicPr>
        <xdr:cNvPr id="6599" name="Picture 6598">
          <a:extLst>
            <a:ext uri="{FF2B5EF4-FFF2-40B4-BE49-F238E27FC236}">
              <a16:creationId xmlns:a16="http://schemas.microsoft.com/office/drawing/2014/main" id="{DA0A41DE-770D-4C7E-8D5D-CE9CB8D5B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12</xdr:row>
      <xdr:rowOff>0</xdr:rowOff>
    </xdr:from>
    <xdr:ext cx="304800" cy="303439"/>
    <xdr:sp macro="" textlink="">
      <xdr:nvSpPr>
        <xdr:cNvPr id="6600" name="AutoShape 221">
          <a:extLst>
            <a:ext uri="{FF2B5EF4-FFF2-40B4-BE49-F238E27FC236}">
              <a16:creationId xmlns:a16="http://schemas.microsoft.com/office/drawing/2014/main" id="{DA3F86E8-16EF-4C15-B8D8-859D7AEE9C4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01" name="Picture 6600">
          <a:extLst>
            <a:ext uri="{FF2B5EF4-FFF2-40B4-BE49-F238E27FC236}">
              <a16:creationId xmlns:a16="http://schemas.microsoft.com/office/drawing/2014/main" id="{26711B2B-3E84-4D4C-831A-193066D83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13</xdr:row>
      <xdr:rowOff>0</xdr:rowOff>
    </xdr:from>
    <xdr:ext cx="304800" cy="304800"/>
    <xdr:sp macro="" textlink="">
      <xdr:nvSpPr>
        <xdr:cNvPr id="6602" name="AutoShape 223">
          <a:extLst>
            <a:ext uri="{FF2B5EF4-FFF2-40B4-BE49-F238E27FC236}">
              <a16:creationId xmlns:a16="http://schemas.microsoft.com/office/drawing/2014/main" id="{431FC694-4B9A-4362-B22E-C35BED211F93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03" name="Picture 6602">
          <a:extLst>
            <a:ext uri="{FF2B5EF4-FFF2-40B4-BE49-F238E27FC236}">
              <a16:creationId xmlns:a16="http://schemas.microsoft.com/office/drawing/2014/main" id="{4EB02707-4AB5-496B-AC6D-ED38B3ED5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27</xdr:row>
      <xdr:rowOff>0</xdr:rowOff>
    </xdr:from>
    <xdr:ext cx="9525" cy="9525"/>
    <xdr:pic>
      <xdr:nvPicPr>
        <xdr:cNvPr id="6604" name="Picture 6603">
          <a:extLst>
            <a:ext uri="{FF2B5EF4-FFF2-40B4-BE49-F238E27FC236}">
              <a16:creationId xmlns:a16="http://schemas.microsoft.com/office/drawing/2014/main" id="{4C9D9567-A2C0-44FA-8008-EDC19E073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3</xdr:row>
      <xdr:rowOff>0</xdr:rowOff>
    </xdr:from>
    <xdr:ext cx="9525" cy="9525"/>
    <xdr:pic>
      <xdr:nvPicPr>
        <xdr:cNvPr id="6605" name="Picture 6604">
          <a:extLst>
            <a:ext uri="{FF2B5EF4-FFF2-40B4-BE49-F238E27FC236}">
              <a16:creationId xmlns:a16="http://schemas.microsoft.com/office/drawing/2014/main" id="{FBA3A974-059C-4E28-9E70-22C1D87C5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</xdr:row>
      <xdr:rowOff>0</xdr:rowOff>
    </xdr:from>
    <xdr:ext cx="304800" cy="303439"/>
    <xdr:sp macro="" textlink="">
      <xdr:nvSpPr>
        <xdr:cNvPr id="6606" name="AutoShape 227">
          <a:extLst>
            <a:ext uri="{FF2B5EF4-FFF2-40B4-BE49-F238E27FC236}">
              <a16:creationId xmlns:a16="http://schemas.microsoft.com/office/drawing/2014/main" id="{D770BECE-B7B1-4E1A-86E5-AD7B83D59F7C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4</xdr:row>
      <xdr:rowOff>0</xdr:rowOff>
    </xdr:from>
    <xdr:ext cx="9525" cy="9525"/>
    <xdr:pic>
      <xdr:nvPicPr>
        <xdr:cNvPr id="6607" name="Picture 6606">
          <a:extLst>
            <a:ext uri="{FF2B5EF4-FFF2-40B4-BE49-F238E27FC236}">
              <a16:creationId xmlns:a16="http://schemas.microsoft.com/office/drawing/2014/main" id="{2EE45DC4-A33D-4734-9FED-E39B70024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9525" cy="9525"/>
    <xdr:pic>
      <xdr:nvPicPr>
        <xdr:cNvPr id="6608" name="Picture 6607">
          <a:extLst>
            <a:ext uri="{FF2B5EF4-FFF2-40B4-BE49-F238E27FC236}">
              <a16:creationId xmlns:a16="http://schemas.microsoft.com/office/drawing/2014/main" id="{9BE21FE4-5C88-4444-A9CB-5742BD399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6</xdr:row>
      <xdr:rowOff>0</xdr:rowOff>
    </xdr:from>
    <xdr:ext cx="9525" cy="9525"/>
    <xdr:pic>
      <xdr:nvPicPr>
        <xdr:cNvPr id="6609" name="Picture 6608">
          <a:extLst>
            <a:ext uri="{FF2B5EF4-FFF2-40B4-BE49-F238E27FC236}">
              <a16:creationId xmlns:a16="http://schemas.microsoft.com/office/drawing/2014/main" id="{02B0CE0C-80C3-462C-88ED-5A5496555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304800" cy="304800"/>
    <xdr:sp macro="" textlink="">
      <xdr:nvSpPr>
        <xdr:cNvPr id="6610" name="AutoShape 231">
          <a:extLst>
            <a:ext uri="{FF2B5EF4-FFF2-40B4-BE49-F238E27FC236}">
              <a16:creationId xmlns:a16="http://schemas.microsoft.com/office/drawing/2014/main" id="{0BF05FDA-728E-4B84-8420-49CB310BEFE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11" name="Picture 6610">
          <a:extLst>
            <a:ext uri="{FF2B5EF4-FFF2-40B4-BE49-F238E27FC236}">
              <a16:creationId xmlns:a16="http://schemas.microsoft.com/office/drawing/2014/main" id="{A6378977-B3BF-4E7D-BE25-09EDE90AB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24</xdr:row>
      <xdr:rowOff>0</xdr:rowOff>
    </xdr:from>
    <xdr:ext cx="304800" cy="304800"/>
    <xdr:sp macro="" textlink="">
      <xdr:nvSpPr>
        <xdr:cNvPr id="6612" name="AutoShape 233">
          <a:extLst>
            <a:ext uri="{FF2B5EF4-FFF2-40B4-BE49-F238E27FC236}">
              <a16:creationId xmlns:a16="http://schemas.microsoft.com/office/drawing/2014/main" id="{33F1230D-F6FB-4AC8-9C18-A15237EC35E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26</xdr:row>
      <xdr:rowOff>0</xdr:rowOff>
    </xdr:from>
    <xdr:ext cx="9525" cy="9525"/>
    <xdr:pic>
      <xdr:nvPicPr>
        <xdr:cNvPr id="6613" name="Picture 6612">
          <a:extLst>
            <a:ext uri="{FF2B5EF4-FFF2-40B4-BE49-F238E27FC236}">
              <a16:creationId xmlns:a16="http://schemas.microsoft.com/office/drawing/2014/main" id="{43FD32D4-32EF-4C53-B9A9-7C3761674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25</xdr:row>
      <xdr:rowOff>0</xdr:rowOff>
    </xdr:from>
    <xdr:ext cx="304800" cy="303440"/>
    <xdr:sp macro="" textlink="">
      <xdr:nvSpPr>
        <xdr:cNvPr id="6614" name="AutoShape 235">
          <a:extLst>
            <a:ext uri="{FF2B5EF4-FFF2-40B4-BE49-F238E27FC236}">
              <a16:creationId xmlns:a16="http://schemas.microsoft.com/office/drawing/2014/main" id="{0033E786-0637-4CBF-BC05-E663218C9D32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15" name="Picture 6614">
          <a:extLst>
            <a:ext uri="{FF2B5EF4-FFF2-40B4-BE49-F238E27FC236}">
              <a16:creationId xmlns:a16="http://schemas.microsoft.com/office/drawing/2014/main" id="{510D2714-C576-42B8-A04D-45985A5B2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16" name="Picture 6615">
          <a:extLst>
            <a:ext uri="{FF2B5EF4-FFF2-40B4-BE49-F238E27FC236}">
              <a16:creationId xmlns:a16="http://schemas.microsoft.com/office/drawing/2014/main" id="{69DD7B15-AF2D-4E6E-A22F-2D5C83F0B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17" name="Picture 6616">
          <a:extLst>
            <a:ext uri="{FF2B5EF4-FFF2-40B4-BE49-F238E27FC236}">
              <a16:creationId xmlns:a16="http://schemas.microsoft.com/office/drawing/2014/main" id="{F65C1195-48B9-4565-8FE3-E40DEF195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18" name="Picture 6617">
          <a:extLst>
            <a:ext uri="{FF2B5EF4-FFF2-40B4-BE49-F238E27FC236}">
              <a16:creationId xmlns:a16="http://schemas.microsoft.com/office/drawing/2014/main" id="{91EC119B-73DB-4D02-AD06-E6336D0F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19" name="Picture 6618">
          <a:extLst>
            <a:ext uri="{FF2B5EF4-FFF2-40B4-BE49-F238E27FC236}">
              <a16:creationId xmlns:a16="http://schemas.microsoft.com/office/drawing/2014/main" id="{15863BDF-BE37-4B55-B3F1-0834D38FD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620" name="AutoShape 241">
          <a:extLst>
            <a:ext uri="{FF2B5EF4-FFF2-40B4-BE49-F238E27FC236}">
              <a16:creationId xmlns:a16="http://schemas.microsoft.com/office/drawing/2014/main" id="{1421E5C8-C5CB-417C-99F2-F21B8EC56FBB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21" name="Picture 6620">
          <a:extLst>
            <a:ext uri="{FF2B5EF4-FFF2-40B4-BE49-F238E27FC236}">
              <a16:creationId xmlns:a16="http://schemas.microsoft.com/office/drawing/2014/main" id="{908F9937-1983-4286-AE08-F564BAFE7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622" name="AutoShape 243">
          <a:extLst>
            <a:ext uri="{FF2B5EF4-FFF2-40B4-BE49-F238E27FC236}">
              <a16:creationId xmlns:a16="http://schemas.microsoft.com/office/drawing/2014/main" id="{6E34B80E-233C-4A91-876F-A5D11D4CCBC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13</xdr:row>
      <xdr:rowOff>0</xdr:rowOff>
    </xdr:from>
    <xdr:ext cx="9525" cy="9525"/>
    <xdr:pic>
      <xdr:nvPicPr>
        <xdr:cNvPr id="6623" name="Picture 6622">
          <a:extLst>
            <a:ext uri="{FF2B5EF4-FFF2-40B4-BE49-F238E27FC236}">
              <a16:creationId xmlns:a16="http://schemas.microsoft.com/office/drawing/2014/main" id="{C602625B-4F04-4C67-AE50-0F29E17DA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12</xdr:row>
      <xdr:rowOff>0</xdr:rowOff>
    </xdr:from>
    <xdr:ext cx="304800" cy="303439"/>
    <xdr:sp macro="" textlink="">
      <xdr:nvSpPr>
        <xdr:cNvPr id="6624" name="AutoShape 245">
          <a:extLst>
            <a:ext uri="{FF2B5EF4-FFF2-40B4-BE49-F238E27FC236}">
              <a16:creationId xmlns:a16="http://schemas.microsoft.com/office/drawing/2014/main" id="{E7A2D055-C934-4008-B3CF-32D5FD1A1AE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25" name="Picture 6624">
          <a:extLst>
            <a:ext uri="{FF2B5EF4-FFF2-40B4-BE49-F238E27FC236}">
              <a16:creationId xmlns:a16="http://schemas.microsoft.com/office/drawing/2014/main" id="{183BEEF0-D01E-475F-92D9-88E96490D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13</xdr:row>
      <xdr:rowOff>0</xdr:rowOff>
    </xdr:from>
    <xdr:ext cx="304800" cy="304800"/>
    <xdr:sp macro="" textlink="">
      <xdr:nvSpPr>
        <xdr:cNvPr id="6626" name="AutoShape 247">
          <a:extLst>
            <a:ext uri="{FF2B5EF4-FFF2-40B4-BE49-F238E27FC236}">
              <a16:creationId xmlns:a16="http://schemas.microsoft.com/office/drawing/2014/main" id="{224B4BD1-8E7D-4A82-BF30-8E93BF7913D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27" name="Picture 6626">
          <a:extLst>
            <a:ext uri="{FF2B5EF4-FFF2-40B4-BE49-F238E27FC236}">
              <a16:creationId xmlns:a16="http://schemas.microsoft.com/office/drawing/2014/main" id="{EB9707B7-4B50-449F-8203-69AC74652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3440"/>
    <xdr:sp macro="" textlink="">
      <xdr:nvSpPr>
        <xdr:cNvPr id="6628" name="AutoShape 249">
          <a:extLst>
            <a:ext uri="{FF2B5EF4-FFF2-40B4-BE49-F238E27FC236}">
              <a16:creationId xmlns:a16="http://schemas.microsoft.com/office/drawing/2014/main" id="{3B7C4975-64A3-47BC-A4D0-77AC8CEF2F05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27</xdr:row>
      <xdr:rowOff>0</xdr:rowOff>
    </xdr:from>
    <xdr:ext cx="9525" cy="9525"/>
    <xdr:pic>
      <xdr:nvPicPr>
        <xdr:cNvPr id="6629" name="Picture 6628">
          <a:extLst>
            <a:ext uri="{FF2B5EF4-FFF2-40B4-BE49-F238E27FC236}">
              <a16:creationId xmlns:a16="http://schemas.microsoft.com/office/drawing/2014/main" id="{8D5AC737-57DC-4CD1-BEC8-3842433C0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30" name="Picture 6629">
          <a:extLst>
            <a:ext uri="{FF2B5EF4-FFF2-40B4-BE49-F238E27FC236}">
              <a16:creationId xmlns:a16="http://schemas.microsoft.com/office/drawing/2014/main" id="{C23EA7AE-D0B8-485B-B35A-4C0A1FF16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3</xdr:row>
      <xdr:rowOff>0</xdr:rowOff>
    </xdr:from>
    <xdr:ext cx="9525" cy="9525"/>
    <xdr:pic>
      <xdr:nvPicPr>
        <xdr:cNvPr id="6631" name="Picture 6630">
          <a:extLst>
            <a:ext uri="{FF2B5EF4-FFF2-40B4-BE49-F238E27FC236}">
              <a16:creationId xmlns:a16="http://schemas.microsoft.com/office/drawing/2014/main" id="{D735FBCB-5ABB-4372-8B73-FCCC9CA05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</xdr:row>
      <xdr:rowOff>0</xdr:rowOff>
    </xdr:from>
    <xdr:ext cx="304800" cy="303439"/>
    <xdr:sp macro="" textlink="">
      <xdr:nvSpPr>
        <xdr:cNvPr id="6632" name="AutoShape 253">
          <a:extLst>
            <a:ext uri="{FF2B5EF4-FFF2-40B4-BE49-F238E27FC236}">
              <a16:creationId xmlns:a16="http://schemas.microsoft.com/office/drawing/2014/main" id="{F4ECC821-218F-47D4-8A14-A71CB38A4EDF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4</xdr:row>
      <xdr:rowOff>0</xdr:rowOff>
    </xdr:from>
    <xdr:ext cx="9525" cy="9525"/>
    <xdr:pic>
      <xdr:nvPicPr>
        <xdr:cNvPr id="6633" name="Picture 6632">
          <a:extLst>
            <a:ext uri="{FF2B5EF4-FFF2-40B4-BE49-F238E27FC236}">
              <a16:creationId xmlns:a16="http://schemas.microsoft.com/office/drawing/2014/main" id="{D533AB7A-EECA-4AA6-9C9C-F515940A3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9525" cy="9525"/>
    <xdr:pic>
      <xdr:nvPicPr>
        <xdr:cNvPr id="6634" name="Picture 6633">
          <a:extLst>
            <a:ext uri="{FF2B5EF4-FFF2-40B4-BE49-F238E27FC236}">
              <a16:creationId xmlns:a16="http://schemas.microsoft.com/office/drawing/2014/main" id="{88B4C5B0-AD85-4775-8A7D-7AC2E424B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6</xdr:row>
      <xdr:rowOff>0</xdr:rowOff>
    </xdr:from>
    <xdr:ext cx="9525" cy="9525"/>
    <xdr:pic>
      <xdr:nvPicPr>
        <xdr:cNvPr id="6635" name="Picture 6634">
          <a:extLst>
            <a:ext uri="{FF2B5EF4-FFF2-40B4-BE49-F238E27FC236}">
              <a16:creationId xmlns:a16="http://schemas.microsoft.com/office/drawing/2014/main" id="{42B0C7D0-5532-49FF-908E-ECC70A380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304800" cy="304800"/>
    <xdr:sp macro="" textlink="">
      <xdr:nvSpPr>
        <xdr:cNvPr id="6636" name="AutoShape 257">
          <a:extLst>
            <a:ext uri="{FF2B5EF4-FFF2-40B4-BE49-F238E27FC236}">
              <a16:creationId xmlns:a16="http://schemas.microsoft.com/office/drawing/2014/main" id="{0C16CBC9-7C65-4598-BD83-96D9423D6EAC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37" name="Picture 6636">
          <a:extLst>
            <a:ext uri="{FF2B5EF4-FFF2-40B4-BE49-F238E27FC236}">
              <a16:creationId xmlns:a16="http://schemas.microsoft.com/office/drawing/2014/main" id="{0ACAE6EA-7B68-4C87-8462-CE087BA9D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24</xdr:row>
      <xdr:rowOff>0</xdr:rowOff>
    </xdr:from>
    <xdr:ext cx="304800" cy="304800"/>
    <xdr:sp macro="" textlink="">
      <xdr:nvSpPr>
        <xdr:cNvPr id="6638" name="AutoShape 259">
          <a:extLst>
            <a:ext uri="{FF2B5EF4-FFF2-40B4-BE49-F238E27FC236}">
              <a16:creationId xmlns:a16="http://schemas.microsoft.com/office/drawing/2014/main" id="{0BCA1CAA-15E3-406A-8ECA-8BA0E4D0A362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26</xdr:row>
      <xdr:rowOff>0</xdr:rowOff>
    </xdr:from>
    <xdr:ext cx="9525" cy="9525"/>
    <xdr:pic>
      <xdr:nvPicPr>
        <xdr:cNvPr id="6639" name="Picture 6638">
          <a:extLst>
            <a:ext uri="{FF2B5EF4-FFF2-40B4-BE49-F238E27FC236}">
              <a16:creationId xmlns:a16="http://schemas.microsoft.com/office/drawing/2014/main" id="{E7B0AA97-7E73-446E-97AE-E191B900A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25</xdr:row>
      <xdr:rowOff>0</xdr:rowOff>
    </xdr:from>
    <xdr:ext cx="304800" cy="303440"/>
    <xdr:sp macro="" textlink="">
      <xdr:nvSpPr>
        <xdr:cNvPr id="6640" name="AutoShape 261">
          <a:extLst>
            <a:ext uri="{FF2B5EF4-FFF2-40B4-BE49-F238E27FC236}">
              <a16:creationId xmlns:a16="http://schemas.microsoft.com/office/drawing/2014/main" id="{6A2D3B5F-4EAF-45DB-9773-778EE73CA0AB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41" name="Picture 6640">
          <a:extLst>
            <a:ext uri="{FF2B5EF4-FFF2-40B4-BE49-F238E27FC236}">
              <a16:creationId xmlns:a16="http://schemas.microsoft.com/office/drawing/2014/main" id="{22739018-200E-47C9-AE30-A7F63B643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42" name="Picture 6641">
          <a:extLst>
            <a:ext uri="{FF2B5EF4-FFF2-40B4-BE49-F238E27FC236}">
              <a16:creationId xmlns:a16="http://schemas.microsoft.com/office/drawing/2014/main" id="{674B7E39-A083-423A-B558-B45A8FB40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43" name="Picture 6642">
          <a:extLst>
            <a:ext uri="{FF2B5EF4-FFF2-40B4-BE49-F238E27FC236}">
              <a16:creationId xmlns:a16="http://schemas.microsoft.com/office/drawing/2014/main" id="{5C2A6C2A-3933-4717-B467-061075037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44" name="Picture 6643">
          <a:extLst>
            <a:ext uri="{FF2B5EF4-FFF2-40B4-BE49-F238E27FC236}">
              <a16:creationId xmlns:a16="http://schemas.microsoft.com/office/drawing/2014/main" id="{72D68773-D962-4BFE-B9B8-41398A335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45" name="Picture 6644">
          <a:extLst>
            <a:ext uri="{FF2B5EF4-FFF2-40B4-BE49-F238E27FC236}">
              <a16:creationId xmlns:a16="http://schemas.microsoft.com/office/drawing/2014/main" id="{9E6137B4-813C-4DC0-AABB-2F0628464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646" name="AutoShape 267">
          <a:extLst>
            <a:ext uri="{FF2B5EF4-FFF2-40B4-BE49-F238E27FC236}">
              <a16:creationId xmlns:a16="http://schemas.microsoft.com/office/drawing/2014/main" id="{216AFF9C-FFDF-40BE-9A52-A086D9FEDB4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47" name="Picture 6646">
          <a:extLst>
            <a:ext uri="{FF2B5EF4-FFF2-40B4-BE49-F238E27FC236}">
              <a16:creationId xmlns:a16="http://schemas.microsoft.com/office/drawing/2014/main" id="{D295B57C-45E6-4A42-BF6C-02DCCDECF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648" name="AutoShape 269">
          <a:extLst>
            <a:ext uri="{FF2B5EF4-FFF2-40B4-BE49-F238E27FC236}">
              <a16:creationId xmlns:a16="http://schemas.microsoft.com/office/drawing/2014/main" id="{A5C08C95-9A60-4980-B599-499823EE4BC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13</xdr:row>
      <xdr:rowOff>0</xdr:rowOff>
    </xdr:from>
    <xdr:ext cx="9525" cy="9525"/>
    <xdr:pic>
      <xdr:nvPicPr>
        <xdr:cNvPr id="6649" name="Picture 6648">
          <a:extLst>
            <a:ext uri="{FF2B5EF4-FFF2-40B4-BE49-F238E27FC236}">
              <a16:creationId xmlns:a16="http://schemas.microsoft.com/office/drawing/2014/main" id="{42AD27DD-793D-4C95-BF7F-A2F47B259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12</xdr:row>
      <xdr:rowOff>0</xdr:rowOff>
    </xdr:from>
    <xdr:ext cx="304800" cy="303439"/>
    <xdr:sp macro="" textlink="">
      <xdr:nvSpPr>
        <xdr:cNvPr id="6650" name="AutoShape 271">
          <a:extLst>
            <a:ext uri="{FF2B5EF4-FFF2-40B4-BE49-F238E27FC236}">
              <a16:creationId xmlns:a16="http://schemas.microsoft.com/office/drawing/2014/main" id="{5A7CE13A-59DC-4794-A051-57E774E877C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51" name="Picture 6650">
          <a:extLst>
            <a:ext uri="{FF2B5EF4-FFF2-40B4-BE49-F238E27FC236}">
              <a16:creationId xmlns:a16="http://schemas.microsoft.com/office/drawing/2014/main" id="{CDE24C75-5BA1-435E-8981-340A46B1D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13</xdr:row>
      <xdr:rowOff>0</xdr:rowOff>
    </xdr:from>
    <xdr:ext cx="304800" cy="304800"/>
    <xdr:sp macro="" textlink="">
      <xdr:nvSpPr>
        <xdr:cNvPr id="6652" name="AutoShape 273">
          <a:extLst>
            <a:ext uri="{FF2B5EF4-FFF2-40B4-BE49-F238E27FC236}">
              <a16:creationId xmlns:a16="http://schemas.microsoft.com/office/drawing/2014/main" id="{F054C2EC-CE47-4841-928E-ED5DAEDDC5D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53" name="Picture 6652">
          <a:extLst>
            <a:ext uri="{FF2B5EF4-FFF2-40B4-BE49-F238E27FC236}">
              <a16:creationId xmlns:a16="http://schemas.microsoft.com/office/drawing/2014/main" id="{7AA6A0E5-17A1-4589-A1F2-B2D483304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3440"/>
    <xdr:sp macro="" textlink="">
      <xdr:nvSpPr>
        <xdr:cNvPr id="6654" name="AutoShape 275">
          <a:extLst>
            <a:ext uri="{FF2B5EF4-FFF2-40B4-BE49-F238E27FC236}">
              <a16:creationId xmlns:a16="http://schemas.microsoft.com/office/drawing/2014/main" id="{E7D38B48-F5F8-4460-8E71-74F5EC26294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27</xdr:row>
      <xdr:rowOff>0</xdr:rowOff>
    </xdr:from>
    <xdr:ext cx="9525" cy="9525"/>
    <xdr:pic>
      <xdr:nvPicPr>
        <xdr:cNvPr id="6655" name="Picture 6654">
          <a:extLst>
            <a:ext uri="{FF2B5EF4-FFF2-40B4-BE49-F238E27FC236}">
              <a16:creationId xmlns:a16="http://schemas.microsoft.com/office/drawing/2014/main" id="{AB018983-ED66-4C20-8C78-A0651A3ED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56" name="Picture 6655">
          <a:extLst>
            <a:ext uri="{FF2B5EF4-FFF2-40B4-BE49-F238E27FC236}">
              <a16:creationId xmlns:a16="http://schemas.microsoft.com/office/drawing/2014/main" id="{717ABCFB-3E32-48E8-A761-211F36A16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3</xdr:row>
      <xdr:rowOff>0</xdr:rowOff>
    </xdr:from>
    <xdr:ext cx="9525" cy="9525"/>
    <xdr:pic>
      <xdr:nvPicPr>
        <xdr:cNvPr id="6657" name="Picture 6656">
          <a:extLst>
            <a:ext uri="{FF2B5EF4-FFF2-40B4-BE49-F238E27FC236}">
              <a16:creationId xmlns:a16="http://schemas.microsoft.com/office/drawing/2014/main" id="{BCB298D7-11AE-4ABE-99B1-5340F3CEF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</xdr:row>
      <xdr:rowOff>0</xdr:rowOff>
    </xdr:from>
    <xdr:ext cx="304800" cy="303439"/>
    <xdr:sp macro="" textlink="">
      <xdr:nvSpPr>
        <xdr:cNvPr id="6658" name="AutoShape 305">
          <a:extLst>
            <a:ext uri="{FF2B5EF4-FFF2-40B4-BE49-F238E27FC236}">
              <a16:creationId xmlns:a16="http://schemas.microsoft.com/office/drawing/2014/main" id="{F74795B5-758B-4E79-BB6F-C67083D15193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4</xdr:row>
      <xdr:rowOff>0</xdr:rowOff>
    </xdr:from>
    <xdr:ext cx="9525" cy="9525"/>
    <xdr:pic>
      <xdr:nvPicPr>
        <xdr:cNvPr id="6659" name="Picture 6658">
          <a:extLst>
            <a:ext uri="{FF2B5EF4-FFF2-40B4-BE49-F238E27FC236}">
              <a16:creationId xmlns:a16="http://schemas.microsoft.com/office/drawing/2014/main" id="{7F0CC8C7-D49C-46AC-BE33-4C5A401F1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9525" cy="9525"/>
    <xdr:pic>
      <xdr:nvPicPr>
        <xdr:cNvPr id="6660" name="Picture 6659">
          <a:extLst>
            <a:ext uri="{FF2B5EF4-FFF2-40B4-BE49-F238E27FC236}">
              <a16:creationId xmlns:a16="http://schemas.microsoft.com/office/drawing/2014/main" id="{E611F306-3A48-42D7-8128-C1DED6ADB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6</xdr:row>
      <xdr:rowOff>0</xdr:rowOff>
    </xdr:from>
    <xdr:ext cx="9525" cy="9525"/>
    <xdr:pic>
      <xdr:nvPicPr>
        <xdr:cNvPr id="6661" name="Picture 6660">
          <a:extLst>
            <a:ext uri="{FF2B5EF4-FFF2-40B4-BE49-F238E27FC236}">
              <a16:creationId xmlns:a16="http://schemas.microsoft.com/office/drawing/2014/main" id="{8092AF38-10D7-4CE2-AF6D-6388A36F3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304800" cy="304800"/>
    <xdr:sp macro="" textlink="">
      <xdr:nvSpPr>
        <xdr:cNvPr id="6662" name="AutoShape 309">
          <a:extLst>
            <a:ext uri="{FF2B5EF4-FFF2-40B4-BE49-F238E27FC236}">
              <a16:creationId xmlns:a16="http://schemas.microsoft.com/office/drawing/2014/main" id="{8DA5C554-EA93-4A5A-A42D-4DD823BA22B6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63" name="Picture 6662">
          <a:extLst>
            <a:ext uri="{FF2B5EF4-FFF2-40B4-BE49-F238E27FC236}">
              <a16:creationId xmlns:a16="http://schemas.microsoft.com/office/drawing/2014/main" id="{8A2D0AD2-3E2D-4872-ACF4-0EFA386B2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24</xdr:row>
      <xdr:rowOff>0</xdr:rowOff>
    </xdr:from>
    <xdr:ext cx="304800" cy="304800"/>
    <xdr:sp macro="" textlink="">
      <xdr:nvSpPr>
        <xdr:cNvPr id="6664" name="AutoShape 311">
          <a:extLst>
            <a:ext uri="{FF2B5EF4-FFF2-40B4-BE49-F238E27FC236}">
              <a16:creationId xmlns:a16="http://schemas.microsoft.com/office/drawing/2014/main" id="{5FFA0034-712C-4F37-AEA9-5E21A745921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26</xdr:row>
      <xdr:rowOff>0</xdr:rowOff>
    </xdr:from>
    <xdr:ext cx="9525" cy="9525"/>
    <xdr:pic>
      <xdr:nvPicPr>
        <xdr:cNvPr id="6665" name="Picture 6664">
          <a:extLst>
            <a:ext uri="{FF2B5EF4-FFF2-40B4-BE49-F238E27FC236}">
              <a16:creationId xmlns:a16="http://schemas.microsoft.com/office/drawing/2014/main" id="{2F800DD8-2844-4DAD-87C6-FA25E81D3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25</xdr:row>
      <xdr:rowOff>0</xdr:rowOff>
    </xdr:from>
    <xdr:ext cx="304800" cy="303440"/>
    <xdr:sp macro="" textlink="">
      <xdr:nvSpPr>
        <xdr:cNvPr id="6666" name="AutoShape 313">
          <a:extLst>
            <a:ext uri="{FF2B5EF4-FFF2-40B4-BE49-F238E27FC236}">
              <a16:creationId xmlns:a16="http://schemas.microsoft.com/office/drawing/2014/main" id="{DA0A24F5-60D9-41AB-BEDE-B10FAD21FC8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67" name="Picture 6666">
          <a:extLst>
            <a:ext uri="{FF2B5EF4-FFF2-40B4-BE49-F238E27FC236}">
              <a16:creationId xmlns:a16="http://schemas.microsoft.com/office/drawing/2014/main" id="{9BBAB0B6-0E95-4851-9C8D-E719592AA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68" name="Picture 6667">
          <a:extLst>
            <a:ext uri="{FF2B5EF4-FFF2-40B4-BE49-F238E27FC236}">
              <a16:creationId xmlns:a16="http://schemas.microsoft.com/office/drawing/2014/main" id="{A3C9BA1E-7468-477D-91D7-A845DB3A7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69" name="Picture 6668">
          <a:extLst>
            <a:ext uri="{FF2B5EF4-FFF2-40B4-BE49-F238E27FC236}">
              <a16:creationId xmlns:a16="http://schemas.microsoft.com/office/drawing/2014/main" id="{FC6AB5A0-81BC-4ABD-B8BD-2F17B1319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70" name="Picture 6669">
          <a:extLst>
            <a:ext uri="{FF2B5EF4-FFF2-40B4-BE49-F238E27FC236}">
              <a16:creationId xmlns:a16="http://schemas.microsoft.com/office/drawing/2014/main" id="{51FD2129-C0AD-446E-9E32-4EC6F6AB3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71" name="Picture 6670">
          <a:extLst>
            <a:ext uri="{FF2B5EF4-FFF2-40B4-BE49-F238E27FC236}">
              <a16:creationId xmlns:a16="http://schemas.microsoft.com/office/drawing/2014/main" id="{2384E5AB-5D47-4338-B7C5-8BFF4DB15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672" name="AutoShape 319">
          <a:extLst>
            <a:ext uri="{FF2B5EF4-FFF2-40B4-BE49-F238E27FC236}">
              <a16:creationId xmlns:a16="http://schemas.microsoft.com/office/drawing/2014/main" id="{125EEBBC-7759-4AA3-9322-7DC852B513F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73" name="Picture 6672">
          <a:extLst>
            <a:ext uri="{FF2B5EF4-FFF2-40B4-BE49-F238E27FC236}">
              <a16:creationId xmlns:a16="http://schemas.microsoft.com/office/drawing/2014/main" id="{98C90D80-7831-48E5-9FDB-DEC21EE00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674" name="AutoShape 321">
          <a:extLst>
            <a:ext uri="{FF2B5EF4-FFF2-40B4-BE49-F238E27FC236}">
              <a16:creationId xmlns:a16="http://schemas.microsoft.com/office/drawing/2014/main" id="{B1390A58-9603-41CD-B817-DD8AE2FC126F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13</xdr:row>
      <xdr:rowOff>0</xdr:rowOff>
    </xdr:from>
    <xdr:ext cx="9525" cy="9525"/>
    <xdr:pic>
      <xdr:nvPicPr>
        <xdr:cNvPr id="6675" name="Picture 6674">
          <a:extLst>
            <a:ext uri="{FF2B5EF4-FFF2-40B4-BE49-F238E27FC236}">
              <a16:creationId xmlns:a16="http://schemas.microsoft.com/office/drawing/2014/main" id="{BBF20E40-72FD-4AB4-B67C-85A71EB47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12</xdr:row>
      <xdr:rowOff>0</xdr:rowOff>
    </xdr:from>
    <xdr:ext cx="304800" cy="303439"/>
    <xdr:sp macro="" textlink="">
      <xdr:nvSpPr>
        <xdr:cNvPr id="6676" name="AutoShape 323">
          <a:extLst>
            <a:ext uri="{FF2B5EF4-FFF2-40B4-BE49-F238E27FC236}">
              <a16:creationId xmlns:a16="http://schemas.microsoft.com/office/drawing/2014/main" id="{2FAA0008-EC03-42AB-884A-57EDAF3DA206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77" name="Picture 6676">
          <a:extLst>
            <a:ext uri="{FF2B5EF4-FFF2-40B4-BE49-F238E27FC236}">
              <a16:creationId xmlns:a16="http://schemas.microsoft.com/office/drawing/2014/main" id="{4BF46E4A-0076-4EE5-8637-0AEA5A0D6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13</xdr:row>
      <xdr:rowOff>0</xdr:rowOff>
    </xdr:from>
    <xdr:ext cx="304800" cy="304800"/>
    <xdr:sp macro="" textlink="">
      <xdr:nvSpPr>
        <xdr:cNvPr id="6678" name="AutoShape 325">
          <a:extLst>
            <a:ext uri="{FF2B5EF4-FFF2-40B4-BE49-F238E27FC236}">
              <a16:creationId xmlns:a16="http://schemas.microsoft.com/office/drawing/2014/main" id="{C2E3ABB1-2772-4EB5-A231-798CDC99400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79" name="Picture 6678">
          <a:extLst>
            <a:ext uri="{FF2B5EF4-FFF2-40B4-BE49-F238E27FC236}">
              <a16:creationId xmlns:a16="http://schemas.microsoft.com/office/drawing/2014/main" id="{814DF054-E4F6-414B-900A-17492B7A7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3440"/>
    <xdr:sp macro="" textlink="">
      <xdr:nvSpPr>
        <xdr:cNvPr id="6680" name="AutoShape 327">
          <a:extLst>
            <a:ext uri="{FF2B5EF4-FFF2-40B4-BE49-F238E27FC236}">
              <a16:creationId xmlns:a16="http://schemas.microsoft.com/office/drawing/2014/main" id="{E3787B02-772A-4B25-A906-1450A2E8AB2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27</xdr:row>
      <xdr:rowOff>0</xdr:rowOff>
    </xdr:from>
    <xdr:ext cx="9525" cy="9525"/>
    <xdr:pic>
      <xdr:nvPicPr>
        <xdr:cNvPr id="6681" name="Picture 6680">
          <a:extLst>
            <a:ext uri="{FF2B5EF4-FFF2-40B4-BE49-F238E27FC236}">
              <a16:creationId xmlns:a16="http://schemas.microsoft.com/office/drawing/2014/main" id="{3E550726-6EA0-4EA9-96D4-8FD57FA6F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82" name="Picture 6681">
          <a:extLst>
            <a:ext uri="{FF2B5EF4-FFF2-40B4-BE49-F238E27FC236}">
              <a16:creationId xmlns:a16="http://schemas.microsoft.com/office/drawing/2014/main" id="{92BBC24F-585F-4B7E-844E-63316B739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3</xdr:row>
      <xdr:rowOff>0</xdr:rowOff>
    </xdr:from>
    <xdr:ext cx="9525" cy="9525"/>
    <xdr:pic>
      <xdr:nvPicPr>
        <xdr:cNvPr id="6683" name="Picture 6682">
          <a:extLst>
            <a:ext uri="{FF2B5EF4-FFF2-40B4-BE49-F238E27FC236}">
              <a16:creationId xmlns:a16="http://schemas.microsoft.com/office/drawing/2014/main" id="{724BFA45-E251-4D88-86CF-1E07428B9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</xdr:row>
      <xdr:rowOff>0</xdr:rowOff>
    </xdr:from>
    <xdr:ext cx="304800" cy="303439"/>
    <xdr:sp macro="" textlink="">
      <xdr:nvSpPr>
        <xdr:cNvPr id="6684" name="AutoShape 357">
          <a:extLst>
            <a:ext uri="{FF2B5EF4-FFF2-40B4-BE49-F238E27FC236}">
              <a16:creationId xmlns:a16="http://schemas.microsoft.com/office/drawing/2014/main" id="{61895376-B9E3-4086-A1F7-E9A1E33AA8D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4</xdr:row>
      <xdr:rowOff>0</xdr:rowOff>
    </xdr:from>
    <xdr:ext cx="9525" cy="9525"/>
    <xdr:pic>
      <xdr:nvPicPr>
        <xdr:cNvPr id="6685" name="Picture 6684">
          <a:extLst>
            <a:ext uri="{FF2B5EF4-FFF2-40B4-BE49-F238E27FC236}">
              <a16:creationId xmlns:a16="http://schemas.microsoft.com/office/drawing/2014/main" id="{C20EC91E-FE2D-4A22-8113-4BAA10F26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9525" cy="9525"/>
    <xdr:pic>
      <xdr:nvPicPr>
        <xdr:cNvPr id="6686" name="Picture 6685">
          <a:extLst>
            <a:ext uri="{FF2B5EF4-FFF2-40B4-BE49-F238E27FC236}">
              <a16:creationId xmlns:a16="http://schemas.microsoft.com/office/drawing/2014/main" id="{2CFEA0B4-1D71-4ACD-A7D2-B3AB8BA2D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6</xdr:row>
      <xdr:rowOff>0</xdr:rowOff>
    </xdr:from>
    <xdr:ext cx="9525" cy="9525"/>
    <xdr:pic>
      <xdr:nvPicPr>
        <xdr:cNvPr id="6687" name="Picture 6686">
          <a:extLst>
            <a:ext uri="{FF2B5EF4-FFF2-40B4-BE49-F238E27FC236}">
              <a16:creationId xmlns:a16="http://schemas.microsoft.com/office/drawing/2014/main" id="{F8DA08A4-E940-4953-AC81-1D5722775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304800" cy="304800"/>
    <xdr:sp macro="" textlink="">
      <xdr:nvSpPr>
        <xdr:cNvPr id="6688" name="AutoShape 361">
          <a:extLst>
            <a:ext uri="{FF2B5EF4-FFF2-40B4-BE49-F238E27FC236}">
              <a16:creationId xmlns:a16="http://schemas.microsoft.com/office/drawing/2014/main" id="{7EB3E0AE-683F-4295-95D5-110FA8B5235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89" name="Picture 6688">
          <a:extLst>
            <a:ext uri="{FF2B5EF4-FFF2-40B4-BE49-F238E27FC236}">
              <a16:creationId xmlns:a16="http://schemas.microsoft.com/office/drawing/2014/main" id="{79932F54-DD6E-4684-9874-7F0B091E6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24</xdr:row>
      <xdr:rowOff>0</xdr:rowOff>
    </xdr:from>
    <xdr:ext cx="304800" cy="304800"/>
    <xdr:sp macro="" textlink="">
      <xdr:nvSpPr>
        <xdr:cNvPr id="6690" name="AutoShape 363">
          <a:extLst>
            <a:ext uri="{FF2B5EF4-FFF2-40B4-BE49-F238E27FC236}">
              <a16:creationId xmlns:a16="http://schemas.microsoft.com/office/drawing/2014/main" id="{2C844E21-CF55-42A7-8829-74AA54CF61D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26</xdr:row>
      <xdr:rowOff>0</xdr:rowOff>
    </xdr:from>
    <xdr:ext cx="9525" cy="9525"/>
    <xdr:pic>
      <xdr:nvPicPr>
        <xdr:cNvPr id="6691" name="Picture 6690">
          <a:extLst>
            <a:ext uri="{FF2B5EF4-FFF2-40B4-BE49-F238E27FC236}">
              <a16:creationId xmlns:a16="http://schemas.microsoft.com/office/drawing/2014/main" id="{66C5BB71-FB7E-41A4-8D44-F5EB5E1BC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25</xdr:row>
      <xdr:rowOff>0</xdr:rowOff>
    </xdr:from>
    <xdr:ext cx="304800" cy="303440"/>
    <xdr:sp macro="" textlink="">
      <xdr:nvSpPr>
        <xdr:cNvPr id="6692" name="AutoShape 365">
          <a:extLst>
            <a:ext uri="{FF2B5EF4-FFF2-40B4-BE49-F238E27FC236}">
              <a16:creationId xmlns:a16="http://schemas.microsoft.com/office/drawing/2014/main" id="{935FE802-5167-4041-8EAA-699DA6A7909C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93" name="Picture 6692">
          <a:extLst>
            <a:ext uri="{FF2B5EF4-FFF2-40B4-BE49-F238E27FC236}">
              <a16:creationId xmlns:a16="http://schemas.microsoft.com/office/drawing/2014/main" id="{D165105E-4E49-4EC7-A4A9-5C814DF3B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94" name="Picture 6693">
          <a:extLst>
            <a:ext uri="{FF2B5EF4-FFF2-40B4-BE49-F238E27FC236}">
              <a16:creationId xmlns:a16="http://schemas.microsoft.com/office/drawing/2014/main" id="{DB71F2AD-5F73-4716-BB91-469172713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95" name="Picture 6694">
          <a:extLst>
            <a:ext uri="{FF2B5EF4-FFF2-40B4-BE49-F238E27FC236}">
              <a16:creationId xmlns:a16="http://schemas.microsoft.com/office/drawing/2014/main" id="{F076B4C0-2AE5-4149-8C58-82A1A1C5D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96" name="Picture 6695">
          <a:extLst>
            <a:ext uri="{FF2B5EF4-FFF2-40B4-BE49-F238E27FC236}">
              <a16:creationId xmlns:a16="http://schemas.microsoft.com/office/drawing/2014/main" id="{FED1917C-5E61-4633-81B0-8C636681E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97" name="Picture 6696">
          <a:extLst>
            <a:ext uri="{FF2B5EF4-FFF2-40B4-BE49-F238E27FC236}">
              <a16:creationId xmlns:a16="http://schemas.microsoft.com/office/drawing/2014/main" id="{3D64DFF3-8D6C-40D3-810C-A1462F452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698" name="AutoShape 371">
          <a:extLst>
            <a:ext uri="{FF2B5EF4-FFF2-40B4-BE49-F238E27FC236}">
              <a16:creationId xmlns:a16="http://schemas.microsoft.com/office/drawing/2014/main" id="{705EF538-FAAA-46E3-9764-6A57CC0A343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699" name="Picture 6698">
          <a:extLst>
            <a:ext uri="{FF2B5EF4-FFF2-40B4-BE49-F238E27FC236}">
              <a16:creationId xmlns:a16="http://schemas.microsoft.com/office/drawing/2014/main" id="{0029443E-EED1-4769-90D9-8B03E612A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700" name="AutoShape 373">
          <a:extLst>
            <a:ext uri="{FF2B5EF4-FFF2-40B4-BE49-F238E27FC236}">
              <a16:creationId xmlns:a16="http://schemas.microsoft.com/office/drawing/2014/main" id="{F81D49A9-A863-4BD8-B117-4CB62FA1A22C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13</xdr:row>
      <xdr:rowOff>0</xdr:rowOff>
    </xdr:from>
    <xdr:ext cx="9525" cy="9525"/>
    <xdr:pic>
      <xdr:nvPicPr>
        <xdr:cNvPr id="6701" name="Picture 6700">
          <a:extLst>
            <a:ext uri="{FF2B5EF4-FFF2-40B4-BE49-F238E27FC236}">
              <a16:creationId xmlns:a16="http://schemas.microsoft.com/office/drawing/2014/main" id="{EA94C622-9424-45DA-B68B-61F7B18F8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12</xdr:row>
      <xdr:rowOff>0</xdr:rowOff>
    </xdr:from>
    <xdr:ext cx="304800" cy="303439"/>
    <xdr:sp macro="" textlink="">
      <xdr:nvSpPr>
        <xdr:cNvPr id="6702" name="AutoShape 375">
          <a:extLst>
            <a:ext uri="{FF2B5EF4-FFF2-40B4-BE49-F238E27FC236}">
              <a16:creationId xmlns:a16="http://schemas.microsoft.com/office/drawing/2014/main" id="{C1D03693-C727-4D4A-9843-FD0A25998EB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03" name="Picture 6702">
          <a:extLst>
            <a:ext uri="{FF2B5EF4-FFF2-40B4-BE49-F238E27FC236}">
              <a16:creationId xmlns:a16="http://schemas.microsoft.com/office/drawing/2014/main" id="{32433891-75AA-44C0-A3C2-6BF63C3D5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13</xdr:row>
      <xdr:rowOff>0</xdr:rowOff>
    </xdr:from>
    <xdr:ext cx="304800" cy="304800"/>
    <xdr:sp macro="" textlink="">
      <xdr:nvSpPr>
        <xdr:cNvPr id="6704" name="AutoShape 377">
          <a:extLst>
            <a:ext uri="{FF2B5EF4-FFF2-40B4-BE49-F238E27FC236}">
              <a16:creationId xmlns:a16="http://schemas.microsoft.com/office/drawing/2014/main" id="{72F41EB7-3340-4B32-8E42-4200E4AB810C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05" name="Picture 6704">
          <a:extLst>
            <a:ext uri="{FF2B5EF4-FFF2-40B4-BE49-F238E27FC236}">
              <a16:creationId xmlns:a16="http://schemas.microsoft.com/office/drawing/2014/main" id="{87703128-E58D-4230-B851-F8294371E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3440"/>
    <xdr:sp macro="" textlink="">
      <xdr:nvSpPr>
        <xdr:cNvPr id="6706" name="AutoShape 379">
          <a:extLst>
            <a:ext uri="{FF2B5EF4-FFF2-40B4-BE49-F238E27FC236}">
              <a16:creationId xmlns:a16="http://schemas.microsoft.com/office/drawing/2014/main" id="{9D153420-51EE-4F55-B34D-E26C2C7D5B05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27</xdr:row>
      <xdr:rowOff>0</xdr:rowOff>
    </xdr:from>
    <xdr:ext cx="9525" cy="9525"/>
    <xdr:pic>
      <xdr:nvPicPr>
        <xdr:cNvPr id="6707" name="Picture 6706">
          <a:extLst>
            <a:ext uri="{FF2B5EF4-FFF2-40B4-BE49-F238E27FC236}">
              <a16:creationId xmlns:a16="http://schemas.microsoft.com/office/drawing/2014/main" id="{59FDC0DF-7C46-445F-95B4-82E66126F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26</xdr:row>
      <xdr:rowOff>0</xdr:rowOff>
    </xdr:from>
    <xdr:ext cx="304800" cy="303439"/>
    <xdr:sp macro="" textlink="">
      <xdr:nvSpPr>
        <xdr:cNvPr id="6708" name="AutoShape 381">
          <a:extLst>
            <a:ext uri="{FF2B5EF4-FFF2-40B4-BE49-F238E27FC236}">
              <a16:creationId xmlns:a16="http://schemas.microsoft.com/office/drawing/2014/main" id="{C1E5058A-78BA-4590-9A9F-CF70AFB8F6B8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09" name="Picture 6708">
          <a:extLst>
            <a:ext uri="{FF2B5EF4-FFF2-40B4-BE49-F238E27FC236}">
              <a16:creationId xmlns:a16="http://schemas.microsoft.com/office/drawing/2014/main" id="{354D47AA-5353-46CA-A8E1-BABC17AA7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10" name="Picture 6709">
          <a:extLst>
            <a:ext uri="{FF2B5EF4-FFF2-40B4-BE49-F238E27FC236}">
              <a16:creationId xmlns:a16="http://schemas.microsoft.com/office/drawing/2014/main" id="{F05B6620-770A-48C9-BD0B-CBCA7699E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3</xdr:row>
      <xdr:rowOff>0</xdr:rowOff>
    </xdr:from>
    <xdr:ext cx="9525" cy="9525"/>
    <xdr:pic>
      <xdr:nvPicPr>
        <xdr:cNvPr id="6711" name="Picture 6710">
          <a:extLst>
            <a:ext uri="{FF2B5EF4-FFF2-40B4-BE49-F238E27FC236}">
              <a16:creationId xmlns:a16="http://schemas.microsoft.com/office/drawing/2014/main" id="{EEA5DEBB-716F-4E42-BBCF-FEC28568F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</xdr:row>
      <xdr:rowOff>0</xdr:rowOff>
    </xdr:from>
    <xdr:ext cx="304800" cy="303439"/>
    <xdr:sp macro="" textlink="">
      <xdr:nvSpPr>
        <xdr:cNvPr id="6712" name="AutoShape 413">
          <a:extLst>
            <a:ext uri="{FF2B5EF4-FFF2-40B4-BE49-F238E27FC236}">
              <a16:creationId xmlns:a16="http://schemas.microsoft.com/office/drawing/2014/main" id="{C18A508F-5194-4CB8-9980-414FB290B133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4</xdr:row>
      <xdr:rowOff>0</xdr:rowOff>
    </xdr:from>
    <xdr:ext cx="9525" cy="9525"/>
    <xdr:pic>
      <xdr:nvPicPr>
        <xdr:cNvPr id="6713" name="Picture 6712">
          <a:extLst>
            <a:ext uri="{FF2B5EF4-FFF2-40B4-BE49-F238E27FC236}">
              <a16:creationId xmlns:a16="http://schemas.microsoft.com/office/drawing/2014/main" id="{F60C0341-AE19-4468-8CCC-66BB9282A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9525" cy="9525"/>
    <xdr:pic>
      <xdr:nvPicPr>
        <xdr:cNvPr id="6714" name="Picture 6713">
          <a:extLst>
            <a:ext uri="{FF2B5EF4-FFF2-40B4-BE49-F238E27FC236}">
              <a16:creationId xmlns:a16="http://schemas.microsoft.com/office/drawing/2014/main" id="{EBFE3FE3-B21B-41FB-B48A-1EC683914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6</xdr:row>
      <xdr:rowOff>0</xdr:rowOff>
    </xdr:from>
    <xdr:ext cx="9525" cy="9525"/>
    <xdr:pic>
      <xdr:nvPicPr>
        <xdr:cNvPr id="6715" name="Picture 6714">
          <a:extLst>
            <a:ext uri="{FF2B5EF4-FFF2-40B4-BE49-F238E27FC236}">
              <a16:creationId xmlns:a16="http://schemas.microsoft.com/office/drawing/2014/main" id="{4C2C9A56-D805-4E67-9877-B37F59EEE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304800" cy="304800"/>
    <xdr:sp macro="" textlink="">
      <xdr:nvSpPr>
        <xdr:cNvPr id="6716" name="AutoShape 417">
          <a:extLst>
            <a:ext uri="{FF2B5EF4-FFF2-40B4-BE49-F238E27FC236}">
              <a16:creationId xmlns:a16="http://schemas.microsoft.com/office/drawing/2014/main" id="{EE155479-F29E-4249-8FF1-A30B3D00DEEB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17" name="Picture 6716">
          <a:extLst>
            <a:ext uri="{FF2B5EF4-FFF2-40B4-BE49-F238E27FC236}">
              <a16:creationId xmlns:a16="http://schemas.microsoft.com/office/drawing/2014/main" id="{A26C26E6-BE9C-4EED-856B-731FC337A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24</xdr:row>
      <xdr:rowOff>0</xdr:rowOff>
    </xdr:from>
    <xdr:ext cx="304800" cy="304800"/>
    <xdr:sp macro="" textlink="">
      <xdr:nvSpPr>
        <xdr:cNvPr id="6718" name="AutoShape 419">
          <a:extLst>
            <a:ext uri="{FF2B5EF4-FFF2-40B4-BE49-F238E27FC236}">
              <a16:creationId xmlns:a16="http://schemas.microsoft.com/office/drawing/2014/main" id="{D016BFEF-DCE1-4224-932C-AF2A631467F8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26</xdr:row>
      <xdr:rowOff>0</xdr:rowOff>
    </xdr:from>
    <xdr:ext cx="9525" cy="9525"/>
    <xdr:pic>
      <xdr:nvPicPr>
        <xdr:cNvPr id="6719" name="Picture 6718">
          <a:extLst>
            <a:ext uri="{FF2B5EF4-FFF2-40B4-BE49-F238E27FC236}">
              <a16:creationId xmlns:a16="http://schemas.microsoft.com/office/drawing/2014/main" id="{4E07C03C-8752-4477-B1FD-D2981D4C5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25</xdr:row>
      <xdr:rowOff>0</xdr:rowOff>
    </xdr:from>
    <xdr:ext cx="304800" cy="303440"/>
    <xdr:sp macro="" textlink="">
      <xdr:nvSpPr>
        <xdr:cNvPr id="6720" name="AutoShape 421">
          <a:extLst>
            <a:ext uri="{FF2B5EF4-FFF2-40B4-BE49-F238E27FC236}">
              <a16:creationId xmlns:a16="http://schemas.microsoft.com/office/drawing/2014/main" id="{A2BE792C-C84E-482F-9BFB-29FCCFFA2A27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21" name="Picture 6720">
          <a:extLst>
            <a:ext uri="{FF2B5EF4-FFF2-40B4-BE49-F238E27FC236}">
              <a16:creationId xmlns:a16="http://schemas.microsoft.com/office/drawing/2014/main" id="{8FCC4EF6-EF9E-4934-9E87-1E0E8ABFF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22" name="Picture 6721">
          <a:extLst>
            <a:ext uri="{FF2B5EF4-FFF2-40B4-BE49-F238E27FC236}">
              <a16:creationId xmlns:a16="http://schemas.microsoft.com/office/drawing/2014/main" id="{4EB68305-84AB-4EC1-8A80-C8D75D4BC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23" name="Picture 6722">
          <a:extLst>
            <a:ext uri="{FF2B5EF4-FFF2-40B4-BE49-F238E27FC236}">
              <a16:creationId xmlns:a16="http://schemas.microsoft.com/office/drawing/2014/main" id="{5A1088AB-D8D8-46A4-8418-A07A874A4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24" name="Picture 6723">
          <a:extLst>
            <a:ext uri="{FF2B5EF4-FFF2-40B4-BE49-F238E27FC236}">
              <a16:creationId xmlns:a16="http://schemas.microsoft.com/office/drawing/2014/main" id="{00BE7AC9-21DF-4E82-B107-EAC43E641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25" name="Picture 6724">
          <a:extLst>
            <a:ext uri="{FF2B5EF4-FFF2-40B4-BE49-F238E27FC236}">
              <a16:creationId xmlns:a16="http://schemas.microsoft.com/office/drawing/2014/main" id="{9255F66F-AE26-4DBE-AF10-416D8ECD2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726" name="AutoShape 427">
          <a:extLst>
            <a:ext uri="{FF2B5EF4-FFF2-40B4-BE49-F238E27FC236}">
              <a16:creationId xmlns:a16="http://schemas.microsoft.com/office/drawing/2014/main" id="{E0A7DCAA-BA27-45EE-9C95-1841B521D2F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27" name="Picture 6726">
          <a:extLst>
            <a:ext uri="{FF2B5EF4-FFF2-40B4-BE49-F238E27FC236}">
              <a16:creationId xmlns:a16="http://schemas.microsoft.com/office/drawing/2014/main" id="{660DAB38-25F5-414F-8A78-DA641B573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728" name="AutoShape 429">
          <a:extLst>
            <a:ext uri="{FF2B5EF4-FFF2-40B4-BE49-F238E27FC236}">
              <a16:creationId xmlns:a16="http://schemas.microsoft.com/office/drawing/2014/main" id="{5EA0A29C-4DC5-48CC-AB06-94A44AAC0F4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13</xdr:row>
      <xdr:rowOff>0</xdr:rowOff>
    </xdr:from>
    <xdr:ext cx="9525" cy="9525"/>
    <xdr:pic>
      <xdr:nvPicPr>
        <xdr:cNvPr id="6729" name="Picture 6728">
          <a:extLst>
            <a:ext uri="{FF2B5EF4-FFF2-40B4-BE49-F238E27FC236}">
              <a16:creationId xmlns:a16="http://schemas.microsoft.com/office/drawing/2014/main" id="{37BF3749-34B5-4740-BAFC-212D186F4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12</xdr:row>
      <xdr:rowOff>0</xdr:rowOff>
    </xdr:from>
    <xdr:ext cx="304800" cy="303439"/>
    <xdr:sp macro="" textlink="">
      <xdr:nvSpPr>
        <xdr:cNvPr id="6730" name="AutoShape 431">
          <a:extLst>
            <a:ext uri="{FF2B5EF4-FFF2-40B4-BE49-F238E27FC236}">
              <a16:creationId xmlns:a16="http://schemas.microsoft.com/office/drawing/2014/main" id="{3F9D2A13-B925-4108-A5AB-6B80D933F597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31" name="Picture 6730">
          <a:extLst>
            <a:ext uri="{FF2B5EF4-FFF2-40B4-BE49-F238E27FC236}">
              <a16:creationId xmlns:a16="http://schemas.microsoft.com/office/drawing/2014/main" id="{F37ACE8D-1A22-4CBE-94EF-2D909BD5F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13</xdr:row>
      <xdr:rowOff>0</xdr:rowOff>
    </xdr:from>
    <xdr:ext cx="304800" cy="304800"/>
    <xdr:sp macro="" textlink="">
      <xdr:nvSpPr>
        <xdr:cNvPr id="6732" name="AutoShape 433">
          <a:extLst>
            <a:ext uri="{FF2B5EF4-FFF2-40B4-BE49-F238E27FC236}">
              <a16:creationId xmlns:a16="http://schemas.microsoft.com/office/drawing/2014/main" id="{2C9B6D67-AEED-4DDD-8A4C-98100445266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33" name="Picture 6732">
          <a:extLst>
            <a:ext uri="{FF2B5EF4-FFF2-40B4-BE49-F238E27FC236}">
              <a16:creationId xmlns:a16="http://schemas.microsoft.com/office/drawing/2014/main" id="{7DDEE6BA-FBA0-4677-A1BB-C1454DDFC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3440"/>
    <xdr:sp macro="" textlink="">
      <xdr:nvSpPr>
        <xdr:cNvPr id="6734" name="AutoShape 435">
          <a:extLst>
            <a:ext uri="{FF2B5EF4-FFF2-40B4-BE49-F238E27FC236}">
              <a16:creationId xmlns:a16="http://schemas.microsoft.com/office/drawing/2014/main" id="{9A8D268A-88FA-47A7-AE0A-DC8DE35A1608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27</xdr:row>
      <xdr:rowOff>0</xdr:rowOff>
    </xdr:from>
    <xdr:ext cx="9525" cy="9525"/>
    <xdr:pic>
      <xdr:nvPicPr>
        <xdr:cNvPr id="6735" name="Picture 6734">
          <a:extLst>
            <a:ext uri="{FF2B5EF4-FFF2-40B4-BE49-F238E27FC236}">
              <a16:creationId xmlns:a16="http://schemas.microsoft.com/office/drawing/2014/main" id="{DE35AD3D-B5C7-4387-8007-74171CE8B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26</xdr:row>
      <xdr:rowOff>0</xdr:rowOff>
    </xdr:from>
    <xdr:ext cx="304800" cy="303439"/>
    <xdr:sp macro="" textlink="">
      <xdr:nvSpPr>
        <xdr:cNvPr id="6736" name="AutoShape 437">
          <a:extLst>
            <a:ext uri="{FF2B5EF4-FFF2-40B4-BE49-F238E27FC236}">
              <a16:creationId xmlns:a16="http://schemas.microsoft.com/office/drawing/2014/main" id="{70B31498-1301-4C48-B938-932C86DE9B51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37" name="Picture 6736">
          <a:extLst>
            <a:ext uri="{FF2B5EF4-FFF2-40B4-BE49-F238E27FC236}">
              <a16:creationId xmlns:a16="http://schemas.microsoft.com/office/drawing/2014/main" id="{02FBB0BF-0E61-4B22-ADA4-34C9935F2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38" name="Picture 6737">
          <a:extLst>
            <a:ext uri="{FF2B5EF4-FFF2-40B4-BE49-F238E27FC236}">
              <a16:creationId xmlns:a16="http://schemas.microsoft.com/office/drawing/2014/main" id="{96C6C944-87B2-454F-9AC3-6FFCA870C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3</xdr:row>
      <xdr:rowOff>0</xdr:rowOff>
    </xdr:from>
    <xdr:ext cx="9525" cy="9525"/>
    <xdr:pic>
      <xdr:nvPicPr>
        <xdr:cNvPr id="6739" name="Picture 6738">
          <a:extLst>
            <a:ext uri="{FF2B5EF4-FFF2-40B4-BE49-F238E27FC236}">
              <a16:creationId xmlns:a16="http://schemas.microsoft.com/office/drawing/2014/main" id="{1BD18FBD-DA43-497D-B43D-BCA336F55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</xdr:row>
      <xdr:rowOff>0</xdr:rowOff>
    </xdr:from>
    <xdr:ext cx="304800" cy="303439"/>
    <xdr:sp macro="" textlink="">
      <xdr:nvSpPr>
        <xdr:cNvPr id="6740" name="AutoShape 469">
          <a:extLst>
            <a:ext uri="{FF2B5EF4-FFF2-40B4-BE49-F238E27FC236}">
              <a16:creationId xmlns:a16="http://schemas.microsoft.com/office/drawing/2014/main" id="{B3880F42-FA04-4E82-BCEB-4F0B4112324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4</xdr:row>
      <xdr:rowOff>0</xdr:rowOff>
    </xdr:from>
    <xdr:ext cx="9525" cy="9525"/>
    <xdr:pic>
      <xdr:nvPicPr>
        <xdr:cNvPr id="6741" name="Picture 6740">
          <a:extLst>
            <a:ext uri="{FF2B5EF4-FFF2-40B4-BE49-F238E27FC236}">
              <a16:creationId xmlns:a16="http://schemas.microsoft.com/office/drawing/2014/main" id="{714A90C9-D5A7-4AD7-93BF-4FB68DF10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9525" cy="9525"/>
    <xdr:pic>
      <xdr:nvPicPr>
        <xdr:cNvPr id="6742" name="Picture 6741">
          <a:extLst>
            <a:ext uri="{FF2B5EF4-FFF2-40B4-BE49-F238E27FC236}">
              <a16:creationId xmlns:a16="http://schemas.microsoft.com/office/drawing/2014/main" id="{CE7BF3CF-9EC5-4BB6-8257-5BE5B9B7C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6</xdr:row>
      <xdr:rowOff>0</xdr:rowOff>
    </xdr:from>
    <xdr:ext cx="9525" cy="9525"/>
    <xdr:pic>
      <xdr:nvPicPr>
        <xdr:cNvPr id="6743" name="Picture 6742">
          <a:extLst>
            <a:ext uri="{FF2B5EF4-FFF2-40B4-BE49-F238E27FC236}">
              <a16:creationId xmlns:a16="http://schemas.microsoft.com/office/drawing/2014/main" id="{B63EFB38-D505-45BA-8FED-1AD2A2DC6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304800" cy="304800"/>
    <xdr:sp macro="" textlink="">
      <xdr:nvSpPr>
        <xdr:cNvPr id="6744" name="AutoShape 473">
          <a:extLst>
            <a:ext uri="{FF2B5EF4-FFF2-40B4-BE49-F238E27FC236}">
              <a16:creationId xmlns:a16="http://schemas.microsoft.com/office/drawing/2014/main" id="{BC31E7A6-35EC-4357-B08E-14D156F310CF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45" name="Picture 6744">
          <a:extLst>
            <a:ext uri="{FF2B5EF4-FFF2-40B4-BE49-F238E27FC236}">
              <a16:creationId xmlns:a16="http://schemas.microsoft.com/office/drawing/2014/main" id="{35F4935F-3A38-4B01-973D-330D0F717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24</xdr:row>
      <xdr:rowOff>0</xdr:rowOff>
    </xdr:from>
    <xdr:ext cx="304800" cy="304800"/>
    <xdr:sp macro="" textlink="">
      <xdr:nvSpPr>
        <xdr:cNvPr id="6746" name="AutoShape 475">
          <a:extLst>
            <a:ext uri="{FF2B5EF4-FFF2-40B4-BE49-F238E27FC236}">
              <a16:creationId xmlns:a16="http://schemas.microsoft.com/office/drawing/2014/main" id="{EAB21BCD-236D-4C0E-B125-5AC627B430A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26</xdr:row>
      <xdr:rowOff>0</xdr:rowOff>
    </xdr:from>
    <xdr:ext cx="9525" cy="9525"/>
    <xdr:pic>
      <xdr:nvPicPr>
        <xdr:cNvPr id="6747" name="Picture 6746">
          <a:extLst>
            <a:ext uri="{FF2B5EF4-FFF2-40B4-BE49-F238E27FC236}">
              <a16:creationId xmlns:a16="http://schemas.microsoft.com/office/drawing/2014/main" id="{B9582324-1C3F-4A33-BA06-FA20266A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25</xdr:row>
      <xdr:rowOff>0</xdr:rowOff>
    </xdr:from>
    <xdr:ext cx="304800" cy="303440"/>
    <xdr:sp macro="" textlink="">
      <xdr:nvSpPr>
        <xdr:cNvPr id="6748" name="AutoShape 477">
          <a:extLst>
            <a:ext uri="{FF2B5EF4-FFF2-40B4-BE49-F238E27FC236}">
              <a16:creationId xmlns:a16="http://schemas.microsoft.com/office/drawing/2014/main" id="{0A879CAA-FE72-4733-9F54-6B62A2567026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49" name="Picture 6748">
          <a:extLst>
            <a:ext uri="{FF2B5EF4-FFF2-40B4-BE49-F238E27FC236}">
              <a16:creationId xmlns:a16="http://schemas.microsoft.com/office/drawing/2014/main" id="{478E838C-2B52-4428-A8B3-933FDE220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50" name="Picture 6749">
          <a:extLst>
            <a:ext uri="{FF2B5EF4-FFF2-40B4-BE49-F238E27FC236}">
              <a16:creationId xmlns:a16="http://schemas.microsoft.com/office/drawing/2014/main" id="{F3B3B2F6-97CD-4BBF-9281-9261D0253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51" name="Picture 6750">
          <a:extLst>
            <a:ext uri="{FF2B5EF4-FFF2-40B4-BE49-F238E27FC236}">
              <a16:creationId xmlns:a16="http://schemas.microsoft.com/office/drawing/2014/main" id="{A0FA53B3-967E-49EF-9538-EFA7DC962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52" name="Picture 6751">
          <a:extLst>
            <a:ext uri="{FF2B5EF4-FFF2-40B4-BE49-F238E27FC236}">
              <a16:creationId xmlns:a16="http://schemas.microsoft.com/office/drawing/2014/main" id="{77238C4C-AE55-4B9B-B3B8-F30F16FC3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53" name="Picture 6752">
          <a:extLst>
            <a:ext uri="{FF2B5EF4-FFF2-40B4-BE49-F238E27FC236}">
              <a16:creationId xmlns:a16="http://schemas.microsoft.com/office/drawing/2014/main" id="{8FF7D3D5-6B76-4A34-A543-3B99A2A73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754" name="AutoShape 483">
          <a:extLst>
            <a:ext uri="{FF2B5EF4-FFF2-40B4-BE49-F238E27FC236}">
              <a16:creationId xmlns:a16="http://schemas.microsoft.com/office/drawing/2014/main" id="{22E1A5D3-5208-42C7-A50C-F7F31EEC4AA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55" name="Picture 6754">
          <a:extLst>
            <a:ext uri="{FF2B5EF4-FFF2-40B4-BE49-F238E27FC236}">
              <a16:creationId xmlns:a16="http://schemas.microsoft.com/office/drawing/2014/main" id="{4B1CA4AF-92DE-4A24-A4D5-D9FB3713D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756" name="AutoShape 485">
          <a:extLst>
            <a:ext uri="{FF2B5EF4-FFF2-40B4-BE49-F238E27FC236}">
              <a16:creationId xmlns:a16="http://schemas.microsoft.com/office/drawing/2014/main" id="{11F2E165-9FB6-480D-94A3-FC654E1DF4F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13</xdr:row>
      <xdr:rowOff>0</xdr:rowOff>
    </xdr:from>
    <xdr:ext cx="9525" cy="9525"/>
    <xdr:pic>
      <xdr:nvPicPr>
        <xdr:cNvPr id="6757" name="Picture 6756">
          <a:extLst>
            <a:ext uri="{FF2B5EF4-FFF2-40B4-BE49-F238E27FC236}">
              <a16:creationId xmlns:a16="http://schemas.microsoft.com/office/drawing/2014/main" id="{586262D6-7398-4FA7-BB50-8361C8348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12</xdr:row>
      <xdr:rowOff>0</xdr:rowOff>
    </xdr:from>
    <xdr:ext cx="304800" cy="303439"/>
    <xdr:sp macro="" textlink="">
      <xdr:nvSpPr>
        <xdr:cNvPr id="6758" name="AutoShape 487">
          <a:extLst>
            <a:ext uri="{FF2B5EF4-FFF2-40B4-BE49-F238E27FC236}">
              <a16:creationId xmlns:a16="http://schemas.microsoft.com/office/drawing/2014/main" id="{756250F3-FFE8-4EAF-B932-9B2237DBF60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59" name="Picture 6758">
          <a:extLst>
            <a:ext uri="{FF2B5EF4-FFF2-40B4-BE49-F238E27FC236}">
              <a16:creationId xmlns:a16="http://schemas.microsoft.com/office/drawing/2014/main" id="{279E1D6B-F0CC-45EF-885B-95C9C4B22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60" name="Picture 6759">
          <a:extLst>
            <a:ext uri="{FF2B5EF4-FFF2-40B4-BE49-F238E27FC236}">
              <a16:creationId xmlns:a16="http://schemas.microsoft.com/office/drawing/2014/main" id="{58512776-492C-4798-8F53-9A0F8BEEF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3440"/>
    <xdr:sp macro="" textlink="">
      <xdr:nvSpPr>
        <xdr:cNvPr id="6761" name="AutoShape 491">
          <a:extLst>
            <a:ext uri="{FF2B5EF4-FFF2-40B4-BE49-F238E27FC236}">
              <a16:creationId xmlns:a16="http://schemas.microsoft.com/office/drawing/2014/main" id="{5A16519D-982F-4F9E-A6BF-13C6412E6146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27</xdr:row>
      <xdr:rowOff>0</xdr:rowOff>
    </xdr:from>
    <xdr:ext cx="9525" cy="9525"/>
    <xdr:pic>
      <xdr:nvPicPr>
        <xdr:cNvPr id="6762" name="Picture 6761">
          <a:extLst>
            <a:ext uri="{FF2B5EF4-FFF2-40B4-BE49-F238E27FC236}">
              <a16:creationId xmlns:a16="http://schemas.microsoft.com/office/drawing/2014/main" id="{F98B8C31-4C75-4027-8131-1F85AD910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26</xdr:row>
      <xdr:rowOff>0</xdr:rowOff>
    </xdr:from>
    <xdr:ext cx="304800" cy="303439"/>
    <xdr:sp macro="" textlink="">
      <xdr:nvSpPr>
        <xdr:cNvPr id="6763" name="AutoShape 493">
          <a:extLst>
            <a:ext uri="{FF2B5EF4-FFF2-40B4-BE49-F238E27FC236}">
              <a16:creationId xmlns:a16="http://schemas.microsoft.com/office/drawing/2014/main" id="{451B6CE5-0555-4CAA-BD06-1A4741A9508B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64" name="Picture 6763">
          <a:extLst>
            <a:ext uri="{FF2B5EF4-FFF2-40B4-BE49-F238E27FC236}">
              <a16:creationId xmlns:a16="http://schemas.microsoft.com/office/drawing/2014/main" id="{44D35B1D-BE9F-4C0A-9512-2A727D891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65" name="Picture 6764">
          <a:extLst>
            <a:ext uri="{FF2B5EF4-FFF2-40B4-BE49-F238E27FC236}">
              <a16:creationId xmlns:a16="http://schemas.microsoft.com/office/drawing/2014/main" id="{2336A8FC-7B87-4135-BC83-143311E20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3</xdr:row>
      <xdr:rowOff>0</xdr:rowOff>
    </xdr:from>
    <xdr:ext cx="9525" cy="9525"/>
    <xdr:pic>
      <xdr:nvPicPr>
        <xdr:cNvPr id="6766" name="Picture 6765">
          <a:extLst>
            <a:ext uri="{FF2B5EF4-FFF2-40B4-BE49-F238E27FC236}">
              <a16:creationId xmlns:a16="http://schemas.microsoft.com/office/drawing/2014/main" id="{D8A2CDD9-5DC0-46FE-AC11-FB8327781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</xdr:row>
      <xdr:rowOff>0</xdr:rowOff>
    </xdr:from>
    <xdr:ext cx="304800" cy="303439"/>
    <xdr:sp macro="" textlink="">
      <xdr:nvSpPr>
        <xdr:cNvPr id="6767" name="AutoShape 497">
          <a:extLst>
            <a:ext uri="{FF2B5EF4-FFF2-40B4-BE49-F238E27FC236}">
              <a16:creationId xmlns:a16="http://schemas.microsoft.com/office/drawing/2014/main" id="{B5029F8E-5A86-4F83-8AF3-FA1D3888E2E3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4</xdr:row>
      <xdr:rowOff>0</xdr:rowOff>
    </xdr:from>
    <xdr:ext cx="9525" cy="9525"/>
    <xdr:pic>
      <xdr:nvPicPr>
        <xdr:cNvPr id="6768" name="Picture 6767">
          <a:extLst>
            <a:ext uri="{FF2B5EF4-FFF2-40B4-BE49-F238E27FC236}">
              <a16:creationId xmlns:a16="http://schemas.microsoft.com/office/drawing/2014/main" id="{E77C49D4-BF3D-4A64-ADC7-3D702A9E3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3</xdr:row>
      <xdr:rowOff>0</xdr:rowOff>
    </xdr:from>
    <xdr:ext cx="304800" cy="304800"/>
    <xdr:sp macro="" textlink="">
      <xdr:nvSpPr>
        <xdr:cNvPr id="6769" name="AutoShape 499">
          <a:extLst>
            <a:ext uri="{FF2B5EF4-FFF2-40B4-BE49-F238E27FC236}">
              <a16:creationId xmlns:a16="http://schemas.microsoft.com/office/drawing/2014/main" id="{1100FC84-CB18-42DA-A2F2-65554F5205E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5</xdr:row>
      <xdr:rowOff>0</xdr:rowOff>
    </xdr:from>
    <xdr:ext cx="9525" cy="9525"/>
    <xdr:pic>
      <xdr:nvPicPr>
        <xdr:cNvPr id="6770" name="Picture 6769">
          <a:extLst>
            <a:ext uri="{FF2B5EF4-FFF2-40B4-BE49-F238E27FC236}">
              <a16:creationId xmlns:a16="http://schemas.microsoft.com/office/drawing/2014/main" id="{0074D2AA-426A-4AF4-A269-8B90A29F4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4</xdr:row>
      <xdr:rowOff>0</xdr:rowOff>
    </xdr:from>
    <xdr:ext cx="304800" cy="304800"/>
    <xdr:sp macro="" textlink="">
      <xdr:nvSpPr>
        <xdr:cNvPr id="6771" name="AutoShape 501">
          <a:extLst>
            <a:ext uri="{FF2B5EF4-FFF2-40B4-BE49-F238E27FC236}">
              <a16:creationId xmlns:a16="http://schemas.microsoft.com/office/drawing/2014/main" id="{FA1E1C8B-13C0-45D3-9EF6-6CA6D4B390A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537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6</xdr:row>
      <xdr:rowOff>0</xdr:rowOff>
    </xdr:from>
    <xdr:ext cx="9525" cy="9525"/>
    <xdr:pic>
      <xdr:nvPicPr>
        <xdr:cNvPr id="6772" name="Picture 6771">
          <a:extLst>
            <a:ext uri="{FF2B5EF4-FFF2-40B4-BE49-F238E27FC236}">
              <a16:creationId xmlns:a16="http://schemas.microsoft.com/office/drawing/2014/main" id="{B8768638-4A24-4981-BA91-7D121D36B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304800" cy="304800"/>
    <xdr:sp macro="" textlink="">
      <xdr:nvSpPr>
        <xdr:cNvPr id="6773" name="AutoShape 503">
          <a:extLst>
            <a:ext uri="{FF2B5EF4-FFF2-40B4-BE49-F238E27FC236}">
              <a16:creationId xmlns:a16="http://schemas.microsoft.com/office/drawing/2014/main" id="{B1E8DCDF-F9DB-442E-8707-83DFCFE394CF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74" name="Picture 6773">
          <a:extLst>
            <a:ext uri="{FF2B5EF4-FFF2-40B4-BE49-F238E27FC236}">
              <a16:creationId xmlns:a16="http://schemas.microsoft.com/office/drawing/2014/main" id="{6A361B23-7817-4D78-B7D1-5B87F32AB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6</xdr:row>
      <xdr:rowOff>0</xdr:rowOff>
    </xdr:from>
    <xdr:ext cx="304800" cy="304800"/>
    <xdr:sp macro="" textlink="">
      <xdr:nvSpPr>
        <xdr:cNvPr id="6775" name="AutoShape 505">
          <a:extLst>
            <a:ext uri="{FF2B5EF4-FFF2-40B4-BE49-F238E27FC236}">
              <a16:creationId xmlns:a16="http://schemas.microsoft.com/office/drawing/2014/main" id="{1FDE01EA-7909-4EA5-B948-30F4C2925B3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26</xdr:row>
      <xdr:rowOff>0</xdr:rowOff>
    </xdr:from>
    <xdr:ext cx="9525" cy="9525"/>
    <xdr:pic>
      <xdr:nvPicPr>
        <xdr:cNvPr id="6776" name="Picture 6775">
          <a:extLst>
            <a:ext uri="{FF2B5EF4-FFF2-40B4-BE49-F238E27FC236}">
              <a16:creationId xmlns:a16="http://schemas.microsoft.com/office/drawing/2014/main" id="{FA7F2536-721C-4414-B106-B42170833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25</xdr:row>
      <xdr:rowOff>0</xdr:rowOff>
    </xdr:from>
    <xdr:ext cx="304800" cy="303439"/>
    <xdr:sp macro="" textlink="">
      <xdr:nvSpPr>
        <xdr:cNvPr id="6777" name="AutoShape 507">
          <a:extLst>
            <a:ext uri="{FF2B5EF4-FFF2-40B4-BE49-F238E27FC236}">
              <a16:creationId xmlns:a16="http://schemas.microsoft.com/office/drawing/2014/main" id="{F479AE8A-7A64-429C-BD5C-06A15B2F5DE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06878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78" name="Picture 6777">
          <a:extLst>
            <a:ext uri="{FF2B5EF4-FFF2-40B4-BE49-F238E27FC236}">
              <a16:creationId xmlns:a16="http://schemas.microsoft.com/office/drawing/2014/main" id="{612A6118-8648-49E8-8A3A-FFA40590A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26</xdr:row>
      <xdr:rowOff>0</xdr:rowOff>
    </xdr:from>
    <xdr:ext cx="304800" cy="304800"/>
    <xdr:sp macro="" textlink="">
      <xdr:nvSpPr>
        <xdr:cNvPr id="6779" name="AutoShape 509">
          <a:extLst>
            <a:ext uri="{FF2B5EF4-FFF2-40B4-BE49-F238E27FC236}">
              <a16:creationId xmlns:a16="http://schemas.microsoft.com/office/drawing/2014/main" id="{7CA90438-E190-4277-85ED-D4DD2DEBC73C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80" name="Picture 6779">
          <a:extLst>
            <a:ext uri="{FF2B5EF4-FFF2-40B4-BE49-F238E27FC236}">
              <a16:creationId xmlns:a16="http://schemas.microsoft.com/office/drawing/2014/main" id="{97D571A6-E170-47F6-BE7A-378866DDB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781" name="AutoShape 511">
          <a:extLst>
            <a:ext uri="{FF2B5EF4-FFF2-40B4-BE49-F238E27FC236}">
              <a16:creationId xmlns:a16="http://schemas.microsoft.com/office/drawing/2014/main" id="{7A5E742A-3CFF-45A7-8099-158D59EC1B2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82" name="Picture 6781">
          <a:extLst>
            <a:ext uri="{FF2B5EF4-FFF2-40B4-BE49-F238E27FC236}">
              <a16:creationId xmlns:a16="http://schemas.microsoft.com/office/drawing/2014/main" id="{BA8C709B-CC8B-40D8-828D-75D8CF550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3439"/>
    <xdr:sp macro="" textlink="">
      <xdr:nvSpPr>
        <xdr:cNvPr id="6783" name="AutoShape 513">
          <a:extLst>
            <a:ext uri="{FF2B5EF4-FFF2-40B4-BE49-F238E27FC236}">
              <a16:creationId xmlns:a16="http://schemas.microsoft.com/office/drawing/2014/main" id="{D7806430-55A0-436F-ACC9-B51C5B222618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84" name="Picture 6783">
          <a:extLst>
            <a:ext uri="{FF2B5EF4-FFF2-40B4-BE49-F238E27FC236}">
              <a16:creationId xmlns:a16="http://schemas.microsoft.com/office/drawing/2014/main" id="{92968F29-0C3C-428D-94F1-B1F29FA49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785" name="AutoShape 515">
          <a:extLst>
            <a:ext uri="{FF2B5EF4-FFF2-40B4-BE49-F238E27FC236}">
              <a16:creationId xmlns:a16="http://schemas.microsoft.com/office/drawing/2014/main" id="{FA708C55-0AE6-4C70-9AC6-88E2765B88D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86" name="Picture 6785">
          <a:extLst>
            <a:ext uri="{FF2B5EF4-FFF2-40B4-BE49-F238E27FC236}">
              <a16:creationId xmlns:a16="http://schemas.microsoft.com/office/drawing/2014/main" id="{76D45E17-CBC3-4E3E-9C97-F180F0C6E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787" name="AutoShape 517">
          <a:extLst>
            <a:ext uri="{FF2B5EF4-FFF2-40B4-BE49-F238E27FC236}">
              <a16:creationId xmlns:a16="http://schemas.microsoft.com/office/drawing/2014/main" id="{DF3C5F37-E427-4825-8FE1-83C3EC0DD613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88" name="Picture 6787">
          <a:extLst>
            <a:ext uri="{FF2B5EF4-FFF2-40B4-BE49-F238E27FC236}">
              <a16:creationId xmlns:a16="http://schemas.microsoft.com/office/drawing/2014/main" id="{EADE2754-FDD6-4912-8555-2920B9502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6789" name="AutoShape 519">
          <a:extLst>
            <a:ext uri="{FF2B5EF4-FFF2-40B4-BE49-F238E27FC236}">
              <a16:creationId xmlns:a16="http://schemas.microsoft.com/office/drawing/2014/main" id="{BA1E99A9-5C50-4F9A-8D6B-4A181C8C5B0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90" name="Picture 6789">
          <a:extLst>
            <a:ext uri="{FF2B5EF4-FFF2-40B4-BE49-F238E27FC236}">
              <a16:creationId xmlns:a16="http://schemas.microsoft.com/office/drawing/2014/main" id="{DDC142C8-9C5F-4DE2-AA5C-CE4A67ACF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91" name="Picture 6790">
          <a:extLst>
            <a:ext uri="{FF2B5EF4-FFF2-40B4-BE49-F238E27FC236}">
              <a16:creationId xmlns:a16="http://schemas.microsoft.com/office/drawing/2014/main" id="{183496E3-0106-43EB-A95D-89F11938A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3440"/>
    <xdr:sp macro="" textlink="">
      <xdr:nvSpPr>
        <xdr:cNvPr id="6792" name="AutoShape 525">
          <a:extLst>
            <a:ext uri="{FF2B5EF4-FFF2-40B4-BE49-F238E27FC236}">
              <a16:creationId xmlns:a16="http://schemas.microsoft.com/office/drawing/2014/main" id="{FB0F1B5E-0915-41D0-900D-A0F85780E6F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27</xdr:row>
      <xdr:rowOff>0</xdr:rowOff>
    </xdr:from>
    <xdr:ext cx="9525" cy="9525"/>
    <xdr:pic>
      <xdr:nvPicPr>
        <xdr:cNvPr id="6793" name="Picture 6792">
          <a:extLst>
            <a:ext uri="{FF2B5EF4-FFF2-40B4-BE49-F238E27FC236}">
              <a16:creationId xmlns:a16="http://schemas.microsoft.com/office/drawing/2014/main" id="{770336A9-11A3-4491-AE75-C9D69C44D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26</xdr:row>
      <xdr:rowOff>0</xdr:rowOff>
    </xdr:from>
    <xdr:ext cx="304800" cy="303439"/>
    <xdr:sp macro="" textlink="">
      <xdr:nvSpPr>
        <xdr:cNvPr id="6794" name="AutoShape 527">
          <a:extLst>
            <a:ext uri="{FF2B5EF4-FFF2-40B4-BE49-F238E27FC236}">
              <a16:creationId xmlns:a16="http://schemas.microsoft.com/office/drawing/2014/main" id="{793A16D2-B453-4E14-A370-E6FADD3C3ED8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95" name="Picture 6794">
          <a:extLst>
            <a:ext uri="{FF2B5EF4-FFF2-40B4-BE49-F238E27FC236}">
              <a16:creationId xmlns:a16="http://schemas.microsoft.com/office/drawing/2014/main" id="{01BDDB99-2FF3-40D2-8662-423DB0AB8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27</xdr:row>
      <xdr:rowOff>0</xdr:rowOff>
    </xdr:from>
    <xdr:ext cx="304800" cy="303439"/>
    <xdr:sp macro="" textlink="">
      <xdr:nvSpPr>
        <xdr:cNvPr id="6796" name="AutoShape 529">
          <a:extLst>
            <a:ext uri="{FF2B5EF4-FFF2-40B4-BE49-F238E27FC236}">
              <a16:creationId xmlns:a16="http://schemas.microsoft.com/office/drawing/2014/main" id="{DE975426-6260-4A2B-AE6C-B3F25B1B6D1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477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6797" name="Picture 6796">
          <a:extLst>
            <a:ext uri="{FF2B5EF4-FFF2-40B4-BE49-F238E27FC236}">
              <a16:creationId xmlns:a16="http://schemas.microsoft.com/office/drawing/2014/main" id="{4B526816-D594-48BF-8F07-E98E6606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3439"/>
    <xdr:sp macro="" textlink="">
      <xdr:nvSpPr>
        <xdr:cNvPr id="6798" name="AutoShape 531">
          <a:extLst>
            <a:ext uri="{FF2B5EF4-FFF2-40B4-BE49-F238E27FC236}">
              <a16:creationId xmlns:a16="http://schemas.microsoft.com/office/drawing/2014/main" id="{4DA86A7E-4369-446B-8C36-2F8C89D13E7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7</xdr:row>
      <xdr:rowOff>0</xdr:rowOff>
    </xdr:from>
    <xdr:ext cx="9525" cy="9525"/>
    <xdr:pic>
      <xdr:nvPicPr>
        <xdr:cNvPr id="6799" name="Picture 6798">
          <a:extLst>
            <a:ext uri="{FF2B5EF4-FFF2-40B4-BE49-F238E27FC236}">
              <a16:creationId xmlns:a16="http://schemas.microsoft.com/office/drawing/2014/main" id="{711618B3-E381-4ADA-A9F3-BD3474E38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7</xdr:row>
      <xdr:rowOff>0</xdr:rowOff>
    </xdr:from>
    <xdr:ext cx="9525" cy="9525"/>
    <xdr:pic>
      <xdr:nvPicPr>
        <xdr:cNvPr id="6800" name="Picture 6799">
          <a:extLst>
            <a:ext uri="{FF2B5EF4-FFF2-40B4-BE49-F238E27FC236}">
              <a16:creationId xmlns:a16="http://schemas.microsoft.com/office/drawing/2014/main" id="{8B8600A5-3D09-480F-B408-BABB262BB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7</xdr:row>
      <xdr:rowOff>0</xdr:rowOff>
    </xdr:from>
    <xdr:ext cx="304800" cy="304800"/>
    <xdr:sp macro="" textlink="">
      <xdr:nvSpPr>
        <xdr:cNvPr id="6801" name="AutoShape 183">
          <a:extLst>
            <a:ext uri="{FF2B5EF4-FFF2-40B4-BE49-F238E27FC236}">
              <a16:creationId xmlns:a16="http://schemas.microsoft.com/office/drawing/2014/main" id="{E2B86E93-4505-41E3-BD11-EE01E5B6CD3F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7</xdr:row>
      <xdr:rowOff>0</xdr:rowOff>
    </xdr:from>
    <xdr:ext cx="9525" cy="9525"/>
    <xdr:pic>
      <xdr:nvPicPr>
        <xdr:cNvPr id="6802" name="Picture 6801">
          <a:extLst>
            <a:ext uri="{FF2B5EF4-FFF2-40B4-BE49-F238E27FC236}">
              <a16:creationId xmlns:a16="http://schemas.microsoft.com/office/drawing/2014/main" id="{EACB516B-173E-4202-9380-56B11D9AE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7</xdr:row>
      <xdr:rowOff>0</xdr:rowOff>
    </xdr:from>
    <xdr:ext cx="304800" cy="304800"/>
    <xdr:sp macro="" textlink="">
      <xdr:nvSpPr>
        <xdr:cNvPr id="6803" name="AutoShape 209">
          <a:extLst>
            <a:ext uri="{FF2B5EF4-FFF2-40B4-BE49-F238E27FC236}">
              <a16:creationId xmlns:a16="http://schemas.microsoft.com/office/drawing/2014/main" id="{3DCDE0E1-D642-43BF-A372-0C7A3679D23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7</xdr:row>
      <xdr:rowOff>0</xdr:rowOff>
    </xdr:from>
    <xdr:ext cx="9525" cy="9525"/>
    <xdr:pic>
      <xdr:nvPicPr>
        <xdr:cNvPr id="6804" name="Picture 6803">
          <a:extLst>
            <a:ext uri="{FF2B5EF4-FFF2-40B4-BE49-F238E27FC236}">
              <a16:creationId xmlns:a16="http://schemas.microsoft.com/office/drawing/2014/main" id="{3E4D2368-B754-40FD-9107-55B459B07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7</xdr:row>
      <xdr:rowOff>0</xdr:rowOff>
    </xdr:from>
    <xdr:ext cx="304800" cy="304800"/>
    <xdr:sp macro="" textlink="">
      <xdr:nvSpPr>
        <xdr:cNvPr id="6805" name="AutoShape 233">
          <a:extLst>
            <a:ext uri="{FF2B5EF4-FFF2-40B4-BE49-F238E27FC236}">
              <a16:creationId xmlns:a16="http://schemas.microsoft.com/office/drawing/2014/main" id="{E3ADB8B7-B6F3-4A39-8FF0-DE4F2A7D1F3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7</xdr:row>
      <xdr:rowOff>0</xdr:rowOff>
    </xdr:from>
    <xdr:ext cx="9525" cy="9525"/>
    <xdr:pic>
      <xdr:nvPicPr>
        <xdr:cNvPr id="6806" name="Picture 6805">
          <a:extLst>
            <a:ext uri="{FF2B5EF4-FFF2-40B4-BE49-F238E27FC236}">
              <a16:creationId xmlns:a16="http://schemas.microsoft.com/office/drawing/2014/main" id="{6C9410C7-A5AB-4462-A552-8B04D4AF6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7</xdr:row>
      <xdr:rowOff>0</xdr:rowOff>
    </xdr:from>
    <xdr:ext cx="304800" cy="304800"/>
    <xdr:sp macro="" textlink="">
      <xdr:nvSpPr>
        <xdr:cNvPr id="6807" name="AutoShape 259">
          <a:extLst>
            <a:ext uri="{FF2B5EF4-FFF2-40B4-BE49-F238E27FC236}">
              <a16:creationId xmlns:a16="http://schemas.microsoft.com/office/drawing/2014/main" id="{86F8A72F-4186-4B73-8649-48AF22E3D54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7</xdr:row>
      <xdr:rowOff>0</xdr:rowOff>
    </xdr:from>
    <xdr:ext cx="9525" cy="9525"/>
    <xdr:pic>
      <xdr:nvPicPr>
        <xdr:cNvPr id="6808" name="Picture 6807">
          <a:extLst>
            <a:ext uri="{FF2B5EF4-FFF2-40B4-BE49-F238E27FC236}">
              <a16:creationId xmlns:a16="http://schemas.microsoft.com/office/drawing/2014/main" id="{E7ECE130-60A7-4BF4-B090-7F6DFFD7B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7</xdr:row>
      <xdr:rowOff>0</xdr:rowOff>
    </xdr:from>
    <xdr:ext cx="304800" cy="304800"/>
    <xdr:sp macro="" textlink="">
      <xdr:nvSpPr>
        <xdr:cNvPr id="6809" name="AutoShape 311">
          <a:extLst>
            <a:ext uri="{FF2B5EF4-FFF2-40B4-BE49-F238E27FC236}">
              <a16:creationId xmlns:a16="http://schemas.microsoft.com/office/drawing/2014/main" id="{D91DF4CD-7332-4A2E-B2A2-3EA60F5156B8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7</xdr:row>
      <xdr:rowOff>0</xdr:rowOff>
    </xdr:from>
    <xdr:ext cx="9525" cy="9525"/>
    <xdr:pic>
      <xdr:nvPicPr>
        <xdr:cNvPr id="6810" name="Picture 6809">
          <a:extLst>
            <a:ext uri="{FF2B5EF4-FFF2-40B4-BE49-F238E27FC236}">
              <a16:creationId xmlns:a16="http://schemas.microsoft.com/office/drawing/2014/main" id="{F06CA487-A543-42B5-A0E6-9E5464DA9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7</xdr:row>
      <xdr:rowOff>0</xdr:rowOff>
    </xdr:from>
    <xdr:ext cx="304800" cy="304800"/>
    <xdr:sp macro="" textlink="">
      <xdr:nvSpPr>
        <xdr:cNvPr id="6811" name="AutoShape 363">
          <a:extLst>
            <a:ext uri="{FF2B5EF4-FFF2-40B4-BE49-F238E27FC236}">
              <a16:creationId xmlns:a16="http://schemas.microsoft.com/office/drawing/2014/main" id="{E29058C7-A07E-4CD4-ADD9-065E855276E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7</xdr:row>
      <xdr:rowOff>0</xdr:rowOff>
    </xdr:from>
    <xdr:ext cx="9525" cy="9525"/>
    <xdr:pic>
      <xdr:nvPicPr>
        <xdr:cNvPr id="6812" name="Picture 6811">
          <a:extLst>
            <a:ext uri="{FF2B5EF4-FFF2-40B4-BE49-F238E27FC236}">
              <a16:creationId xmlns:a16="http://schemas.microsoft.com/office/drawing/2014/main" id="{F76E0EBB-7941-4314-B2B0-4DBEE02A8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7</xdr:row>
      <xdr:rowOff>0</xdr:rowOff>
    </xdr:from>
    <xdr:ext cx="304800" cy="304800"/>
    <xdr:sp macro="" textlink="">
      <xdr:nvSpPr>
        <xdr:cNvPr id="6813" name="AutoShape 419">
          <a:extLst>
            <a:ext uri="{FF2B5EF4-FFF2-40B4-BE49-F238E27FC236}">
              <a16:creationId xmlns:a16="http://schemas.microsoft.com/office/drawing/2014/main" id="{8BC2A960-9031-4996-B968-5D6B61B47598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7</xdr:row>
      <xdr:rowOff>0</xdr:rowOff>
    </xdr:from>
    <xdr:ext cx="9525" cy="9525"/>
    <xdr:pic>
      <xdr:nvPicPr>
        <xdr:cNvPr id="6814" name="Picture 6813">
          <a:extLst>
            <a:ext uri="{FF2B5EF4-FFF2-40B4-BE49-F238E27FC236}">
              <a16:creationId xmlns:a16="http://schemas.microsoft.com/office/drawing/2014/main" id="{0BEB96A1-B820-44F5-8EC7-8F54AEC60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7</xdr:row>
      <xdr:rowOff>0</xdr:rowOff>
    </xdr:from>
    <xdr:ext cx="304800" cy="304800"/>
    <xdr:sp macro="" textlink="">
      <xdr:nvSpPr>
        <xdr:cNvPr id="6815" name="AutoShape 475">
          <a:extLst>
            <a:ext uri="{FF2B5EF4-FFF2-40B4-BE49-F238E27FC236}">
              <a16:creationId xmlns:a16="http://schemas.microsoft.com/office/drawing/2014/main" id="{8E37EC43-5982-4B3F-9A0B-99E83896C3F6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7</xdr:row>
      <xdr:rowOff>0</xdr:rowOff>
    </xdr:from>
    <xdr:ext cx="9525" cy="9525"/>
    <xdr:pic>
      <xdr:nvPicPr>
        <xdr:cNvPr id="6816" name="Picture 6815">
          <a:extLst>
            <a:ext uri="{FF2B5EF4-FFF2-40B4-BE49-F238E27FC236}">
              <a16:creationId xmlns:a16="http://schemas.microsoft.com/office/drawing/2014/main" id="{62C1649F-53EA-43E5-9054-77A14F30A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9525" cy="9525"/>
    <xdr:pic>
      <xdr:nvPicPr>
        <xdr:cNvPr id="6817" name="Picture 6816">
          <a:extLst>
            <a:ext uri="{FF2B5EF4-FFF2-40B4-BE49-F238E27FC236}">
              <a16:creationId xmlns:a16="http://schemas.microsoft.com/office/drawing/2014/main" id="{9DAF08F0-1B44-4347-8F77-E87AFAA0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9525" cy="9525"/>
    <xdr:pic>
      <xdr:nvPicPr>
        <xdr:cNvPr id="6818" name="Picture 6817">
          <a:extLst>
            <a:ext uri="{FF2B5EF4-FFF2-40B4-BE49-F238E27FC236}">
              <a16:creationId xmlns:a16="http://schemas.microsoft.com/office/drawing/2014/main" id="{E7ED9556-D0EB-4B9B-A40F-B46A97F44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4800"/>
    <xdr:sp macro="" textlink="">
      <xdr:nvSpPr>
        <xdr:cNvPr id="6819" name="AutoShape 183">
          <a:extLst>
            <a:ext uri="{FF2B5EF4-FFF2-40B4-BE49-F238E27FC236}">
              <a16:creationId xmlns:a16="http://schemas.microsoft.com/office/drawing/2014/main" id="{4AE6BD2C-0562-43BF-9FE1-CE21B3B2ECD8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15</xdr:row>
      <xdr:rowOff>0</xdr:rowOff>
    </xdr:from>
    <xdr:ext cx="9525" cy="9525"/>
    <xdr:pic>
      <xdr:nvPicPr>
        <xdr:cNvPr id="6820" name="Picture 6819">
          <a:extLst>
            <a:ext uri="{FF2B5EF4-FFF2-40B4-BE49-F238E27FC236}">
              <a16:creationId xmlns:a16="http://schemas.microsoft.com/office/drawing/2014/main" id="{51C4E657-D074-4316-A3AA-46833D7F4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4800"/>
    <xdr:sp macro="" textlink="">
      <xdr:nvSpPr>
        <xdr:cNvPr id="6821" name="AutoShape 209">
          <a:extLst>
            <a:ext uri="{FF2B5EF4-FFF2-40B4-BE49-F238E27FC236}">
              <a16:creationId xmlns:a16="http://schemas.microsoft.com/office/drawing/2014/main" id="{77B30A5F-0F8E-4F1A-A0CD-B548D950BCB6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15</xdr:row>
      <xdr:rowOff>0</xdr:rowOff>
    </xdr:from>
    <xdr:ext cx="9525" cy="9525"/>
    <xdr:pic>
      <xdr:nvPicPr>
        <xdr:cNvPr id="6822" name="Picture 6821">
          <a:extLst>
            <a:ext uri="{FF2B5EF4-FFF2-40B4-BE49-F238E27FC236}">
              <a16:creationId xmlns:a16="http://schemas.microsoft.com/office/drawing/2014/main" id="{6FEE700C-A9E2-4162-B38C-69A5815B6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4800"/>
    <xdr:sp macro="" textlink="">
      <xdr:nvSpPr>
        <xdr:cNvPr id="6823" name="AutoShape 233">
          <a:extLst>
            <a:ext uri="{FF2B5EF4-FFF2-40B4-BE49-F238E27FC236}">
              <a16:creationId xmlns:a16="http://schemas.microsoft.com/office/drawing/2014/main" id="{D61C5280-2214-4BBE-9330-6DE22972E9DB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15</xdr:row>
      <xdr:rowOff>0</xdr:rowOff>
    </xdr:from>
    <xdr:ext cx="9525" cy="9525"/>
    <xdr:pic>
      <xdr:nvPicPr>
        <xdr:cNvPr id="6824" name="Picture 6823">
          <a:extLst>
            <a:ext uri="{FF2B5EF4-FFF2-40B4-BE49-F238E27FC236}">
              <a16:creationId xmlns:a16="http://schemas.microsoft.com/office/drawing/2014/main" id="{1456D7DB-24C8-465F-9438-338F4E77E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4800"/>
    <xdr:sp macro="" textlink="">
      <xdr:nvSpPr>
        <xdr:cNvPr id="6825" name="AutoShape 259">
          <a:extLst>
            <a:ext uri="{FF2B5EF4-FFF2-40B4-BE49-F238E27FC236}">
              <a16:creationId xmlns:a16="http://schemas.microsoft.com/office/drawing/2014/main" id="{0A7295C4-513B-4596-B65F-705982F4B29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15</xdr:row>
      <xdr:rowOff>0</xdr:rowOff>
    </xdr:from>
    <xdr:ext cx="9525" cy="9525"/>
    <xdr:pic>
      <xdr:nvPicPr>
        <xdr:cNvPr id="6826" name="Picture 6825">
          <a:extLst>
            <a:ext uri="{FF2B5EF4-FFF2-40B4-BE49-F238E27FC236}">
              <a16:creationId xmlns:a16="http://schemas.microsoft.com/office/drawing/2014/main" id="{7257853E-0DF7-446D-893D-0D3207ABF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4800"/>
    <xdr:sp macro="" textlink="">
      <xdr:nvSpPr>
        <xdr:cNvPr id="6827" name="AutoShape 311">
          <a:extLst>
            <a:ext uri="{FF2B5EF4-FFF2-40B4-BE49-F238E27FC236}">
              <a16:creationId xmlns:a16="http://schemas.microsoft.com/office/drawing/2014/main" id="{4D533941-3551-4CFF-8A52-83385D43EAD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15</xdr:row>
      <xdr:rowOff>0</xdr:rowOff>
    </xdr:from>
    <xdr:ext cx="9525" cy="9525"/>
    <xdr:pic>
      <xdr:nvPicPr>
        <xdr:cNvPr id="6828" name="Picture 6827">
          <a:extLst>
            <a:ext uri="{FF2B5EF4-FFF2-40B4-BE49-F238E27FC236}">
              <a16:creationId xmlns:a16="http://schemas.microsoft.com/office/drawing/2014/main" id="{F71EFE73-207A-40A2-AF72-76A14856B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4800"/>
    <xdr:sp macro="" textlink="">
      <xdr:nvSpPr>
        <xdr:cNvPr id="6829" name="AutoShape 363">
          <a:extLst>
            <a:ext uri="{FF2B5EF4-FFF2-40B4-BE49-F238E27FC236}">
              <a16:creationId xmlns:a16="http://schemas.microsoft.com/office/drawing/2014/main" id="{5DC3211E-7606-4D43-ADF3-E0DDBB4F8ED1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15</xdr:row>
      <xdr:rowOff>0</xdr:rowOff>
    </xdr:from>
    <xdr:ext cx="9525" cy="9525"/>
    <xdr:pic>
      <xdr:nvPicPr>
        <xdr:cNvPr id="6830" name="Picture 6829">
          <a:extLst>
            <a:ext uri="{FF2B5EF4-FFF2-40B4-BE49-F238E27FC236}">
              <a16:creationId xmlns:a16="http://schemas.microsoft.com/office/drawing/2014/main" id="{378F3B1A-9B9C-463F-9A5B-643A7FB98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4800"/>
    <xdr:sp macro="" textlink="">
      <xdr:nvSpPr>
        <xdr:cNvPr id="6831" name="AutoShape 419">
          <a:extLst>
            <a:ext uri="{FF2B5EF4-FFF2-40B4-BE49-F238E27FC236}">
              <a16:creationId xmlns:a16="http://schemas.microsoft.com/office/drawing/2014/main" id="{C1A16D29-EBD6-40A9-A41D-C44BD4B44C76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15</xdr:row>
      <xdr:rowOff>0</xdr:rowOff>
    </xdr:from>
    <xdr:ext cx="9525" cy="9525"/>
    <xdr:pic>
      <xdr:nvPicPr>
        <xdr:cNvPr id="6832" name="Picture 6831">
          <a:extLst>
            <a:ext uri="{FF2B5EF4-FFF2-40B4-BE49-F238E27FC236}">
              <a16:creationId xmlns:a16="http://schemas.microsoft.com/office/drawing/2014/main" id="{F8326626-3FF5-4643-AD47-AD2DA74AA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4800"/>
    <xdr:sp macro="" textlink="">
      <xdr:nvSpPr>
        <xdr:cNvPr id="6833" name="AutoShape 475">
          <a:extLst>
            <a:ext uri="{FF2B5EF4-FFF2-40B4-BE49-F238E27FC236}">
              <a16:creationId xmlns:a16="http://schemas.microsoft.com/office/drawing/2014/main" id="{C70C4BAA-F831-45EE-87B9-F3CA6178062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15</xdr:row>
      <xdr:rowOff>0</xdr:rowOff>
    </xdr:from>
    <xdr:ext cx="9525" cy="9525"/>
    <xdr:pic>
      <xdr:nvPicPr>
        <xdr:cNvPr id="6834" name="Picture 6833">
          <a:extLst>
            <a:ext uri="{FF2B5EF4-FFF2-40B4-BE49-F238E27FC236}">
              <a16:creationId xmlns:a16="http://schemas.microsoft.com/office/drawing/2014/main" id="{60B18332-0C58-4F6A-BAB6-FE4248E2D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21</xdr:row>
      <xdr:rowOff>0</xdr:rowOff>
    </xdr:from>
    <xdr:ext cx="304800" cy="304800"/>
    <xdr:sp macro="" textlink="">
      <xdr:nvSpPr>
        <xdr:cNvPr id="6835" name="AutoShape 154">
          <a:extLst>
            <a:ext uri="{FF2B5EF4-FFF2-40B4-BE49-F238E27FC236}">
              <a16:creationId xmlns:a16="http://schemas.microsoft.com/office/drawing/2014/main" id="{1CFBEE94-1D65-4DA8-A383-B03818AD49F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21</xdr:row>
      <xdr:rowOff>0</xdr:rowOff>
    </xdr:from>
    <xdr:ext cx="304800" cy="304800"/>
    <xdr:sp macro="" textlink="">
      <xdr:nvSpPr>
        <xdr:cNvPr id="6836" name="AutoShape 505">
          <a:extLst>
            <a:ext uri="{FF2B5EF4-FFF2-40B4-BE49-F238E27FC236}">
              <a16:creationId xmlns:a16="http://schemas.microsoft.com/office/drawing/2014/main" id="{9B18C3E2-6076-466F-B08D-429CF0DC4BC2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21</xdr:row>
      <xdr:rowOff>0</xdr:rowOff>
    </xdr:from>
    <xdr:ext cx="9525" cy="9525"/>
    <xdr:pic>
      <xdr:nvPicPr>
        <xdr:cNvPr id="6837" name="Picture 6836">
          <a:extLst>
            <a:ext uri="{FF2B5EF4-FFF2-40B4-BE49-F238E27FC236}">
              <a16:creationId xmlns:a16="http://schemas.microsoft.com/office/drawing/2014/main" id="{8FD12F1F-7319-40C4-B915-0B3994E97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21</xdr:row>
      <xdr:rowOff>0</xdr:rowOff>
    </xdr:from>
    <xdr:ext cx="9525" cy="9525"/>
    <xdr:pic>
      <xdr:nvPicPr>
        <xdr:cNvPr id="6838" name="Picture 6837">
          <a:extLst>
            <a:ext uri="{FF2B5EF4-FFF2-40B4-BE49-F238E27FC236}">
              <a16:creationId xmlns:a16="http://schemas.microsoft.com/office/drawing/2014/main" id="{0C5A1F2E-7861-402A-8BD7-B0F036695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21</xdr:row>
      <xdr:rowOff>0</xdr:rowOff>
    </xdr:from>
    <xdr:ext cx="304800" cy="304800"/>
    <xdr:sp macro="" textlink="">
      <xdr:nvSpPr>
        <xdr:cNvPr id="6839" name="AutoShape 183">
          <a:extLst>
            <a:ext uri="{FF2B5EF4-FFF2-40B4-BE49-F238E27FC236}">
              <a16:creationId xmlns:a16="http://schemas.microsoft.com/office/drawing/2014/main" id="{5ED90426-40CB-438E-B7C1-DDAAD2FBDAE7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21</xdr:row>
      <xdr:rowOff>0</xdr:rowOff>
    </xdr:from>
    <xdr:ext cx="9525" cy="9525"/>
    <xdr:pic>
      <xdr:nvPicPr>
        <xdr:cNvPr id="6840" name="Picture 6839">
          <a:extLst>
            <a:ext uri="{FF2B5EF4-FFF2-40B4-BE49-F238E27FC236}">
              <a16:creationId xmlns:a16="http://schemas.microsoft.com/office/drawing/2014/main" id="{9A4D3275-C488-4E9F-B7B6-07FF293CD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21</xdr:row>
      <xdr:rowOff>0</xdr:rowOff>
    </xdr:from>
    <xdr:ext cx="304800" cy="304800"/>
    <xdr:sp macro="" textlink="">
      <xdr:nvSpPr>
        <xdr:cNvPr id="6841" name="AutoShape 209">
          <a:extLst>
            <a:ext uri="{FF2B5EF4-FFF2-40B4-BE49-F238E27FC236}">
              <a16:creationId xmlns:a16="http://schemas.microsoft.com/office/drawing/2014/main" id="{261E2340-2C0A-4FE6-BBDF-E74EEBE2078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21</xdr:row>
      <xdr:rowOff>0</xdr:rowOff>
    </xdr:from>
    <xdr:ext cx="9525" cy="9525"/>
    <xdr:pic>
      <xdr:nvPicPr>
        <xdr:cNvPr id="6842" name="Picture 6841">
          <a:extLst>
            <a:ext uri="{FF2B5EF4-FFF2-40B4-BE49-F238E27FC236}">
              <a16:creationId xmlns:a16="http://schemas.microsoft.com/office/drawing/2014/main" id="{548C69AD-6A61-4771-B334-42F0605F4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21</xdr:row>
      <xdr:rowOff>0</xdr:rowOff>
    </xdr:from>
    <xdr:ext cx="304800" cy="304800"/>
    <xdr:sp macro="" textlink="">
      <xdr:nvSpPr>
        <xdr:cNvPr id="6843" name="AutoShape 233">
          <a:extLst>
            <a:ext uri="{FF2B5EF4-FFF2-40B4-BE49-F238E27FC236}">
              <a16:creationId xmlns:a16="http://schemas.microsoft.com/office/drawing/2014/main" id="{9F9BDD7E-8698-40FF-BC02-FC73EC10A592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21</xdr:row>
      <xdr:rowOff>0</xdr:rowOff>
    </xdr:from>
    <xdr:ext cx="9525" cy="9525"/>
    <xdr:pic>
      <xdr:nvPicPr>
        <xdr:cNvPr id="6844" name="Picture 6843">
          <a:extLst>
            <a:ext uri="{FF2B5EF4-FFF2-40B4-BE49-F238E27FC236}">
              <a16:creationId xmlns:a16="http://schemas.microsoft.com/office/drawing/2014/main" id="{7F2645B9-F0A0-4136-935A-A51DE9C36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21</xdr:row>
      <xdr:rowOff>0</xdr:rowOff>
    </xdr:from>
    <xdr:ext cx="304800" cy="304800"/>
    <xdr:sp macro="" textlink="">
      <xdr:nvSpPr>
        <xdr:cNvPr id="6845" name="AutoShape 259">
          <a:extLst>
            <a:ext uri="{FF2B5EF4-FFF2-40B4-BE49-F238E27FC236}">
              <a16:creationId xmlns:a16="http://schemas.microsoft.com/office/drawing/2014/main" id="{149FDB25-F8D3-438E-8A95-A48DB78DCEE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21</xdr:row>
      <xdr:rowOff>0</xdr:rowOff>
    </xdr:from>
    <xdr:ext cx="9525" cy="9525"/>
    <xdr:pic>
      <xdr:nvPicPr>
        <xdr:cNvPr id="6846" name="Picture 6845">
          <a:extLst>
            <a:ext uri="{FF2B5EF4-FFF2-40B4-BE49-F238E27FC236}">
              <a16:creationId xmlns:a16="http://schemas.microsoft.com/office/drawing/2014/main" id="{8171F62A-C50C-4505-924A-717D79D03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21</xdr:row>
      <xdr:rowOff>0</xdr:rowOff>
    </xdr:from>
    <xdr:ext cx="304800" cy="304800"/>
    <xdr:sp macro="" textlink="">
      <xdr:nvSpPr>
        <xdr:cNvPr id="6847" name="AutoShape 311">
          <a:extLst>
            <a:ext uri="{FF2B5EF4-FFF2-40B4-BE49-F238E27FC236}">
              <a16:creationId xmlns:a16="http://schemas.microsoft.com/office/drawing/2014/main" id="{DA026099-BA39-4722-AC3B-78618E0A0F72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21</xdr:row>
      <xdr:rowOff>0</xdr:rowOff>
    </xdr:from>
    <xdr:ext cx="9525" cy="9525"/>
    <xdr:pic>
      <xdr:nvPicPr>
        <xdr:cNvPr id="6848" name="Picture 6847">
          <a:extLst>
            <a:ext uri="{FF2B5EF4-FFF2-40B4-BE49-F238E27FC236}">
              <a16:creationId xmlns:a16="http://schemas.microsoft.com/office/drawing/2014/main" id="{EE5335A2-E2B8-4CC7-A226-9CC155D97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21</xdr:row>
      <xdr:rowOff>0</xdr:rowOff>
    </xdr:from>
    <xdr:ext cx="304800" cy="304800"/>
    <xdr:sp macro="" textlink="">
      <xdr:nvSpPr>
        <xdr:cNvPr id="6849" name="AutoShape 363">
          <a:extLst>
            <a:ext uri="{FF2B5EF4-FFF2-40B4-BE49-F238E27FC236}">
              <a16:creationId xmlns:a16="http://schemas.microsoft.com/office/drawing/2014/main" id="{B3AC56BF-9855-4732-BE28-978BC07A869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21</xdr:row>
      <xdr:rowOff>0</xdr:rowOff>
    </xdr:from>
    <xdr:ext cx="9525" cy="9525"/>
    <xdr:pic>
      <xdr:nvPicPr>
        <xdr:cNvPr id="6850" name="Picture 6849">
          <a:extLst>
            <a:ext uri="{FF2B5EF4-FFF2-40B4-BE49-F238E27FC236}">
              <a16:creationId xmlns:a16="http://schemas.microsoft.com/office/drawing/2014/main" id="{1F45A028-57D3-44B6-80CA-7DC77E332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21</xdr:row>
      <xdr:rowOff>0</xdr:rowOff>
    </xdr:from>
    <xdr:ext cx="304800" cy="304800"/>
    <xdr:sp macro="" textlink="">
      <xdr:nvSpPr>
        <xdr:cNvPr id="6851" name="AutoShape 419">
          <a:extLst>
            <a:ext uri="{FF2B5EF4-FFF2-40B4-BE49-F238E27FC236}">
              <a16:creationId xmlns:a16="http://schemas.microsoft.com/office/drawing/2014/main" id="{019BCE96-4B22-470A-9F7A-73B04232082C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21</xdr:row>
      <xdr:rowOff>0</xdr:rowOff>
    </xdr:from>
    <xdr:ext cx="9525" cy="9525"/>
    <xdr:pic>
      <xdr:nvPicPr>
        <xdr:cNvPr id="6852" name="Picture 6851">
          <a:extLst>
            <a:ext uri="{FF2B5EF4-FFF2-40B4-BE49-F238E27FC236}">
              <a16:creationId xmlns:a16="http://schemas.microsoft.com/office/drawing/2014/main" id="{08D88B5C-7B58-42A4-B8EF-A2744B369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21</xdr:row>
      <xdr:rowOff>0</xdr:rowOff>
    </xdr:from>
    <xdr:ext cx="304800" cy="304800"/>
    <xdr:sp macro="" textlink="">
      <xdr:nvSpPr>
        <xdr:cNvPr id="6853" name="AutoShape 475">
          <a:extLst>
            <a:ext uri="{FF2B5EF4-FFF2-40B4-BE49-F238E27FC236}">
              <a16:creationId xmlns:a16="http://schemas.microsoft.com/office/drawing/2014/main" id="{5D7F0888-D02B-446D-B2C4-8A4F20B0E361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21</xdr:row>
      <xdr:rowOff>0</xdr:rowOff>
    </xdr:from>
    <xdr:ext cx="9525" cy="9525"/>
    <xdr:pic>
      <xdr:nvPicPr>
        <xdr:cNvPr id="6854" name="Picture 6853">
          <a:extLst>
            <a:ext uri="{FF2B5EF4-FFF2-40B4-BE49-F238E27FC236}">
              <a16:creationId xmlns:a16="http://schemas.microsoft.com/office/drawing/2014/main" id="{6276AF5E-920C-4739-8603-70ED26DEB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16</xdr:row>
      <xdr:rowOff>0</xdr:rowOff>
    </xdr:from>
    <xdr:ext cx="9525" cy="9525"/>
    <xdr:pic>
      <xdr:nvPicPr>
        <xdr:cNvPr id="6855" name="Picture 6854">
          <a:extLst>
            <a:ext uri="{FF2B5EF4-FFF2-40B4-BE49-F238E27FC236}">
              <a16:creationId xmlns:a16="http://schemas.microsoft.com/office/drawing/2014/main" id="{77BE61EE-ACDE-4B3B-AA5F-1F8DA9FCD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3440"/>
    <xdr:sp macro="" textlink="">
      <xdr:nvSpPr>
        <xdr:cNvPr id="6856" name="AutoShape 169">
          <a:extLst>
            <a:ext uri="{FF2B5EF4-FFF2-40B4-BE49-F238E27FC236}">
              <a16:creationId xmlns:a16="http://schemas.microsoft.com/office/drawing/2014/main" id="{95D3AA81-2285-4950-B2CC-8716829591E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16</xdr:row>
      <xdr:rowOff>0</xdr:rowOff>
    </xdr:from>
    <xdr:ext cx="304800" cy="303439"/>
    <xdr:sp macro="" textlink="">
      <xdr:nvSpPr>
        <xdr:cNvPr id="6857" name="AutoShape 171">
          <a:extLst>
            <a:ext uri="{FF2B5EF4-FFF2-40B4-BE49-F238E27FC236}">
              <a16:creationId xmlns:a16="http://schemas.microsoft.com/office/drawing/2014/main" id="{BFC7FEC3-A7E9-403F-86D6-A4B2DB1887C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16</xdr:row>
      <xdr:rowOff>0</xdr:rowOff>
    </xdr:from>
    <xdr:ext cx="9525" cy="9525"/>
    <xdr:pic>
      <xdr:nvPicPr>
        <xdr:cNvPr id="6858" name="Picture 6857">
          <a:extLst>
            <a:ext uri="{FF2B5EF4-FFF2-40B4-BE49-F238E27FC236}">
              <a16:creationId xmlns:a16="http://schemas.microsoft.com/office/drawing/2014/main" id="{05296172-29A3-45E5-BCC9-9F1572DAA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3440"/>
    <xdr:sp macro="" textlink="">
      <xdr:nvSpPr>
        <xdr:cNvPr id="6859" name="AutoShape 199">
          <a:extLst>
            <a:ext uri="{FF2B5EF4-FFF2-40B4-BE49-F238E27FC236}">
              <a16:creationId xmlns:a16="http://schemas.microsoft.com/office/drawing/2014/main" id="{9C96DD0B-07EB-4FDA-A33E-AC08CF7B2AB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16</xdr:row>
      <xdr:rowOff>0</xdr:rowOff>
    </xdr:from>
    <xdr:ext cx="9525" cy="9525"/>
    <xdr:pic>
      <xdr:nvPicPr>
        <xdr:cNvPr id="6860" name="Picture 6859">
          <a:extLst>
            <a:ext uri="{FF2B5EF4-FFF2-40B4-BE49-F238E27FC236}">
              <a16:creationId xmlns:a16="http://schemas.microsoft.com/office/drawing/2014/main" id="{05ECC39B-3F6A-4D1E-8BBB-E8D5B7608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16</xdr:row>
      <xdr:rowOff>0</xdr:rowOff>
    </xdr:from>
    <xdr:ext cx="9525" cy="9525"/>
    <xdr:pic>
      <xdr:nvPicPr>
        <xdr:cNvPr id="6861" name="Picture 6860">
          <a:extLst>
            <a:ext uri="{FF2B5EF4-FFF2-40B4-BE49-F238E27FC236}">
              <a16:creationId xmlns:a16="http://schemas.microsoft.com/office/drawing/2014/main" id="{43E2B7C1-D6DC-4E18-92E9-DDB62B71A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3440"/>
    <xdr:sp macro="" textlink="">
      <xdr:nvSpPr>
        <xdr:cNvPr id="6862" name="AutoShape 249">
          <a:extLst>
            <a:ext uri="{FF2B5EF4-FFF2-40B4-BE49-F238E27FC236}">
              <a16:creationId xmlns:a16="http://schemas.microsoft.com/office/drawing/2014/main" id="{E292AF96-4D44-4414-8718-5CA000DAC0C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16</xdr:row>
      <xdr:rowOff>0</xdr:rowOff>
    </xdr:from>
    <xdr:ext cx="9525" cy="9525"/>
    <xdr:pic>
      <xdr:nvPicPr>
        <xdr:cNvPr id="6863" name="Picture 6862">
          <a:extLst>
            <a:ext uri="{FF2B5EF4-FFF2-40B4-BE49-F238E27FC236}">
              <a16:creationId xmlns:a16="http://schemas.microsoft.com/office/drawing/2014/main" id="{6614CB65-9401-4F05-8A92-DC91D05BE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3440"/>
    <xdr:sp macro="" textlink="">
      <xdr:nvSpPr>
        <xdr:cNvPr id="6864" name="AutoShape 275">
          <a:extLst>
            <a:ext uri="{FF2B5EF4-FFF2-40B4-BE49-F238E27FC236}">
              <a16:creationId xmlns:a16="http://schemas.microsoft.com/office/drawing/2014/main" id="{81FB49DC-26CE-487D-BEB6-2974E5B513A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16</xdr:row>
      <xdr:rowOff>0</xdr:rowOff>
    </xdr:from>
    <xdr:ext cx="9525" cy="9525"/>
    <xdr:pic>
      <xdr:nvPicPr>
        <xdr:cNvPr id="6865" name="Picture 6864">
          <a:extLst>
            <a:ext uri="{FF2B5EF4-FFF2-40B4-BE49-F238E27FC236}">
              <a16:creationId xmlns:a16="http://schemas.microsoft.com/office/drawing/2014/main" id="{391659CA-457B-4266-B417-FE0F2CAE3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3440"/>
    <xdr:sp macro="" textlink="">
      <xdr:nvSpPr>
        <xdr:cNvPr id="6866" name="AutoShape 327">
          <a:extLst>
            <a:ext uri="{FF2B5EF4-FFF2-40B4-BE49-F238E27FC236}">
              <a16:creationId xmlns:a16="http://schemas.microsoft.com/office/drawing/2014/main" id="{2CDAEF86-7415-4817-897D-8096CDDC783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16</xdr:row>
      <xdr:rowOff>0</xdr:rowOff>
    </xdr:from>
    <xdr:ext cx="9525" cy="9525"/>
    <xdr:pic>
      <xdr:nvPicPr>
        <xdr:cNvPr id="6867" name="Picture 6866">
          <a:extLst>
            <a:ext uri="{FF2B5EF4-FFF2-40B4-BE49-F238E27FC236}">
              <a16:creationId xmlns:a16="http://schemas.microsoft.com/office/drawing/2014/main" id="{B16EC598-264D-4136-ADC9-07643DB74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3440"/>
    <xdr:sp macro="" textlink="">
      <xdr:nvSpPr>
        <xdr:cNvPr id="6868" name="AutoShape 379">
          <a:extLst>
            <a:ext uri="{FF2B5EF4-FFF2-40B4-BE49-F238E27FC236}">
              <a16:creationId xmlns:a16="http://schemas.microsoft.com/office/drawing/2014/main" id="{2F26F6A6-D39E-470E-B054-FB28FF642091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16</xdr:row>
      <xdr:rowOff>0</xdr:rowOff>
    </xdr:from>
    <xdr:ext cx="304800" cy="303439"/>
    <xdr:sp macro="" textlink="">
      <xdr:nvSpPr>
        <xdr:cNvPr id="6869" name="AutoShape 381">
          <a:extLst>
            <a:ext uri="{FF2B5EF4-FFF2-40B4-BE49-F238E27FC236}">
              <a16:creationId xmlns:a16="http://schemas.microsoft.com/office/drawing/2014/main" id="{4442E646-AB52-428F-8CB8-FCC78CA3B61B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16</xdr:row>
      <xdr:rowOff>0</xdr:rowOff>
    </xdr:from>
    <xdr:ext cx="9525" cy="9525"/>
    <xdr:pic>
      <xdr:nvPicPr>
        <xdr:cNvPr id="6870" name="Picture 6869">
          <a:extLst>
            <a:ext uri="{FF2B5EF4-FFF2-40B4-BE49-F238E27FC236}">
              <a16:creationId xmlns:a16="http://schemas.microsoft.com/office/drawing/2014/main" id="{5AE75A59-191A-4545-ACB7-CCED36285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3440"/>
    <xdr:sp macro="" textlink="">
      <xdr:nvSpPr>
        <xdr:cNvPr id="6871" name="AutoShape 435">
          <a:extLst>
            <a:ext uri="{FF2B5EF4-FFF2-40B4-BE49-F238E27FC236}">
              <a16:creationId xmlns:a16="http://schemas.microsoft.com/office/drawing/2014/main" id="{5DC87893-0EC9-4AB7-8D8A-6F4C79168B98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16</xdr:row>
      <xdr:rowOff>0</xdr:rowOff>
    </xdr:from>
    <xdr:ext cx="304800" cy="303439"/>
    <xdr:sp macro="" textlink="">
      <xdr:nvSpPr>
        <xdr:cNvPr id="6872" name="AutoShape 437">
          <a:extLst>
            <a:ext uri="{FF2B5EF4-FFF2-40B4-BE49-F238E27FC236}">
              <a16:creationId xmlns:a16="http://schemas.microsoft.com/office/drawing/2014/main" id="{FF0DEECE-829B-4BD9-BD87-5E4D4813C41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16</xdr:row>
      <xdr:rowOff>0</xdr:rowOff>
    </xdr:from>
    <xdr:ext cx="9525" cy="9525"/>
    <xdr:pic>
      <xdr:nvPicPr>
        <xdr:cNvPr id="6873" name="Picture 6872">
          <a:extLst>
            <a:ext uri="{FF2B5EF4-FFF2-40B4-BE49-F238E27FC236}">
              <a16:creationId xmlns:a16="http://schemas.microsoft.com/office/drawing/2014/main" id="{8D111997-5557-4F6C-8FA8-C4BC92BB2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3440"/>
    <xdr:sp macro="" textlink="">
      <xdr:nvSpPr>
        <xdr:cNvPr id="6874" name="AutoShape 491">
          <a:extLst>
            <a:ext uri="{FF2B5EF4-FFF2-40B4-BE49-F238E27FC236}">
              <a16:creationId xmlns:a16="http://schemas.microsoft.com/office/drawing/2014/main" id="{225DCE17-27FF-4613-9796-877E71E4A1D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16</xdr:row>
      <xdr:rowOff>0</xdr:rowOff>
    </xdr:from>
    <xdr:ext cx="304800" cy="303439"/>
    <xdr:sp macro="" textlink="">
      <xdr:nvSpPr>
        <xdr:cNvPr id="6875" name="AutoShape 493">
          <a:extLst>
            <a:ext uri="{FF2B5EF4-FFF2-40B4-BE49-F238E27FC236}">
              <a16:creationId xmlns:a16="http://schemas.microsoft.com/office/drawing/2014/main" id="{68CF213D-E232-4185-A161-C79E35DBDF6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16</xdr:row>
      <xdr:rowOff>0</xdr:rowOff>
    </xdr:from>
    <xdr:ext cx="9525" cy="9525"/>
    <xdr:pic>
      <xdr:nvPicPr>
        <xdr:cNvPr id="6876" name="Picture 6875">
          <a:extLst>
            <a:ext uri="{FF2B5EF4-FFF2-40B4-BE49-F238E27FC236}">
              <a16:creationId xmlns:a16="http://schemas.microsoft.com/office/drawing/2014/main" id="{AFCCFB1E-9BAF-423E-9330-C3E1490D6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3440"/>
    <xdr:sp macro="" textlink="">
      <xdr:nvSpPr>
        <xdr:cNvPr id="6877" name="AutoShape 525">
          <a:extLst>
            <a:ext uri="{FF2B5EF4-FFF2-40B4-BE49-F238E27FC236}">
              <a16:creationId xmlns:a16="http://schemas.microsoft.com/office/drawing/2014/main" id="{3153038B-082A-458D-A697-6FE1492D5CA5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16</xdr:row>
      <xdr:rowOff>0</xdr:rowOff>
    </xdr:from>
    <xdr:ext cx="304800" cy="303439"/>
    <xdr:sp macro="" textlink="">
      <xdr:nvSpPr>
        <xdr:cNvPr id="6878" name="AutoShape 527">
          <a:extLst>
            <a:ext uri="{FF2B5EF4-FFF2-40B4-BE49-F238E27FC236}">
              <a16:creationId xmlns:a16="http://schemas.microsoft.com/office/drawing/2014/main" id="{24E99C47-FD8A-4050-A04F-73EF2225535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19</xdr:row>
      <xdr:rowOff>0</xdr:rowOff>
    </xdr:from>
    <xdr:ext cx="9525" cy="9525"/>
    <xdr:pic>
      <xdr:nvPicPr>
        <xdr:cNvPr id="6879" name="Picture 6878">
          <a:extLst>
            <a:ext uri="{FF2B5EF4-FFF2-40B4-BE49-F238E27FC236}">
              <a16:creationId xmlns:a16="http://schemas.microsoft.com/office/drawing/2014/main" id="{49AC5DA0-5E70-42F4-BC1A-FAC01D10D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18</xdr:row>
      <xdr:rowOff>0</xdr:rowOff>
    </xdr:from>
    <xdr:ext cx="304800" cy="303440"/>
    <xdr:sp macro="" textlink="">
      <xdr:nvSpPr>
        <xdr:cNvPr id="6880" name="AutoShape 173">
          <a:extLst>
            <a:ext uri="{FF2B5EF4-FFF2-40B4-BE49-F238E27FC236}">
              <a16:creationId xmlns:a16="http://schemas.microsoft.com/office/drawing/2014/main" id="{76DFA4EC-B160-4591-9C19-6B16FBF23B17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653643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20</xdr:row>
      <xdr:rowOff>0</xdr:rowOff>
    </xdr:from>
    <xdr:ext cx="9525" cy="9525"/>
    <xdr:pic>
      <xdr:nvPicPr>
        <xdr:cNvPr id="6881" name="Picture 6880">
          <a:extLst>
            <a:ext uri="{FF2B5EF4-FFF2-40B4-BE49-F238E27FC236}">
              <a16:creationId xmlns:a16="http://schemas.microsoft.com/office/drawing/2014/main" id="{2BBC2B45-3540-46FF-8E6F-1D8E5BE3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19</xdr:row>
      <xdr:rowOff>0</xdr:rowOff>
    </xdr:from>
    <xdr:ext cx="9525" cy="9525"/>
    <xdr:pic>
      <xdr:nvPicPr>
        <xdr:cNvPr id="6882" name="Picture 6881">
          <a:extLst>
            <a:ext uri="{FF2B5EF4-FFF2-40B4-BE49-F238E27FC236}">
              <a16:creationId xmlns:a16="http://schemas.microsoft.com/office/drawing/2014/main" id="{804CA526-2750-483C-8BFD-471018BB4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19</xdr:row>
      <xdr:rowOff>0</xdr:rowOff>
    </xdr:from>
    <xdr:ext cx="9525" cy="9525"/>
    <xdr:pic>
      <xdr:nvPicPr>
        <xdr:cNvPr id="6883" name="Picture 6882">
          <a:extLst>
            <a:ext uri="{FF2B5EF4-FFF2-40B4-BE49-F238E27FC236}">
              <a16:creationId xmlns:a16="http://schemas.microsoft.com/office/drawing/2014/main" id="{D986DC76-454A-4714-A7E0-FED89E7F5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19</xdr:row>
      <xdr:rowOff>0</xdr:rowOff>
    </xdr:from>
    <xdr:ext cx="9525" cy="9525"/>
    <xdr:pic>
      <xdr:nvPicPr>
        <xdr:cNvPr id="6884" name="Picture 6883">
          <a:extLst>
            <a:ext uri="{FF2B5EF4-FFF2-40B4-BE49-F238E27FC236}">
              <a16:creationId xmlns:a16="http://schemas.microsoft.com/office/drawing/2014/main" id="{37C0E944-A4D2-4E35-88C0-F92870E2C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19</xdr:row>
      <xdr:rowOff>0</xdr:rowOff>
    </xdr:from>
    <xdr:ext cx="9525" cy="9525"/>
    <xdr:pic>
      <xdr:nvPicPr>
        <xdr:cNvPr id="6885" name="Picture 6884">
          <a:extLst>
            <a:ext uri="{FF2B5EF4-FFF2-40B4-BE49-F238E27FC236}">
              <a16:creationId xmlns:a16="http://schemas.microsoft.com/office/drawing/2014/main" id="{F390E8C7-DCD1-4DB7-B3DC-D2F44A67F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19</xdr:row>
      <xdr:rowOff>0</xdr:rowOff>
    </xdr:from>
    <xdr:ext cx="9525" cy="9525"/>
    <xdr:pic>
      <xdr:nvPicPr>
        <xdr:cNvPr id="6886" name="Picture 6885">
          <a:extLst>
            <a:ext uri="{FF2B5EF4-FFF2-40B4-BE49-F238E27FC236}">
              <a16:creationId xmlns:a16="http://schemas.microsoft.com/office/drawing/2014/main" id="{4F952D77-F61A-42DE-8364-E4285AFBE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20</xdr:row>
      <xdr:rowOff>0</xdr:rowOff>
    </xdr:from>
    <xdr:ext cx="9525" cy="9525"/>
    <xdr:pic>
      <xdr:nvPicPr>
        <xdr:cNvPr id="6887" name="Picture 6886">
          <a:extLst>
            <a:ext uri="{FF2B5EF4-FFF2-40B4-BE49-F238E27FC236}">
              <a16:creationId xmlns:a16="http://schemas.microsoft.com/office/drawing/2014/main" id="{7C37EC06-9116-4CA2-A2B0-A763E8B4D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19</xdr:row>
      <xdr:rowOff>0</xdr:rowOff>
    </xdr:from>
    <xdr:ext cx="9525" cy="9525"/>
    <xdr:pic>
      <xdr:nvPicPr>
        <xdr:cNvPr id="6888" name="Picture 6887">
          <a:extLst>
            <a:ext uri="{FF2B5EF4-FFF2-40B4-BE49-F238E27FC236}">
              <a16:creationId xmlns:a16="http://schemas.microsoft.com/office/drawing/2014/main" id="{499E6CCD-89BB-45E8-BE0B-6EADAB6C7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20</xdr:row>
      <xdr:rowOff>0</xdr:rowOff>
    </xdr:from>
    <xdr:ext cx="9525" cy="9525"/>
    <xdr:pic>
      <xdr:nvPicPr>
        <xdr:cNvPr id="6889" name="Picture 6888">
          <a:extLst>
            <a:ext uri="{FF2B5EF4-FFF2-40B4-BE49-F238E27FC236}">
              <a16:creationId xmlns:a16="http://schemas.microsoft.com/office/drawing/2014/main" id="{42816814-796E-4D2B-B1DA-1D5DE681F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19</xdr:row>
      <xdr:rowOff>0</xdr:rowOff>
    </xdr:from>
    <xdr:ext cx="9525" cy="9525"/>
    <xdr:pic>
      <xdr:nvPicPr>
        <xdr:cNvPr id="6890" name="Picture 6889">
          <a:extLst>
            <a:ext uri="{FF2B5EF4-FFF2-40B4-BE49-F238E27FC236}">
              <a16:creationId xmlns:a16="http://schemas.microsoft.com/office/drawing/2014/main" id="{6404C992-EB88-48E1-AED9-AA2B08E07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20</xdr:row>
      <xdr:rowOff>0</xdr:rowOff>
    </xdr:from>
    <xdr:ext cx="9525" cy="9525"/>
    <xdr:pic>
      <xdr:nvPicPr>
        <xdr:cNvPr id="6891" name="Picture 6890">
          <a:extLst>
            <a:ext uri="{FF2B5EF4-FFF2-40B4-BE49-F238E27FC236}">
              <a16:creationId xmlns:a16="http://schemas.microsoft.com/office/drawing/2014/main" id="{561FA303-8880-40D6-9238-70DF473AF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19</xdr:row>
      <xdr:rowOff>0</xdr:rowOff>
    </xdr:from>
    <xdr:ext cx="9525" cy="9525"/>
    <xdr:pic>
      <xdr:nvPicPr>
        <xdr:cNvPr id="6892" name="Picture 6891">
          <a:extLst>
            <a:ext uri="{FF2B5EF4-FFF2-40B4-BE49-F238E27FC236}">
              <a16:creationId xmlns:a16="http://schemas.microsoft.com/office/drawing/2014/main" id="{9AFEAD50-0CB2-4AB6-8C01-FE5C218A7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18</xdr:row>
      <xdr:rowOff>0</xdr:rowOff>
    </xdr:from>
    <xdr:ext cx="304800" cy="303439"/>
    <xdr:sp macro="" textlink="">
      <xdr:nvSpPr>
        <xdr:cNvPr id="6893" name="AutoShape 529">
          <a:extLst>
            <a:ext uri="{FF2B5EF4-FFF2-40B4-BE49-F238E27FC236}">
              <a16:creationId xmlns:a16="http://schemas.microsoft.com/office/drawing/2014/main" id="{B9FB03B2-EACA-4BE7-ACEC-0D3957F918F6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6536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20</xdr:row>
      <xdr:rowOff>0</xdr:rowOff>
    </xdr:from>
    <xdr:ext cx="9525" cy="9525"/>
    <xdr:pic>
      <xdr:nvPicPr>
        <xdr:cNvPr id="6894" name="Picture 6893">
          <a:extLst>
            <a:ext uri="{FF2B5EF4-FFF2-40B4-BE49-F238E27FC236}">
              <a16:creationId xmlns:a16="http://schemas.microsoft.com/office/drawing/2014/main" id="{3CB091F9-1F5E-4F0D-B904-DA2367BA6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19</xdr:row>
      <xdr:rowOff>0</xdr:rowOff>
    </xdr:from>
    <xdr:ext cx="304800" cy="303439"/>
    <xdr:sp macro="" textlink="">
      <xdr:nvSpPr>
        <xdr:cNvPr id="6895" name="AutoShape 531">
          <a:extLst>
            <a:ext uri="{FF2B5EF4-FFF2-40B4-BE49-F238E27FC236}">
              <a16:creationId xmlns:a16="http://schemas.microsoft.com/office/drawing/2014/main" id="{BEE93F09-8A00-4DF5-A0F3-D8FE431C0D98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8441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9525" cy="9525"/>
    <xdr:pic>
      <xdr:nvPicPr>
        <xdr:cNvPr id="6896" name="Picture 6895">
          <a:extLst>
            <a:ext uri="{FF2B5EF4-FFF2-40B4-BE49-F238E27FC236}">
              <a16:creationId xmlns:a16="http://schemas.microsoft.com/office/drawing/2014/main" id="{91723000-7727-499F-AB61-8AC727891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17</xdr:row>
      <xdr:rowOff>0</xdr:rowOff>
    </xdr:from>
    <xdr:ext cx="304800" cy="303439"/>
    <xdr:sp macro="" textlink="">
      <xdr:nvSpPr>
        <xdr:cNvPr id="6897" name="AutoShape 165">
          <a:extLst>
            <a:ext uri="{FF2B5EF4-FFF2-40B4-BE49-F238E27FC236}">
              <a16:creationId xmlns:a16="http://schemas.microsoft.com/office/drawing/2014/main" id="{1FF05C5F-2367-4612-8AE0-D7D3B8C8868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9525" cy="9525"/>
    <xdr:pic>
      <xdr:nvPicPr>
        <xdr:cNvPr id="6898" name="Picture 6897">
          <a:extLst>
            <a:ext uri="{FF2B5EF4-FFF2-40B4-BE49-F238E27FC236}">
              <a16:creationId xmlns:a16="http://schemas.microsoft.com/office/drawing/2014/main" id="{888B1740-5263-44A6-A4B6-5715D1974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16</xdr:row>
      <xdr:rowOff>0</xdr:rowOff>
    </xdr:from>
    <xdr:ext cx="304800" cy="304800"/>
    <xdr:sp macro="" textlink="">
      <xdr:nvSpPr>
        <xdr:cNvPr id="6899" name="AutoShape 193">
          <a:extLst>
            <a:ext uri="{FF2B5EF4-FFF2-40B4-BE49-F238E27FC236}">
              <a16:creationId xmlns:a16="http://schemas.microsoft.com/office/drawing/2014/main" id="{7A854D9F-B6D2-4BFF-9DFF-D0A95AEB50F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304800" cy="303439"/>
    <xdr:sp macro="" textlink="">
      <xdr:nvSpPr>
        <xdr:cNvPr id="6900" name="AutoShape 195">
          <a:extLst>
            <a:ext uri="{FF2B5EF4-FFF2-40B4-BE49-F238E27FC236}">
              <a16:creationId xmlns:a16="http://schemas.microsoft.com/office/drawing/2014/main" id="{E807B444-DBDA-4F7C-9618-83BAF69F9B2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9525" cy="9525"/>
    <xdr:pic>
      <xdr:nvPicPr>
        <xdr:cNvPr id="6901" name="Picture 6900">
          <a:extLst>
            <a:ext uri="{FF2B5EF4-FFF2-40B4-BE49-F238E27FC236}">
              <a16:creationId xmlns:a16="http://schemas.microsoft.com/office/drawing/2014/main" id="{CDD1C475-A321-406F-A6AB-87836C148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16</xdr:row>
      <xdr:rowOff>0</xdr:rowOff>
    </xdr:from>
    <xdr:ext cx="304800" cy="304800"/>
    <xdr:sp macro="" textlink="">
      <xdr:nvSpPr>
        <xdr:cNvPr id="6902" name="AutoShape 219">
          <a:extLst>
            <a:ext uri="{FF2B5EF4-FFF2-40B4-BE49-F238E27FC236}">
              <a16:creationId xmlns:a16="http://schemas.microsoft.com/office/drawing/2014/main" id="{63716C09-3C3C-4037-82B6-E72ECE30BF07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304800" cy="303439"/>
    <xdr:sp macro="" textlink="">
      <xdr:nvSpPr>
        <xdr:cNvPr id="6903" name="AutoShape 221">
          <a:extLst>
            <a:ext uri="{FF2B5EF4-FFF2-40B4-BE49-F238E27FC236}">
              <a16:creationId xmlns:a16="http://schemas.microsoft.com/office/drawing/2014/main" id="{9299725E-258A-4EC9-8ABA-9E42C1D9DC0C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9525" cy="9525"/>
    <xdr:pic>
      <xdr:nvPicPr>
        <xdr:cNvPr id="6904" name="Picture 6903">
          <a:extLst>
            <a:ext uri="{FF2B5EF4-FFF2-40B4-BE49-F238E27FC236}">
              <a16:creationId xmlns:a16="http://schemas.microsoft.com/office/drawing/2014/main" id="{454A007E-240D-4B95-9432-55BA7DDDE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16</xdr:row>
      <xdr:rowOff>0</xdr:rowOff>
    </xdr:from>
    <xdr:ext cx="304800" cy="304800"/>
    <xdr:sp macro="" textlink="">
      <xdr:nvSpPr>
        <xdr:cNvPr id="6905" name="AutoShape 243">
          <a:extLst>
            <a:ext uri="{FF2B5EF4-FFF2-40B4-BE49-F238E27FC236}">
              <a16:creationId xmlns:a16="http://schemas.microsoft.com/office/drawing/2014/main" id="{C668D4F4-578B-4958-8392-EDBAA750313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304800" cy="303439"/>
    <xdr:sp macro="" textlink="">
      <xdr:nvSpPr>
        <xdr:cNvPr id="6906" name="AutoShape 245">
          <a:extLst>
            <a:ext uri="{FF2B5EF4-FFF2-40B4-BE49-F238E27FC236}">
              <a16:creationId xmlns:a16="http://schemas.microsoft.com/office/drawing/2014/main" id="{2B8BEBF1-F7CC-4217-96B8-AAE9B22033EC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9525" cy="9525"/>
    <xdr:pic>
      <xdr:nvPicPr>
        <xdr:cNvPr id="6907" name="Picture 6906">
          <a:extLst>
            <a:ext uri="{FF2B5EF4-FFF2-40B4-BE49-F238E27FC236}">
              <a16:creationId xmlns:a16="http://schemas.microsoft.com/office/drawing/2014/main" id="{F41CA5DE-4EFC-4186-BDB2-7178634AF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16</xdr:row>
      <xdr:rowOff>0</xdr:rowOff>
    </xdr:from>
    <xdr:ext cx="304800" cy="304800"/>
    <xdr:sp macro="" textlink="">
      <xdr:nvSpPr>
        <xdr:cNvPr id="6908" name="AutoShape 269">
          <a:extLst>
            <a:ext uri="{FF2B5EF4-FFF2-40B4-BE49-F238E27FC236}">
              <a16:creationId xmlns:a16="http://schemas.microsoft.com/office/drawing/2014/main" id="{999ED031-E005-45DE-A03E-7F13E50331DF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304800" cy="303439"/>
    <xdr:sp macro="" textlink="">
      <xdr:nvSpPr>
        <xdr:cNvPr id="6909" name="AutoShape 271">
          <a:extLst>
            <a:ext uri="{FF2B5EF4-FFF2-40B4-BE49-F238E27FC236}">
              <a16:creationId xmlns:a16="http://schemas.microsoft.com/office/drawing/2014/main" id="{8B61D89E-F920-414F-A581-CA51EDF9C71F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9525" cy="9525"/>
    <xdr:pic>
      <xdr:nvPicPr>
        <xdr:cNvPr id="6910" name="Picture 6909">
          <a:extLst>
            <a:ext uri="{FF2B5EF4-FFF2-40B4-BE49-F238E27FC236}">
              <a16:creationId xmlns:a16="http://schemas.microsoft.com/office/drawing/2014/main" id="{DFFCA0A9-E2E2-49D9-8B1D-29565871F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16</xdr:row>
      <xdr:rowOff>0</xdr:rowOff>
    </xdr:from>
    <xdr:ext cx="304800" cy="304800"/>
    <xdr:sp macro="" textlink="">
      <xdr:nvSpPr>
        <xdr:cNvPr id="6911" name="AutoShape 321">
          <a:extLst>
            <a:ext uri="{FF2B5EF4-FFF2-40B4-BE49-F238E27FC236}">
              <a16:creationId xmlns:a16="http://schemas.microsoft.com/office/drawing/2014/main" id="{E0EC9A7B-4806-41A6-8776-5D20FAF0E0A6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304800" cy="303439"/>
    <xdr:sp macro="" textlink="">
      <xdr:nvSpPr>
        <xdr:cNvPr id="6912" name="AutoShape 323">
          <a:extLst>
            <a:ext uri="{FF2B5EF4-FFF2-40B4-BE49-F238E27FC236}">
              <a16:creationId xmlns:a16="http://schemas.microsoft.com/office/drawing/2014/main" id="{5FFEA1FB-C2BC-4961-A343-FFF42D42EFAF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9525" cy="9525"/>
    <xdr:pic>
      <xdr:nvPicPr>
        <xdr:cNvPr id="6913" name="Picture 6912">
          <a:extLst>
            <a:ext uri="{FF2B5EF4-FFF2-40B4-BE49-F238E27FC236}">
              <a16:creationId xmlns:a16="http://schemas.microsoft.com/office/drawing/2014/main" id="{73C37642-BEEC-47C0-BB94-65D957406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16</xdr:row>
      <xdr:rowOff>0</xdr:rowOff>
    </xdr:from>
    <xdr:ext cx="304800" cy="304800"/>
    <xdr:sp macro="" textlink="">
      <xdr:nvSpPr>
        <xdr:cNvPr id="6914" name="AutoShape 373">
          <a:extLst>
            <a:ext uri="{FF2B5EF4-FFF2-40B4-BE49-F238E27FC236}">
              <a16:creationId xmlns:a16="http://schemas.microsoft.com/office/drawing/2014/main" id="{7828B120-A0B1-4D51-972E-C81932561986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304800" cy="303439"/>
    <xdr:sp macro="" textlink="">
      <xdr:nvSpPr>
        <xdr:cNvPr id="6915" name="AutoShape 375">
          <a:extLst>
            <a:ext uri="{FF2B5EF4-FFF2-40B4-BE49-F238E27FC236}">
              <a16:creationId xmlns:a16="http://schemas.microsoft.com/office/drawing/2014/main" id="{61D339FD-2A2D-4BB9-B103-7BCD18570021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9525" cy="9525"/>
    <xdr:pic>
      <xdr:nvPicPr>
        <xdr:cNvPr id="6916" name="Picture 6915">
          <a:extLst>
            <a:ext uri="{FF2B5EF4-FFF2-40B4-BE49-F238E27FC236}">
              <a16:creationId xmlns:a16="http://schemas.microsoft.com/office/drawing/2014/main" id="{217349E8-D763-46FE-8C7F-7718A164A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16</xdr:row>
      <xdr:rowOff>0</xdr:rowOff>
    </xdr:from>
    <xdr:ext cx="304800" cy="304800"/>
    <xdr:sp macro="" textlink="">
      <xdr:nvSpPr>
        <xdr:cNvPr id="6917" name="AutoShape 429">
          <a:extLst>
            <a:ext uri="{FF2B5EF4-FFF2-40B4-BE49-F238E27FC236}">
              <a16:creationId xmlns:a16="http://schemas.microsoft.com/office/drawing/2014/main" id="{971F46B6-49A7-4FFE-A578-D3DFE19F7CD3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304800" cy="303439"/>
    <xdr:sp macro="" textlink="">
      <xdr:nvSpPr>
        <xdr:cNvPr id="6918" name="AutoShape 431">
          <a:extLst>
            <a:ext uri="{FF2B5EF4-FFF2-40B4-BE49-F238E27FC236}">
              <a16:creationId xmlns:a16="http://schemas.microsoft.com/office/drawing/2014/main" id="{2609DA95-8017-457F-8442-D1FC04D56513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9525" cy="9525"/>
    <xdr:pic>
      <xdr:nvPicPr>
        <xdr:cNvPr id="6919" name="Picture 6918">
          <a:extLst>
            <a:ext uri="{FF2B5EF4-FFF2-40B4-BE49-F238E27FC236}">
              <a16:creationId xmlns:a16="http://schemas.microsoft.com/office/drawing/2014/main" id="{AA0646B2-3E7A-4710-ABA9-F2E85E5C3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16</xdr:row>
      <xdr:rowOff>0</xdr:rowOff>
    </xdr:from>
    <xdr:ext cx="304800" cy="304800"/>
    <xdr:sp macro="" textlink="">
      <xdr:nvSpPr>
        <xdr:cNvPr id="6920" name="AutoShape 485">
          <a:extLst>
            <a:ext uri="{FF2B5EF4-FFF2-40B4-BE49-F238E27FC236}">
              <a16:creationId xmlns:a16="http://schemas.microsoft.com/office/drawing/2014/main" id="{BCA1853B-E2BE-41E1-9A02-92B6414AE43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304800" cy="303439"/>
    <xdr:sp macro="" textlink="">
      <xdr:nvSpPr>
        <xdr:cNvPr id="6921" name="AutoShape 487">
          <a:extLst>
            <a:ext uri="{FF2B5EF4-FFF2-40B4-BE49-F238E27FC236}">
              <a16:creationId xmlns:a16="http://schemas.microsoft.com/office/drawing/2014/main" id="{67AB7A17-283D-4CB3-A7FA-9F4C356992B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9525" cy="9525"/>
    <xdr:pic>
      <xdr:nvPicPr>
        <xdr:cNvPr id="6922" name="Picture 6921">
          <a:extLst>
            <a:ext uri="{FF2B5EF4-FFF2-40B4-BE49-F238E27FC236}">
              <a16:creationId xmlns:a16="http://schemas.microsoft.com/office/drawing/2014/main" id="{279D0A36-37B1-46FB-BDB2-7FFE2C038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16</xdr:row>
      <xdr:rowOff>0</xdr:rowOff>
    </xdr:from>
    <xdr:ext cx="304800" cy="304800"/>
    <xdr:sp macro="" textlink="">
      <xdr:nvSpPr>
        <xdr:cNvPr id="6923" name="AutoShape 519">
          <a:extLst>
            <a:ext uri="{FF2B5EF4-FFF2-40B4-BE49-F238E27FC236}">
              <a16:creationId xmlns:a16="http://schemas.microsoft.com/office/drawing/2014/main" id="{A91E4517-C33D-4350-8A55-6F81B3CC0072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304800" cy="303439"/>
    <xdr:sp macro="" textlink="">
      <xdr:nvSpPr>
        <xdr:cNvPr id="6924" name="AutoShape 521">
          <a:extLst>
            <a:ext uri="{FF2B5EF4-FFF2-40B4-BE49-F238E27FC236}">
              <a16:creationId xmlns:a16="http://schemas.microsoft.com/office/drawing/2014/main" id="{42E5A8B4-C2C2-4512-BD3D-DE29C60750D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18</xdr:row>
      <xdr:rowOff>0</xdr:rowOff>
    </xdr:from>
    <xdr:ext cx="9525" cy="9525"/>
    <xdr:pic>
      <xdr:nvPicPr>
        <xdr:cNvPr id="6925" name="Picture 6924">
          <a:extLst>
            <a:ext uri="{FF2B5EF4-FFF2-40B4-BE49-F238E27FC236}">
              <a16:creationId xmlns:a16="http://schemas.microsoft.com/office/drawing/2014/main" id="{F6B2F3FC-68AE-4614-B75A-2C96CAAF7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18</xdr:row>
      <xdr:rowOff>0</xdr:rowOff>
    </xdr:from>
    <xdr:ext cx="304800" cy="304800"/>
    <xdr:sp macro="" textlink="">
      <xdr:nvSpPr>
        <xdr:cNvPr id="6926" name="AutoShape 159">
          <a:extLst>
            <a:ext uri="{FF2B5EF4-FFF2-40B4-BE49-F238E27FC236}">
              <a16:creationId xmlns:a16="http://schemas.microsoft.com/office/drawing/2014/main" id="{5A7E160E-EA52-4825-B4B0-C5606584F878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18</xdr:row>
      <xdr:rowOff>0</xdr:rowOff>
    </xdr:from>
    <xdr:ext cx="9525" cy="9525"/>
    <xdr:pic>
      <xdr:nvPicPr>
        <xdr:cNvPr id="6927" name="Picture 6926">
          <a:extLst>
            <a:ext uri="{FF2B5EF4-FFF2-40B4-BE49-F238E27FC236}">
              <a16:creationId xmlns:a16="http://schemas.microsoft.com/office/drawing/2014/main" id="{5361D536-E25F-46FD-AC95-283FE1AE9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18</xdr:row>
      <xdr:rowOff>0</xdr:rowOff>
    </xdr:from>
    <xdr:ext cx="9525" cy="9525"/>
    <xdr:pic>
      <xdr:nvPicPr>
        <xdr:cNvPr id="6928" name="Picture 6927">
          <a:extLst>
            <a:ext uri="{FF2B5EF4-FFF2-40B4-BE49-F238E27FC236}">
              <a16:creationId xmlns:a16="http://schemas.microsoft.com/office/drawing/2014/main" id="{0EB1AED0-6C85-456F-B003-BA5F56440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18</xdr:row>
      <xdr:rowOff>0</xdr:rowOff>
    </xdr:from>
    <xdr:ext cx="9525" cy="9525"/>
    <xdr:pic>
      <xdr:nvPicPr>
        <xdr:cNvPr id="6929" name="Picture 6928">
          <a:extLst>
            <a:ext uri="{FF2B5EF4-FFF2-40B4-BE49-F238E27FC236}">
              <a16:creationId xmlns:a16="http://schemas.microsoft.com/office/drawing/2014/main" id="{33016AED-D972-4C8A-87A9-8968F96A8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18</xdr:row>
      <xdr:rowOff>0</xdr:rowOff>
    </xdr:from>
    <xdr:ext cx="9525" cy="9525"/>
    <xdr:pic>
      <xdr:nvPicPr>
        <xdr:cNvPr id="6930" name="Picture 6929">
          <a:extLst>
            <a:ext uri="{FF2B5EF4-FFF2-40B4-BE49-F238E27FC236}">
              <a16:creationId xmlns:a16="http://schemas.microsoft.com/office/drawing/2014/main" id="{93DF06DA-6F91-4D5B-AD74-FFE7165B5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18</xdr:row>
      <xdr:rowOff>0</xdr:rowOff>
    </xdr:from>
    <xdr:ext cx="9525" cy="9525"/>
    <xdr:pic>
      <xdr:nvPicPr>
        <xdr:cNvPr id="6931" name="Picture 6930">
          <a:extLst>
            <a:ext uri="{FF2B5EF4-FFF2-40B4-BE49-F238E27FC236}">
              <a16:creationId xmlns:a16="http://schemas.microsoft.com/office/drawing/2014/main" id="{A4B72B3B-0B06-414F-B264-F18AACD51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18</xdr:row>
      <xdr:rowOff>0</xdr:rowOff>
    </xdr:from>
    <xdr:ext cx="9525" cy="9525"/>
    <xdr:pic>
      <xdr:nvPicPr>
        <xdr:cNvPr id="6932" name="Picture 6931">
          <a:extLst>
            <a:ext uri="{FF2B5EF4-FFF2-40B4-BE49-F238E27FC236}">
              <a16:creationId xmlns:a16="http://schemas.microsoft.com/office/drawing/2014/main" id="{511824C6-CE42-4006-8994-C32A62C83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18</xdr:row>
      <xdr:rowOff>0</xdr:rowOff>
    </xdr:from>
    <xdr:ext cx="9525" cy="9525"/>
    <xdr:pic>
      <xdr:nvPicPr>
        <xdr:cNvPr id="6933" name="Picture 6932">
          <a:extLst>
            <a:ext uri="{FF2B5EF4-FFF2-40B4-BE49-F238E27FC236}">
              <a16:creationId xmlns:a16="http://schemas.microsoft.com/office/drawing/2014/main" id="{433297E8-C0C8-49C4-8089-0166E0255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18</xdr:row>
      <xdr:rowOff>0</xdr:rowOff>
    </xdr:from>
    <xdr:ext cx="9525" cy="9525"/>
    <xdr:pic>
      <xdr:nvPicPr>
        <xdr:cNvPr id="6934" name="Picture 6933">
          <a:extLst>
            <a:ext uri="{FF2B5EF4-FFF2-40B4-BE49-F238E27FC236}">
              <a16:creationId xmlns:a16="http://schemas.microsoft.com/office/drawing/2014/main" id="{7B29D66F-54B3-439B-8094-E5BA52DEE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18</xdr:row>
      <xdr:rowOff>0</xdr:rowOff>
    </xdr:from>
    <xdr:ext cx="9525" cy="9525"/>
    <xdr:pic>
      <xdr:nvPicPr>
        <xdr:cNvPr id="6935" name="Picture 6934">
          <a:extLst>
            <a:ext uri="{FF2B5EF4-FFF2-40B4-BE49-F238E27FC236}">
              <a16:creationId xmlns:a16="http://schemas.microsoft.com/office/drawing/2014/main" id="{AD8D9620-173A-4988-BC32-30E04435C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17</xdr:row>
      <xdr:rowOff>0</xdr:rowOff>
    </xdr:from>
    <xdr:ext cx="304800" cy="304800"/>
    <xdr:sp macro="" textlink="">
      <xdr:nvSpPr>
        <xdr:cNvPr id="6936" name="AutoShape 509">
          <a:extLst>
            <a:ext uri="{FF2B5EF4-FFF2-40B4-BE49-F238E27FC236}">
              <a16:creationId xmlns:a16="http://schemas.microsoft.com/office/drawing/2014/main" id="{96B7E84A-F26D-44B5-9B30-1B37F5BC757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4359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18</xdr:row>
      <xdr:rowOff>0</xdr:rowOff>
    </xdr:from>
    <xdr:ext cx="304800" cy="304800"/>
    <xdr:sp macro="" textlink="">
      <xdr:nvSpPr>
        <xdr:cNvPr id="6937" name="AutoShape 511">
          <a:extLst>
            <a:ext uri="{FF2B5EF4-FFF2-40B4-BE49-F238E27FC236}">
              <a16:creationId xmlns:a16="http://schemas.microsoft.com/office/drawing/2014/main" id="{6F188D6A-BEAC-4B84-8F47-C4838F0C2853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9</xdr:row>
      <xdr:rowOff>0</xdr:rowOff>
    </xdr:from>
    <xdr:ext cx="9525" cy="9525"/>
    <xdr:pic>
      <xdr:nvPicPr>
        <xdr:cNvPr id="6938" name="Picture 6937">
          <a:extLst>
            <a:ext uri="{FF2B5EF4-FFF2-40B4-BE49-F238E27FC236}">
              <a16:creationId xmlns:a16="http://schemas.microsoft.com/office/drawing/2014/main" id="{5EAFDD53-63AE-4B99-87A0-8F0A4C8B3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7</xdr:row>
      <xdr:rowOff>0</xdr:rowOff>
    </xdr:from>
    <xdr:ext cx="304800" cy="304800"/>
    <xdr:sp macro="" textlink="">
      <xdr:nvSpPr>
        <xdr:cNvPr id="6939" name="AutoShape 159">
          <a:extLst>
            <a:ext uri="{FF2B5EF4-FFF2-40B4-BE49-F238E27FC236}">
              <a16:creationId xmlns:a16="http://schemas.microsoft.com/office/drawing/2014/main" id="{00C97340-3E1D-42D3-8B11-D678BAF1510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9</xdr:row>
      <xdr:rowOff>0</xdr:rowOff>
    </xdr:from>
    <xdr:ext cx="9525" cy="9525"/>
    <xdr:pic>
      <xdr:nvPicPr>
        <xdr:cNvPr id="6940" name="Picture 6939">
          <a:extLst>
            <a:ext uri="{FF2B5EF4-FFF2-40B4-BE49-F238E27FC236}">
              <a16:creationId xmlns:a16="http://schemas.microsoft.com/office/drawing/2014/main" id="{C7B8FCAE-CD21-4BAC-ACA3-8B916134E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9525" cy="9525"/>
    <xdr:pic>
      <xdr:nvPicPr>
        <xdr:cNvPr id="6941" name="Picture 6940">
          <a:extLst>
            <a:ext uri="{FF2B5EF4-FFF2-40B4-BE49-F238E27FC236}">
              <a16:creationId xmlns:a16="http://schemas.microsoft.com/office/drawing/2014/main" id="{88A5B1AF-A93D-498F-AE2D-97902DC65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9525" cy="9525"/>
    <xdr:pic>
      <xdr:nvPicPr>
        <xdr:cNvPr id="6942" name="Picture 6941">
          <a:extLst>
            <a:ext uri="{FF2B5EF4-FFF2-40B4-BE49-F238E27FC236}">
              <a16:creationId xmlns:a16="http://schemas.microsoft.com/office/drawing/2014/main" id="{FAB77763-50A3-41E8-9D09-FAE4D0DDA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9525" cy="9525"/>
    <xdr:pic>
      <xdr:nvPicPr>
        <xdr:cNvPr id="6943" name="Picture 6942">
          <a:extLst>
            <a:ext uri="{FF2B5EF4-FFF2-40B4-BE49-F238E27FC236}">
              <a16:creationId xmlns:a16="http://schemas.microsoft.com/office/drawing/2014/main" id="{E62D91A4-9B10-4E28-B4CE-845C4C139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9525" cy="9525"/>
    <xdr:pic>
      <xdr:nvPicPr>
        <xdr:cNvPr id="6944" name="Picture 6943">
          <a:extLst>
            <a:ext uri="{FF2B5EF4-FFF2-40B4-BE49-F238E27FC236}">
              <a16:creationId xmlns:a16="http://schemas.microsoft.com/office/drawing/2014/main" id="{2C9D8656-D0AF-409D-AA5A-3B7F40083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9525" cy="9525"/>
    <xdr:pic>
      <xdr:nvPicPr>
        <xdr:cNvPr id="6945" name="Picture 6944">
          <a:extLst>
            <a:ext uri="{FF2B5EF4-FFF2-40B4-BE49-F238E27FC236}">
              <a16:creationId xmlns:a16="http://schemas.microsoft.com/office/drawing/2014/main" id="{A801C29D-518E-49E5-A00E-92C079E24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9525" cy="9525"/>
    <xdr:pic>
      <xdr:nvPicPr>
        <xdr:cNvPr id="6946" name="Picture 6945">
          <a:extLst>
            <a:ext uri="{FF2B5EF4-FFF2-40B4-BE49-F238E27FC236}">
              <a16:creationId xmlns:a16="http://schemas.microsoft.com/office/drawing/2014/main" id="{BB2AD30E-FB62-4721-9DB9-8E91DB875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9525" cy="9525"/>
    <xdr:pic>
      <xdr:nvPicPr>
        <xdr:cNvPr id="6947" name="Picture 6946">
          <a:extLst>
            <a:ext uri="{FF2B5EF4-FFF2-40B4-BE49-F238E27FC236}">
              <a16:creationId xmlns:a16="http://schemas.microsoft.com/office/drawing/2014/main" id="{B0018646-5C20-4094-9629-B70E217FD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9525" cy="9525"/>
    <xdr:pic>
      <xdr:nvPicPr>
        <xdr:cNvPr id="6948" name="Picture 6947">
          <a:extLst>
            <a:ext uri="{FF2B5EF4-FFF2-40B4-BE49-F238E27FC236}">
              <a16:creationId xmlns:a16="http://schemas.microsoft.com/office/drawing/2014/main" id="{558EF305-F0FC-44C1-9FA1-F05FB976E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304800" cy="303439"/>
    <xdr:sp macro="" textlink="">
      <xdr:nvSpPr>
        <xdr:cNvPr id="6949" name="AutoShape 513">
          <a:extLst>
            <a:ext uri="{FF2B5EF4-FFF2-40B4-BE49-F238E27FC236}">
              <a16:creationId xmlns:a16="http://schemas.microsoft.com/office/drawing/2014/main" id="{3B1593C1-63B2-42BA-9D02-BA238FED3327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54453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10</xdr:row>
      <xdr:rowOff>0</xdr:rowOff>
    </xdr:from>
    <xdr:ext cx="9525" cy="9525"/>
    <xdr:pic>
      <xdr:nvPicPr>
        <xdr:cNvPr id="6950" name="Picture 6949">
          <a:extLst>
            <a:ext uri="{FF2B5EF4-FFF2-40B4-BE49-F238E27FC236}">
              <a16:creationId xmlns:a16="http://schemas.microsoft.com/office/drawing/2014/main" id="{CAD39E0E-E9DD-4C57-8673-4B2802387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</xdr:row>
      <xdr:rowOff>0</xdr:rowOff>
    </xdr:from>
    <xdr:ext cx="9525" cy="9525"/>
    <xdr:pic>
      <xdr:nvPicPr>
        <xdr:cNvPr id="6951" name="Picture 6950">
          <a:extLst>
            <a:ext uri="{FF2B5EF4-FFF2-40B4-BE49-F238E27FC236}">
              <a16:creationId xmlns:a16="http://schemas.microsoft.com/office/drawing/2014/main" id="{057C9300-69E8-42F5-8964-C62DC6195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304800" cy="304800"/>
    <xdr:sp macro="" textlink="">
      <xdr:nvSpPr>
        <xdr:cNvPr id="6952" name="AutoShape 191">
          <a:extLst>
            <a:ext uri="{FF2B5EF4-FFF2-40B4-BE49-F238E27FC236}">
              <a16:creationId xmlns:a16="http://schemas.microsoft.com/office/drawing/2014/main" id="{E174047A-5827-4B4C-B3A4-AC1435D7676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10</xdr:row>
      <xdr:rowOff>0</xdr:rowOff>
    </xdr:from>
    <xdr:ext cx="304800" cy="304800"/>
    <xdr:sp macro="" textlink="">
      <xdr:nvSpPr>
        <xdr:cNvPr id="6953" name="AutoShape 193">
          <a:extLst>
            <a:ext uri="{FF2B5EF4-FFF2-40B4-BE49-F238E27FC236}">
              <a16:creationId xmlns:a16="http://schemas.microsoft.com/office/drawing/2014/main" id="{8C9DB680-2AEF-4A8C-8F0B-230A0FC385D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10</xdr:row>
      <xdr:rowOff>0</xdr:rowOff>
    </xdr:from>
    <xdr:ext cx="9525" cy="9525"/>
    <xdr:pic>
      <xdr:nvPicPr>
        <xdr:cNvPr id="6954" name="Picture 6953">
          <a:extLst>
            <a:ext uri="{FF2B5EF4-FFF2-40B4-BE49-F238E27FC236}">
              <a16:creationId xmlns:a16="http://schemas.microsoft.com/office/drawing/2014/main" id="{87FE378F-FBBC-4323-AD73-012997967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304800" cy="304800"/>
    <xdr:sp macro="" textlink="">
      <xdr:nvSpPr>
        <xdr:cNvPr id="6955" name="AutoShape 217">
          <a:extLst>
            <a:ext uri="{FF2B5EF4-FFF2-40B4-BE49-F238E27FC236}">
              <a16:creationId xmlns:a16="http://schemas.microsoft.com/office/drawing/2014/main" id="{3FC9A228-491D-4419-8453-8172F9B5F13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10</xdr:row>
      <xdr:rowOff>0</xdr:rowOff>
    </xdr:from>
    <xdr:ext cx="304800" cy="304800"/>
    <xdr:sp macro="" textlink="">
      <xdr:nvSpPr>
        <xdr:cNvPr id="6956" name="AutoShape 219">
          <a:extLst>
            <a:ext uri="{FF2B5EF4-FFF2-40B4-BE49-F238E27FC236}">
              <a16:creationId xmlns:a16="http://schemas.microsoft.com/office/drawing/2014/main" id="{F2539104-8C14-4BF9-9E1F-E31D38FD1CA5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10</xdr:row>
      <xdr:rowOff>0</xdr:rowOff>
    </xdr:from>
    <xdr:ext cx="9525" cy="9525"/>
    <xdr:pic>
      <xdr:nvPicPr>
        <xdr:cNvPr id="6957" name="Picture 6956">
          <a:extLst>
            <a:ext uri="{FF2B5EF4-FFF2-40B4-BE49-F238E27FC236}">
              <a16:creationId xmlns:a16="http://schemas.microsoft.com/office/drawing/2014/main" id="{95C36D13-B78D-47C6-A82C-054AF0124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304800" cy="304800"/>
    <xdr:sp macro="" textlink="">
      <xdr:nvSpPr>
        <xdr:cNvPr id="6958" name="AutoShape 241">
          <a:extLst>
            <a:ext uri="{FF2B5EF4-FFF2-40B4-BE49-F238E27FC236}">
              <a16:creationId xmlns:a16="http://schemas.microsoft.com/office/drawing/2014/main" id="{9A50FE0F-7021-4E95-85F5-FDB2EE2D9C03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10</xdr:row>
      <xdr:rowOff>0</xdr:rowOff>
    </xdr:from>
    <xdr:ext cx="304800" cy="304800"/>
    <xdr:sp macro="" textlink="">
      <xdr:nvSpPr>
        <xdr:cNvPr id="6959" name="AutoShape 243">
          <a:extLst>
            <a:ext uri="{FF2B5EF4-FFF2-40B4-BE49-F238E27FC236}">
              <a16:creationId xmlns:a16="http://schemas.microsoft.com/office/drawing/2014/main" id="{8C23E8CC-B408-4E9C-ABAA-FC67FBC40E1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10</xdr:row>
      <xdr:rowOff>0</xdr:rowOff>
    </xdr:from>
    <xdr:ext cx="9525" cy="9525"/>
    <xdr:pic>
      <xdr:nvPicPr>
        <xdr:cNvPr id="6960" name="Picture 6959">
          <a:extLst>
            <a:ext uri="{FF2B5EF4-FFF2-40B4-BE49-F238E27FC236}">
              <a16:creationId xmlns:a16="http://schemas.microsoft.com/office/drawing/2014/main" id="{01DB9B0E-560F-4982-AF1A-23D0862E2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304800" cy="304800"/>
    <xdr:sp macro="" textlink="">
      <xdr:nvSpPr>
        <xdr:cNvPr id="6961" name="AutoShape 267">
          <a:extLst>
            <a:ext uri="{FF2B5EF4-FFF2-40B4-BE49-F238E27FC236}">
              <a16:creationId xmlns:a16="http://schemas.microsoft.com/office/drawing/2014/main" id="{EC87B86E-F563-4354-941D-EA85ECB4D54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10</xdr:row>
      <xdr:rowOff>0</xdr:rowOff>
    </xdr:from>
    <xdr:ext cx="304800" cy="304800"/>
    <xdr:sp macro="" textlink="">
      <xdr:nvSpPr>
        <xdr:cNvPr id="6962" name="AutoShape 269">
          <a:extLst>
            <a:ext uri="{FF2B5EF4-FFF2-40B4-BE49-F238E27FC236}">
              <a16:creationId xmlns:a16="http://schemas.microsoft.com/office/drawing/2014/main" id="{48CEDAE1-2EDC-4DD5-A8DA-F812CF99F138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10</xdr:row>
      <xdr:rowOff>0</xdr:rowOff>
    </xdr:from>
    <xdr:ext cx="9525" cy="9525"/>
    <xdr:pic>
      <xdr:nvPicPr>
        <xdr:cNvPr id="6963" name="Picture 6962">
          <a:extLst>
            <a:ext uri="{FF2B5EF4-FFF2-40B4-BE49-F238E27FC236}">
              <a16:creationId xmlns:a16="http://schemas.microsoft.com/office/drawing/2014/main" id="{E1A46335-FEA0-43FB-982B-6C2BA7490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304800" cy="304800"/>
    <xdr:sp macro="" textlink="">
      <xdr:nvSpPr>
        <xdr:cNvPr id="6964" name="AutoShape 319">
          <a:extLst>
            <a:ext uri="{FF2B5EF4-FFF2-40B4-BE49-F238E27FC236}">
              <a16:creationId xmlns:a16="http://schemas.microsoft.com/office/drawing/2014/main" id="{A53D3A0C-4CFD-49FA-B3F0-A1E2D0043541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10</xdr:row>
      <xdr:rowOff>0</xdr:rowOff>
    </xdr:from>
    <xdr:ext cx="9525" cy="9525"/>
    <xdr:pic>
      <xdr:nvPicPr>
        <xdr:cNvPr id="6965" name="Picture 6964">
          <a:extLst>
            <a:ext uri="{FF2B5EF4-FFF2-40B4-BE49-F238E27FC236}">
              <a16:creationId xmlns:a16="http://schemas.microsoft.com/office/drawing/2014/main" id="{5A469D85-3B40-47E1-843A-FDCBD7651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</xdr:row>
      <xdr:rowOff>0</xdr:rowOff>
    </xdr:from>
    <xdr:ext cx="9525" cy="9525"/>
    <xdr:pic>
      <xdr:nvPicPr>
        <xdr:cNvPr id="6966" name="Picture 6965">
          <a:extLst>
            <a:ext uri="{FF2B5EF4-FFF2-40B4-BE49-F238E27FC236}">
              <a16:creationId xmlns:a16="http://schemas.microsoft.com/office/drawing/2014/main" id="{AA9694AE-AE6E-4A7A-B2B3-85631AA97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</xdr:row>
      <xdr:rowOff>0</xdr:rowOff>
    </xdr:from>
    <xdr:ext cx="9525" cy="9525"/>
    <xdr:pic>
      <xdr:nvPicPr>
        <xdr:cNvPr id="6967" name="Picture 6966">
          <a:extLst>
            <a:ext uri="{FF2B5EF4-FFF2-40B4-BE49-F238E27FC236}">
              <a16:creationId xmlns:a16="http://schemas.microsoft.com/office/drawing/2014/main" id="{E04B4079-BB28-4FCC-8D4A-CAFED8058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</xdr:row>
      <xdr:rowOff>0</xdr:rowOff>
    </xdr:from>
    <xdr:ext cx="9525" cy="9525"/>
    <xdr:pic>
      <xdr:nvPicPr>
        <xdr:cNvPr id="6968" name="Picture 6967">
          <a:extLst>
            <a:ext uri="{FF2B5EF4-FFF2-40B4-BE49-F238E27FC236}">
              <a16:creationId xmlns:a16="http://schemas.microsoft.com/office/drawing/2014/main" id="{85869016-084B-4414-B9EF-1B6A46FB3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11</xdr:row>
      <xdr:rowOff>0</xdr:rowOff>
    </xdr:from>
    <xdr:ext cx="9525" cy="9525"/>
    <xdr:pic>
      <xdr:nvPicPr>
        <xdr:cNvPr id="6969" name="Picture 6968">
          <a:extLst>
            <a:ext uri="{FF2B5EF4-FFF2-40B4-BE49-F238E27FC236}">
              <a16:creationId xmlns:a16="http://schemas.microsoft.com/office/drawing/2014/main" id="{5141962E-1565-4992-A2FE-C43D5B624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979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22</xdr:row>
      <xdr:rowOff>0</xdr:rowOff>
    </xdr:from>
    <xdr:ext cx="9525" cy="9525"/>
    <xdr:pic>
      <xdr:nvPicPr>
        <xdr:cNvPr id="6970" name="Picture 6969">
          <a:extLst>
            <a:ext uri="{FF2B5EF4-FFF2-40B4-BE49-F238E27FC236}">
              <a16:creationId xmlns:a16="http://schemas.microsoft.com/office/drawing/2014/main" id="{562AB60D-1244-43D5-8EC3-669EC213B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22</xdr:row>
      <xdr:rowOff>0</xdr:rowOff>
    </xdr:from>
    <xdr:ext cx="9525" cy="9525"/>
    <xdr:pic>
      <xdr:nvPicPr>
        <xdr:cNvPr id="6971" name="Picture 6970">
          <a:extLst>
            <a:ext uri="{FF2B5EF4-FFF2-40B4-BE49-F238E27FC236}">
              <a16:creationId xmlns:a16="http://schemas.microsoft.com/office/drawing/2014/main" id="{F0DCC94A-087B-495F-9E0D-6A530BE46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22</xdr:row>
      <xdr:rowOff>0</xdr:rowOff>
    </xdr:from>
    <xdr:ext cx="9525" cy="9525"/>
    <xdr:pic>
      <xdr:nvPicPr>
        <xdr:cNvPr id="6972" name="Picture 6971">
          <a:extLst>
            <a:ext uri="{FF2B5EF4-FFF2-40B4-BE49-F238E27FC236}">
              <a16:creationId xmlns:a16="http://schemas.microsoft.com/office/drawing/2014/main" id="{0DEEFA94-B680-4E58-BBE0-C921254EB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22</xdr:row>
      <xdr:rowOff>0</xdr:rowOff>
    </xdr:from>
    <xdr:ext cx="9525" cy="9525"/>
    <xdr:pic>
      <xdr:nvPicPr>
        <xdr:cNvPr id="6973" name="Picture 6972">
          <a:extLst>
            <a:ext uri="{FF2B5EF4-FFF2-40B4-BE49-F238E27FC236}">
              <a16:creationId xmlns:a16="http://schemas.microsoft.com/office/drawing/2014/main" id="{BE21621E-4593-4834-9B6F-C4CB43188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22</xdr:row>
      <xdr:rowOff>0</xdr:rowOff>
    </xdr:from>
    <xdr:ext cx="9525" cy="9525"/>
    <xdr:pic>
      <xdr:nvPicPr>
        <xdr:cNvPr id="6974" name="Picture 6973">
          <a:extLst>
            <a:ext uri="{FF2B5EF4-FFF2-40B4-BE49-F238E27FC236}">
              <a16:creationId xmlns:a16="http://schemas.microsoft.com/office/drawing/2014/main" id="{0AF19B5B-1829-40D3-A0DC-EFB090179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22</xdr:row>
      <xdr:rowOff>0</xdr:rowOff>
    </xdr:from>
    <xdr:ext cx="9525" cy="9525"/>
    <xdr:pic>
      <xdr:nvPicPr>
        <xdr:cNvPr id="6975" name="Picture 6974">
          <a:extLst>
            <a:ext uri="{FF2B5EF4-FFF2-40B4-BE49-F238E27FC236}">
              <a16:creationId xmlns:a16="http://schemas.microsoft.com/office/drawing/2014/main" id="{AB77C7F2-F620-4142-BCE7-4393729D1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22</xdr:row>
      <xdr:rowOff>0</xdr:rowOff>
    </xdr:from>
    <xdr:ext cx="9525" cy="9525"/>
    <xdr:pic>
      <xdr:nvPicPr>
        <xdr:cNvPr id="6976" name="Picture 6975">
          <a:extLst>
            <a:ext uri="{FF2B5EF4-FFF2-40B4-BE49-F238E27FC236}">
              <a16:creationId xmlns:a16="http://schemas.microsoft.com/office/drawing/2014/main" id="{981C5447-664E-46D7-B3BA-25B3D62E2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22</xdr:row>
      <xdr:rowOff>0</xdr:rowOff>
    </xdr:from>
    <xdr:ext cx="9525" cy="9525"/>
    <xdr:pic>
      <xdr:nvPicPr>
        <xdr:cNvPr id="6977" name="Picture 6976">
          <a:extLst>
            <a:ext uri="{FF2B5EF4-FFF2-40B4-BE49-F238E27FC236}">
              <a16:creationId xmlns:a16="http://schemas.microsoft.com/office/drawing/2014/main" id="{2AD72687-F6BE-40D1-8118-4A8934DC4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22</xdr:row>
      <xdr:rowOff>0</xdr:rowOff>
    </xdr:from>
    <xdr:ext cx="9525" cy="9525"/>
    <xdr:pic>
      <xdr:nvPicPr>
        <xdr:cNvPr id="6978" name="Picture 6977">
          <a:extLst>
            <a:ext uri="{FF2B5EF4-FFF2-40B4-BE49-F238E27FC236}">
              <a16:creationId xmlns:a16="http://schemas.microsoft.com/office/drawing/2014/main" id="{98521F62-F3A0-4E40-B63A-4CF3B8E49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22</xdr:row>
      <xdr:rowOff>0</xdr:rowOff>
    </xdr:from>
    <xdr:ext cx="9525" cy="9525"/>
    <xdr:pic>
      <xdr:nvPicPr>
        <xdr:cNvPr id="6979" name="Picture 6978">
          <a:extLst>
            <a:ext uri="{FF2B5EF4-FFF2-40B4-BE49-F238E27FC236}">
              <a16:creationId xmlns:a16="http://schemas.microsoft.com/office/drawing/2014/main" id="{89E8A530-CBBB-4AC5-9272-6B10176FE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21</xdr:row>
      <xdr:rowOff>0</xdr:rowOff>
    </xdr:from>
    <xdr:ext cx="304800" cy="303439"/>
    <xdr:sp macro="" textlink="">
      <xdr:nvSpPr>
        <xdr:cNvPr id="6980" name="AutoShape 513">
          <a:extLst>
            <a:ext uri="{FF2B5EF4-FFF2-40B4-BE49-F238E27FC236}">
              <a16:creationId xmlns:a16="http://schemas.microsoft.com/office/drawing/2014/main" id="{46DD2A06-D9AA-4CC1-B35F-5E1695202B83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26596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22</xdr:row>
      <xdr:rowOff>0</xdr:rowOff>
    </xdr:from>
    <xdr:ext cx="304800" cy="304800"/>
    <xdr:sp macro="" textlink="">
      <xdr:nvSpPr>
        <xdr:cNvPr id="6981" name="AutoShape 515">
          <a:extLst>
            <a:ext uri="{FF2B5EF4-FFF2-40B4-BE49-F238E27FC236}">
              <a16:creationId xmlns:a16="http://schemas.microsoft.com/office/drawing/2014/main" id="{1999AAB0-C6E3-4310-8834-D7FBFB8F888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9525" cy="9525"/>
    <xdr:pic>
      <xdr:nvPicPr>
        <xdr:cNvPr id="6982" name="Picture 6981">
          <a:extLst>
            <a:ext uri="{FF2B5EF4-FFF2-40B4-BE49-F238E27FC236}">
              <a16:creationId xmlns:a16="http://schemas.microsoft.com/office/drawing/2014/main" id="{E2DEC55E-EF21-4D83-BC70-5DBAB6386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9525" cy="9525"/>
    <xdr:pic>
      <xdr:nvPicPr>
        <xdr:cNvPr id="6983" name="Picture 6982">
          <a:extLst>
            <a:ext uri="{FF2B5EF4-FFF2-40B4-BE49-F238E27FC236}">
              <a16:creationId xmlns:a16="http://schemas.microsoft.com/office/drawing/2014/main" id="{BF77B80B-2B14-4796-9D89-6B438EE80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6984" name="AutoShape 191">
          <a:extLst>
            <a:ext uri="{FF2B5EF4-FFF2-40B4-BE49-F238E27FC236}">
              <a16:creationId xmlns:a16="http://schemas.microsoft.com/office/drawing/2014/main" id="{FC6AFFEB-BD69-4587-92A6-3B0D05478D53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9525" cy="9525"/>
    <xdr:pic>
      <xdr:nvPicPr>
        <xdr:cNvPr id="6985" name="Picture 6984">
          <a:extLst>
            <a:ext uri="{FF2B5EF4-FFF2-40B4-BE49-F238E27FC236}">
              <a16:creationId xmlns:a16="http://schemas.microsoft.com/office/drawing/2014/main" id="{0BC6D95F-2B57-470B-82B0-8AEF43DC8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6986" name="AutoShape 217">
          <a:extLst>
            <a:ext uri="{FF2B5EF4-FFF2-40B4-BE49-F238E27FC236}">
              <a16:creationId xmlns:a16="http://schemas.microsoft.com/office/drawing/2014/main" id="{15A43F89-ACCB-4115-9CAD-841C95916947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9525" cy="9525"/>
    <xdr:pic>
      <xdr:nvPicPr>
        <xdr:cNvPr id="6987" name="Picture 6986">
          <a:extLst>
            <a:ext uri="{FF2B5EF4-FFF2-40B4-BE49-F238E27FC236}">
              <a16:creationId xmlns:a16="http://schemas.microsoft.com/office/drawing/2014/main" id="{A0F5B5AB-5E51-40F3-BE6A-8EC4A0D7E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6988" name="AutoShape 241">
          <a:extLst>
            <a:ext uri="{FF2B5EF4-FFF2-40B4-BE49-F238E27FC236}">
              <a16:creationId xmlns:a16="http://schemas.microsoft.com/office/drawing/2014/main" id="{ECC8A699-E36C-4E07-A955-9245CF7C41A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9525" cy="9525"/>
    <xdr:pic>
      <xdr:nvPicPr>
        <xdr:cNvPr id="6989" name="Picture 6988">
          <a:extLst>
            <a:ext uri="{FF2B5EF4-FFF2-40B4-BE49-F238E27FC236}">
              <a16:creationId xmlns:a16="http://schemas.microsoft.com/office/drawing/2014/main" id="{990B55B2-48BE-4E53-9701-424C541C8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6990" name="AutoShape 267">
          <a:extLst>
            <a:ext uri="{FF2B5EF4-FFF2-40B4-BE49-F238E27FC236}">
              <a16:creationId xmlns:a16="http://schemas.microsoft.com/office/drawing/2014/main" id="{7CB6A18A-C494-48E9-A1E0-7F74B8E4A9FB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9525" cy="9525"/>
    <xdr:pic>
      <xdr:nvPicPr>
        <xdr:cNvPr id="6991" name="Picture 6990">
          <a:extLst>
            <a:ext uri="{FF2B5EF4-FFF2-40B4-BE49-F238E27FC236}">
              <a16:creationId xmlns:a16="http://schemas.microsoft.com/office/drawing/2014/main" id="{2D527C6B-B0ED-4DA2-9A25-7334A015A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6992" name="AutoShape 319">
          <a:extLst>
            <a:ext uri="{FF2B5EF4-FFF2-40B4-BE49-F238E27FC236}">
              <a16:creationId xmlns:a16="http://schemas.microsoft.com/office/drawing/2014/main" id="{F91C4CF1-797F-4892-AB87-A270CE1130A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9525" cy="9525"/>
    <xdr:pic>
      <xdr:nvPicPr>
        <xdr:cNvPr id="6993" name="Picture 6992">
          <a:extLst>
            <a:ext uri="{FF2B5EF4-FFF2-40B4-BE49-F238E27FC236}">
              <a16:creationId xmlns:a16="http://schemas.microsoft.com/office/drawing/2014/main" id="{09482431-FE45-4D77-8214-4EA7C0FB5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6994" name="AutoShape 371">
          <a:extLst>
            <a:ext uri="{FF2B5EF4-FFF2-40B4-BE49-F238E27FC236}">
              <a16:creationId xmlns:a16="http://schemas.microsoft.com/office/drawing/2014/main" id="{D700FEDB-EB64-4D92-8432-97D821E71E0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9525" cy="9525"/>
    <xdr:pic>
      <xdr:nvPicPr>
        <xdr:cNvPr id="6995" name="Picture 6994">
          <a:extLst>
            <a:ext uri="{FF2B5EF4-FFF2-40B4-BE49-F238E27FC236}">
              <a16:creationId xmlns:a16="http://schemas.microsoft.com/office/drawing/2014/main" id="{6C2940D4-C4DD-44BF-A888-0CDA4BEF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6996" name="AutoShape 427">
          <a:extLst>
            <a:ext uri="{FF2B5EF4-FFF2-40B4-BE49-F238E27FC236}">
              <a16:creationId xmlns:a16="http://schemas.microsoft.com/office/drawing/2014/main" id="{E75EFB2B-E9D9-447E-BEA1-CA06CE9EF98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9525" cy="9525"/>
    <xdr:pic>
      <xdr:nvPicPr>
        <xdr:cNvPr id="6997" name="Picture 6996">
          <a:extLst>
            <a:ext uri="{FF2B5EF4-FFF2-40B4-BE49-F238E27FC236}">
              <a16:creationId xmlns:a16="http://schemas.microsoft.com/office/drawing/2014/main" id="{B12F5604-822A-4ECF-A6B7-03FFA1146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6998" name="AutoShape 483">
          <a:extLst>
            <a:ext uri="{FF2B5EF4-FFF2-40B4-BE49-F238E27FC236}">
              <a16:creationId xmlns:a16="http://schemas.microsoft.com/office/drawing/2014/main" id="{A8108448-2573-48B4-8597-3617F8BB78D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9525" cy="9525"/>
    <xdr:pic>
      <xdr:nvPicPr>
        <xdr:cNvPr id="6999" name="Picture 6998">
          <a:extLst>
            <a:ext uri="{FF2B5EF4-FFF2-40B4-BE49-F238E27FC236}">
              <a16:creationId xmlns:a16="http://schemas.microsoft.com/office/drawing/2014/main" id="{9B9A9263-9780-4004-8AF7-E98892493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22</xdr:row>
      <xdr:rowOff>0</xdr:rowOff>
    </xdr:from>
    <xdr:ext cx="304800" cy="304800"/>
    <xdr:sp macro="" textlink="">
      <xdr:nvSpPr>
        <xdr:cNvPr id="7000" name="AutoShape 515">
          <a:extLst>
            <a:ext uri="{FF2B5EF4-FFF2-40B4-BE49-F238E27FC236}">
              <a16:creationId xmlns:a16="http://schemas.microsoft.com/office/drawing/2014/main" id="{0FFFFD69-767D-4B0E-AB89-0DFAFCE251F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7001" name="AutoShape 517">
          <a:extLst>
            <a:ext uri="{FF2B5EF4-FFF2-40B4-BE49-F238E27FC236}">
              <a16:creationId xmlns:a16="http://schemas.microsoft.com/office/drawing/2014/main" id="{5A3DC6C1-9E68-4D34-A52A-A46F1BA65D6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9525" cy="9525"/>
    <xdr:pic>
      <xdr:nvPicPr>
        <xdr:cNvPr id="7002" name="Picture 7001">
          <a:extLst>
            <a:ext uri="{FF2B5EF4-FFF2-40B4-BE49-F238E27FC236}">
              <a16:creationId xmlns:a16="http://schemas.microsoft.com/office/drawing/2014/main" id="{71028FCA-A38A-4EF3-B706-E788C203E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24</xdr:row>
      <xdr:rowOff>0</xdr:rowOff>
    </xdr:from>
    <xdr:ext cx="304800" cy="303440"/>
    <xdr:sp macro="" textlink="">
      <xdr:nvSpPr>
        <xdr:cNvPr id="7003" name="AutoShape 169">
          <a:extLst>
            <a:ext uri="{FF2B5EF4-FFF2-40B4-BE49-F238E27FC236}">
              <a16:creationId xmlns:a16="http://schemas.microsoft.com/office/drawing/2014/main" id="{A122A84A-65D1-4778-8707-F88B602BA49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9525" cy="9525"/>
    <xdr:pic>
      <xdr:nvPicPr>
        <xdr:cNvPr id="7004" name="Picture 7003">
          <a:extLst>
            <a:ext uri="{FF2B5EF4-FFF2-40B4-BE49-F238E27FC236}">
              <a16:creationId xmlns:a16="http://schemas.microsoft.com/office/drawing/2014/main" id="{B8691975-0331-4A07-96D1-C70550E4D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24</xdr:row>
      <xdr:rowOff>0</xdr:rowOff>
    </xdr:from>
    <xdr:ext cx="304800" cy="303440"/>
    <xdr:sp macro="" textlink="">
      <xdr:nvSpPr>
        <xdr:cNvPr id="7005" name="AutoShape 199">
          <a:extLst>
            <a:ext uri="{FF2B5EF4-FFF2-40B4-BE49-F238E27FC236}">
              <a16:creationId xmlns:a16="http://schemas.microsoft.com/office/drawing/2014/main" id="{0AFC943F-BA3B-4C2F-B277-EFD748212891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9525" cy="9525"/>
    <xdr:pic>
      <xdr:nvPicPr>
        <xdr:cNvPr id="7006" name="Picture 7005">
          <a:extLst>
            <a:ext uri="{FF2B5EF4-FFF2-40B4-BE49-F238E27FC236}">
              <a16:creationId xmlns:a16="http://schemas.microsoft.com/office/drawing/2014/main" id="{B3AEE9CD-4D30-4F76-836C-2A60303F4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7007" name="AutoShape 223">
          <a:extLst>
            <a:ext uri="{FF2B5EF4-FFF2-40B4-BE49-F238E27FC236}">
              <a16:creationId xmlns:a16="http://schemas.microsoft.com/office/drawing/2014/main" id="{140BBC37-E14C-49B4-91C5-B1975B94E287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9525" cy="9525"/>
    <xdr:pic>
      <xdr:nvPicPr>
        <xdr:cNvPr id="7008" name="Picture 7007">
          <a:extLst>
            <a:ext uri="{FF2B5EF4-FFF2-40B4-BE49-F238E27FC236}">
              <a16:creationId xmlns:a16="http://schemas.microsoft.com/office/drawing/2014/main" id="{3C00794E-0CBE-4D57-AE3A-838C2C8C3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7009" name="AutoShape 247">
          <a:extLst>
            <a:ext uri="{FF2B5EF4-FFF2-40B4-BE49-F238E27FC236}">
              <a16:creationId xmlns:a16="http://schemas.microsoft.com/office/drawing/2014/main" id="{9AB2AA8B-FE8A-4573-B62C-F45574841A1C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304800" cy="303440"/>
    <xdr:sp macro="" textlink="">
      <xdr:nvSpPr>
        <xdr:cNvPr id="7010" name="AutoShape 249">
          <a:extLst>
            <a:ext uri="{FF2B5EF4-FFF2-40B4-BE49-F238E27FC236}">
              <a16:creationId xmlns:a16="http://schemas.microsoft.com/office/drawing/2014/main" id="{EE305000-022B-4D34-AFBC-37BC554FD94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9525" cy="9525"/>
    <xdr:pic>
      <xdr:nvPicPr>
        <xdr:cNvPr id="7011" name="Picture 7010">
          <a:extLst>
            <a:ext uri="{FF2B5EF4-FFF2-40B4-BE49-F238E27FC236}">
              <a16:creationId xmlns:a16="http://schemas.microsoft.com/office/drawing/2014/main" id="{9C6CAA0C-B8C4-48F3-8043-A9E0C9B1B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7012" name="AutoShape 273">
          <a:extLst>
            <a:ext uri="{FF2B5EF4-FFF2-40B4-BE49-F238E27FC236}">
              <a16:creationId xmlns:a16="http://schemas.microsoft.com/office/drawing/2014/main" id="{01FE1CB8-9E9D-4CF5-AFA4-995E4508AD0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304800" cy="303440"/>
    <xdr:sp macro="" textlink="">
      <xdr:nvSpPr>
        <xdr:cNvPr id="7013" name="AutoShape 275">
          <a:extLst>
            <a:ext uri="{FF2B5EF4-FFF2-40B4-BE49-F238E27FC236}">
              <a16:creationId xmlns:a16="http://schemas.microsoft.com/office/drawing/2014/main" id="{70A778A7-5132-497B-8DF7-6F4A0DFF144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9525" cy="9525"/>
    <xdr:pic>
      <xdr:nvPicPr>
        <xdr:cNvPr id="7014" name="Picture 7013">
          <a:extLst>
            <a:ext uri="{FF2B5EF4-FFF2-40B4-BE49-F238E27FC236}">
              <a16:creationId xmlns:a16="http://schemas.microsoft.com/office/drawing/2014/main" id="{52EA4046-798D-4C70-B8D1-306B0D4BC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7015" name="AutoShape 325">
          <a:extLst>
            <a:ext uri="{FF2B5EF4-FFF2-40B4-BE49-F238E27FC236}">
              <a16:creationId xmlns:a16="http://schemas.microsoft.com/office/drawing/2014/main" id="{A391B5CF-9A42-4A41-881B-0FBFD3F183B3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304800" cy="303440"/>
    <xdr:sp macro="" textlink="">
      <xdr:nvSpPr>
        <xdr:cNvPr id="7016" name="AutoShape 327">
          <a:extLst>
            <a:ext uri="{FF2B5EF4-FFF2-40B4-BE49-F238E27FC236}">
              <a16:creationId xmlns:a16="http://schemas.microsoft.com/office/drawing/2014/main" id="{68D5173A-3B5E-4C8B-8E3A-1A513D92A96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9525" cy="9525"/>
    <xdr:pic>
      <xdr:nvPicPr>
        <xdr:cNvPr id="7017" name="Picture 7016">
          <a:extLst>
            <a:ext uri="{FF2B5EF4-FFF2-40B4-BE49-F238E27FC236}">
              <a16:creationId xmlns:a16="http://schemas.microsoft.com/office/drawing/2014/main" id="{CEADF071-F836-44F8-B78C-2775300F8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7018" name="AutoShape 377">
          <a:extLst>
            <a:ext uri="{FF2B5EF4-FFF2-40B4-BE49-F238E27FC236}">
              <a16:creationId xmlns:a16="http://schemas.microsoft.com/office/drawing/2014/main" id="{7362586A-B3AB-4FB8-8DF0-3289952614E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304800" cy="303440"/>
    <xdr:sp macro="" textlink="">
      <xdr:nvSpPr>
        <xdr:cNvPr id="7019" name="AutoShape 379">
          <a:extLst>
            <a:ext uri="{FF2B5EF4-FFF2-40B4-BE49-F238E27FC236}">
              <a16:creationId xmlns:a16="http://schemas.microsoft.com/office/drawing/2014/main" id="{62A6A121-A062-406E-AC3F-71086E43C7B1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9525" cy="9525"/>
    <xdr:pic>
      <xdr:nvPicPr>
        <xdr:cNvPr id="7020" name="Picture 7019">
          <a:extLst>
            <a:ext uri="{FF2B5EF4-FFF2-40B4-BE49-F238E27FC236}">
              <a16:creationId xmlns:a16="http://schemas.microsoft.com/office/drawing/2014/main" id="{638CBA38-4832-4DCE-B923-B7026411A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7021" name="AutoShape 433">
          <a:extLst>
            <a:ext uri="{FF2B5EF4-FFF2-40B4-BE49-F238E27FC236}">
              <a16:creationId xmlns:a16="http://schemas.microsoft.com/office/drawing/2014/main" id="{2E17856E-52EC-4AFE-BC00-8D1F17C81647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304800" cy="303440"/>
    <xdr:sp macro="" textlink="">
      <xdr:nvSpPr>
        <xdr:cNvPr id="7022" name="AutoShape 435">
          <a:extLst>
            <a:ext uri="{FF2B5EF4-FFF2-40B4-BE49-F238E27FC236}">
              <a16:creationId xmlns:a16="http://schemas.microsoft.com/office/drawing/2014/main" id="{8E462B6C-377A-402E-84BB-077422FC2F1F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9525" cy="9525"/>
    <xdr:pic>
      <xdr:nvPicPr>
        <xdr:cNvPr id="7023" name="Picture 7022">
          <a:extLst>
            <a:ext uri="{FF2B5EF4-FFF2-40B4-BE49-F238E27FC236}">
              <a16:creationId xmlns:a16="http://schemas.microsoft.com/office/drawing/2014/main" id="{231BDB57-DE87-434C-A883-45D2FF968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7024" name="AutoShape 489">
          <a:extLst>
            <a:ext uri="{FF2B5EF4-FFF2-40B4-BE49-F238E27FC236}">
              <a16:creationId xmlns:a16="http://schemas.microsoft.com/office/drawing/2014/main" id="{1EC2C994-190F-435F-9273-E997F16C5EBC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304800" cy="303440"/>
    <xdr:sp macro="" textlink="">
      <xdr:nvSpPr>
        <xdr:cNvPr id="7025" name="AutoShape 491">
          <a:extLst>
            <a:ext uri="{FF2B5EF4-FFF2-40B4-BE49-F238E27FC236}">
              <a16:creationId xmlns:a16="http://schemas.microsoft.com/office/drawing/2014/main" id="{9873C546-3949-49C6-BD59-4536E95488FB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9525" cy="9525"/>
    <xdr:pic>
      <xdr:nvPicPr>
        <xdr:cNvPr id="7026" name="Picture 7025">
          <a:extLst>
            <a:ext uri="{FF2B5EF4-FFF2-40B4-BE49-F238E27FC236}">
              <a16:creationId xmlns:a16="http://schemas.microsoft.com/office/drawing/2014/main" id="{F1CE0ACA-0F35-472F-9121-74494CB04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7027" name="AutoShape 523">
          <a:extLst>
            <a:ext uri="{FF2B5EF4-FFF2-40B4-BE49-F238E27FC236}">
              <a16:creationId xmlns:a16="http://schemas.microsoft.com/office/drawing/2014/main" id="{8E0BF62D-5A42-4F29-ACF1-DE59CB8B63C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304800" cy="303440"/>
    <xdr:sp macro="" textlink="">
      <xdr:nvSpPr>
        <xdr:cNvPr id="7028" name="AutoShape 525">
          <a:extLst>
            <a:ext uri="{FF2B5EF4-FFF2-40B4-BE49-F238E27FC236}">
              <a16:creationId xmlns:a16="http://schemas.microsoft.com/office/drawing/2014/main" id="{D5262B22-F239-4587-ACCF-6702FD7D7C37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3</xdr:row>
      <xdr:rowOff>0</xdr:rowOff>
    </xdr:from>
    <xdr:ext cx="9525" cy="9525"/>
    <xdr:pic>
      <xdr:nvPicPr>
        <xdr:cNvPr id="7029" name="Picture 7028">
          <a:extLst>
            <a:ext uri="{FF2B5EF4-FFF2-40B4-BE49-F238E27FC236}">
              <a16:creationId xmlns:a16="http://schemas.microsoft.com/office/drawing/2014/main" id="{EE483235-6174-4A3E-91DE-5AF8594BE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</xdr:row>
      <xdr:rowOff>0</xdr:rowOff>
    </xdr:from>
    <xdr:ext cx="304800" cy="303439"/>
    <xdr:sp macro="" textlink="">
      <xdr:nvSpPr>
        <xdr:cNvPr id="7030" name="AutoShape 25">
          <a:extLst>
            <a:ext uri="{FF2B5EF4-FFF2-40B4-BE49-F238E27FC236}">
              <a16:creationId xmlns:a16="http://schemas.microsoft.com/office/drawing/2014/main" id="{8C2D7278-427F-4530-BC1A-0250E4637A3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4</xdr:row>
      <xdr:rowOff>0</xdr:rowOff>
    </xdr:from>
    <xdr:ext cx="9525" cy="9525"/>
    <xdr:pic>
      <xdr:nvPicPr>
        <xdr:cNvPr id="7031" name="Picture 7030">
          <a:extLst>
            <a:ext uri="{FF2B5EF4-FFF2-40B4-BE49-F238E27FC236}">
              <a16:creationId xmlns:a16="http://schemas.microsoft.com/office/drawing/2014/main" id="{88775F66-AA5C-4FEB-BD77-BB5B46D82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9525" cy="9525"/>
    <xdr:pic>
      <xdr:nvPicPr>
        <xdr:cNvPr id="7032" name="Picture 7031">
          <a:extLst>
            <a:ext uri="{FF2B5EF4-FFF2-40B4-BE49-F238E27FC236}">
              <a16:creationId xmlns:a16="http://schemas.microsoft.com/office/drawing/2014/main" id="{58598E66-DF93-4FE3-A243-E8DA8761D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6</xdr:row>
      <xdr:rowOff>0</xdr:rowOff>
    </xdr:from>
    <xdr:ext cx="9525" cy="9525"/>
    <xdr:pic>
      <xdr:nvPicPr>
        <xdr:cNvPr id="7033" name="Picture 7032">
          <a:extLst>
            <a:ext uri="{FF2B5EF4-FFF2-40B4-BE49-F238E27FC236}">
              <a16:creationId xmlns:a16="http://schemas.microsoft.com/office/drawing/2014/main" id="{CCD8622A-808A-4188-9415-E42BDA289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304800" cy="304800"/>
    <xdr:sp macro="" textlink="">
      <xdr:nvSpPr>
        <xdr:cNvPr id="7034" name="AutoShape 29">
          <a:extLst>
            <a:ext uri="{FF2B5EF4-FFF2-40B4-BE49-F238E27FC236}">
              <a16:creationId xmlns:a16="http://schemas.microsoft.com/office/drawing/2014/main" id="{3CC3AEF8-86FF-4B3E-BEEA-293F870A343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35" name="Picture 7034">
          <a:extLst>
            <a:ext uri="{FF2B5EF4-FFF2-40B4-BE49-F238E27FC236}">
              <a16:creationId xmlns:a16="http://schemas.microsoft.com/office/drawing/2014/main" id="{43B8D8E3-6D76-43AE-8549-8F8DB060B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26</xdr:row>
      <xdr:rowOff>0</xdr:rowOff>
    </xdr:from>
    <xdr:ext cx="9525" cy="9525"/>
    <xdr:pic>
      <xdr:nvPicPr>
        <xdr:cNvPr id="7036" name="Picture 7035">
          <a:extLst>
            <a:ext uri="{FF2B5EF4-FFF2-40B4-BE49-F238E27FC236}">
              <a16:creationId xmlns:a16="http://schemas.microsoft.com/office/drawing/2014/main" id="{EBD6E32E-00AF-4763-9827-818F3B70A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25</xdr:row>
      <xdr:rowOff>0</xdr:rowOff>
    </xdr:from>
    <xdr:ext cx="304800" cy="303440"/>
    <xdr:sp macro="" textlink="">
      <xdr:nvSpPr>
        <xdr:cNvPr id="7037" name="AutoShape 32">
          <a:extLst>
            <a:ext uri="{FF2B5EF4-FFF2-40B4-BE49-F238E27FC236}">
              <a16:creationId xmlns:a16="http://schemas.microsoft.com/office/drawing/2014/main" id="{DA1F154D-665A-432E-BF26-0C736C622D27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38" name="Picture 7037">
          <a:extLst>
            <a:ext uri="{FF2B5EF4-FFF2-40B4-BE49-F238E27FC236}">
              <a16:creationId xmlns:a16="http://schemas.microsoft.com/office/drawing/2014/main" id="{4670B722-59AA-428D-8445-B57B8B756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39" name="Picture 7038">
          <a:extLst>
            <a:ext uri="{FF2B5EF4-FFF2-40B4-BE49-F238E27FC236}">
              <a16:creationId xmlns:a16="http://schemas.microsoft.com/office/drawing/2014/main" id="{1E63EB0B-C3BC-4BA9-B735-C20292335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40" name="Picture 7039">
          <a:extLst>
            <a:ext uri="{FF2B5EF4-FFF2-40B4-BE49-F238E27FC236}">
              <a16:creationId xmlns:a16="http://schemas.microsoft.com/office/drawing/2014/main" id="{890BE303-4E53-4C32-8333-18BB5C3A2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41" name="Picture 7040">
          <a:extLst>
            <a:ext uri="{FF2B5EF4-FFF2-40B4-BE49-F238E27FC236}">
              <a16:creationId xmlns:a16="http://schemas.microsoft.com/office/drawing/2014/main" id="{A3373DF0-400C-46AA-A082-9F8994DC2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42" name="Picture 7041">
          <a:extLst>
            <a:ext uri="{FF2B5EF4-FFF2-40B4-BE49-F238E27FC236}">
              <a16:creationId xmlns:a16="http://schemas.microsoft.com/office/drawing/2014/main" id="{4F1F21F2-BCBA-4E72-B214-67DA7A4E1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7043" name="AutoShape 38">
          <a:extLst>
            <a:ext uri="{FF2B5EF4-FFF2-40B4-BE49-F238E27FC236}">
              <a16:creationId xmlns:a16="http://schemas.microsoft.com/office/drawing/2014/main" id="{B3D11BD5-CBE0-46E1-B3FF-C6FFC193C94B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44" name="Picture 7043">
          <a:extLst>
            <a:ext uri="{FF2B5EF4-FFF2-40B4-BE49-F238E27FC236}">
              <a16:creationId xmlns:a16="http://schemas.microsoft.com/office/drawing/2014/main" id="{6F536727-BBB6-49D7-9D21-A5002B9B6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7045" name="AutoShape 40">
          <a:extLst>
            <a:ext uri="{FF2B5EF4-FFF2-40B4-BE49-F238E27FC236}">
              <a16:creationId xmlns:a16="http://schemas.microsoft.com/office/drawing/2014/main" id="{B9F95CE2-F1D9-4D3F-BDCD-28565762E523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13</xdr:row>
      <xdr:rowOff>0</xdr:rowOff>
    </xdr:from>
    <xdr:ext cx="9525" cy="9525"/>
    <xdr:pic>
      <xdr:nvPicPr>
        <xdr:cNvPr id="7046" name="Picture 7045">
          <a:extLst>
            <a:ext uri="{FF2B5EF4-FFF2-40B4-BE49-F238E27FC236}">
              <a16:creationId xmlns:a16="http://schemas.microsoft.com/office/drawing/2014/main" id="{1679FECE-A096-4122-8568-73D140FBC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12</xdr:row>
      <xdr:rowOff>0</xdr:rowOff>
    </xdr:from>
    <xdr:ext cx="304800" cy="303439"/>
    <xdr:sp macro="" textlink="">
      <xdr:nvSpPr>
        <xdr:cNvPr id="7047" name="AutoShape 42">
          <a:extLst>
            <a:ext uri="{FF2B5EF4-FFF2-40B4-BE49-F238E27FC236}">
              <a16:creationId xmlns:a16="http://schemas.microsoft.com/office/drawing/2014/main" id="{98A6A3A7-5D9B-49AB-AE1A-4976F95B7C9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13</xdr:row>
      <xdr:rowOff>0</xdr:rowOff>
    </xdr:from>
    <xdr:ext cx="304800" cy="304800"/>
    <xdr:sp macro="" textlink="">
      <xdr:nvSpPr>
        <xdr:cNvPr id="7048" name="AutoShape 44">
          <a:extLst>
            <a:ext uri="{FF2B5EF4-FFF2-40B4-BE49-F238E27FC236}">
              <a16:creationId xmlns:a16="http://schemas.microsoft.com/office/drawing/2014/main" id="{570B9FB9-1D40-4979-A4CA-E7B2956E9B2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49" name="Picture 7048">
          <a:extLst>
            <a:ext uri="{FF2B5EF4-FFF2-40B4-BE49-F238E27FC236}">
              <a16:creationId xmlns:a16="http://schemas.microsoft.com/office/drawing/2014/main" id="{C32C4704-739F-467F-A618-23540C50D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27</xdr:row>
      <xdr:rowOff>0</xdr:rowOff>
    </xdr:from>
    <xdr:ext cx="9525" cy="9525"/>
    <xdr:pic>
      <xdr:nvPicPr>
        <xdr:cNvPr id="7050" name="Picture 7049">
          <a:extLst>
            <a:ext uri="{FF2B5EF4-FFF2-40B4-BE49-F238E27FC236}">
              <a16:creationId xmlns:a16="http://schemas.microsoft.com/office/drawing/2014/main" id="{2577F0E0-F2B8-4508-9494-A428F0E3A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3</xdr:row>
      <xdr:rowOff>0</xdr:rowOff>
    </xdr:from>
    <xdr:ext cx="9525" cy="9525"/>
    <xdr:pic>
      <xdr:nvPicPr>
        <xdr:cNvPr id="7051" name="Picture 7050">
          <a:extLst>
            <a:ext uri="{FF2B5EF4-FFF2-40B4-BE49-F238E27FC236}">
              <a16:creationId xmlns:a16="http://schemas.microsoft.com/office/drawing/2014/main" id="{4D5F0E86-7016-4662-9069-97BFF999A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</xdr:row>
      <xdr:rowOff>0</xdr:rowOff>
    </xdr:from>
    <xdr:ext cx="304800" cy="303439"/>
    <xdr:sp macro="" textlink="">
      <xdr:nvSpPr>
        <xdr:cNvPr id="7052" name="AutoShape 48">
          <a:extLst>
            <a:ext uri="{FF2B5EF4-FFF2-40B4-BE49-F238E27FC236}">
              <a16:creationId xmlns:a16="http://schemas.microsoft.com/office/drawing/2014/main" id="{A69E71E8-53E9-49F0-B2C1-FB93EB4E241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4</xdr:row>
      <xdr:rowOff>0</xdr:rowOff>
    </xdr:from>
    <xdr:ext cx="9525" cy="9525"/>
    <xdr:pic>
      <xdr:nvPicPr>
        <xdr:cNvPr id="7053" name="Picture 7052">
          <a:extLst>
            <a:ext uri="{FF2B5EF4-FFF2-40B4-BE49-F238E27FC236}">
              <a16:creationId xmlns:a16="http://schemas.microsoft.com/office/drawing/2014/main" id="{FFFB8ADA-85C3-4A7B-A244-13ACAF31A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9525" cy="9525"/>
    <xdr:pic>
      <xdr:nvPicPr>
        <xdr:cNvPr id="7054" name="Picture 7053">
          <a:extLst>
            <a:ext uri="{FF2B5EF4-FFF2-40B4-BE49-F238E27FC236}">
              <a16:creationId xmlns:a16="http://schemas.microsoft.com/office/drawing/2014/main" id="{9BC720C5-FB8D-4C8F-B50B-7C3F12044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6</xdr:row>
      <xdr:rowOff>0</xdr:rowOff>
    </xdr:from>
    <xdr:ext cx="9525" cy="9525"/>
    <xdr:pic>
      <xdr:nvPicPr>
        <xdr:cNvPr id="7055" name="Picture 7054">
          <a:extLst>
            <a:ext uri="{FF2B5EF4-FFF2-40B4-BE49-F238E27FC236}">
              <a16:creationId xmlns:a16="http://schemas.microsoft.com/office/drawing/2014/main" id="{B65C788A-1E8B-4059-9800-2F41A98A0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304800" cy="304800"/>
    <xdr:sp macro="" textlink="">
      <xdr:nvSpPr>
        <xdr:cNvPr id="7056" name="AutoShape 52">
          <a:extLst>
            <a:ext uri="{FF2B5EF4-FFF2-40B4-BE49-F238E27FC236}">
              <a16:creationId xmlns:a16="http://schemas.microsoft.com/office/drawing/2014/main" id="{9F64C6C1-C38C-4705-A7CF-F8C6A5A87BD1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57" name="Picture 7056">
          <a:extLst>
            <a:ext uri="{FF2B5EF4-FFF2-40B4-BE49-F238E27FC236}">
              <a16:creationId xmlns:a16="http://schemas.microsoft.com/office/drawing/2014/main" id="{1F6AB8C8-7234-49D2-96CB-88AAB98C4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26</xdr:row>
      <xdr:rowOff>0</xdr:rowOff>
    </xdr:from>
    <xdr:ext cx="9525" cy="9525"/>
    <xdr:pic>
      <xdr:nvPicPr>
        <xdr:cNvPr id="7058" name="Picture 7057">
          <a:extLst>
            <a:ext uri="{FF2B5EF4-FFF2-40B4-BE49-F238E27FC236}">
              <a16:creationId xmlns:a16="http://schemas.microsoft.com/office/drawing/2014/main" id="{84CCFDFA-F4AA-4251-83DD-2EB83EFD7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25</xdr:row>
      <xdr:rowOff>0</xdr:rowOff>
    </xdr:from>
    <xdr:ext cx="304800" cy="303440"/>
    <xdr:sp macro="" textlink="">
      <xdr:nvSpPr>
        <xdr:cNvPr id="7059" name="AutoShape 55">
          <a:extLst>
            <a:ext uri="{FF2B5EF4-FFF2-40B4-BE49-F238E27FC236}">
              <a16:creationId xmlns:a16="http://schemas.microsoft.com/office/drawing/2014/main" id="{6BBFF8D9-EB03-4172-AD76-82982EE7A3D6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60" name="Picture 7059">
          <a:extLst>
            <a:ext uri="{FF2B5EF4-FFF2-40B4-BE49-F238E27FC236}">
              <a16:creationId xmlns:a16="http://schemas.microsoft.com/office/drawing/2014/main" id="{F277FE00-D885-4B3F-B2D9-1EB3A85E3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61" name="Picture 7060">
          <a:extLst>
            <a:ext uri="{FF2B5EF4-FFF2-40B4-BE49-F238E27FC236}">
              <a16:creationId xmlns:a16="http://schemas.microsoft.com/office/drawing/2014/main" id="{52C42C4E-9BF9-42D1-B57C-CC25BC530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62" name="Picture 7061">
          <a:extLst>
            <a:ext uri="{FF2B5EF4-FFF2-40B4-BE49-F238E27FC236}">
              <a16:creationId xmlns:a16="http://schemas.microsoft.com/office/drawing/2014/main" id="{FF471AD4-8214-4A7B-A1CD-203491CE3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63" name="Picture 7062">
          <a:extLst>
            <a:ext uri="{FF2B5EF4-FFF2-40B4-BE49-F238E27FC236}">
              <a16:creationId xmlns:a16="http://schemas.microsoft.com/office/drawing/2014/main" id="{57D8A417-EA09-47B8-8DED-32767D676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64" name="Picture 7063">
          <a:extLst>
            <a:ext uri="{FF2B5EF4-FFF2-40B4-BE49-F238E27FC236}">
              <a16:creationId xmlns:a16="http://schemas.microsoft.com/office/drawing/2014/main" id="{15AD31E3-702F-42A3-941C-428B2E3EE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7065" name="AutoShape 61">
          <a:extLst>
            <a:ext uri="{FF2B5EF4-FFF2-40B4-BE49-F238E27FC236}">
              <a16:creationId xmlns:a16="http://schemas.microsoft.com/office/drawing/2014/main" id="{3AC291C4-26B3-41EF-91E8-2204BFBCED81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66" name="Picture 7065">
          <a:extLst>
            <a:ext uri="{FF2B5EF4-FFF2-40B4-BE49-F238E27FC236}">
              <a16:creationId xmlns:a16="http://schemas.microsoft.com/office/drawing/2014/main" id="{3A14413C-F1BE-41F8-838B-00FDC6053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7067" name="AutoShape 63">
          <a:extLst>
            <a:ext uri="{FF2B5EF4-FFF2-40B4-BE49-F238E27FC236}">
              <a16:creationId xmlns:a16="http://schemas.microsoft.com/office/drawing/2014/main" id="{040246DF-C9C8-4380-89C4-E1E07E611ECC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13</xdr:row>
      <xdr:rowOff>0</xdr:rowOff>
    </xdr:from>
    <xdr:ext cx="9525" cy="9525"/>
    <xdr:pic>
      <xdr:nvPicPr>
        <xdr:cNvPr id="7068" name="Picture 7067">
          <a:extLst>
            <a:ext uri="{FF2B5EF4-FFF2-40B4-BE49-F238E27FC236}">
              <a16:creationId xmlns:a16="http://schemas.microsoft.com/office/drawing/2014/main" id="{8C0829A6-AB52-493E-B38C-13C2895F0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12</xdr:row>
      <xdr:rowOff>0</xdr:rowOff>
    </xdr:from>
    <xdr:ext cx="304800" cy="303439"/>
    <xdr:sp macro="" textlink="">
      <xdr:nvSpPr>
        <xdr:cNvPr id="7069" name="AutoShape 65">
          <a:extLst>
            <a:ext uri="{FF2B5EF4-FFF2-40B4-BE49-F238E27FC236}">
              <a16:creationId xmlns:a16="http://schemas.microsoft.com/office/drawing/2014/main" id="{C59736C4-3028-44E2-AA79-BF7A3605C6E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13</xdr:row>
      <xdr:rowOff>0</xdr:rowOff>
    </xdr:from>
    <xdr:ext cx="304800" cy="304800"/>
    <xdr:sp macro="" textlink="">
      <xdr:nvSpPr>
        <xdr:cNvPr id="7070" name="AutoShape 67">
          <a:extLst>
            <a:ext uri="{FF2B5EF4-FFF2-40B4-BE49-F238E27FC236}">
              <a16:creationId xmlns:a16="http://schemas.microsoft.com/office/drawing/2014/main" id="{1CE76A00-936A-4649-9652-32F5260B000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71" name="Picture 7070">
          <a:extLst>
            <a:ext uri="{FF2B5EF4-FFF2-40B4-BE49-F238E27FC236}">
              <a16:creationId xmlns:a16="http://schemas.microsoft.com/office/drawing/2014/main" id="{ECB650C5-2103-45A0-8A30-97C39D0C3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3440"/>
    <xdr:sp macro="" textlink="">
      <xdr:nvSpPr>
        <xdr:cNvPr id="7072" name="AutoShape 69">
          <a:extLst>
            <a:ext uri="{FF2B5EF4-FFF2-40B4-BE49-F238E27FC236}">
              <a16:creationId xmlns:a16="http://schemas.microsoft.com/office/drawing/2014/main" id="{C56FB082-7523-4B1C-8843-FC460DA3530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27</xdr:row>
      <xdr:rowOff>0</xdr:rowOff>
    </xdr:from>
    <xdr:ext cx="9525" cy="9525"/>
    <xdr:pic>
      <xdr:nvPicPr>
        <xdr:cNvPr id="7073" name="Picture 7072">
          <a:extLst>
            <a:ext uri="{FF2B5EF4-FFF2-40B4-BE49-F238E27FC236}">
              <a16:creationId xmlns:a16="http://schemas.microsoft.com/office/drawing/2014/main" id="{A34F5FB0-7EF9-4491-AFF8-8C1204EF8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74" name="Picture 7073">
          <a:extLst>
            <a:ext uri="{FF2B5EF4-FFF2-40B4-BE49-F238E27FC236}">
              <a16:creationId xmlns:a16="http://schemas.microsoft.com/office/drawing/2014/main" id="{A657CDDF-7F19-4AEF-A68F-E257913B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3</xdr:row>
      <xdr:rowOff>0</xdr:rowOff>
    </xdr:from>
    <xdr:ext cx="9525" cy="9525"/>
    <xdr:pic>
      <xdr:nvPicPr>
        <xdr:cNvPr id="7075" name="Picture 7074">
          <a:extLst>
            <a:ext uri="{FF2B5EF4-FFF2-40B4-BE49-F238E27FC236}">
              <a16:creationId xmlns:a16="http://schemas.microsoft.com/office/drawing/2014/main" id="{D6F2585C-35EA-4C88-BBB6-824512692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</xdr:row>
      <xdr:rowOff>0</xdr:rowOff>
    </xdr:from>
    <xdr:ext cx="304800" cy="303439"/>
    <xdr:sp macro="" textlink="">
      <xdr:nvSpPr>
        <xdr:cNvPr id="7076" name="AutoShape 98">
          <a:extLst>
            <a:ext uri="{FF2B5EF4-FFF2-40B4-BE49-F238E27FC236}">
              <a16:creationId xmlns:a16="http://schemas.microsoft.com/office/drawing/2014/main" id="{27BC7AFE-5969-4C4D-9BE3-835BFAD350CB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4</xdr:row>
      <xdr:rowOff>0</xdr:rowOff>
    </xdr:from>
    <xdr:ext cx="9525" cy="9525"/>
    <xdr:pic>
      <xdr:nvPicPr>
        <xdr:cNvPr id="7077" name="Picture 7076">
          <a:extLst>
            <a:ext uri="{FF2B5EF4-FFF2-40B4-BE49-F238E27FC236}">
              <a16:creationId xmlns:a16="http://schemas.microsoft.com/office/drawing/2014/main" id="{4C07A6E2-4D93-4823-AE83-ABC267085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9525" cy="9525"/>
    <xdr:pic>
      <xdr:nvPicPr>
        <xdr:cNvPr id="7078" name="Picture 7077">
          <a:extLst>
            <a:ext uri="{FF2B5EF4-FFF2-40B4-BE49-F238E27FC236}">
              <a16:creationId xmlns:a16="http://schemas.microsoft.com/office/drawing/2014/main" id="{C1B9E006-9090-4979-A074-27BC227FD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6</xdr:row>
      <xdr:rowOff>0</xdr:rowOff>
    </xdr:from>
    <xdr:ext cx="9525" cy="9525"/>
    <xdr:pic>
      <xdr:nvPicPr>
        <xdr:cNvPr id="7079" name="Picture 7078">
          <a:extLst>
            <a:ext uri="{FF2B5EF4-FFF2-40B4-BE49-F238E27FC236}">
              <a16:creationId xmlns:a16="http://schemas.microsoft.com/office/drawing/2014/main" id="{61DED034-117D-4ED5-8538-6DB8BE727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304800" cy="304800"/>
    <xdr:sp macro="" textlink="">
      <xdr:nvSpPr>
        <xdr:cNvPr id="7080" name="AutoShape 102">
          <a:extLst>
            <a:ext uri="{FF2B5EF4-FFF2-40B4-BE49-F238E27FC236}">
              <a16:creationId xmlns:a16="http://schemas.microsoft.com/office/drawing/2014/main" id="{C77D4415-52FF-4274-831C-0A7CAB6C9C7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81" name="Picture 7080">
          <a:extLst>
            <a:ext uri="{FF2B5EF4-FFF2-40B4-BE49-F238E27FC236}">
              <a16:creationId xmlns:a16="http://schemas.microsoft.com/office/drawing/2014/main" id="{51C9613E-7E27-4342-8609-6FE990EEA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26</xdr:row>
      <xdr:rowOff>0</xdr:rowOff>
    </xdr:from>
    <xdr:ext cx="9525" cy="9525"/>
    <xdr:pic>
      <xdr:nvPicPr>
        <xdr:cNvPr id="7082" name="Picture 7081">
          <a:extLst>
            <a:ext uri="{FF2B5EF4-FFF2-40B4-BE49-F238E27FC236}">
              <a16:creationId xmlns:a16="http://schemas.microsoft.com/office/drawing/2014/main" id="{1DDD4808-9615-401E-A24C-8026241A2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25</xdr:row>
      <xdr:rowOff>0</xdr:rowOff>
    </xdr:from>
    <xdr:ext cx="304800" cy="303440"/>
    <xdr:sp macro="" textlink="">
      <xdr:nvSpPr>
        <xdr:cNvPr id="7083" name="AutoShape 105">
          <a:extLst>
            <a:ext uri="{FF2B5EF4-FFF2-40B4-BE49-F238E27FC236}">
              <a16:creationId xmlns:a16="http://schemas.microsoft.com/office/drawing/2014/main" id="{8A3D09B2-EADD-4559-892D-F29D83E6BFF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84" name="Picture 7083">
          <a:extLst>
            <a:ext uri="{FF2B5EF4-FFF2-40B4-BE49-F238E27FC236}">
              <a16:creationId xmlns:a16="http://schemas.microsoft.com/office/drawing/2014/main" id="{F7C91374-FAF4-4015-9089-A5431400F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85" name="Picture 7084">
          <a:extLst>
            <a:ext uri="{FF2B5EF4-FFF2-40B4-BE49-F238E27FC236}">
              <a16:creationId xmlns:a16="http://schemas.microsoft.com/office/drawing/2014/main" id="{BEFBDCC5-F10F-4B38-B370-A79D18580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86" name="Picture 7085">
          <a:extLst>
            <a:ext uri="{FF2B5EF4-FFF2-40B4-BE49-F238E27FC236}">
              <a16:creationId xmlns:a16="http://schemas.microsoft.com/office/drawing/2014/main" id="{E91B5994-0A05-41E2-A857-F560FC07D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87" name="Picture 7086">
          <a:extLst>
            <a:ext uri="{FF2B5EF4-FFF2-40B4-BE49-F238E27FC236}">
              <a16:creationId xmlns:a16="http://schemas.microsoft.com/office/drawing/2014/main" id="{500B7DF6-911D-4B83-8F9A-C7423176E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88" name="Picture 7087">
          <a:extLst>
            <a:ext uri="{FF2B5EF4-FFF2-40B4-BE49-F238E27FC236}">
              <a16:creationId xmlns:a16="http://schemas.microsoft.com/office/drawing/2014/main" id="{F60EB3F8-A190-4A16-AF59-65397AB50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7089" name="AutoShape 111">
          <a:extLst>
            <a:ext uri="{FF2B5EF4-FFF2-40B4-BE49-F238E27FC236}">
              <a16:creationId xmlns:a16="http://schemas.microsoft.com/office/drawing/2014/main" id="{F7E25D94-DC5A-4CC2-9284-D319C9EFFE41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90" name="Picture 7089">
          <a:extLst>
            <a:ext uri="{FF2B5EF4-FFF2-40B4-BE49-F238E27FC236}">
              <a16:creationId xmlns:a16="http://schemas.microsoft.com/office/drawing/2014/main" id="{5AF299FA-8122-482D-A908-652626E87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7091" name="AutoShape 113">
          <a:extLst>
            <a:ext uri="{FF2B5EF4-FFF2-40B4-BE49-F238E27FC236}">
              <a16:creationId xmlns:a16="http://schemas.microsoft.com/office/drawing/2014/main" id="{CDD72590-41EE-4348-B1FE-69ED71A5AFB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13</xdr:row>
      <xdr:rowOff>0</xdr:rowOff>
    </xdr:from>
    <xdr:ext cx="9525" cy="9525"/>
    <xdr:pic>
      <xdr:nvPicPr>
        <xdr:cNvPr id="7092" name="Picture 7091">
          <a:extLst>
            <a:ext uri="{FF2B5EF4-FFF2-40B4-BE49-F238E27FC236}">
              <a16:creationId xmlns:a16="http://schemas.microsoft.com/office/drawing/2014/main" id="{17E10A76-F5EA-4577-BE7D-B1B0BB399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12</xdr:row>
      <xdr:rowOff>0</xdr:rowOff>
    </xdr:from>
    <xdr:ext cx="304800" cy="303439"/>
    <xdr:sp macro="" textlink="">
      <xdr:nvSpPr>
        <xdr:cNvPr id="7093" name="AutoShape 115">
          <a:extLst>
            <a:ext uri="{FF2B5EF4-FFF2-40B4-BE49-F238E27FC236}">
              <a16:creationId xmlns:a16="http://schemas.microsoft.com/office/drawing/2014/main" id="{71D9D573-7494-4C7E-8614-23810E91C7EF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94" name="Picture 7093">
          <a:extLst>
            <a:ext uri="{FF2B5EF4-FFF2-40B4-BE49-F238E27FC236}">
              <a16:creationId xmlns:a16="http://schemas.microsoft.com/office/drawing/2014/main" id="{84E28E56-8528-4CED-9F20-77A7A2E93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13</xdr:row>
      <xdr:rowOff>0</xdr:rowOff>
    </xdr:from>
    <xdr:ext cx="304800" cy="304800"/>
    <xdr:sp macro="" textlink="">
      <xdr:nvSpPr>
        <xdr:cNvPr id="7095" name="AutoShape 117">
          <a:extLst>
            <a:ext uri="{FF2B5EF4-FFF2-40B4-BE49-F238E27FC236}">
              <a16:creationId xmlns:a16="http://schemas.microsoft.com/office/drawing/2014/main" id="{6FDC180A-A782-4D6C-B7F2-AB2C09936E16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96" name="Picture 7095">
          <a:extLst>
            <a:ext uri="{FF2B5EF4-FFF2-40B4-BE49-F238E27FC236}">
              <a16:creationId xmlns:a16="http://schemas.microsoft.com/office/drawing/2014/main" id="{B9BC1333-1470-4FE7-9475-1E397705C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3440"/>
    <xdr:sp macro="" textlink="">
      <xdr:nvSpPr>
        <xdr:cNvPr id="7097" name="AutoShape 119">
          <a:extLst>
            <a:ext uri="{FF2B5EF4-FFF2-40B4-BE49-F238E27FC236}">
              <a16:creationId xmlns:a16="http://schemas.microsoft.com/office/drawing/2014/main" id="{4D2F89BE-195F-4284-8E82-76D0D31A5638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27</xdr:row>
      <xdr:rowOff>0</xdr:rowOff>
    </xdr:from>
    <xdr:ext cx="9525" cy="9525"/>
    <xdr:pic>
      <xdr:nvPicPr>
        <xdr:cNvPr id="7098" name="Picture 7097">
          <a:extLst>
            <a:ext uri="{FF2B5EF4-FFF2-40B4-BE49-F238E27FC236}">
              <a16:creationId xmlns:a16="http://schemas.microsoft.com/office/drawing/2014/main" id="{C8ECECC3-DF3B-4DDC-9431-8F3DA9301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099" name="Picture 7098">
          <a:extLst>
            <a:ext uri="{FF2B5EF4-FFF2-40B4-BE49-F238E27FC236}">
              <a16:creationId xmlns:a16="http://schemas.microsoft.com/office/drawing/2014/main" id="{ECDC80FD-BE3E-4A51-AD87-F6D1E6456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3</xdr:row>
      <xdr:rowOff>0</xdr:rowOff>
    </xdr:from>
    <xdr:ext cx="9525" cy="9525"/>
    <xdr:pic>
      <xdr:nvPicPr>
        <xdr:cNvPr id="7100" name="Picture 7099">
          <a:extLst>
            <a:ext uri="{FF2B5EF4-FFF2-40B4-BE49-F238E27FC236}">
              <a16:creationId xmlns:a16="http://schemas.microsoft.com/office/drawing/2014/main" id="{2866791E-1D78-4CCA-BB29-5C4934608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</xdr:row>
      <xdr:rowOff>0</xdr:rowOff>
    </xdr:from>
    <xdr:ext cx="304800" cy="303439"/>
    <xdr:sp macro="" textlink="">
      <xdr:nvSpPr>
        <xdr:cNvPr id="7101" name="AutoShape 123">
          <a:extLst>
            <a:ext uri="{FF2B5EF4-FFF2-40B4-BE49-F238E27FC236}">
              <a16:creationId xmlns:a16="http://schemas.microsoft.com/office/drawing/2014/main" id="{A8480F86-5007-4E65-8B02-B384DC9F6D27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4</xdr:row>
      <xdr:rowOff>0</xdr:rowOff>
    </xdr:from>
    <xdr:ext cx="9525" cy="9525"/>
    <xdr:pic>
      <xdr:nvPicPr>
        <xdr:cNvPr id="7102" name="Picture 7101">
          <a:extLst>
            <a:ext uri="{FF2B5EF4-FFF2-40B4-BE49-F238E27FC236}">
              <a16:creationId xmlns:a16="http://schemas.microsoft.com/office/drawing/2014/main" id="{EA706379-08F7-47E6-BFA5-98505C180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9525" cy="9525"/>
    <xdr:pic>
      <xdr:nvPicPr>
        <xdr:cNvPr id="7103" name="Picture 7102">
          <a:extLst>
            <a:ext uri="{FF2B5EF4-FFF2-40B4-BE49-F238E27FC236}">
              <a16:creationId xmlns:a16="http://schemas.microsoft.com/office/drawing/2014/main" id="{7408C4A9-D14F-4579-9A7C-8AE15B6B8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6</xdr:row>
      <xdr:rowOff>0</xdr:rowOff>
    </xdr:from>
    <xdr:ext cx="9525" cy="9525"/>
    <xdr:pic>
      <xdr:nvPicPr>
        <xdr:cNvPr id="7104" name="Picture 7103">
          <a:extLst>
            <a:ext uri="{FF2B5EF4-FFF2-40B4-BE49-F238E27FC236}">
              <a16:creationId xmlns:a16="http://schemas.microsoft.com/office/drawing/2014/main" id="{1ECDA160-DA1B-4F8B-A06F-8F925679A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5</xdr:row>
      <xdr:rowOff>0</xdr:rowOff>
    </xdr:from>
    <xdr:ext cx="304800" cy="304800"/>
    <xdr:sp macro="" textlink="">
      <xdr:nvSpPr>
        <xdr:cNvPr id="7105" name="AutoShape 127">
          <a:extLst>
            <a:ext uri="{FF2B5EF4-FFF2-40B4-BE49-F238E27FC236}">
              <a16:creationId xmlns:a16="http://schemas.microsoft.com/office/drawing/2014/main" id="{3FCBC855-3A24-448D-9961-4177150B4806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106" name="Picture 7105">
          <a:extLst>
            <a:ext uri="{FF2B5EF4-FFF2-40B4-BE49-F238E27FC236}">
              <a16:creationId xmlns:a16="http://schemas.microsoft.com/office/drawing/2014/main" id="{21FDBE4F-8D59-4159-BF1E-84F0C0693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26</xdr:row>
      <xdr:rowOff>0</xdr:rowOff>
    </xdr:from>
    <xdr:ext cx="9525" cy="9525"/>
    <xdr:pic>
      <xdr:nvPicPr>
        <xdr:cNvPr id="7107" name="Picture 7106">
          <a:extLst>
            <a:ext uri="{FF2B5EF4-FFF2-40B4-BE49-F238E27FC236}">
              <a16:creationId xmlns:a16="http://schemas.microsoft.com/office/drawing/2014/main" id="{73EE421A-1F25-40D4-AEBE-052A81E72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25</xdr:row>
      <xdr:rowOff>0</xdr:rowOff>
    </xdr:from>
    <xdr:ext cx="304800" cy="303440"/>
    <xdr:sp macro="" textlink="">
      <xdr:nvSpPr>
        <xdr:cNvPr id="7108" name="AutoShape 130">
          <a:extLst>
            <a:ext uri="{FF2B5EF4-FFF2-40B4-BE49-F238E27FC236}">
              <a16:creationId xmlns:a16="http://schemas.microsoft.com/office/drawing/2014/main" id="{1145E97E-C6D1-4A95-8A58-DCE549607B2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109" name="Picture 7108">
          <a:extLst>
            <a:ext uri="{FF2B5EF4-FFF2-40B4-BE49-F238E27FC236}">
              <a16:creationId xmlns:a16="http://schemas.microsoft.com/office/drawing/2014/main" id="{657F29D3-F36E-4423-99CB-C7808EA3E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110" name="Picture 7109">
          <a:extLst>
            <a:ext uri="{FF2B5EF4-FFF2-40B4-BE49-F238E27FC236}">
              <a16:creationId xmlns:a16="http://schemas.microsoft.com/office/drawing/2014/main" id="{7755A35B-6BE9-4E2D-9200-F7F8A85CB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111" name="Picture 7110">
          <a:extLst>
            <a:ext uri="{FF2B5EF4-FFF2-40B4-BE49-F238E27FC236}">
              <a16:creationId xmlns:a16="http://schemas.microsoft.com/office/drawing/2014/main" id="{79A24F4F-3235-4995-8042-42DC5E426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112" name="Picture 7111">
          <a:extLst>
            <a:ext uri="{FF2B5EF4-FFF2-40B4-BE49-F238E27FC236}">
              <a16:creationId xmlns:a16="http://schemas.microsoft.com/office/drawing/2014/main" id="{C2B56893-9ACE-48EB-A67F-C28C259C5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113" name="Picture 7112">
          <a:extLst>
            <a:ext uri="{FF2B5EF4-FFF2-40B4-BE49-F238E27FC236}">
              <a16:creationId xmlns:a16="http://schemas.microsoft.com/office/drawing/2014/main" id="{4C67136F-0182-4A27-A52E-5802D56B2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7114" name="AutoShape 136">
          <a:extLst>
            <a:ext uri="{FF2B5EF4-FFF2-40B4-BE49-F238E27FC236}">
              <a16:creationId xmlns:a16="http://schemas.microsoft.com/office/drawing/2014/main" id="{BE1702E4-BB29-4071-B012-8C5D6F611873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115" name="Picture 7114">
          <a:extLst>
            <a:ext uri="{FF2B5EF4-FFF2-40B4-BE49-F238E27FC236}">
              <a16:creationId xmlns:a16="http://schemas.microsoft.com/office/drawing/2014/main" id="{C774A668-8B09-4297-91B3-C8863CA33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4800"/>
    <xdr:sp macro="" textlink="">
      <xdr:nvSpPr>
        <xdr:cNvPr id="7116" name="AutoShape 138">
          <a:extLst>
            <a:ext uri="{FF2B5EF4-FFF2-40B4-BE49-F238E27FC236}">
              <a16:creationId xmlns:a16="http://schemas.microsoft.com/office/drawing/2014/main" id="{2760A150-E8A0-408D-B31A-8BE2D2327F42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13</xdr:row>
      <xdr:rowOff>0</xdr:rowOff>
    </xdr:from>
    <xdr:ext cx="9525" cy="9525"/>
    <xdr:pic>
      <xdr:nvPicPr>
        <xdr:cNvPr id="7117" name="Picture 7116">
          <a:extLst>
            <a:ext uri="{FF2B5EF4-FFF2-40B4-BE49-F238E27FC236}">
              <a16:creationId xmlns:a16="http://schemas.microsoft.com/office/drawing/2014/main" id="{BEE0C7D5-0977-4A68-BA8A-61AE8A442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12</xdr:row>
      <xdr:rowOff>0</xdr:rowOff>
    </xdr:from>
    <xdr:ext cx="304800" cy="303439"/>
    <xdr:sp macro="" textlink="">
      <xdr:nvSpPr>
        <xdr:cNvPr id="7118" name="AutoShape 140">
          <a:extLst>
            <a:ext uri="{FF2B5EF4-FFF2-40B4-BE49-F238E27FC236}">
              <a16:creationId xmlns:a16="http://schemas.microsoft.com/office/drawing/2014/main" id="{2DF1C46E-AC31-42E3-83B4-974776F978F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119" name="Picture 7118">
          <a:extLst>
            <a:ext uri="{FF2B5EF4-FFF2-40B4-BE49-F238E27FC236}">
              <a16:creationId xmlns:a16="http://schemas.microsoft.com/office/drawing/2014/main" id="{E21D0189-60CF-4C21-ADBE-8BDEF3F80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13</xdr:row>
      <xdr:rowOff>0</xdr:rowOff>
    </xdr:from>
    <xdr:ext cx="304800" cy="304800"/>
    <xdr:sp macro="" textlink="">
      <xdr:nvSpPr>
        <xdr:cNvPr id="7120" name="AutoShape 142">
          <a:extLst>
            <a:ext uri="{FF2B5EF4-FFF2-40B4-BE49-F238E27FC236}">
              <a16:creationId xmlns:a16="http://schemas.microsoft.com/office/drawing/2014/main" id="{5E84560E-0B52-4C7C-B33F-A116CDA0DAAD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121" name="Picture 7120">
          <a:extLst>
            <a:ext uri="{FF2B5EF4-FFF2-40B4-BE49-F238E27FC236}">
              <a16:creationId xmlns:a16="http://schemas.microsoft.com/office/drawing/2014/main" id="{37A3F57E-458A-426F-ACF6-CC1F4E1D5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304800" cy="303440"/>
    <xdr:sp macro="" textlink="">
      <xdr:nvSpPr>
        <xdr:cNvPr id="7122" name="AutoShape 144">
          <a:extLst>
            <a:ext uri="{FF2B5EF4-FFF2-40B4-BE49-F238E27FC236}">
              <a16:creationId xmlns:a16="http://schemas.microsoft.com/office/drawing/2014/main" id="{7FAAADB7-2E56-40B8-B4C1-D0E16968E711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27</xdr:row>
      <xdr:rowOff>0</xdr:rowOff>
    </xdr:from>
    <xdr:ext cx="9525" cy="9525"/>
    <xdr:pic>
      <xdr:nvPicPr>
        <xdr:cNvPr id="7123" name="Picture 7122">
          <a:extLst>
            <a:ext uri="{FF2B5EF4-FFF2-40B4-BE49-F238E27FC236}">
              <a16:creationId xmlns:a16="http://schemas.microsoft.com/office/drawing/2014/main" id="{21AB49BA-2018-4B00-89EA-996F50096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29</xdr:row>
      <xdr:rowOff>0</xdr:rowOff>
    </xdr:from>
    <xdr:ext cx="9525" cy="9525"/>
    <xdr:pic>
      <xdr:nvPicPr>
        <xdr:cNvPr id="7124" name="Picture 7123">
          <a:extLst>
            <a:ext uri="{FF2B5EF4-FFF2-40B4-BE49-F238E27FC236}">
              <a16:creationId xmlns:a16="http://schemas.microsoft.com/office/drawing/2014/main" id="{125B54D2-901D-4BE6-B27F-4E2A69A45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7</xdr:row>
      <xdr:rowOff>0</xdr:rowOff>
    </xdr:from>
    <xdr:ext cx="9525" cy="9525"/>
    <xdr:pic>
      <xdr:nvPicPr>
        <xdr:cNvPr id="7125" name="Picture 7124">
          <a:extLst>
            <a:ext uri="{FF2B5EF4-FFF2-40B4-BE49-F238E27FC236}">
              <a16:creationId xmlns:a16="http://schemas.microsoft.com/office/drawing/2014/main" id="{FE56BFC6-BCFB-45E6-92D9-D0267A79F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7</xdr:row>
      <xdr:rowOff>0</xdr:rowOff>
    </xdr:from>
    <xdr:ext cx="9525" cy="9525"/>
    <xdr:pic>
      <xdr:nvPicPr>
        <xdr:cNvPr id="7126" name="Picture 7125">
          <a:extLst>
            <a:ext uri="{FF2B5EF4-FFF2-40B4-BE49-F238E27FC236}">
              <a16:creationId xmlns:a16="http://schemas.microsoft.com/office/drawing/2014/main" id="{2CABB0E0-E0C7-4469-85F5-495C4996A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7</xdr:row>
      <xdr:rowOff>0</xdr:rowOff>
    </xdr:from>
    <xdr:ext cx="9525" cy="9525"/>
    <xdr:pic>
      <xdr:nvPicPr>
        <xdr:cNvPr id="7127" name="Picture 7126">
          <a:extLst>
            <a:ext uri="{FF2B5EF4-FFF2-40B4-BE49-F238E27FC236}">
              <a16:creationId xmlns:a16="http://schemas.microsoft.com/office/drawing/2014/main" id="{859E230E-14F6-4864-BF30-A4F718460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7</xdr:row>
      <xdr:rowOff>0</xdr:rowOff>
    </xdr:from>
    <xdr:ext cx="9525" cy="9525"/>
    <xdr:pic>
      <xdr:nvPicPr>
        <xdr:cNvPr id="7128" name="Picture 7127">
          <a:extLst>
            <a:ext uri="{FF2B5EF4-FFF2-40B4-BE49-F238E27FC236}">
              <a16:creationId xmlns:a16="http://schemas.microsoft.com/office/drawing/2014/main" id="{BB69950D-7E86-470D-89F4-293EB27F8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9525" cy="9525"/>
    <xdr:pic>
      <xdr:nvPicPr>
        <xdr:cNvPr id="7129" name="Picture 7128">
          <a:extLst>
            <a:ext uri="{FF2B5EF4-FFF2-40B4-BE49-F238E27FC236}">
              <a16:creationId xmlns:a16="http://schemas.microsoft.com/office/drawing/2014/main" id="{69EAE3A3-FD13-4E84-8C69-AE229EDC6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9525" cy="9525"/>
    <xdr:pic>
      <xdr:nvPicPr>
        <xdr:cNvPr id="7130" name="Picture 7129">
          <a:extLst>
            <a:ext uri="{FF2B5EF4-FFF2-40B4-BE49-F238E27FC236}">
              <a16:creationId xmlns:a16="http://schemas.microsoft.com/office/drawing/2014/main" id="{8CEDE943-5ACA-4068-9A2B-DEED864A9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9525" cy="9525"/>
    <xdr:pic>
      <xdr:nvPicPr>
        <xdr:cNvPr id="7131" name="Picture 7130">
          <a:extLst>
            <a:ext uri="{FF2B5EF4-FFF2-40B4-BE49-F238E27FC236}">
              <a16:creationId xmlns:a16="http://schemas.microsoft.com/office/drawing/2014/main" id="{D8442799-2FCC-4E74-9EA5-8B7AECDC2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9525" cy="9525"/>
    <xdr:pic>
      <xdr:nvPicPr>
        <xdr:cNvPr id="7132" name="Picture 7131">
          <a:extLst>
            <a:ext uri="{FF2B5EF4-FFF2-40B4-BE49-F238E27FC236}">
              <a16:creationId xmlns:a16="http://schemas.microsoft.com/office/drawing/2014/main" id="{6426857A-09B5-4994-A3B9-D8230C1F6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21</xdr:row>
      <xdr:rowOff>0</xdr:rowOff>
    </xdr:from>
    <xdr:ext cx="9525" cy="9525"/>
    <xdr:pic>
      <xdr:nvPicPr>
        <xdr:cNvPr id="7133" name="Picture 7132">
          <a:extLst>
            <a:ext uri="{FF2B5EF4-FFF2-40B4-BE49-F238E27FC236}">
              <a16:creationId xmlns:a16="http://schemas.microsoft.com/office/drawing/2014/main" id="{283D607B-250E-4FDB-920F-ECFC4CD72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21</xdr:row>
      <xdr:rowOff>0</xdr:rowOff>
    </xdr:from>
    <xdr:ext cx="9525" cy="9525"/>
    <xdr:pic>
      <xdr:nvPicPr>
        <xdr:cNvPr id="7134" name="Picture 7133">
          <a:extLst>
            <a:ext uri="{FF2B5EF4-FFF2-40B4-BE49-F238E27FC236}">
              <a16:creationId xmlns:a16="http://schemas.microsoft.com/office/drawing/2014/main" id="{8502A9FE-C483-4ECA-93C0-D02CF38A6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21</xdr:row>
      <xdr:rowOff>0</xdr:rowOff>
    </xdr:from>
    <xdr:ext cx="9525" cy="9525"/>
    <xdr:pic>
      <xdr:nvPicPr>
        <xdr:cNvPr id="7135" name="Picture 7134">
          <a:extLst>
            <a:ext uri="{FF2B5EF4-FFF2-40B4-BE49-F238E27FC236}">
              <a16:creationId xmlns:a16="http://schemas.microsoft.com/office/drawing/2014/main" id="{A9A6B871-D0B5-4A99-B6BE-683292D00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21</xdr:row>
      <xdr:rowOff>0</xdr:rowOff>
    </xdr:from>
    <xdr:ext cx="9525" cy="9525"/>
    <xdr:pic>
      <xdr:nvPicPr>
        <xdr:cNvPr id="7136" name="Picture 7135">
          <a:extLst>
            <a:ext uri="{FF2B5EF4-FFF2-40B4-BE49-F238E27FC236}">
              <a16:creationId xmlns:a16="http://schemas.microsoft.com/office/drawing/2014/main" id="{5B2C787B-358A-4C9D-80F3-417DF6631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16</xdr:row>
      <xdr:rowOff>0</xdr:rowOff>
    </xdr:from>
    <xdr:ext cx="9525" cy="9525"/>
    <xdr:pic>
      <xdr:nvPicPr>
        <xdr:cNvPr id="7137" name="Picture 7136">
          <a:extLst>
            <a:ext uri="{FF2B5EF4-FFF2-40B4-BE49-F238E27FC236}">
              <a16:creationId xmlns:a16="http://schemas.microsoft.com/office/drawing/2014/main" id="{F2F5AFC4-8E78-4350-9538-5D6F3AD36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16</xdr:row>
      <xdr:rowOff>0</xdr:rowOff>
    </xdr:from>
    <xdr:ext cx="9525" cy="9525"/>
    <xdr:pic>
      <xdr:nvPicPr>
        <xdr:cNvPr id="7138" name="Picture 7137">
          <a:extLst>
            <a:ext uri="{FF2B5EF4-FFF2-40B4-BE49-F238E27FC236}">
              <a16:creationId xmlns:a16="http://schemas.microsoft.com/office/drawing/2014/main" id="{402CE2AC-D9EB-47E8-BDCC-D4C927683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3440"/>
    <xdr:sp macro="" textlink="">
      <xdr:nvSpPr>
        <xdr:cNvPr id="7139" name="AutoShape 69">
          <a:extLst>
            <a:ext uri="{FF2B5EF4-FFF2-40B4-BE49-F238E27FC236}">
              <a16:creationId xmlns:a16="http://schemas.microsoft.com/office/drawing/2014/main" id="{4472907C-4AC4-40C3-80DF-AC130DB3ADA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16</xdr:row>
      <xdr:rowOff>0</xdr:rowOff>
    </xdr:from>
    <xdr:ext cx="9525" cy="9525"/>
    <xdr:pic>
      <xdr:nvPicPr>
        <xdr:cNvPr id="7140" name="Picture 7139">
          <a:extLst>
            <a:ext uri="{FF2B5EF4-FFF2-40B4-BE49-F238E27FC236}">
              <a16:creationId xmlns:a16="http://schemas.microsoft.com/office/drawing/2014/main" id="{267112FC-A956-44FA-916D-70DB2EA65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3440"/>
    <xdr:sp macro="" textlink="">
      <xdr:nvSpPr>
        <xdr:cNvPr id="7141" name="AutoShape 119">
          <a:extLst>
            <a:ext uri="{FF2B5EF4-FFF2-40B4-BE49-F238E27FC236}">
              <a16:creationId xmlns:a16="http://schemas.microsoft.com/office/drawing/2014/main" id="{09DF1CF4-172D-4A1D-B75F-A7DD5EFA4822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16</xdr:row>
      <xdr:rowOff>0</xdr:rowOff>
    </xdr:from>
    <xdr:ext cx="9525" cy="9525"/>
    <xdr:pic>
      <xdr:nvPicPr>
        <xdr:cNvPr id="7142" name="Picture 7141">
          <a:extLst>
            <a:ext uri="{FF2B5EF4-FFF2-40B4-BE49-F238E27FC236}">
              <a16:creationId xmlns:a16="http://schemas.microsoft.com/office/drawing/2014/main" id="{89532835-2A32-46E4-B03F-E59262BA8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</xdr:row>
      <xdr:rowOff>0</xdr:rowOff>
    </xdr:from>
    <xdr:ext cx="304800" cy="303440"/>
    <xdr:sp macro="" textlink="">
      <xdr:nvSpPr>
        <xdr:cNvPr id="7143" name="AutoShape 144">
          <a:extLst>
            <a:ext uri="{FF2B5EF4-FFF2-40B4-BE49-F238E27FC236}">
              <a16:creationId xmlns:a16="http://schemas.microsoft.com/office/drawing/2014/main" id="{A168AC6F-3332-4049-B429-7ED95EE7DCC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19</xdr:row>
      <xdr:rowOff>0</xdr:rowOff>
    </xdr:from>
    <xdr:ext cx="9525" cy="9525"/>
    <xdr:pic>
      <xdr:nvPicPr>
        <xdr:cNvPr id="7144" name="Picture 7143">
          <a:extLst>
            <a:ext uri="{FF2B5EF4-FFF2-40B4-BE49-F238E27FC236}">
              <a16:creationId xmlns:a16="http://schemas.microsoft.com/office/drawing/2014/main" id="{7193FE66-24AD-45B3-8439-0979C9D28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19</xdr:row>
      <xdr:rowOff>0</xdr:rowOff>
    </xdr:from>
    <xdr:ext cx="9525" cy="9525"/>
    <xdr:pic>
      <xdr:nvPicPr>
        <xdr:cNvPr id="7145" name="Picture 7144">
          <a:extLst>
            <a:ext uri="{FF2B5EF4-FFF2-40B4-BE49-F238E27FC236}">
              <a16:creationId xmlns:a16="http://schemas.microsoft.com/office/drawing/2014/main" id="{85CE5A2E-793A-47E5-A09F-55E72B3B5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19</xdr:row>
      <xdr:rowOff>0</xdr:rowOff>
    </xdr:from>
    <xdr:ext cx="9525" cy="9525"/>
    <xdr:pic>
      <xdr:nvPicPr>
        <xdr:cNvPr id="7146" name="Picture 7145">
          <a:extLst>
            <a:ext uri="{FF2B5EF4-FFF2-40B4-BE49-F238E27FC236}">
              <a16:creationId xmlns:a16="http://schemas.microsoft.com/office/drawing/2014/main" id="{22B95F92-DF20-4DC3-A86A-8186C61BB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17</xdr:row>
      <xdr:rowOff>0</xdr:rowOff>
    </xdr:from>
    <xdr:ext cx="9525" cy="9525"/>
    <xdr:pic>
      <xdr:nvPicPr>
        <xdr:cNvPr id="7147" name="Picture 7146">
          <a:extLst>
            <a:ext uri="{FF2B5EF4-FFF2-40B4-BE49-F238E27FC236}">
              <a16:creationId xmlns:a16="http://schemas.microsoft.com/office/drawing/2014/main" id="{AAF6C351-3FDE-46BA-B3A3-6F3CA9601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16</xdr:row>
      <xdr:rowOff>0</xdr:rowOff>
    </xdr:from>
    <xdr:ext cx="304800" cy="304800"/>
    <xdr:sp macro="" textlink="">
      <xdr:nvSpPr>
        <xdr:cNvPr id="7148" name="AutoShape 40">
          <a:extLst>
            <a:ext uri="{FF2B5EF4-FFF2-40B4-BE49-F238E27FC236}">
              <a16:creationId xmlns:a16="http://schemas.microsoft.com/office/drawing/2014/main" id="{023952ED-1093-4FB3-A06A-068804A87746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304800" cy="303439"/>
    <xdr:sp macro="" textlink="">
      <xdr:nvSpPr>
        <xdr:cNvPr id="7149" name="AutoShape 42">
          <a:extLst>
            <a:ext uri="{FF2B5EF4-FFF2-40B4-BE49-F238E27FC236}">
              <a16:creationId xmlns:a16="http://schemas.microsoft.com/office/drawing/2014/main" id="{76396E56-C07E-4BA3-9A55-2C7DCC18DA4E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9525" cy="9525"/>
    <xdr:pic>
      <xdr:nvPicPr>
        <xdr:cNvPr id="7150" name="Picture 7149">
          <a:extLst>
            <a:ext uri="{FF2B5EF4-FFF2-40B4-BE49-F238E27FC236}">
              <a16:creationId xmlns:a16="http://schemas.microsoft.com/office/drawing/2014/main" id="{95F921C5-0D80-40DE-A90D-A8325CBA7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16</xdr:row>
      <xdr:rowOff>0</xdr:rowOff>
    </xdr:from>
    <xdr:ext cx="304800" cy="304800"/>
    <xdr:sp macro="" textlink="">
      <xdr:nvSpPr>
        <xdr:cNvPr id="7151" name="AutoShape 63">
          <a:extLst>
            <a:ext uri="{FF2B5EF4-FFF2-40B4-BE49-F238E27FC236}">
              <a16:creationId xmlns:a16="http://schemas.microsoft.com/office/drawing/2014/main" id="{D5134DF2-28F0-4A43-BEB9-2FD5FB05E781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304800" cy="303439"/>
    <xdr:sp macro="" textlink="">
      <xdr:nvSpPr>
        <xdr:cNvPr id="7152" name="AutoShape 65">
          <a:extLst>
            <a:ext uri="{FF2B5EF4-FFF2-40B4-BE49-F238E27FC236}">
              <a16:creationId xmlns:a16="http://schemas.microsoft.com/office/drawing/2014/main" id="{D5A505A0-E0A8-497E-BD9C-0DA3AE06830F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9525" cy="9525"/>
    <xdr:pic>
      <xdr:nvPicPr>
        <xdr:cNvPr id="7153" name="Picture 7152">
          <a:extLst>
            <a:ext uri="{FF2B5EF4-FFF2-40B4-BE49-F238E27FC236}">
              <a16:creationId xmlns:a16="http://schemas.microsoft.com/office/drawing/2014/main" id="{F5F6A36C-D747-41CD-9073-9DC913F0A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16</xdr:row>
      <xdr:rowOff>0</xdr:rowOff>
    </xdr:from>
    <xdr:ext cx="304800" cy="304800"/>
    <xdr:sp macro="" textlink="">
      <xdr:nvSpPr>
        <xdr:cNvPr id="7154" name="AutoShape 113">
          <a:extLst>
            <a:ext uri="{FF2B5EF4-FFF2-40B4-BE49-F238E27FC236}">
              <a16:creationId xmlns:a16="http://schemas.microsoft.com/office/drawing/2014/main" id="{7791FB6F-6E97-4A65-8AD3-7CE318BE9CF7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304800" cy="303439"/>
    <xdr:sp macro="" textlink="">
      <xdr:nvSpPr>
        <xdr:cNvPr id="7155" name="AutoShape 115">
          <a:extLst>
            <a:ext uri="{FF2B5EF4-FFF2-40B4-BE49-F238E27FC236}">
              <a16:creationId xmlns:a16="http://schemas.microsoft.com/office/drawing/2014/main" id="{3F71CA9C-2CAB-4612-BB22-C6BC89F1DB7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9525" cy="9525"/>
    <xdr:pic>
      <xdr:nvPicPr>
        <xdr:cNvPr id="7156" name="Picture 7155">
          <a:extLst>
            <a:ext uri="{FF2B5EF4-FFF2-40B4-BE49-F238E27FC236}">
              <a16:creationId xmlns:a16="http://schemas.microsoft.com/office/drawing/2014/main" id="{16D39D3E-F1DA-4663-A481-3EC4E04E5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16</xdr:row>
      <xdr:rowOff>0</xdr:rowOff>
    </xdr:from>
    <xdr:ext cx="304800" cy="304800"/>
    <xdr:sp macro="" textlink="">
      <xdr:nvSpPr>
        <xdr:cNvPr id="7157" name="AutoShape 138">
          <a:extLst>
            <a:ext uri="{FF2B5EF4-FFF2-40B4-BE49-F238E27FC236}">
              <a16:creationId xmlns:a16="http://schemas.microsoft.com/office/drawing/2014/main" id="{E5A3BB82-C873-4F44-B80B-AF74E3159B9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17</xdr:row>
      <xdr:rowOff>0</xdr:rowOff>
    </xdr:from>
    <xdr:ext cx="304800" cy="303439"/>
    <xdr:sp macro="" textlink="">
      <xdr:nvSpPr>
        <xdr:cNvPr id="7158" name="AutoShape 140">
          <a:extLst>
            <a:ext uri="{FF2B5EF4-FFF2-40B4-BE49-F238E27FC236}">
              <a16:creationId xmlns:a16="http://schemas.microsoft.com/office/drawing/2014/main" id="{027A23A2-337C-4BAD-8A7C-C588A8A19948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18</xdr:row>
      <xdr:rowOff>0</xdr:rowOff>
    </xdr:from>
    <xdr:ext cx="9525" cy="9525"/>
    <xdr:pic>
      <xdr:nvPicPr>
        <xdr:cNvPr id="7159" name="Picture 7158">
          <a:extLst>
            <a:ext uri="{FF2B5EF4-FFF2-40B4-BE49-F238E27FC236}">
              <a16:creationId xmlns:a16="http://schemas.microsoft.com/office/drawing/2014/main" id="{07BA8224-71A7-45A8-A961-7D83C9E53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18</xdr:row>
      <xdr:rowOff>0</xdr:rowOff>
    </xdr:from>
    <xdr:ext cx="9525" cy="9525"/>
    <xdr:pic>
      <xdr:nvPicPr>
        <xdr:cNvPr id="7160" name="Picture 7159">
          <a:extLst>
            <a:ext uri="{FF2B5EF4-FFF2-40B4-BE49-F238E27FC236}">
              <a16:creationId xmlns:a16="http://schemas.microsoft.com/office/drawing/2014/main" id="{D4456EAF-31DD-48FE-B895-39270DF32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18</xdr:row>
      <xdr:rowOff>0</xdr:rowOff>
    </xdr:from>
    <xdr:ext cx="9525" cy="9525"/>
    <xdr:pic>
      <xdr:nvPicPr>
        <xdr:cNvPr id="7161" name="Picture 7160">
          <a:extLst>
            <a:ext uri="{FF2B5EF4-FFF2-40B4-BE49-F238E27FC236}">
              <a16:creationId xmlns:a16="http://schemas.microsoft.com/office/drawing/2014/main" id="{052ED22C-1070-4408-928D-1C432572A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18</xdr:row>
      <xdr:rowOff>0</xdr:rowOff>
    </xdr:from>
    <xdr:ext cx="9525" cy="9525"/>
    <xdr:pic>
      <xdr:nvPicPr>
        <xdr:cNvPr id="7162" name="Picture 7161">
          <a:extLst>
            <a:ext uri="{FF2B5EF4-FFF2-40B4-BE49-F238E27FC236}">
              <a16:creationId xmlns:a16="http://schemas.microsoft.com/office/drawing/2014/main" id="{01AE4304-68B6-4F0A-A535-54CBBA5AE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9525" cy="9525"/>
    <xdr:pic>
      <xdr:nvPicPr>
        <xdr:cNvPr id="7163" name="Picture 7162">
          <a:extLst>
            <a:ext uri="{FF2B5EF4-FFF2-40B4-BE49-F238E27FC236}">
              <a16:creationId xmlns:a16="http://schemas.microsoft.com/office/drawing/2014/main" id="{89F3A344-96BA-4989-A749-F0CB95044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9525" cy="9525"/>
    <xdr:pic>
      <xdr:nvPicPr>
        <xdr:cNvPr id="7164" name="Picture 7163">
          <a:extLst>
            <a:ext uri="{FF2B5EF4-FFF2-40B4-BE49-F238E27FC236}">
              <a16:creationId xmlns:a16="http://schemas.microsoft.com/office/drawing/2014/main" id="{92DAC188-9AFA-4802-B144-CACC0D217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9525" cy="9525"/>
    <xdr:pic>
      <xdr:nvPicPr>
        <xdr:cNvPr id="7165" name="Picture 7164">
          <a:extLst>
            <a:ext uri="{FF2B5EF4-FFF2-40B4-BE49-F238E27FC236}">
              <a16:creationId xmlns:a16="http://schemas.microsoft.com/office/drawing/2014/main" id="{1F6B1E9E-021B-4101-8E47-565BBFF87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9525" cy="9525"/>
    <xdr:pic>
      <xdr:nvPicPr>
        <xdr:cNvPr id="7166" name="Picture 7165">
          <a:extLst>
            <a:ext uri="{FF2B5EF4-FFF2-40B4-BE49-F238E27FC236}">
              <a16:creationId xmlns:a16="http://schemas.microsoft.com/office/drawing/2014/main" id="{780E76BB-738E-4B31-922D-385921AFB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</xdr:row>
      <xdr:rowOff>0</xdr:rowOff>
    </xdr:from>
    <xdr:ext cx="9525" cy="9525"/>
    <xdr:pic>
      <xdr:nvPicPr>
        <xdr:cNvPr id="7167" name="Picture 7166">
          <a:extLst>
            <a:ext uri="{FF2B5EF4-FFF2-40B4-BE49-F238E27FC236}">
              <a16:creationId xmlns:a16="http://schemas.microsoft.com/office/drawing/2014/main" id="{140BAAC8-AF1B-4342-9EF7-81226CC94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304800" cy="304800"/>
    <xdr:sp macro="" textlink="">
      <xdr:nvSpPr>
        <xdr:cNvPr id="7168" name="AutoShape 38">
          <a:extLst>
            <a:ext uri="{FF2B5EF4-FFF2-40B4-BE49-F238E27FC236}">
              <a16:creationId xmlns:a16="http://schemas.microsoft.com/office/drawing/2014/main" id="{EE06990B-C7C4-4C99-895C-6A6CAA6BB94C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10</xdr:row>
      <xdr:rowOff>0</xdr:rowOff>
    </xdr:from>
    <xdr:ext cx="304800" cy="304800"/>
    <xdr:sp macro="" textlink="">
      <xdr:nvSpPr>
        <xdr:cNvPr id="7169" name="AutoShape 40">
          <a:extLst>
            <a:ext uri="{FF2B5EF4-FFF2-40B4-BE49-F238E27FC236}">
              <a16:creationId xmlns:a16="http://schemas.microsoft.com/office/drawing/2014/main" id="{DAE38D8A-3137-4FB3-A4E5-16299CEBD79F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10</xdr:row>
      <xdr:rowOff>0</xdr:rowOff>
    </xdr:from>
    <xdr:ext cx="9525" cy="9525"/>
    <xdr:pic>
      <xdr:nvPicPr>
        <xdr:cNvPr id="7170" name="Picture 7169">
          <a:extLst>
            <a:ext uri="{FF2B5EF4-FFF2-40B4-BE49-F238E27FC236}">
              <a16:creationId xmlns:a16="http://schemas.microsoft.com/office/drawing/2014/main" id="{51CFE429-D3C7-42A7-AD70-03B8E04A6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304800" cy="304800"/>
    <xdr:sp macro="" textlink="">
      <xdr:nvSpPr>
        <xdr:cNvPr id="7171" name="AutoShape 61">
          <a:extLst>
            <a:ext uri="{FF2B5EF4-FFF2-40B4-BE49-F238E27FC236}">
              <a16:creationId xmlns:a16="http://schemas.microsoft.com/office/drawing/2014/main" id="{30D6D397-B3F7-4A8C-9F1C-D538A5D1D6E6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10</xdr:row>
      <xdr:rowOff>0</xdr:rowOff>
    </xdr:from>
    <xdr:ext cx="304800" cy="304800"/>
    <xdr:sp macro="" textlink="">
      <xdr:nvSpPr>
        <xdr:cNvPr id="7172" name="AutoShape 63">
          <a:extLst>
            <a:ext uri="{FF2B5EF4-FFF2-40B4-BE49-F238E27FC236}">
              <a16:creationId xmlns:a16="http://schemas.microsoft.com/office/drawing/2014/main" id="{E83B8163-A039-469C-AB53-99157E68D2E2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10</xdr:row>
      <xdr:rowOff>0</xdr:rowOff>
    </xdr:from>
    <xdr:ext cx="9525" cy="9525"/>
    <xdr:pic>
      <xdr:nvPicPr>
        <xdr:cNvPr id="7173" name="Picture 7172">
          <a:extLst>
            <a:ext uri="{FF2B5EF4-FFF2-40B4-BE49-F238E27FC236}">
              <a16:creationId xmlns:a16="http://schemas.microsoft.com/office/drawing/2014/main" id="{E5C73E65-6004-455D-B6E2-0882B2192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304800" cy="304800"/>
    <xdr:sp macro="" textlink="">
      <xdr:nvSpPr>
        <xdr:cNvPr id="7174" name="AutoShape 111">
          <a:extLst>
            <a:ext uri="{FF2B5EF4-FFF2-40B4-BE49-F238E27FC236}">
              <a16:creationId xmlns:a16="http://schemas.microsoft.com/office/drawing/2014/main" id="{713F5C59-7253-49A3-89BD-EFD36C358007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10</xdr:row>
      <xdr:rowOff>0</xdr:rowOff>
    </xdr:from>
    <xdr:ext cx="304800" cy="304800"/>
    <xdr:sp macro="" textlink="">
      <xdr:nvSpPr>
        <xdr:cNvPr id="7175" name="AutoShape 113">
          <a:extLst>
            <a:ext uri="{FF2B5EF4-FFF2-40B4-BE49-F238E27FC236}">
              <a16:creationId xmlns:a16="http://schemas.microsoft.com/office/drawing/2014/main" id="{5323A0FC-B21F-452C-A445-4B20867FC53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10</xdr:row>
      <xdr:rowOff>0</xdr:rowOff>
    </xdr:from>
    <xdr:ext cx="9525" cy="9525"/>
    <xdr:pic>
      <xdr:nvPicPr>
        <xdr:cNvPr id="7176" name="Picture 7175">
          <a:extLst>
            <a:ext uri="{FF2B5EF4-FFF2-40B4-BE49-F238E27FC236}">
              <a16:creationId xmlns:a16="http://schemas.microsoft.com/office/drawing/2014/main" id="{22E48579-0E75-472F-838A-681174420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9</xdr:row>
      <xdr:rowOff>0</xdr:rowOff>
    </xdr:from>
    <xdr:ext cx="304800" cy="304800"/>
    <xdr:sp macro="" textlink="">
      <xdr:nvSpPr>
        <xdr:cNvPr id="7177" name="AutoShape 136">
          <a:extLst>
            <a:ext uri="{FF2B5EF4-FFF2-40B4-BE49-F238E27FC236}">
              <a16:creationId xmlns:a16="http://schemas.microsoft.com/office/drawing/2014/main" id="{54BC9C2F-A90B-4FFD-BC20-6C0CD70B8864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10</xdr:row>
      <xdr:rowOff>0</xdr:rowOff>
    </xdr:from>
    <xdr:ext cx="304800" cy="304800"/>
    <xdr:sp macro="" textlink="">
      <xdr:nvSpPr>
        <xdr:cNvPr id="7178" name="AutoShape 138">
          <a:extLst>
            <a:ext uri="{FF2B5EF4-FFF2-40B4-BE49-F238E27FC236}">
              <a16:creationId xmlns:a16="http://schemas.microsoft.com/office/drawing/2014/main" id="{4842BD6A-8F9B-4DBB-87E8-EF1D8CF32DC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22</xdr:row>
      <xdr:rowOff>0</xdr:rowOff>
    </xdr:from>
    <xdr:ext cx="9525" cy="9525"/>
    <xdr:pic>
      <xdr:nvPicPr>
        <xdr:cNvPr id="7179" name="Picture 7178">
          <a:extLst>
            <a:ext uri="{FF2B5EF4-FFF2-40B4-BE49-F238E27FC236}">
              <a16:creationId xmlns:a16="http://schemas.microsoft.com/office/drawing/2014/main" id="{10537EC6-D11D-47A7-A733-91339E7B6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22</xdr:row>
      <xdr:rowOff>0</xdr:rowOff>
    </xdr:from>
    <xdr:ext cx="9525" cy="9525"/>
    <xdr:pic>
      <xdr:nvPicPr>
        <xdr:cNvPr id="7180" name="Picture 7179">
          <a:extLst>
            <a:ext uri="{FF2B5EF4-FFF2-40B4-BE49-F238E27FC236}">
              <a16:creationId xmlns:a16="http://schemas.microsoft.com/office/drawing/2014/main" id="{E9C77F34-40BF-497B-9577-EFD45F466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22</xdr:row>
      <xdr:rowOff>0</xdr:rowOff>
    </xdr:from>
    <xdr:ext cx="9525" cy="9525"/>
    <xdr:pic>
      <xdr:nvPicPr>
        <xdr:cNvPr id="7181" name="Picture 7180">
          <a:extLst>
            <a:ext uri="{FF2B5EF4-FFF2-40B4-BE49-F238E27FC236}">
              <a16:creationId xmlns:a16="http://schemas.microsoft.com/office/drawing/2014/main" id="{2CAD2952-317F-4AA5-8900-7CE2D9DDA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22</xdr:row>
      <xdr:rowOff>0</xdr:rowOff>
    </xdr:from>
    <xdr:ext cx="9525" cy="9525"/>
    <xdr:pic>
      <xdr:nvPicPr>
        <xdr:cNvPr id="7182" name="Picture 7181">
          <a:extLst>
            <a:ext uri="{FF2B5EF4-FFF2-40B4-BE49-F238E27FC236}">
              <a16:creationId xmlns:a16="http://schemas.microsoft.com/office/drawing/2014/main" id="{95518BDF-B476-43ED-8EF1-3331AB9AB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9525" cy="9525"/>
    <xdr:pic>
      <xdr:nvPicPr>
        <xdr:cNvPr id="7183" name="Picture 7182">
          <a:extLst>
            <a:ext uri="{FF2B5EF4-FFF2-40B4-BE49-F238E27FC236}">
              <a16:creationId xmlns:a16="http://schemas.microsoft.com/office/drawing/2014/main" id="{60663A6F-D048-4662-87CF-A12C29821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7184" name="AutoShape 38">
          <a:extLst>
            <a:ext uri="{FF2B5EF4-FFF2-40B4-BE49-F238E27FC236}">
              <a16:creationId xmlns:a16="http://schemas.microsoft.com/office/drawing/2014/main" id="{09499633-890C-4BDF-9FF2-B13CE0437535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9525" cy="9525"/>
    <xdr:pic>
      <xdr:nvPicPr>
        <xdr:cNvPr id="7185" name="Picture 7184">
          <a:extLst>
            <a:ext uri="{FF2B5EF4-FFF2-40B4-BE49-F238E27FC236}">
              <a16:creationId xmlns:a16="http://schemas.microsoft.com/office/drawing/2014/main" id="{045F1F72-F765-4510-A17C-1FF193AF2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7186" name="AutoShape 61">
          <a:extLst>
            <a:ext uri="{FF2B5EF4-FFF2-40B4-BE49-F238E27FC236}">
              <a16:creationId xmlns:a16="http://schemas.microsoft.com/office/drawing/2014/main" id="{6CF7C50C-8E35-4D86-BA95-02ECE6898FE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9525" cy="9525"/>
    <xdr:pic>
      <xdr:nvPicPr>
        <xdr:cNvPr id="7187" name="Picture 7186">
          <a:extLst>
            <a:ext uri="{FF2B5EF4-FFF2-40B4-BE49-F238E27FC236}">
              <a16:creationId xmlns:a16="http://schemas.microsoft.com/office/drawing/2014/main" id="{C234095B-C3A7-4BD7-9AD8-3AD7CDDBD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7188" name="AutoShape 111">
          <a:extLst>
            <a:ext uri="{FF2B5EF4-FFF2-40B4-BE49-F238E27FC236}">
              <a16:creationId xmlns:a16="http://schemas.microsoft.com/office/drawing/2014/main" id="{FC144E22-AC52-44AF-B7DD-9731F7E73A4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9525" cy="9525"/>
    <xdr:pic>
      <xdr:nvPicPr>
        <xdr:cNvPr id="7189" name="Picture 7188">
          <a:extLst>
            <a:ext uri="{FF2B5EF4-FFF2-40B4-BE49-F238E27FC236}">
              <a16:creationId xmlns:a16="http://schemas.microsoft.com/office/drawing/2014/main" id="{0AB94BA0-D081-4CBD-B190-758D33F75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7190" name="AutoShape 136">
          <a:extLst>
            <a:ext uri="{FF2B5EF4-FFF2-40B4-BE49-F238E27FC236}">
              <a16:creationId xmlns:a16="http://schemas.microsoft.com/office/drawing/2014/main" id="{2B0F85F3-8E41-4844-9036-ACD046AD1FE5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7191" name="AutoShape 44">
          <a:extLst>
            <a:ext uri="{FF2B5EF4-FFF2-40B4-BE49-F238E27FC236}">
              <a16:creationId xmlns:a16="http://schemas.microsoft.com/office/drawing/2014/main" id="{24922D00-8EA9-4419-867C-AC34A96A41F5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7192" name="AutoShape 67">
          <a:extLst>
            <a:ext uri="{FF2B5EF4-FFF2-40B4-BE49-F238E27FC236}">
              <a16:creationId xmlns:a16="http://schemas.microsoft.com/office/drawing/2014/main" id="{DF04C0A1-54B4-4509-90F5-0CDE0F9759C0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304800" cy="303440"/>
    <xdr:sp macro="" textlink="">
      <xdr:nvSpPr>
        <xdr:cNvPr id="7193" name="AutoShape 69">
          <a:extLst>
            <a:ext uri="{FF2B5EF4-FFF2-40B4-BE49-F238E27FC236}">
              <a16:creationId xmlns:a16="http://schemas.microsoft.com/office/drawing/2014/main" id="{76E2A7F4-295E-4157-84DD-8DF784329258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9525" cy="9525"/>
    <xdr:pic>
      <xdr:nvPicPr>
        <xdr:cNvPr id="7194" name="Picture 7193">
          <a:extLst>
            <a:ext uri="{FF2B5EF4-FFF2-40B4-BE49-F238E27FC236}">
              <a16:creationId xmlns:a16="http://schemas.microsoft.com/office/drawing/2014/main" id="{4EA32A65-7B74-49CE-8BF2-E7EDC6A34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7195" name="AutoShape 117">
          <a:extLst>
            <a:ext uri="{FF2B5EF4-FFF2-40B4-BE49-F238E27FC236}">
              <a16:creationId xmlns:a16="http://schemas.microsoft.com/office/drawing/2014/main" id="{ABC7F69E-5EB0-4022-9FAD-7E914A131D4A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304800" cy="303440"/>
    <xdr:sp macro="" textlink="">
      <xdr:nvSpPr>
        <xdr:cNvPr id="7196" name="AutoShape 119">
          <a:extLst>
            <a:ext uri="{FF2B5EF4-FFF2-40B4-BE49-F238E27FC236}">
              <a16:creationId xmlns:a16="http://schemas.microsoft.com/office/drawing/2014/main" id="{78D1FA7C-BAE3-4AAB-A058-04F88FCFFBE9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9525" cy="9525"/>
    <xdr:pic>
      <xdr:nvPicPr>
        <xdr:cNvPr id="7197" name="Picture 7196">
          <a:extLst>
            <a:ext uri="{FF2B5EF4-FFF2-40B4-BE49-F238E27FC236}">
              <a16:creationId xmlns:a16="http://schemas.microsoft.com/office/drawing/2014/main" id="{62AADCDE-50F0-44A9-BEAC-594BCA41F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48607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23</xdr:row>
      <xdr:rowOff>0</xdr:rowOff>
    </xdr:from>
    <xdr:ext cx="304800" cy="304800"/>
    <xdr:sp macro="" textlink="">
      <xdr:nvSpPr>
        <xdr:cNvPr id="7198" name="AutoShape 142">
          <a:extLst>
            <a:ext uri="{FF2B5EF4-FFF2-40B4-BE49-F238E27FC236}">
              <a16:creationId xmlns:a16="http://schemas.microsoft.com/office/drawing/2014/main" id="{B6E8A2CA-1E0B-43BE-88AA-D47749C62455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24</xdr:row>
      <xdr:rowOff>0</xdr:rowOff>
    </xdr:from>
    <xdr:ext cx="304800" cy="303440"/>
    <xdr:sp macro="" textlink="">
      <xdr:nvSpPr>
        <xdr:cNvPr id="7199" name="AutoShape 144">
          <a:extLst>
            <a:ext uri="{FF2B5EF4-FFF2-40B4-BE49-F238E27FC236}">
              <a16:creationId xmlns:a16="http://schemas.microsoft.com/office/drawing/2014/main" id="{E57F603D-DC0C-4522-BDAB-B9C177762C32}"/>
            </a:ext>
          </a:extLst>
        </xdr:cNvPr>
        <xdr:cNvSpPr>
          <a:spLocks noChangeAspect="1" noChangeArrowheads="1"/>
        </xdr:cNvSpPr>
      </xdr:nvSpPr>
      <xdr:spPr bwMode="auto">
        <a:xfrm>
          <a:off x="89548607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3</xdr:row>
      <xdr:rowOff>0</xdr:rowOff>
    </xdr:from>
    <xdr:ext cx="9525" cy="9525"/>
    <xdr:pic>
      <xdr:nvPicPr>
        <xdr:cNvPr id="7200" name="Picture 7199">
          <a:extLst>
            <a:ext uri="{FF2B5EF4-FFF2-40B4-BE49-F238E27FC236}">
              <a16:creationId xmlns:a16="http://schemas.microsoft.com/office/drawing/2014/main" id="{34163A2A-7AB0-4D10-9C27-18288136D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</xdr:row>
      <xdr:rowOff>0</xdr:rowOff>
    </xdr:from>
    <xdr:ext cx="304800" cy="303439"/>
    <xdr:sp macro="" textlink="">
      <xdr:nvSpPr>
        <xdr:cNvPr id="7201" name="AutoShape 148">
          <a:extLst>
            <a:ext uri="{FF2B5EF4-FFF2-40B4-BE49-F238E27FC236}">
              <a16:creationId xmlns:a16="http://schemas.microsoft.com/office/drawing/2014/main" id="{C18303A6-8386-45A2-96E2-F3F8A6EE796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3</xdr:row>
      <xdr:rowOff>0</xdr:rowOff>
    </xdr:from>
    <xdr:ext cx="304800" cy="304800"/>
    <xdr:sp macro="" textlink="">
      <xdr:nvSpPr>
        <xdr:cNvPr id="7202" name="AutoShape 150">
          <a:extLst>
            <a:ext uri="{FF2B5EF4-FFF2-40B4-BE49-F238E27FC236}">
              <a16:creationId xmlns:a16="http://schemas.microsoft.com/office/drawing/2014/main" id="{81829357-F905-426B-8711-5D74D985A6F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9525" cy="9525"/>
    <xdr:pic>
      <xdr:nvPicPr>
        <xdr:cNvPr id="7203" name="Picture 7202">
          <a:extLst>
            <a:ext uri="{FF2B5EF4-FFF2-40B4-BE49-F238E27FC236}">
              <a16:creationId xmlns:a16="http://schemas.microsoft.com/office/drawing/2014/main" id="{FAADEC4E-FBDE-49AB-8A83-657C6FB57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6</xdr:row>
      <xdr:rowOff>0</xdr:rowOff>
    </xdr:from>
    <xdr:ext cx="9525" cy="9525"/>
    <xdr:pic>
      <xdr:nvPicPr>
        <xdr:cNvPr id="7204" name="Picture 7203">
          <a:extLst>
            <a:ext uri="{FF2B5EF4-FFF2-40B4-BE49-F238E27FC236}">
              <a16:creationId xmlns:a16="http://schemas.microsoft.com/office/drawing/2014/main" id="{1D1634F9-1DC9-4E99-A85A-B1BB2C6E5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05" name="Picture 7204">
          <a:extLst>
            <a:ext uri="{FF2B5EF4-FFF2-40B4-BE49-F238E27FC236}">
              <a16:creationId xmlns:a16="http://schemas.microsoft.com/office/drawing/2014/main" id="{43F61F80-4C8D-4693-9C7C-35F9135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6</xdr:row>
      <xdr:rowOff>0</xdr:rowOff>
    </xdr:from>
    <xdr:ext cx="304800" cy="304800"/>
    <xdr:sp macro="" textlink="">
      <xdr:nvSpPr>
        <xdr:cNvPr id="7206" name="AutoShape 154">
          <a:extLst>
            <a:ext uri="{FF2B5EF4-FFF2-40B4-BE49-F238E27FC236}">
              <a16:creationId xmlns:a16="http://schemas.microsoft.com/office/drawing/2014/main" id="{49413864-3760-4B7B-BAF7-5DC3ECA0D06F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26</xdr:row>
      <xdr:rowOff>0</xdr:rowOff>
    </xdr:from>
    <xdr:ext cx="9525" cy="9525"/>
    <xdr:pic>
      <xdr:nvPicPr>
        <xdr:cNvPr id="7207" name="Picture 7206">
          <a:extLst>
            <a:ext uri="{FF2B5EF4-FFF2-40B4-BE49-F238E27FC236}">
              <a16:creationId xmlns:a16="http://schemas.microsoft.com/office/drawing/2014/main" id="{53B43693-C2EA-47CC-8DFA-CECD77168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25</xdr:row>
      <xdr:rowOff>0</xdr:rowOff>
    </xdr:from>
    <xdr:ext cx="304800" cy="303440"/>
    <xdr:sp macro="" textlink="">
      <xdr:nvSpPr>
        <xdr:cNvPr id="7208" name="AutoShape 156">
          <a:extLst>
            <a:ext uri="{FF2B5EF4-FFF2-40B4-BE49-F238E27FC236}">
              <a16:creationId xmlns:a16="http://schemas.microsoft.com/office/drawing/2014/main" id="{62216CDD-23E6-4569-B6D2-D9B88B0D9515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09" name="Picture 7208">
          <a:extLst>
            <a:ext uri="{FF2B5EF4-FFF2-40B4-BE49-F238E27FC236}">
              <a16:creationId xmlns:a16="http://schemas.microsoft.com/office/drawing/2014/main" id="{71C8E473-483F-4DE5-A104-A2790AE29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10" name="Picture 7209">
          <a:extLst>
            <a:ext uri="{FF2B5EF4-FFF2-40B4-BE49-F238E27FC236}">
              <a16:creationId xmlns:a16="http://schemas.microsoft.com/office/drawing/2014/main" id="{0ED35D10-C73C-4410-8E50-EAB7A0B34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211" name="AutoShape 159">
          <a:extLst>
            <a:ext uri="{FF2B5EF4-FFF2-40B4-BE49-F238E27FC236}">
              <a16:creationId xmlns:a16="http://schemas.microsoft.com/office/drawing/2014/main" id="{97AC5A46-F6DD-4B43-99A8-904AB7D243A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12" name="Picture 7211">
          <a:extLst>
            <a:ext uri="{FF2B5EF4-FFF2-40B4-BE49-F238E27FC236}">
              <a16:creationId xmlns:a16="http://schemas.microsoft.com/office/drawing/2014/main" id="{2712B0F3-534E-496B-9ADF-5FDD248D5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13" name="Picture 7212">
          <a:extLst>
            <a:ext uri="{FF2B5EF4-FFF2-40B4-BE49-F238E27FC236}">
              <a16:creationId xmlns:a16="http://schemas.microsoft.com/office/drawing/2014/main" id="{1E737450-6C00-4A5B-B411-439822D16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14" name="Picture 7213">
          <a:extLst>
            <a:ext uri="{FF2B5EF4-FFF2-40B4-BE49-F238E27FC236}">
              <a16:creationId xmlns:a16="http://schemas.microsoft.com/office/drawing/2014/main" id="{D0EAE8C4-9055-48F8-86B2-35AFA4404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15" name="Picture 7214">
          <a:extLst>
            <a:ext uri="{FF2B5EF4-FFF2-40B4-BE49-F238E27FC236}">
              <a16:creationId xmlns:a16="http://schemas.microsoft.com/office/drawing/2014/main" id="{9BDF3137-DF00-4AE7-AAF3-CAA8886D5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13</xdr:row>
      <xdr:rowOff>0</xdr:rowOff>
    </xdr:from>
    <xdr:ext cx="9525" cy="9525"/>
    <xdr:pic>
      <xdr:nvPicPr>
        <xdr:cNvPr id="7216" name="Picture 7215">
          <a:extLst>
            <a:ext uri="{FF2B5EF4-FFF2-40B4-BE49-F238E27FC236}">
              <a16:creationId xmlns:a16="http://schemas.microsoft.com/office/drawing/2014/main" id="{FEDC4BAE-E123-4AF0-8404-75404DE45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12</xdr:row>
      <xdr:rowOff>0</xdr:rowOff>
    </xdr:from>
    <xdr:ext cx="304800" cy="303439"/>
    <xdr:sp macro="" textlink="">
      <xdr:nvSpPr>
        <xdr:cNvPr id="7217" name="AutoShape 165">
          <a:extLst>
            <a:ext uri="{FF2B5EF4-FFF2-40B4-BE49-F238E27FC236}">
              <a16:creationId xmlns:a16="http://schemas.microsoft.com/office/drawing/2014/main" id="{1E6E98AF-6C9E-4FD8-BEA1-DD3F2F9E3EF2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18" name="Picture 7217">
          <a:extLst>
            <a:ext uri="{FF2B5EF4-FFF2-40B4-BE49-F238E27FC236}">
              <a16:creationId xmlns:a16="http://schemas.microsoft.com/office/drawing/2014/main" id="{F6B4195D-CAD2-4D7A-B283-FACF140CD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19" name="Picture 7218">
          <a:extLst>
            <a:ext uri="{FF2B5EF4-FFF2-40B4-BE49-F238E27FC236}">
              <a16:creationId xmlns:a16="http://schemas.microsoft.com/office/drawing/2014/main" id="{1E72ABD6-3214-4B22-911C-D1221673D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3440"/>
    <xdr:sp macro="" textlink="">
      <xdr:nvSpPr>
        <xdr:cNvPr id="7220" name="AutoShape 169">
          <a:extLst>
            <a:ext uri="{FF2B5EF4-FFF2-40B4-BE49-F238E27FC236}">
              <a16:creationId xmlns:a16="http://schemas.microsoft.com/office/drawing/2014/main" id="{BE87C720-A055-4ED3-B8CE-0C85F57C443F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27</xdr:row>
      <xdr:rowOff>0</xdr:rowOff>
    </xdr:from>
    <xdr:ext cx="9525" cy="9525"/>
    <xdr:pic>
      <xdr:nvPicPr>
        <xdr:cNvPr id="7221" name="Picture 7220">
          <a:extLst>
            <a:ext uri="{FF2B5EF4-FFF2-40B4-BE49-F238E27FC236}">
              <a16:creationId xmlns:a16="http://schemas.microsoft.com/office/drawing/2014/main" id="{7B2F7962-82F3-468D-96EF-1FC167D0C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26</xdr:row>
      <xdr:rowOff>0</xdr:rowOff>
    </xdr:from>
    <xdr:ext cx="304800" cy="303439"/>
    <xdr:sp macro="" textlink="">
      <xdr:nvSpPr>
        <xdr:cNvPr id="7222" name="AutoShape 171">
          <a:extLst>
            <a:ext uri="{FF2B5EF4-FFF2-40B4-BE49-F238E27FC236}">
              <a16:creationId xmlns:a16="http://schemas.microsoft.com/office/drawing/2014/main" id="{6ED3F92A-DB83-477E-8787-D48F43DF5F72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23" name="Picture 7222">
          <a:extLst>
            <a:ext uri="{FF2B5EF4-FFF2-40B4-BE49-F238E27FC236}">
              <a16:creationId xmlns:a16="http://schemas.microsoft.com/office/drawing/2014/main" id="{29905361-2B11-4596-A00F-CAED58D56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27</xdr:row>
      <xdr:rowOff>0</xdr:rowOff>
    </xdr:from>
    <xdr:ext cx="304800" cy="303440"/>
    <xdr:sp macro="" textlink="">
      <xdr:nvSpPr>
        <xdr:cNvPr id="7224" name="AutoShape 173">
          <a:extLst>
            <a:ext uri="{FF2B5EF4-FFF2-40B4-BE49-F238E27FC236}">
              <a16:creationId xmlns:a16="http://schemas.microsoft.com/office/drawing/2014/main" id="{93EB6A72-A1F8-415D-A87B-D585B764135B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477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25" name="Picture 7224">
          <a:extLst>
            <a:ext uri="{FF2B5EF4-FFF2-40B4-BE49-F238E27FC236}">
              <a16:creationId xmlns:a16="http://schemas.microsoft.com/office/drawing/2014/main" id="{9E0AE0C8-510A-40CE-907A-33ED7BD06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26" name="Picture 7225">
          <a:extLst>
            <a:ext uri="{FF2B5EF4-FFF2-40B4-BE49-F238E27FC236}">
              <a16:creationId xmlns:a16="http://schemas.microsoft.com/office/drawing/2014/main" id="{7AFC6D7E-7843-44FF-B860-909D261CA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3</xdr:row>
      <xdr:rowOff>0</xdr:rowOff>
    </xdr:from>
    <xdr:ext cx="9525" cy="9525"/>
    <xdr:pic>
      <xdr:nvPicPr>
        <xdr:cNvPr id="7227" name="Picture 7226">
          <a:extLst>
            <a:ext uri="{FF2B5EF4-FFF2-40B4-BE49-F238E27FC236}">
              <a16:creationId xmlns:a16="http://schemas.microsoft.com/office/drawing/2014/main" id="{D7881F90-D199-4E88-942B-D3A8E03AB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</xdr:row>
      <xdr:rowOff>0</xdr:rowOff>
    </xdr:from>
    <xdr:ext cx="304800" cy="303439"/>
    <xdr:sp macro="" textlink="">
      <xdr:nvSpPr>
        <xdr:cNvPr id="7228" name="AutoShape 177">
          <a:extLst>
            <a:ext uri="{FF2B5EF4-FFF2-40B4-BE49-F238E27FC236}">
              <a16:creationId xmlns:a16="http://schemas.microsoft.com/office/drawing/2014/main" id="{0CE4A893-0F16-43E2-8F06-36CD9B0D43A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9525" cy="9525"/>
    <xdr:pic>
      <xdr:nvPicPr>
        <xdr:cNvPr id="7229" name="Picture 7228">
          <a:extLst>
            <a:ext uri="{FF2B5EF4-FFF2-40B4-BE49-F238E27FC236}">
              <a16:creationId xmlns:a16="http://schemas.microsoft.com/office/drawing/2014/main" id="{27B08CA4-DF91-485E-BEF7-98EA24A99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9525" cy="9525"/>
    <xdr:pic>
      <xdr:nvPicPr>
        <xdr:cNvPr id="7230" name="Picture 7229">
          <a:extLst>
            <a:ext uri="{FF2B5EF4-FFF2-40B4-BE49-F238E27FC236}">
              <a16:creationId xmlns:a16="http://schemas.microsoft.com/office/drawing/2014/main" id="{225EBD06-5957-45BF-B32D-3540706C4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6</xdr:row>
      <xdr:rowOff>0</xdr:rowOff>
    </xdr:from>
    <xdr:ext cx="9525" cy="9525"/>
    <xdr:pic>
      <xdr:nvPicPr>
        <xdr:cNvPr id="7231" name="Picture 7230">
          <a:extLst>
            <a:ext uri="{FF2B5EF4-FFF2-40B4-BE49-F238E27FC236}">
              <a16:creationId xmlns:a16="http://schemas.microsoft.com/office/drawing/2014/main" id="{AF75D373-79CE-4643-B68E-E1A857F2D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7232" name="AutoShape 181">
          <a:extLst>
            <a:ext uri="{FF2B5EF4-FFF2-40B4-BE49-F238E27FC236}">
              <a16:creationId xmlns:a16="http://schemas.microsoft.com/office/drawing/2014/main" id="{84E4322F-9987-41CF-B091-1638DBEB64A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33" name="Picture 7232">
          <a:extLst>
            <a:ext uri="{FF2B5EF4-FFF2-40B4-BE49-F238E27FC236}">
              <a16:creationId xmlns:a16="http://schemas.microsoft.com/office/drawing/2014/main" id="{5A3C5161-2A58-462A-BFBD-1E1C21C58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24</xdr:row>
      <xdr:rowOff>0</xdr:rowOff>
    </xdr:from>
    <xdr:ext cx="304800" cy="304800"/>
    <xdr:sp macro="" textlink="">
      <xdr:nvSpPr>
        <xdr:cNvPr id="7234" name="AutoShape 183">
          <a:extLst>
            <a:ext uri="{FF2B5EF4-FFF2-40B4-BE49-F238E27FC236}">
              <a16:creationId xmlns:a16="http://schemas.microsoft.com/office/drawing/2014/main" id="{0F125D91-479F-4E5F-8563-7E1E379CDC5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26</xdr:row>
      <xdr:rowOff>0</xdr:rowOff>
    </xdr:from>
    <xdr:ext cx="9525" cy="9525"/>
    <xdr:pic>
      <xdr:nvPicPr>
        <xdr:cNvPr id="7235" name="Picture 7234">
          <a:extLst>
            <a:ext uri="{FF2B5EF4-FFF2-40B4-BE49-F238E27FC236}">
              <a16:creationId xmlns:a16="http://schemas.microsoft.com/office/drawing/2014/main" id="{6348639B-79B7-4D26-B9CA-762EB89B6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25</xdr:row>
      <xdr:rowOff>0</xdr:rowOff>
    </xdr:from>
    <xdr:ext cx="304800" cy="303440"/>
    <xdr:sp macro="" textlink="">
      <xdr:nvSpPr>
        <xdr:cNvPr id="7236" name="AutoShape 185">
          <a:extLst>
            <a:ext uri="{FF2B5EF4-FFF2-40B4-BE49-F238E27FC236}">
              <a16:creationId xmlns:a16="http://schemas.microsoft.com/office/drawing/2014/main" id="{3DF865D3-9E23-4D2D-83B4-525402509F2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37" name="Picture 7236">
          <a:extLst>
            <a:ext uri="{FF2B5EF4-FFF2-40B4-BE49-F238E27FC236}">
              <a16:creationId xmlns:a16="http://schemas.microsoft.com/office/drawing/2014/main" id="{C61225D6-4887-438C-8708-1A0FB8EFB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38" name="Picture 7237">
          <a:extLst>
            <a:ext uri="{FF2B5EF4-FFF2-40B4-BE49-F238E27FC236}">
              <a16:creationId xmlns:a16="http://schemas.microsoft.com/office/drawing/2014/main" id="{BE8B1CC9-FB47-4B77-B991-92F5ED6BE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39" name="Picture 7238">
          <a:extLst>
            <a:ext uri="{FF2B5EF4-FFF2-40B4-BE49-F238E27FC236}">
              <a16:creationId xmlns:a16="http://schemas.microsoft.com/office/drawing/2014/main" id="{5330441B-D553-45C3-9F42-FAF2BF9FF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40" name="Picture 7239">
          <a:extLst>
            <a:ext uri="{FF2B5EF4-FFF2-40B4-BE49-F238E27FC236}">
              <a16:creationId xmlns:a16="http://schemas.microsoft.com/office/drawing/2014/main" id="{F5AC244A-9DE0-460B-AD8A-693D7694A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41" name="Picture 7240">
          <a:extLst>
            <a:ext uri="{FF2B5EF4-FFF2-40B4-BE49-F238E27FC236}">
              <a16:creationId xmlns:a16="http://schemas.microsoft.com/office/drawing/2014/main" id="{CDB669C1-48E3-478F-BEAC-0AD7692B2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242" name="AutoShape 191">
          <a:extLst>
            <a:ext uri="{FF2B5EF4-FFF2-40B4-BE49-F238E27FC236}">
              <a16:creationId xmlns:a16="http://schemas.microsoft.com/office/drawing/2014/main" id="{3D6C7034-65F3-4C07-A8DA-814BC7AABFF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43" name="Picture 7242">
          <a:extLst>
            <a:ext uri="{FF2B5EF4-FFF2-40B4-BE49-F238E27FC236}">
              <a16:creationId xmlns:a16="http://schemas.microsoft.com/office/drawing/2014/main" id="{BF43D073-677F-4623-9D0F-D35CF1603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244" name="AutoShape 193">
          <a:extLst>
            <a:ext uri="{FF2B5EF4-FFF2-40B4-BE49-F238E27FC236}">
              <a16:creationId xmlns:a16="http://schemas.microsoft.com/office/drawing/2014/main" id="{0281B6E2-B36C-4866-8310-699D335AE803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13</xdr:row>
      <xdr:rowOff>0</xdr:rowOff>
    </xdr:from>
    <xdr:ext cx="9525" cy="9525"/>
    <xdr:pic>
      <xdr:nvPicPr>
        <xdr:cNvPr id="7245" name="Picture 7244">
          <a:extLst>
            <a:ext uri="{FF2B5EF4-FFF2-40B4-BE49-F238E27FC236}">
              <a16:creationId xmlns:a16="http://schemas.microsoft.com/office/drawing/2014/main" id="{B663E368-463F-4554-B8FB-AA0C7CECE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12</xdr:row>
      <xdr:rowOff>0</xdr:rowOff>
    </xdr:from>
    <xdr:ext cx="304800" cy="303439"/>
    <xdr:sp macro="" textlink="">
      <xdr:nvSpPr>
        <xdr:cNvPr id="7246" name="AutoShape 195">
          <a:extLst>
            <a:ext uri="{FF2B5EF4-FFF2-40B4-BE49-F238E27FC236}">
              <a16:creationId xmlns:a16="http://schemas.microsoft.com/office/drawing/2014/main" id="{EEBA465E-9F0B-450F-9B9D-0225BC5518A6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47" name="Picture 7246">
          <a:extLst>
            <a:ext uri="{FF2B5EF4-FFF2-40B4-BE49-F238E27FC236}">
              <a16:creationId xmlns:a16="http://schemas.microsoft.com/office/drawing/2014/main" id="{5244346F-6B21-4B92-B293-1F5F1E71C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48" name="Picture 7247">
          <a:extLst>
            <a:ext uri="{FF2B5EF4-FFF2-40B4-BE49-F238E27FC236}">
              <a16:creationId xmlns:a16="http://schemas.microsoft.com/office/drawing/2014/main" id="{2C11359A-6AEE-427B-AAA4-0C29A6D0B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3440"/>
    <xdr:sp macro="" textlink="">
      <xdr:nvSpPr>
        <xdr:cNvPr id="7249" name="AutoShape 199">
          <a:extLst>
            <a:ext uri="{FF2B5EF4-FFF2-40B4-BE49-F238E27FC236}">
              <a16:creationId xmlns:a16="http://schemas.microsoft.com/office/drawing/2014/main" id="{966BFD63-B7EC-4F2D-96A4-A3D69A753B0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27</xdr:row>
      <xdr:rowOff>0</xdr:rowOff>
    </xdr:from>
    <xdr:ext cx="9525" cy="9525"/>
    <xdr:pic>
      <xdr:nvPicPr>
        <xdr:cNvPr id="7250" name="Picture 7249">
          <a:extLst>
            <a:ext uri="{FF2B5EF4-FFF2-40B4-BE49-F238E27FC236}">
              <a16:creationId xmlns:a16="http://schemas.microsoft.com/office/drawing/2014/main" id="{F5BA6B26-D1A4-474F-BF94-360D09A5E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51" name="Picture 7250">
          <a:extLst>
            <a:ext uri="{FF2B5EF4-FFF2-40B4-BE49-F238E27FC236}">
              <a16:creationId xmlns:a16="http://schemas.microsoft.com/office/drawing/2014/main" id="{BD46B244-F010-426C-B735-995666D99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3</xdr:row>
      <xdr:rowOff>0</xdr:rowOff>
    </xdr:from>
    <xdr:ext cx="9525" cy="9525"/>
    <xdr:pic>
      <xdr:nvPicPr>
        <xdr:cNvPr id="7252" name="Picture 7251">
          <a:extLst>
            <a:ext uri="{FF2B5EF4-FFF2-40B4-BE49-F238E27FC236}">
              <a16:creationId xmlns:a16="http://schemas.microsoft.com/office/drawing/2014/main" id="{D520C459-B1C2-4D8E-A31E-DA2B42D63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</xdr:row>
      <xdr:rowOff>0</xdr:rowOff>
    </xdr:from>
    <xdr:ext cx="304800" cy="303439"/>
    <xdr:sp macro="" textlink="">
      <xdr:nvSpPr>
        <xdr:cNvPr id="7253" name="AutoShape 203">
          <a:extLst>
            <a:ext uri="{FF2B5EF4-FFF2-40B4-BE49-F238E27FC236}">
              <a16:creationId xmlns:a16="http://schemas.microsoft.com/office/drawing/2014/main" id="{3F46E008-A133-44BF-B105-AC19321E131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9525" cy="9525"/>
    <xdr:pic>
      <xdr:nvPicPr>
        <xdr:cNvPr id="7254" name="Picture 7253">
          <a:extLst>
            <a:ext uri="{FF2B5EF4-FFF2-40B4-BE49-F238E27FC236}">
              <a16:creationId xmlns:a16="http://schemas.microsoft.com/office/drawing/2014/main" id="{FE6C26F5-3626-4B91-AB65-CE67CF7DF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9525" cy="9525"/>
    <xdr:pic>
      <xdr:nvPicPr>
        <xdr:cNvPr id="7255" name="Picture 7254">
          <a:extLst>
            <a:ext uri="{FF2B5EF4-FFF2-40B4-BE49-F238E27FC236}">
              <a16:creationId xmlns:a16="http://schemas.microsoft.com/office/drawing/2014/main" id="{33048E1C-D138-48AB-AAAA-BFD14F6F0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6</xdr:row>
      <xdr:rowOff>0</xdr:rowOff>
    </xdr:from>
    <xdr:ext cx="9525" cy="9525"/>
    <xdr:pic>
      <xdr:nvPicPr>
        <xdr:cNvPr id="7256" name="Picture 7255">
          <a:extLst>
            <a:ext uri="{FF2B5EF4-FFF2-40B4-BE49-F238E27FC236}">
              <a16:creationId xmlns:a16="http://schemas.microsoft.com/office/drawing/2014/main" id="{DF83A982-C26F-4334-B562-8714B028E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7257" name="AutoShape 207">
          <a:extLst>
            <a:ext uri="{FF2B5EF4-FFF2-40B4-BE49-F238E27FC236}">
              <a16:creationId xmlns:a16="http://schemas.microsoft.com/office/drawing/2014/main" id="{F36F9835-D664-42BB-8CBC-D5CE37D7D79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58" name="Picture 7257">
          <a:extLst>
            <a:ext uri="{FF2B5EF4-FFF2-40B4-BE49-F238E27FC236}">
              <a16:creationId xmlns:a16="http://schemas.microsoft.com/office/drawing/2014/main" id="{D9D29BF0-3570-481C-B3AE-EFFE495BA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24</xdr:row>
      <xdr:rowOff>0</xdr:rowOff>
    </xdr:from>
    <xdr:ext cx="304800" cy="304800"/>
    <xdr:sp macro="" textlink="">
      <xdr:nvSpPr>
        <xdr:cNvPr id="7259" name="AutoShape 209">
          <a:extLst>
            <a:ext uri="{FF2B5EF4-FFF2-40B4-BE49-F238E27FC236}">
              <a16:creationId xmlns:a16="http://schemas.microsoft.com/office/drawing/2014/main" id="{6908769C-3699-4A1D-B749-030EE87B874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26</xdr:row>
      <xdr:rowOff>0</xdr:rowOff>
    </xdr:from>
    <xdr:ext cx="9525" cy="9525"/>
    <xdr:pic>
      <xdr:nvPicPr>
        <xdr:cNvPr id="7260" name="Picture 7259">
          <a:extLst>
            <a:ext uri="{FF2B5EF4-FFF2-40B4-BE49-F238E27FC236}">
              <a16:creationId xmlns:a16="http://schemas.microsoft.com/office/drawing/2014/main" id="{3ECD433F-0A25-4F3C-87B8-9258F1F74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25</xdr:row>
      <xdr:rowOff>0</xdr:rowOff>
    </xdr:from>
    <xdr:ext cx="304800" cy="303440"/>
    <xdr:sp macro="" textlink="">
      <xdr:nvSpPr>
        <xdr:cNvPr id="7261" name="AutoShape 211">
          <a:extLst>
            <a:ext uri="{FF2B5EF4-FFF2-40B4-BE49-F238E27FC236}">
              <a16:creationId xmlns:a16="http://schemas.microsoft.com/office/drawing/2014/main" id="{4B2A6118-032D-49FB-A521-95835DF4F53C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62" name="Picture 7261">
          <a:extLst>
            <a:ext uri="{FF2B5EF4-FFF2-40B4-BE49-F238E27FC236}">
              <a16:creationId xmlns:a16="http://schemas.microsoft.com/office/drawing/2014/main" id="{0572417B-A8FD-4B8E-B207-030E0F44B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63" name="Picture 7262">
          <a:extLst>
            <a:ext uri="{FF2B5EF4-FFF2-40B4-BE49-F238E27FC236}">
              <a16:creationId xmlns:a16="http://schemas.microsoft.com/office/drawing/2014/main" id="{6F4619EA-50E8-4E2B-AC9B-D73A48158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64" name="Picture 7263">
          <a:extLst>
            <a:ext uri="{FF2B5EF4-FFF2-40B4-BE49-F238E27FC236}">
              <a16:creationId xmlns:a16="http://schemas.microsoft.com/office/drawing/2014/main" id="{B6726439-DA39-4597-B7CD-2410521BA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65" name="Picture 7264">
          <a:extLst>
            <a:ext uri="{FF2B5EF4-FFF2-40B4-BE49-F238E27FC236}">
              <a16:creationId xmlns:a16="http://schemas.microsoft.com/office/drawing/2014/main" id="{6783FDE5-DE1F-4711-97CE-2D6CE25D8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66" name="Picture 7265">
          <a:extLst>
            <a:ext uri="{FF2B5EF4-FFF2-40B4-BE49-F238E27FC236}">
              <a16:creationId xmlns:a16="http://schemas.microsoft.com/office/drawing/2014/main" id="{478DC93F-2B3C-4E71-B4B1-AC67D7992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267" name="AutoShape 217">
          <a:extLst>
            <a:ext uri="{FF2B5EF4-FFF2-40B4-BE49-F238E27FC236}">
              <a16:creationId xmlns:a16="http://schemas.microsoft.com/office/drawing/2014/main" id="{051D0735-060F-414D-8D3A-E7831A036BE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68" name="Picture 7267">
          <a:extLst>
            <a:ext uri="{FF2B5EF4-FFF2-40B4-BE49-F238E27FC236}">
              <a16:creationId xmlns:a16="http://schemas.microsoft.com/office/drawing/2014/main" id="{BBC4446D-8B5F-4804-AE4E-C57F8082E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269" name="AutoShape 219">
          <a:extLst>
            <a:ext uri="{FF2B5EF4-FFF2-40B4-BE49-F238E27FC236}">
              <a16:creationId xmlns:a16="http://schemas.microsoft.com/office/drawing/2014/main" id="{009B4588-AC6F-40DB-9D6F-FB8173A6A4F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13</xdr:row>
      <xdr:rowOff>0</xdr:rowOff>
    </xdr:from>
    <xdr:ext cx="9525" cy="9525"/>
    <xdr:pic>
      <xdr:nvPicPr>
        <xdr:cNvPr id="7270" name="Picture 7269">
          <a:extLst>
            <a:ext uri="{FF2B5EF4-FFF2-40B4-BE49-F238E27FC236}">
              <a16:creationId xmlns:a16="http://schemas.microsoft.com/office/drawing/2014/main" id="{2401429A-5F54-409E-8AC9-B3E2EFFF7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12</xdr:row>
      <xdr:rowOff>0</xdr:rowOff>
    </xdr:from>
    <xdr:ext cx="304800" cy="303439"/>
    <xdr:sp macro="" textlink="">
      <xdr:nvSpPr>
        <xdr:cNvPr id="7271" name="AutoShape 221">
          <a:extLst>
            <a:ext uri="{FF2B5EF4-FFF2-40B4-BE49-F238E27FC236}">
              <a16:creationId xmlns:a16="http://schemas.microsoft.com/office/drawing/2014/main" id="{558B8ABE-3C15-4637-983B-769E19231755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72" name="Picture 7271">
          <a:extLst>
            <a:ext uri="{FF2B5EF4-FFF2-40B4-BE49-F238E27FC236}">
              <a16:creationId xmlns:a16="http://schemas.microsoft.com/office/drawing/2014/main" id="{47DD5FE2-631F-436B-AE9E-ACC997B6E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13</xdr:row>
      <xdr:rowOff>0</xdr:rowOff>
    </xdr:from>
    <xdr:ext cx="304800" cy="304800"/>
    <xdr:sp macro="" textlink="">
      <xdr:nvSpPr>
        <xdr:cNvPr id="7273" name="AutoShape 223">
          <a:extLst>
            <a:ext uri="{FF2B5EF4-FFF2-40B4-BE49-F238E27FC236}">
              <a16:creationId xmlns:a16="http://schemas.microsoft.com/office/drawing/2014/main" id="{817A0757-FFE0-414B-A697-F9B7102B9DE5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74" name="Picture 7273">
          <a:extLst>
            <a:ext uri="{FF2B5EF4-FFF2-40B4-BE49-F238E27FC236}">
              <a16:creationId xmlns:a16="http://schemas.microsoft.com/office/drawing/2014/main" id="{62F6A3FD-D992-4927-B0C6-07B1DA63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27</xdr:row>
      <xdr:rowOff>0</xdr:rowOff>
    </xdr:from>
    <xdr:ext cx="9525" cy="9525"/>
    <xdr:pic>
      <xdr:nvPicPr>
        <xdr:cNvPr id="7275" name="Picture 7274">
          <a:extLst>
            <a:ext uri="{FF2B5EF4-FFF2-40B4-BE49-F238E27FC236}">
              <a16:creationId xmlns:a16="http://schemas.microsoft.com/office/drawing/2014/main" id="{2A4438E2-92C8-4E10-9460-FE6A2FFBD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3</xdr:row>
      <xdr:rowOff>0</xdr:rowOff>
    </xdr:from>
    <xdr:ext cx="9525" cy="9525"/>
    <xdr:pic>
      <xdr:nvPicPr>
        <xdr:cNvPr id="7276" name="Picture 7275">
          <a:extLst>
            <a:ext uri="{FF2B5EF4-FFF2-40B4-BE49-F238E27FC236}">
              <a16:creationId xmlns:a16="http://schemas.microsoft.com/office/drawing/2014/main" id="{9C1EF19A-AEB5-474C-BFF4-5F5B26737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</xdr:row>
      <xdr:rowOff>0</xdr:rowOff>
    </xdr:from>
    <xdr:ext cx="304800" cy="303439"/>
    <xdr:sp macro="" textlink="">
      <xdr:nvSpPr>
        <xdr:cNvPr id="7277" name="AutoShape 227">
          <a:extLst>
            <a:ext uri="{FF2B5EF4-FFF2-40B4-BE49-F238E27FC236}">
              <a16:creationId xmlns:a16="http://schemas.microsoft.com/office/drawing/2014/main" id="{B145B5D0-20E8-46CC-9DFB-B5F6D5D0474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9525" cy="9525"/>
    <xdr:pic>
      <xdr:nvPicPr>
        <xdr:cNvPr id="7278" name="Picture 7277">
          <a:extLst>
            <a:ext uri="{FF2B5EF4-FFF2-40B4-BE49-F238E27FC236}">
              <a16:creationId xmlns:a16="http://schemas.microsoft.com/office/drawing/2014/main" id="{871F70B2-F767-46A5-8553-6A6C60E49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9525" cy="9525"/>
    <xdr:pic>
      <xdr:nvPicPr>
        <xdr:cNvPr id="7279" name="Picture 7278">
          <a:extLst>
            <a:ext uri="{FF2B5EF4-FFF2-40B4-BE49-F238E27FC236}">
              <a16:creationId xmlns:a16="http://schemas.microsoft.com/office/drawing/2014/main" id="{1A53E8DE-14C5-47CE-BEA3-A5A724102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6</xdr:row>
      <xdr:rowOff>0</xdr:rowOff>
    </xdr:from>
    <xdr:ext cx="9525" cy="9525"/>
    <xdr:pic>
      <xdr:nvPicPr>
        <xdr:cNvPr id="7280" name="Picture 7279">
          <a:extLst>
            <a:ext uri="{FF2B5EF4-FFF2-40B4-BE49-F238E27FC236}">
              <a16:creationId xmlns:a16="http://schemas.microsoft.com/office/drawing/2014/main" id="{15362419-7884-4EBF-9D10-CBE7A14E9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7281" name="AutoShape 231">
          <a:extLst>
            <a:ext uri="{FF2B5EF4-FFF2-40B4-BE49-F238E27FC236}">
              <a16:creationId xmlns:a16="http://schemas.microsoft.com/office/drawing/2014/main" id="{E3032366-4D6A-4DDA-8580-D3897D2505F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82" name="Picture 7281">
          <a:extLst>
            <a:ext uri="{FF2B5EF4-FFF2-40B4-BE49-F238E27FC236}">
              <a16:creationId xmlns:a16="http://schemas.microsoft.com/office/drawing/2014/main" id="{16507884-696F-40F7-8F4A-E30D4460C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24</xdr:row>
      <xdr:rowOff>0</xdr:rowOff>
    </xdr:from>
    <xdr:ext cx="304800" cy="304800"/>
    <xdr:sp macro="" textlink="">
      <xdr:nvSpPr>
        <xdr:cNvPr id="7283" name="AutoShape 233">
          <a:extLst>
            <a:ext uri="{FF2B5EF4-FFF2-40B4-BE49-F238E27FC236}">
              <a16:creationId xmlns:a16="http://schemas.microsoft.com/office/drawing/2014/main" id="{DB985DBA-5030-47C7-8446-ACFBDCF6AE2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26</xdr:row>
      <xdr:rowOff>0</xdr:rowOff>
    </xdr:from>
    <xdr:ext cx="9525" cy="9525"/>
    <xdr:pic>
      <xdr:nvPicPr>
        <xdr:cNvPr id="7284" name="Picture 7283">
          <a:extLst>
            <a:ext uri="{FF2B5EF4-FFF2-40B4-BE49-F238E27FC236}">
              <a16:creationId xmlns:a16="http://schemas.microsoft.com/office/drawing/2014/main" id="{658A2842-1BA0-4C3E-84AF-EC72BBE7A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25</xdr:row>
      <xdr:rowOff>0</xdr:rowOff>
    </xdr:from>
    <xdr:ext cx="304800" cy="303440"/>
    <xdr:sp macro="" textlink="">
      <xdr:nvSpPr>
        <xdr:cNvPr id="7285" name="AutoShape 235">
          <a:extLst>
            <a:ext uri="{FF2B5EF4-FFF2-40B4-BE49-F238E27FC236}">
              <a16:creationId xmlns:a16="http://schemas.microsoft.com/office/drawing/2014/main" id="{B65E92EE-26CD-44E5-B931-C258D2986EB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86" name="Picture 7285">
          <a:extLst>
            <a:ext uri="{FF2B5EF4-FFF2-40B4-BE49-F238E27FC236}">
              <a16:creationId xmlns:a16="http://schemas.microsoft.com/office/drawing/2014/main" id="{6A125015-9397-425E-AAE9-7808376F5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87" name="Picture 7286">
          <a:extLst>
            <a:ext uri="{FF2B5EF4-FFF2-40B4-BE49-F238E27FC236}">
              <a16:creationId xmlns:a16="http://schemas.microsoft.com/office/drawing/2014/main" id="{D4439EF5-B30B-4760-96A5-9B2B5B4A0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88" name="Picture 7287">
          <a:extLst>
            <a:ext uri="{FF2B5EF4-FFF2-40B4-BE49-F238E27FC236}">
              <a16:creationId xmlns:a16="http://schemas.microsoft.com/office/drawing/2014/main" id="{E6F867D8-DE54-4502-A97C-7B1BC3D6B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89" name="Picture 7288">
          <a:extLst>
            <a:ext uri="{FF2B5EF4-FFF2-40B4-BE49-F238E27FC236}">
              <a16:creationId xmlns:a16="http://schemas.microsoft.com/office/drawing/2014/main" id="{5BCB5CA6-1F81-4078-A14C-FCFFCD3D7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90" name="Picture 7289">
          <a:extLst>
            <a:ext uri="{FF2B5EF4-FFF2-40B4-BE49-F238E27FC236}">
              <a16:creationId xmlns:a16="http://schemas.microsoft.com/office/drawing/2014/main" id="{34C39541-A6F8-4A36-BF85-DB6B5EA19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291" name="AutoShape 241">
          <a:extLst>
            <a:ext uri="{FF2B5EF4-FFF2-40B4-BE49-F238E27FC236}">
              <a16:creationId xmlns:a16="http://schemas.microsoft.com/office/drawing/2014/main" id="{749985FD-C8D2-4027-995C-3EC522168ED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92" name="Picture 7291">
          <a:extLst>
            <a:ext uri="{FF2B5EF4-FFF2-40B4-BE49-F238E27FC236}">
              <a16:creationId xmlns:a16="http://schemas.microsoft.com/office/drawing/2014/main" id="{C851F298-5C09-43D3-A2B4-0C08D5A0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293" name="AutoShape 243">
          <a:extLst>
            <a:ext uri="{FF2B5EF4-FFF2-40B4-BE49-F238E27FC236}">
              <a16:creationId xmlns:a16="http://schemas.microsoft.com/office/drawing/2014/main" id="{DBD6FC60-8579-428F-BBEF-FD490781022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13</xdr:row>
      <xdr:rowOff>0</xdr:rowOff>
    </xdr:from>
    <xdr:ext cx="9525" cy="9525"/>
    <xdr:pic>
      <xdr:nvPicPr>
        <xdr:cNvPr id="7294" name="Picture 7293">
          <a:extLst>
            <a:ext uri="{FF2B5EF4-FFF2-40B4-BE49-F238E27FC236}">
              <a16:creationId xmlns:a16="http://schemas.microsoft.com/office/drawing/2014/main" id="{31A145A0-C48E-447F-98E1-E6323DC02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12</xdr:row>
      <xdr:rowOff>0</xdr:rowOff>
    </xdr:from>
    <xdr:ext cx="304800" cy="303439"/>
    <xdr:sp macro="" textlink="">
      <xdr:nvSpPr>
        <xdr:cNvPr id="7295" name="AutoShape 245">
          <a:extLst>
            <a:ext uri="{FF2B5EF4-FFF2-40B4-BE49-F238E27FC236}">
              <a16:creationId xmlns:a16="http://schemas.microsoft.com/office/drawing/2014/main" id="{DE2826A2-DC7F-47BB-B90D-ACA277FA570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96" name="Picture 7295">
          <a:extLst>
            <a:ext uri="{FF2B5EF4-FFF2-40B4-BE49-F238E27FC236}">
              <a16:creationId xmlns:a16="http://schemas.microsoft.com/office/drawing/2014/main" id="{0651D884-6EC6-4F7E-88D2-25EE2935A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13</xdr:row>
      <xdr:rowOff>0</xdr:rowOff>
    </xdr:from>
    <xdr:ext cx="304800" cy="304800"/>
    <xdr:sp macro="" textlink="">
      <xdr:nvSpPr>
        <xdr:cNvPr id="7297" name="AutoShape 247">
          <a:extLst>
            <a:ext uri="{FF2B5EF4-FFF2-40B4-BE49-F238E27FC236}">
              <a16:creationId xmlns:a16="http://schemas.microsoft.com/office/drawing/2014/main" id="{FED39878-4EDC-4DEE-8641-F605795FD4AF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298" name="Picture 7297">
          <a:extLst>
            <a:ext uri="{FF2B5EF4-FFF2-40B4-BE49-F238E27FC236}">
              <a16:creationId xmlns:a16="http://schemas.microsoft.com/office/drawing/2014/main" id="{46CDB266-0F71-460E-A706-ACED8F1BD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3440"/>
    <xdr:sp macro="" textlink="">
      <xdr:nvSpPr>
        <xdr:cNvPr id="7299" name="AutoShape 249">
          <a:extLst>
            <a:ext uri="{FF2B5EF4-FFF2-40B4-BE49-F238E27FC236}">
              <a16:creationId xmlns:a16="http://schemas.microsoft.com/office/drawing/2014/main" id="{D1794895-884A-4B8D-8E23-A8376BBEE21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27</xdr:row>
      <xdr:rowOff>0</xdr:rowOff>
    </xdr:from>
    <xdr:ext cx="9525" cy="9525"/>
    <xdr:pic>
      <xdr:nvPicPr>
        <xdr:cNvPr id="7300" name="Picture 7299">
          <a:extLst>
            <a:ext uri="{FF2B5EF4-FFF2-40B4-BE49-F238E27FC236}">
              <a16:creationId xmlns:a16="http://schemas.microsoft.com/office/drawing/2014/main" id="{723EC306-91F1-4F64-9293-6596C2127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01" name="Picture 7300">
          <a:extLst>
            <a:ext uri="{FF2B5EF4-FFF2-40B4-BE49-F238E27FC236}">
              <a16:creationId xmlns:a16="http://schemas.microsoft.com/office/drawing/2014/main" id="{13FFF165-3E00-4BE9-B105-D07C5A6D6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3</xdr:row>
      <xdr:rowOff>0</xdr:rowOff>
    </xdr:from>
    <xdr:ext cx="9525" cy="9525"/>
    <xdr:pic>
      <xdr:nvPicPr>
        <xdr:cNvPr id="7302" name="Picture 7301">
          <a:extLst>
            <a:ext uri="{FF2B5EF4-FFF2-40B4-BE49-F238E27FC236}">
              <a16:creationId xmlns:a16="http://schemas.microsoft.com/office/drawing/2014/main" id="{38C7B2B1-4B65-40AB-B6AC-E3CAF00F6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</xdr:row>
      <xdr:rowOff>0</xdr:rowOff>
    </xdr:from>
    <xdr:ext cx="304800" cy="303439"/>
    <xdr:sp macro="" textlink="">
      <xdr:nvSpPr>
        <xdr:cNvPr id="7303" name="AutoShape 253">
          <a:extLst>
            <a:ext uri="{FF2B5EF4-FFF2-40B4-BE49-F238E27FC236}">
              <a16:creationId xmlns:a16="http://schemas.microsoft.com/office/drawing/2014/main" id="{9AA614C2-256E-4CC2-A8FA-9E565BA4E1D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9525" cy="9525"/>
    <xdr:pic>
      <xdr:nvPicPr>
        <xdr:cNvPr id="7304" name="Picture 7303">
          <a:extLst>
            <a:ext uri="{FF2B5EF4-FFF2-40B4-BE49-F238E27FC236}">
              <a16:creationId xmlns:a16="http://schemas.microsoft.com/office/drawing/2014/main" id="{BBCEEB13-5D15-4EA0-B3A3-E26C8782F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9525" cy="9525"/>
    <xdr:pic>
      <xdr:nvPicPr>
        <xdr:cNvPr id="7305" name="Picture 7304">
          <a:extLst>
            <a:ext uri="{FF2B5EF4-FFF2-40B4-BE49-F238E27FC236}">
              <a16:creationId xmlns:a16="http://schemas.microsoft.com/office/drawing/2014/main" id="{E91CFC26-6F4F-4928-9039-420778FD5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6</xdr:row>
      <xdr:rowOff>0</xdr:rowOff>
    </xdr:from>
    <xdr:ext cx="9525" cy="9525"/>
    <xdr:pic>
      <xdr:nvPicPr>
        <xdr:cNvPr id="7306" name="Picture 7305">
          <a:extLst>
            <a:ext uri="{FF2B5EF4-FFF2-40B4-BE49-F238E27FC236}">
              <a16:creationId xmlns:a16="http://schemas.microsoft.com/office/drawing/2014/main" id="{9C762409-DC78-4011-902B-E3A690A3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7307" name="AutoShape 257">
          <a:extLst>
            <a:ext uri="{FF2B5EF4-FFF2-40B4-BE49-F238E27FC236}">
              <a16:creationId xmlns:a16="http://schemas.microsoft.com/office/drawing/2014/main" id="{042991C5-E3E4-4134-9726-D8207B750B0B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08" name="Picture 7307">
          <a:extLst>
            <a:ext uri="{FF2B5EF4-FFF2-40B4-BE49-F238E27FC236}">
              <a16:creationId xmlns:a16="http://schemas.microsoft.com/office/drawing/2014/main" id="{56709003-CD16-4B0C-92F3-1B7AF2CE9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24</xdr:row>
      <xdr:rowOff>0</xdr:rowOff>
    </xdr:from>
    <xdr:ext cx="304800" cy="304800"/>
    <xdr:sp macro="" textlink="">
      <xdr:nvSpPr>
        <xdr:cNvPr id="7309" name="AutoShape 259">
          <a:extLst>
            <a:ext uri="{FF2B5EF4-FFF2-40B4-BE49-F238E27FC236}">
              <a16:creationId xmlns:a16="http://schemas.microsoft.com/office/drawing/2014/main" id="{912B3254-08A5-4779-A55E-A8C6BE49942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26</xdr:row>
      <xdr:rowOff>0</xdr:rowOff>
    </xdr:from>
    <xdr:ext cx="9525" cy="9525"/>
    <xdr:pic>
      <xdr:nvPicPr>
        <xdr:cNvPr id="7310" name="Picture 7309">
          <a:extLst>
            <a:ext uri="{FF2B5EF4-FFF2-40B4-BE49-F238E27FC236}">
              <a16:creationId xmlns:a16="http://schemas.microsoft.com/office/drawing/2014/main" id="{099CAA58-671F-4ADF-9025-087AC985E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25</xdr:row>
      <xdr:rowOff>0</xdr:rowOff>
    </xdr:from>
    <xdr:ext cx="304800" cy="303440"/>
    <xdr:sp macro="" textlink="">
      <xdr:nvSpPr>
        <xdr:cNvPr id="7311" name="AutoShape 261">
          <a:extLst>
            <a:ext uri="{FF2B5EF4-FFF2-40B4-BE49-F238E27FC236}">
              <a16:creationId xmlns:a16="http://schemas.microsoft.com/office/drawing/2014/main" id="{FCB0E3B8-985B-4A4D-94AC-E9312E26A53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12" name="Picture 7311">
          <a:extLst>
            <a:ext uri="{FF2B5EF4-FFF2-40B4-BE49-F238E27FC236}">
              <a16:creationId xmlns:a16="http://schemas.microsoft.com/office/drawing/2014/main" id="{2210E6D9-F74F-44AC-B8BD-2D0E5238A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13" name="Picture 7312">
          <a:extLst>
            <a:ext uri="{FF2B5EF4-FFF2-40B4-BE49-F238E27FC236}">
              <a16:creationId xmlns:a16="http://schemas.microsoft.com/office/drawing/2014/main" id="{EA9CF60A-3C42-4860-8863-2C9DC5C54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14" name="Picture 7313">
          <a:extLst>
            <a:ext uri="{FF2B5EF4-FFF2-40B4-BE49-F238E27FC236}">
              <a16:creationId xmlns:a16="http://schemas.microsoft.com/office/drawing/2014/main" id="{78F31D1D-089B-45A6-BE3E-705DB2240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15" name="Picture 7314">
          <a:extLst>
            <a:ext uri="{FF2B5EF4-FFF2-40B4-BE49-F238E27FC236}">
              <a16:creationId xmlns:a16="http://schemas.microsoft.com/office/drawing/2014/main" id="{2E20DC55-CB7C-4D97-9397-1D512724E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16" name="Picture 7315">
          <a:extLst>
            <a:ext uri="{FF2B5EF4-FFF2-40B4-BE49-F238E27FC236}">
              <a16:creationId xmlns:a16="http://schemas.microsoft.com/office/drawing/2014/main" id="{EFF9E518-882A-48DB-A198-AFF3C5FB6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317" name="AutoShape 267">
          <a:extLst>
            <a:ext uri="{FF2B5EF4-FFF2-40B4-BE49-F238E27FC236}">
              <a16:creationId xmlns:a16="http://schemas.microsoft.com/office/drawing/2014/main" id="{59D116AE-3BC1-4E92-A001-D5B61CCCE8C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18" name="Picture 7317">
          <a:extLst>
            <a:ext uri="{FF2B5EF4-FFF2-40B4-BE49-F238E27FC236}">
              <a16:creationId xmlns:a16="http://schemas.microsoft.com/office/drawing/2014/main" id="{9E2A36D7-80BA-41C3-991B-0CC240510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319" name="AutoShape 269">
          <a:extLst>
            <a:ext uri="{FF2B5EF4-FFF2-40B4-BE49-F238E27FC236}">
              <a16:creationId xmlns:a16="http://schemas.microsoft.com/office/drawing/2014/main" id="{8FEE5736-AC98-466C-BFEA-B62D5B1C615F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13</xdr:row>
      <xdr:rowOff>0</xdr:rowOff>
    </xdr:from>
    <xdr:ext cx="9525" cy="9525"/>
    <xdr:pic>
      <xdr:nvPicPr>
        <xdr:cNvPr id="7320" name="Picture 7319">
          <a:extLst>
            <a:ext uri="{FF2B5EF4-FFF2-40B4-BE49-F238E27FC236}">
              <a16:creationId xmlns:a16="http://schemas.microsoft.com/office/drawing/2014/main" id="{6F37AC2D-FA2B-4614-903B-AD16AB765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12</xdr:row>
      <xdr:rowOff>0</xdr:rowOff>
    </xdr:from>
    <xdr:ext cx="304800" cy="303439"/>
    <xdr:sp macro="" textlink="">
      <xdr:nvSpPr>
        <xdr:cNvPr id="7321" name="AutoShape 271">
          <a:extLst>
            <a:ext uri="{FF2B5EF4-FFF2-40B4-BE49-F238E27FC236}">
              <a16:creationId xmlns:a16="http://schemas.microsoft.com/office/drawing/2014/main" id="{D76D3417-4737-4F0B-A35B-0242BAAEC15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22" name="Picture 7321">
          <a:extLst>
            <a:ext uri="{FF2B5EF4-FFF2-40B4-BE49-F238E27FC236}">
              <a16:creationId xmlns:a16="http://schemas.microsoft.com/office/drawing/2014/main" id="{9F7E2D40-D31E-4DEC-9306-6FCBF5EEA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13</xdr:row>
      <xdr:rowOff>0</xdr:rowOff>
    </xdr:from>
    <xdr:ext cx="304800" cy="304800"/>
    <xdr:sp macro="" textlink="">
      <xdr:nvSpPr>
        <xdr:cNvPr id="7323" name="AutoShape 273">
          <a:extLst>
            <a:ext uri="{FF2B5EF4-FFF2-40B4-BE49-F238E27FC236}">
              <a16:creationId xmlns:a16="http://schemas.microsoft.com/office/drawing/2014/main" id="{084B23E2-B7FA-4BDC-B6F4-473757065E06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24" name="Picture 7323">
          <a:extLst>
            <a:ext uri="{FF2B5EF4-FFF2-40B4-BE49-F238E27FC236}">
              <a16:creationId xmlns:a16="http://schemas.microsoft.com/office/drawing/2014/main" id="{5FFB8932-B47B-4E72-BF59-87FFA2EDA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3440"/>
    <xdr:sp macro="" textlink="">
      <xdr:nvSpPr>
        <xdr:cNvPr id="7325" name="AutoShape 275">
          <a:extLst>
            <a:ext uri="{FF2B5EF4-FFF2-40B4-BE49-F238E27FC236}">
              <a16:creationId xmlns:a16="http://schemas.microsoft.com/office/drawing/2014/main" id="{4046668B-9A7E-49CC-BD95-6E9B2B47AE9F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27</xdr:row>
      <xdr:rowOff>0</xdr:rowOff>
    </xdr:from>
    <xdr:ext cx="9525" cy="9525"/>
    <xdr:pic>
      <xdr:nvPicPr>
        <xdr:cNvPr id="7326" name="Picture 7325">
          <a:extLst>
            <a:ext uri="{FF2B5EF4-FFF2-40B4-BE49-F238E27FC236}">
              <a16:creationId xmlns:a16="http://schemas.microsoft.com/office/drawing/2014/main" id="{CD48A886-DC13-4096-9EF7-F5AE48A8E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27" name="Picture 7326">
          <a:extLst>
            <a:ext uri="{FF2B5EF4-FFF2-40B4-BE49-F238E27FC236}">
              <a16:creationId xmlns:a16="http://schemas.microsoft.com/office/drawing/2014/main" id="{A40218F0-2DD5-4456-93D5-1AA05DF33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3</xdr:row>
      <xdr:rowOff>0</xdr:rowOff>
    </xdr:from>
    <xdr:ext cx="9525" cy="9525"/>
    <xdr:pic>
      <xdr:nvPicPr>
        <xdr:cNvPr id="7328" name="Picture 7327">
          <a:extLst>
            <a:ext uri="{FF2B5EF4-FFF2-40B4-BE49-F238E27FC236}">
              <a16:creationId xmlns:a16="http://schemas.microsoft.com/office/drawing/2014/main" id="{D795B032-49DE-415E-8CBA-3411A607A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</xdr:row>
      <xdr:rowOff>0</xdr:rowOff>
    </xdr:from>
    <xdr:ext cx="304800" cy="303439"/>
    <xdr:sp macro="" textlink="">
      <xdr:nvSpPr>
        <xdr:cNvPr id="7329" name="AutoShape 305">
          <a:extLst>
            <a:ext uri="{FF2B5EF4-FFF2-40B4-BE49-F238E27FC236}">
              <a16:creationId xmlns:a16="http://schemas.microsoft.com/office/drawing/2014/main" id="{493818F8-5E97-471E-9CE1-225D74B3A8D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9525" cy="9525"/>
    <xdr:pic>
      <xdr:nvPicPr>
        <xdr:cNvPr id="7330" name="Picture 7329">
          <a:extLst>
            <a:ext uri="{FF2B5EF4-FFF2-40B4-BE49-F238E27FC236}">
              <a16:creationId xmlns:a16="http://schemas.microsoft.com/office/drawing/2014/main" id="{0DED0E74-C885-4FA8-9918-03BEA7988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9525" cy="9525"/>
    <xdr:pic>
      <xdr:nvPicPr>
        <xdr:cNvPr id="7331" name="Picture 7330">
          <a:extLst>
            <a:ext uri="{FF2B5EF4-FFF2-40B4-BE49-F238E27FC236}">
              <a16:creationId xmlns:a16="http://schemas.microsoft.com/office/drawing/2014/main" id="{3CEEFD9A-5DDE-4817-A114-B0972D084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6</xdr:row>
      <xdr:rowOff>0</xdr:rowOff>
    </xdr:from>
    <xdr:ext cx="9525" cy="9525"/>
    <xdr:pic>
      <xdr:nvPicPr>
        <xdr:cNvPr id="7332" name="Picture 7331">
          <a:extLst>
            <a:ext uri="{FF2B5EF4-FFF2-40B4-BE49-F238E27FC236}">
              <a16:creationId xmlns:a16="http://schemas.microsoft.com/office/drawing/2014/main" id="{355DE011-27E4-4342-867B-D4ED21F30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7333" name="AutoShape 309">
          <a:extLst>
            <a:ext uri="{FF2B5EF4-FFF2-40B4-BE49-F238E27FC236}">
              <a16:creationId xmlns:a16="http://schemas.microsoft.com/office/drawing/2014/main" id="{0366057E-9696-4298-B583-561DE02F4825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34" name="Picture 7333">
          <a:extLst>
            <a:ext uri="{FF2B5EF4-FFF2-40B4-BE49-F238E27FC236}">
              <a16:creationId xmlns:a16="http://schemas.microsoft.com/office/drawing/2014/main" id="{E4989F97-8E59-4714-B53A-EDD8CE355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24</xdr:row>
      <xdr:rowOff>0</xdr:rowOff>
    </xdr:from>
    <xdr:ext cx="304800" cy="304800"/>
    <xdr:sp macro="" textlink="">
      <xdr:nvSpPr>
        <xdr:cNvPr id="7335" name="AutoShape 311">
          <a:extLst>
            <a:ext uri="{FF2B5EF4-FFF2-40B4-BE49-F238E27FC236}">
              <a16:creationId xmlns:a16="http://schemas.microsoft.com/office/drawing/2014/main" id="{C36E0834-DBDE-4AA6-8395-4BC39B451F3B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26</xdr:row>
      <xdr:rowOff>0</xdr:rowOff>
    </xdr:from>
    <xdr:ext cx="9525" cy="9525"/>
    <xdr:pic>
      <xdr:nvPicPr>
        <xdr:cNvPr id="7336" name="Picture 7335">
          <a:extLst>
            <a:ext uri="{FF2B5EF4-FFF2-40B4-BE49-F238E27FC236}">
              <a16:creationId xmlns:a16="http://schemas.microsoft.com/office/drawing/2014/main" id="{C596F45A-3FC8-496D-8CBF-56E20C6AA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25</xdr:row>
      <xdr:rowOff>0</xdr:rowOff>
    </xdr:from>
    <xdr:ext cx="304800" cy="303440"/>
    <xdr:sp macro="" textlink="">
      <xdr:nvSpPr>
        <xdr:cNvPr id="7337" name="AutoShape 313">
          <a:extLst>
            <a:ext uri="{FF2B5EF4-FFF2-40B4-BE49-F238E27FC236}">
              <a16:creationId xmlns:a16="http://schemas.microsoft.com/office/drawing/2014/main" id="{091687F2-276B-4DFD-9C0B-30F62B0ED882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38" name="Picture 7337">
          <a:extLst>
            <a:ext uri="{FF2B5EF4-FFF2-40B4-BE49-F238E27FC236}">
              <a16:creationId xmlns:a16="http://schemas.microsoft.com/office/drawing/2014/main" id="{58A289D7-B35D-40D9-878B-3221EC98A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39" name="Picture 7338">
          <a:extLst>
            <a:ext uri="{FF2B5EF4-FFF2-40B4-BE49-F238E27FC236}">
              <a16:creationId xmlns:a16="http://schemas.microsoft.com/office/drawing/2014/main" id="{5E3E3D65-5609-4A15-B4C3-CEA4CF1C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40" name="Picture 7339">
          <a:extLst>
            <a:ext uri="{FF2B5EF4-FFF2-40B4-BE49-F238E27FC236}">
              <a16:creationId xmlns:a16="http://schemas.microsoft.com/office/drawing/2014/main" id="{D1807AB5-0A84-4EA6-97B8-1FB25863D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41" name="Picture 7340">
          <a:extLst>
            <a:ext uri="{FF2B5EF4-FFF2-40B4-BE49-F238E27FC236}">
              <a16:creationId xmlns:a16="http://schemas.microsoft.com/office/drawing/2014/main" id="{39A61E4D-E81E-48C9-88AC-3C214CA3C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42" name="Picture 7341">
          <a:extLst>
            <a:ext uri="{FF2B5EF4-FFF2-40B4-BE49-F238E27FC236}">
              <a16:creationId xmlns:a16="http://schemas.microsoft.com/office/drawing/2014/main" id="{D3D8C8E9-F114-45D6-9145-738694E28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343" name="AutoShape 319">
          <a:extLst>
            <a:ext uri="{FF2B5EF4-FFF2-40B4-BE49-F238E27FC236}">
              <a16:creationId xmlns:a16="http://schemas.microsoft.com/office/drawing/2014/main" id="{407D8E5D-269D-4B38-9DBB-2CFC5F1E7B52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44" name="Picture 7343">
          <a:extLst>
            <a:ext uri="{FF2B5EF4-FFF2-40B4-BE49-F238E27FC236}">
              <a16:creationId xmlns:a16="http://schemas.microsoft.com/office/drawing/2014/main" id="{75237737-CD25-4711-9CD6-9062CBB70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345" name="AutoShape 321">
          <a:extLst>
            <a:ext uri="{FF2B5EF4-FFF2-40B4-BE49-F238E27FC236}">
              <a16:creationId xmlns:a16="http://schemas.microsoft.com/office/drawing/2014/main" id="{8D535ACD-9BF5-45D8-A06E-0DE6C2B54C73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13</xdr:row>
      <xdr:rowOff>0</xdr:rowOff>
    </xdr:from>
    <xdr:ext cx="9525" cy="9525"/>
    <xdr:pic>
      <xdr:nvPicPr>
        <xdr:cNvPr id="7346" name="Picture 7345">
          <a:extLst>
            <a:ext uri="{FF2B5EF4-FFF2-40B4-BE49-F238E27FC236}">
              <a16:creationId xmlns:a16="http://schemas.microsoft.com/office/drawing/2014/main" id="{8355C862-4B0A-4B9D-A7C7-13BF0415E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12</xdr:row>
      <xdr:rowOff>0</xdr:rowOff>
    </xdr:from>
    <xdr:ext cx="304800" cy="303439"/>
    <xdr:sp macro="" textlink="">
      <xdr:nvSpPr>
        <xdr:cNvPr id="7347" name="AutoShape 323">
          <a:extLst>
            <a:ext uri="{FF2B5EF4-FFF2-40B4-BE49-F238E27FC236}">
              <a16:creationId xmlns:a16="http://schemas.microsoft.com/office/drawing/2014/main" id="{2F058C07-C6A0-4DE8-B648-2B2E222F270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48" name="Picture 7347">
          <a:extLst>
            <a:ext uri="{FF2B5EF4-FFF2-40B4-BE49-F238E27FC236}">
              <a16:creationId xmlns:a16="http://schemas.microsoft.com/office/drawing/2014/main" id="{6F798426-E21D-4089-9E53-69789CFD2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13</xdr:row>
      <xdr:rowOff>0</xdr:rowOff>
    </xdr:from>
    <xdr:ext cx="304800" cy="304800"/>
    <xdr:sp macro="" textlink="">
      <xdr:nvSpPr>
        <xdr:cNvPr id="7349" name="AutoShape 325">
          <a:extLst>
            <a:ext uri="{FF2B5EF4-FFF2-40B4-BE49-F238E27FC236}">
              <a16:creationId xmlns:a16="http://schemas.microsoft.com/office/drawing/2014/main" id="{9DB1CF08-AA69-425D-B76D-D6EE70BE2CEF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50" name="Picture 7349">
          <a:extLst>
            <a:ext uri="{FF2B5EF4-FFF2-40B4-BE49-F238E27FC236}">
              <a16:creationId xmlns:a16="http://schemas.microsoft.com/office/drawing/2014/main" id="{C3CD8110-5E05-497C-8601-6898BF8C7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3440"/>
    <xdr:sp macro="" textlink="">
      <xdr:nvSpPr>
        <xdr:cNvPr id="7351" name="AutoShape 327">
          <a:extLst>
            <a:ext uri="{FF2B5EF4-FFF2-40B4-BE49-F238E27FC236}">
              <a16:creationId xmlns:a16="http://schemas.microsoft.com/office/drawing/2014/main" id="{99C9CC97-A1BB-4EA1-8AA4-B2E0669E297C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27</xdr:row>
      <xdr:rowOff>0</xdr:rowOff>
    </xdr:from>
    <xdr:ext cx="9525" cy="9525"/>
    <xdr:pic>
      <xdr:nvPicPr>
        <xdr:cNvPr id="7352" name="Picture 7351">
          <a:extLst>
            <a:ext uri="{FF2B5EF4-FFF2-40B4-BE49-F238E27FC236}">
              <a16:creationId xmlns:a16="http://schemas.microsoft.com/office/drawing/2014/main" id="{74C9FEB4-597A-4DF9-BA90-4F7E285F8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53" name="Picture 7352">
          <a:extLst>
            <a:ext uri="{FF2B5EF4-FFF2-40B4-BE49-F238E27FC236}">
              <a16:creationId xmlns:a16="http://schemas.microsoft.com/office/drawing/2014/main" id="{501E7EB0-98A6-42E0-AA05-E24DC4901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3</xdr:row>
      <xdr:rowOff>0</xdr:rowOff>
    </xdr:from>
    <xdr:ext cx="9525" cy="9525"/>
    <xdr:pic>
      <xdr:nvPicPr>
        <xdr:cNvPr id="7354" name="Picture 7353">
          <a:extLst>
            <a:ext uri="{FF2B5EF4-FFF2-40B4-BE49-F238E27FC236}">
              <a16:creationId xmlns:a16="http://schemas.microsoft.com/office/drawing/2014/main" id="{1E290F99-DC97-4C66-AD2E-A09E91D19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</xdr:row>
      <xdr:rowOff>0</xdr:rowOff>
    </xdr:from>
    <xdr:ext cx="304800" cy="303439"/>
    <xdr:sp macro="" textlink="">
      <xdr:nvSpPr>
        <xdr:cNvPr id="7355" name="AutoShape 357">
          <a:extLst>
            <a:ext uri="{FF2B5EF4-FFF2-40B4-BE49-F238E27FC236}">
              <a16:creationId xmlns:a16="http://schemas.microsoft.com/office/drawing/2014/main" id="{ED23AE3D-6C50-4B58-935F-CB923846EB6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9525" cy="9525"/>
    <xdr:pic>
      <xdr:nvPicPr>
        <xdr:cNvPr id="7356" name="Picture 7355">
          <a:extLst>
            <a:ext uri="{FF2B5EF4-FFF2-40B4-BE49-F238E27FC236}">
              <a16:creationId xmlns:a16="http://schemas.microsoft.com/office/drawing/2014/main" id="{7BF8B0A5-F339-482F-A0C6-AA6E41043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9525" cy="9525"/>
    <xdr:pic>
      <xdr:nvPicPr>
        <xdr:cNvPr id="7357" name="Picture 7356">
          <a:extLst>
            <a:ext uri="{FF2B5EF4-FFF2-40B4-BE49-F238E27FC236}">
              <a16:creationId xmlns:a16="http://schemas.microsoft.com/office/drawing/2014/main" id="{647FBA5F-4A8E-4541-BA67-BCE5677BE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6</xdr:row>
      <xdr:rowOff>0</xdr:rowOff>
    </xdr:from>
    <xdr:ext cx="9525" cy="9525"/>
    <xdr:pic>
      <xdr:nvPicPr>
        <xdr:cNvPr id="7358" name="Picture 7357">
          <a:extLst>
            <a:ext uri="{FF2B5EF4-FFF2-40B4-BE49-F238E27FC236}">
              <a16:creationId xmlns:a16="http://schemas.microsoft.com/office/drawing/2014/main" id="{CCDED6D0-1B87-4665-BFCA-92875C41B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7359" name="AutoShape 361">
          <a:extLst>
            <a:ext uri="{FF2B5EF4-FFF2-40B4-BE49-F238E27FC236}">
              <a16:creationId xmlns:a16="http://schemas.microsoft.com/office/drawing/2014/main" id="{182C1BFD-F482-47EC-BC0A-1A3C79E8D4E6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60" name="Picture 7359">
          <a:extLst>
            <a:ext uri="{FF2B5EF4-FFF2-40B4-BE49-F238E27FC236}">
              <a16:creationId xmlns:a16="http://schemas.microsoft.com/office/drawing/2014/main" id="{E35185F9-1F99-4D4A-8C18-3B30B865B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24</xdr:row>
      <xdr:rowOff>0</xdr:rowOff>
    </xdr:from>
    <xdr:ext cx="304800" cy="304800"/>
    <xdr:sp macro="" textlink="">
      <xdr:nvSpPr>
        <xdr:cNvPr id="7361" name="AutoShape 363">
          <a:extLst>
            <a:ext uri="{FF2B5EF4-FFF2-40B4-BE49-F238E27FC236}">
              <a16:creationId xmlns:a16="http://schemas.microsoft.com/office/drawing/2014/main" id="{2AFC2B4C-5288-4C40-BACE-36C12CB7175B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26</xdr:row>
      <xdr:rowOff>0</xdr:rowOff>
    </xdr:from>
    <xdr:ext cx="9525" cy="9525"/>
    <xdr:pic>
      <xdr:nvPicPr>
        <xdr:cNvPr id="7362" name="Picture 7361">
          <a:extLst>
            <a:ext uri="{FF2B5EF4-FFF2-40B4-BE49-F238E27FC236}">
              <a16:creationId xmlns:a16="http://schemas.microsoft.com/office/drawing/2014/main" id="{705B61A3-0408-4CED-B1E8-692ABC5E1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25</xdr:row>
      <xdr:rowOff>0</xdr:rowOff>
    </xdr:from>
    <xdr:ext cx="304800" cy="303440"/>
    <xdr:sp macro="" textlink="">
      <xdr:nvSpPr>
        <xdr:cNvPr id="7363" name="AutoShape 365">
          <a:extLst>
            <a:ext uri="{FF2B5EF4-FFF2-40B4-BE49-F238E27FC236}">
              <a16:creationId xmlns:a16="http://schemas.microsoft.com/office/drawing/2014/main" id="{6136019A-1FDA-43F0-A365-033E793B8BF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64" name="Picture 7363">
          <a:extLst>
            <a:ext uri="{FF2B5EF4-FFF2-40B4-BE49-F238E27FC236}">
              <a16:creationId xmlns:a16="http://schemas.microsoft.com/office/drawing/2014/main" id="{D5808652-BFA4-4EA1-B803-4883A9F05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65" name="Picture 7364">
          <a:extLst>
            <a:ext uri="{FF2B5EF4-FFF2-40B4-BE49-F238E27FC236}">
              <a16:creationId xmlns:a16="http://schemas.microsoft.com/office/drawing/2014/main" id="{59FE4CF2-B75A-475E-A10A-162288727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66" name="Picture 7365">
          <a:extLst>
            <a:ext uri="{FF2B5EF4-FFF2-40B4-BE49-F238E27FC236}">
              <a16:creationId xmlns:a16="http://schemas.microsoft.com/office/drawing/2014/main" id="{ABD3C4A5-07D2-4E9A-82AA-1C473966A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67" name="Picture 7366">
          <a:extLst>
            <a:ext uri="{FF2B5EF4-FFF2-40B4-BE49-F238E27FC236}">
              <a16:creationId xmlns:a16="http://schemas.microsoft.com/office/drawing/2014/main" id="{7D34873C-BD7A-41C8-9D06-B67BF6AA5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68" name="Picture 7367">
          <a:extLst>
            <a:ext uri="{FF2B5EF4-FFF2-40B4-BE49-F238E27FC236}">
              <a16:creationId xmlns:a16="http://schemas.microsoft.com/office/drawing/2014/main" id="{68C6D243-38B6-4621-B8DE-385C4DF77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369" name="AutoShape 371">
          <a:extLst>
            <a:ext uri="{FF2B5EF4-FFF2-40B4-BE49-F238E27FC236}">
              <a16:creationId xmlns:a16="http://schemas.microsoft.com/office/drawing/2014/main" id="{99895E8F-F564-46BA-B7BF-5CEBFDBD2ED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70" name="Picture 7369">
          <a:extLst>
            <a:ext uri="{FF2B5EF4-FFF2-40B4-BE49-F238E27FC236}">
              <a16:creationId xmlns:a16="http://schemas.microsoft.com/office/drawing/2014/main" id="{82A4F52B-DB95-44DD-8375-9F64D68B9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371" name="AutoShape 373">
          <a:extLst>
            <a:ext uri="{FF2B5EF4-FFF2-40B4-BE49-F238E27FC236}">
              <a16:creationId xmlns:a16="http://schemas.microsoft.com/office/drawing/2014/main" id="{A450B0E1-0418-495D-8216-2501804A5CD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13</xdr:row>
      <xdr:rowOff>0</xdr:rowOff>
    </xdr:from>
    <xdr:ext cx="9525" cy="9525"/>
    <xdr:pic>
      <xdr:nvPicPr>
        <xdr:cNvPr id="7372" name="Picture 7371">
          <a:extLst>
            <a:ext uri="{FF2B5EF4-FFF2-40B4-BE49-F238E27FC236}">
              <a16:creationId xmlns:a16="http://schemas.microsoft.com/office/drawing/2014/main" id="{414D9402-284A-49B7-BFBF-0A8571C2B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12</xdr:row>
      <xdr:rowOff>0</xdr:rowOff>
    </xdr:from>
    <xdr:ext cx="304800" cy="303439"/>
    <xdr:sp macro="" textlink="">
      <xdr:nvSpPr>
        <xdr:cNvPr id="7373" name="AutoShape 375">
          <a:extLst>
            <a:ext uri="{FF2B5EF4-FFF2-40B4-BE49-F238E27FC236}">
              <a16:creationId xmlns:a16="http://schemas.microsoft.com/office/drawing/2014/main" id="{1289E530-D598-489C-A92E-8BE18E4A202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74" name="Picture 7373">
          <a:extLst>
            <a:ext uri="{FF2B5EF4-FFF2-40B4-BE49-F238E27FC236}">
              <a16:creationId xmlns:a16="http://schemas.microsoft.com/office/drawing/2014/main" id="{7C97CEE7-33A4-4C64-B95D-E42D49BCB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13</xdr:row>
      <xdr:rowOff>0</xdr:rowOff>
    </xdr:from>
    <xdr:ext cx="304800" cy="304800"/>
    <xdr:sp macro="" textlink="">
      <xdr:nvSpPr>
        <xdr:cNvPr id="7375" name="AutoShape 377">
          <a:extLst>
            <a:ext uri="{FF2B5EF4-FFF2-40B4-BE49-F238E27FC236}">
              <a16:creationId xmlns:a16="http://schemas.microsoft.com/office/drawing/2014/main" id="{78B0E214-6BE9-44D7-B46F-46E700070EF2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76" name="Picture 7375">
          <a:extLst>
            <a:ext uri="{FF2B5EF4-FFF2-40B4-BE49-F238E27FC236}">
              <a16:creationId xmlns:a16="http://schemas.microsoft.com/office/drawing/2014/main" id="{0F3AFC00-4544-4C61-A5CD-9ADD66078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3440"/>
    <xdr:sp macro="" textlink="">
      <xdr:nvSpPr>
        <xdr:cNvPr id="7377" name="AutoShape 379">
          <a:extLst>
            <a:ext uri="{FF2B5EF4-FFF2-40B4-BE49-F238E27FC236}">
              <a16:creationId xmlns:a16="http://schemas.microsoft.com/office/drawing/2014/main" id="{568B7D86-31D0-42EF-94D6-A7C8ACBCB44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27</xdr:row>
      <xdr:rowOff>0</xdr:rowOff>
    </xdr:from>
    <xdr:ext cx="9525" cy="9525"/>
    <xdr:pic>
      <xdr:nvPicPr>
        <xdr:cNvPr id="7378" name="Picture 7377">
          <a:extLst>
            <a:ext uri="{FF2B5EF4-FFF2-40B4-BE49-F238E27FC236}">
              <a16:creationId xmlns:a16="http://schemas.microsoft.com/office/drawing/2014/main" id="{29C9BE2E-2DE7-4DB3-8322-FB141243B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26</xdr:row>
      <xdr:rowOff>0</xdr:rowOff>
    </xdr:from>
    <xdr:ext cx="304800" cy="303439"/>
    <xdr:sp macro="" textlink="">
      <xdr:nvSpPr>
        <xdr:cNvPr id="7379" name="AutoShape 381">
          <a:extLst>
            <a:ext uri="{FF2B5EF4-FFF2-40B4-BE49-F238E27FC236}">
              <a16:creationId xmlns:a16="http://schemas.microsoft.com/office/drawing/2014/main" id="{315C7ADA-6BEA-4151-97D0-D82758762E1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80" name="Picture 7379">
          <a:extLst>
            <a:ext uri="{FF2B5EF4-FFF2-40B4-BE49-F238E27FC236}">
              <a16:creationId xmlns:a16="http://schemas.microsoft.com/office/drawing/2014/main" id="{304008CD-BB6F-453D-9C10-20EDA12F3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81" name="Picture 7380">
          <a:extLst>
            <a:ext uri="{FF2B5EF4-FFF2-40B4-BE49-F238E27FC236}">
              <a16:creationId xmlns:a16="http://schemas.microsoft.com/office/drawing/2014/main" id="{AD688CD7-ECEE-4ECF-A45A-10B72D252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3</xdr:row>
      <xdr:rowOff>0</xdr:rowOff>
    </xdr:from>
    <xdr:ext cx="9525" cy="9525"/>
    <xdr:pic>
      <xdr:nvPicPr>
        <xdr:cNvPr id="7382" name="Picture 7381">
          <a:extLst>
            <a:ext uri="{FF2B5EF4-FFF2-40B4-BE49-F238E27FC236}">
              <a16:creationId xmlns:a16="http://schemas.microsoft.com/office/drawing/2014/main" id="{D6ACFF86-63C5-43CF-A80D-D452C647A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</xdr:row>
      <xdr:rowOff>0</xdr:rowOff>
    </xdr:from>
    <xdr:ext cx="304800" cy="303439"/>
    <xdr:sp macro="" textlink="">
      <xdr:nvSpPr>
        <xdr:cNvPr id="7383" name="AutoShape 413">
          <a:extLst>
            <a:ext uri="{FF2B5EF4-FFF2-40B4-BE49-F238E27FC236}">
              <a16:creationId xmlns:a16="http://schemas.microsoft.com/office/drawing/2014/main" id="{2B7D2ECF-D16C-4272-8529-D906B8D27A2C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9525" cy="9525"/>
    <xdr:pic>
      <xdr:nvPicPr>
        <xdr:cNvPr id="7384" name="Picture 7383">
          <a:extLst>
            <a:ext uri="{FF2B5EF4-FFF2-40B4-BE49-F238E27FC236}">
              <a16:creationId xmlns:a16="http://schemas.microsoft.com/office/drawing/2014/main" id="{2AE5AAD9-6617-4339-9C63-94C80D84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9525" cy="9525"/>
    <xdr:pic>
      <xdr:nvPicPr>
        <xdr:cNvPr id="7385" name="Picture 7384">
          <a:extLst>
            <a:ext uri="{FF2B5EF4-FFF2-40B4-BE49-F238E27FC236}">
              <a16:creationId xmlns:a16="http://schemas.microsoft.com/office/drawing/2014/main" id="{2C2934BC-BFC9-4D1A-962C-0E08DB377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6</xdr:row>
      <xdr:rowOff>0</xdr:rowOff>
    </xdr:from>
    <xdr:ext cx="9525" cy="9525"/>
    <xdr:pic>
      <xdr:nvPicPr>
        <xdr:cNvPr id="7386" name="Picture 7385">
          <a:extLst>
            <a:ext uri="{FF2B5EF4-FFF2-40B4-BE49-F238E27FC236}">
              <a16:creationId xmlns:a16="http://schemas.microsoft.com/office/drawing/2014/main" id="{E3E8ED76-BDE4-403D-89A3-75D5F5CB5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7387" name="AutoShape 417">
          <a:extLst>
            <a:ext uri="{FF2B5EF4-FFF2-40B4-BE49-F238E27FC236}">
              <a16:creationId xmlns:a16="http://schemas.microsoft.com/office/drawing/2014/main" id="{AFBC8623-4E10-462C-9107-E353979AA5AC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88" name="Picture 7387">
          <a:extLst>
            <a:ext uri="{FF2B5EF4-FFF2-40B4-BE49-F238E27FC236}">
              <a16:creationId xmlns:a16="http://schemas.microsoft.com/office/drawing/2014/main" id="{156EC6EA-A79B-4637-9E9B-01A6D6018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24</xdr:row>
      <xdr:rowOff>0</xdr:rowOff>
    </xdr:from>
    <xdr:ext cx="304800" cy="304800"/>
    <xdr:sp macro="" textlink="">
      <xdr:nvSpPr>
        <xdr:cNvPr id="7389" name="AutoShape 419">
          <a:extLst>
            <a:ext uri="{FF2B5EF4-FFF2-40B4-BE49-F238E27FC236}">
              <a16:creationId xmlns:a16="http://schemas.microsoft.com/office/drawing/2014/main" id="{F57BAFDE-3482-46E2-ABE6-38E2DA1C9E82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26</xdr:row>
      <xdr:rowOff>0</xdr:rowOff>
    </xdr:from>
    <xdr:ext cx="9525" cy="9525"/>
    <xdr:pic>
      <xdr:nvPicPr>
        <xdr:cNvPr id="7390" name="Picture 7389">
          <a:extLst>
            <a:ext uri="{FF2B5EF4-FFF2-40B4-BE49-F238E27FC236}">
              <a16:creationId xmlns:a16="http://schemas.microsoft.com/office/drawing/2014/main" id="{A836879D-E207-4A97-B147-7D5466747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25</xdr:row>
      <xdr:rowOff>0</xdr:rowOff>
    </xdr:from>
    <xdr:ext cx="304800" cy="303440"/>
    <xdr:sp macro="" textlink="">
      <xdr:nvSpPr>
        <xdr:cNvPr id="7391" name="AutoShape 421">
          <a:extLst>
            <a:ext uri="{FF2B5EF4-FFF2-40B4-BE49-F238E27FC236}">
              <a16:creationId xmlns:a16="http://schemas.microsoft.com/office/drawing/2014/main" id="{61894B28-AF27-4757-A2E9-9649D4E2C27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92" name="Picture 7391">
          <a:extLst>
            <a:ext uri="{FF2B5EF4-FFF2-40B4-BE49-F238E27FC236}">
              <a16:creationId xmlns:a16="http://schemas.microsoft.com/office/drawing/2014/main" id="{7C97AC42-DFFD-4ADE-8AD7-962D8316B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93" name="Picture 7392">
          <a:extLst>
            <a:ext uri="{FF2B5EF4-FFF2-40B4-BE49-F238E27FC236}">
              <a16:creationId xmlns:a16="http://schemas.microsoft.com/office/drawing/2014/main" id="{1FD45C64-8B12-4479-BB58-321EED58D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94" name="Picture 7393">
          <a:extLst>
            <a:ext uri="{FF2B5EF4-FFF2-40B4-BE49-F238E27FC236}">
              <a16:creationId xmlns:a16="http://schemas.microsoft.com/office/drawing/2014/main" id="{149E0C6C-0204-44E0-B1BC-ADE4B15C1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95" name="Picture 7394">
          <a:extLst>
            <a:ext uri="{FF2B5EF4-FFF2-40B4-BE49-F238E27FC236}">
              <a16:creationId xmlns:a16="http://schemas.microsoft.com/office/drawing/2014/main" id="{81928551-B7C1-4543-A82D-29A95700B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96" name="Picture 7395">
          <a:extLst>
            <a:ext uri="{FF2B5EF4-FFF2-40B4-BE49-F238E27FC236}">
              <a16:creationId xmlns:a16="http://schemas.microsoft.com/office/drawing/2014/main" id="{1DBA8D15-00EF-4282-8671-B7D3B56DC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397" name="AutoShape 427">
          <a:extLst>
            <a:ext uri="{FF2B5EF4-FFF2-40B4-BE49-F238E27FC236}">
              <a16:creationId xmlns:a16="http://schemas.microsoft.com/office/drawing/2014/main" id="{7B70C0F6-94E6-4F25-AF59-AC5C8646329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398" name="Picture 7397">
          <a:extLst>
            <a:ext uri="{FF2B5EF4-FFF2-40B4-BE49-F238E27FC236}">
              <a16:creationId xmlns:a16="http://schemas.microsoft.com/office/drawing/2014/main" id="{0C355076-325C-424C-97C6-D7326AE4D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399" name="AutoShape 429">
          <a:extLst>
            <a:ext uri="{FF2B5EF4-FFF2-40B4-BE49-F238E27FC236}">
              <a16:creationId xmlns:a16="http://schemas.microsoft.com/office/drawing/2014/main" id="{E09405F0-AC49-4C2F-A019-69B488825BB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13</xdr:row>
      <xdr:rowOff>0</xdr:rowOff>
    </xdr:from>
    <xdr:ext cx="9525" cy="9525"/>
    <xdr:pic>
      <xdr:nvPicPr>
        <xdr:cNvPr id="7400" name="Picture 7399">
          <a:extLst>
            <a:ext uri="{FF2B5EF4-FFF2-40B4-BE49-F238E27FC236}">
              <a16:creationId xmlns:a16="http://schemas.microsoft.com/office/drawing/2014/main" id="{3AD3007C-EE2D-47A1-A0F7-F0693DCB3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12</xdr:row>
      <xdr:rowOff>0</xdr:rowOff>
    </xdr:from>
    <xdr:ext cx="304800" cy="303439"/>
    <xdr:sp macro="" textlink="">
      <xdr:nvSpPr>
        <xdr:cNvPr id="7401" name="AutoShape 431">
          <a:extLst>
            <a:ext uri="{FF2B5EF4-FFF2-40B4-BE49-F238E27FC236}">
              <a16:creationId xmlns:a16="http://schemas.microsoft.com/office/drawing/2014/main" id="{BA7977EF-22A0-4111-BD4F-E90143C132E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02" name="Picture 7401">
          <a:extLst>
            <a:ext uri="{FF2B5EF4-FFF2-40B4-BE49-F238E27FC236}">
              <a16:creationId xmlns:a16="http://schemas.microsoft.com/office/drawing/2014/main" id="{574BE9A7-4394-4324-943B-9DFA8A198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13</xdr:row>
      <xdr:rowOff>0</xdr:rowOff>
    </xdr:from>
    <xdr:ext cx="304800" cy="304800"/>
    <xdr:sp macro="" textlink="">
      <xdr:nvSpPr>
        <xdr:cNvPr id="7403" name="AutoShape 433">
          <a:extLst>
            <a:ext uri="{FF2B5EF4-FFF2-40B4-BE49-F238E27FC236}">
              <a16:creationId xmlns:a16="http://schemas.microsoft.com/office/drawing/2014/main" id="{DBF09B7F-A383-4307-A7DB-8635E455A97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04" name="Picture 7403">
          <a:extLst>
            <a:ext uri="{FF2B5EF4-FFF2-40B4-BE49-F238E27FC236}">
              <a16:creationId xmlns:a16="http://schemas.microsoft.com/office/drawing/2014/main" id="{B6C01962-F474-4A08-9F6C-AE1DE0DD4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3440"/>
    <xdr:sp macro="" textlink="">
      <xdr:nvSpPr>
        <xdr:cNvPr id="7405" name="AutoShape 435">
          <a:extLst>
            <a:ext uri="{FF2B5EF4-FFF2-40B4-BE49-F238E27FC236}">
              <a16:creationId xmlns:a16="http://schemas.microsoft.com/office/drawing/2014/main" id="{42702174-8FAD-4E8C-A7F9-4C8AC67A1EB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27</xdr:row>
      <xdr:rowOff>0</xdr:rowOff>
    </xdr:from>
    <xdr:ext cx="9525" cy="9525"/>
    <xdr:pic>
      <xdr:nvPicPr>
        <xdr:cNvPr id="7406" name="Picture 7405">
          <a:extLst>
            <a:ext uri="{FF2B5EF4-FFF2-40B4-BE49-F238E27FC236}">
              <a16:creationId xmlns:a16="http://schemas.microsoft.com/office/drawing/2014/main" id="{95D356FB-0171-4E6D-964C-B294A6B74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26</xdr:row>
      <xdr:rowOff>0</xdr:rowOff>
    </xdr:from>
    <xdr:ext cx="304800" cy="303439"/>
    <xdr:sp macro="" textlink="">
      <xdr:nvSpPr>
        <xdr:cNvPr id="7407" name="AutoShape 437">
          <a:extLst>
            <a:ext uri="{FF2B5EF4-FFF2-40B4-BE49-F238E27FC236}">
              <a16:creationId xmlns:a16="http://schemas.microsoft.com/office/drawing/2014/main" id="{E4B8E0A4-3F97-4989-A2A6-BA0428352082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08" name="Picture 7407">
          <a:extLst>
            <a:ext uri="{FF2B5EF4-FFF2-40B4-BE49-F238E27FC236}">
              <a16:creationId xmlns:a16="http://schemas.microsoft.com/office/drawing/2014/main" id="{5DBFD20F-622C-46D4-9E87-F2323E325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09" name="Picture 7408">
          <a:extLst>
            <a:ext uri="{FF2B5EF4-FFF2-40B4-BE49-F238E27FC236}">
              <a16:creationId xmlns:a16="http://schemas.microsoft.com/office/drawing/2014/main" id="{5638B941-E1F2-4604-BC4C-C4FD86DC0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3</xdr:row>
      <xdr:rowOff>0</xdr:rowOff>
    </xdr:from>
    <xdr:ext cx="9525" cy="9525"/>
    <xdr:pic>
      <xdr:nvPicPr>
        <xdr:cNvPr id="7410" name="Picture 7409">
          <a:extLst>
            <a:ext uri="{FF2B5EF4-FFF2-40B4-BE49-F238E27FC236}">
              <a16:creationId xmlns:a16="http://schemas.microsoft.com/office/drawing/2014/main" id="{537247F8-FC8D-4D86-B93A-C646EBAE5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</xdr:row>
      <xdr:rowOff>0</xdr:rowOff>
    </xdr:from>
    <xdr:ext cx="304800" cy="303439"/>
    <xdr:sp macro="" textlink="">
      <xdr:nvSpPr>
        <xdr:cNvPr id="7411" name="AutoShape 469">
          <a:extLst>
            <a:ext uri="{FF2B5EF4-FFF2-40B4-BE49-F238E27FC236}">
              <a16:creationId xmlns:a16="http://schemas.microsoft.com/office/drawing/2014/main" id="{E772DD02-6AB2-4731-81A8-D3A231F2A7F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9525" cy="9525"/>
    <xdr:pic>
      <xdr:nvPicPr>
        <xdr:cNvPr id="7412" name="Picture 7411">
          <a:extLst>
            <a:ext uri="{FF2B5EF4-FFF2-40B4-BE49-F238E27FC236}">
              <a16:creationId xmlns:a16="http://schemas.microsoft.com/office/drawing/2014/main" id="{FC39BEFA-567B-4585-9B24-93CD0D456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9525" cy="9525"/>
    <xdr:pic>
      <xdr:nvPicPr>
        <xdr:cNvPr id="7413" name="Picture 7412">
          <a:extLst>
            <a:ext uri="{FF2B5EF4-FFF2-40B4-BE49-F238E27FC236}">
              <a16:creationId xmlns:a16="http://schemas.microsoft.com/office/drawing/2014/main" id="{CA75FE3C-0E02-4BD6-9122-D9C80A307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6</xdr:row>
      <xdr:rowOff>0</xdr:rowOff>
    </xdr:from>
    <xdr:ext cx="9525" cy="9525"/>
    <xdr:pic>
      <xdr:nvPicPr>
        <xdr:cNvPr id="7414" name="Picture 7413">
          <a:extLst>
            <a:ext uri="{FF2B5EF4-FFF2-40B4-BE49-F238E27FC236}">
              <a16:creationId xmlns:a16="http://schemas.microsoft.com/office/drawing/2014/main" id="{FA7EEAFB-EB56-4AA1-A59D-F8FE00135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7415" name="AutoShape 473">
          <a:extLst>
            <a:ext uri="{FF2B5EF4-FFF2-40B4-BE49-F238E27FC236}">
              <a16:creationId xmlns:a16="http://schemas.microsoft.com/office/drawing/2014/main" id="{10F6D4E4-C33D-45E3-BEEA-08E587E9949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16" name="Picture 7415">
          <a:extLst>
            <a:ext uri="{FF2B5EF4-FFF2-40B4-BE49-F238E27FC236}">
              <a16:creationId xmlns:a16="http://schemas.microsoft.com/office/drawing/2014/main" id="{DEFB0DD9-37C3-45F4-9C83-9BC181B60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24</xdr:row>
      <xdr:rowOff>0</xdr:rowOff>
    </xdr:from>
    <xdr:ext cx="304800" cy="304800"/>
    <xdr:sp macro="" textlink="">
      <xdr:nvSpPr>
        <xdr:cNvPr id="7417" name="AutoShape 475">
          <a:extLst>
            <a:ext uri="{FF2B5EF4-FFF2-40B4-BE49-F238E27FC236}">
              <a16:creationId xmlns:a16="http://schemas.microsoft.com/office/drawing/2014/main" id="{206F8E22-FB32-48DF-9CD7-7470BA021A4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26</xdr:row>
      <xdr:rowOff>0</xdr:rowOff>
    </xdr:from>
    <xdr:ext cx="9525" cy="9525"/>
    <xdr:pic>
      <xdr:nvPicPr>
        <xdr:cNvPr id="7418" name="Picture 7417">
          <a:extLst>
            <a:ext uri="{FF2B5EF4-FFF2-40B4-BE49-F238E27FC236}">
              <a16:creationId xmlns:a16="http://schemas.microsoft.com/office/drawing/2014/main" id="{606F3B86-7318-41A0-94E5-F07709BA1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25</xdr:row>
      <xdr:rowOff>0</xdr:rowOff>
    </xdr:from>
    <xdr:ext cx="304800" cy="303440"/>
    <xdr:sp macro="" textlink="">
      <xdr:nvSpPr>
        <xdr:cNvPr id="7419" name="AutoShape 477">
          <a:extLst>
            <a:ext uri="{FF2B5EF4-FFF2-40B4-BE49-F238E27FC236}">
              <a16:creationId xmlns:a16="http://schemas.microsoft.com/office/drawing/2014/main" id="{E3A5DE99-09ED-4BB8-A6FB-6EDC8C89740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20" name="Picture 7419">
          <a:extLst>
            <a:ext uri="{FF2B5EF4-FFF2-40B4-BE49-F238E27FC236}">
              <a16:creationId xmlns:a16="http://schemas.microsoft.com/office/drawing/2014/main" id="{0A00661D-B727-4C87-B6A0-73BBE5536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21" name="Picture 7420">
          <a:extLst>
            <a:ext uri="{FF2B5EF4-FFF2-40B4-BE49-F238E27FC236}">
              <a16:creationId xmlns:a16="http://schemas.microsoft.com/office/drawing/2014/main" id="{5634552F-0186-4A80-8162-0B3C15503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22" name="Picture 7421">
          <a:extLst>
            <a:ext uri="{FF2B5EF4-FFF2-40B4-BE49-F238E27FC236}">
              <a16:creationId xmlns:a16="http://schemas.microsoft.com/office/drawing/2014/main" id="{1C73EF35-B787-450D-B3A0-EBBAD6B28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23" name="Picture 7422">
          <a:extLst>
            <a:ext uri="{FF2B5EF4-FFF2-40B4-BE49-F238E27FC236}">
              <a16:creationId xmlns:a16="http://schemas.microsoft.com/office/drawing/2014/main" id="{4CA6A58F-B5D7-46D7-BAAD-ED0366800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24" name="Picture 7423">
          <a:extLst>
            <a:ext uri="{FF2B5EF4-FFF2-40B4-BE49-F238E27FC236}">
              <a16:creationId xmlns:a16="http://schemas.microsoft.com/office/drawing/2014/main" id="{922856A5-CCE8-436C-B9DC-6FA258B9F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425" name="AutoShape 483">
          <a:extLst>
            <a:ext uri="{FF2B5EF4-FFF2-40B4-BE49-F238E27FC236}">
              <a16:creationId xmlns:a16="http://schemas.microsoft.com/office/drawing/2014/main" id="{4A3BE818-0C29-4865-B8F1-44178430419B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26" name="Picture 7425">
          <a:extLst>
            <a:ext uri="{FF2B5EF4-FFF2-40B4-BE49-F238E27FC236}">
              <a16:creationId xmlns:a16="http://schemas.microsoft.com/office/drawing/2014/main" id="{46D42764-F026-472A-9D5F-BED15DDBF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427" name="AutoShape 485">
          <a:extLst>
            <a:ext uri="{FF2B5EF4-FFF2-40B4-BE49-F238E27FC236}">
              <a16:creationId xmlns:a16="http://schemas.microsoft.com/office/drawing/2014/main" id="{DD42D919-FE2D-45BD-8FB4-78C44DA34C4B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13</xdr:row>
      <xdr:rowOff>0</xdr:rowOff>
    </xdr:from>
    <xdr:ext cx="9525" cy="9525"/>
    <xdr:pic>
      <xdr:nvPicPr>
        <xdr:cNvPr id="7428" name="Picture 7427">
          <a:extLst>
            <a:ext uri="{FF2B5EF4-FFF2-40B4-BE49-F238E27FC236}">
              <a16:creationId xmlns:a16="http://schemas.microsoft.com/office/drawing/2014/main" id="{F9ECEC5B-2603-4D52-9F58-3E254015A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12</xdr:row>
      <xdr:rowOff>0</xdr:rowOff>
    </xdr:from>
    <xdr:ext cx="304800" cy="303439"/>
    <xdr:sp macro="" textlink="">
      <xdr:nvSpPr>
        <xdr:cNvPr id="7429" name="AutoShape 487">
          <a:extLst>
            <a:ext uri="{FF2B5EF4-FFF2-40B4-BE49-F238E27FC236}">
              <a16:creationId xmlns:a16="http://schemas.microsoft.com/office/drawing/2014/main" id="{C566FD8C-C31E-44E2-A662-FE8C6074F25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30" name="Picture 7429">
          <a:extLst>
            <a:ext uri="{FF2B5EF4-FFF2-40B4-BE49-F238E27FC236}">
              <a16:creationId xmlns:a16="http://schemas.microsoft.com/office/drawing/2014/main" id="{AAD7547D-9C4E-4102-A406-F2ED57528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31" name="Picture 7430">
          <a:extLst>
            <a:ext uri="{FF2B5EF4-FFF2-40B4-BE49-F238E27FC236}">
              <a16:creationId xmlns:a16="http://schemas.microsoft.com/office/drawing/2014/main" id="{2529CD2F-0D4A-4E5F-9CE2-28746C52F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3440"/>
    <xdr:sp macro="" textlink="">
      <xdr:nvSpPr>
        <xdr:cNvPr id="7432" name="AutoShape 491">
          <a:extLst>
            <a:ext uri="{FF2B5EF4-FFF2-40B4-BE49-F238E27FC236}">
              <a16:creationId xmlns:a16="http://schemas.microsoft.com/office/drawing/2014/main" id="{2B39ECF1-0BF2-47F4-B80E-FBD4D2C8B56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27</xdr:row>
      <xdr:rowOff>0</xdr:rowOff>
    </xdr:from>
    <xdr:ext cx="9525" cy="9525"/>
    <xdr:pic>
      <xdr:nvPicPr>
        <xdr:cNvPr id="7433" name="Picture 7432">
          <a:extLst>
            <a:ext uri="{FF2B5EF4-FFF2-40B4-BE49-F238E27FC236}">
              <a16:creationId xmlns:a16="http://schemas.microsoft.com/office/drawing/2014/main" id="{79993861-54AC-4F6C-A418-DC4E47C22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26</xdr:row>
      <xdr:rowOff>0</xdr:rowOff>
    </xdr:from>
    <xdr:ext cx="304800" cy="303439"/>
    <xdr:sp macro="" textlink="">
      <xdr:nvSpPr>
        <xdr:cNvPr id="7434" name="AutoShape 493">
          <a:extLst>
            <a:ext uri="{FF2B5EF4-FFF2-40B4-BE49-F238E27FC236}">
              <a16:creationId xmlns:a16="http://schemas.microsoft.com/office/drawing/2014/main" id="{43304AE7-BCB9-4055-AC62-82EF6E0623E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35" name="Picture 7434">
          <a:extLst>
            <a:ext uri="{FF2B5EF4-FFF2-40B4-BE49-F238E27FC236}">
              <a16:creationId xmlns:a16="http://schemas.microsoft.com/office/drawing/2014/main" id="{AA9B57F3-255E-4179-A773-A836E8E73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36" name="Picture 7435">
          <a:extLst>
            <a:ext uri="{FF2B5EF4-FFF2-40B4-BE49-F238E27FC236}">
              <a16:creationId xmlns:a16="http://schemas.microsoft.com/office/drawing/2014/main" id="{C1FB8757-3896-44AD-889C-47CC36324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3</xdr:row>
      <xdr:rowOff>0</xdr:rowOff>
    </xdr:from>
    <xdr:ext cx="9525" cy="9525"/>
    <xdr:pic>
      <xdr:nvPicPr>
        <xdr:cNvPr id="7437" name="Picture 7436">
          <a:extLst>
            <a:ext uri="{FF2B5EF4-FFF2-40B4-BE49-F238E27FC236}">
              <a16:creationId xmlns:a16="http://schemas.microsoft.com/office/drawing/2014/main" id="{74FFFEB9-F58F-427A-91C9-2D5108FA2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</xdr:row>
      <xdr:rowOff>0</xdr:rowOff>
    </xdr:from>
    <xdr:ext cx="304800" cy="303439"/>
    <xdr:sp macro="" textlink="">
      <xdr:nvSpPr>
        <xdr:cNvPr id="7438" name="AutoShape 497">
          <a:extLst>
            <a:ext uri="{FF2B5EF4-FFF2-40B4-BE49-F238E27FC236}">
              <a16:creationId xmlns:a16="http://schemas.microsoft.com/office/drawing/2014/main" id="{82002FE7-7149-4F60-A944-5FA55326A57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9525" cy="9525"/>
    <xdr:pic>
      <xdr:nvPicPr>
        <xdr:cNvPr id="7439" name="Picture 7438">
          <a:extLst>
            <a:ext uri="{FF2B5EF4-FFF2-40B4-BE49-F238E27FC236}">
              <a16:creationId xmlns:a16="http://schemas.microsoft.com/office/drawing/2014/main" id="{395E109B-FD92-4BD8-97D3-3DA761575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3</xdr:row>
      <xdr:rowOff>0</xdr:rowOff>
    </xdr:from>
    <xdr:ext cx="304800" cy="304800"/>
    <xdr:sp macro="" textlink="">
      <xdr:nvSpPr>
        <xdr:cNvPr id="7440" name="AutoShape 499">
          <a:extLst>
            <a:ext uri="{FF2B5EF4-FFF2-40B4-BE49-F238E27FC236}">
              <a16:creationId xmlns:a16="http://schemas.microsoft.com/office/drawing/2014/main" id="{A19DA7CE-E19C-4CCB-A1EF-8F83903868B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</xdr:row>
      <xdr:rowOff>0</xdr:rowOff>
    </xdr:from>
    <xdr:ext cx="9525" cy="9525"/>
    <xdr:pic>
      <xdr:nvPicPr>
        <xdr:cNvPr id="7441" name="Picture 7440">
          <a:extLst>
            <a:ext uri="{FF2B5EF4-FFF2-40B4-BE49-F238E27FC236}">
              <a16:creationId xmlns:a16="http://schemas.microsoft.com/office/drawing/2014/main" id="{65AB1718-F67B-49B8-B625-8E10A180C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4</xdr:row>
      <xdr:rowOff>0</xdr:rowOff>
    </xdr:from>
    <xdr:ext cx="304800" cy="304800"/>
    <xdr:sp macro="" textlink="">
      <xdr:nvSpPr>
        <xdr:cNvPr id="7442" name="AutoShape 501">
          <a:extLst>
            <a:ext uri="{FF2B5EF4-FFF2-40B4-BE49-F238E27FC236}">
              <a16:creationId xmlns:a16="http://schemas.microsoft.com/office/drawing/2014/main" id="{54F86465-3315-4A28-983D-134BC5DC4CD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537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6</xdr:row>
      <xdr:rowOff>0</xdr:rowOff>
    </xdr:from>
    <xdr:ext cx="9525" cy="9525"/>
    <xdr:pic>
      <xdr:nvPicPr>
        <xdr:cNvPr id="7443" name="Picture 7442">
          <a:extLst>
            <a:ext uri="{FF2B5EF4-FFF2-40B4-BE49-F238E27FC236}">
              <a16:creationId xmlns:a16="http://schemas.microsoft.com/office/drawing/2014/main" id="{95F6054C-B7B7-4452-924C-C8B2977DD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7444" name="AutoShape 503">
          <a:extLst>
            <a:ext uri="{FF2B5EF4-FFF2-40B4-BE49-F238E27FC236}">
              <a16:creationId xmlns:a16="http://schemas.microsoft.com/office/drawing/2014/main" id="{E7A2D7FB-B63B-41F4-8B11-EAFBB02E63E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45" name="Picture 7444">
          <a:extLst>
            <a:ext uri="{FF2B5EF4-FFF2-40B4-BE49-F238E27FC236}">
              <a16:creationId xmlns:a16="http://schemas.microsoft.com/office/drawing/2014/main" id="{81DE94A4-C9C1-4701-BA8E-8510A76C5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6</xdr:row>
      <xdr:rowOff>0</xdr:rowOff>
    </xdr:from>
    <xdr:ext cx="304800" cy="304800"/>
    <xdr:sp macro="" textlink="">
      <xdr:nvSpPr>
        <xdr:cNvPr id="7446" name="AutoShape 505">
          <a:extLst>
            <a:ext uri="{FF2B5EF4-FFF2-40B4-BE49-F238E27FC236}">
              <a16:creationId xmlns:a16="http://schemas.microsoft.com/office/drawing/2014/main" id="{7A177472-C221-4CF6-84B9-AF73F04B945C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26</xdr:row>
      <xdr:rowOff>0</xdr:rowOff>
    </xdr:from>
    <xdr:ext cx="9525" cy="9525"/>
    <xdr:pic>
      <xdr:nvPicPr>
        <xdr:cNvPr id="7447" name="Picture 7446">
          <a:extLst>
            <a:ext uri="{FF2B5EF4-FFF2-40B4-BE49-F238E27FC236}">
              <a16:creationId xmlns:a16="http://schemas.microsoft.com/office/drawing/2014/main" id="{BE0A0664-50DC-43B3-A249-1F242AFAE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25</xdr:row>
      <xdr:rowOff>0</xdr:rowOff>
    </xdr:from>
    <xdr:ext cx="304800" cy="303439"/>
    <xdr:sp macro="" textlink="">
      <xdr:nvSpPr>
        <xdr:cNvPr id="7448" name="AutoShape 507">
          <a:extLst>
            <a:ext uri="{FF2B5EF4-FFF2-40B4-BE49-F238E27FC236}">
              <a16:creationId xmlns:a16="http://schemas.microsoft.com/office/drawing/2014/main" id="{5F1EB5FC-5CB7-411A-A78B-4C00E0A6D1AB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06878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49" name="Picture 7448">
          <a:extLst>
            <a:ext uri="{FF2B5EF4-FFF2-40B4-BE49-F238E27FC236}">
              <a16:creationId xmlns:a16="http://schemas.microsoft.com/office/drawing/2014/main" id="{DE57953F-6EC7-4FC6-8808-FAC48E345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26</xdr:row>
      <xdr:rowOff>0</xdr:rowOff>
    </xdr:from>
    <xdr:ext cx="304800" cy="304800"/>
    <xdr:sp macro="" textlink="">
      <xdr:nvSpPr>
        <xdr:cNvPr id="7450" name="AutoShape 509">
          <a:extLst>
            <a:ext uri="{FF2B5EF4-FFF2-40B4-BE49-F238E27FC236}">
              <a16:creationId xmlns:a16="http://schemas.microsoft.com/office/drawing/2014/main" id="{32F8D374-619C-4BFE-9984-7446B97F7B3F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51" name="Picture 7450">
          <a:extLst>
            <a:ext uri="{FF2B5EF4-FFF2-40B4-BE49-F238E27FC236}">
              <a16:creationId xmlns:a16="http://schemas.microsoft.com/office/drawing/2014/main" id="{93D77920-6CAC-4524-BE22-2AD31C032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452" name="AutoShape 511">
          <a:extLst>
            <a:ext uri="{FF2B5EF4-FFF2-40B4-BE49-F238E27FC236}">
              <a16:creationId xmlns:a16="http://schemas.microsoft.com/office/drawing/2014/main" id="{30B08FE9-DCD2-4987-ABE0-AE096815CAF2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53" name="Picture 7452">
          <a:extLst>
            <a:ext uri="{FF2B5EF4-FFF2-40B4-BE49-F238E27FC236}">
              <a16:creationId xmlns:a16="http://schemas.microsoft.com/office/drawing/2014/main" id="{E0C93244-3C8C-4538-B0E7-B5425E97B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3439"/>
    <xdr:sp macro="" textlink="">
      <xdr:nvSpPr>
        <xdr:cNvPr id="7454" name="AutoShape 513">
          <a:extLst>
            <a:ext uri="{FF2B5EF4-FFF2-40B4-BE49-F238E27FC236}">
              <a16:creationId xmlns:a16="http://schemas.microsoft.com/office/drawing/2014/main" id="{1C8E9FA2-B559-436E-8CB4-376BACD96F0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55" name="Picture 7454">
          <a:extLst>
            <a:ext uri="{FF2B5EF4-FFF2-40B4-BE49-F238E27FC236}">
              <a16:creationId xmlns:a16="http://schemas.microsoft.com/office/drawing/2014/main" id="{D4B60061-F09D-40B0-A9F2-86247E0D3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456" name="AutoShape 515">
          <a:extLst>
            <a:ext uri="{FF2B5EF4-FFF2-40B4-BE49-F238E27FC236}">
              <a16:creationId xmlns:a16="http://schemas.microsoft.com/office/drawing/2014/main" id="{8388CA73-82A9-4E2C-A684-63439FA24A0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57" name="Picture 7456">
          <a:extLst>
            <a:ext uri="{FF2B5EF4-FFF2-40B4-BE49-F238E27FC236}">
              <a16:creationId xmlns:a16="http://schemas.microsoft.com/office/drawing/2014/main" id="{2150387D-BD6F-421C-B810-1E5D383B1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458" name="AutoShape 517">
          <a:extLst>
            <a:ext uri="{FF2B5EF4-FFF2-40B4-BE49-F238E27FC236}">
              <a16:creationId xmlns:a16="http://schemas.microsoft.com/office/drawing/2014/main" id="{1508019A-077E-4402-B903-B309FA8BBCB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59" name="Picture 7458">
          <a:extLst>
            <a:ext uri="{FF2B5EF4-FFF2-40B4-BE49-F238E27FC236}">
              <a16:creationId xmlns:a16="http://schemas.microsoft.com/office/drawing/2014/main" id="{D6E20B39-A793-4C37-9144-624A14900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460" name="AutoShape 519">
          <a:extLst>
            <a:ext uri="{FF2B5EF4-FFF2-40B4-BE49-F238E27FC236}">
              <a16:creationId xmlns:a16="http://schemas.microsoft.com/office/drawing/2014/main" id="{31B2975C-5A06-43EF-9730-F1940FDAA77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61" name="Picture 7460">
          <a:extLst>
            <a:ext uri="{FF2B5EF4-FFF2-40B4-BE49-F238E27FC236}">
              <a16:creationId xmlns:a16="http://schemas.microsoft.com/office/drawing/2014/main" id="{C563E139-4C5C-48F4-BE1E-C798C5106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62" name="Picture 7461">
          <a:extLst>
            <a:ext uri="{FF2B5EF4-FFF2-40B4-BE49-F238E27FC236}">
              <a16:creationId xmlns:a16="http://schemas.microsoft.com/office/drawing/2014/main" id="{6695E3B8-AC05-4C91-ADA4-6C31FEDBC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3440"/>
    <xdr:sp macro="" textlink="">
      <xdr:nvSpPr>
        <xdr:cNvPr id="7463" name="AutoShape 525">
          <a:extLst>
            <a:ext uri="{FF2B5EF4-FFF2-40B4-BE49-F238E27FC236}">
              <a16:creationId xmlns:a16="http://schemas.microsoft.com/office/drawing/2014/main" id="{51099757-6368-4B57-A33C-B8094F38BFAF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27</xdr:row>
      <xdr:rowOff>0</xdr:rowOff>
    </xdr:from>
    <xdr:ext cx="9525" cy="9525"/>
    <xdr:pic>
      <xdr:nvPicPr>
        <xdr:cNvPr id="7464" name="Picture 7463">
          <a:extLst>
            <a:ext uri="{FF2B5EF4-FFF2-40B4-BE49-F238E27FC236}">
              <a16:creationId xmlns:a16="http://schemas.microsoft.com/office/drawing/2014/main" id="{E4C5FDBB-65E2-4756-AA35-444EB0D22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26</xdr:row>
      <xdr:rowOff>0</xdr:rowOff>
    </xdr:from>
    <xdr:ext cx="304800" cy="303439"/>
    <xdr:sp macro="" textlink="">
      <xdr:nvSpPr>
        <xdr:cNvPr id="7465" name="AutoShape 527">
          <a:extLst>
            <a:ext uri="{FF2B5EF4-FFF2-40B4-BE49-F238E27FC236}">
              <a16:creationId xmlns:a16="http://schemas.microsoft.com/office/drawing/2014/main" id="{D746CCE7-1AE4-424A-8377-CEF7325F00E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66" name="Picture 7465">
          <a:extLst>
            <a:ext uri="{FF2B5EF4-FFF2-40B4-BE49-F238E27FC236}">
              <a16:creationId xmlns:a16="http://schemas.microsoft.com/office/drawing/2014/main" id="{317EDAA8-0796-42E3-88EC-07DBEA536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27</xdr:row>
      <xdr:rowOff>0</xdr:rowOff>
    </xdr:from>
    <xdr:ext cx="304800" cy="303439"/>
    <xdr:sp macro="" textlink="">
      <xdr:nvSpPr>
        <xdr:cNvPr id="7467" name="AutoShape 529">
          <a:extLst>
            <a:ext uri="{FF2B5EF4-FFF2-40B4-BE49-F238E27FC236}">
              <a16:creationId xmlns:a16="http://schemas.microsoft.com/office/drawing/2014/main" id="{74B845A9-4981-4167-A0DB-B4BD0751D715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477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468" name="Picture 7467">
          <a:extLst>
            <a:ext uri="{FF2B5EF4-FFF2-40B4-BE49-F238E27FC236}">
              <a16:creationId xmlns:a16="http://schemas.microsoft.com/office/drawing/2014/main" id="{2007727C-D2E7-4BC6-9DBE-7A8B5DAB4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3439"/>
    <xdr:sp macro="" textlink="">
      <xdr:nvSpPr>
        <xdr:cNvPr id="7469" name="AutoShape 531">
          <a:extLst>
            <a:ext uri="{FF2B5EF4-FFF2-40B4-BE49-F238E27FC236}">
              <a16:creationId xmlns:a16="http://schemas.microsoft.com/office/drawing/2014/main" id="{378BF17D-3CED-4F43-BA68-090F6B5F9BF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7</xdr:row>
      <xdr:rowOff>0</xdr:rowOff>
    </xdr:from>
    <xdr:ext cx="9525" cy="9525"/>
    <xdr:pic>
      <xdr:nvPicPr>
        <xdr:cNvPr id="7470" name="Picture 7469">
          <a:extLst>
            <a:ext uri="{FF2B5EF4-FFF2-40B4-BE49-F238E27FC236}">
              <a16:creationId xmlns:a16="http://schemas.microsoft.com/office/drawing/2014/main" id="{3F9B68FC-0F92-4605-8C0F-0063A7681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7</xdr:row>
      <xdr:rowOff>0</xdr:rowOff>
    </xdr:from>
    <xdr:ext cx="9525" cy="9525"/>
    <xdr:pic>
      <xdr:nvPicPr>
        <xdr:cNvPr id="7471" name="Picture 7470">
          <a:extLst>
            <a:ext uri="{FF2B5EF4-FFF2-40B4-BE49-F238E27FC236}">
              <a16:creationId xmlns:a16="http://schemas.microsoft.com/office/drawing/2014/main" id="{72CDBCD9-94E5-4FA8-9AA9-BEE3FE1C7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7</xdr:row>
      <xdr:rowOff>0</xdr:rowOff>
    </xdr:from>
    <xdr:ext cx="304800" cy="304800"/>
    <xdr:sp macro="" textlink="">
      <xdr:nvSpPr>
        <xdr:cNvPr id="7472" name="AutoShape 183">
          <a:extLst>
            <a:ext uri="{FF2B5EF4-FFF2-40B4-BE49-F238E27FC236}">
              <a16:creationId xmlns:a16="http://schemas.microsoft.com/office/drawing/2014/main" id="{CA031B28-73A8-4776-862F-4AAF6EBB968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7</xdr:row>
      <xdr:rowOff>0</xdr:rowOff>
    </xdr:from>
    <xdr:ext cx="9525" cy="9525"/>
    <xdr:pic>
      <xdr:nvPicPr>
        <xdr:cNvPr id="7473" name="Picture 7472">
          <a:extLst>
            <a:ext uri="{FF2B5EF4-FFF2-40B4-BE49-F238E27FC236}">
              <a16:creationId xmlns:a16="http://schemas.microsoft.com/office/drawing/2014/main" id="{5ABFDB0C-B886-4FCE-A8FA-CF7123433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7</xdr:row>
      <xdr:rowOff>0</xdr:rowOff>
    </xdr:from>
    <xdr:ext cx="304800" cy="304800"/>
    <xdr:sp macro="" textlink="">
      <xdr:nvSpPr>
        <xdr:cNvPr id="7474" name="AutoShape 209">
          <a:extLst>
            <a:ext uri="{FF2B5EF4-FFF2-40B4-BE49-F238E27FC236}">
              <a16:creationId xmlns:a16="http://schemas.microsoft.com/office/drawing/2014/main" id="{DFFA5EF6-109E-4CAC-8F47-D1F756195B36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7</xdr:row>
      <xdr:rowOff>0</xdr:rowOff>
    </xdr:from>
    <xdr:ext cx="9525" cy="9525"/>
    <xdr:pic>
      <xdr:nvPicPr>
        <xdr:cNvPr id="7475" name="Picture 7474">
          <a:extLst>
            <a:ext uri="{FF2B5EF4-FFF2-40B4-BE49-F238E27FC236}">
              <a16:creationId xmlns:a16="http://schemas.microsoft.com/office/drawing/2014/main" id="{B7BFFCF4-7FCA-4C68-B47C-E4D475278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7</xdr:row>
      <xdr:rowOff>0</xdr:rowOff>
    </xdr:from>
    <xdr:ext cx="304800" cy="304800"/>
    <xdr:sp macro="" textlink="">
      <xdr:nvSpPr>
        <xdr:cNvPr id="7476" name="AutoShape 233">
          <a:extLst>
            <a:ext uri="{FF2B5EF4-FFF2-40B4-BE49-F238E27FC236}">
              <a16:creationId xmlns:a16="http://schemas.microsoft.com/office/drawing/2014/main" id="{67CAA9CC-38F2-4997-9B8C-80C252730B6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7</xdr:row>
      <xdr:rowOff>0</xdr:rowOff>
    </xdr:from>
    <xdr:ext cx="9525" cy="9525"/>
    <xdr:pic>
      <xdr:nvPicPr>
        <xdr:cNvPr id="7477" name="Picture 7476">
          <a:extLst>
            <a:ext uri="{FF2B5EF4-FFF2-40B4-BE49-F238E27FC236}">
              <a16:creationId xmlns:a16="http://schemas.microsoft.com/office/drawing/2014/main" id="{65BC87CA-D156-4C39-BF4A-168C9FF9B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7</xdr:row>
      <xdr:rowOff>0</xdr:rowOff>
    </xdr:from>
    <xdr:ext cx="304800" cy="304800"/>
    <xdr:sp macro="" textlink="">
      <xdr:nvSpPr>
        <xdr:cNvPr id="7478" name="AutoShape 259">
          <a:extLst>
            <a:ext uri="{FF2B5EF4-FFF2-40B4-BE49-F238E27FC236}">
              <a16:creationId xmlns:a16="http://schemas.microsoft.com/office/drawing/2014/main" id="{5D9C0CC4-55D7-400C-AE39-1AAAEBD8EC83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7</xdr:row>
      <xdr:rowOff>0</xdr:rowOff>
    </xdr:from>
    <xdr:ext cx="9525" cy="9525"/>
    <xdr:pic>
      <xdr:nvPicPr>
        <xdr:cNvPr id="7479" name="Picture 7478">
          <a:extLst>
            <a:ext uri="{FF2B5EF4-FFF2-40B4-BE49-F238E27FC236}">
              <a16:creationId xmlns:a16="http://schemas.microsoft.com/office/drawing/2014/main" id="{6E85A546-F9EE-4252-A8FA-C8E8EE10D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7</xdr:row>
      <xdr:rowOff>0</xdr:rowOff>
    </xdr:from>
    <xdr:ext cx="304800" cy="304800"/>
    <xdr:sp macro="" textlink="">
      <xdr:nvSpPr>
        <xdr:cNvPr id="7480" name="AutoShape 311">
          <a:extLst>
            <a:ext uri="{FF2B5EF4-FFF2-40B4-BE49-F238E27FC236}">
              <a16:creationId xmlns:a16="http://schemas.microsoft.com/office/drawing/2014/main" id="{5D1089C8-71AB-4B6E-84A3-DA9039C51F5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7</xdr:row>
      <xdr:rowOff>0</xdr:rowOff>
    </xdr:from>
    <xdr:ext cx="9525" cy="9525"/>
    <xdr:pic>
      <xdr:nvPicPr>
        <xdr:cNvPr id="7481" name="Picture 7480">
          <a:extLst>
            <a:ext uri="{FF2B5EF4-FFF2-40B4-BE49-F238E27FC236}">
              <a16:creationId xmlns:a16="http://schemas.microsoft.com/office/drawing/2014/main" id="{FE1D8735-D3E7-4B41-9D58-6E34F0012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7</xdr:row>
      <xdr:rowOff>0</xdr:rowOff>
    </xdr:from>
    <xdr:ext cx="304800" cy="304800"/>
    <xdr:sp macro="" textlink="">
      <xdr:nvSpPr>
        <xdr:cNvPr id="7482" name="AutoShape 363">
          <a:extLst>
            <a:ext uri="{FF2B5EF4-FFF2-40B4-BE49-F238E27FC236}">
              <a16:creationId xmlns:a16="http://schemas.microsoft.com/office/drawing/2014/main" id="{464DE612-FCFD-4B02-B19B-94ABBC10174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7</xdr:row>
      <xdr:rowOff>0</xdr:rowOff>
    </xdr:from>
    <xdr:ext cx="9525" cy="9525"/>
    <xdr:pic>
      <xdr:nvPicPr>
        <xdr:cNvPr id="7483" name="Picture 7482">
          <a:extLst>
            <a:ext uri="{FF2B5EF4-FFF2-40B4-BE49-F238E27FC236}">
              <a16:creationId xmlns:a16="http://schemas.microsoft.com/office/drawing/2014/main" id="{CFBB0653-B4F0-4B8C-ACDC-EFC8BCAFE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7</xdr:row>
      <xdr:rowOff>0</xdr:rowOff>
    </xdr:from>
    <xdr:ext cx="304800" cy="304800"/>
    <xdr:sp macro="" textlink="">
      <xdr:nvSpPr>
        <xdr:cNvPr id="7484" name="AutoShape 419">
          <a:extLst>
            <a:ext uri="{FF2B5EF4-FFF2-40B4-BE49-F238E27FC236}">
              <a16:creationId xmlns:a16="http://schemas.microsoft.com/office/drawing/2014/main" id="{0DC46333-D8B4-48EB-B23A-BA72A4DD214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7</xdr:row>
      <xdr:rowOff>0</xdr:rowOff>
    </xdr:from>
    <xdr:ext cx="9525" cy="9525"/>
    <xdr:pic>
      <xdr:nvPicPr>
        <xdr:cNvPr id="7485" name="Picture 7484">
          <a:extLst>
            <a:ext uri="{FF2B5EF4-FFF2-40B4-BE49-F238E27FC236}">
              <a16:creationId xmlns:a16="http://schemas.microsoft.com/office/drawing/2014/main" id="{F0EE44A8-7830-4EA4-A213-911547EA2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7</xdr:row>
      <xdr:rowOff>0</xdr:rowOff>
    </xdr:from>
    <xdr:ext cx="304800" cy="304800"/>
    <xdr:sp macro="" textlink="">
      <xdr:nvSpPr>
        <xdr:cNvPr id="7486" name="AutoShape 475">
          <a:extLst>
            <a:ext uri="{FF2B5EF4-FFF2-40B4-BE49-F238E27FC236}">
              <a16:creationId xmlns:a16="http://schemas.microsoft.com/office/drawing/2014/main" id="{21E78945-2162-4E60-8352-48BAAAE53FDC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7</xdr:row>
      <xdr:rowOff>0</xdr:rowOff>
    </xdr:from>
    <xdr:ext cx="9525" cy="9525"/>
    <xdr:pic>
      <xdr:nvPicPr>
        <xdr:cNvPr id="7487" name="Picture 7486">
          <a:extLst>
            <a:ext uri="{FF2B5EF4-FFF2-40B4-BE49-F238E27FC236}">
              <a16:creationId xmlns:a16="http://schemas.microsoft.com/office/drawing/2014/main" id="{2FE966D8-9D7C-4538-A8E6-575437702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9525" cy="9525"/>
    <xdr:pic>
      <xdr:nvPicPr>
        <xdr:cNvPr id="7488" name="Picture 7487">
          <a:extLst>
            <a:ext uri="{FF2B5EF4-FFF2-40B4-BE49-F238E27FC236}">
              <a16:creationId xmlns:a16="http://schemas.microsoft.com/office/drawing/2014/main" id="{CECBC9CF-AB6B-4258-A580-D638180D4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9525" cy="9525"/>
    <xdr:pic>
      <xdr:nvPicPr>
        <xdr:cNvPr id="7489" name="Picture 7488">
          <a:extLst>
            <a:ext uri="{FF2B5EF4-FFF2-40B4-BE49-F238E27FC236}">
              <a16:creationId xmlns:a16="http://schemas.microsoft.com/office/drawing/2014/main" id="{E2D75239-FA5E-4190-8AFD-28C6E166F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4800"/>
    <xdr:sp macro="" textlink="">
      <xdr:nvSpPr>
        <xdr:cNvPr id="7490" name="AutoShape 183">
          <a:extLst>
            <a:ext uri="{FF2B5EF4-FFF2-40B4-BE49-F238E27FC236}">
              <a16:creationId xmlns:a16="http://schemas.microsoft.com/office/drawing/2014/main" id="{654610D0-CA00-49B5-8C88-D54B29490BB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15</xdr:row>
      <xdr:rowOff>0</xdr:rowOff>
    </xdr:from>
    <xdr:ext cx="9525" cy="9525"/>
    <xdr:pic>
      <xdr:nvPicPr>
        <xdr:cNvPr id="7491" name="Picture 7490">
          <a:extLst>
            <a:ext uri="{FF2B5EF4-FFF2-40B4-BE49-F238E27FC236}">
              <a16:creationId xmlns:a16="http://schemas.microsoft.com/office/drawing/2014/main" id="{2C5EE036-6F2A-4640-8022-BE8766FF4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4800"/>
    <xdr:sp macro="" textlink="">
      <xdr:nvSpPr>
        <xdr:cNvPr id="7492" name="AutoShape 209">
          <a:extLst>
            <a:ext uri="{FF2B5EF4-FFF2-40B4-BE49-F238E27FC236}">
              <a16:creationId xmlns:a16="http://schemas.microsoft.com/office/drawing/2014/main" id="{4734B9B3-B95F-492D-ADA4-5E12E3CCF11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15</xdr:row>
      <xdr:rowOff>0</xdr:rowOff>
    </xdr:from>
    <xdr:ext cx="9525" cy="9525"/>
    <xdr:pic>
      <xdr:nvPicPr>
        <xdr:cNvPr id="7493" name="Picture 7492">
          <a:extLst>
            <a:ext uri="{FF2B5EF4-FFF2-40B4-BE49-F238E27FC236}">
              <a16:creationId xmlns:a16="http://schemas.microsoft.com/office/drawing/2014/main" id="{85056642-3BD6-46B1-9202-61C306357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4800"/>
    <xdr:sp macro="" textlink="">
      <xdr:nvSpPr>
        <xdr:cNvPr id="7494" name="AutoShape 233">
          <a:extLst>
            <a:ext uri="{FF2B5EF4-FFF2-40B4-BE49-F238E27FC236}">
              <a16:creationId xmlns:a16="http://schemas.microsoft.com/office/drawing/2014/main" id="{2B9AD194-C8B6-4842-89DC-DAA913B24DE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15</xdr:row>
      <xdr:rowOff>0</xdr:rowOff>
    </xdr:from>
    <xdr:ext cx="9525" cy="9525"/>
    <xdr:pic>
      <xdr:nvPicPr>
        <xdr:cNvPr id="7495" name="Picture 7494">
          <a:extLst>
            <a:ext uri="{FF2B5EF4-FFF2-40B4-BE49-F238E27FC236}">
              <a16:creationId xmlns:a16="http://schemas.microsoft.com/office/drawing/2014/main" id="{F43DB123-6E49-4895-920D-A923D88C5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4800"/>
    <xdr:sp macro="" textlink="">
      <xdr:nvSpPr>
        <xdr:cNvPr id="7496" name="AutoShape 259">
          <a:extLst>
            <a:ext uri="{FF2B5EF4-FFF2-40B4-BE49-F238E27FC236}">
              <a16:creationId xmlns:a16="http://schemas.microsoft.com/office/drawing/2014/main" id="{37688348-C038-4E84-8D19-6FCEF3E04E1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15</xdr:row>
      <xdr:rowOff>0</xdr:rowOff>
    </xdr:from>
    <xdr:ext cx="9525" cy="9525"/>
    <xdr:pic>
      <xdr:nvPicPr>
        <xdr:cNvPr id="7497" name="Picture 7496">
          <a:extLst>
            <a:ext uri="{FF2B5EF4-FFF2-40B4-BE49-F238E27FC236}">
              <a16:creationId xmlns:a16="http://schemas.microsoft.com/office/drawing/2014/main" id="{E545CD69-87BF-4D31-8201-010D7F011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4800"/>
    <xdr:sp macro="" textlink="">
      <xdr:nvSpPr>
        <xdr:cNvPr id="7498" name="AutoShape 311">
          <a:extLst>
            <a:ext uri="{FF2B5EF4-FFF2-40B4-BE49-F238E27FC236}">
              <a16:creationId xmlns:a16="http://schemas.microsoft.com/office/drawing/2014/main" id="{7292E4D8-9E45-47A3-B57D-C1174E68CFA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15</xdr:row>
      <xdr:rowOff>0</xdr:rowOff>
    </xdr:from>
    <xdr:ext cx="9525" cy="9525"/>
    <xdr:pic>
      <xdr:nvPicPr>
        <xdr:cNvPr id="7499" name="Picture 7498">
          <a:extLst>
            <a:ext uri="{FF2B5EF4-FFF2-40B4-BE49-F238E27FC236}">
              <a16:creationId xmlns:a16="http://schemas.microsoft.com/office/drawing/2014/main" id="{2EDB5872-30E0-4A20-B6EC-5CA6C7CFF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4800"/>
    <xdr:sp macro="" textlink="">
      <xdr:nvSpPr>
        <xdr:cNvPr id="7500" name="AutoShape 363">
          <a:extLst>
            <a:ext uri="{FF2B5EF4-FFF2-40B4-BE49-F238E27FC236}">
              <a16:creationId xmlns:a16="http://schemas.microsoft.com/office/drawing/2014/main" id="{468E7B3A-9D3E-4FA0-89DD-F0A4FB1689C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15</xdr:row>
      <xdr:rowOff>0</xdr:rowOff>
    </xdr:from>
    <xdr:ext cx="9525" cy="9525"/>
    <xdr:pic>
      <xdr:nvPicPr>
        <xdr:cNvPr id="7501" name="Picture 7500">
          <a:extLst>
            <a:ext uri="{FF2B5EF4-FFF2-40B4-BE49-F238E27FC236}">
              <a16:creationId xmlns:a16="http://schemas.microsoft.com/office/drawing/2014/main" id="{CAC5863A-5DDE-457D-BBCD-B0BECF67A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4800"/>
    <xdr:sp macro="" textlink="">
      <xdr:nvSpPr>
        <xdr:cNvPr id="7502" name="AutoShape 419">
          <a:extLst>
            <a:ext uri="{FF2B5EF4-FFF2-40B4-BE49-F238E27FC236}">
              <a16:creationId xmlns:a16="http://schemas.microsoft.com/office/drawing/2014/main" id="{468486F9-B03E-48B1-9D15-D8071F85C93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15</xdr:row>
      <xdr:rowOff>0</xdr:rowOff>
    </xdr:from>
    <xdr:ext cx="9525" cy="9525"/>
    <xdr:pic>
      <xdr:nvPicPr>
        <xdr:cNvPr id="7503" name="Picture 7502">
          <a:extLst>
            <a:ext uri="{FF2B5EF4-FFF2-40B4-BE49-F238E27FC236}">
              <a16:creationId xmlns:a16="http://schemas.microsoft.com/office/drawing/2014/main" id="{380B032F-CFAF-483F-9AD9-CFFE43486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4800"/>
    <xdr:sp macro="" textlink="">
      <xdr:nvSpPr>
        <xdr:cNvPr id="7504" name="AutoShape 475">
          <a:extLst>
            <a:ext uri="{FF2B5EF4-FFF2-40B4-BE49-F238E27FC236}">
              <a16:creationId xmlns:a16="http://schemas.microsoft.com/office/drawing/2014/main" id="{8308E400-C9BC-43B6-AF13-2BA780D7D9D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15</xdr:row>
      <xdr:rowOff>0</xdr:rowOff>
    </xdr:from>
    <xdr:ext cx="9525" cy="9525"/>
    <xdr:pic>
      <xdr:nvPicPr>
        <xdr:cNvPr id="7505" name="Picture 7504">
          <a:extLst>
            <a:ext uri="{FF2B5EF4-FFF2-40B4-BE49-F238E27FC236}">
              <a16:creationId xmlns:a16="http://schemas.microsoft.com/office/drawing/2014/main" id="{90F4F9FF-61B1-47FD-8CEA-53E23FB82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21</xdr:row>
      <xdr:rowOff>0</xdr:rowOff>
    </xdr:from>
    <xdr:ext cx="304800" cy="304800"/>
    <xdr:sp macro="" textlink="">
      <xdr:nvSpPr>
        <xdr:cNvPr id="7506" name="AutoShape 154">
          <a:extLst>
            <a:ext uri="{FF2B5EF4-FFF2-40B4-BE49-F238E27FC236}">
              <a16:creationId xmlns:a16="http://schemas.microsoft.com/office/drawing/2014/main" id="{596CC0A0-1810-4E33-90AF-6596902A53F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21</xdr:row>
      <xdr:rowOff>0</xdr:rowOff>
    </xdr:from>
    <xdr:ext cx="304800" cy="304800"/>
    <xdr:sp macro="" textlink="">
      <xdr:nvSpPr>
        <xdr:cNvPr id="7507" name="AutoShape 505">
          <a:extLst>
            <a:ext uri="{FF2B5EF4-FFF2-40B4-BE49-F238E27FC236}">
              <a16:creationId xmlns:a16="http://schemas.microsoft.com/office/drawing/2014/main" id="{EC0B49D5-5C6F-43D4-99C8-5F7BF1BB0862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21</xdr:row>
      <xdr:rowOff>0</xdr:rowOff>
    </xdr:from>
    <xdr:ext cx="9525" cy="9525"/>
    <xdr:pic>
      <xdr:nvPicPr>
        <xdr:cNvPr id="7508" name="Picture 7507">
          <a:extLst>
            <a:ext uri="{FF2B5EF4-FFF2-40B4-BE49-F238E27FC236}">
              <a16:creationId xmlns:a16="http://schemas.microsoft.com/office/drawing/2014/main" id="{009CB5D3-1370-45B8-8A3B-622FACB43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21</xdr:row>
      <xdr:rowOff>0</xdr:rowOff>
    </xdr:from>
    <xdr:ext cx="9525" cy="9525"/>
    <xdr:pic>
      <xdr:nvPicPr>
        <xdr:cNvPr id="7509" name="Picture 7508">
          <a:extLst>
            <a:ext uri="{FF2B5EF4-FFF2-40B4-BE49-F238E27FC236}">
              <a16:creationId xmlns:a16="http://schemas.microsoft.com/office/drawing/2014/main" id="{4F50A0C9-FABC-47A5-9043-7D842F574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21</xdr:row>
      <xdr:rowOff>0</xdr:rowOff>
    </xdr:from>
    <xdr:ext cx="304800" cy="304800"/>
    <xdr:sp macro="" textlink="">
      <xdr:nvSpPr>
        <xdr:cNvPr id="7510" name="AutoShape 183">
          <a:extLst>
            <a:ext uri="{FF2B5EF4-FFF2-40B4-BE49-F238E27FC236}">
              <a16:creationId xmlns:a16="http://schemas.microsoft.com/office/drawing/2014/main" id="{09A3D338-6546-42A9-8FD3-F57D15FC097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21</xdr:row>
      <xdr:rowOff>0</xdr:rowOff>
    </xdr:from>
    <xdr:ext cx="9525" cy="9525"/>
    <xdr:pic>
      <xdr:nvPicPr>
        <xdr:cNvPr id="7511" name="Picture 7510">
          <a:extLst>
            <a:ext uri="{FF2B5EF4-FFF2-40B4-BE49-F238E27FC236}">
              <a16:creationId xmlns:a16="http://schemas.microsoft.com/office/drawing/2014/main" id="{02AF2B23-657E-43A6-9DDF-88D8A054B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21</xdr:row>
      <xdr:rowOff>0</xdr:rowOff>
    </xdr:from>
    <xdr:ext cx="304800" cy="304800"/>
    <xdr:sp macro="" textlink="">
      <xdr:nvSpPr>
        <xdr:cNvPr id="7512" name="AutoShape 209">
          <a:extLst>
            <a:ext uri="{FF2B5EF4-FFF2-40B4-BE49-F238E27FC236}">
              <a16:creationId xmlns:a16="http://schemas.microsoft.com/office/drawing/2014/main" id="{EF0FF744-C075-4972-AE82-89AADD6E186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21</xdr:row>
      <xdr:rowOff>0</xdr:rowOff>
    </xdr:from>
    <xdr:ext cx="9525" cy="9525"/>
    <xdr:pic>
      <xdr:nvPicPr>
        <xdr:cNvPr id="7513" name="Picture 7512">
          <a:extLst>
            <a:ext uri="{FF2B5EF4-FFF2-40B4-BE49-F238E27FC236}">
              <a16:creationId xmlns:a16="http://schemas.microsoft.com/office/drawing/2014/main" id="{A125BE9D-39BC-48D8-8A4C-61264D995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21</xdr:row>
      <xdr:rowOff>0</xdr:rowOff>
    </xdr:from>
    <xdr:ext cx="304800" cy="304800"/>
    <xdr:sp macro="" textlink="">
      <xdr:nvSpPr>
        <xdr:cNvPr id="7514" name="AutoShape 233">
          <a:extLst>
            <a:ext uri="{FF2B5EF4-FFF2-40B4-BE49-F238E27FC236}">
              <a16:creationId xmlns:a16="http://schemas.microsoft.com/office/drawing/2014/main" id="{F546F93B-7C40-42A8-9D0C-0430F1DB1CB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21</xdr:row>
      <xdr:rowOff>0</xdr:rowOff>
    </xdr:from>
    <xdr:ext cx="9525" cy="9525"/>
    <xdr:pic>
      <xdr:nvPicPr>
        <xdr:cNvPr id="7515" name="Picture 7514">
          <a:extLst>
            <a:ext uri="{FF2B5EF4-FFF2-40B4-BE49-F238E27FC236}">
              <a16:creationId xmlns:a16="http://schemas.microsoft.com/office/drawing/2014/main" id="{80074525-7F23-4BAA-9814-D92C01187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21</xdr:row>
      <xdr:rowOff>0</xdr:rowOff>
    </xdr:from>
    <xdr:ext cx="304800" cy="304800"/>
    <xdr:sp macro="" textlink="">
      <xdr:nvSpPr>
        <xdr:cNvPr id="7516" name="AutoShape 259">
          <a:extLst>
            <a:ext uri="{FF2B5EF4-FFF2-40B4-BE49-F238E27FC236}">
              <a16:creationId xmlns:a16="http://schemas.microsoft.com/office/drawing/2014/main" id="{5C88D7E8-83A0-4BBD-8868-9D2514C424AF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21</xdr:row>
      <xdr:rowOff>0</xdr:rowOff>
    </xdr:from>
    <xdr:ext cx="9525" cy="9525"/>
    <xdr:pic>
      <xdr:nvPicPr>
        <xdr:cNvPr id="7517" name="Picture 7516">
          <a:extLst>
            <a:ext uri="{FF2B5EF4-FFF2-40B4-BE49-F238E27FC236}">
              <a16:creationId xmlns:a16="http://schemas.microsoft.com/office/drawing/2014/main" id="{7B619EB4-C3CC-460B-B890-9B540353F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21</xdr:row>
      <xdr:rowOff>0</xdr:rowOff>
    </xdr:from>
    <xdr:ext cx="304800" cy="304800"/>
    <xdr:sp macro="" textlink="">
      <xdr:nvSpPr>
        <xdr:cNvPr id="7518" name="AutoShape 311">
          <a:extLst>
            <a:ext uri="{FF2B5EF4-FFF2-40B4-BE49-F238E27FC236}">
              <a16:creationId xmlns:a16="http://schemas.microsoft.com/office/drawing/2014/main" id="{63117F9B-843B-4019-8BB0-1611309764D5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21</xdr:row>
      <xdr:rowOff>0</xdr:rowOff>
    </xdr:from>
    <xdr:ext cx="9525" cy="9525"/>
    <xdr:pic>
      <xdr:nvPicPr>
        <xdr:cNvPr id="7519" name="Picture 7518">
          <a:extLst>
            <a:ext uri="{FF2B5EF4-FFF2-40B4-BE49-F238E27FC236}">
              <a16:creationId xmlns:a16="http://schemas.microsoft.com/office/drawing/2014/main" id="{3B18CCB6-D863-4763-BCEC-42C9C935A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21</xdr:row>
      <xdr:rowOff>0</xdr:rowOff>
    </xdr:from>
    <xdr:ext cx="304800" cy="304800"/>
    <xdr:sp macro="" textlink="">
      <xdr:nvSpPr>
        <xdr:cNvPr id="7520" name="AutoShape 363">
          <a:extLst>
            <a:ext uri="{FF2B5EF4-FFF2-40B4-BE49-F238E27FC236}">
              <a16:creationId xmlns:a16="http://schemas.microsoft.com/office/drawing/2014/main" id="{283EE470-01F2-4B23-8CF4-061A6BF2677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21</xdr:row>
      <xdr:rowOff>0</xdr:rowOff>
    </xdr:from>
    <xdr:ext cx="9525" cy="9525"/>
    <xdr:pic>
      <xdr:nvPicPr>
        <xdr:cNvPr id="7521" name="Picture 7520">
          <a:extLst>
            <a:ext uri="{FF2B5EF4-FFF2-40B4-BE49-F238E27FC236}">
              <a16:creationId xmlns:a16="http://schemas.microsoft.com/office/drawing/2014/main" id="{DC90EAC3-804A-4F7E-8FFC-83635E9A5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21</xdr:row>
      <xdr:rowOff>0</xdr:rowOff>
    </xdr:from>
    <xdr:ext cx="304800" cy="304800"/>
    <xdr:sp macro="" textlink="">
      <xdr:nvSpPr>
        <xdr:cNvPr id="7522" name="AutoShape 419">
          <a:extLst>
            <a:ext uri="{FF2B5EF4-FFF2-40B4-BE49-F238E27FC236}">
              <a16:creationId xmlns:a16="http://schemas.microsoft.com/office/drawing/2014/main" id="{5963CB86-F70C-4616-80E6-C2D6F9BD4BE6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21</xdr:row>
      <xdr:rowOff>0</xdr:rowOff>
    </xdr:from>
    <xdr:ext cx="9525" cy="9525"/>
    <xdr:pic>
      <xdr:nvPicPr>
        <xdr:cNvPr id="7523" name="Picture 7522">
          <a:extLst>
            <a:ext uri="{FF2B5EF4-FFF2-40B4-BE49-F238E27FC236}">
              <a16:creationId xmlns:a16="http://schemas.microsoft.com/office/drawing/2014/main" id="{FAE81442-5427-4521-B0E3-B3F39C881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21</xdr:row>
      <xdr:rowOff>0</xdr:rowOff>
    </xdr:from>
    <xdr:ext cx="304800" cy="304800"/>
    <xdr:sp macro="" textlink="">
      <xdr:nvSpPr>
        <xdr:cNvPr id="7524" name="AutoShape 475">
          <a:extLst>
            <a:ext uri="{FF2B5EF4-FFF2-40B4-BE49-F238E27FC236}">
              <a16:creationId xmlns:a16="http://schemas.microsoft.com/office/drawing/2014/main" id="{1F274772-AC72-4478-A400-6F24C2ACFAC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21</xdr:row>
      <xdr:rowOff>0</xdr:rowOff>
    </xdr:from>
    <xdr:ext cx="9525" cy="9525"/>
    <xdr:pic>
      <xdr:nvPicPr>
        <xdr:cNvPr id="7525" name="Picture 7524">
          <a:extLst>
            <a:ext uri="{FF2B5EF4-FFF2-40B4-BE49-F238E27FC236}">
              <a16:creationId xmlns:a16="http://schemas.microsoft.com/office/drawing/2014/main" id="{FDD72844-D721-4290-9089-71138D30B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16</xdr:row>
      <xdr:rowOff>0</xdr:rowOff>
    </xdr:from>
    <xdr:ext cx="9525" cy="9525"/>
    <xdr:pic>
      <xdr:nvPicPr>
        <xdr:cNvPr id="7526" name="Picture 7525">
          <a:extLst>
            <a:ext uri="{FF2B5EF4-FFF2-40B4-BE49-F238E27FC236}">
              <a16:creationId xmlns:a16="http://schemas.microsoft.com/office/drawing/2014/main" id="{9367353E-5D58-4DE9-9EC1-4389FC816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3440"/>
    <xdr:sp macro="" textlink="">
      <xdr:nvSpPr>
        <xdr:cNvPr id="7527" name="AutoShape 169">
          <a:extLst>
            <a:ext uri="{FF2B5EF4-FFF2-40B4-BE49-F238E27FC236}">
              <a16:creationId xmlns:a16="http://schemas.microsoft.com/office/drawing/2014/main" id="{4245B1FA-A67C-4240-B103-207A64B14F0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16</xdr:row>
      <xdr:rowOff>0</xdr:rowOff>
    </xdr:from>
    <xdr:ext cx="304800" cy="303439"/>
    <xdr:sp macro="" textlink="">
      <xdr:nvSpPr>
        <xdr:cNvPr id="7528" name="AutoShape 171">
          <a:extLst>
            <a:ext uri="{FF2B5EF4-FFF2-40B4-BE49-F238E27FC236}">
              <a16:creationId xmlns:a16="http://schemas.microsoft.com/office/drawing/2014/main" id="{EC853BFD-3AE1-46B4-BD70-56BD5D01166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16</xdr:row>
      <xdr:rowOff>0</xdr:rowOff>
    </xdr:from>
    <xdr:ext cx="9525" cy="9525"/>
    <xdr:pic>
      <xdr:nvPicPr>
        <xdr:cNvPr id="7529" name="Picture 7528">
          <a:extLst>
            <a:ext uri="{FF2B5EF4-FFF2-40B4-BE49-F238E27FC236}">
              <a16:creationId xmlns:a16="http://schemas.microsoft.com/office/drawing/2014/main" id="{E8DFFD32-2A3D-482D-9188-FACC2A956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3440"/>
    <xdr:sp macro="" textlink="">
      <xdr:nvSpPr>
        <xdr:cNvPr id="7530" name="AutoShape 199">
          <a:extLst>
            <a:ext uri="{FF2B5EF4-FFF2-40B4-BE49-F238E27FC236}">
              <a16:creationId xmlns:a16="http://schemas.microsoft.com/office/drawing/2014/main" id="{2A9D6691-6D84-4883-8554-5C5180B2A425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16</xdr:row>
      <xdr:rowOff>0</xdr:rowOff>
    </xdr:from>
    <xdr:ext cx="9525" cy="9525"/>
    <xdr:pic>
      <xdr:nvPicPr>
        <xdr:cNvPr id="7531" name="Picture 7530">
          <a:extLst>
            <a:ext uri="{FF2B5EF4-FFF2-40B4-BE49-F238E27FC236}">
              <a16:creationId xmlns:a16="http://schemas.microsoft.com/office/drawing/2014/main" id="{81A8E1B3-6246-4880-8FAC-10BF6D0A7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16</xdr:row>
      <xdr:rowOff>0</xdr:rowOff>
    </xdr:from>
    <xdr:ext cx="9525" cy="9525"/>
    <xdr:pic>
      <xdr:nvPicPr>
        <xdr:cNvPr id="7532" name="Picture 7531">
          <a:extLst>
            <a:ext uri="{FF2B5EF4-FFF2-40B4-BE49-F238E27FC236}">
              <a16:creationId xmlns:a16="http://schemas.microsoft.com/office/drawing/2014/main" id="{60C00BAD-E903-429A-B548-C840F4896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3440"/>
    <xdr:sp macro="" textlink="">
      <xdr:nvSpPr>
        <xdr:cNvPr id="7533" name="AutoShape 249">
          <a:extLst>
            <a:ext uri="{FF2B5EF4-FFF2-40B4-BE49-F238E27FC236}">
              <a16:creationId xmlns:a16="http://schemas.microsoft.com/office/drawing/2014/main" id="{4241C2FE-2009-4F03-B039-ECD1CEBA30DC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16</xdr:row>
      <xdr:rowOff>0</xdr:rowOff>
    </xdr:from>
    <xdr:ext cx="9525" cy="9525"/>
    <xdr:pic>
      <xdr:nvPicPr>
        <xdr:cNvPr id="7534" name="Picture 7533">
          <a:extLst>
            <a:ext uri="{FF2B5EF4-FFF2-40B4-BE49-F238E27FC236}">
              <a16:creationId xmlns:a16="http://schemas.microsoft.com/office/drawing/2014/main" id="{B5612786-4FD7-449A-8DA5-C2236E474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3440"/>
    <xdr:sp macro="" textlink="">
      <xdr:nvSpPr>
        <xdr:cNvPr id="7535" name="AutoShape 275">
          <a:extLst>
            <a:ext uri="{FF2B5EF4-FFF2-40B4-BE49-F238E27FC236}">
              <a16:creationId xmlns:a16="http://schemas.microsoft.com/office/drawing/2014/main" id="{05EF2766-0401-4E25-AB02-4A3094A0061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16</xdr:row>
      <xdr:rowOff>0</xdr:rowOff>
    </xdr:from>
    <xdr:ext cx="9525" cy="9525"/>
    <xdr:pic>
      <xdr:nvPicPr>
        <xdr:cNvPr id="7536" name="Picture 7535">
          <a:extLst>
            <a:ext uri="{FF2B5EF4-FFF2-40B4-BE49-F238E27FC236}">
              <a16:creationId xmlns:a16="http://schemas.microsoft.com/office/drawing/2014/main" id="{F00C70C0-8AA9-4F85-87CE-BEB1A5184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3440"/>
    <xdr:sp macro="" textlink="">
      <xdr:nvSpPr>
        <xdr:cNvPr id="7537" name="AutoShape 327">
          <a:extLst>
            <a:ext uri="{FF2B5EF4-FFF2-40B4-BE49-F238E27FC236}">
              <a16:creationId xmlns:a16="http://schemas.microsoft.com/office/drawing/2014/main" id="{9E303078-0BC4-4DFE-BC25-68AAA8DC149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16</xdr:row>
      <xdr:rowOff>0</xdr:rowOff>
    </xdr:from>
    <xdr:ext cx="9525" cy="9525"/>
    <xdr:pic>
      <xdr:nvPicPr>
        <xdr:cNvPr id="7538" name="Picture 7537">
          <a:extLst>
            <a:ext uri="{FF2B5EF4-FFF2-40B4-BE49-F238E27FC236}">
              <a16:creationId xmlns:a16="http://schemas.microsoft.com/office/drawing/2014/main" id="{62811F7F-A1DF-4F08-B4C8-608D83E70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3440"/>
    <xdr:sp macro="" textlink="">
      <xdr:nvSpPr>
        <xdr:cNvPr id="7539" name="AutoShape 379">
          <a:extLst>
            <a:ext uri="{FF2B5EF4-FFF2-40B4-BE49-F238E27FC236}">
              <a16:creationId xmlns:a16="http://schemas.microsoft.com/office/drawing/2014/main" id="{27ED3D40-113A-4011-B62D-535560B162B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16</xdr:row>
      <xdr:rowOff>0</xdr:rowOff>
    </xdr:from>
    <xdr:ext cx="304800" cy="303439"/>
    <xdr:sp macro="" textlink="">
      <xdr:nvSpPr>
        <xdr:cNvPr id="7540" name="AutoShape 381">
          <a:extLst>
            <a:ext uri="{FF2B5EF4-FFF2-40B4-BE49-F238E27FC236}">
              <a16:creationId xmlns:a16="http://schemas.microsoft.com/office/drawing/2014/main" id="{D8863ADA-E7F3-4099-A438-B203EEE2A47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16</xdr:row>
      <xdr:rowOff>0</xdr:rowOff>
    </xdr:from>
    <xdr:ext cx="9525" cy="9525"/>
    <xdr:pic>
      <xdr:nvPicPr>
        <xdr:cNvPr id="7541" name="Picture 7540">
          <a:extLst>
            <a:ext uri="{FF2B5EF4-FFF2-40B4-BE49-F238E27FC236}">
              <a16:creationId xmlns:a16="http://schemas.microsoft.com/office/drawing/2014/main" id="{C1DE8BB8-DC61-4E41-87D0-B9BBE72ED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3440"/>
    <xdr:sp macro="" textlink="">
      <xdr:nvSpPr>
        <xdr:cNvPr id="7542" name="AutoShape 435">
          <a:extLst>
            <a:ext uri="{FF2B5EF4-FFF2-40B4-BE49-F238E27FC236}">
              <a16:creationId xmlns:a16="http://schemas.microsoft.com/office/drawing/2014/main" id="{D74CA288-7275-4CAA-A3F2-E09CC3B79FD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16</xdr:row>
      <xdr:rowOff>0</xdr:rowOff>
    </xdr:from>
    <xdr:ext cx="304800" cy="303439"/>
    <xdr:sp macro="" textlink="">
      <xdr:nvSpPr>
        <xdr:cNvPr id="7543" name="AutoShape 437">
          <a:extLst>
            <a:ext uri="{FF2B5EF4-FFF2-40B4-BE49-F238E27FC236}">
              <a16:creationId xmlns:a16="http://schemas.microsoft.com/office/drawing/2014/main" id="{DB56C6FC-F133-4A9E-B31A-2497B53BA90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16</xdr:row>
      <xdr:rowOff>0</xdr:rowOff>
    </xdr:from>
    <xdr:ext cx="9525" cy="9525"/>
    <xdr:pic>
      <xdr:nvPicPr>
        <xdr:cNvPr id="7544" name="Picture 7543">
          <a:extLst>
            <a:ext uri="{FF2B5EF4-FFF2-40B4-BE49-F238E27FC236}">
              <a16:creationId xmlns:a16="http://schemas.microsoft.com/office/drawing/2014/main" id="{F85C1132-D4FF-4826-8E1C-01169B5A0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3440"/>
    <xdr:sp macro="" textlink="">
      <xdr:nvSpPr>
        <xdr:cNvPr id="7545" name="AutoShape 491">
          <a:extLst>
            <a:ext uri="{FF2B5EF4-FFF2-40B4-BE49-F238E27FC236}">
              <a16:creationId xmlns:a16="http://schemas.microsoft.com/office/drawing/2014/main" id="{323472D0-3241-48D9-99E0-D79EC841975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16</xdr:row>
      <xdr:rowOff>0</xdr:rowOff>
    </xdr:from>
    <xdr:ext cx="304800" cy="303439"/>
    <xdr:sp macro="" textlink="">
      <xdr:nvSpPr>
        <xdr:cNvPr id="7546" name="AutoShape 493">
          <a:extLst>
            <a:ext uri="{FF2B5EF4-FFF2-40B4-BE49-F238E27FC236}">
              <a16:creationId xmlns:a16="http://schemas.microsoft.com/office/drawing/2014/main" id="{F400CF07-74E0-46B3-8439-6E9316AD289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16</xdr:row>
      <xdr:rowOff>0</xdr:rowOff>
    </xdr:from>
    <xdr:ext cx="9525" cy="9525"/>
    <xdr:pic>
      <xdr:nvPicPr>
        <xdr:cNvPr id="7547" name="Picture 7546">
          <a:extLst>
            <a:ext uri="{FF2B5EF4-FFF2-40B4-BE49-F238E27FC236}">
              <a16:creationId xmlns:a16="http://schemas.microsoft.com/office/drawing/2014/main" id="{D237F519-78B5-409C-BC71-F2A23CCE4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3440"/>
    <xdr:sp macro="" textlink="">
      <xdr:nvSpPr>
        <xdr:cNvPr id="7548" name="AutoShape 525">
          <a:extLst>
            <a:ext uri="{FF2B5EF4-FFF2-40B4-BE49-F238E27FC236}">
              <a16:creationId xmlns:a16="http://schemas.microsoft.com/office/drawing/2014/main" id="{0921F174-D0CE-4BB3-BFEA-A1BE0F78B70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16</xdr:row>
      <xdr:rowOff>0</xdr:rowOff>
    </xdr:from>
    <xdr:ext cx="304800" cy="303439"/>
    <xdr:sp macro="" textlink="">
      <xdr:nvSpPr>
        <xdr:cNvPr id="7549" name="AutoShape 527">
          <a:extLst>
            <a:ext uri="{FF2B5EF4-FFF2-40B4-BE49-F238E27FC236}">
              <a16:creationId xmlns:a16="http://schemas.microsoft.com/office/drawing/2014/main" id="{F3B22445-3CC9-4EA3-8ACD-7389BD7856CB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19</xdr:row>
      <xdr:rowOff>0</xdr:rowOff>
    </xdr:from>
    <xdr:ext cx="9525" cy="9525"/>
    <xdr:pic>
      <xdr:nvPicPr>
        <xdr:cNvPr id="7550" name="Picture 7549">
          <a:extLst>
            <a:ext uri="{FF2B5EF4-FFF2-40B4-BE49-F238E27FC236}">
              <a16:creationId xmlns:a16="http://schemas.microsoft.com/office/drawing/2014/main" id="{FF817DCB-FBF7-4247-A8AA-C64DCB9F2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18</xdr:row>
      <xdr:rowOff>0</xdr:rowOff>
    </xdr:from>
    <xdr:ext cx="304800" cy="303440"/>
    <xdr:sp macro="" textlink="">
      <xdr:nvSpPr>
        <xdr:cNvPr id="7551" name="AutoShape 173">
          <a:extLst>
            <a:ext uri="{FF2B5EF4-FFF2-40B4-BE49-F238E27FC236}">
              <a16:creationId xmlns:a16="http://schemas.microsoft.com/office/drawing/2014/main" id="{3BBC324C-4483-4AE6-92B4-45791A65845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653643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20</xdr:row>
      <xdr:rowOff>0</xdr:rowOff>
    </xdr:from>
    <xdr:ext cx="9525" cy="9525"/>
    <xdr:pic>
      <xdr:nvPicPr>
        <xdr:cNvPr id="7552" name="Picture 7551">
          <a:extLst>
            <a:ext uri="{FF2B5EF4-FFF2-40B4-BE49-F238E27FC236}">
              <a16:creationId xmlns:a16="http://schemas.microsoft.com/office/drawing/2014/main" id="{CBDDC2CF-75D0-424E-BE06-DCED1E126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19</xdr:row>
      <xdr:rowOff>0</xdr:rowOff>
    </xdr:from>
    <xdr:ext cx="9525" cy="9525"/>
    <xdr:pic>
      <xdr:nvPicPr>
        <xdr:cNvPr id="7553" name="Picture 7552">
          <a:extLst>
            <a:ext uri="{FF2B5EF4-FFF2-40B4-BE49-F238E27FC236}">
              <a16:creationId xmlns:a16="http://schemas.microsoft.com/office/drawing/2014/main" id="{FEA99E85-8F78-4448-B6BD-DAF1E8422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19</xdr:row>
      <xdr:rowOff>0</xdr:rowOff>
    </xdr:from>
    <xdr:ext cx="9525" cy="9525"/>
    <xdr:pic>
      <xdr:nvPicPr>
        <xdr:cNvPr id="7554" name="Picture 7553">
          <a:extLst>
            <a:ext uri="{FF2B5EF4-FFF2-40B4-BE49-F238E27FC236}">
              <a16:creationId xmlns:a16="http://schemas.microsoft.com/office/drawing/2014/main" id="{738CC934-5C02-4939-A935-C860B579D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19</xdr:row>
      <xdr:rowOff>0</xdr:rowOff>
    </xdr:from>
    <xdr:ext cx="9525" cy="9525"/>
    <xdr:pic>
      <xdr:nvPicPr>
        <xdr:cNvPr id="7555" name="Picture 7554">
          <a:extLst>
            <a:ext uri="{FF2B5EF4-FFF2-40B4-BE49-F238E27FC236}">
              <a16:creationId xmlns:a16="http://schemas.microsoft.com/office/drawing/2014/main" id="{AF266FC3-B7B8-4F05-9841-53A3548A3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19</xdr:row>
      <xdr:rowOff>0</xdr:rowOff>
    </xdr:from>
    <xdr:ext cx="9525" cy="9525"/>
    <xdr:pic>
      <xdr:nvPicPr>
        <xdr:cNvPr id="7556" name="Picture 7555">
          <a:extLst>
            <a:ext uri="{FF2B5EF4-FFF2-40B4-BE49-F238E27FC236}">
              <a16:creationId xmlns:a16="http://schemas.microsoft.com/office/drawing/2014/main" id="{2473EBBD-68B4-429B-97C5-CEDC2587B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19</xdr:row>
      <xdr:rowOff>0</xdr:rowOff>
    </xdr:from>
    <xdr:ext cx="9525" cy="9525"/>
    <xdr:pic>
      <xdr:nvPicPr>
        <xdr:cNvPr id="7557" name="Picture 7556">
          <a:extLst>
            <a:ext uri="{FF2B5EF4-FFF2-40B4-BE49-F238E27FC236}">
              <a16:creationId xmlns:a16="http://schemas.microsoft.com/office/drawing/2014/main" id="{244F9886-74DB-4AF6-85FF-EA20FAA6C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20</xdr:row>
      <xdr:rowOff>0</xdr:rowOff>
    </xdr:from>
    <xdr:ext cx="9525" cy="9525"/>
    <xdr:pic>
      <xdr:nvPicPr>
        <xdr:cNvPr id="7558" name="Picture 7557">
          <a:extLst>
            <a:ext uri="{FF2B5EF4-FFF2-40B4-BE49-F238E27FC236}">
              <a16:creationId xmlns:a16="http://schemas.microsoft.com/office/drawing/2014/main" id="{4BBB9E4E-64DD-4A81-B47A-3295F0AF9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19</xdr:row>
      <xdr:rowOff>0</xdr:rowOff>
    </xdr:from>
    <xdr:ext cx="9525" cy="9525"/>
    <xdr:pic>
      <xdr:nvPicPr>
        <xdr:cNvPr id="7559" name="Picture 7558">
          <a:extLst>
            <a:ext uri="{FF2B5EF4-FFF2-40B4-BE49-F238E27FC236}">
              <a16:creationId xmlns:a16="http://schemas.microsoft.com/office/drawing/2014/main" id="{7034C99E-2096-4CFA-82BB-640035C3F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20</xdr:row>
      <xdr:rowOff>0</xdr:rowOff>
    </xdr:from>
    <xdr:ext cx="9525" cy="9525"/>
    <xdr:pic>
      <xdr:nvPicPr>
        <xdr:cNvPr id="7560" name="Picture 7559">
          <a:extLst>
            <a:ext uri="{FF2B5EF4-FFF2-40B4-BE49-F238E27FC236}">
              <a16:creationId xmlns:a16="http://schemas.microsoft.com/office/drawing/2014/main" id="{405F7EB6-0754-498D-BCBF-FD2BBAA2A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19</xdr:row>
      <xdr:rowOff>0</xdr:rowOff>
    </xdr:from>
    <xdr:ext cx="9525" cy="9525"/>
    <xdr:pic>
      <xdr:nvPicPr>
        <xdr:cNvPr id="7561" name="Picture 7560">
          <a:extLst>
            <a:ext uri="{FF2B5EF4-FFF2-40B4-BE49-F238E27FC236}">
              <a16:creationId xmlns:a16="http://schemas.microsoft.com/office/drawing/2014/main" id="{F65C821D-7DB3-4676-966C-547862A3A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20</xdr:row>
      <xdr:rowOff>0</xdr:rowOff>
    </xdr:from>
    <xdr:ext cx="9525" cy="9525"/>
    <xdr:pic>
      <xdr:nvPicPr>
        <xdr:cNvPr id="7562" name="Picture 7561">
          <a:extLst>
            <a:ext uri="{FF2B5EF4-FFF2-40B4-BE49-F238E27FC236}">
              <a16:creationId xmlns:a16="http://schemas.microsoft.com/office/drawing/2014/main" id="{17DDBDD1-7728-4F27-9DF4-E9335E51C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19</xdr:row>
      <xdr:rowOff>0</xdr:rowOff>
    </xdr:from>
    <xdr:ext cx="9525" cy="9525"/>
    <xdr:pic>
      <xdr:nvPicPr>
        <xdr:cNvPr id="7563" name="Picture 7562">
          <a:extLst>
            <a:ext uri="{FF2B5EF4-FFF2-40B4-BE49-F238E27FC236}">
              <a16:creationId xmlns:a16="http://schemas.microsoft.com/office/drawing/2014/main" id="{5CA3D810-940D-4295-A578-78A0A1ED5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18</xdr:row>
      <xdr:rowOff>0</xdr:rowOff>
    </xdr:from>
    <xdr:ext cx="304800" cy="303439"/>
    <xdr:sp macro="" textlink="">
      <xdr:nvSpPr>
        <xdr:cNvPr id="7564" name="AutoShape 529">
          <a:extLst>
            <a:ext uri="{FF2B5EF4-FFF2-40B4-BE49-F238E27FC236}">
              <a16:creationId xmlns:a16="http://schemas.microsoft.com/office/drawing/2014/main" id="{54FB00E3-35A3-41D0-A78B-F8E0A17E62A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6536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20</xdr:row>
      <xdr:rowOff>0</xdr:rowOff>
    </xdr:from>
    <xdr:ext cx="9525" cy="9525"/>
    <xdr:pic>
      <xdr:nvPicPr>
        <xdr:cNvPr id="7565" name="Picture 7564">
          <a:extLst>
            <a:ext uri="{FF2B5EF4-FFF2-40B4-BE49-F238E27FC236}">
              <a16:creationId xmlns:a16="http://schemas.microsoft.com/office/drawing/2014/main" id="{3F0384EC-471B-4A94-BA54-7CD217664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19</xdr:row>
      <xdr:rowOff>0</xdr:rowOff>
    </xdr:from>
    <xdr:ext cx="304800" cy="303439"/>
    <xdr:sp macro="" textlink="">
      <xdr:nvSpPr>
        <xdr:cNvPr id="7566" name="AutoShape 531">
          <a:extLst>
            <a:ext uri="{FF2B5EF4-FFF2-40B4-BE49-F238E27FC236}">
              <a16:creationId xmlns:a16="http://schemas.microsoft.com/office/drawing/2014/main" id="{EE978589-30AB-4866-BFEB-F94FC9231006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8441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9525" cy="9525"/>
    <xdr:pic>
      <xdr:nvPicPr>
        <xdr:cNvPr id="7567" name="Picture 7566">
          <a:extLst>
            <a:ext uri="{FF2B5EF4-FFF2-40B4-BE49-F238E27FC236}">
              <a16:creationId xmlns:a16="http://schemas.microsoft.com/office/drawing/2014/main" id="{732376C0-5D50-4923-B7CD-792608CB6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17</xdr:row>
      <xdr:rowOff>0</xdr:rowOff>
    </xdr:from>
    <xdr:ext cx="304800" cy="303439"/>
    <xdr:sp macro="" textlink="">
      <xdr:nvSpPr>
        <xdr:cNvPr id="7568" name="AutoShape 165">
          <a:extLst>
            <a:ext uri="{FF2B5EF4-FFF2-40B4-BE49-F238E27FC236}">
              <a16:creationId xmlns:a16="http://schemas.microsoft.com/office/drawing/2014/main" id="{CA60FDD9-F415-446E-91A5-CBD369E35D5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9525" cy="9525"/>
    <xdr:pic>
      <xdr:nvPicPr>
        <xdr:cNvPr id="7569" name="Picture 7568">
          <a:extLst>
            <a:ext uri="{FF2B5EF4-FFF2-40B4-BE49-F238E27FC236}">
              <a16:creationId xmlns:a16="http://schemas.microsoft.com/office/drawing/2014/main" id="{089DFD59-8C67-4F10-B752-F3002B3C6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16</xdr:row>
      <xdr:rowOff>0</xdr:rowOff>
    </xdr:from>
    <xdr:ext cx="304800" cy="304800"/>
    <xdr:sp macro="" textlink="">
      <xdr:nvSpPr>
        <xdr:cNvPr id="7570" name="AutoShape 193">
          <a:extLst>
            <a:ext uri="{FF2B5EF4-FFF2-40B4-BE49-F238E27FC236}">
              <a16:creationId xmlns:a16="http://schemas.microsoft.com/office/drawing/2014/main" id="{16F926E3-C73D-4FDF-86E6-2FEB08BAF1E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304800" cy="303439"/>
    <xdr:sp macro="" textlink="">
      <xdr:nvSpPr>
        <xdr:cNvPr id="7571" name="AutoShape 195">
          <a:extLst>
            <a:ext uri="{FF2B5EF4-FFF2-40B4-BE49-F238E27FC236}">
              <a16:creationId xmlns:a16="http://schemas.microsoft.com/office/drawing/2014/main" id="{BA98B4B3-05FA-41F0-8831-9ABFC898E365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9525" cy="9525"/>
    <xdr:pic>
      <xdr:nvPicPr>
        <xdr:cNvPr id="7572" name="Picture 7571">
          <a:extLst>
            <a:ext uri="{FF2B5EF4-FFF2-40B4-BE49-F238E27FC236}">
              <a16:creationId xmlns:a16="http://schemas.microsoft.com/office/drawing/2014/main" id="{7B734BA5-CEDC-4222-AFB8-ED19ED9E5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16</xdr:row>
      <xdr:rowOff>0</xdr:rowOff>
    </xdr:from>
    <xdr:ext cx="304800" cy="304800"/>
    <xdr:sp macro="" textlink="">
      <xdr:nvSpPr>
        <xdr:cNvPr id="7573" name="AutoShape 219">
          <a:extLst>
            <a:ext uri="{FF2B5EF4-FFF2-40B4-BE49-F238E27FC236}">
              <a16:creationId xmlns:a16="http://schemas.microsoft.com/office/drawing/2014/main" id="{2FE71997-86F8-48D3-94AD-46A3FCB8703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304800" cy="303439"/>
    <xdr:sp macro="" textlink="">
      <xdr:nvSpPr>
        <xdr:cNvPr id="7574" name="AutoShape 221">
          <a:extLst>
            <a:ext uri="{FF2B5EF4-FFF2-40B4-BE49-F238E27FC236}">
              <a16:creationId xmlns:a16="http://schemas.microsoft.com/office/drawing/2014/main" id="{A4D27ADF-FA52-485E-9157-ADA0CDBF7D05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9525" cy="9525"/>
    <xdr:pic>
      <xdr:nvPicPr>
        <xdr:cNvPr id="7575" name="Picture 7574">
          <a:extLst>
            <a:ext uri="{FF2B5EF4-FFF2-40B4-BE49-F238E27FC236}">
              <a16:creationId xmlns:a16="http://schemas.microsoft.com/office/drawing/2014/main" id="{BC85F337-BAF8-49A9-89CE-BF3A328E5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16</xdr:row>
      <xdr:rowOff>0</xdr:rowOff>
    </xdr:from>
    <xdr:ext cx="304800" cy="304800"/>
    <xdr:sp macro="" textlink="">
      <xdr:nvSpPr>
        <xdr:cNvPr id="7576" name="AutoShape 243">
          <a:extLst>
            <a:ext uri="{FF2B5EF4-FFF2-40B4-BE49-F238E27FC236}">
              <a16:creationId xmlns:a16="http://schemas.microsoft.com/office/drawing/2014/main" id="{6F356491-4CFF-4B58-855A-C33FCB6876BC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304800" cy="303439"/>
    <xdr:sp macro="" textlink="">
      <xdr:nvSpPr>
        <xdr:cNvPr id="7577" name="AutoShape 245">
          <a:extLst>
            <a:ext uri="{FF2B5EF4-FFF2-40B4-BE49-F238E27FC236}">
              <a16:creationId xmlns:a16="http://schemas.microsoft.com/office/drawing/2014/main" id="{73C8EEBF-1EC2-45D5-9E6F-473D66C525D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9525" cy="9525"/>
    <xdr:pic>
      <xdr:nvPicPr>
        <xdr:cNvPr id="7578" name="Picture 7577">
          <a:extLst>
            <a:ext uri="{FF2B5EF4-FFF2-40B4-BE49-F238E27FC236}">
              <a16:creationId xmlns:a16="http://schemas.microsoft.com/office/drawing/2014/main" id="{57E602E9-B334-49CF-9D82-8CF698F64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16</xdr:row>
      <xdr:rowOff>0</xdr:rowOff>
    </xdr:from>
    <xdr:ext cx="304800" cy="304800"/>
    <xdr:sp macro="" textlink="">
      <xdr:nvSpPr>
        <xdr:cNvPr id="7579" name="AutoShape 269">
          <a:extLst>
            <a:ext uri="{FF2B5EF4-FFF2-40B4-BE49-F238E27FC236}">
              <a16:creationId xmlns:a16="http://schemas.microsoft.com/office/drawing/2014/main" id="{87E08A03-4806-49A2-9634-3F0FC82DDE83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304800" cy="303439"/>
    <xdr:sp macro="" textlink="">
      <xdr:nvSpPr>
        <xdr:cNvPr id="7580" name="AutoShape 271">
          <a:extLst>
            <a:ext uri="{FF2B5EF4-FFF2-40B4-BE49-F238E27FC236}">
              <a16:creationId xmlns:a16="http://schemas.microsoft.com/office/drawing/2014/main" id="{78EBE5E0-F161-4DDB-9CDA-F3CA2CE57C4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9525" cy="9525"/>
    <xdr:pic>
      <xdr:nvPicPr>
        <xdr:cNvPr id="7581" name="Picture 7580">
          <a:extLst>
            <a:ext uri="{FF2B5EF4-FFF2-40B4-BE49-F238E27FC236}">
              <a16:creationId xmlns:a16="http://schemas.microsoft.com/office/drawing/2014/main" id="{35704BE7-5EA4-44BD-8702-17E454D2E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16</xdr:row>
      <xdr:rowOff>0</xdr:rowOff>
    </xdr:from>
    <xdr:ext cx="304800" cy="304800"/>
    <xdr:sp macro="" textlink="">
      <xdr:nvSpPr>
        <xdr:cNvPr id="7582" name="AutoShape 321">
          <a:extLst>
            <a:ext uri="{FF2B5EF4-FFF2-40B4-BE49-F238E27FC236}">
              <a16:creationId xmlns:a16="http://schemas.microsoft.com/office/drawing/2014/main" id="{8D950FB4-A18F-4B89-942C-7B2981AC607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304800" cy="303439"/>
    <xdr:sp macro="" textlink="">
      <xdr:nvSpPr>
        <xdr:cNvPr id="7583" name="AutoShape 323">
          <a:extLst>
            <a:ext uri="{FF2B5EF4-FFF2-40B4-BE49-F238E27FC236}">
              <a16:creationId xmlns:a16="http://schemas.microsoft.com/office/drawing/2014/main" id="{3EA43A8F-6480-4C43-B16D-280A4ACBB245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9525" cy="9525"/>
    <xdr:pic>
      <xdr:nvPicPr>
        <xdr:cNvPr id="7584" name="Picture 7583">
          <a:extLst>
            <a:ext uri="{FF2B5EF4-FFF2-40B4-BE49-F238E27FC236}">
              <a16:creationId xmlns:a16="http://schemas.microsoft.com/office/drawing/2014/main" id="{7B7915B5-F2C9-4F5C-B74C-F41F76010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16</xdr:row>
      <xdr:rowOff>0</xdr:rowOff>
    </xdr:from>
    <xdr:ext cx="304800" cy="304800"/>
    <xdr:sp macro="" textlink="">
      <xdr:nvSpPr>
        <xdr:cNvPr id="7585" name="AutoShape 373">
          <a:extLst>
            <a:ext uri="{FF2B5EF4-FFF2-40B4-BE49-F238E27FC236}">
              <a16:creationId xmlns:a16="http://schemas.microsoft.com/office/drawing/2014/main" id="{C4EF2C38-841C-4F5E-8281-F2958D40DD9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304800" cy="303439"/>
    <xdr:sp macro="" textlink="">
      <xdr:nvSpPr>
        <xdr:cNvPr id="7586" name="AutoShape 375">
          <a:extLst>
            <a:ext uri="{FF2B5EF4-FFF2-40B4-BE49-F238E27FC236}">
              <a16:creationId xmlns:a16="http://schemas.microsoft.com/office/drawing/2014/main" id="{744DD6FE-DE78-4D58-A1A6-207C02B70EE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9525" cy="9525"/>
    <xdr:pic>
      <xdr:nvPicPr>
        <xdr:cNvPr id="7587" name="Picture 7586">
          <a:extLst>
            <a:ext uri="{FF2B5EF4-FFF2-40B4-BE49-F238E27FC236}">
              <a16:creationId xmlns:a16="http://schemas.microsoft.com/office/drawing/2014/main" id="{F9598BA3-E222-44DC-83D1-06DF54BDB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16</xdr:row>
      <xdr:rowOff>0</xdr:rowOff>
    </xdr:from>
    <xdr:ext cx="304800" cy="304800"/>
    <xdr:sp macro="" textlink="">
      <xdr:nvSpPr>
        <xdr:cNvPr id="7588" name="AutoShape 429">
          <a:extLst>
            <a:ext uri="{FF2B5EF4-FFF2-40B4-BE49-F238E27FC236}">
              <a16:creationId xmlns:a16="http://schemas.microsoft.com/office/drawing/2014/main" id="{DE150019-691E-4BBA-962A-0E00D51599CB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304800" cy="303439"/>
    <xdr:sp macro="" textlink="">
      <xdr:nvSpPr>
        <xdr:cNvPr id="7589" name="AutoShape 431">
          <a:extLst>
            <a:ext uri="{FF2B5EF4-FFF2-40B4-BE49-F238E27FC236}">
              <a16:creationId xmlns:a16="http://schemas.microsoft.com/office/drawing/2014/main" id="{A4935905-4CDD-4F0F-8086-14B80E7B7C9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9525" cy="9525"/>
    <xdr:pic>
      <xdr:nvPicPr>
        <xdr:cNvPr id="7590" name="Picture 7589">
          <a:extLst>
            <a:ext uri="{FF2B5EF4-FFF2-40B4-BE49-F238E27FC236}">
              <a16:creationId xmlns:a16="http://schemas.microsoft.com/office/drawing/2014/main" id="{419627D2-D39D-4C3D-B0B1-86661E5FB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16</xdr:row>
      <xdr:rowOff>0</xdr:rowOff>
    </xdr:from>
    <xdr:ext cx="304800" cy="304800"/>
    <xdr:sp macro="" textlink="">
      <xdr:nvSpPr>
        <xdr:cNvPr id="7591" name="AutoShape 485">
          <a:extLst>
            <a:ext uri="{FF2B5EF4-FFF2-40B4-BE49-F238E27FC236}">
              <a16:creationId xmlns:a16="http://schemas.microsoft.com/office/drawing/2014/main" id="{3A15FCDA-8DB9-4762-9E5F-FC3FE794828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304800" cy="303439"/>
    <xdr:sp macro="" textlink="">
      <xdr:nvSpPr>
        <xdr:cNvPr id="7592" name="AutoShape 487">
          <a:extLst>
            <a:ext uri="{FF2B5EF4-FFF2-40B4-BE49-F238E27FC236}">
              <a16:creationId xmlns:a16="http://schemas.microsoft.com/office/drawing/2014/main" id="{9753F15A-3F38-4DBF-87DB-5035C6A766B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9525" cy="9525"/>
    <xdr:pic>
      <xdr:nvPicPr>
        <xdr:cNvPr id="7593" name="Picture 7592">
          <a:extLst>
            <a:ext uri="{FF2B5EF4-FFF2-40B4-BE49-F238E27FC236}">
              <a16:creationId xmlns:a16="http://schemas.microsoft.com/office/drawing/2014/main" id="{868D863D-A4E0-48E0-AFB2-0DCE561CB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16</xdr:row>
      <xdr:rowOff>0</xdr:rowOff>
    </xdr:from>
    <xdr:ext cx="304800" cy="304800"/>
    <xdr:sp macro="" textlink="">
      <xdr:nvSpPr>
        <xdr:cNvPr id="7594" name="AutoShape 519">
          <a:extLst>
            <a:ext uri="{FF2B5EF4-FFF2-40B4-BE49-F238E27FC236}">
              <a16:creationId xmlns:a16="http://schemas.microsoft.com/office/drawing/2014/main" id="{20A893A2-0BF2-45A8-97AB-B676910B380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304800" cy="303439"/>
    <xdr:sp macro="" textlink="">
      <xdr:nvSpPr>
        <xdr:cNvPr id="7595" name="AutoShape 521">
          <a:extLst>
            <a:ext uri="{FF2B5EF4-FFF2-40B4-BE49-F238E27FC236}">
              <a16:creationId xmlns:a16="http://schemas.microsoft.com/office/drawing/2014/main" id="{36AF9CB8-5ECE-4105-8D8F-0685330D78AF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18</xdr:row>
      <xdr:rowOff>0</xdr:rowOff>
    </xdr:from>
    <xdr:ext cx="9525" cy="9525"/>
    <xdr:pic>
      <xdr:nvPicPr>
        <xdr:cNvPr id="7596" name="Picture 7595">
          <a:extLst>
            <a:ext uri="{FF2B5EF4-FFF2-40B4-BE49-F238E27FC236}">
              <a16:creationId xmlns:a16="http://schemas.microsoft.com/office/drawing/2014/main" id="{38665089-E253-4933-89E9-F78CA94F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18</xdr:row>
      <xdr:rowOff>0</xdr:rowOff>
    </xdr:from>
    <xdr:ext cx="304800" cy="304800"/>
    <xdr:sp macro="" textlink="">
      <xdr:nvSpPr>
        <xdr:cNvPr id="7597" name="AutoShape 159">
          <a:extLst>
            <a:ext uri="{FF2B5EF4-FFF2-40B4-BE49-F238E27FC236}">
              <a16:creationId xmlns:a16="http://schemas.microsoft.com/office/drawing/2014/main" id="{72051629-0095-40FD-8F32-B1C327952B6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18</xdr:row>
      <xdr:rowOff>0</xdr:rowOff>
    </xdr:from>
    <xdr:ext cx="9525" cy="9525"/>
    <xdr:pic>
      <xdr:nvPicPr>
        <xdr:cNvPr id="7598" name="Picture 7597">
          <a:extLst>
            <a:ext uri="{FF2B5EF4-FFF2-40B4-BE49-F238E27FC236}">
              <a16:creationId xmlns:a16="http://schemas.microsoft.com/office/drawing/2014/main" id="{1562F9F6-FB31-4A97-8980-D1C357FE0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18</xdr:row>
      <xdr:rowOff>0</xdr:rowOff>
    </xdr:from>
    <xdr:ext cx="9525" cy="9525"/>
    <xdr:pic>
      <xdr:nvPicPr>
        <xdr:cNvPr id="7599" name="Picture 7598">
          <a:extLst>
            <a:ext uri="{FF2B5EF4-FFF2-40B4-BE49-F238E27FC236}">
              <a16:creationId xmlns:a16="http://schemas.microsoft.com/office/drawing/2014/main" id="{0B2726EE-B1BB-4417-A1B2-2EB49AA75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18</xdr:row>
      <xdr:rowOff>0</xdr:rowOff>
    </xdr:from>
    <xdr:ext cx="9525" cy="9525"/>
    <xdr:pic>
      <xdr:nvPicPr>
        <xdr:cNvPr id="7600" name="Picture 7599">
          <a:extLst>
            <a:ext uri="{FF2B5EF4-FFF2-40B4-BE49-F238E27FC236}">
              <a16:creationId xmlns:a16="http://schemas.microsoft.com/office/drawing/2014/main" id="{037B2BA7-FDD7-4989-A89F-0DEAF02A9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18</xdr:row>
      <xdr:rowOff>0</xdr:rowOff>
    </xdr:from>
    <xdr:ext cx="9525" cy="9525"/>
    <xdr:pic>
      <xdr:nvPicPr>
        <xdr:cNvPr id="7601" name="Picture 7600">
          <a:extLst>
            <a:ext uri="{FF2B5EF4-FFF2-40B4-BE49-F238E27FC236}">
              <a16:creationId xmlns:a16="http://schemas.microsoft.com/office/drawing/2014/main" id="{6620C4C9-F2D7-4E91-9F67-2832A0708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18</xdr:row>
      <xdr:rowOff>0</xdr:rowOff>
    </xdr:from>
    <xdr:ext cx="9525" cy="9525"/>
    <xdr:pic>
      <xdr:nvPicPr>
        <xdr:cNvPr id="7602" name="Picture 7601">
          <a:extLst>
            <a:ext uri="{FF2B5EF4-FFF2-40B4-BE49-F238E27FC236}">
              <a16:creationId xmlns:a16="http://schemas.microsoft.com/office/drawing/2014/main" id="{B7B5EABF-19C6-46F4-BB25-3BD44431C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18</xdr:row>
      <xdr:rowOff>0</xdr:rowOff>
    </xdr:from>
    <xdr:ext cx="9525" cy="9525"/>
    <xdr:pic>
      <xdr:nvPicPr>
        <xdr:cNvPr id="7603" name="Picture 7602">
          <a:extLst>
            <a:ext uri="{FF2B5EF4-FFF2-40B4-BE49-F238E27FC236}">
              <a16:creationId xmlns:a16="http://schemas.microsoft.com/office/drawing/2014/main" id="{A7333393-4A05-424F-A67A-872E5E328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18</xdr:row>
      <xdr:rowOff>0</xdr:rowOff>
    </xdr:from>
    <xdr:ext cx="9525" cy="9525"/>
    <xdr:pic>
      <xdr:nvPicPr>
        <xdr:cNvPr id="7604" name="Picture 7603">
          <a:extLst>
            <a:ext uri="{FF2B5EF4-FFF2-40B4-BE49-F238E27FC236}">
              <a16:creationId xmlns:a16="http://schemas.microsoft.com/office/drawing/2014/main" id="{725DAE3C-B1F0-4D77-A5E2-B30DA9733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18</xdr:row>
      <xdr:rowOff>0</xdr:rowOff>
    </xdr:from>
    <xdr:ext cx="9525" cy="9525"/>
    <xdr:pic>
      <xdr:nvPicPr>
        <xdr:cNvPr id="7605" name="Picture 7604">
          <a:extLst>
            <a:ext uri="{FF2B5EF4-FFF2-40B4-BE49-F238E27FC236}">
              <a16:creationId xmlns:a16="http://schemas.microsoft.com/office/drawing/2014/main" id="{6A7C9EAC-C89D-4DC7-A105-B49EC3C7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18</xdr:row>
      <xdr:rowOff>0</xdr:rowOff>
    </xdr:from>
    <xdr:ext cx="9525" cy="9525"/>
    <xdr:pic>
      <xdr:nvPicPr>
        <xdr:cNvPr id="7606" name="Picture 7605">
          <a:extLst>
            <a:ext uri="{FF2B5EF4-FFF2-40B4-BE49-F238E27FC236}">
              <a16:creationId xmlns:a16="http://schemas.microsoft.com/office/drawing/2014/main" id="{8698E890-1D23-42DE-93F1-BA29FDBF6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17</xdr:row>
      <xdr:rowOff>0</xdr:rowOff>
    </xdr:from>
    <xdr:ext cx="304800" cy="304800"/>
    <xdr:sp macro="" textlink="">
      <xdr:nvSpPr>
        <xdr:cNvPr id="7607" name="AutoShape 509">
          <a:extLst>
            <a:ext uri="{FF2B5EF4-FFF2-40B4-BE49-F238E27FC236}">
              <a16:creationId xmlns:a16="http://schemas.microsoft.com/office/drawing/2014/main" id="{369DF64B-66FE-4C75-8DEB-7325FAFC4E6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4359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18</xdr:row>
      <xdr:rowOff>0</xdr:rowOff>
    </xdr:from>
    <xdr:ext cx="304800" cy="304800"/>
    <xdr:sp macro="" textlink="">
      <xdr:nvSpPr>
        <xdr:cNvPr id="7608" name="AutoShape 511">
          <a:extLst>
            <a:ext uri="{FF2B5EF4-FFF2-40B4-BE49-F238E27FC236}">
              <a16:creationId xmlns:a16="http://schemas.microsoft.com/office/drawing/2014/main" id="{79D95098-3349-4BFA-8BD8-5C7A0D4D70C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9</xdr:row>
      <xdr:rowOff>0</xdr:rowOff>
    </xdr:from>
    <xdr:ext cx="9525" cy="9525"/>
    <xdr:pic>
      <xdr:nvPicPr>
        <xdr:cNvPr id="7609" name="Picture 7608">
          <a:extLst>
            <a:ext uri="{FF2B5EF4-FFF2-40B4-BE49-F238E27FC236}">
              <a16:creationId xmlns:a16="http://schemas.microsoft.com/office/drawing/2014/main" id="{706F14C9-9B36-4DEA-8668-D0E49FB40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7</xdr:row>
      <xdr:rowOff>0</xdr:rowOff>
    </xdr:from>
    <xdr:ext cx="304800" cy="304800"/>
    <xdr:sp macro="" textlink="">
      <xdr:nvSpPr>
        <xdr:cNvPr id="7610" name="AutoShape 159">
          <a:extLst>
            <a:ext uri="{FF2B5EF4-FFF2-40B4-BE49-F238E27FC236}">
              <a16:creationId xmlns:a16="http://schemas.microsoft.com/office/drawing/2014/main" id="{880E2C9F-3AC6-463D-A243-C06E7FFA991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9</xdr:row>
      <xdr:rowOff>0</xdr:rowOff>
    </xdr:from>
    <xdr:ext cx="9525" cy="9525"/>
    <xdr:pic>
      <xdr:nvPicPr>
        <xdr:cNvPr id="7611" name="Picture 7610">
          <a:extLst>
            <a:ext uri="{FF2B5EF4-FFF2-40B4-BE49-F238E27FC236}">
              <a16:creationId xmlns:a16="http://schemas.microsoft.com/office/drawing/2014/main" id="{0AE5E57B-7123-4B23-AE88-052BFD71D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9525" cy="9525"/>
    <xdr:pic>
      <xdr:nvPicPr>
        <xdr:cNvPr id="7612" name="Picture 7611">
          <a:extLst>
            <a:ext uri="{FF2B5EF4-FFF2-40B4-BE49-F238E27FC236}">
              <a16:creationId xmlns:a16="http://schemas.microsoft.com/office/drawing/2014/main" id="{A5B29014-40EE-47B4-8717-BC6802125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9525" cy="9525"/>
    <xdr:pic>
      <xdr:nvPicPr>
        <xdr:cNvPr id="7613" name="Picture 7612">
          <a:extLst>
            <a:ext uri="{FF2B5EF4-FFF2-40B4-BE49-F238E27FC236}">
              <a16:creationId xmlns:a16="http://schemas.microsoft.com/office/drawing/2014/main" id="{FDC67775-6BB3-4E08-8B97-3ADA62BA2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9525" cy="9525"/>
    <xdr:pic>
      <xdr:nvPicPr>
        <xdr:cNvPr id="7614" name="Picture 7613">
          <a:extLst>
            <a:ext uri="{FF2B5EF4-FFF2-40B4-BE49-F238E27FC236}">
              <a16:creationId xmlns:a16="http://schemas.microsoft.com/office/drawing/2014/main" id="{98312317-3B1E-4E0B-83A6-514D32666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9525" cy="9525"/>
    <xdr:pic>
      <xdr:nvPicPr>
        <xdr:cNvPr id="7615" name="Picture 7614">
          <a:extLst>
            <a:ext uri="{FF2B5EF4-FFF2-40B4-BE49-F238E27FC236}">
              <a16:creationId xmlns:a16="http://schemas.microsoft.com/office/drawing/2014/main" id="{3EF8E348-B17F-49C5-BCF1-741AB174E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9525" cy="9525"/>
    <xdr:pic>
      <xdr:nvPicPr>
        <xdr:cNvPr id="7616" name="Picture 7615">
          <a:extLst>
            <a:ext uri="{FF2B5EF4-FFF2-40B4-BE49-F238E27FC236}">
              <a16:creationId xmlns:a16="http://schemas.microsoft.com/office/drawing/2014/main" id="{6795879F-8514-4B33-B174-3261409AE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9525" cy="9525"/>
    <xdr:pic>
      <xdr:nvPicPr>
        <xdr:cNvPr id="7617" name="Picture 7616">
          <a:extLst>
            <a:ext uri="{FF2B5EF4-FFF2-40B4-BE49-F238E27FC236}">
              <a16:creationId xmlns:a16="http://schemas.microsoft.com/office/drawing/2014/main" id="{6FF7493E-FEB7-4745-A558-0CBF645D5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9525" cy="9525"/>
    <xdr:pic>
      <xdr:nvPicPr>
        <xdr:cNvPr id="7618" name="Picture 7617">
          <a:extLst>
            <a:ext uri="{FF2B5EF4-FFF2-40B4-BE49-F238E27FC236}">
              <a16:creationId xmlns:a16="http://schemas.microsoft.com/office/drawing/2014/main" id="{4DA9302E-31F3-43C5-9F0C-62B81B066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9525" cy="9525"/>
    <xdr:pic>
      <xdr:nvPicPr>
        <xdr:cNvPr id="7619" name="Picture 7618">
          <a:extLst>
            <a:ext uri="{FF2B5EF4-FFF2-40B4-BE49-F238E27FC236}">
              <a16:creationId xmlns:a16="http://schemas.microsoft.com/office/drawing/2014/main" id="{7DCCEF50-46CC-49E2-AE58-4D4E55F3B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304800" cy="303439"/>
    <xdr:sp macro="" textlink="">
      <xdr:nvSpPr>
        <xdr:cNvPr id="7620" name="AutoShape 513">
          <a:extLst>
            <a:ext uri="{FF2B5EF4-FFF2-40B4-BE49-F238E27FC236}">
              <a16:creationId xmlns:a16="http://schemas.microsoft.com/office/drawing/2014/main" id="{D5C0B59F-7A63-49A3-938E-DEEAA31CBBE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54453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10</xdr:row>
      <xdr:rowOff>0</xdr:rowOff>
    </xdr:from>
    <xdr:ext cx="9525" cy="9525"/>
    <xdr:pic>
      <xdr:nvPicPr>
        <xdr:cNvPr id="7621" name="Picture 7620">
          <a:extLst>
            <a:ext uri="{FF2B5EF4-FFF2-40B4-BE49-F238E27FC236}">
              <a16:creationId xmlns:a16="http://schemas.microsoft.com/office/drawing/2014/main" id="{14DB7244-B0DB-4949-9AB0-7492C21D6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10</xdr:row>
      <xdr:rowOff>0</xdr:rowOff>
    </xdr:from>
    <xdr:ext cx="9525" cy="9525"/>
    <xdr:pic>
      <xdr:nvPicPr>
        <xdr:cNvPr id="7622" name="Picture 7621">
          <a:extLst>
            <a:ext uri="{FF2B5EF4-FFF2-40B4-BE49-F238E27FC236}">
              <a16:creationId xmlns:a16="http://schemas.microsoft.com/office/drawing/2014/main" id="{2464B494-49A2-47A2-ABEF-2E08959D2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304800" cy="304800"/>
    <xdr:sp macro="" textlink="">
      <xdr:nvSpPr>
        <xdr:cNvPr id="7623" name="AutoShape 191">
          <a:extLst>
            <a:ext uri="{FF2B5EF4-FFF2-40B4-BE49-F238E27FC236}">
              <a16:creationId xmlns:a16="http://schemas.microsoft.com/office/drawing/2014/main" id="{26DEFD60-AD1A-486E-8C5A-8F5872EEEF9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10</xdr:row>
      <xdr:rowOff>0</xdr:rowOff>
    </xdr:from>
    <xdr:ext cx="304800" cy="304800"/>
    <xdr:sp macro="" textlink="">
      <xdr:nvSpPr>
        <xdr:cNvPr id="7624" name="AutoShape 193">
          <a:extLst>
            <a:ext uri="{FF2B5EF4-FFF2-40B4-BE49-F238E27FC236}">
              <a16:creationId xmlns:a16="http://schemas.microsoft.com/office/drawing/2014/main" id="{5180B57E-ACE7-4338-81AD-4D8731CDBBE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10</xdr:row>
      <xdr:rowOff>0</xdr:rowOff>
    </xdr:from>
    <xdr:ext cx="9525" cy="9525"/>
    <xdr:pic>
      <xdr:nvPicPr>
        <xdr:cNvPr id="7625" name="Picture 7624">
          <a:extLst>
            <a:ext uri="{FF2B5EF4-FFF2-40B4-BE49-F238E27FC236}">
              <a16:creationId xmlns:a16="http://schemas.microsoft.com/office/drawing/2014/main" id="{3B4A658F-5358-4899-8231-FF59428C4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304800" cy="304800"/>
    <xdr:sp macro="" textlink="">
      <xdr:nvSpPr>
        <xdr:cNvPr id="7626" name="AutoShape 217">
          <a:extLst>
            <a:ext uri="{FF2B5EF4-FFF2-40B4-BE49-F238E27FC236}">
              <a16:creationId xmlns:a16="http://schemas.microsoft.com/office/drawing/2014/main" id="{211A9991-8393-46D2-B69A-CB814EF907E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10</xdr:row>
      <xdr:rowOff>0</xdr:rowOff>
    </xdr:from>
    <xdr:ext cx="304800" cy="304800"/>
    <xdr:sp macro="" textlink="">
      <xdr:nvSpPr>
        <xdr:cNvPr id="7627" name="AutoShape 219">
          <a:extLst>
            <a:ext uri="{FF2B5EF4-FFF2-40B4-BE49-F238E27FC236}">
              <a16:creationId xmlns:a16="http://schemas.microsoft.com/office/drawing/2014/main" id="{D439C038-20BF-4D60-A31B-756F072AFAC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10</xdr:row>
      <xdr:rowOff>0</xdr:rowOff>
    </xdr:from>
    <xdr:ext cx="9525" cy="9525"/>
    <xdr:pic>
      <xdr:nvPicPr>
        <xdr:cNvPr id="7628" name="Picture 7627">
          <a:extLst>
            <a:ext uri="{FF2B5EF4-FFF2-40B4-BE49-F238E27FC236}">
              <a16:creationId xmlns:a16="http://schemas.microsoft.com/office/drawing/2014/main" id="{30EEFF73-0FA2-4FBC-802E-E86FFB08D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304800" cy="304800"/>
    <xdr:sp macro="" textlink="">
      <xdr:nvSpPr>
        <xdr:cNvPr id="7629" name="AutoShape 241">
          <a:extLst>
            <a:ext uri="{FF2B5EF4-FFF2-40B4-BE49-F238E27FC236}">
              <a16:creationId xmlns:a16="http://schemas.microsoft.com/office/drawing/2014/main" id="{C479B78E-0DF5-49FB-802E-89231FEDEB6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10</xdr:row>
      <xdr:rowOff>0</xdr:rowOff>
    </xdr:from>
    <xdr:ext cx="304800" cy="304800"/>
    <xdr:sp macro="" textlink="">
      <xdr:nvSpPr>
        <xdr:cNvPr id="7630" name="AutoShape 243">
          <a:extLst>
            <a:ext uri="{FF2B5EF4-FFF2-40B4-BE49-F238E27FC236}">
              <a16:creationId xmlns:a16="http://schemas.microsoft.com/office/drawing/2014/main" id="{4E14C294-8D1E-4CC4-8869-CE9A64AB5073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10</xdr:row>
      <xdr:rowOff>0</xdr:rowOff>
    </xdr:from>
    <xdr:ext cx="9525" cy="9525"/>
    <xdr:pic>
      <xdr:nvPicPr>
        <xdr:cNvPr id="7631" name="Picture 7630">
          <a:extLst>
            <a:ext uri="{FF2B5EF4-FFF2-40B4-BE49-F238E27FC236}">
              <a16:creationId xmlns:a16="http://schemas.microsoft.com/office/drawing/2014/main" id="{EE6715A3-217C-47CF-9307-3A6915F41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304800" cy="304800"/>
    <xdr:sp macro="" textlink="">
      <xdr:nvSpPr>
        <xdr:cNvPr id="7632" name="AutoShape 267">
          <a:extLst>
            <a:ext uri="{FF2B5EF4-FFF2-40B4-BE49-F238E27FC236}">
              <a16:creationId xmlns:a16="http://schemas.microsoft.com/office/drawing/2014/main" id="{16599EE1-A720-4970-B1F5-90B8A97F466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10</xdr:row>
      <xdr:rowOff>0</xdr:rowOff>
    </xdr:from>
    <xdr:ext cx="304800" cy="304800"/>
    <xdr:sp macro="" textlink="">
      <xdr:nvSpPr>
        <xdr:cNvPr id="7633" name="AutoShape 269">
          <a:extLst>
            <a:ext uri="{FF2B5EF4-FFF2-40B4-BE49-F238E27FC236}">
              <a16:creationId xmlns:a16="http://schemas.microsoft.com/office/drawing/2014/main" id="{28FA0CF8-F50F-408D-8DB0-079C2F88110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10</xdr:row>
      <xdr:rowOff>0</xdr:rowOff>
    </xdr:from>
    <xdr:ext cx="9525" cy="9525"/>
    <xdr:pic>
      <xdr:nvPicPr>
        <xdr:cNvPr id="7634" name="Picture 7633">
          <a:extLst>
            <a:ext uri="{FF2B5EF4-FFF2-40B4-BE49-F238E27FC236}">
              <a16:creationId xmlns:a16="http://schemas.microsoft.com/office/drawing/2014/main" id="{16F96090-E55C-4FD5-A183-D073D26DE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304800" cy="304800"/>
    <xdr:sp macro="" textlink="">
      <xdr:nvSpPr>
        <xdr:cNvPr id="7635" name="AutoShape 319">
          <a:extLst>
            <a:ext uri="{FF2B5EF4-FFF2-40B4-BE49-F238E27FC236}">
              <a16:creationId xmlns:a16="http://schemas.microsoft.com/office/drawing/2014/main" id="{5E32D5AF-DA69-4EB2-99B9-D7F932C0759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10</xdr:row>
      <xdr:rowOff>0</xdr:rowOff>
    </xdr:from>
    <xdr:ext cx="9525" cy="9525"/>
    <xdr:pic>
      <xdr:nvPicPr>
        <xdr:cNvPr id="7636" name="Picture 7635">
          <a:extLst>
            <a:ext uri="{FF2B5EF4-FFF2-40B4-BE49-F238E27FC236}">
              <a16:creationId xmlns:a16="http://schemas.microsoft.com/office/drawing/2014/main" id="{7B2AD827-4D3E-43C8-BDDD-98A10644A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10</xdr:row>
      <xdr:rowOff>0</xdr:rowOff>
    </xdr:from>
    <xdr:ext cx="9525" cy="9525"/>
    <xdr:pic>
      <xdr:nvPicPr>
        <xdr:cNvPr id="7637" name="Picture 7636">
          <a:extLst>
            <a:ext uri="{FF2B5EF4-FFF2-40B4-BE49-F238E27FC236}">
              <a16:creationId xmlns:a16="http://schemas.microsoft.com/office/drawing/2014/main" id="{166FFE29-B9AF-4481-AAE5-6489DE7E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10</xdr:row>
      <xdr:rowOff>0</xdr:rowOff>
    </xdr:from>
    <xdr:ext cx="9525" cy="9525"/>
    <xdr:pic>
      <xdr:nvPicPr>
        <xdr:cNvPr id="7638" name="Picture 7637">
          <a:extLst>
            <a:ext uri="{FF2B5EF4-FFF2-40B4-BE49-F238E27FC236}">
              <a16:creationId xmlns:a16="http://schemas.microsoft.com/office/drawing/2014/main" id="{81507CF3-3F52-4A5B-BCD5-76E4571BE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10</xdr:row>
      <xdr:rowOff>0</xdr:rowOff>
    </xdr:from>
    <xdr:ext cx="9525" cy="9525"/>
    <xdr:pic>
      <xdr:nvPicPr>
        <xdr:cNvPr id="7639" name="Picture 7638">
          <a:extLst>
            <a:ext uri="{FF2B5EF4-FFF2-40B4-BE49-F238E27FC236}">
              <a16:creationId xmlns:a16="http://schemas.microsoft.com/office/drawing/2014/main" id="{F43A7084-03D2-47EE-A187-AFF57BE4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11</xdr:row>
      <xdr:rowOff>0</xdr:rowOff>
    </xdr:from>
    <xdr:ext cx="9525" cy="9525"/>
    <xdr:pic>
      <xdr:nvPicPr>
        <xdr:cNvPr id="7640" name="Picture 7639">
          <a:extLst>
            <a:ext uri="{FF2B5EF4-FFF2-40B4-BE49-F238E27FC236}">
              <a16:creationId xmlns:a16="http://schemas.microsoft.com/office/drawing/2014/main" id="{7D2ABD26-62A4-4E81-BCB4-A452B2E88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979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22</xdr:row>
      <xdr:rowOff>0</xdr:rowOff>
    </xdr:from>
    <xdr:ext cx="9525" cy="9525"/>
    <xdr:pic>
      <xdr:nvPicPr>
        <xdr:cNvPr id="7641" name="Picture 7640">
          <a:extLst>
            <a:ext uri="{FF2B5EF4-FFF2-40B4-BE49-F238E27FC236}">
              <a16:creationId xmlns:a16="http://schemas.microsoft.com/office/drawing/2014/main" id="{2A116156-E230-4C78-9009-5F2982AE7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22</xdr:row>
      <xdr:rowOff>0</xdr:rowOff>
    </xdr:from>
    <xdr:ext cx="9525" cy="9525"/>
    <xdr:pic>
      <xdr:nvPicPr>
        <xdr:cNvPr id="7642" name="Picture 7641">
          <a:extLst>
            <a:ext uri="{FF2B5EF4-FFF2-40B4-BE49-F238E27FC236}">
              <a16:creationId xmlns:a16="http://schemas.microsoft.com/office/drawing/2014/main" id="{04A04435-406A-4774-B685-BE22B6498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22</xdr:row>
      <xdr:rowOff>0</xdr:rowOff>
    </xdr:from>
    <xdr:ext cx="9525" cy="9525"/>
    <xdr:pic>
      <xdr:nvPicPr>
        <xdr:cNvPr id="7643" name="Picture 7642">
          <a:extLst>
            <a:ext uri="{FF2B5EF4-FFF2-40B4-BE49-F238E27FC236}">
              <a16:creationId xmlns:a16="http://schemas.microsoft.com/office/drawing/2014/main" id="{6A8E7B1A-EE2A-48EE-BA4A-6C43A9B56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22</xdr:row>
      <xdr:rowOff>0</xdr:rowOff>
    </xdr:from>
    <xdr:ext cx="9525" cy="9525"/>
    <xdr:pic>
      <xdr:nvPicPr>
        <xdr:cNvPr id="7644" name="Picture 7643">
          <a:extLst>
            <a:ext uri="{FF2B5EF4-FFF2-40B4-BE49-F238E27FC236}">
              <a16:creationId xmlns:a16="http://schemas.microsoft.com/office/drawing/2014/main" id="{1B990466-B976-4A7D-A2A6-E4E14FC39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22</xdr:row>
      <xdr:rowOff>0</xdr:rowOff>
    </xdr:from>
    <xdr:ext cx="9525" cy="9525"/>
    <xdr:pic>
      <xdr:nvPicPr>
        <xdr:cNvPr id="7645" name="Picture 7644">
          <a:extLst>
            <a:ext uri="{FF2B5EF4-FFF2-40B4-BE49-F238E27FC236}">
              <a16:creationId xmlns:a16="http://schemas.microsoft.com/office/drawing/2014/main" id="{72E6C7D6-30AA-424D-BBE9-225DA21CA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22</xdr:row>
      <xdr:rowOff>0</xdr:rowOff>
    </xdr:from>
    <xdr:ext cx="9525" cy="9525"/>
    <xdr:pic>
      <xdr:nvPicPr>
        <xdr:cNvPr id="7646" name="Picture 7645">
          <a:extLst>
            <a:ext uri="{FF2B5EF4-FFF2-40B4-BE49-F238E27FC236}">
              <a16:creationId xmlns:a16="http://schemas.microsoft.com/office/drawing/2014/main" id="{EE67D9CB-5E4B-45FA-A52E-4C60E0823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22</xdr:row>
      <xdr:rowOff>0</xdr:rowOff>
    </xdr:from>
    <xdr:ext cx="9525" cy="9525"/>
    <xdr:pic>
      <xdr:nvPicPr>
        <xdr:cNvPr id="7647" name="Picture 7646">
          <a:extLst>
            <a:ext uri="{FF2B5EF4-FFF2-40B4-BE49-F238E27FC236}">
              <a16:creationId xmlns:a16="http://schemas.microsoft.com/office/drawing/2014/main" id="{1DE779A8-C5F0-401C-ADA7-8A53A4EEC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22</xdr:row>
      <xdr:rowOff>0</xdr:rowOff>
    </xdr:from>
    <xdr:ext cx="9525" cy="9525"/>
    <xdr:pic>
      <xdr:nvPicPr>
        <xdr:cNvPr id="7648" name="Picture 7647">
          <a:extLst>
            <a:ext uri="{FF2B5EF4-FFF2-40B4-BE49-F238E27FC236}">
              <a16:creationId xmlns:a16="http://schemas.microsoft.com/office/drawing/2014/main" id="{28E9AA9B-2275-41A7-A831-5E69C9271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22</xdr:row>
      <xdr:rowOff>0</xdr:rowOff>
    </xdr:from>
    <xdr:ext cx="9525" cy="9525"/>
    <xdr:pic>
      <xdr:nvPicPr>
        <xdr:cNvPr id="7649" name="Picture 7648">
          <a:extLst>
            <a:ext uri="{FF2B5EF4-FFF2-40B4-BE49-F238E27FC236}">
              <a16:creationId xmlns:a16="http://schemas.microsoft.com/office/drawing/2014/main" id="{CD4019A4-3D12-495E-89E2-7B76DB65A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22</xdr:row>
      <xdr:rowOff>0</xdr:rowOff>
    </xdr:from>
    <xdr:ext cx="9525" cy="9525"/>
    <xdr:pic>
      <xdr:nvPicPr>
        <xdr:cNvPr id="7650" name="Picture 7649">
          <a:extLst>
            <a:ext uri="{FF2B5EF4-FFF2-40B4-BE49-F238E27FC236}">
              <a16:creationId xmlns:a16="http://schemas.microsoft.com/office/drawing/2014/main" id="{9DCAA6D6-6F80-493D-82BF-810424F1E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21</xdr:row>
      <xdr:rowOff>0</xdr:rowOff>
    </xdr:from>
    <xdr:ext cx="304800" cy="303439"/>
    <xdr:sp macro="" textlink="">
      <xdr:nvSpPr>
        <xdr:cNvPr id="7651" name="AutoShape 513">
          <a:extLst>
            <a:ext uri="{FF2B5EF4-FFF2-40B4-BE49-F238E27FC236}">
              <a16:creationId xmlns:a16="http://schemas.microsoft.com/office/drawing/2014/main" id="{2BDAA1FB-DFC9-4EBE-A88B-2609CBF08A9C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26596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22</xdr:row>
      <xdr:rowOff>0</xdr:rowOff>
    </xdr:from>
    <xdr:ext cx="304800" cy="304800"/>
    <xdr:sp macro="" textlink="">
      <xdr:nvSpPr>
        <xdr:cNvPr id="7652" name="AutoShape 515">
          <a:extLst>
            <a:ext uri="{FF2B5EF4-FFF2-40B4-BE49-F238E27FC236}">
              <a16:creationId xmlns:a16="http://schemas.microsoft.com/office/drawing/2014/main" id="{5A51C5C4-B132-4FBB-AE64-F807E705C905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23</xdr:row>
      <xdr:rowOff>0</xdr:rowOff>
    </xdr:from>
    <xdr:ext cx="9525" cy="9525"/>
    <xdr:pic>
      <xdr:nvPicPr>
        <xdr:cNvPr id="7653" name="Picture 7652">
          <a:extLst>
            <a:ext uri="{FF2B5EF4-FFF2-40B4-BE49-F238E27FC236}">
              <a16:creationId xmlns:a16="http://schemas.microsoft.com/office/drawing/2014/main" id="{B4CD1438-DE8A-49F6-9D2F-3B8676337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9525" cy="9525"/>
    <xdr:pic>
      <xdr:nvPicPr>
        <xdr:cNvPr id="7654" name="Picture 7653">
          <a:extLst>
            <a:ext uri="{FF2B5EF4-FFF2-40B4-BE49-F238E27FC236}">
              <a16:creationId xmlns:a16="http://schemas.microsoft.com/office/drawing/2014/main" id="{6F725662-D3CD-46B9-9130-45D665E88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655" name="AutoShape 191">
          <a:extLst>
            <a:ext uri="{FF2B5EF4-FFF2-40B4-BE49-F238E27FC236}">
              <a16:creationId xmlns:a16="http://schemas.microsoft.com/office/drawing/2014/main" id="{118D2F4A-2C3E-452A-95BE-2A268E6D33F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23</xdr:row>
      <xdr:rowOff>0</xdr:rowOff>
    </xdr:from>
    <xdr:ext cx="9525" cy="9525"/>
    <xdr:pic>
      <xdr:nvPicPr>
        <xdr:cNvPr id="7656" name="Picture 7655">
          <a:extLst>
            <a:ext uri="{FF2B5EF4-FFF2-40B4-BE49-F238E27FC236}">
              <a16:creationId xmlns:a16="http://schemas.microsoft.com/office/drawing/2014/main" id="{2CB237AD-8F52-4837-B9CD-7E6F99509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657" name="AutoShape 217">
          <a:extLst>
            <a:ext uri="{FF2B5EF4-FFF2-40B4-BE49-F238E27FC236}">
              <a16:creationId xmlns:a16="http://schemas.microsoft.com/office/drawing/2014/main" id="{FB4B4430-5269-42AE-BFA3-76530198A612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23</xdr:row>
      <xdr:rowOff>0</xdr:rowOff>
    </xdr:from>
    <xdr:ext cx="9525" cy="9525"/>
    <xdr:pic>
      <xdr:nvPicPr>
        <xdr:cNvPr id="7658" name="Picture 7657">
          <a:extLst>
            <a:ext uri="{FF2B5EF4-FFF2-40B4-BE49-F238E27FC236}">
              <a16:creationId xmlns:a16="http://schemas.microsoft.com/office/drawing/2014/main" id="{F11E740E-D691-42C2-B194-357375CBB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659" name="AutoShape 241">
          <a:extLst>
            <a:ext uri="{FF2B5EF4-FFF2-40B4-BE49-F238E27FC236}">
              <a16:creationId xmlns:a16="http://schemas.microsoft.com/office/drawing/2014/main" id="{CAD762B7-0C8D-4594-A68D-FA55951E7DC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23</xdr:row>
      <xdr:rowOff>0</xdr:rowOff>
    </xdr:from>
    <xdr:ext cx="9525" cy="9525"/>
    <xdr:pic>
      <xdr:nvPicPr>
        <xdr:cNvPr id="7660" name="Picture 7659">
          <a:extLst>
            <a:ext uri="{FF2B5EF4-FFF2-40B4-BE49-F238E27FC236}">
              <a16:creationId xmlns:a16="http://schemas.microsoft.com/office/drawing/2014/main" id="{C5DF9AE9-44AC-4E97-B256-6E4D062E1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661" name="AutoShape 267">
          <a:extLst>
            <a:ext uri="{FF2B5EF4-FFF2-40B4-BE49-F238E27FC236}">
              <a16:creationId xmlns:a16="http://schemas.microsoft.com/office/drawing/2014/main" id="{B8B14EBF-7ED5-4B04-935A-2515B1B1491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23</xdr:row>
      <xdr:rowOff>0</xdr:rowOff>
    </xdr:from>
    <xdr:ext cx="9525" cy="9525"/>
    <xdr:pic>
      <xdr:nvPicPr>
        <xdr:cNvPr id="7662" name="Picture 7661">
          <a:extLst>
            <a:ext uri="{FF2B5EF4-FFF2-40B4-BE49-F238E27FC236}">
              <a16:creationId xmlns:a16="http://schemas.microsoft.com/office/drawing/2014/main" id="{35A5EA0C-6E85-446A-8ECB-AB15C05E1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663" name="AutoShape 319">
          <a:extLst>
            <a:ext uri="{FF2B5EF4-FFF2-40B4-BE49-F238E27FC236}">
              <a16:creationId xmlns:a16="http://schemas.microsoft.com/office/drawing/2014/main" id="{AE430854-8270-44D8-9218-3E2E0ABD0BC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23</xdr:row>
      <xdr:rowOff>0</xdr:rowOff>
    </xdr:from>
    <xdr:ext cx="9525" cy="9525"/>
    <xdr:pic>
      <xdr:nvPicPr>
        <xdr:cNvPr id="7664" name="Picture 7663">
          <a:extLst>
            <a:ext uri="{FF2B5EF4-FFF2-40B4-BE49-F238E27FC236}">
              <a16:creationId xmlns:a16="http://schemas.microsoft.com/office/drawing/2014/main" id="{C2E1DD91-977F-4CF7-8D93-DEE0ADE64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665" name="AutoShape 371">
          <a:extLst>
            <a:ext uri="{FF2B5EF4-FFF2-40B4-BE49-F238E27FC236}">
              <a16:creationId xmlns:a16="http://schemas.microsoft.com/office/drawing/2014/main" id="{D6C14816-2CF8-4F86-B28F-895BA381854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23</xdr:row>
      <xdr:rowOff>0</xdr:rowOff>
    </xdr:from>
    <xdr:ext cx="9525" cy="9525"/>
    <xdr:pic>
      <xdr:nvPicPr>
        <xdr:cNvPr id="7666" name="Picture 7665">
          <a:extLst>
            <a:ext uri="{FF2B5EF4-FFF2-40B4-BE49-F238E27FC236}">
              <a16:creationId xmlns:a16="http://schemas.microsoft.com/office/drawing/2014/main" id="{3CF573B3-8172-46B6-A152-C59256AB7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667" name="AutoShape 427">
          <a:extLst>
            <a:ext uri="{FF2B5EF4-FFF2-40B4-BE49-F238E27FC236}">
              <a16:creationId xmlns:a16="http://schemas.microsoft.com/office/drawing/2014/main" id="{C4E46778-DAA7-478B-B3C6-93CEB50385F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23</xdr:row>
      <xdr:rowOff>0</xdr:rowOff>
    </xdr:from>
    <xdr:ext cx="9525" cy="9525"/>
    <xdr:pic>
      <xdr:nvPicPr>
        <xdr:cNvPr id="7668" name="Picture 7667">
          <a:extLst>
            <a:ext uri="{FF2B5EF4-FFF2-40B4-BE49-F238E27FC236}">
              <a16:creationId xmlns:a16="http://schemas.microsoft.com/office/drawing/2014/main" id="{24C716D6-0FAE-4402-ABDE-FB098E370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669" name="AutoShape 483">
          <a:extLst>
            <a:ext uri="{FF2B5EF4-FFF2-40B4-BE49-F238E27FC236}">
              <a16:creationId xmlns:a16="http://schemas.microsoft.com/office/drawing/2014/main" id="{45A88325-5162-4DA4-BA07-ED2197EF784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23</xdr:row>
      <xdr:rowOff>0</xdr:rowOff>
    </xdr:from>
    <xdr:ext cx="9525" cy="9525"/>
    <xdr:pic>
      <xdr:nvPicPr>
        <xdr:cNvPr id="7670" name="Picture 7669">
          <a:extLst>
            <a:ext uri="{FF2B5EF4-FFF2-40B4-BE49-F238E27FC236}">
              <a16:creationId xmlns:a16="http://schemas.microsoft.com/office/drawing/2014/main" id="{8A83444B-C1AA-474F-AA5B-202A04295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22</xdr:row>
      <xdr:rowOff>0</xdr:rowOff>
    </xdr:from>
    <xdr:ext cx="304800" cy="304800"/>
    <xdr:sp macro="" textlink="">
      <xdr:nvSpPr>
        <xdr:cNvPr id="7671" name="AutoShape 515">
          <a:extLst>
            <a:ext uri="{FF2B5EF4-FFF2-40B4-BE49-F238E27FC236}">
              <a16:creationId xmlns:a16="http://schemas.microsoft.com/office/drawing/2014/main" id="{31AF4AF6-BBC9-4B69-8CF5-3A2838256EB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672" name="AutoShape 517">
          <a:extLst>
            <a:ext uri="{FF2B5EF4-FFF2-40B4-BE49-F238E27FC236}">
              <a16:creationId xmlns:a16="http://schemas.microsoft.com/office/drawing/2014/main" id="{D2BE4B5A-3B38-4FD8-99A1-402A7973D22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9525" cy="9525"/>
    <xdr:pic>
      <xdr:nvPicPr>
        <xdr:cNvPr id="7673" name="Picture 7672">
          <a:extLst>
            <a:ext uri="{FF2B5EF4-FFF2-40B4-BE49-F238E27FC236}">
              <a16:creationId xmlns:a16="http://schemas.microsoft.com/office/drawing/2014/main" id="{2F088023-C2A8-4C18-9497-BC1B29EC0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24</xdr:row>
      <xdr:rowOff>0</xdr:rowOff>
    </xdr:from>
    <xdr:ext cx="304800" cy="303440"/>
    <xdr:sp macro="" textlink="">
      <xdr:nvSpPr>
        <xdr:cNvPr id="7674" name="AutoShape 169">
          <a:extLst>
            <a:ext uri="{FF2B5EF4-FFF2-40B4-BE49-F238E27FC236}">
              <a16:creationId xmlns:a16="http://schemas.microsoft.com/office/drawing/2014/main" id="{2DA5A7EA-D10D-41CA-8F29-DCF3317AA105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9525" cy="9525"/>
    <xdr:pic>
      <xdr:nvPicPr>
        <xdr:cNvPr id="7675" name="Picture 7674">
          <a:extLst>
            <a:ext uri="{FF2B5EF4-FFF2-40B4-BE49-F238E27FC236}">
              <a16:creationId xmlns:a16="http://schemas.microsoft.com/office/drawing/2014/main" id="{72B414B7-3E68-41A5-8FBB-78DB7E995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24</xdr:row>
      <xdr:rowOff>0</xdr:rowOff>
    </xdr:from>
    <xdr:ext cx="304800" cy="303440"/>
    <xdr:sp macro="" textlink="">
      <xdr:nvSpPr>
        <xdr:cNvPr id="7676" name="AutoShape 199">
          <a:extLst>
            <a:ext uri="{FF2B5EF4-FFF2-40B4-BE49-F238E27FC236}">
              <a16:creationId xmlns:a16="http://schemas.microsoft.com/office/drawing/2014/main" id="{A8737151-C991-4992-81FE-3B447AA6BE0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9525" cy="9525"/>
    <xdr:pic>
      <xdr:nvPicPr>
        <xdr:cNvPr id="7677" name="Picture 7676">
          <a:extLst>
            <a:ext uri="{FF2B5EF4-FFF2-40B4-BE49-F238E27FC236}">
              <a16:creationId xmlns:a16="http://schemas.microsoft.com/office/drawing/2014/main" id="{58B0E781-419B-4090-9148-3CA8CDFB0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678" name="AutoShape 223">
          <a:extLst>
            <a:ext uri="{FF2B5EF4-FFF2-40B4-BE49-F238E27FC236}">
              <a16:creationId xmlns:a16="http://schemas.microsoft.com/office/drawing/2014/main" id="{4A555394-6E09-4D5C-AACA-3AB56583C94B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9525" cy="9525"/>
    <xdr:pic>
      <xdr:nvPicPr>
        <xdr:cNvPr id="7679" name="Picture 7678">
          <a:extLst>
            <a:ext uri="{FF2B5EF4-FFF2-40B4-BE49-F238E27FC236}">
              <a16:creationId xmlns:a16="http://schemas.microsoft.com/office/drawing/2014/main" id="{23C54599-B648-4576-96E9-0A6AB0DDD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680" name="AutoShape 247">
          <a:extLst>
            <a:ext uri="{FF2B5EF4-FFF2-40B4-BE49-F238E27FC236}">
              <a16:creationId xmlns:a16="http://schemas.microsoft.com/office/drawing/2014/main" id="{8F555A4F-0ED3-445B-8F30-2BA847A53B1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304800" cy="303440"/>
    <xdr:sp macro="" textlink="">
      <xdr:nvSpPr>
        <xdr:cNvPr id="7681" name="AutoShape 249">
          <a:extLst>
            <a:ext uri="{FF2B5EF4-FFF2-40B4-BE49-F238E27FC236}">
              <a16:creationId xmlns:a16="http://schemas.microsoft.com/office/drawing/2014/main" id="{8FB870A7-5292-4A03-A403-2CEAC607B06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9525" cy="9525"/>
    <xdr:pic>
      <xdr:nvPicPr>
        <xdr:cNvPr id="7682" name="Picture 7681">
          <a:extLst>
            <a:ext uri="{FF2B5EF4-FFF2-40B4-BE49-F238E27FC236}">
              <a16:creationId xmlns:a16="http://schemas.microsoft.com/office/drawing/2014/main" id="{B7F36031-0595-4582-8AC2-CC3501E75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683" name="AutoShape 273">
          <a:extLst>
            <a:ext uri="{FF2B5EF4-FFF2-40B4-BE49-F238E27FC236}">
              <a16:creationId xmlns:a16="http://schemas.microsoft.com/office/drawing/2014/main" id="{46C2840C-F109-43EB-88C5-251815E42E7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304800" cy="303440"/>
    <xdr:sp macro="" textlink="">
      <xdr:nvSpPr>
        <xdr:cNvPr id="7684" name="AutoShape 275">
          <a:extLst>
            <a:ext uri="{FF2B5EF4-FFF2-40B4-BE49-F238E27FC236}">
              <a16:creationId xmlns:a16="http://schemas.microsoft.com/office/drawing/2014/main" id="{61E29A36-DA21-43A8-8291-740DCCEC025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9525" cy="9525"/>
    <xdr:pic>
      <xdr:nvPicPr>
        <xdr:cNvPr id="7685" name="Picture 7684">
          <a:extLst>
            <a:ext uri="{FF2B5EF4-FFF2-40B4-BE49-F238E27FC236}">
              <a16:creationId xmlns:a16="http://schemas.microsoft.com/office/drawing/2014/main" id="{800F5262-3862-4EC0-887E-58641E643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686" name="AutoShape 325">
          <a:extLst>
            <a:ext uri="{FF2B5EF4-FFF2-40B4-BE49-F238E27FC236}">
              <a16:creationId xmlns:a16="http://schemas.microsoft.com/office/drawing/2014/main" id="{1DFF3836-284B-49C8-A68F-1F9A4B460F5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304800" cy="303440"/>
    <xdr:sp macro="" textlink="">
      <xdr:nvSpPr>
        <xdr:cNvPr id="7687" name="AutoShape 327">
          <a:extLst>
            <a:ext uri="{FF2B5EF4-FFF2-40B4-BE49-F238E27FC236}">
              <a16:creationId xmlns:a16="http://schemas.microsoft.com/office/drawing/2014/main" id="{C5BD8AA8-7E43-4502-873F-923BEB9343CC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9525" cy="9525"/>
    <xdr:pic>
      <xdr:nvPicPr>
        <xdr:cNvPr id="7688" name="Picture 7687">
          <a:extLst>
            <a:ext uri="{FF2B5EF4-FFF2-40B4-BE49-F238E27FC236}">
              <a16:creationId xmlns:a16="http://schemas.microsoft.com/office/drawing/2014/main" id="{21A41101-7593-48C5-A010-726D8E20D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689" name="AutoShape 377">
          <a:extLst>
            <a:ext uri="{FF2B5EF4-FFF2-40B4-BE49-F238E27FC236}">
              <a16:creationId xmlns:a16="http://schemas.microsoft.com/office/drawing/2014/main" id="{ABACBD4A-9638-4FBE-936F-5E165A9785C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304800" cy="303440"/>
    <xdr:sp macro="" textlink="">
      <xdr:nvSpPr>
        <xdr:cNvPr id="7690" name="AutoShape 379">
          <a:extLst>
            <a:ext uri="{FF2B5EF4-FFF2-40B4-BE49-F238E27FC236}">
              <a16:creationId xmlns:a16="http://schemas.microsoft.com/office/drawing/2014/main" id="{E8F18B16-C2CD-436F-8EC9-8B6899F31AEB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9525" cy="9525"/>
    <xdr:pic>
      <xdr:nvPicPr>
        <xdr:cNvPr id="7691" name="Picture 7690">
          <a:extLst>
            <a:ext uri="{FF2B5EF4-FFF2-40B4-BE49-F238E27FC236}">
              <a16:creationId xmlns:a16="http://schemas.microsoft.com/office/drawing/2014/main" id="{A9A118BD-4A50-4042-9D60-1C6C37315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692" name="AutoShape 433">
          <a:extLst>
            <a:ext uri="{FF2B5EF4-FFF2-40B4-BE49-F238E27FC236}">
              <a16:creationId xmlns:a16="http://schemas.microsoft.com/office/drawing/2014/main" id="{942ACC51-12DE-4DBE-8A70-BECF2E3E142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304800" cy="303440"/>
    <xdr:sp macro="" textlink="">
      <xdr:nvSpPr>
        <xdr:cNvPr id="7693" name="AutoShape 435">
          <a:extLst>
            <a:ext uri="{FF2B5EF4-FFF2-40B4-BE49-F238E27FC236}">
              <a16:creationId xmlns:a16="http://schemas.microsoft.com/office/drawing/2014/main" id="{E8ABDC4B-CBB2-40F7-B5B7-378F6FC6EFDB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9525" cy="9525"/>
    <xdr:pic>
      <xdr:nvPicPr>
        <xdr:cNvPr id="7694" name="Picture 7693">
          <a:extLst>
            <a:ext uri="{FF2B5EF4-FFF2-40B4-BE49-F238E27FC236}">
              <a16:creationId xmlns:a16="http://schemas.microsoft.com/office/drawing/2014/main" id="{DBF68D12-C8B5-41C7-8D41-E430503CD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695" name="AutoShape 489">
          <a:extLst>
            <a:ext uri="{FF2B5EF4-FFF2-40B4-BE49-F238E27FC236}">
              <a16:creationId xmlns:a16="http://schemas.microsoft.com/office/drawing/2014/main" id="{C064CAC8-357A-4A7F-A0FF-39E45A70BC8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304800" cy="303440"/>
    <xdr:sp macro="" textlink="">
      <xdr:nvSpPr>
        <xdr:cNvPr id="7696" name="AutoShape 491">
          <a:extLst>
            <a:ext uri="{FF2B5EF4-FFF2-40B4-BE49-F238E27FC236}">
              <a16:creationId xmlns:a16="http://schemas.microsoft.com/office/drawing/2014/main" id="{CC8D574F-16F7-4C38-A116-B0E8CC025066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9525" cy="9525"/>
    <xdr:pic>
      <xdr:nvPicPr>
        <xdr:cNvPr id="7697" name="Picture 7696">
          <a:extLst>
            <a:ext uri="{FF2B5EF4-FFF2-40B4-BE49-F238E27FC236}">
              <a16:creationId xmlns:a16="http://schemas.microsoft.com/office/drawing/2014/main" id="{F6272250-17A1-43B7-9B20-D9F5DFAA1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698" name="AutoShape 523">
          <a:extLst>
            <a:ext uri="{FF2B5EF4-FFF2-40B4-BE49-F238E27FC236}">
              <a16:creationId xmlns:a16="http://schemas.microsoft.com/office/drawing/2014/main" id="{C9BC2093-3B2D-4F52-A052-2DF4935EDBF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304800" cy="303440"/>
    <xdr:sp macro="" textlink="">
      <xdr:nvSpPr>
        <xdr:cNvPr id="7699" name="AutoShape 525">
          <a:extLst>
            <a:ext uri="{FF2B5EF4-FFF2-40B4-BE49-F238E27FC236}">
              <a16:creationId xmlns:a16="http://schemas.microsoft.com/office/drawing/2014/main" id="{0FD76636-C4A3-4A03-BD2E-AC616EE5CBE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3</xdr:row>
      <xdr:rowOff>0</xdr:rowOff>
    </xdr:from>
    <xdr:ext cx="9525" cy="9525"/>
    <xdr:pic>
      <xdr:nvPicPr>
        <xdr:cNvPr id="7700" name="Picture 7699">
          <a:extLst>
            <a:ext uri="{FF2B5EF4-FFF2-40B4-BE49-F238E27FC236}">
              <a16:creationId xmlns:a16="http://schemas.microsoft.com/office/drawing/2014/main" id="{BB145DFE-0800-4D4C-B602-EF0733467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</xdr:row>
      <xdr:rowOff>0</xdr:rowOff>
    </xdr:from>
    <xdr:ext cx="304800" cy="303439"/>
    <xdr:sp macro="" textlink="">
      <xdr:nvSpPr>
        <xdr:cNvPr id="7701" name="AutoShape 25">
          <a:extLst>
            <a:ext uri="{FF2B5EF4-FFF2-40B4-BE49-F238E27FC236}">
              <a16:creationId xmlns:a16="http://schemas.microsoft.com/office/drawing/2014/main" id="{AC7C5C16-17E9-48D6-8BF7-F92EA0BA84B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9525" cy="9525"/>
    <xdr:pic>
      <xdr:nvPicPr>
        <xdr:cNvPr id="7702" name="Picture 7701">
          <a:extLst>
            <a:ext uri="{FF2B5EF4-FFF2-40B4-BE49-F238E27FC236}">
              <a16:creationId xmlns:a16="http://schemas.microsoft.com/office/drawing/2014/main" id="{6899B54F-785B-4998-A292-0E4D50E2B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9525" cy="9525"/>
    <xdr:pic>
      <xdr:nvPicPr>
        <xdr:cNvPr id="7703" name="Picture 7702">
          <a:extLst>
            <a:ext uri="{FF2B5EF4-FFF2-40B4-BE49-F238E27FC236}">
              <a16:creationId xmlns:a16="http://schemas.microsoft.com/office/drawing/2014/main" id="{36F5E480-4AF8-4A2E-9FE3-42D302DC7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6</xdr:row>
      <xdr:rowOff>0</xdr:rowOff>
    </xdr:from>
    <xdr:ext cx="9525" cy="9525"/>
    <xdr:pic>
      <xdr:nvPicPr>
        <xdr:cNvPr id="7704" name="Picture 7703">
          <a:extLst>
            <a:ext uri="{FF2B5EF4-FFF2-40B4-BE49-F238E27FC236}">
              <a16:creationId xmlns:a16="http://schemas.microsoft.com/office/drawing/2014/main" id="{21A287FD-8FFD-4A9A-BDBB-13BBE984A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7705" name="AutoShape 29">
          <a:extLst>
            <a:ext uri="{FF2B5EF4-FFF2-40B4-BE49-F238E27FC236}">
              <a16:creationId xmlns:a16="http://schemas.microsoft.com/office/drawing/2014/main" id="{23C282DD-BB92-4CAA-9742-469ABEC14FF2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06" name="Picture 7705">
          <a:extLst>
            <a:ext uri="{FF2B5EF4-FFF2-40B4-BE49-F238E27FC236}">
              <a16:creationId xmlns:a16="http://schemas.microsoft.com/office/drawing/2014/main" id="{7A5FEBD6-7148-4C75-A944-4B219E776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26</xdr:row>
      <xdr:rowOff>0</xdr:rowOff>
    </xdr:from>
    <xdr:ext cx="9525" cy="9525"/>
    <xdr:pic>
      <xdr:nvPicPr>
        <xdr:cNvPr id="7707" name="Picture 7706">
          <a:extLst>
            <a:ext uri="{FF2B5EF4-FFF2-40B4-BE49-F238E27FC236}">
              <a16:creationId xmlns:a16="http://schemas.microsoft.com/office/drawing/2014/main" id="{9C93AF8C-3203-4EE9-99F2-F391488C0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25</xdr:row>
      <xdr:rowOff>0</xdr:rowOff>
    </xdr:from>
    <xdr:ext cx="304800" cy="303440"/>
    <xdr:sp macro="" textlink="">
      <xdr:nvSpPr>
        <xdr:cNvPr id="7708" name="AutoShape 32">
          <a:extLst>
            <a:ext uri="{FF2B5EF4-FFF2-40B4-BE49-F238E27FC236}">
              <a16:creationId xmlns:a16="http://schemas.microsoft.com/office/drawing/2014/main" id="{BC784EBB-0779-4200-982E-D9F5906337F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09" name="Picture 7708">
          <a:extLst>
            <a:ext uri="{FF2B5EF4-FFF2-40B4-BE49-F238E27FC236}">
              <a16:creationId xmlns:a16="http://schemas.microsoft.com/office/drawing/2014/main" id="{99C0B826-09A8-4A46-AD25-7C72E1B46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10" name="Picture 7709">
          <a:extLst>
            <a:ext uri="{FF2B5EF4-FFF2-40B4-BE49-F238E27FC236}">
              <a16:creationId xmlns:a16="http://schemas.microsoft.com/office/drawing/2014/main" id="{C90155F9-F380-490D-805E-02384EA9E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11" name="Picture 7710">
          <a:extLst>
            <a:ext uri="{FF2B5EF4-FFF2-40B4-BE49-F238E27FC236}">
              <a16:creationId xmlns:a16="http://schemas.microsoft.com/office/drawing/2014/main" id="{8598914A-2F36-4FC9-A1CF-F4539488E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12" name="Picture 7711">
          <a:extLst>
            <a:ext uri="{FF2B5EF4-FFF2-40B4-BE49-F238E27FC236}">
              <a16:creationId xmlns:a16="http://schemas.microsoft.com/office/drawing/2014/main" id="{417C7359-D3CB-4759-93A0-678F14DE4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13" name="Picture 7712">
          <a:extLst>
            <a:ext uri="{FF2B5EF4-FFF2-40B4-BE49-F238E27FC236}">
              <a16:creationId xmlns:a16="http://schemas.microsoft.com/office/drawing/2014/main" id="{3287344D-1F87-4D48-A35B-09BA442F0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714" name="AutoShape 38">
          <a:extLst>
            <a:ext uri="{FF2B5EF4-FFF2-40B4-BE49-F238E27FC236}">
              <a16:creationId xmlns:a16="http://schemas.microsoft.com/office/drawing/2014/main" id="{9BAA2BB3-9AA5-49A3-A028-0E28A1F7EBF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15" name="Picture 7714">
          <a:extLst>
            <a:ext uri="{FF2B5EF4-FFF2-40B4-BE49-F238E27FC236}">
              <a16:creationId xmlns:a16="http://schemas.microsoft.com/office/drawing/2014/main" id="{D4D401B8-6BB1-49E0-9961-AF4C8A495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716" name="AutoShape 40">
          <a:extLst>
            <a:ext uri="{FF2B5EF4-FFF2-40B4-BE49-F238E27FC236}">
              <a16:creationId xmlns:a16="http://schemas.microsoft.com/office/drawing/2014/main" id="{9DA97DE9-5B61-459E-9B01-A8681A5D1EF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13</xdr:row>
      <xdr:rowOff>0</xdr:rowOff>
    </xdr:from>
    <xdr:ext cx="9525" cy="9525"/>
    <xdr:pic>
      <xdr:nvPicPr>
        <xdr:cNvPr id="7717" name="Picture 7716">
          <a:extLst>
            <a:ext uri="{FF2B5EF4-FFF2-40B4-BE49-F238E27FC236}">
              <a16:creationId xmlns:a16="http://schemas.microsoft.com/office/drawing/2014/main" id="{ECE49FF3-6DF3-4A42-AE21-3056839B0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12</xdr:row>
      <xdr:rowOff>0</xdr:rowOff>
    </xdr:from>
    <xdr:ext cx="304800" cy="303439"/>
    <xdr:sp macro="" textlink="">
      <xdr:nvSpPr>
        <xdr:cNvPr id="7718" name="AutoShape 42">
          <a:extLst>
            <a:ext uri="{FF2B5EF4-FFF2-40B4-BE49-F238E27FC236}">
              <a16:creationId xmlns:a16="http://schemas.microsoft.com/office/drawing/2014/main" id="{AD8E723C-AA00-4261-8B13-92453846E4E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13</xdr:row>
      <xdr:rowOff>0</xdr:rowOff>
    </xdr:from>
    <xdr:ext cx="304800" cy="304800"/>
    <xdr:sp macro="" textlink="">
      <xdr:nvSpPr>
        <xdr:cNvPr id="7719" name="AutoShape 44">
          <a:extLst>
            <a:ext uri="{FF2B5EF4-FFF2-40B4-BE49-F238E27FC236}">
              <a16:creationId xmlns:a16="http://schemas.microsoft.com/office/drawing/2014/main" id="{3607A41D-CFE5-4655-A4D0-2EA32961E32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20" name="Picture 7719">
          <a:extLst>
            <a:ext uri="{FF2B5EF4-FFF2-40B4-BE49-F238E27FC236}">
              <a16:creationId xmlns:a16="http://schemas.microsoft.com/office/drawing/2014/main" id="{C444395C-F1B6-4C4B-878F-4961C9A56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27</xdr:row>
      <xdr:rowOff>0</xdr:rowOff>
    </xdr:from>
    <xdr:ext cx="9525" cy="9525"/>
    <xdr:pic>
      <xdr:nvPicPr>
        <xdr:cNvPr id="7721" name="Picture 7720">
          <a:extLst>
            <a:ext uri="{FF2B5EF4-FFF2-40B4-BE49-F238E27FC236}">
              <a16:creationId xmlns:a16="http://schemas.microsoft.com/office/drawing/2014/main" id="{EBA4498A-72A9-485B-8CB1-7EE83F913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3</xdr:row>
      <xdr:rowOff>0</xdr:rowOff>
    </xdr:from>
    <xdr:ext cx="9525" cy="9525"/>
    <xdr:pic>
      <xdr:nvPicPr>
        <xdr:cNvPr id="7722" name="Picture 7721">
          <a:extLst>
            <a:ext uri="{FF2B5EF4-FFF2-40B4-BE49-F238E27FC236}">
              <a16:creationId xmlns:a16="http://schemas.microsoft.com/office/drawing/2014/main" id="{BFDA52D7-B4CB-4291-AE3A-22C4CFBA7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</xdr:row>
      <xdr:rowOff>0</xdr:rowOff>
    </xdr:from>
    <xdr:ext cx="304800" cy="303439"/>
    <xdr:sp macro="" textlink="">
      <xdr:nvSpPr>
        <xdr:cNvPr id="7723" name="AutoShape 48">
          <a:extLst>
            <a:ext uri="{FF2B5EF4-FFF2-40B4-BE49-F238E27FC236}">
              <a16:creationId xmlns:a16="http://schemas.microsoft.com/office/drawing/2014/main" id="{E8C297F1-BC59-4953-8E9C-CB77A061B62C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9525" cy="9525"/>
    <xdr:pic>
      <xdr:nvPicPr>
        <xdr:cNvPr id="7724" name="Picture 7723">
          <a:extLst>
            <a:ext uri="{FF2B5EF4-FFF2-40B4-BE49-F238E27FC236}">
              <a16:creationId xmlns:a16="http://schemas.microsoft.com/office/drawing/2014/main" id="{CB1CC388-5314-413D-98CC-E4C8639ED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9525" cy="9525"/>
    <xdr:pic>
      <xdr:nvPicPr>
        <xdr:cNvPr id="7725" name="Picture 7724">
          <a:extLst>
            <a:ext uri="{FF2B5EF4-FFF2-40B4-BE49-F238E27FC236}">
              <a16:creationId xmlns:a16="http://schemas.microsoft.com/office/drawing/2014/main" id="{0EEEFA41-CE8B-45C3-AC5E-58F00D4C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6</xdr:row>
      <xdr:rowOff>0</xdr:rowOff>
    </xdr:from>
    <xdr:ext cx="9525" cy="9525"/>
    <xdr:pic>
      <xdr:nvPicPr>
        <xdr:cNvPr id="7726" name="Picture 7725">
          <a:extLst>
            <a:ext uri="{FF2B5EF4-FFF2-40B4-BE49-F238E27FC236}">
              <a16:creationId xmlns:a16="http://schemas.microsoft.com/office/drawing/2014/main" id="{8E8F9CC5-03D5-4B9B-A523-A0F5E9A04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7727" name="AutoShape 52">
          <a:extLst>
            <a:ext uri="{FF2B5EF4-FFF2-40B4-BE49-F238E27FC236}">
              <a16:creationId xmlns:a16="http://schemas.microsoft.com/office/drawing/2014/main" id="{A0A8EF25-AC3A-42F2-9F26-5B088B7FDF0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28" name="Picture 7727">
          <a:extLst>
            <a:ext uri="{FF2B5EF4-FFF2-40B4-BE49-F238E27FC236}">
              <a16:creationId xmlns:a16="http://schemas.microsoft.com/office/drawing/2014/main" id="{A96503D6-42C9-49FC-8670-DD404BD3F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26</xdr:row>
      <xdr:rowOff>0</xdr:rowOff>
    </xdr:from>
    <xdr:ext cx="9525" cy="9525"/>
    <xdr:pic>
      <xdr:nvPicPr>
        <xdr:cNvPr id="7729" name="Picture 7728">
          <a:extLst>
            <a:ext uri="{FF2B5EF4-FFF2-40B4-BE49-F238E27FC236}">
              <a16:creationId xmlns:a16="http://schemas.microsoft.com/office/drawing/2014/main" id="{B9A3CD72-5C1C-46FB-8402-3D2B300E2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25</xdr:row>
      <xdr:rowOff>0</xdr:rowOff>
    </xdr:from>
    <xdr:ext cx="304800" cy="303440"/>
    <xdr:sp macro="" textlink="">
      <xdr:nvSpPr>
        <xdr:cNvPr id="7730" name="AutoShape 55">
          <a:extLst>
            <a:ext uri="{FF2B5EF4-FFF2-40B4-BE49-F238E27FC236}">
              <a16:creationId xmlns:a16="http://schemas.microsoft.com/office/drawing/2014/main" id="{B3D154AA-7B9D-4487-AD99-C410A7707C3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31" name="Picture 7730">
          <a:extLst>
            <a:ext uri="{FF2B5EF4-FFF2-40B4-BE49-F238E27FC236}">
              <a16:creationId xmlns:a16="http://schemas.microsoft.com/office/drawing/2014/main" id="{A1079DB2-8A86-4F63-AB73-4F7F5B531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32" name="Picture 7731">
          <a:extLst>
            <a:ext uri="{FF2B5EF4-FFF2-40B4-BE49-F238E27FC236}">
              <a16:creationId xmlns:a16="http://schemas.microsoft.com/office/drawing/2014/main" id="{6488CD30-A5D5-43CF-9D90-40F08CDA9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33" name="Picture 7732">
          <a:extLst>
            <a:ext uri="{FF2B5EF4-FFF2-40B4-BE49-F238E27FC236}">
              <a16:creationId xmlns:a16="http://schemas.microsoft.com/office/drawing/2014/main" id="{835DB6F5-B4DC-4467-B4BB-A718ADB63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34" name="Picture 7733">
          <a:extLst>
            <a:ext uri="{FF2B5EF4-FFF2-40B4-BE49-F238E27FC236}">
              <a16:creationId xmlns:a16="http://schemas.microsoft.com/office/drawing/2014/main" id="{5EB6F01B-18CA-4192-9D4E-FF8593FE2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35" name="Picture 7734">
          <a:extLst>
            <a:ext uri="{FF2B5EF4-FFF2-40B4-BE49-F238E27FC236}">
              <a16:creationId xmlns:a16="http://schemas.microsoft.com/office/drawing/2014/main" id="{9E2495B6-8D9A-4DEC-9DA5-61DB633EC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736" name="AutoShape 61">
          <a:extLst>
            <a:ext uri="{FF2B5EF4-FFF2-40B4-BE49-F238E27FC236}">
              <a16:creationId xmlns:a16="http://schemas.microsoft.com/office/drawing/2014/main" id="{E781CFDB-A3D4-495A-84C2-3ABD10FB71E3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37" name="Picture 7736">
          <a:extLst>
            <a:ext uri="{FF2B5EF4-FFF2-40B4-BE49-F238E27FC236}">
              <a16:creationId xmlns:a16="http://schemas.microsoft.com/office/drawing/2014/main" id="{F9FEAF22-6CC3-4E69-91D4-6FEDE0D67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738" name="AutoShape 63">
          <a:extLst>
            <a:ext uri="{FF2B5EF4-FFF2-40B4-BE49-F238E27FC236}">
              <a16:creationId xmlns:a16="http://schemas.microsoft.com/office/drawing/2014/main" id="{B89E48F4-CABC-444F-83CD-6BDDF83ACDC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13</xdr:row>
      <xdr:rowOff>0</xdr:rowOff>
    </xdr:from>
    <xdr:ext cx="9525" cy="9525"/>
    <xdr:pic>
      <xdr:nvPicPr>
        <xdr:cNvPr id="7739" name="Picture 7738">
          <a:extLst>
            <a:ext uri="{FF2B5EF4-FFF2-40B4-BE49-F238E27FC236}">
              <a16:creationId xmlns:a16="http://schemas.microsoft.com/office/drawing/2014/main" id="{04859C72-2139-4C4C-81D6-4720F80C8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12</xdr:row>
      <xdr:rowOff>0</xdr:rowOff>
    </xdr:from>
    <xdr:ext cx="304800" cy="303439"/>
    <xdr:sp macro="" textlink="">
      <xdr:nvSpPr>
        <xdr:cNvPr id="7740" name="AutoShape 65">
          <a:extLst>
            <a:ext uri="{FF2B5EF4-FFF2-40B4-BE49-F238E27FC236}">
              <a16:creationId xmlns:a16="http://schemas.microsoft.com/office/drawing/2014/main" id="{E3A9DF55-78F4-45C9-B531-B886E8914AE3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13</xdr:row>
      <xdr:rowOff>0</xdr:rowOff>
    </xdr:from>
    <xdr:ext cx="304800" cy="304800"/>
    <xdr:sp macro="" textlink="">
      <xdr:nvSpPr>
        <xdr:cNvPr id="7741" name="AutoShape 67">
          <a:extLst>
            <a:ext uri="{FF2B5EF4-FFF2-40B4-BE49-F238E27FC236}">
              <a16:creationId xmlns:a16="http://schemas.microsoft.com/office/drawing/2014/main" id="{E6EFF5BB-6880-486A-A522-1DC3536D437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42" name="Picture 7741">
          <a:extLst>
            <a:ext uri="{FF2B5EF4-FFF2-40B4-BE49-F238E27FC236}">
              <a16:creationId xmlns:a16="http://schemas.microsoft.com/office/drawing/2014/main" id="{43767327-8B7D-4D50-8D9A-A90D076F2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3440"/>
    <xdr:sp macro="" textlink="">
      <xdr:nvSpPr>
        <xdr:cNvPr id="7743" name="AutoShape 69">
          <a:extLst>
            <a:ext uri="{FF2B5EF4-FFF2-40B4-BE49-F238E27FC236}">
              <a16:creationId xmlns:a16="http://schemas.microsoft.com/office/drawing/2014/main" id="{06F7BA3D-B699-4742-AE3E-17BC499A47D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27</xdr:row>
      <xdr:rowOff>0</xdr:rowOff>
    </xdr:from>
    <xdr:ext cx="9525" cy="9525"/>
    <xdr:pic>
      <xdr:nvPicPr>
        <xdr:cNvPr id="7744" name="Picture 7743">
          <a:extLst>
            <a:ext uri="{FF2B5EF4-FFF2-40B4-BE49-F238E27FC236}">
              <a16:creationId xmlns:a16="http://schemas.microsoft.com/office/drawing/2014/main" id="{3398E344-F7B1-40A7-85E6-F19A72E2B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45" name="Picture 7744">
          <a:extLst>
            <a:ext uri="{FF2B5EF4-FFF2-40B4-BE49-F238E27FC236}">
              <a16:creationId xmlns:a16="http://schemas.microsoft.com/office/drawing/2014/main" id="{C5F505C4-CA15-424D-BFE3-8694A749B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3</xdr:row>
      <xdr:rowOff>0</xdr:rowOff>
    </xdr:from>
    <xdr:ext cx="9525" cy="9525"/>
    <xdr:pic>
      <xdr:nvPicPr>
        <xdr:cNvPr id="7746" name="Picture 7745">
          <a:extLst>
            <a:ext uri="{FF2B5EF4-FFF2-40B4-BE49-F238E27FC236}">
              <a16:creationId xmlns:a16="http://schemas.microsoft.com/office/drawing/2014/main" id="{1CA76F63-0A44-492F-9092-0C7B7F501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</xdr:row>
      <xdr:rowOff>0</xdr:rowOff>
    </xdr:from>
    <xdr:ext cx="304800" cy="303439"/>
    <xdr:sp macro="" textlink="">
      <xdr:nvSpPr>
        <xdr:cNvPr id="7747" name="AutoShape 98">
          <a:extLst>
            <a:ext uri="{FF2B5EF4-FFF2-40B4-BE49-F238E27FC236}">
              <a16:creationId xmlns:a16="http://schemas.microsoft.com/office/drawing/2014/main" id="{86A7B88A-343C-42FB-8C76-23AC9BEA7243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9525" cy="9525"/>
    <xdr:pic>
      <xdr:nvPicPr>
        <xdr:cNvPr id="7748" name="Picture 7747">
          <a:extLst>
            <a:ext uri="{FF2B5EF4-FFF2-40B4-BE49-F238E27FC236}">
              <a16:creationId xmlns:a16="http://schemas.microsoft.com/office/drawing/2014/main" id="{D0EDA268-5C0B-4922-8060-0DEEEC935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9525" cy="9525"/>
    <xdr:pic>
      <xdr:nvPicPr>
        <xdr:cNvPr id="7749" name="Picture 7748">
          <a:extLst>
            <a:ext uri="{FF2B5EF4-FFF2-40B4-BE49-F238E27FC236}">
              <a16:creationId xmlns:a16="http://schemas.microsoft.com/office/drawing/2014/main" id="{0C1EE813-E5C4-42C7-A2DD-2AD516D0A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6</xdr:row>
      <xdr:rowOff>0</xdr:rowOff>
    </xdr:from>
    <xdr:ext cx="9525" cy="9525"/>
    <xdr:pic>
      <xdr:nvPicPr>
        <xdr:cNvPr id="7750" name="Picture 7749">
          <a:extLst>
            <a:ext uri="{FF2B5EF4-FFF2-40B4-BE49-F238E27FC236}">
              <a16:creationId xmlns:a16="http://schemas.microsoft.com/office/drawing/2014/main" id="{46FC024B-C941-4B84-9978-6A8AFBFB0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7751" name="AutoShape 102">
          <a:extLst>
            <a:ext uri="{FF2B5EF4-FFF2-40B4-BE49-F238E27FC236}">
              <a16:creationId xmlns:a16="http://schemas.microsoft.com/office/drawing/2014/main" id="{11E92C36-A00B-401F-A535-249A54B0F5CB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52" name="Picture 7751">
          <a:extLst>
            <a:ext uri="{FF2B5EF4-FFF2-40B4-BE49-F238E27FC236}">
              <a16:creationId xmlns:a16="http://schemas.microsoft.com/office/drawing/2014/main" id="{7C3FCB73-EBBC-4A27-A4CB-678544270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26</xdr:row>
      <xdr:rowOff>0</xdr:rowOff>
    </xdr:from>
    <xdr:ext cx="9525" cy="9525"/>
    <xdr:pic>
      <xdr:nvPicPr>
        <xdr:cNvPr id="7753" name="Picture 7752">
          <a:extLst>
            <a:ext uri="{FF2B5EF4-FFF2-40B4-BE49-F238E27FC236}">
              <a16:creationId xmlns:a16="http://schemas.microsoft.com/office/drawing/2014/main" id="{5E13FBF7-E282-4D91-A03C-B7DEB90B7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25</xdr:row>
      <xdr:rowOff>0</xdr:rowOff>
    </xdr:from>
    <xdr:ext cx="304800" cy="303440"/>
    <xdr:sp macro="" textlink="">
      <xdr:nvSpPr>
        <xdr:cNvPr id="7754" name="AutoShape 105">
          <a:extLst>
            <a:ext uri="{FF2B5EF4-FFF2-40B4-BE49-F238E27FC236}">
              <a16:creationId xmlns:a16="http://schemas.microsoft.com/office/drawing/2014/main" id="{6BFA43A9-4CC0-4591-BE3A-168678C521C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55" name="Picture 7754">
          <a:extLst>
            <a:ext uri="{FF2B5EF4-FFF2-40B4-BE49-F238E27FC236}">
              <a16:creationId xmlns:a16="http://schemas.microsoft.com/office/drawing/2014/main" id="{D0FF7402-A0BB-4A78-8532-CF20D3C15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56" name="Picture 7755">
          <a:extLst>
            <a:ext uri="{FF2B5EF4-FFF2-40B4-BE49-F238E27FC236}">
              <a16:creationId xmlns:a16="http://schemas.microsoft.com/office/drawing/2014/main" id="{0E5EC237-B862-47F6-B6F5-572C14885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57" name="Picture 7756">
          <a:extLst>
            <a:ext uri="{FF2B5EF4-FFF2-40B4-BE49-F238E27FC236}">
              <a16:creationId xmlns:a16="http://schemas.microsoft.com/office/drawing/2014/main" id="{A33690B3-736A-4026-A93B-0B738E24E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58" name="Picture 7757">
          <a:extLst>
            <a:ext uri="{FF2B5EF4-FFF2-40B4-BE49-F238E27FC236}">
              <a16:creationId xmlns:a16="http://schemas.microsoft.com/office/drawing/2014/main" id="{A76FEBF1-0651-454C-BB25-516FC84EB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59" name="Picture 7758">
          <a:extLst>
            <a:ext uri="{FF2B5EF4-FFF2-40B4-BE49-F238E27FC236}">
              <a16:creationId xmlns:a16="http://schemas.microsoft.com/office/drawing/2014/main" id="{83203A50-9795-40B7-B34A-2D46F74D2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760" name="AutoShape 111">
          <a:extLst>
            <a:ext uri="{FF2B5EF4-FFF2-40B4-BE49-F238E27FC236}">
              <a16:creationId xmlns:a16="http://schemas.microsoft.com/office/drawing/2014/main" id="{76C8B7E8-E09B-4D9F-A9BB-1CE568E74A53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61" name="Picture 7760">
          <a:extLst>
            <a:ext uri="{FF2B5EF4-FFF2-40B4-BE49-F238E27FC236}">
              <a16:creationId xmlns:a16="http://schemas.microsoft.com/office/drawing/2014/main" id="{1F10633F-8134-4E47-9A25-347D50294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762" name="AutoShape 113">
          <a:extLst>
            <a:ext uri="{FF2B5EF4-FFF2-40B4-BE49-F238E27FC236}">
              <a16:creationId xmlns:a16="http://schemas.microsoft.com/office/drawing/2014/main" id="{60FB57C9-BC7B-4268-9EEC-28FA205FD1F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13</xdr:row>
      <xdr:rowOff>0</xdr:rowOff>
    </xdr:from>
    <xdr:ext cx="9525" cy="9525"/>
    <xdr:pic>
      <xdr:nvPicPr>
        <xdr:cNvPr id="7763" name="Picture 7762">
          <a:extLst>
            <a:ext uri="{FF2B5EF4-FFF2-40B4-BE49-F238E27FC236}">
              <a16:creationId xmlns:a16="http://schemas.microsoft.com/office/drawing/2014/main" id="{061C05D1-5B61-430F-BEC2-9FBC104D6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12</xdr:row>
      <xdr:rowOff>0</xdr:rowOff>
    </xdr:from>
    <xdr:ext cx="304800" cy="303439"/>
    <xdr:sp macro="" textlink="">
      <xdr:nvSpPr>
        <xdr:cNvPr id="7764" name="AutoShape 115">
          <a:extLst>
            <a:ext uri="{FF2B5EF4-FFF2-40B4-BE49-F238E27FC236}">
              <a16:creationId xmlns:a16="http://schemas.microsoft.com/office/drawing/2014/main" id="{7A797755-7B28-481C-BDD9-A4912471496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65" name="Picture 7764">
          <a:extLst>
            <a:ext uri="{FF2B5EF4-FFF2-40B4-BE49-F238E27FC236}">
              <a16:creationId xmlns:a16="http://schemas.microsoft.com/office/drawing/2014/main" id="{14F4466B-DCF1-4421-8A73-E86D47289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13</xdr:row>
      <xdr:rowOff>0</xdr:rowOff>
    </xdr:from>
    <xdr:ext cx="304800" cy="304800"/>
    <xdr:sp macro="" textlink="">
      <xdr:nvSpPr>
        <xdr:cNvPr id="7766" name="AutoShape 117">
          <a:extLst>
            <a:ext uri="{FF2B5EF4-FFF2-40B4-BE49-F238E27FC236}">
              <a16:creationId xmlns:a16="http://schemas.microsoft.com/office/drawing/2014/main" id="{314F554B-6752-4006-9B70-F7DC1849D3FC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67" name="Picture 7766">
          <a:extLst>
            <a:ext uri="{FF2B5EF4-FFF2-40B4-BE49-F238E27FC236}">
              <a16:creationId xmlns:a16="http://schemas.microsoft.com/office/drawing/2014/main" id="{E9AF8E7C-2527-49E8-8775-E0D135B73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3440"/>
    <xdr:sp macro="" textlink="">
      <xdr:nvSpPr>
        <xdr:cNvPr id="7768" name="AutoShape 119">
          <a:extLst>
            <a:ext uri="{FF2B5EF4-FFF2-40B4-BE49-F238E27FC236}">
              <a16:creationId xmlns:a16="http://schemas.microsoft.com/office/drawing/2014/main" id="{0DACF82D-0F4F-4355-9410-542262860CB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27</xdr:row>
      <xdr:rowOff>0</xdr:rowOff>
    </xdr:from>
    <xdr:ext cx="9525" cy="9525"/>
    <xdr:pic>
      <xdr:nvPicPr>
        <xdr:cNvPr id="7769" name="Picture 7768">
          <a:extLst>
            <a:ext uri="{FF2B5EF4-FFF2-40B4-BE49-F238E27FC236}">
              <a16:creationId xmlns:a16="http://schemas.microsoft.com/office/drawing/2014/main" id="{FE2DACB9-2A2C-46CC-8AE7-BDD0A5C4D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70" name="Picture 7769">
          <a:extLst>
            <a:ext uri="{FF2B5EF4-FFF2-40B4-BE49-F238E27FC236}">
              <a16:creationId xmlns:a16="http://schemas.microsoft.com/office/drawing/2014/main" id="{357C139B-A776-4983-8574-8B13A7795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3</xdr:row>
      <xdr:rowOff>0</xdr:rowOff>
    </xdr:from>
    <xdr:ext cx="9525" cy="9525"/>
    <xdr:pic>
      <xdr:nvPicPr>
        <xdr:cNvPr id="7771" name="Picture 7770">
          <a:extLst>
            <a:ext uri="{FF2B5EF4-FFF2-40B4-BE49-F238E27FC236}">
              <a16:creationId xmlns:a16="http://schemas.microsoft.com/office/drawing/2014/main" id="{91AAE11D-FD86-45F0-9300-7D3C41EB2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</xdr:row>
      <xdr:rowOff>0</xdr:rowOff>
    </xdr:from>
    <xdr:ext cx="304800" cy="303439"/>
    <xdr:sp macro="" textlink="">
      <xdr:nvSpPr>
        <xdr:cNvPr id="7772" name="AutoShape 123">
          <a:extLst>
            <a:ext uri="{FF2B5EF4-FFF2-40B4-BE49-F238E27FC236}">
              <a16:creationId xmlns:a16="http://schemas.microsoft.com/office/drawing/2014/main" id="{2E158BC5-44F4-4D6A-81E9-C0334EEC711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</xdr:row>
      <xdr:rowOff>0</xdr:rowOff>
    </xdr:from>
    <xdr:ext cx="9525" cy="9525"/>
    <xdr:pic>
      <xdr:nvPicPr>
        <xdr:cNvPr id="7773" name="Picture 7772">
          <a:extLst>
            <a:ext uri="{FF2B5EF4-FFF2-40B4-BE49-F238E27FC236}">
              <a16:creationId xmlns:a16="http://schemas.microsoft.com/office/drawing/2014/main" id="{379A246F-01E4-427A-AE06-541CCD8D0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9525" cy="9525"/>
    <xdr:pic>
      <xdr:nvPicPr>
        <xdr:cNvPr id="7774" name="Picture 7773">
          <a:extLst>
            <a:ext uri="{FF2B5EF4-FFF2-40B4-BE49-F238E27FC236}">
              <a16:creationId xmlns:a16="http://schemas.microsoft.com/office/drawing/2014/main" id="{37BCD971-DF85-4535-9240-60DC085D8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6</xdr:row>
      <xdr:rowOff>0</xdr:rowOff>
    </xdr:from>
    <xdr:ext cx="9525" cy="9525"/>
    <xdr:pic>
      <xdr:nvPicPr>
        <xdr:cNvPr id="7775" name="Picture 7774">
          <a:extLst>
            <a:ext uri="{FF2B5EF4-FFF2-40B4-BE49-F238E27FC236}">
              <a16:creationId xmlns:a16="http://schemas.microsoft.com/office/drawing/2014/main" id="{646FD299-08E9-4211-8D41-AC3074E62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5</xdr:row>
      <xdr:rowOff>0</xdr:rowOff>
    </xdr:from>
    <xdr:ext cx="304800" cy="304800"/>
    <xdr:sp macro="" textlink="">
      <xdr:nvSpPr>
        <xdr:cNvPr id="7776" name="AutoShape 127">
          <a:extLst>
            <a:ext uri="{FF2B5EF4-FFF2-40B4-BE49-F238E27FC236}">
              <a16:creationId xmlns:a16="http://schemas.microsoft.com/office/drawing/2014/main" id="{3F6C7EFB-518F-459A-825F-CAB4633AFEE3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77" name="Picture 7776">
          <a:extLst>
            <a:ext uri="{FF2B5EF4-FFF2-40B4-BE49-F238E27FC236}">
              <a16:creationId xmlns:a16="http://schemas.microsoft.com/office/drawing/2014/main" id="{C0DDCE9E-4CB5-472C-8CD5-274D5E331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26</xdr:row>
      <xdr:rowOff>0</xdr:rowOff>
    </xdr:from>
    <xdr:ext cx="9525" cy="9525"/>
    <xdr:pic>
      <xdr:nvPicPr>
        <xdr:cNvPr id="7778" name="Picture 7777">
          <a:extLst>
            <a:ext uri="{FF2B5EF4-FFF2-40B4-BE49-F238E27FC236}">
              <a16:creationId xmlns:a16="http://schemas.microsoft.com/office/drawing/2014/main" id="{1AEC2370-1487-4961-8BCC-86AD12A5D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25</xdr:row>
      <xdr:rowOff>0</xdr:rowOff>
    </xdr:from>
    <xdr:ext cx="304800" cy="303440"/>
    <xdr:sp macro="" textlink="">
      <xdr:nvSpPr>
        <xdr:cNvPr id="7779" name="AutoShape 130">
          <a:extLst>
            <a:ext uri="{FF2B5EF4-FFF2-40B4-BE49-F238E27FC236}">
              <a16:creationId xmlns:a16="http://schemas.microsoft.com/office/drawing/2014/main" id="{A8DBC271-E6EA-4743-A946-4E3E71302A84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80" name="Picture 7779">
          <a:extLst>
            <a:ext uri="{FF2B5EF4-FFF2-40B4-BE49-F238E27FC236}">
              <a16:creationId xmlns:a16="http://schemas.microsoft.com/office/drawing/2014/main" id="{7DFBCCDC-6AB7-452C-8A84-19A653021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81" name="Picture 7780">
          <a:extLst>
            <a:ext uri="{FF2B5EF4-FFF2-40B4-BE49-F238E27FC236}">
              <a16:creationId xmlns:a16="http://schemas.microsoft.com/office/drawing/2014/main" id="{42F3ADBD-EBE1-48AF-9479-D6CFAA4BA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82" name="Picture 7781">
          <a:extLst>
            <a:ext uri="{FF2B5EF4-FFF2-40B4-BE49-F238E27FC236}">
              <a16:creationId xmlns:a16="http://schemas.microsoft.com/office/drawing/2014/main" id="{0FCFD73C-BF73-4292-A1D8-EEA7627AA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83" name="Picture 7782">
          <a:extLst>
            <a:ext uri="{FF2B5EF4-FFF2-40B4-BE49-F238E27FC236}">
              <a16:creationId xmlns:a16="http://schemas.microsoft.com/office/drawing/2014/main" id="{06B78C60-B460-40CC-AD59-6B6B96094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84" name="Picture 7783">
          <a:extLst>
            <a:ext uri="{FF2B5EF4-FFF2-40B4-BE49-F238E27FC236}">
              <a16:creationId xmlns:a16="http://schemas.microsoft.com/office/drawing/2014/main" id="{2B9506B2-9FBD-4AA4-BB01-3DA911A35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785" name="AutoShape 136">
          <a:extLst>
            <a:ext uri="{FF2B5EF4-FFF2-40B4-BE49-F238E27FC236}">
              <a16:creationId xmlns:a16="http://schemas.microsoft.com/office/drawing/2014/main" id="{2C440F23-4A16-45CA-8235-25395838A64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86" name="Picture 7785">
          <a:extLst>
            <a:ext uri="{FF2B5EF4-FFF2-40B4-BE49-F238E27FC236}">
              <a16:creationId xmlns:a16="http://schemas.microsoft.com/office/drawing/2014/main" id="{198DC2DD-B1FC-4C09-BF5A-AEDA29C0B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4800"/>
    <xdr:sp macro="" textlink="">
      <xdr:nvSpPr>
        <xdr:cNvPr id="7787" name="AutoShape 138">
          <a:extLst>
            <a:ext uri="{FF2B5EF4-FFF2-40B4-BE49-F238E27FC236}">
              <a16:creationId xmlns:a16="http://schemas.microsoft.com/office/drawing/2014/main" id="{2ACAEEAD-E65E-4C58-B729-1F8837A7555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13</xdr:row>
      <xdr:rowOff>0</xdr:rowOff>
    </xdr:from>
    <xdr:ext cx="9525" cy="9525"/>
    <xdr:pic>
      <xdr:nvPicPr>
        <xdr:cNvPr id="7788" name="Picture 7787">
          <a:extLst>
            <a:ext uri="{FF2B5EF4-FFF2-40B4-BE49-F238E27FC236}">
              <a16:creationId xmlns:a16="http://schemas.microsoft.com/office/drawing/2014/main" id="{0D07FCEB-37C7-4FAC-B880-06C2440BA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12</xdr:row>
      <xdr:rowOff>0</xdr:rowOff>
    </xdr:from>
    <xdr:ext cx="304800" cy="303439"/>
    <xdr:sp macro="" textlink="">
      <xdr:nvSpPr>
        <xdr:cNvPr id="7789" name="AutoShape 140">
          <a:extLst>
            <a:ext uri="{FF2B5EF4-FFF2-40B4-BE49-F238E27FC236}">
              <a16:creationId xmlns:a16="http://schemas.microsoft.com/office/drawing/2014/main" id="{4D457F3E-D422-4C23-AB6F-86A0312DFC4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90" name="Picture 7789">
          <a:extLst>
            <a:ext uri="{FF2B5EF4-FFF2-40B4-BE49-F238E27FC236}">
              <a16:creationId xmlns:a16="http://schemas.microsoft.com/office/drawing/2014/main" id="{5213981C-A071-40BE-9530-4F9DC9D61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13</xdr:row>
      <xdr:rowOff>0</xdr:rowOff>
    </xdr:from>
    <xdr:ext cx="304800" cy="304800"/>
    <xdr:sp macro="" textlink="">
      <xdr:nvSpPr>
        <xdr:cNvPr id="7791" name="AutoShape 142">
          <a:extLst>
            <a:ext uri="{FF2B5EF4-FFF2-40B4-BE49-F238E27FC236}">
              <a16:creationId xmlns:a16="http://schemas.microsoft.com/office/drawing/2014/main" id="{FFB7E8D3-7CCC-4215-B476-C6D9FFAD8AF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92" name="Picture 7791">
          <a:extLst>
            <a:ext uri="{FF2B5EF4-FFF2-40B4-BE49-F238E27FC236}">
              <a16:creationId xmlns:a16="http://schemas.microsoft.com/office/drawing/2014/main" id="{F3025A75-399E-42ED-B08E-09EBFE2C6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304800" cy="303440"/>
    <xdr:sp macro="" textlink="">
      <xdr:nvSpPr>
        <xdr:cNvPr id="7793" name="AutoShape 144">
          <a:extLst>
            <a:ext uri="{FF2B5EF4-FFF2-40B4-BE49-F238E27FC236}">
              <a16:creationId xmlns:a16="http://schemas.microsoft.com/office/drawing/2014/main" id="{2482492B-BBF7-4C13-8A46-E04214A89285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27</xdr:row>
      <xdr:rowOff>0</xdr:rowOff>
    </xdr:from>
    <xdr:ext cx="9525" cy="9525"/>
    <xdr:pic>
      <xdr:nvPicPr>
        <xdr:cNvPr id="7794" name="Picture 7793">
          <a:extLst>
            <a:ext uri="{FF2B5EF4-FFF2-40B4-BE49-F238E27FC236}">
              <a16:creationId xmlns:a16="http://schemas.microsoft.com/office/drawing/2014/main" id="{6AA71A66-7435-4514-A014-5A8F9E09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29</xdr:row>
      <xdr:rowOff>0</xdr:rowOff>
    </xdr:from>
    <xdr:ext cx="9525" cy="9525"/>
    <xdr:pic>
      <xdr:nvPicPr>
        <xdr:cNvPr id="7795" name="Picture 7794">
          <a:extLst>
            <a:ext uri="{FF2B5EF4-FFF2-40B4-BE49-F238E27FC236}">
              <a16:creationId xmlns:a16="http://schemas.microsoft.com/office/drawing/2014/main" id="{F98B14B5-43E2-4B61-AC57-3ABD44BE5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7</xdr:row>
      <xdr:rowOff>0</xdr:rowOff>
    </xdr:from>
    <xdr:ext cx="9525" cy="9525"/>
    <xdr:pic>
      <xdr:nvPicPr>
        <xdr:cNvPr id="7796" name="Picture 7795">
          <a:extLst>
            <a:ext uri="{FF2B5EF4-FFF2-40B4-BE49-F238E27FC236}">
              <a16:creationId xmlns:a16="http://schemas.microsoft.com/office/drawing/2014/main" id="{9D74F304-4698-4FA8-BB00-10496CB58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7</xdr:row>
      <xdr:rowOff>0</xdr:rowOff>
    </xdr:from>
    <xdr:ext cx="9525" cy="9525"/>
    <xdr:pic>
      <xdr:nvPicPr>
        <xdr:cNvPr id="7797" name="Picture 7796">
          <a:extLst>
            <a:ext uri="{FF2B5EF4-FFF2-40B4-BE49-F238E27FC236}">
              <a16:creationId xmlns:a16="http://schemas.microsoft.com/office/drawing/2014/main" id="{A278DF5C-7C87-4694-B015-FE4A53D01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7</xdr:row>
      <xdr:rowOff>0</xdr:rowOff>
    </xdr:from>
    <xdr:ext cx="9525" cy="9525"/>
    <xdr:pic>
      <xdr:nvPicPr>
        <xdr:cNvPr id="7798" name="Picture 7797">
          <a:extLst>
            <a:ext uri="{FF2B5EF4-FFF2-40B4-BE49-F238E27FC236}">
              <a16:creationId xmlns:a16="http://schemas.microsoft.com/office/drawing/2014/main" id="{A8079FB6-BA3A-4041-8963-1ADCD7C1E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7</xdr:row>
      <xdr:rowOff>0</xdr:rowOff>
    </xdr:from>
    <xdr:ext cx="9525" cy="9525"/>
    <xdr:pic>
      <xdr:nvPicPr>
        <xdr:cNvPr id="7799" name="Picture 7798">
          <a:extLst>
            <a:ext uri="{FF2B5EF4-FFF2-40B4-BE49-F238E27FC236}">
              <a16:creationId xmlns:a16="http://schemas.microsoft.com/office/drawing/2014/main" id="{839F59BF-B27B-40FC-A37F-F82A5D8A5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9525" cy="9525"/>
    <xdr:pic>
      <xdr:nvPicPr>
        <xdr:cNvPr id="7800" name="Picture 7799">
          <a:extLst>
            <a:ext uri="{FF2B5EF4-FFF2-40B4-BE49-F238E27FC236}">
              <a16:creationId xmlns:a16="http://schemas.microsoft.com/office/drawing/2014/main" id="{C8FE2714-1CA7-49FE-8D12-FD2530DFF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9525" cy="9525"/>
    <xdr:pic>
      <xdr:nvPicPr>
        <xdr:cNvPr id="7801" name="Picture 7800">
          <a:extLst>
            <a:ext uri="{FF2B5EF4-FFF2-40B4-BE49-F238E27FC236}">
              <a16:creationId xmlns:a16="http://schemas.microsoft.com/office/drawing/2014/main" id="{D2E126ED-3857-4443-B8A5-C8F6C9FB0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9525" cy="9525"/>
    <xdr:pic>
      <xdr:nvPicPr>
        <xdr:cNvPr id="7802" name="Picture 7801">
          <a:extLst>
            <a:ext uri="{FF2B5EF4-FFF2-40B4-BE49-F238E27FC236}">
              <a16:creationId xmlns:a16="http://schemas.microsoft.com/office/drawing/2014/main" id="{1478F917-F79A-4971-B742-494330B86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9525" cy="9525"/>
    <xdr:pic>
      <xdr:nvPicPr>
        <xdr:cNvPr id="7803" name="Picture 7802">
          <a:extLst>
            <a:ext uri="{FF2B5EF4-FFF2-40B4-BE49-F238E27FC236}">
              <a16:creationId xmlns:a16="http://schemas.microsoft.com/office/drawing/2014/main" id="{B92C0CB9-5DD2-4037-BA0B-04785259C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21</xdr:row>
      <xdr:rowOff>0</xdr:rowOff>
    </xdr:from>
    <xdr:ext cx="9525" cy="9525"/>
    <xdr:pic>
      <xdr:nvPicPr>
        <xdr:cNvPr id="7804" name="Picture 7803">
          <a:extLst>
            <a:ext uri="{FF2B5EF4-FFF2-40B4-BE49-F238E27FC236}">
              <a16:creationId xmlns:a16="http://schemas.microsoft.com/office/drawing/2014/main" id="{D62C7B9B-6299-4D49-9BDF-879CEBFB6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21</xdr:row>
      <xdr:rowOff>0</xdr:rowOff>
    </xdr:from>
    <xdr:ext cx="9525" cy="9525"/>
    <xdr:pic>
      <xdr:nvPicPr>
        <xdr:cNvPr id="7805" name="Picture 7804">
          <a:extLst>
            <a:ext uri="{FF2B5EF4-FFF2-40B4-BE49-F238E27FC236}">
              <a16:creationId xmlns:a16="http://schemas.microsoft.com/office/drawing/2014/main" id="{F9EEE395-94E1-4B32-A555-14B1C7DE9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21</xdr:row>
      <xdr:rowOff>0</xdr:rowOff>
    </xdr:from>
    <xdr:ext cx="9525" cy="9525"/>
    <xdr:pic>
      <xdr:nvPicPr>
        <xdr:cNvPr id="7806" name="Picture 7805">
          <a:extLst>
            <a:ext uri="{FF2B5EF4-FFF2-40B4-BE49-F238E27FC236}">
              <a16:creationId xmlns:a16="http://schemas.microsoft.com/office/drawing/2014/main" id="{99567F13-8CFD-4FB9-82FE-9635288F2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21</xdr:row>
      <xdr:rowOff>0</xdr:rowOff>
    </xdr:from>
    <xdr:ext cx="9525" cy="9525"/>
    <xdr:pic>
      <xdr:nvPicPr>
        <xdr:cNvPr id="7807" name="Picture 7806">
          <a:extLst>
            <a:ext uri="{FF2B5EF4-FFF2-40B4-BE49-F238E27FC236}">
              <a16:creationId xmlns:a16="http://schemas.microsoft.com/office/drawing/2014/main" id="{C59D3238-813E-43C1-9BE7-7394AB182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16</xdr:row>
      <xdr:rowOff>0</xdr:rowOff>
    </xdr:from>
    <xdr:ext cx="9525" cy="9525"/>
    <xdr:pic>
      <xdr:nvPicPr>
        <xdr:cNvPr id="7808" name="Picture 7807">
          <a:extLst>
            <a:ext uri="{FF2B5EF4-FFF2-40B4-BE49-F238E27FC236}">
              <a16:creationId xmlns:a16="http://schemas.microsoft.com/office/drawing/2014/main" id="{0D211107-918B-440D-8644-1CDD7B0B0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16</xdr:row>
      <xdr:rowOff>0</xdr:rowOff>
    </xdr:from>
    <xdr:ext cx="9525" cy="9525"/>
    <xdr:pic>
      <xdr:nvPicPr>
        <xdr:cNvPr id="7809" name="Picture 7808">
          <a:extLst>
            <a:ext uri="{FF2B5EF4-FFF2-40B4-BE49-F238E27FC236}">
              <a16:creationId xmlns:a16="http://schemas.microsoft.com/office/drawing/2014/main" id="{FD8153C7-291E-4F71-8CFA-DF00B936A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3440"/>
    <xdr:sp macro="" textlink="">
      <xdr:nvSpPr>
        <xdr:cNvPr id="7810" name="AutoShape 69">
          <a:extLst>
            <a:ext uri="{FF2B5EF4-FFF2-40B4-BE49-F238E27FC236}">
              <a16:creationId xmlns:a16="http://schemas.microsoft.com/office/drawing/2014/main" id="{801C2F00-AC04-4BE6-B451-CFCF83D6802F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16</xdr:row>
      <xdr:rowOff>0</xdr:rowOff>
    </xdr:from>
    <xdr:ext cx="9525" cy="9525"/>
    <xdr:pic>
      <xdr:nvPicPr>
        <xdr:cNvPr id="7811" name="Picture 7810">
          <a:extLst>
            <a:ext uri="{FF2B5EF4-FFF2-40B4-BE49-F238E27FC236}">
              <a16:creationId xmlns:a16="http://schemas.microsoft.com/office/drawing/2014/main" id="{D6A67D89-8A41-484E-BB41-8704DF6F9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3440"/>
    <xdr:sp macro="" textlink="">
      <xdr:nvSpPr>
        <xdr:cNvPr id="7812" name="AutoShape 119">
          <a:extLst>
            <a:ext uri="{FF2B5EF4-FFF2-40B4-BE49-F238E27FC236}">
              <a16:creationId xmlns:a16="http://schemas.microsoft.com/office/drawing/2014/main" id="{D2CDD0C3-5B0F-458A-A64F-64AF89663F7E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16</xdr:row>
      <xdr:rowOff>0</xdr:rowOff>
    </xdr:from>
    <xdr:ext cx="9525" cy="9525"/>
    <xdr:pic>
      <xdr:nvPicPr>
        <xdr:cNvPr id="7813" name="Picture 7812">
          <a:extLst>
            <a:ext uri="{FF2B5EF4-FFF2-40B4-BE49-F238E27FC236}">
              <a16:creationId xmlns:a16="http://schemas.microsoft.com/office/drawing/2014/main" id="{63050556-A7FB-481B-9C26-60CCBC2E3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15</xdr:row>
      <xdr:rowOff>0</xdr:rowOff>
    </xdr:from>
    <xdr:ext cx="304800" cy="303440"/>
    <xdr:sp macro="" textlink="">
      <xdr:nvSpPr>
        <xdr:cNvPr id="7814" name="AutoShape 144">
          <a:extLst>
            <a:ext uri="{FF2B5EF4-FFF2-40B4-BE49-F238E27FC236}">
              <a16:creationId xmlns:a16="http://schemas.microsoft.com/office/drawing/2014/main" id="{06A8190F-F7DA-4C39-9CC7-E2E4FD125D1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19</xdr:row>
      <xdr:rowOff>0</xdr:rowOff>
    </xdr:from>
    <xdr:ext cx="9525" cy="9525"/>
    <xdr:pic>
      <xdr:nvPicPr>
        <xdr:cNvPr id="7815" name="Picture 7814">
          <a:extLst>
            <a:ext uri="{FF2B5EF4-FFF2-40B4-BE49-F238E27FC236}">
              <a16:creationId xmlns:a16="http://schemas.microsoft.com/office/drawing/2014/main" id="{26FBF67E-53DD-4DCF-8C30-F123B8E43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19</xdr:row>
      <xdr:rowOff>0</xdr:rowOff>
    </xdr:from>
    <xdr:ext cx="9525" cy="9525"/>
    <xdr:pic>
      <xdr:nvPicPr>
        <xdr:cNvPr id="7816" name="Picture 7815">
          <a:extLst>
            <a:ext uri="{FF2B5EF4-FFF2-40B4-BE49-F238E27FC236}">
              <a16:creationId xmlns:a16="http://schemas.microsoft.com/office/drawing/2014/main" id="{F872CD45-EF8E-4EEC-8DD3-0ECFC2F6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19</xdr:row>
      <xdr:rowOff>0</xdr:rowOff>
    </xdr:from>
    <xdr:ext cx="9525" cy="9525"/>
    <xdr:pic>
      <xdr:nvPicPr>
        <xdr:cNvPr id="7817" name="Picture 7816">
          <a:extLst>
            <a:ext uri="{FF2B5EF4-FFF2-40B4-BE49-F238E27FC236}">
              <a16:creationId xmlns:a16="http://schemas.microsoft.com/office/drawing/2014/main" id="{A6F2D0FA-BB21-4A8F-B224-2966F9EF4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17</xdr:row>
      <xdr:rowOff>0</xdr:rowOff>
    </xdr:from>
    <xdr:ext cx="9525" cy="9525"/>
    <xdr:pic>
      <xdr:nvPicPr>
        <xdr:cNvPr id="7818" name="Picture 7817">
          <a:extLst>
            <a:ext uri="{FF2B5EF4-FFF2-40B4-BE49-F238E27FC236}">
              <a16:creationId xmlns:a16="http://schemas.microsoft.com/office/drawing/2014/main" id="{D9662B0D-F59A-44DE-A180-10C516C14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16</xdr:row>
      <xdr:rowOff>0</xdr:rowOff>
    </xdr:from>
    <xdr:ext cx="304800" cy="304800"/>
    <xdr:sp macro="" textlink="">
      <xdr:nvSpPr>
        <xdr:cNvPr id="7819" name="AutoShape 40">
          <a:extLst>
            <a:ext uri="{FF2B5EF4-FFF2-40B4-BE49-F238E27FC236}">
              <a16:creationId xmlns:a16="http://schemas.microsoft.com/office/drawing/2014/main" id="{AA3B5603-E0D4-4067-A5D5-7990459BA6A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304800" cy="303439"/>
    <xdr:sp macro="" textlink="">
      <xdr:nvSpPr>
        <xdr:cNvPr id="7820" name="AutoShape 42">
          <a:extLst>
            <a:ext uri="{FF2B5EF4-FFF2-40B4-BE49-F238E27FC236}">
              <a16:creationId xmlns:a16="http://schemas.microsoft.com/office/drawing/2014/main" id="{B5BD5E0B-814E-4B48-A851-DAB933F9B41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9525" cy="9525"/>
    <xdr:pic>
      <xdr:nvPicPr>
        <xdr:cNvPr id="7821" name="Picture 7820">
          <a:extLst>
            <a:ext uri="{FF2B5EF4-FFF2-40B4-BE49-F238E27FC236}">
              <a16:creationId xmlns:a16="http://schemas.microsoft.com/office/drawing/2014/main" id="{8FDFCE4E-D0A7-4A23-A303-4976EC762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16</xdr:row>
      <xdr:rowOff>0</xdr:rowOff>
    </xdr:from>
    <xdr:ext cx="304800" cy="304800"/>
    <xdr:sp macro="" textlink="">
      <xdr:nvSpPr>
        <xdr:cNvPr id="7822" name="AutoShape 63">
          <a:extLst>
            <a:ext uri="{FF2B5EF4-FFF2-40B4-BE49-F238E27FC236}">
              <a16:creationId xmlns:a16="http://schemas.microsoft.com/office/drawing/2014/main" id="{B5315CE9-290D-4FA6-B675-C458E9A9D14B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304800" cy="303439"/>
    <xdr:sp macro="" textlink="">
      <xdr:nvSpPr>
        <xdr:cNvPr id="7823" name="AutoShape 65">
          <a:extLst>
            <a:ext uri="{FF2B5EF4-FFF2-40B4-BE49-F238E27FC236}">
              <a16:creationId xmlns:a16="http://schemas.microsoft.com/office/drawing/2014/main" id="{F02A9895-4E52-4742-B214-707AB65A98B3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9525" cy="9525"/>
    <xdr:pic>
      <xdr:nvPicPr>
        <xdr:cNvPr id="7824" name="Picture 7823">
          <a:extLst>
            <a:ext uri="{FF2B5EF4-FFF2-40B4-BE49-F238E27FC236}">
              <a16:creationId xmlns:a16="http://schemas.microsoft.com/office/drawing/2014/main" id="{3F629654-C9A4-44A9-8BEB-5B104A41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16</xdr:row>
      <xdr:rowOff>0</xdr:rowOff>
    </xdr:from>
    <xdr:ext cx="304800" cy="304800"/>
    <xdr:sp macro="" textlink="">
      <xdr:nvSpPr>
        <xdr:cNvPr id="7825" name="AutoShape 113">
          <a:extLst>
            <a:ext uri="{FF2B5EF4-FFF2-40B4-BE49-F238E27FC236}">
              <a16:creationId xmlns:a16="http://schemas.microsoft.com/office/drawing/2014/main" id="{E083BF7C-998A-4568-8084-1EB027B8A4BF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304800" cy="303439"/>
    <xdr:sp macro="" textlink="">
      <xdr:nvSpPr>
        <xdr:cNvPr id="7826" name="AutoShape 115">
          <a:extLst>
            <a:ext uri="{FF2B5EF4-FFF2-40B4-BE49-F238E27FC236}">
              <a16:creationId xmlns:a16="http://schemas.microsoft.com/office/drawing/2014/main" id="{93468B14-7160-4207-BE81-97F43C39CFA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9525" cy="9525"/>
    <xdr:pic>
      <xdr:nvPicPr>
        <xdr:cNvPr id="7827" name="Picture 7826">
          <a:extLst>
            <a:ext uri="{FF2B5EF4-FFF2-40B4-BE49-F238E27FC236}">
              <a16:creationId xmlns:a16="http://schemas.microsoft.com/office/drawing/2014/main" id="{773798BC-8DAF-4794-ADBB-2CAD74D5E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16</xdr:row>
      <xdr:rowOff>0</xdr:rowOff>
    </xdr:from>
    <xdr:ext cx="304800" cy="304800"/>
    <xdr:sp macro="" textlink="">
      <xdr:nvSpPr>
        <xdr:cNvPr id="7828" name="AutoShape 138">
          <a:extLst>
            <a:ext uri="{FF2B5EF4-FFF2-40B4-BE49-F238E27FC236}">
              <a16:creationId xmlns:a16="http://schemas.microsoft.com/office/drawing/2014/main" id="{6C0B384C-9219-4A28-8F02-46A291A1B0CC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17</xdr:row>
      <xdr:rowOff>0</xdr:rowOff>
    </xdr:from>
    <xdr:ext cx="304800" cy="303439"/>
    <xdr:sp macro="" textlink="">
      <xdr:nvSpPr>
        <xdr:cNvPr id="7829" name="AutoShape 140">
          <a:extLst>
            <a:ext uri="{FF2B5EF4-FFF2-40B4-BE49-F238E27FC236}">
              <a16:creationId xmlns:a16="http://schemas.microsoft.com/office/drawing/2014/main" id="{90DB076B-1BF3-4C6E-95E3-D2F9CBC31E2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18</xdr:row>
      <xdr:rowOff>0</xdr:rowOff>
    </xdr:from>
    <xdr:ext cx="9525" cy="9525"/>
    <xdr:pic>
      <xdr:nvPicPr>
        <xdr:cNvPr id="7830" name="Picture 7829">
          <a:extLst>
            <a:ext uri="{FF2B5EF4-FFF2-40B4-BE49-F238E27FC236}">
              <a16:creationId xmlns:a16="http://schemas.microsoft.com/office/drawing/2014/main" id="{8717ED58-5FFE-46C1-8D66-9A00A5D99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18</xdr:row>
      <xdr:rowOff>0</xdr:rowOff>
    </xdr:from>
    <xdr:ext cx="9525" cy="9525"/>
    <xdr:pic>
      <xdr:nvPicPr>
        <xdr:cNvPr id="7831" name="Picture 7830">
          <a:extLst>
            <a:ext uri="{FF2B5EF4-FFF2-40B4-BE49-F238E27FC236}">
              <a16:creationId xmlns:a16="http://schemas.microsoft.com/office/drawing/2014/main" id="{502F1A6F-45DC-4D1B-A96E-8F5F58716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18</xdr:row>
      <xdr:rowOff>0</xdr:rowOff>
    </xdr:from>
    <xdr:ext cx="9525" cy="9525"/>
    <xdr:pic>
      <xdr:nvPicPr>
        <xdr:cNvPr id="7832" name="Picture 7831">
          <a:extLst>
            <a:ext uri="{FF2B5EF4-FFF2-40B4-BE49-F238E27FC236}">
              <a16:creationId xmlns:a16="http://schemas.microsoft.com/office/drawing/2014/main" id="{9A78E17E-3862-4EB4-B138-04008758E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18</xdr:row>
      <xdr:rowOff>0</xdr:rowOff>
    </xdr:from>
    <xdr:ext cx="9525" cy="9525"/>
    <xdr:pic>
      <xdr:nvPicPr>
        <xdr:cNvPr id="7833" name="Picture 7832">
          <a:extLst>
            <a:ext uri="{FF2B5EF4-FFF2-40B4-BE49-F238E27FC236}">
              <a16:creationId xmlns:a16="http://schemas.microsoft.com/office/drawing/2014/main" id="{57C30528-115A-41AC-842C-1F805551B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9525" cy="9525"/>
    <xdr:pic>
      <xdr:nvPicPr>
        <xdr:cNvPr id="7834" name="Picture 7833">
          <a:extLst>
            <a:ext uri="{FF2B5EF4-FFF2-40B4-BE49-F238E27FC236}">
              <a16:creationId xmlns:a16="http://schemas.microsoft.com/office/drawing/2014/main" id="{0597C40D-2D23-4335-8EC9-D3D39ACBC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9525" cy="9525"/>
    <xdr:pic>
      <xdr:nvPicPr>
        <xdr:cNvPr id="7835" name="Picture 7834">
          <a:extLst>
            <a:ext uri="{FF2B5EF4-FFF2-40B4-BE49-F238E27FC236}">
              <a16:creationId xmlns:a16="http://schemas.microsoft.com/office/drawing/2014/main" id="{BCF61DCF-EAF8-4FA4-AB7A-4A866045C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9525" cy="9525"/>
    <xdr:pic>
      <xdr:nvPicPr>
        <xdr:cNvPr id="7836" name="Picture 7835">
          <a:extLst>
            <a:ext uri="{FF2B5EF4-FFF2-40B4-BE49-F238E27FC236}">
              <a16:creationId xmlns:a16="http://schemas.microsoft.com/office/drawing/2014/main" id="{853A8345-B129-4A76-BD62-4662D0F0B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9525" cy="9525"/>
    <xdr:pic>
      <xdr:nvPicPr>
        <xdr:cNvPr id="7837" name="Picture 7836">
          <a:extLst>
            <a:ext uri="{FF2B5EF4-FFF2-40B4-BE49-F238E27FC236}">
              <a16:creationId xmlns:a16="http://schemas.microsoft.com/office/drawing/2014/main" id="{E691A695-D0C7-48E7-9632-1847F0055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10</xdr:row>
      <xdr:rowOff>0</xdr:rowOff>
    </xdr:from>
    <xdr:ext cx="9525" cy="9525"/>
    <xdr:pic>
      <xdr:nvPicPr>
        <xdr:cNvPr id="7838" name="Picture 7837">
          <a:extLst>
            <a:ext uri="{FF2B5EF4-FFF2-40B4-BE49-F238E27FC236}">
              <a16:creationId xmlns:a16="http://schemas.microsoft.com/office/drawing/2014/main" id="{F335354A-3F47-4B3A-AF09-34DD73F5C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304800" cy="304800"/>
    <xdr:sp macro="" textlink="">
      <xdr:nvSpPr>
        <xdr:cNvPr id="7839" name="AutoShape 38">
          <a:extLst>
            <a:ext uri="{FF2B5EF4-FFF2-40B4-BE49-F238E27FC236}">
              <a16:creationId xmlns:a16="http://schemas.microsoft.com/office/drawing/2014/main" id="{7CC2BD9D-C07B-42D0-A923-5A246EB3F597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10</xdr:row>
      <xdr:rowOff>0</xdr:rowOff>
    </xdr:from>
    <xdr:ext cx="304800" cy="304800"/>
    <xdr:sp macro="" textlink="">
      <xdr:nvSpPr>
        <xdr:cNvPr id="7840" name="AutoShape 40">
          <a:extLst>
            <a:ext uri="{FF2B5EF4-FFF2-40B4-BE49-F238E27FC236}">
              <a16:creationId xmlns:a16="http://schemas.microsoft.com/office/drawing/2014/main" id="{A369D02C-70C2-4D9B-8959-09202AF4102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10</xdr:row>
      <xdr:rowOff>0</xdr:rowOff>
    </xdr:from>
    <xdr:ext cx="9525" cy="9525"/>
    <xdr:pic>
      <xdr:nvPicPr>
        <xdr:cNvPr id="7841" name="Picture 7840">
          <a:extLst>
            <a:ext uri="{FF2B5EF4-FFF2-40B4-BE49-F238E27FC236}">
              <a16:creationId xmlns:a16="http://schemas.microsoft.com/office/drawing/2014/main" id="{A018BD51-779B-4944-896A-0258D901A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304800" cy="304800"/>
    <xdr:sp macro="" textlink="">
      <xdr:nvSpPr>
        <xdr:cNvPr id="7842" name="AutoShape 61">
          <a:extLst>
            <a:ext uri="{FF2B5EF4-FFF2-40B4-BE49-F238E27FC236}">
              <a16:creationId xmlns:a16="http://schemas.microsoft.com/office/drawing/2014/main" id="{0D8518A9-9B6C-4946-8F87-E21E7E88146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10</xdr:row>
      <xdr:rowOff>0</xdr:rowOff>
    </xdr:from>
    <xdr:ext cx="304800" cy="304800"/>
    <xdr:sp macro="" textlink="">
      <xdr:nvSpPr>
        <xdr:cNvPr id="7843" name="AutoShape 63">
          <a:extLst>
            <a:ext uri="{FF2B5EF4-FFF2-40B4-BE49-F238E27FC236}">
              <a16:creationId xmlns:a16="http://schemas.microsoft.com/office/drawing/2014/main" id="{3C2A2229-47D0-421C-9B41-4A0D8E83FF2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10</xdr:row>
      <xdr:rowOff>0</xdr:rowOff>
    </xdr:from>
    <xdr:ext cx="9525" cy="9525"/>
    <xdr:pic>
      <xdr:nvPicPr>
        <xdr:cNvPr id="7844" name="Picture 7843">
          <a:extLst>
            <a:ext uri="{FF2B5EF4-FFF2-40B4-BE49-F238E27FC236}">
              <a16:creationId xmlns:a16="http://schemas.microsoft.com/office/drawing/2014/main" id="{303E6027-9A8F-40DE-81E6-A26AAAD8B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304800" cy="304800"/>
    <xdr:sp macro="" textlink="">
      <xdr:nvSpPr>
        <xdr:cNvPr id="7845" name="AutoShape 111">
          <a:extLst>
            <a:ext uri="{FF2B5EF4-FFF2-40B4-BE49-F238E27FC236}">
              <a16:creationId xmlns:a16="http://schemas.microsoft.com/office/drawing/2014/main" id="{F303D5B1-EC1D-404F-88A4-43ED78ABB05B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10</xdr:row>
      <xdr:rowOff>0</xdr:rowOff>
    </xdr:from>
    <xdr:ext cx="304800" cy="304800"/>
    <xdr:sp macro="" textlink="">
      <xdr:nvSpPr>
        <xdr:cNvPr id="7846" name="AutoShape 113">
          <a:extLst>
            <a:ext uri="{FF2B5EF4-FFF2-40B4-BE49-F238E27FC236}">
              <a16:creationId xmlns:a16="http://schemas.microsoft.com/office/drawing/2014/main" id="{E2345DB4-B47F-407C-9872-DD06B1FB2A4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10</xdr:row>
      <xdr:rowOff>0</xdr:rowOff>
    </xdr:from>
    <xdr:ext cx="9525" cy="9525"/>
    <xdr:pic>
      <xdr:nvPicPr>
        <xdr:cNvPr id="7847" name="Picture 7846">
          <a:extLst>
            <a:ext uri="{FF2B5EF4-FFF2-40B4-BE49-F238E27FC236}">
              <a16:creationId xmlns:a16="http://schemas.microsoft.com/office/drawing/2014/main" id="{F67FD8C6-C4E0-4DE1-972A-26949F5E4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9</xdr:row>
      <xdr:rowOff>0</xdr:rowOff>
    </xdr:from>
    <xdr:ext cx="304800" cy="304800"/>
    <xdr:sp macro="" textlink="">
      <xdr:nvSpPr>
        <xdr:cNvPr id="7848" name="AutoShape 136">
          <a:extLst>
            <a:ext uri="{FF2B5EF4-FFF2-40B4-BE49-F238E27FC236}">
              <a16:creationId xmlns:a16="http://schemas.microsoft.com/office/drawing/2014/main" id="{62FD832C-C2C2-4D52-A293-93B9142DF26C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10</xdr:row>
      <xdr:rowOff>0</xdr:rowOff>
    </xdr:from>
    <xdr:ext cx="304800" cy="304800"/>
    <xdr:sp macro="" textlink="">
      <xdr:nvSpPr>
        <xdr:cNvPr id="7849" name="AutoShape 138">
          <a:extLst>
            <a:ext uri="{FF2B5EF4-FFF2-40B4-BE49-F238E27FC236}">
              <a16:creationId xmlns:a16="http://schemas.microsoft.com/office/drawing/2014/main" id="{07BC2B48-268D-44DE-9EAF-89DB9E71A93B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22</xdr:row>
      <xdr:rowOff>0</xdr:rowOff>
    </xdr:from>
    <xdr:ext cx="9525" cy="9525"/>
    <xdr:pic>
      <xdr:nvPicPr>
        <xdr:cNvPr id="7850" name="Picture 7849">
          <a:extLst>
            <a:ext uri="{FF2B5EF4-FFF2-40B4-BE49-F238E27FC236}">
              <a16:creationId xmlns:a16="http://schemas.microsoft.com/office/drawing/2014/main" id="{1BD83DA5-42F1-4B64-A775-E48F5922A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22</xdr:row>
      <xdr:rowOff>0</xdr:rowOff>
    </xdr:from>
    <xdr:ext cx="9525" cy="9525"/>
    <xdr:pic>
      <xdr:nvPicPr>
        <xdr:cNvPr id="7851" name="Picture 7850">
          <a:extLst>
            <a:ext uri="{FF2B5EF4-FFF2-40B4-BE49-F238E27FC236}">
              <a16:creationId xmlns:a16="http://schemas.microsoft.com/office/drawing/2014/main" id="{814C78AA-82C3-43CF-A4B6-135AD8A2B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22</xdr:row>
      <xdr:rowOff>0</xdr:rowOff>
    </xdr:from>
    <xdr:ext cx="9525" cy="9525"/>
    <xdr:pic>
      <xdr:nvPicPr>
        <xdr:cNvPr id="7852" name="Picture 7851">
          <a:extLst>
            <a:ext uri="{FF2B5EF4-FFF2-40B4-BE49-F238E27FC236}">
              <a16:creationId xmlns:a16="http://schemas.microsoft.com/office/drawing/2014/main" id="{AE73C184-5FB5-4C23-B01B-57D3A44CC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22</xdr:row>
      <xdr:rowOff>0</xdr:rowOff>
    </xdr:from>
    <xdr:ext cx="9525" cy="9525"/>
    <xdr:pic>
      <xdr:nvPicPr>
        <xdr:cNvPr id="7853" name="Picture 7852">
          <a:extLst>
            <a:ext uri="{FF2B5EF4-FFF2-40B4-BE49-F238E27FC236}">
              <a16:creationId xmlns:a16="http://schemas.microsoft.com/office/drawing/2014/main" id="{C148562E-6EA6-4BAA-8883-1873F2B41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9525" cy="9525"/>
    <xdr:pic>
      <xdr:nvPicPr>
        <xdr:cNvPr id="7854" name="Picture 7853">
          <a:extLst>
            <a:ext uri="{FF2B5EF4-FFF2-40B4-BE49-F238E27FC236}">
              <a16:creationId xmlns:a16="http://schemas.microsoft.com/office/drawing/2014/main" id="{10B95A35-64D0-4DAD-9619-58C78F494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855" name="AutoShape 38">
          <a:extLst>
            <a:ext uri="{FF2B5EF4-FFF2-40B4-BE49-F238E27FC236}">
              <a16:creationId xmlns:a16="http://schemas.microsoft.com/office/drawing/2014/main" id="{2B83E8D6-1A66-497B-BC85-440F4324BE73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23</xdr:row>
      <xdr:rowOff>0</xdr:rowOff>
    </xdr:from>
    <xdr:ext cx="9525" cy="9525"/>
    <xdr:pic>
      <xdr:nvPicPr>
        <xdr:cNvPr id="7856" name="Picture 7855">
          <a:extLst>
            <a:ext uri="{FF2B5EF4-FFF2-40B4-BE49-F238E27FC236}">
              <a16:creationId xmlns:a16="http://schemas.microsoft.com/office/drawing/2014/main" id="{146392D3-3499-4665-8A20-25AEBCBCF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857" name="AutoShape 61">
          <a:extLst>
            <a:ext uri="{FF2B5EF4-FFF2-40B4-BE49-F238E27FC236}">
              <a16:creationId xmlns:a16="http://schemas.microsoft.com/office/drawing/2014/main" id="{F93AAEF6-69B8-4798-B626-E82C948A5DC3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23</xdr:row>
      <xdr:rowOff>0</xdr:rowOff>
    </xdr:from>
    <xdr:ext cx="9525" cy="9525"/>
    <xdr:pic>
      <xdr:nvPicPr>
        <xdr:cNvPr id="7858" name="Picture 7857">
          <a:extLst>
            <a:ext uri="{FF2B5EF4-FFF2-40B4-BE49-F238E27FC236}">
              <a16:creationId xmlns:a16="http://schemas.microsoft.com/office/drawing/2014/main" id="{6ECA2523-CEBF-48B3-A3AC-9FB0D2F34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859" name="AutoShape 111">
          <a:extLst>
            <a:ext uri="{FF2B5EF4-FFF2-40B4-BE49-F238E27FC236}">
              <a16:creationId xmlns:a16="http://schemas.microsoft.com/office/drawing/2014/main" id="{575E0156-45CC-450D-A926-03623C9E4D8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23</xdr:row>
      <xdr:rowOff>0</xdr:rowOff>
    </xdr:from>
    <xdr:ext cx="9525" cy="9525"/>
    <xdr:pic>
      <xdr:nvPicPr>
        <xdr:cNvPr id="7860" name="Picture 7859">
          <a:extLst>
            <a:ext uri="{FF2B5EF4-FFF2-40B4-BE49-F238E27FC236}">
              <a16:creationId xmlns:a16="http://schemas.microsoft.com/office/drawing/2014/main" id="{FF86142B-3F5F-4FBE-8900-9924D6882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861" name="AutoShape 136">
          <a:extLst>
            <a:ext uri="{FF2B5EF4-FFF2-40B4-BE49-F238E27FC236}">
              <a16:creationId xmlns:a16="http://schemas.microsoft.com/office/drawing/2014/main" id="{D6381700-2ED7-4A75-9CD7-3447D4C078B0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862" name="AutoShape 44">
          <a:extLst>
            <a:ext uri="{FF2B5EF4-FFF2-40B4-BE49-F238E27FC236}">
              <a16:creationId xmlns:a16="http://schemas.microsoft.com/office/drawing/2014/main" id="{0CF4A277-928D-402D-867B-FA17592620B9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863" name="AutoShape 67">
          <a:extLst>
            <a:ext uri="{FF2B5EF4-FFF2-40B4-BE49-F238E27FC236}">
              <a16:creationId xmlns:a16="http://schemas.microsoft.com/office/drawing/2014/main" id="{AB6CB367-27B8-4867-9722-0BA4010F3941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304800" cy="303440"/>
    <xdr:sp macro="" textlink="">
      <xdr:nvSpPr>
        <xdr:cNvPr id="7864" name="AutoShape 69">
          <a:extLst>
            <a:ext uri="{FF2B5EF4-FFF2-40B4-BE49-F238E27FC236}">
              <a16:creationId xmlns:a16="http://schemas.microsoft.com/office/drawing/2014/main" id="{A5091B96-1F41-4780-B6BD-ED3A2D8CDB56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9525" cy="9525"/>
    <xdr:pic>
      <xdr:nvPicPr>
        <xdr:cNvPr id="7865" name="Picture 7864">
          <a:extLst>
            <a:ext uri="{FF2B5EF4-FFF2-40B4-BE49-F238E27FC236}">
              <a16:creationId xmlns:a16="http://schemas.microsoft.com/office/drawing/2014/main" id="{787C3EA2-0844-4938-84D7-70880093C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866" name="AutoShape 117">
          <a:extLst>
            <a:ext uri="{FF2B5EF4-FFF2-40B4-BE49-F238E27FC236}">
              <a16:creationId xmlns:a16="http://schemas.microsoft.com/office/drawing/2014/main" id="{0E539363-76B2-433F-8B4D-11BCEEAF5268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304800" cy="303440"/>
    <xdr:sp macro="" textlink="">
      <xdr:nvSpPr>
        <xdr:cNvPr id="7867" name="AutoShape 119">
          <a:extLst>
            <a:ext uri="{FF2B5EF4-FFF2-40B4-BE49-F238E27FC236}">
              <a16:creationId xmlns:a16="http://schemas.microsoft.com/office/drawing/2014/main" id="{3A5573E7-BD22-4E22-AF18-B8DD46EE225B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9525" cy="9525"/>
    <xdr:pic>
      <xdr:nvPicPr>
        <xdr:cNvPr id="7868" name="Picture 7867">
          <a:extLst>
            <a:ext uri="{FF2B5EF4-FFF2-40B4-BE49-F238E27FC236}">
              <a16:creationId xmlns:a16="http://schemas.microsoft.com/office/drawing/2014/main" id="{E492E73E-AD4A-4B1D-A3DF-6D3FD6842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23179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23</xdr:row>
      <xdr:rowOff>0</xdr:rowOff>
    </xdr:from>
    <xdr:ext cx="304800" cy="304800"/>
    <xdr:sp macro="" textlink="">
      <xdr:nvSpPr>
        <xdr:cNvPr id="7869" name="AutoShape 142">
          <a:extLst>
            <a:ext uri="{FF2B5EF4-FFF2-40B4-BE49-F238E27FC236}">
              <a16:creationId xmlns:a16="http://schemas.microsoft.com/office/drawing/2014/main" id="{8DF0BDA8-1DFF-4FA2-97FD-387FB6ABEA7D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24</xdr:row>
      <xdr:rowOff>0</xdr:rowOff>
    </xdr:from>
    <xdr:ext cx="304800" cy="303440"/>
    <xdr:sp macro="" textlink="">
      <xdr:nvSpPr>
        <xdr:cNvPr id="7870" name="AutoShape 144">
          <a:extLst>
            <a:ext uri="{FF2B5EF4-FFF2-40B4-BE49-F238E27FC236}">
              <a16:creationId xmlns:a16="http://schemas.microsoft.com/office/drawing/2014/main" id="{E5FADBD7-BEEC-46F7-B047-AFACC9AD3C0A}"/>
            </a:ext>
          </a:extLst>
        </xdr:cNvPr>
        <xdr:cNvSpPr>
          <a:spLocks noChangeAspect="1" noChangeArrowheads="1"/>
        </xdr:cNvSpPr>
      </xdr:nvSpPr>
      <xdr:spPr bwMode="auto">
        <a:xfrm>
          <a:off x="92923179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3</xdr:row>
      <xdr:rowOff>0</xdr:rowOff>
    </xdr:from>
    <xdr:ext cx="9525" cy="9525"/>
    <xdr:pic>
      <xdr:nvPicPr>
        <xdr:cNvPr id="7871" name="Picture 7870">
          <a:extLst>
            <a:ext uri="{FF2B5EF4-FFF2-40B4-BE49-F238E27FC236}">
              <a16:creationId xmlns:a16="http://schemas.microsoft.com/office/drawing/2014/main" id="{BE7B69DF-D73A-4C11-81C8-3E84AE775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</xdr:row>
      <xdr:rowOff>0</xdr:rowOff>
    </xdr:from>
    <xdr:ext cx="304800" cy="303439"/>
    <xdr:sp macro="" textlink="">
      <xdr:nvSpPr>
        <xdr:cNvPr id="7872" name="AutoShape 148">
          <a:extLst>
            <a:ext uri="{FF2B5EF4-FFF2-40B4-BE49-F238E27FC236}">
              <a16:creationId xmlns:a16="http://schemas.microsoft.com/office/drawing/2014/main" id="{E4715AF0-E0F3-46E8-86CA-1D1FE85761BE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3</xdr:row>
      <xdr:rowOff>0</xdr:rowOff>
    </xdr:from>
    <xdr:ext cx="304800" cy="304800"/>
    <xdr:sp macro="" textlink="">
      <xdr:nvSpPr>
        <xdr:cNvPr id="7873" name="AutoShape 150">
          <a:extLst>
            <a:ext uri="{FF2B5EF4-FFF2-40B4-BE49-F238E27FC236}">
              <a16:creationId xmlns:a16="http://schemas.microsoft.com/office/drawing/2014/main" id="{D52A8DD9-38E7-4A76-93CB-1209F64EE88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5</xdr:row>
      <xdr:rowOff>0</xdr:rowOff>
    </xdr:from>
    <xdr:ext cx="9525" cy="9525"/>
    <xdr:pic>
      <xdr:nvPicPr>
        <xdr:cNvPr id="7874" name="Picture 7873">
          <a:extLst>
            <a:ext uri="{FF2B5EF4-FFF2-40B4-BE49-F238E27FC236}">
              <a16:creationId xmlns:a16="http://schemas.microsoft.com/office/drawing/2014/main" id="{C0D8B01A-53C3-4918-A7DB-ECE801954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9525" cy="9525"/>
    <xdr:pic>
      <xdr:nvPicPr>
        <xdr:cNvPr id="7875" name="Picture 7874">
          <a:extLst>
            <a:ext uri="{FF2B5EF4-FFF2-40B4-BE49-F238E27FC236}">
              <a16:creationId xmlns:a16="http://schemas.microsoft.com/office/drawing/2014/main" id="{9588C909-A7AF-4559-A9D6-A5AE66060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876" name="Picture 7875">
          <a:extLst>
            <a:ext uri="{FF2B5EF4-FFF2-40B4-BE49-F238E27FC236}">
              <a16:creationId xmlns:a16="http://schemas.microsoft.com/office/drawing/2014/main" id="{C72FC9F7-0AD6-4C7B-9B86-A0692AF99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304800" cy="304800"/>
    <xdr:sp macro="" textlink="">
      <xdr:nvSpPr>
        <xdr:cNvPr id="7877" name="AutoShape 154">
          <a:extLst>
            <a:ext uri="{FF2B5EF4-FFF2-40B4-BE49-F238E27FC236}">
              <a16:creationId xmlns:a16="http://schemas.microsoft.com/office/drawing/2014/main" id="{D50570B9-B20D-47DD-B21B-BD9BF86BE3D9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26</xdr:row>
      <xdr:rowOff>0</xdr:rowOff>
    </xdr:from>
    <xdr:ext cx="9525" cy="9525"/>
    <xdr:pic>
      <xdr:nvPicPr>
        <xdr:cNvPr id="7878" name="Picture 7877">
          <a:extLst>
            <a:ext uri="{FF2B5EF4-FFF2-40B4-BE49-F238E27FC236}">
              <a16:creationId xmlns:a16="http://schemas.microsoft.com/office/drawing/2014/main" id="{C2ADEB45-2498-4600-AC42-F65771F1C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25</xdr:row>
      <xdr:rowOff>0</xdr:rowOff>
    </xdr:from>
    <xdr:ext cx="304800" cy="303440"/>
    <xdr:sp macro="" textlink="">
      <xdr:nvSpPr>
        <xdr:cNvPr id="7879" name="AutoShape 156">
          <a:extLst>
            <a:ext uri="{FF2B5EF4-FFF2-40B4-BE49-F238E27FC236}">
              <a16:creationId xmlns:a16="http://schemas.microsoft.com/office/drawing/2014/main" id="{8C27531D-41E2-4FAE-8FE7-6CDAD7ADF3C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880" name="Picture 7879">
          <a:extLst>
            <a:ext uri="{FF2B5EF4-FFF2-40B4-BE49-F238E27FC236}">
              <a16:creationId xmlns:a16="http://schemas.microsoft.com/office/drawing/2014/main" id="{A5B11ED5-D889-4249-A64F-C16314213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881" name="Picture 7880">
          <a:extLst>
            <a:ext uri="{FF2B5EF4-FFF2-40B4-BE49-F238E27FC236}">
              <a16:creationId xmlns:a16="http://schemas.microsoft.com/office/drawing/2014/main" id="{0BD6F185-4AC8-467F-8F9A-EB9B8E211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7882" name="AutoShape 159">
          <a:extLst>
            <a:ext uri="{FF2B5EF4-FFF2-40B4-BE49-F238E27FC236}">
              <a16:creationId xmlns:a16="http://schemas.microsoft.com/office/drawing/2014/main" id="{0927F204-AEF8-499B-B622-3313040AA7A8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883" name="Picture 7882">
          <a:extLst>
            <a:ext uri="{FF2B5EF4-FFF2-40B4-BE49-F238E27FC236}">
              <a16:creationId xmlns:a16="http://schemas.microsoft.com/office/drawing/2014/main" id="{D7557AF8-530C-41C6-9BC3-7CDBBE4E5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884" name="Picture 7883">
          <a:extLst>
            <a:ext uri="{FF2B5EF4-FFF2-40B4-BE49-F238E27FC236}">
              <a16:creationId xmlns:a16="http://schemas.microsoft.com/office/drawing/2014/main" id="{1D3647E7-96EE-4FAA-8CC1-B0029E42C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885" name="Picture 7884">
          <a:extLst>
            <a:ext uri="{FF2B5EF4-FFF2-40B4-BE49-F238E27FC236}">
              <a16:creationId xmlns:a16="http://schemas.microsoft.com/office/drawing/2014/main" id="{B365242D-C611-4855-90A1-F06F7B782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886" name="Picture 7885">
          <a:extLst>
            <a:ext uri="{FF2B5EF4-FFF2-40B4-BE49-F238E27FC236}">
              <a16:creationId xmlns:a16="http://schemas.microsoft.com/office/drawing/2014/main" id="{88396F8A-A44A-4C2E-A031-B7D481EB5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</xdr:row>
      <xdr:rowOff>0</xdr:rowOff>
    </xdr:from>
    <xdr:ext cx="9525" cy="9525"/>
    <xdr:pic>
      <xdr:nvPicPr>
        <xdr:cNvPr id="7887" name="Picture 7886">
          <a:extLst>
            <a:ext uri="{FF2B5EF4-FFF2-40B4-BE49-F238E27FC236}">
              <a16:creationId xmlns:a16="http://schemas.microsoft.com/office/drawing/2014/main" id="{2F226BDB-B042-4B54-A2F3-60C25B7E2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</xdr:row>
      <xdr:rowOff>0</xdr:rowOff>
    </xdr:from>
    <xdr:ext cx="304800" cy="303439"/>
    <xdr:sp macro="" textlink="">
      <xdr:nvSpPr>
        <xdr:cNvPr id="7888" name="AutoShape 165">
          <a:extLst>
            <a:ext uri="{FF2B5EF4-FFF2-40B4-BE49-F238E27FC236}">
              <a16:creationId xmlns:a16="http://schemas.microsoft.com/office/drawing/2014/main" id="{918FA1EC-84B4-4E1F-927C-658AF34B375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889" name="Picture 7888">
          <a:extLst>
            <a:ext uri="{FF2B5EF4-FFF2-40B4-BE49-F238E27FC236}">
              <a16:creationId xmlns:a16="http://schemas.microsoft.com/office/drawing/2014/main" id="{408A68B9-AFCD-45D8-ADCF-8B3CADF1C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890" name="Picture 7889">
          <a:extLst>
            <a:ext uri="{FF2B5EF4-FFF2-40B4-BE49-F238E27FC236}">
              <a16:creationId xmlns:a16="http://schemas.microsoft.com/office/drawing/2014/main" id="{0BE78790-89FF-4CFD-8E4F-4D7ABAE0D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3440"/>
    <xdr:sp macro="" textlink="">
      <xdr:nvSpPr>
        <xdr:cNvPr id="7891" name="AutoShape 169">
          <a:extLst>
            <a:ext uri="{FF2B5EF4-FFF2-40B4-BE49-F238E27FC236}">
              <a16:creationId xmlns:a16="http://schemas.microsoft.com/office/drawing/2014/main" id="{377D9A55-169B-4F79-96C5-66F7C0BBEB8E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27</xdr:row>
      <xdr:rowOff>0</xdr:rowOff>
    </xdr:from>
    <xdr:ext cx="9525" cy="9525"/>
    <xdr:pic>
      <xdr:nvPicPr>
        <xdr:cNvPr id="7892" name="Picture 7891">
          <a:extLst>
            <a:ext uri="{FF2B5EF4-FFF2-40B4-BE49-F238E27FC236}">
              <a16:creationId xmlns:a16="http://schemas.microsoft.com/office/drawing/2014/main" id="{7D836295-A840-40EB-8452-A76EA9FAA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26</xdr:row>
      <xdr:rowOff>0</xdr:rowOff>
    </xdr:from>
    <xdr:ext cx="304800" cy="303439"/>
    <xdr:sp macro="" textlink="">
      <xdr:nvSpPr>
        <xdr:cNvPr id="7893" name="AutoShape 171">
          <a:extLst>
            <a:ext uri="{FF2B5EF4-FFF2-40B4-BE49-F238E27FC236}">
              <a16:creationId xmlns:a16="http://schemas.microsoft.com/office/drawing/2014/main" id="{22B1B7A6-A53E-4DBD-9BB1-E73AE59E20F2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894" name="Picture 7893">
          <a:extLst>
            <a:ext uri="{FF2B5EF4-FFF2-40B4-BE49-F238E27FC236}">
              <a16:creationId xmlns:a16="http://schemas.microsoft.com/office/drawing/2014/main" id="{7052F0FF-FCFF-46A9-8DDA-E4BDF5C7F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27</xdr:row>
      <xdr:rowOff>0</xdr:rowOff>
    </xdr:from>
    <xdr:ext cx="304800" cy="303440"/>
    <xdr:sp macro="" textlink="">
      <xdr:nvSpPr>
        <xdr:cNvPr id="7895" name="AutoShape 173">
          <a:extLst>
            <a:ext uri="{FF2B5EF4-FFF2-40B4-BE49-F238E27FC236}">
              <a16:creationId xmlns:a16="http://schemas.microsoft.com/office/drawing/2014/main" id="{9062AE8F-3580-429C-A682-E0D96D3CAFE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477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896" name="Picture 7895">
          <a:extLst>
            <a:ext uri="{FF2B5EF4-FFF2-40B4-BE49-F238E27FC236}">
              <a16:creationId xmlns:a16="http://schemas.microsoft.com/office/drawing/2014/main" id="{BA75C799-7884-4FB6-BB51-0DDC64FF9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897" name="Picture 7896">
          <a:extLst>
            <a:ext uri="{FF2B5EF4-FFF2-40B4-BE49-F238E27FC236}">
              <a16:creationId xmlns:a16="http://schemas.microsoft.com/office/drawing/2014/main" id="{0E2ABE82-5581-41E8-9999-40D800F74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</xdr:row>
      <xdr:rowOff>0</xdr:rowOff>
    </xdr:from>
    <xdr:ext cx="9525" cy="9525"/>
    <xdr:pic>
      <xdr:nvPicPr>
        <xdr:cNvPr id="7898" name="Picture 7897">
          <a:extLst>
            <a:ext uri="{FF2B5EF4-FFF2-40B4-BE49-F238E27FC236}">
              <a16:creationId xmlns:a16="http://schemas.microsoft.com/office/drawing/2014/main" id="{25EA348B-74AE-48CD-B1F5-9D120CE3A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</xdr:row>
      <xdr:rowOff>0</xdr:rowOff>
    </xdr:from>
    <xdr:ext cx="304800" cy="303439"/>
    <xdr:sp macro="" textlink="">
      <xdr:nvSpPr>
        <xdr:cNvPr id="7899" name="AutoShape 177">
          <a:extLst>
            <a:ext uri="{FF2B5EF4-FFF2-40B4-BE49-F238E27FC236}">
              <a16:creationId xmlns:a16="http://schemas.microsoft.com/office/drawing/2014/main" id="{C989D1DC-02EA-48FB-8807-085A97E30A3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9525" cy="9525"/>
    <xdr:pic>
      <xdr:nvPicPr>
        <xdr:cNvPr id="7900" name="Picture 7899">
          <a:extLst>
            <a:ext uri="{FF2B5EF4-FFF2-40B4-BE49-F238E27FC236}">
              <a16:creationId xmlns:a16="http://schemas.microsoft.com/office/drawing/2014/main" id="{14D6D338-C654-44F3-B47A-70D3017E3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9525" cy="9525"/>
    <xdr:pic>
      <xdr:nvPicPr>
        <xdr:cNvPr id="7901" name="Picture 7900">
          <a:extLst>
            <a:ext uri="{FF2B5EF4-FFF2-40B4-BE49-F238E27FC236}">
              <a16:creationId xmlns:a16="http://schemas.microsoft.com/office/drawing/2014/main" id="{D8B3A73B-258F-4B08-BEA8-AE252B1BD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9525" cy="9525"/>
    <xdr:pic>
      <xdr:nvPicPr>
        <xdr:cNvPr id="7902" name="Picture 7901">
          <a:extLst>
            <a:ext uri="{FF2B5EF4-FFF2-40B4-BE49-F238E27FC236}">
              <a16:creationId xmlns:a16="http://schemas.microsoft.com/office/drawing/2014/main" id="{24C0CC78-A408-4C1D-AB72-DD71F4C02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304800" cy="304800"/>
    <xdr:sp macro="" textlink="">
      <xdr:nvSpPr>
        <xdr:cNvPr id="7903" name="AutoShape 181">
          <a:extLst>
            <a:ext uri="{FF2B5EF4-FFF2-40B4-BE49-F238E27FC236}">
              <a16:creationId xmlns:a16="http://schemas.microsoft.com/office/drawing/2014/main" id="{10B4EEF1-0682-40FD-AF15-30B3C77DD582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04" name="Picture 7903">
          <a:extLst>
            <a:ext uri="{FF2B5EF4-FFF2-40B4-BE49-F238E27FC236}">
              <a16:creationId xmlns:a16="http://schemas.microsoft.com/office/drawing/2014/main" id="{A80283FC-4C03-4F98-85E4-1A4B7E1C0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304800" cy="304800"/>
    <xdr:sp macro="" textlink="">
      <xdr:nvSpPr>
        <xdr:cNvPr id="7905" name="AutoShape 183">
          <a:extLst>
            <a:ext uri="{FF2B5EF4-FFF2-40B4-BE49-F238E27FC236}">
              <a16:creationId xmlns:a16="http://schemas.microsoft.com/office/drawing/2014/main" id="{CADA1CBB-3DAF-42C8-884B-9A4E228450C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26</xdr:row>
      <xdr:rowOff>0</xdr:rowOff>
    </xdr:from>
    <xdr:ext cx="9525" cy="9525"/>
    <xdr:pic>
      <xdr:nvPicPr>
        <xdr:cNvPr id="7906" name="Picture 7905">
          <a:extLst>
            <a:ext uri="{FF2B5EF4-FFF2-40B4-BE49-F238E27FC236}">
              <a16:creationId xmlns:a16="http://schemas.microsoft.com/office/drawing/2014/main" id="{2A21DF1B-E397-4E3D-AA5C-A725EC6D6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25</xdr:row>
      <xdr:rowOff>0</xdr:rowOff>
    </xdr:from>
    <xdr:ext cx="304800" cy="303440"/>
    <xdr:sp macro="" textlink="">
      <xdr:nvSpPr>
        <xdr:cNvPr id="7907" name="AutoShape 185">
          <a:extLst>
            <a:ext uri="{FF2B5EF4-FFF2-40B4-BE49-F238E27FC236}">
              <a16:creationId xmlns:a16="http://schemas.microsoft.com/office/drawing/2014/main" id="{DD99B0B5-F05E-4965-A764-13A48F4A2F1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08" name="Picture 7907">
          <a:extLst>
            <a:ext uri="{FF2B5EF4-FFF2-40B4-BE49-F238E27FC236}">
              <a16:creationId xmlns:a16="http://schemas.microsoft.com/office/drawing/2014/main" id="{0C06835C-D847-43F0-B68D-BCB728531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09" name="Picture 7908">
          <a:extLst>
            <a:ext uri="{FF2B5EF4-FFF2-40B4-BE49-F238E27FC236}">
              <a16:creationId xmlns:a16="http://schemas.microsoft.com/office/drawing/2014/main" id="{FD193B7D-99E0-460A-93E0-96EDA7DD7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10" name="Picture 7909">
          <a:extLst>
            <a:ext uri="{FF2B5EF4-FFF2-40B4-BE49-F238E27FC236}">
              <a16:creationId xmlns:a16="http://schemas.microsoft.com/office/drawing/2014/main" id="{B5E55A11-F15E-463D-A775-53DDC007F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11" name="Picture 7910">
          <a:extLst>
            <a:ext uri="{FF2B5EF4-FFF2-40B4-BE49-F238E27FC236}">
              <a16:creationId xmlns:a16="http://schemas.microsoft.com/office/drawing/2014/main" id="{1D930910-38BB-48B4-B985-B3E7163D1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12" name="Picture 7911">
          <a:extLst>
            <a:ext uri="{FF2B5EF4-FFF2-40B4-BE49-F238E27FC236}">
              <a16:creationId xmlns:a16="http://schemas.microsoft.com/office/drawing/2014/main" id="{780BC7DB-3EB5-44E3-A9DE-D6E77BB38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7913" name="AutoShape 191">
          <a:extLst>
            <a:ext uri="{FF2B5EF4-FFF2-40B4-BE49-F238E27FC236}">
              <a16:creationId xmlns:a16="http://schemas.microsoft.com/office/drawing/2014/main" id="{CCCADBFD-4533-4327-83EB-0B194F2773F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14" name="Picture 7913">
          <a:extLst>
            <a:ext uri="{FF2B5EF4-FFF2-40B4-BE49-F238E27FC236}">
              <a16:creationId xmlns:a16="http://schemas.microsoft.com/office/drawing/2014/main" id="{D1C684C4-9042-4355-8F2B-0337E3A7E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7915" name="AutoShape 193">
          <a:extLst>
            <a:ext uri="{FF2B5EF4-FFF2-40B4-BE49-F238E27FC236}">
              <a16:creationId xmlns:a16="http://schemas.microsoft.com/office/drawing/2014/main" id="{CBF58F6D-FC40-4A42-9C4F-97346BE94FC1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13</xdr:row>
      <xdr:rowOff>0</xdr:rowOff>
    </xdr:from>
    <xdr:ext cx="9525" cy="9525"/>
    <xdr:pic>
      <xdr:nvPicPr>
        <xdr:cNvPr id="7916" name="Picture 7915">
          <a:extLst>
            <a:ext uri="{FF2B5EF4-FFF2-40B4-BE49-F238E27FC236}">
              <a16:creationId xmlns:a16="http://schemas.microsoft.com/office/drawing/2014/main" id="{7623BB76-8204-414F-8A3D-B5F9FEC10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</xdr:row>
      <xdr:rowOff>0</xdr:rowOff>
    </xdr:from>
    <xdr:ext cx="304800" cy="303439"/>
    <xdr:sp macro="" textlink="">
      <xdr:nvSpPr>
        <xdr:cNvPr id="7917" name="AutoShape 195">
          <a:extLst>
            <a:ext uri="{FF2B5EF4-FFF2-40B4-BE49-F238E27FC236}">
              <a16:creationId xmlns:a16="http://schemas.microsoft.com/office/drawing/2014/main" id="{8E68FC2D-D2C5-4298-899F-F17A573FDA79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18" name="Picture 7917">
          <a:extLst>
            <a:ext uri="{FF2B5EF4-FFF2-40B4-BE49-F238E27FC236}">
              <a16:creationId xmlns:a16="http://schemas.microsoft.com/office/drawing/2014/main" id="{5FC586B6-9BA4-4E2E-8902-89001798B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19" name="Picture 7918">
          <a:extLst>
            <a:ext uri="{FF2B5EF4-FFF2-40B4-BE49-F238E27FC236}">
              <a16:creationId xmlns:a16="http://schemas.microsoft.com/office/drawing/2014/main" id="{86B5CB33-BB2F-4687-B54D-21B1EB575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3440"/>
    <xdr:sp macro="" textlink="">
      <xdr:nvSpPr>
        <xdr:cNvPr id="7920" name="AutoShape 199">
          <a:extLst>
            <a:ext uri="{FF2B5EF4-FFF2-40B4-BE49-F238E27FC236}">
              <a16:creationId xmlns:a16="http://schemas.microsoft.com/office/drawing/2014/main" id="{151D5B71-F3D5-4DC7-94DC-ECCD463E7A7B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27</xdr:row>
      <xdr:rowOff>0</xdr:rowOff>
    </xdr:from>
    <xdr:ext cx="9525" cy="9525"/>
    <xdr:pic>
      <xdr:nvPicPr>
        <xdr:cNvPr id="7921" name="Picture 7920">
          <a:extLst>
            <a:ext uri="{FF2B5EF4-FFF2-40B4-BE49-F238E27FC236}">
              <a16:creationId xmlns:a16="http://schemas.microsoft.com/office/drawing/2014/main" id="{CCD5E97D-B087-41DC-86E0-507768B5D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22" name="Picture 7921">
          <a:extLst>
            <a:ext uri="{FF2B5EF4-FFF2-40B4-BE49-F238E27FC236}">
              <a16:creationId xmlns:a16="http://schemas.microsoft.com/office/drawing/2014/main" id="{016BB8E0-C123-40E8-9B32-D6896634E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</xdr:row>
      <xdr:rowOff>0</xdr:rowOff>
    </xdr:from>
    <xdr:ext cx="9525" cy="9525"/>
    <xdr:pic>
      <xdr:nvPicPr>
        <xdr:cNvPr id="7923" name="Picture 7922">
          <a:extLst>
            <a:ext uri="{FF2B5EF4-FFF2-40B4-BE49-F238E27FC236}">
              <a16:creationId xmlns:a16="http://schemas.microsoft.com/office/drawing/2014/main" id="{6FFDB8C3-C758-4EF1-9A6E-3D63907A6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</xdr:row>
      <xdr:rowOff>0</xdr:rowOff>
    </xdr:from>
    <xdr:ext cx="304800" cy="303439"/>
    <xdr:sp macro="" textlink="">
      <xdr:nvSpPr>
        <xdr:cNvPr id="7924" name="AutoShape 203">
          <a:extLst>
            <a:ext uri="{FF2B5EF4-FFF2-40B4-BE49-F238E27FC236}">
              <a16:creationId xmlns:a16="http://schemas.microsoft.com/office/drawing/2014/main" id="{226F91B5-0FC2-4B75-A8C2-3167358FD1C8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9525" cy="9525"/>
    <xdr:pic>
      <xdr:nvPicPr>
        <xdr:cNvPr id="7925" name="Picture 7924">
          <a:extLst>
            <a:ext uri="{FF2B5EF4-FFF2-40B4-BE49-F238E27FC236}">
              <a16:creationId xmlns:a16="http://schemas.microsoft.com/office/drawing/2014/main" id="{1E51C9F4-60C8-4589-9E62-9E9979CE4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9525" cy="9525"/>
    <xdr:pic>
      <xdr:nvPicPr>
        <xdr:cNvPr id="7926" name="Picture 7925">
          <a:extLst>
            <a:ext uri="{FF2B5EF4-FFF2-40B4-BE49-F238E27FC236}">
              <a16:creationId xmlns:a16="http://schemas.microsoft.com/office/drawing/2014/main" id="{B6151E2D-C6C4-497D-97EC-5FE6613A0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9525" cy="9525"/>
    <xdr:pic>
      <xdr:nvPicPr>
        <xdr:cNvPr id="7927" name="Picture 7926">
          <a:extLst>
            <a:ext uri="{FF2B5EF4-FFF2-40B4-BE49-F238E27FC236}">
              <a16:creationId xmlns:a16="http://schemas.microsoft.com/office/drawing/2014/main" id="{12330876-FEFA-4F64-847D-E74F17028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304800" cy="304800"/>
    <xdr:sp macro="" textlink="">
      <xdr:nvSpPr>
        <xdr:cNvPr id="7928" name="AutoShape 207">
          <a:extLst>
            <a:ext uri="{FF2B5EF4-FFF2-40B4-BE49-F238E27FC236}">
              <a16:creationId xmlns:a16="http://schemas.microsoft.com/office/drawing/2014/main" id="{B02BA154-949C-433F-9E8C-6355F1FAD947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29" name="Picture 7928">
          <a:extLst>
            <a:ext uri="{FF2B5EF4-FFF2-40B4-BE49-F238E27FC236}">
              <a16:creationId xmlns:a16="http://schemas.microsoft.com/office/drawing/2014/main" id="{29954F73-83F3-4AB1-8EA0-2D397761C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304800" cy="304800"/>
    <xdr:sp macro="" textlink="">
      <xdr:nvSpPr>
        <xdr:cNvPr id="7930" name="AutoShape 209">
          <a:extLst>
            <a:ext uri="{FF2B5EF4-FFF2-40B4-BE49-F238E27FC236}">
              <a16:creationId xmlns:a16="http://schemas.microsoft.com/office/drawing/2014/main" id="{B3FFE0CA-EEDA-4436-823E-3336B0A41E19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26</xdr:row>
      <xdr:rowOff>0</xdr:rowOff>
    </xdr:from>
    <xdr:ext cx="9525" cy="9525"/>
    <xdr:pic>
      <xdr:nvPicPr>
        <xdr:cNvPr id="7931" name="Picture 7930">
          <a:extLst>
            <a:ext uri="{FF2B5EF4-FFF2-40B4-BE49-F238E27FC236}">
              <a16:creationId xmlns:a16="http://schemas.microsoft.com/office/drawing/2014/main" id="{A23FC724-8E78-46C1-9169-2AAA66E14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25</xdr:row>
      <xdr:rowOff>0</xdr:rowOff>
    </xdr:from>
    <xdr:ext cx="304800" cy="303440"/>
    <xdr:sp macro="" textlink="">
      <xdr:nvSpPr>
        <xdr:cNvPr id="7932" name="AutoShape 211">
          <a:extLst>
            <a:ext uri="{FF2B5EF4-FFF2-40B4-BE49-F238E27FC236}">
              <a16:creationId xmlns:a16="http://schemas.microsoft.com/office/drawing/2014/main" id="{739CF1D5-F8BE-495F-A47B-E61D8C96327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33" name="Picture 7932">
          <a:extLst>
            <a:ext uri="{FF2B5EF4-FFF2-40B4-BE49-F238E27FC236}">
              <a16:creationId xmlns:a16="http://schemas.microsoft.com/office/drawing/2014/main" id="{EEE7C870-F330-4087-BDFA-AD426C294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34" name="Picture 7933">
          <a:extLst>
            <a:ext uri="{FF2B5EF4-FFF2-40B4-BE49-F238E27FC236}">
              <a16:creationId xmlns:a16="http://schemas.microsoft.com/office/drawing/2014/main" id="{B0B00F45-1421-4EFC-862C-53042D224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35" name="Picture 7934">
          <a:extLst>
            <a:ext uri="{FF2B5EF4-FFF2-40B4-BE49-F238E27FC236}">
              <a16:creationId xmlns:a16="http://schemas.microsoft.com/office/drawing/2014/main" id="{81B233E9-7783-4670-BBB3-8CD1CA386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36" name="Picture 7935">
          <a:extLst>
            <a:ext uri="{FF2B5EF4-FFF2-40B4-BE49-F238E27FC236}">
              <a16:creationId xmlns:a16="http://schemas.microsoft.com/office/drawing/2014/main" id="{9EDFC069-4347-45E4-939A-CAE43679D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37" name="Picture 7936">
          <a:extLst>
            <a:ext uri="{FF2B5EF4-FFF2-40B4-BE49-F238E27FC236}">
              <a16:creationId xmlns:a16="http://schemas.microsoft.com/office/drawing/2014/main" id="{E06D1C65-0288-4932-98AC-F831EF2EB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7938" name="AutoShape 217">
          <a:extLst>
            <a:ext uri="{FF2B5EF4-FFF2-40B4-BE49-F238E27FC236}">
              <a16:creationId xmlns:a16="http://schemas.microsoft.com/office/drawing/2014/main" id="{E7BBA379-7028-4755-9A26-D4FC2AE91B24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39" name="Picture 7938">
          <a:extLst>
            <a:ext uri="{FF2B5EF4-FFF2-40B4-BE49-F238E27FC236}">
              <a16:creationId xmlns:a16="http://schemas.microsoft.com/office/drawing/2014/main" id="{89042D26-ADEC-4DFD-860A-BE3FB86A2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7940" name="AutoShape 219">
          <a:extLst>
            <a:ext uri="{FF2B5EF4-FFF2-40B4-BE49-F238E27FC236}">
              <a16:creationId xmlns:a16="http://schemas.microsoft.com/office/drawing/2014/main" id="{F94FE793-5DA0-4091-8D9E-F22E87F95237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13</xdr:row>
      <xdr:rowOff>0</xdr:rowOff>
    </xdr:from>
    <xdr:ext cx="9525" cy="9525"/>
    <xdr:pic>
      <xdr:nvPicPr>
        <xdr:cNvPr id="7941" name="Picture 7940">
          <a:extLst>
            <a:ext uri="{FF2B5EF4-FFF2-40B4-BE49-F238E27FC236}">
              <a16:creationId xmlns:a16="http://schemas.microsoft.com/office/drawing/2014/main" id="{9BBCB727-38A1-457C-895B-C35227B9C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</xdr:row>
      <xdr:rowOff>0</xdr:rowOff>
    </xdr:from>
    <xdr:ext cx="304800" cy="303439"/>
    <xdr:sp macro="" textlink="">
      <xdr:nvSpPr>
        <xdr:cNvPr id="7942" name="AutoShape 221">
          <a:extLst>
            <a:ext uri="{FF2B5EF4-FFF2-40B4-BE49-F238E27FC236}">
              <a16:creationId xmlns:a16="http://schemas.microsoft.com/office/drawing/2014/main" id="{A6AC3D36-2905-43EC-8E4C-4E3F93F97C5B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43" name="Picture 7942">
          <a:extLst>
            <a:ext uri="{FF2B5EF4-FFF2-40B4-BE49-F238E27FC236}">
              <a16:creationId xmlns:a16="http://schemas.microsoft.com/office/drawing/2014/main" id="{23F8A664-F971-4DBB-A3AC-CB9AFD897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</xdr:row>
      <xdr:rowOff>0</xdr:rowOff>
    </xdr:from>
    <xdr:ext cx="304800" cy="304800"/>
    <xdr:sp macro="" textlink="">
      <xdr:nvSpPr>
        <xdr:cNvPr id="7944" name="AutoShape 223">
          <a:extLst>
            <a:ext uri="{FF2B5EF4-FFF2-40B4-BE49-F238E27FC236}">
              <a16:creationId xmlns:a16="http://schemas.microsoft.com/office/drawing/2014/main" id="{8B1C6FC8-1F49-40D1-B794-CA17419293A7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45" name="Picture 7944">
          <a:extLst>
            <a:ext uri="{FF2B5EF4-FFF2-40B4-BE49-F238E27FC236}">
              <a16:creationId xmlns:a16="http://schemas.microsoft.com/office/drawing/2014/main" id="{44080040-7112-4006-93E5-C8F2EE096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27</xdr:row>
      <xdr:rowOff>0</xdr:rowOff>
    </xdr:from>
    <xdr:ext cx="9525" cy="9525"/>
    <xdr:pic>
      <xdr:nvPicPr>
        <xdr:cNvPr id="7946" name="Picture 7945">
          <a:extLst>
            <a:ext uri="{FF2B5EF4-FFF2-40B4-BE49-F238E27FC236}">
              <a16:creationId xmlns:a16="http://schemas.microsoft.com/office/drawing/2014/main" id="{BDA7C53C-F873-4921-AF16-2DB7484D3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</xdr:row>
      <xdr:rowOff>0</xdr:rowOff>
    </xdr:from>
    <xdr:ext cx="9525" cy="9525"/>
    <xdr:pic>
      <xdr:nvPicPr>
        <xdr:cNvPr id="7947" name="Picture 7946">
          <a:extLst>
            <a:ext uri="{FF2B5EF4-FFF2-40B4-BE49-F238E27FC236}">
              <a16:creationId xmlns:a16="http://schemas.microsoft.com/office/drawing/2014/main" id="{E23787FA-881B-4B76-825C-99667EA6D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</xdr:row>
      <xdr:rowOff>0</xdr:rowOff>
    </xdr:from>
    <xdr:ext cx="304800" cy="303439"/>
    <xdr:sp macro="" textlink="">
      <xdr:nvSpPr>
        <xdr:cNvPr id="7948" name="AutoShape 227">
          <a:extLst>
            <a:ext uri="{FF2B5EF4-FFF2-40B4-BE49-F238E27FC236}">
              <a16:creationId xmlns:a16="http://schemas.microsoft.com/office/drawing/2014/main" id="{87630E13-C777-46D8-9CE5-21B9FC3A61C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9525" cy="9525"/>
    <xdr:pic>
      <xdr:nvPicPr>
        <xdr:cNvPr id="7949" name="Picture 7948">
          <a:extLst>
            <a:ext uri="{FF2B5EF4-FFF2-40B4-BE49-F238E27FC236}">
              <a16:creationId xmlns:a16="http://schemas.microsoft.com/office/drawing/2014/main" id="{AB281DA1-9057-4D78-B67F-00971EB2C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9525" cy="9525"/>
    <xdr:pic>
      <xdr:nvPicPr>
        <xdr:cNvPr id="7950" name="Picture 7949">
          <a:extLst>
            <a:ext uri="{FF2B5EF4-FFF2-40B4-BE49-F238E27FC236}">
              <a16:creationId xmlns:a16="http://schemas.microsoft.com/office/drawing/2014/main" id="{9E47D716-197A-4EE1-AD2D-46C095635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9525" cy="9525"/>
    <xdr:pic>
      <xdr:nvPicPr>
        <xdr:cNvPr id="7951" name="Picture 7950">
          <a:extLst>
            <a:ext uri="{FF2B5EF4-FFF2-40B4-BE49-F238E27FC236}">
              <a16:creationId xmlns:a16="http://schemas.microsoft.com/office/drawing/2014/main" id="{4985246B-B009-417A-8FC7-DFF3D9C24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304800" cy="304800"/>
    <xdr:sp macro="" textlink="">
      <xdr:nvSpPr>
        <xdr:cNvPr id="7952" name="AutoShape 231">
          <a:extLst>
            <a:ext uri="{FF2B5EF4-FFF2-40B4-BE49-F238E27FC236}">
              <a16:creationId xmlns:a16="http://schemas.microsoft.com/office/drawing/2014/main" id="{A2C197C6-F1FB-445B-936B-DA605B8BF8E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53" name="Picture 7952">
          <a:extLst>
            <a:ext uri="{FF2B5EF4-FFF2-40B4-BE49-F238E27FC236}">
              <a16:creationId xmlns:a16="http://schemas.microsoft.com/office/drawing/2014/main" id="{0D70CA91-8E72-4CD4-BC02-776D9543A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304800" cy="304800"/>
    <xdr:sp macro="" textlink="">
      <xdr:nvSpPr>
        <xdr:cNvPr id="7954" name="AutoShape 233">
          <a:extLst>
            <a:ext uri="{FF2B5EF4-FFF2-40B4-BE49-F238E27FC236}">
              <a16:creationId xmlns:a16="http://schemas.microsoft.com/office/drawing/2014/main" id="{6E1A7D39-3404-42AF-B183-7534B599CC1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26</xdr:row>
      <xdr:rowOff>0</xdr:rowOff>
    </xdr:from>
    <xdr:ext cx="9525" cy="9525"/>
    <xdr:pic>
      <xdr:nvPicPr>
        <xdr:cNvPr id="7955" name="Picture 7954">
          <a:extLst>
            <a:ext uri="{FF2B5EF4-FFF2-40B4-BE49-F238E27FC236}">
              <a16:creationId xmlns:a16="http://schemas.microsoft.com/office/drawing/2014/main" id="{F57BD995-63A6-4F59-96BA-29FDEB9F6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25</xdr:row>
      <xdr:rowOff>0</xdr:rowOff>
    </xdr:from>
    <xdr:ext cx="304800" cy="303440"/>
    <xdr:sp macro="" textlink="">
      <xdr:nvSpPr>
        <xdr:cNvPr id="7956" name="AutoShape 235">
          <a:extLst>
            <a:ext uri="{FF2B5EF4-FFF2-40B4-BE49-F238E27FC236}">
              <a16:creationId xmlns:a16="http://schemas.microsoft.com/office/drawing/2014/main" id="{EBFDEE9E-6985-415D-A753-D94DC2AA46C1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57" name="Picture 7956">
          <a:extLst>
            <a:ext uri="{FF2B5EF4-FFF2-40B4-BE49-F238E27FC236}">
              <a16:creationId xmlns:a16="http://schemas.microsoft.com/office/drawing/2014/main" id="{AEB9DE3E-80A3-4ADB-A7D0-20E3EA2B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58" name="Picture 7957">
          <a:extLst>
            <a:ext uri="{FF2B5EF4-FFF2-40B4-BE49-F238E27FC236}">
              <a16:creationId xmlns:a16="http://schemas.microsoft.com/office/drawing/2014/main" id="{F40F1481-3801-4C4F-A615-42FC03EB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59" name="Picture 7958">
          <a:extLst>
            <a:ext uri="{FF2B5EF4-FFF2-40B4-BE49-F238E27FC236}">
              <a16:creationId xmlns:a16="http://schemas.microsoft.com/office/drawing/2014/main" id="{672F0A54-F21C-4449-B6C2-D1282315E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60" name="Picture 7959">
          <a:extLst>
            <a:ext uri="{FF2B5EF4-FFF2-40B4-BE49-F238E27FC236}">
              <a16:creationId xmlns:a16="http://schemas.microsoft.com/office/drawing/2014/main" id="{2CC025EF-1CC8-467D-B530-AE2A81CDD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61" name="Picture 7960">
          <a:extLst>
            <a:ext uri="{FF2B5EF4-FFF2-40B4-BE49-F238E27FC236}">
              <a16:creationId xmlns:a16="http://schemas.microsoft.com/office/drawing/2014/main" id="{07534B26-854C-4DA1-B49B-A0A47A642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7962" name="AutoShape 241">
          <a:extLst>
            <a:ext uri="{FF2B5EF4-FFF2-40B4-BE49-F238E27FC236}">
              <a16:creationId xmlns:a16="http://schemas.microsoft.com/office/drawing/2014/main" id="{63FDAE71-5BDE-486E-A530-A59A0249C044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63" name="Picture 7962">
          <a:extLst>
            <a:ext uri="{FF2B5EF4-FFF2-40B4-BE49-F238E27FC236}">
              <a16:creationId xmlns:a16="http://schemas.microsoft.com/office/drawing/2014/main" id="{7D3BEB91-12E7-4B67-90D1-59602EF3D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7964" name="AutoShape 243">
          <a:extLst>
            <a:ext uri="{FF2B5EF4-FFF2-40B4-BE49-F238E27FC236}">
              <a16:creationId xmlns:a16="http://schemas.microsoft.com/office/drawing/2014/main" id="{8DC00B32-008D-4FF7-B04F-D368232FFD86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13</xdr:row>
      <xdr:rowOff>0</xdr:rowOff>
    </xdr:from>
    <xdr:ext cx="9525" cy="9525"/>
    <xdr:pic>
      <xdr:nvPicPr>
        <xdr:cNvPr id="7965" name="Picture 7964">
          <a:extLst>
            <a:ext uri="{FF2B5EF4-FFF2-40B4-BE49-F238E27FC236}">
              <a16:creationId xmlns:a16="http://schemas.microsoft.com/office/drawing/2014/main" id="{952E7817-364F-4D2B-B9ED-7B1A8A7AC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</xdr:row>
      <xdr:rowOff>0</xdr:rowOff>
    </xdr:from>
    <xdr:ext cx="304800" cy="303439"/>
    <xdr:sp macro="" textlink="">
      <xdr:nvSpPr>
        <xdr:cNvPr id="7966" name="AutoShape 245">
          <a:extLst>
            <a:ext uri="{FF2B5EF4-FFF2-40B4-BE49-F238E27FC236}">
              <a16:creationId xmlns:a16="http://schemas.microsoft.com/office/drawing/2014/main" id="{87C6B8A5-C0F9-4276-B05C-6E14163970C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67" name="Picture 7966">
          <a:extLst>
            <a:ext uri="{FF2B5EF4-FFF2-40B4-BE49-F238E27FC236}">
              <a16:creationId xmlns:a16="http://schemas.microsoft.com/office/drawing/2014/main" id="{971E9E72-44CA-4EBE-A955-78D074F2B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</xdr:row>
      <xdr:rowOff>0</xdr:rowOff>
    </xdr:from>
    <xdr:ext cx="304800" cy="304800"/>
    <xdr:sp macro="" textlink="">
      <xdr:nvSpPr>
        <xdr:cNvPr id="7968" name="AutoShape 247">
          <a:extLst>
            <a:ext uri="{FF2B5EF4-FFF2-40B4-BE49-F238E27FC236}">
              <a16:creationId xmlns:a16="http://schemas.microsoft.com/office/drawing/2014/main" id="{695AF6D0-C030-469C-8E08-D629DCC6461B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69" name="Picture 7968">
          <a:extLst>
            <a:ext uri="{FF2B5EF4-FFF2-40B4-BE49-F238E27FC236}">
              <a16:creationId xmlns:a16="http://schemas.microsoft.com/office/drawing/2014/main" id="{EECA4365-5F60-4DCD-95C6-60A863ABF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3440"/>
    <xdr:sp macro="" textlink="">
      <xdr:nvSpPr>
        <xdr:cNvPr id="7970" name="AutoShape 249">
          <a:extLst>
            <a:ext uri="{FF2B5EF4-FFF2-40B4-BE49-F238E27FC236}">
              <a16:creationId xmlns:a16="http://schemas.microsoft.com/office/drawing/2014/main" id="{DD527DEF-C522-4915-BF25-C5EE1EA70F2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27</xdr:row>
      <xdr:rowOff>0</xdr:rowOff>
    </xdr:from>
    <xdr:ext cx="9525" cy="9525"/>
    <xdr:pic>
      <xdr:nvPicPr>
        <xdr:cNvPr id="7971" name="Picture 7970">
          <a:extLst>
            <a:ext uri="{FF2B5EF4-FFF2-40B4-BE49-F238E27FC236}">
              <a16:creationId xmlns:a16="http://schemas.microsoft.com/office/drawing/2014/main" id="{1E1108E3-B3AF-41D4-AD36-F5580C50A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72" name="Picture 7971">
          <a:extLst>
            <a:ext uri="{FF2B5EF4-FFF2-40B4-BE49-F238E27FC236}">
              <a16:creationId xmlns:a16="http://schemas.microsoft.com/office/drawing/2014/main" id="{E8DBF6CE-755D-4C11-8A4E-A56D2BE0C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</xdr:row>
      <xdr:rowOff>0</xdr:rowOff>
    </xdr:from>
    <xdr:ext cx="9525" cy="9525"/>
    <xdr:pic>
      <xdr:nvPicPr>
        <xdr:cNvPr id="7973" name="Picture 7972">
          <a:extLst>
            <a:ext uri="{FF2B5EF4-FFF2-40B4-BE49-F238E27FC236}">
              <a16:creationId xmlns:a16="http://schemas.microsoft.com/office/drawing/2014/main" id="{027FC16E-01EC-4131-A283-3245924A4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</xdr:row>
      <xdr:rowOff>0</xdr:rowOff>
    </xdr:from>
    <xdr:ext cx="304800" cy="303439"/>
    <xdr:sp macro="" textlink="">
      <xdr:nvSpPr>
        <xdr:cNvPr id="7974" name="AutoShape 253">
          <a:extLst>
            <a:ext uri="{FF2B5EF4-FFF2-40B4-BE49-F238E27FC236}">
              <a16:creationId xmlns:a16="http://schemas.microsoft.com/office/drawing/2014/main" id="{AEDDBA7D-3566-46F9-9C93-9970E46B10A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9525" cy="9525"/>
    <xdr:pic>
      <xdr:nvPicPr>
        <xdr:cNvPr id="7975" name="Picture 7974">
          <a:extLst>
            <a:ext uri="{FF2B5EF4-FFF2-40B4-BE49-F238E27FC236}">
              <a16:creationId xmlns:a16="http://schemas.microsoft.com/office/drawing/2014/main" id="{F7EFA765-861C-4C8F-AF22-9F5747678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9525" cy="9525"/>
    <xdr:pic>
      <xdr:nvPicPr>
        <xdr:cNvPr id="7976" name="Picture 7975">
          <a:extLst>
            <a:ext uri="{FF2B5EF4-FFF2-40B4-BE49-F238E27FC236}">
              <a16:creationId xmlns:a16="http://schemas.microsoft.com/office/drawing/2014/main" id="{A650A1A1-129E-46E8-A1D8-3C7271749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9525" cy="9525"/>
    <xdr:pic>
      <xdr:nvPicPr>
        <xdr:cNvPr id="7977" name="Picture 7976">
          <a:extLst>
            <a:ext uri="{FF2B5EF4-FFF2-40B4-BE49-F238E27FC236}">
              <a16:creationId xmlns:a16="http://schemas.microsoft.com/office/drawing/2014/main" id="{6BA05970-5269-4525-A1EC-28B4DE0D9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304800" cy="304800"/>
    <xdr:sp macro="" textlink="">
      <xdr:nvSpPr>
        <xdr:cNvPr id="7978" name="AutoShape 257">
          <a:extLst>
            <a:ext uri="{FF2B5EF4-FFF2-40B4-BE49-F238E27FC236}">
              <a16:creationId xmlns:a16="http://schemas.microsoft.com/office/drawing/2014/main" id="{5822A0A7-E6EF-4FD7-AF01-7C3D03AF9F6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79" name="Picture 7978">
          <a:extLst>
            <a:ext uri="{FF2B5EF4-FFF2-40B4-BE49-F238E27FC236}">
              <a16:creationId xmlns:a16="http://schemas.microsoft.com/office/drawing/2014/main" id="{4B944D71-1249-4A69-8C9D-92072296B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304800" cy="304800"/>
    <xdr:sp macro="" textlink="">
      <xdr:nvSpPr>
        <xdr:cNvPr id="7980" name="AutoShape 259">
          <a:extLst>
            <a:ext uri="{FF2B5EF4-FFF2-40B4-BE49-F238E27FC236}">
              <a16:creationId xmlns:a16="http://schemas.microsoft.com/office/drawing/2014/main" id="{BC050B6D-9B49-472E-8AEC-B6FEBA97526E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26</xdr:row>
      <xdr:rowOff>0</xdr:rowOff>
    </xdr:from>
    <xdr:ext cx="9525" cy="9525"/>
    <xdr:pic>
      <xdr:nvPicPr>
        <xdr:cNvPr id="7981" name="Picture 7980">
          <a:extLst>
            <a:ext uri="{FF2B5EF4-FFF2-40B4-BE49-F238E27FC236}">
              <a16:creationId xmlns:a16="http://schemas.microsoft.com/office/drawing/2014/main" id="{A83484AF-3953-43AF-889C-9A0EC5EFE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25</xdr:row>
      <xdr:rowOff>0</xdr:rowOff>
    </xdr:from>
    <xdr:ext cx="304800" cy="303440"/>
    <xdr:sp macro="" textlink="">
      <xdr:nvSpPr>
        <xdr:cNvPr id="7982" name="AutoShape 261">
          <a:extLst>
            <a:ext uri="{FF2B5EF4-FFF2-40B4-BE49-F238E27FC236}">
              <a16:creationId xmlns:a16="http://schemas.microsoft.com/office/drawing/2014/main" id="{ED298547-97B6-41D7-BBA3-6C428E83865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83" name="Picture 7982">
          <a:extLst>
            <a:ext uri="{FF2B5EF4-FFF2-40B4-BE49-F238E27FC236}">
              <a16:creationId xmlns:a16="http://schemas.microsoft.com/office/drawing/2014/main" id="{3D6DEDE6-0E3E-4DBC-A198-0605698AC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84" name="Picture 7983">
          <a:extLst>
            <a:ext uri="{FF2B5EF4-FFF2-40B4-BE49-F238E27FC236}">
              <a16:creationId xmlns:a16="http://schemas.microsoft.com/office/drawing/2014/main" id="{96417330-56AD-4570-88EF-106136A81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85" name="Picture 7984">
          <a:extLst>
            <a:ext uri="{FF2B5EF4-FFF2-40B4-BE49-F238E27FC236}">
              <a16:creationId xmlns:a16="http://schemas.microsoft.com/office/drawing/2014/main" id="{27C3FFB0-6552-401D-A4BE-AC5906458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86" name="Picture 7985">
          <a:extLst>
            <a:ext uri="{FF2B5EF4-FFF2-40B4-BE49-F238E27FC236}">
              <a16:creationId xmlns:a16="http://schemas.microsoft.com/office/drawing/2014/main" id="{42C7D9C8-D671-4C8B-92CE-3377321DD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87" name="Picture 7986">
          <a:extLst>
            <a:ext uri="{FF2B5EF4-FFF2-40B4-BE49-F238E27FC236}">
              <a16:creationId xmlns:a16="http://schemas.microsoft.com/office/drawing/2014/main" id="{2882E17C-8F10-422C-A573-0A4C9A207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7988" name="AutoShape 267">
          <a:extLst>
            <a:ext uri="{FF2B5EF4-FFF2-40B4-BE49-F238E27FC236}">
              <a16:creationId xmlns:a16="http://schemas.microsoft.com/office/drawing/2014/main" id="{BBA1AEF0-D696-41DA-B75B-67E39F98D2D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89" name="Picture 7988">
          <a:extLst>
            <a:ext uri="{FF2B5EF4-FFF2-40B4-BE49-F238E27FC236}">
              <a16:creationId xmlns:a16="http://schemas.microsoft.com/office/drawing/2014/main" id="{34945DE9-9AB1-4D9E-A52E-57C2F64F2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7990" name="AutoShape 269">
          <a:extLst>
            <a:ext uri="{FF2B5EF4-FFF2-40B4-BE49-F238E27FC236}">
              <a16:creationId xmlns:a16="http://schemas.microsoft.com/office/drawing/2014/main" id="{0B0FA4F6-CDB1-4586-B947-E03DD9B7D0D7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13</xdr:row>
      <xdr:rowOff>0</xdr:rowOff>
    </xdr:from>
    <xdr:ext cx="9525" cy="9525"/>
    <xdr:pic>
      <xdr:nvPicPr>
        <xdr:cNvPr id="7991" name="Picture 7990">
          <a:extLst>
            <a:ext uri="{FF2B5EF4-FFF2-40B4-BE49-F238E27FC236}">
              <a16:creationId xmlns:a16="http://schemas.microsoft.com/office/drawing/2014/main" id="{813D2119-25B7-4F23-94FE-FBCB323E6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</xdr:row>
      <xdr:rowOff>0</xdr:rowOff>
    </xdr:from>
    <xdr:ext cx="304800" cy="303439"/>
    <xdr:sp macro="" textlink="">
      <xdr:nvSpPr>
        <xdr:cNvPr id="7992" name="AutoShape 271">
          <a:extLst>
            <a:ext uri="{FF2B5EF4-FFF2-40B4-BE49-F238E27FC236}">
              <a16:creationId xmlns:a16="http://schemas.microsoft.com/office/drawing/2014/main" id="{2264DC2D-B247-4584-B9A9-9DE59310227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93" name="Picture 7992">
          <a:extLst>
            <a:ext uri="{FF2B5EF4-FFF2-40B4-BE49-F238E27FC236}">
              <a16:creationId xmlns:a16="http://schemas.microsoft.com/office/drawing/2014/main" id="{9134B72F-B056-4699-A658-8179B2FC1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</xdr:row>
      <xdr:rowOff>0</xdr:rowOff>
    </xdr:from>
    <xdr:ext cx="304800" cy="304800"/>
    <xdr:sp macro="" textlink="">
      <xdr:nvSpPr>
        <xdr:cNvPr id="7994" name="AutoShape 273">
          <a:extLst>
            <a:ext uri="{FF2B5EF4-FFF2-40B4-BE49-F238E27FC236}">
              <a16:creationId xmlns:a16="http://schemas.microsoft.com/office/drawing/2014/main" id="{262E3793-6C40-4ED8-B4F7-74319A287D72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95" name="Picture 7994">
          <a:extLst>
            <a:ext uri="{FF2B5EF4-FFF2-40B4-BE49-F238E27FC236}">
              <a16:creationId xmlns:a16="http://schemas.microsoft.com/office/drawing/2014/main" id="{3C1CB9AE-5B31-4D7F-9EF7-5EEDF02AA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3440"/>
    <xdr:sp macro="" textlink="">
      <xdr:nvSpPr>
        <xdr:cNvPr id="7996" name="AutoShape 275">
          <a:extLst>
            <a:ext uri="{FF2B5EF4-FFF2-40B4-BE49-F238E27FC236}">
              <a16:creationId xmlns:a16="http://schemas.microsoft.com/office/drawing/2014/main" id="{6CCD401C-34CC-4259-A5A1-7E921B0BCD4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27</xdr:row>
      <xdr:rowOff>0</xdr:rowOff>
    </xdr:from>
    <xdr:ext cx="9525" cy="9525"/>
    <xdr:pic>
      <xdr:nvPicPr>
        <xdr:cNvPr id="7997" name="Picture 7996">
          <a:extLst>
            <a:ext uri="{FF2B5EF4-FFF2-40B4-BE49-F238E27FC236}">
              <a16:creationId xmlns:a16="http://schemas.microsoft.com/office/drawing/2014/main" id="{621AFE39-30CF-4F84-8FD6-5434AD494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7998" name="Picture 7997">
          <a:extLst>
            <a:ext uri="{FF2B5EF4-FFF2-40B4-BE49-F238E27FC236}">
              <a16:creationId xmlns:a16="http://schemas.microsoft.com/office/drawing/2014/main" id="{01839399-4957-498A-8CD7-75C2EB2C1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</xdr:row>
      <xdr:rowOff>0</xdr:rowOff>
    </xdr:from>
    <xdr:ext cx="9525" cy="9525"/>
    <xdr:pic>
      <xdr:nvPicPr>
        <xdr:cNvPr id="7999" name="Picture 7998">
          <a:extLst>
            <a:ext uri="{FF2B5EF4-FFF2-40B4-BE49-F238E27FC236}">
              <a16:creationId xmlns:a16="http://schemas.microsoft.com/office/drawing/2014/main" id="{ABDCF623-F181-453D-AFFC-C4850E9E9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</xdr:row>
      <xdr:rowOff>0</xdr:rowOff>
    </xdr:from>
    <xdr:ext cx="304800" cy="303439"/>
    <xdr:sp macro="" textlink="">
      <xdr:nvSpPr>
        <xdr:cNvPr id="8000" name="AutoShape 305">
          <a:extLst>
            <a:ext uri="{FF2B5EF4-FFF2-40B4-BE49-F238E27FC236}">
              <a16:creationId xmlns:a16="http://schemas.microsoft.com/office/drawing/2014/main" id="{91B6B8C4-77C0-4B3F-92AD-90F4BE71D547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9525" cy="9525"/>
    <xdr:pic>
      <xdr:nvPicPr>
        <xdr:cNvPr id="8001" name="Picture 8000">
          <a:extLst>
            <a:ext uri="{FF2B5EF4-FFF2-40B4-BE49-F238E27FC236}">
              <a16:creationId xmlns:a16="http://schemas.microsoft.com/office/drawing/2014/main" id="{2C1B348D-951C-42A2-8245-921AED221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9525" cy="9525"/>
    <xdr:pic>
      <xdr:nvPicPr>
        <xdr:cNvPr id="8002" name="Picture 8001">
          <a:extLst>
            <a:ext uri="{FF2B5EF4-FFF2-40B4-BE49-F238E27FC236}">
              <a16:creationId xmlns:a16="http://schemas.microsoft.com/office/drawing/2014/main" id="{2DC8692C-E8D9-4DA3-A4B7-3A62A22BD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9525" cy="9525"/>
    <xdr:pic>
      <xdr:nvPicPr>
        <xdr:cNvPr id="8003" name="Picture 8002">
          <a:extLst>
            <a:ext uri="{FF2B5EF4-FFF2-40B4-BE49-F238E27FC236}">
              <a16:creationId xmlns:a16="http://schemas.microsoft.com/office/drawing/2014/main" id="{36003ECA-95CD-43A1-BFBD-346895A9D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304800" cy="304800"/>
    <xdr:sp macro="" textlink="">
      <xdr:nvSpPr>
        <xdr:cNvPr id="8004" name="AutoShape 309">
          <a:extLst>
            <a:ext uri="{FF2B5EF4-FFF2-40B4-BE49-F238E27FC236}">
              <a16:creationId xmlns:a16="http://schemas.microsoft.com/office/drawing/2014/main" id="{052D594F-6D08-428A-AD9C-7838404825C4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05" name="Picture 8004">
          <a:extLst>
            <a:ext uri="{FF2B5EF4-FFF2-40B4-BE49-F238E27FC236}">
              <a16:creationId xmlns:a16="http://schemas.microsoft.com/office/drawing/2014/main" id="{7B512EE9-FB4F-434E-BA45-2B1C61593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304800" cy="304800"/>
    <xdr:sp macro="" textlink="">
      <xdr:nvSpPr>
        <xdr:cNvPr id="8006" name="AutoShape 311">
          <a:extLst>
            <a:ext uri="{FF2B5EF4-FFF2-40B4-BE49-F238E27FC236}">
              <a16:creationId xmlns:a16="http://schemas.microsoft.com/office/drawing/2014/main" id="{EB8CC5F9-7CD5-455E-B781-2DE53754A37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26</xdr:row>
      <xdr:rowOff>0</xdr:rowOff>
    </xdr:from>
    <xdr:ext cx="9525" cy="9525"/>
    <xdr:pic>
      <xdr:nvPicPr>
        <xdr:cNvPr id="8007" name="Picture 8006">
          <a:extLst>
            <a:ext uri="{FF2B5EF4-FFF2-40B4-BE49-F238E27FC236}">
              <a16:creationId xmlns:a16="http://schemas.microsoft.com/office/drawing/2014/main" id="{58D4B136-ACC4-4661-984E-71B237502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25</xdr:row>
      <xdr:rowOff>0</xdr:rowOff>
    </xdr:from>
    <xdr:ext cx="304800" cy="303440"/>
    <xdr:sp macro="" textlink="">
      <xdr:nvSpPr>
        <xdr:cNvPr id="8008" name="AutoShape 313">
          <a:extLst>
            <a:ext uri="{FF2B5EF4-FFF2-40B4-BE49-F238E27FC236}">
              <a16:creationId xmlns:a16="http://schemas.microsoft.com/office/drawing/2014/main" id="{C2B4AE7B-155E-4293-8E77-006DED14E977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09" name="Picture 8008">
          <a:extLst>
            <a:ext uri="{FF2B5EF4-FFF2-40B4-BE49-F238E27FC236}">
              <a16:creationId xmlns:a16="http://schemas.microsoft.com/office/drawing/2014/main" id="{1966859A-A226-45FE-BEC6-3FAA6955D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10" name="Picture 8009">
          <a:extLst>
            <a:ext uri="{FF2B5EF4-FFF2-40B4-BE49-F238E27FC236}">
              <a16:creationId xmlns:a16="http://schemas.microsoft.com/office/drawing/2014/main" id="{FD20A52F-B139-4218-8BF6-11142F5E4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11" name="Picture 8010">
          <a:extLst>
            <a:ext uri="{FF2B5EF4-FFF2-40B4-BE49-F238E27FC236}">
              <a16:creationId xmlns:a16="http://schemas.microsoft.com/office/drawing/2014/main" id="{12A0AD6F-B0E0-4D16-9329-D9A24083D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12" name="Picture 8011">
          <a:extLst>
            <a:ext uri="{FF2B5EF4-FFF2-40B4-BE49-F238E27FC236}">
              <a16:creationId xmlns:a16="http://schemas.microsoft.com/office/drawing/2014/main" id="{3D64B5D0-178C-4E7B-888F-3B0E5EEE6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13" name="Picture 8012">
          <a:extLst>
            <a:ext uri="{FF2B5EF4-FFF2-40B4-BE49-F238E27FC236}">
              <a16:creationId xmlns:a16="http://schemas.microsoft.com/office/drawing/2014/main" id="{8A662E37-9178-4690-9326-9FC9C3E68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014" name="AutoShape 319">
          <a:extLst>
            <a:ext uri="{FF2B5EF4-FFF2-40B4-BE49-F238E27FC236}">
              <a16:creationId xmlns:a16="http://schemas.microsoft.com/office/drawing/2014/main" id="{CF231D76-A87F-4662-A3A8-DA3A58632F9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15" name="Picture 8014">
          <a:extLst>
            <a:ext uri="{FF2B5EF4-FFF2-40B4-BE49-F238E27FC236}">
              <a16:creationId xmlns:a16="http://schemas.microsoft.com/office/drawing/2014/main" id="{C4B5A8A7-0BE4-4760-A017-B32C13FEA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016" name="AutoShape 321">
          <a:extLst>
            <a:ext uri="{FF2B5EF4-FFF2-40B4-BE49-F238E27FC236}">
              <a16:creationId xmlns:a16="http://schemas.microsoft.com/office/drawing/2014/main" id="{1B24EF02-2DC4-4FC4-A666-3A8EBD0986F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13</xdr:row>
      <xdr:rowOff>0</xdr:rowOff>
    </xdr:from>
    <xdr:ext cx="9525" cy="9525"/>
    <xdr:pic>
      <xdr:nvPicPr>
        <xdr:cNvPr id="8017" name="Picture 8016">
          <a:extLst>
            <a:ext uri="{FF2B5EF4-FFF2-40B4-BE49-F238E27FC236}">
              <a16:creationId xmlns:a16="http://schemas.microsoft.com/office/drawing/2014/main" id="{94D0954E-70CA-47A1-9F4B-3770AA81C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</xdr:row>
      <xdr:rowOff>0</xdr:rowOff>
    </xdr:from>
    <xdr:ext cx="304800" cy="303439"/>
    <xdr:sp macro="" textlink="">
      <xdr:nvSpPr>
        <xdr:cNvPr id="8018" name="AutoShape 323">
          <a:extLst>
            <a:ext uri="{FF2B5EF4-FFF2-40B4-BE49-F238E27FC236}">
              <a16:creationId xmlns:a16="http://schemas.microsoft.com/office/drawing/2014/main" id="{12AFCC9B-E8A6-472B-86E0-87BE77ACEC0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19" name="Picture 8018">
          <a:extLst>
            <a:ext uri="{FF2B5EF4-FFF2-40B4-BE49-F238E27FC236}">
              <a16:creationId xmlns:a16="http://schemas.microsoft.com/office/drawing/2014/main" id="{0069D1E0-7062-4476-839B-46E5E1DE2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</xdr:row>
      <xdr:rowOff>0</xdr:rowOff>
    </xdr:from>
    <xdr:ext cx="304800" cy="304800"/>
    <xdr:sp macro="" textlink="">
      <xdr:nvSpPr>
        <xdr:cNvPr id="8020" name="AutoShape 325">
          <a:extLst>
            <a:ext uri="{FF2B5EF4-FFF2-40B4-BE49-F238E27FC236}">
              <a16:creationId xmlns:a16="http://schemas.microsoft.com/office/drawing/2014/main" id="{80B5661C-1868-48AD-A056-1E17A2652E71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21" name="Picture 8020">
          <a:extLst>
            <a:ext uri="{FF2B5EF4-FFF2-40B4-BE49-F238E27FC236}">
              <a16:creationId xmlns:a16="http://schemas.microsoft.com/office/drawing/2014/main" id="{1DE10D2C-6B6B-4CD3-A251-01F12B336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3440"/>
    <xdr:sp macro="" textlink="">
      <xdr:nvSpPr>
        <xdr:cNvPr id="8022" name="AutoShape 327">
          <a:extLst>
            <a:ext uri="{FF2B5EF4-FFF2-40B4-BE49-F238E27FC236}">
              <a16:creationId xmlns:a16="http://schemas.microsoft.com/office/drawing/2014/main" id="{3B2F014A-E1F7-4552-90A0-2FE909AC49D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27</xdr:row>
      <xdr:rowOff>0</xdr:rowOff>
    </xdr:from>
    <xdr:ext cx="9525" cy="9525"/>
    <xdr:pic>
      <xdr:nvPicPr>
        <xdr:cNvPr id="8023" name="Picture 8022">
          <a:extLst>
            <a:ext uri="{FF2B5EF4-FFF2-40B4-BE49-F238E27FC236}">
              <a16:creationId xmlns:a16="http://schemas.microsoft.com/office/drawing/2014/main" id="{547DAE9D-1E4D-48B0-AC62-C512220EE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24" name="Picture 8023">
          <a:extLst>
            <a:ext uri="{FF2B5EF4-FFF2-40B4-BE49-F238E27FC236}">
              <a16:creationId xmlns:a16="http://schemas.microsoft.com/office/drawing/2014/main" id="{E942E742-371C-4F95-A4F6-E11D481F5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</xdr:row>
      <xdr:rowOff>0</xdr:rowOff>
    </xdr:from>
    <xdr:ext cx="9525" cy="9525"/>
    <xdr:pic>
      <xdr:nvPicPr>
        <xdr:cNvPr id="8025" name="Picture 8024">
          <a:extLst>
            <a:ext uri="{FF2B5EF4-FFF2-40B4-BE49-F238E27FC236}">
              <a16:creationId xmlns:a16="http://schemas.microsoft.com/office/drawing/2014/main" id="{CF2F3F29-8242-4A44-83C5-4471996F7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</xdr:row>
      <xdr:rowOff>0</xdr:rowOff>
    </xdr:from>
    <xdr:ext cx="304800" cy="303439"/>
    <xdr:sp macro="" textlink="">
      <xdr:nvSpPr>
        <xdr:cNvPr id="8026" name="AutoShape 357">
          <a:extLst>
            <a:ext uri="{FF2B5EF4-FFF2-40B4-BE49-F238E27FC236}">
              <a16:creationId xmlns:a16="http://schemas.microsoft.com/office/drawing/2014/main" id="{B588A3AE-70FC-48C0-8EAC-2BA9E8DCC056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9525" cy="9525"/>
    <xdr:pic>
      <xdr:nvPicPr>
        <xdr:cNvPr id="8027" name="Picture 8026">
          <a:extLst>
            <a:ext uri="{FF2B5EF4-FFF2-40B4-BE49-F238E27FC236}">
              <a16:creationId xmlns:a16="http://schemas.microsoft.com/office/drawing/2014/main" id="{2D0EDC3D-D887-47F2-A378-D801FEB8F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9525" cy="9525"/>
    <xdr:pic>
      <xdr:nvPicPr>
        <xdr:cNvPr id="8028" name="Picture 8027">
          <a:extLst>
            <a:ext uri="{FF2B5EF4-FFF2-40B4-BE49-F238E27FC236}">
              <a16:creationId xmlns:a16="http://schemas.microsoft.com/office/drawing/2014/main" id="{9BC79883-FA4C-4D87-AD9E-226E26ED8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9525" cy="9525"/>
    <xdr:pic>
      <xdr:nvPicPr>
        <xdr:cNvPr id="8029" name="Picture 8028">
          <a:extLst>
            <a:ext uri="{FF2B5EF4-FFF2-40B4-BE49-F238E27FC236}">
              <a16:creationId xmlns:a16="http://schemas.microsoft.com/office/drawing/2014/main" id="{219E8E8C-86F4-4D54-83C6-D4C6E92F7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304800" cy="304800"/>
    <xdr:sp macro="" textlink="">
      <xdr:nvSpPr>
        <xdr:cNvPr id="8030" name="AutoShape 361">
          <a:extLst>
            <a:ext uri="{FF2B5EF4-FFF2-40B4-BE49-F238E27FC236}">
              <a16:creationId xmlns:a16="http://schemas.microsoft.com/office/drawing/2014/main" id="{4B866C71-B5CD-4FD1-8D96-01E43EB7F21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31" name="Picture 8030">
          <a:extLst>
            <a:ext uri="{FF2B5EF4-FFF2-40B4-BE49-F238E27FC236}">
              <a16:creationId xmlns:a16="http://schemas.microsoft.com/office/drawing/2014/main" id="{7402F0C3-6FF5-4592-9A6C-7F8EDFD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304800" cy="304800"/>
    <xdr:sp macro="" textlink="">
      <xdr:nvSpPr>
        <xdr:cNvPr id="8032" name="AutoShape 363">
          <a:extLst>
            <a:ext uri="{FF2B5EF4-FFF2-40B4-BE49-F238E27FC236}">
              <a16:creationId xmlns:a16="http://schemas.microsoft.com/office/drawing/2014/main" id="{5B7694BF-E721-43FC-AFCA-5B8F37320AA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26</xdr:row>
      <xdr:rowOff>0</xdr:rowOff>
    </xdr:from>
    <xdr:ext cx="9525" cy="9525"/>
    <xdr:pic>
      <xdr:nvPicPr>
        <xdr:cNvPr id="8033" name="Picture 8032">
          <a:extLst>
            <a:ext uri="{FF2B5EF4-FFF2-40B4-BE49-F238E27FC236}">
              <a16:creationId xmlns:a16="http://schemas.microsoft.com/office/drawing/2014/main" id="{507245D4-9942-4977-88C6-10DC0E0AA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25</xdr:row>
      <xdr:rowOff>0</xdr:rowOff>
    </xdr:from>
    <xdr:ext cx="304800" cy="303440"/>
    <xdr:sp macro="" textlink="">
      <xdr:nvSpPr>
        <xdr:cNvPr id="8034" name="AutoShape 365">
          <a:extLst>
            <a:ext uri="{FF2B5EF4-FFF2-40B4-BE49-F238E27FC236}">
              <a16:creationId xmlns:a16="http://schemas.microsoft.com/office/drawing/2014/main" id="{F8EE79DB-0DB1-49FA-A1C1-C759A4ADD32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35" name="Picture 8034">
          <a:extLst>
            <a:ext uri="{FF2B5EF4-FFF2-40B4-BE49-F238E27FC236}">
              <a16:creationId xmlns:a16="http://schemas.microsoft.com/office/drawing/2014/main" id="{C6325BFA-447A-4351-87D9-5BBC79603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36" name="Picture 8035">
          <a:extLst>
            <a:ext uri="{FF2B5EF4-FFF2-40B4-BE49-F238E27FC236}">
              <a16:creationId xmlns:a16="http://schemas.microsoft.com/office/drawing/2014/main" id="{AAFEEA8D-40A2-45F3-BB87-497636066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37" name="Picture 8036">
          <a:extLst>
            <a:ext uri="{FF2B5EF4-FFF2-40B4-BE49-F238E27FC236}">
              <a16:creationId xmlns:a16="http://schemas.microsoft.com/office/drawing/2014/main" id="{C5E241FA-E55A-4A3F-BEB7-92F737CEA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38" name="Picture 8037">
          <a:extLst>
            <a:ext uri="{FF2B5EF4-FFF2-40B4-BE49-F238E27FC236}">
              <a16:creationId xmlns:a16="http://schemas.microsoft.com/office/drawing/2014/main" id="{793FFE12-1AEA-4664-851D-692A01614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39" name="Picture 8038">
          <a:extLst>
            <a:ext uri="{FF2B5EF4-FFF2-40B4-BE49-F238E27FC236}">
              <a16:creationId xmlns:a16="http://schemas.microsoft.com/office/drawing/2014/main" id="{2390A76B-84EE-4AA2-AEAE-4AB7A1639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040" name="AutoShape 371">
          <a:extLst>
            <a:ext uri="{FF2B5EF4-FFF2-40B4-BE49-F238E27FC236}">
              <a16:creationId xmlns:a16="http://schemas.microsoft.com/office/drawing/2014/main" id="{D2049497-DDBC-4741-96FE-DAECEE2A870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41" name="Picture 8040">
          <a:extLst>
            <a:ext uri="{FF2B5EF4-FFF2-40B4-BE49-F238E27FC236}">
              <a16:creationId xmlns:a16="http://schemas.microsoft.com/office/drawing/2014/main" id="{6FEEE309-00DC-4303-BDEE-D2696947B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042" name="AutoShape 373">
          <a:extLst>
            <a:ext uri="{FF2B5EF4-FFF2-40B4-BE49-F238E27FC236}">
              <a16:creationId xmlns:a16="http://schemas.microsoft.com/office/drawing/2014/main" id="{44D0DE15-9588-40B7-8A12-EF401DFC9A21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13</xdr:row>
      <xdr:rowOff>0</xdr:rowOff>
    </xdr:from>
    <xdr:ext cx="9525" cy="9525"/>
    <xdr:pic>
      <xdr:nvPicPr>
        <xdr:cNvPr id="8043" name="Picture 8042">
          <a:extLst>
            <a:ext uri="{FF2B5EF4-FFF2-40B4-BE49-F238E27FC236}">
              <a16:creationId xmlns:a16="http://schemas.microsoft.com/office/drawing/2014/main" id="{C2646F46-86B2-4CC3-AE6A-C885B2678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</xdr:row>
      <xdr:rowOff>0</xdr:rowOff>
    </xdr:from>
    <xdr:ext cx="304800" cy="303439"/>
    <xdr:sp macro="" textlink="">
      <xdr:nvSpPr>
        <xdr:cNvPr id="8044" name="AutoShape 375">
          <a:extLst>
            <a:ext uri="{FF2B5EF4-FFF2-40B4-BE49-F238E27FC236}">
              <a16:creationId xmlns:a16="http://schemas.microsoft.com/office/drawing/2014/main" id="{BEC833CF-2003-4747-8DC5-8DB9F023C89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45" name="Picture 8044">
          <a:extLst>
            <a:ext uri="{FF2B5EF4-FFF2-40B4-BE49-F238E27FC236}">
              <a16:creationId xmlns:a16="http://schemas.microsoft.com/office/drawing/2014/main" id="{A654B6A2-932C-48D3-9AE0-033345863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</xdr:row>
      <xdr:rowOff>0</xdr:rowOff>
    </xdr:from>
    <xdr:ext cx="304800" cy="304800"/>
    <xdr:sp macro="" textlink="">
      <xdr:nvSpPr>
        <xdr:cNvPr id="8046" name="AutoShape 377">
          <a:extLst>
            <a:ext uri="{FF2B5EF4-FFF2-40B4-BE49-F238E27FC236}">
              <a16:creationId xmlns:a16="http://schemas.microsoft.com/office/drawing/2014/main" id="{89A6BCC8-7BD8-4110-83E1-0A9D651FF0B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47" name="Picture 8046">
          <a:extLst>
            <a:ext uri="{FF2B5EF4-FFF2-40B4-BE49-F238E27FC236}">
              <a16:creationId xmlns:a16="http://schemas.microsoft.com/office/drawing/2014/main" id="{C9B906A1-3ED1-4A20-BCDD-28D8851B6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3440"/>
    <xdr:sp macro="" textlink="">
      <xdr:nvSpPr>
        <xdr:cNvPr id="8048" name="AutoShape 379">
          <a:extLst>
            <a:ext uri="{FF2B5EF4-FFF2-40B4-BE49-F238E27FC236}">
              <a16:creationId xmlns:a16="http://schemas.microsoft.com/office/drawing/2014/main" id="{A2FB1E26-46C4-4692-B6EB-124D0761F656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27</xdr:row>
      <xdr:rowOff>0</xdr:rowOff>
    </xdr:from>
    <xdr:ext cx="9525" cy="9525"/>
    <xdr:pic>
      <xdr:nvPicPr>
        <xdr:cNvPr id="8049" name="Picture 8048">
          <a:extLst>
            <a:ext uri="{FF2B5EF4-FFF2-40B4-BE49-F238E27FC236}">
              <a16:creationId xmlns:a16="http://schemas.microsoft.com/office/drawing/2014/main" id="{ED99CA3C-F0D6-4922-950B-D04EFDD22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26</xdr:row>
      <xdr:rowOff>0</xdr:rowOff>
    </xdr:from>
    <xdr:ext cx="304800" cy="303439"/>
    <xdr:sp macro="" textlink="">
      <xdr:nvSpPr>
        <xdr:cNvPr id="8050" name="AutoShape 381">
          <a:extLst>
            <a:ext uri="{FF2B5EF4-FFF2-40B4-BE49-F238E27FC236}">
              <a16:creationId xmlns:a16="http://schemas.microsoft.com/office/drawing/2014/main" id="{B71CD085-E565-4E5C-9674-3FF9CEB4AFE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51" name="Picture 8050">
          <a:extLst>
            <a:ext uri="{FF2B5EF4-FFF2-40B4-BE49-F238E27FC236}">
              <a16:creationId xmlns:a16="http://schemas.microsoft.com/office/drawing/2014/main" id="{C53EBF76-1787-4766-8B6C-8F72FCEB2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52" name="Picture 8051">
          <a:extLst>
            <a:ext uri="{FF2B5EF4-FFF2-40B4-BE49-F238E27FC236}">
              <a16:creationId xmlns:a16="http://schemas.microsoft.com/office/drawing/2014/main" id="{B00AE913-D57C-4161-A553-1DB3E406E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</xdr:row>
      <xdr:rowOff>0</xdr:rowOff>
    </xdr:from>
    <xdr:ext cx="9525" cy="9525"/>
    <xdr:pic>
      <xdr:nvPicPr>
        <xdr:cNvPr id="8053" name="Picture 8052">
          <a:extLst>
            <a:ext uri="{FF2B5EF4-FFF2-40B4-BE49-F238E27FC236}">
              <a16:creationId xmlns:a16="http://schemas.microsoft.com/office/drawing/2014/main" id="{560E7CF1-D0C0-40FE-9589-080D55C9A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</xdr:row>
      <xdr:rowOff>0</xdr:rowOff>
    </xdr:from>
    <xdr:ext cx="304800" cy="303439"/>
    <xdr:sp macro="" textlink="">
      <xdr:nvSpPr>
        <xdr:cNvPr id="8054" name="AutoShape 413">
          <a:extLst>
            <a:ext uri="{FF2B5EF4-FFF2-40B4-BE49-F238E27FC236}">
              <a16:creationId xmlns:a16="http://schemas.microsoft.com/office/drawing/2014/main" id="{2F1C81EE-7970-4ADE-9670-A745FC3CCA12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9525" cy="9525"/>
    <xdr:pic>
      <xdr:nvPicPr>
        <xdr:cNvPr id="8055" name="Picture 8054">
          <a:extLst>
            <a:ext uri="{FF2B5EF4-FFF2-40B4-BE49-F238E27FC236}">
              <a16:creationId xmlns:a16="http://schemas.microsoft.com/office/drawing/2014/main" id="{E0E8A0D9-D32B-44BB-9F66-1ADEE3F58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9525" cy="9525"/>
    <xdr:pic>
      <xdr:nvPicPr>
        <xdr:cNvPr id="8056" name="Picture 8055">
          <a:extLst>
            <a:ext uri="{FF2B5EF4-FFF2-40B4-BE49-F238E27FC236}">
              <a16:creationId xmlns:a16="http://schemas.microsoft.com/office/drawing/2014/main" id="{821EFCFB-3C31-4815-B39F-CCA716FC4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9525" cy="9525"/>
    <xdr:pic>
      <xdr:nvPicPr>
        <xdr:cNvPr id="8057" name="Picture 8056">
          <a:extLst>
            <a:ext uri="{FF2B5EF4-FFF2-40B4-BE49-F238E27FC236}">
              <a16:creationId xmlns:a16="http://schemas.microsoft.com/office/drawing/2014/main" id="{CCBB4E13-7807-4824-827C-9DA737AB7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304800" cy="304800"/>
    <xdr:sp macro="" textlink="">
      <xdr:nvSpPr>
        <xdr:cNvPr id="8058" name="AutoShape 417">
          <a:extLst>
            <a:ext uri="{FF2B5EF4-FFF2-40B4-BE49-F238E27FC236}">
              <a16:creationId xmlns:a16="http://schemas.microsoft.com/office/drawing/2014/main" id="{95E0726D-15C0-491B-824F-28AD9077468B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59" name="Picture 8058">
          <a:extLst>
            <a:ext uri="{FF2B5EF4-FFF2-40B4-BE49-F238E27FC236}">
              <a16:creationId xmlns:a16="http://schemas.microsoft.com/office/drawing/2014/main" id="{196BFCA2-20F0-43EE-9AB4-C2DA5A780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304800" cy="304800"/>
    <xdr:sp macro="" textlink="">
      <xdr:nvSpPr>
        <xdr:cNvPr id="8060" name="AutoShape 419">
          <a:extLst>
            <a:ext uri="{FF2B5EF4-FFF2-40B4-BE49-F238E27FC236}">
              <a16:creationId xmlns:a16="http://schemas.microsoft.com/office/drawing/2014/main" id="{200BC146-583D-4B6C-BA61-0CA0DE9C6CD8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26</xdr:row>
      <xdr:rowOff>0</xdr:rowOff>
    </xdr:from>
    <xdr:ext cx="9525" cy="9525"/>
    <xdr:pic>
      <xdr:nvPicPr>
        <xdr:cNvPr id="8061" name="Picture 8060">
          <a:extLst>
            <a:ext uri="{FF2B5EF4-FFF2-40B4-BE49-F238E27FC236}">
              <a16:creationId xmlns:a16="http://schemas.microsoft.com/office/drawing/2014/main" id="{EC7AA586-29CE-4D16-B2BD-3ECED05FC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25</xdr:row>
      <xdr:rowOff>0</xdr:rowOff>
    </xdr:from>
    <xdr:ext cx="304800" cy="303440"/>
    <xdr:sp macro="" textlink="">
      <xdr:nvSpPr>
        <xdr:cNvPr id="8062" name="AutoShape 421">
          <a:extLst>
            <a:ext uri="{FF2B5EF4-FFF2-40B4-BE49-F238E27FC236}">
              <a16:creationId xmlns:a16="http://schemas.microsoft.com/office/drawing/2014/main" id="{FCA9307F-A9A0-4B31-93F0-B56090B5BB99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63" name="Picture 8062">
          <a:extLst>
            <a:ext uri="{FF2B5EF4-FFF2-40B4-BE49-F238E27FC236}">
              <a16:creationId xmlns:a16="http://schemas.microsoft.com/office/drawing/2014/main" id="{0D3C158B-E60C-47EC-988F-AB9F8729C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64" name="Picture 8063">
          <a:extLst>
            <a:ext uri="{FF2B5EF4-FFF2-40B4-BE49-F238E27FC236}">
              <a16:creationId xmlns:a16="http://schemas.microsoft.com/office/drawing/2014/main" id="{B440312B-CCB6-4D93-8F05-49B9B29BF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65" name="Picture 8064">
          <a:extLst>
            <a:ext uri="{FF2B5EF4-FFF2-40B4-BE49-F238E27FC236}">
              <a16:creationId xmlns:a16="http://schemas.microsoft.com/office/drawing/2014/main" id="{1366B272-1D80-4EC9-8C46-8FF65942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66" name="Picture 8065">
          <a:extLst>
            <a:ext uri="{FF2B5EF4-FFF2-40B4-BE49-F238E27FC236}">
              <a16:creationId xmlns:a16="http://schemas.microsoft.com/office/drawing/2014/main" id="{29CB8722-5AAA-44DC-B8BB-D44CA378A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67" name="Picture 8066">
          <a:extLst>
            <a:ext uri="{FF2B5EF4-FFF2-40B4-BE49-F238E27FC236}">
              <a16:creationId xmlns:a16="http://schemas.microsoft.com/office/drawing/2014/main" id="{82749C4E-6CCD-4E15-BFED-300598E1F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068" name="AutoShape 427">
          <a:extLst>
            <a:ext uri="{FF2B5EF4-FFF2-40B4-BE49-F238E27FC236}">
              <a16:creationId xmlns:a16="http://schemas.microsoft.com/office/drawing/2014/main" id="{3CBBAC6E-163D-459C-B8BA-28835059F6E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69" name="Picture 8068">
          <a:extLst>
            <a:ext uri="{FF2B5EF4-FFF2-40B4-BE49-F238E27FC236}">
              <a16:creationId xmlns:a16="http://schemas.microsoft.com/office/drawing/2014/main" id="{3811511C-C945-4A6D-BD39-265E5455B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070" name="AutoShape 429">
          <a:extLst>
            <a:ext uri="{FF2B5EF4-FFF2-40B4-BE49-F238E27FC236}">
              <a16:creationId xmlns:a16="http://schemas.microsoft.com/office/drawing/2014/main" id="{F6A740F0-D986-43B4-91F1-67D4F3071E79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13</xdr:row>
      <xdr:rowOff>0</xdr:rowOff>
    </xdr:from>
    <xdr:ext cx="9525" cy="9525"/>
    <xdr:pic>
      <xdr:nvPicPr>
        <xdr:cNvPr id="8071" name="Picture 8070">
          <a:extLst>
            <a:ext uri="{FF2B5EF4-FFF2-40B4-BE49-F238E27FC236}">
              <a16:creationId xmlns:a16="http://schemas.microsoft.com/office/drawing/2014/main" id="{78337DC6-B5CC-485C-92CC-8DF5C4196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</xdr:row>
      <xdr:rowOff>0</xdr:rowOff>
    </xdr:from>
    <xdr:ext cx="304800" cy="303439"/>
    <xdr:sp macro="" textlink="">
      <xdr:nvSpPr>
        <xdr:cNvPr id="8072" name="AutoShape 431">
          <a:extLst>
            <a:ext uri="{FF2B5EF4-FFF2-40B4-BE49-F238E27FC236}">
              <a16:creationId xmlns:a16="http://schemas.microsoft.com/office/drawing/2014/main" id="{10385BD9-0739-4823-85C4-E82977ED6472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73" name="Picture 8072">
          <a:extLst>
            <a:ext uri="{FF2B5EF4-FFF2-40B4-BE49-F238E27FC236}">
              <a16:creationId xmlns:a16="http://schemas.microsoft.com/office/drawing/2014/main" id="{F392E975-BD73-448C-B76C-3149F3086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</xdr:row>
      <xdr:rowOff>0</xdr:rowOff>
    </xdr:from>
    <xdr:ext cx="304800" cy="304800"/>
    <xdr:sp macro="" textlink="">
      <xdr:nvSpPr>
        <xdr:cNvPr id="8074" name="AutoShape 433">
          <a:extLst>
            <a:ext uri="{FF2B5EF4-FFF2-40B4-BE49-F238E27FC236}">
              <a16:creationId xmlns:a16="http://schemas.microsoft.com/office/drawing/2014/main" id="{F53EA087-B6B7-4FBA-A446-F6B9E6B6F0D1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75" name="Picture 8074">
          <a:extLst>
            <a:ext uri="{FF2B5EF4-FFF2-40B4-BE49-F238E27FC236}">
              <a16:creationId xmlns:a16="http://schemas.microsoft.com/office/drawing/2014/main" id="{D927EC88-EE8A-426A-8411-F8E5786B7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3440"/>
    <xdr:sp macro="" textlink="">
      <xdr:nvSpPr>
        <xdr:cNvPr id="8076" name="AutoShape 435">
          <a:extLst>
            <a:ext uri="{FF2B5EF4-FFF2-40B4-BE49-F238E27FC236}">
              <a16:creationId xmlns:a16="http://schemas.microsoft.com/office/drawing/2014/main" id="{C56AC9B0-49BE-4FD4-BEF8-9D59444D950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27</xdr:row>
      <xdr:rowOff>0</xdr:rowOff>
    </xdr:from>
    <xdr:ext cx="9525" cy="9525"/>
    <xdr:pic>
      <xdr:nvPicPr>
        <xdr:cNvPr id="8077" name="Picture 8076">
          <a:extLst>
            <a:ext uri="{FF2B5EF4-FFF2-40B4-BE49-F238E27FC236}">
              <a16:creationId xmlns:a16="http://schemas.microsoft.com/office/drawing/2014/main" id="{2BB3F68E-88BC-48CE-B287-1F431002B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26</xdr:row>
      <xdr:rowOff>0</xdr:rowOff>
    </xdr:from>
    <xdr:ext cx="304800" cy="303439"/>
    <xdr:sp macro="" textlink="">
      <xdr:nvSpPr>
        <xdr:cNvPr id="8078" name="AutoShape 437">
          <a:extLst>
            <a:ext uri="{FF2B5EF4-FFF2-40B4-BE49-F238E27FC236}">
              <a16:creationId xmlns:a16="http://schemas.microsoft.com/office/drawing/2014/main" id="{21A100B7-58EC-4FAC-B2E2-24191BCEDBB2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79" name="Picture 8078">
          <a:extLst>
            <a:ext uri="{FF2B5EF4-FFF2-40B4-BE49-F238E27FC236}">
              <a16:creationId xmlns:a16="http://schemas.microsoft.com/office/drawing/2014/main" id="{C11F5D4A-EFA6-49EB-A518-A39FB80BA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80" name="Picture 8079">
          <a:extLst>
            <a:ext uri="{FF2B5EF4-FFF2-40B4-BE49-F238E27FC236}">
              <a16:creationId xmlns:a16="http://schemas.microsoft.com/office/drawing/2014/main" id="{ECFBC5B3-80AE-4BC8-80CC-0A36B6F8C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</xdr:row>
      <xdr:rowOff>0</xdr:rowOff>
    </xdr:from>
    <xdr:ext cx="9525" cy="9525"/>
    <xdr:pic>
      <xdr:nvPicPr>
        <xdr:cNvPr id="8081" name="Picture 8080">
          <a:extLst>
            <a:ext uri="{FF2B5EF4-FFF2-40B4-BE49-F238E27FC236}">
              <a16:creationId xmlns:a16="http://schemas.microsoft.com/office/drawing/2014/main" id="{41C4CA45-69F8-44A6-A162-35A6381EC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</xdr:row>
      <xdr:rowOff>0</xdr:rowOff>
    </xdr:from>
    <xdr:ext cx="304800" cy="303439"/>
    <xdr:sp macro="" textlink="">
      <xdr:nvSpPr>
        <xdr:cNvPr id="8082" name="AutoShape 469">
          <a:extLst>
            <a:ext uri="{FF2B5EF4-FFF2-40B4-BE49-F238E27FC236}">
              <a16:creationId xmlns:a16="http://schemas.microsoft.com/office/drawing/2014/main" id="{68AF434F-B2C0-4136-A9E8-C6BC69CDB209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9525" cy="9525"/>
    <xdr:pic>
      <xdr:nvPicPr>
        <xdr:cNvPr id="8083" name="Picture 8082">
          <a:extLst>
            <a:ext uri="{FF2B5EF4-FFF2-40B4-BE49-F238E27FC236}">
              <a16:creationId xmlns:a16="http://schemas.microsoft.com/office/drawing/2014/main" id="{29E980AA-F900-4AF6-86F2-46FFE8306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9525" cy="9525"/>
    <xdr:pic>
      <xdr:nvPicPr>
        <xdr:cNvPr id="8084" name="Picture 8083">
          <a:extLst>
            <a:ext uri="{FF2B5EF4-FFF2-40B4-BE49-F238E27FC236}">
              <a16:creationId xmlns:a16="http://schemas.microsoft.com/office/drawing/2014/main" id="{1E449393-FE00-429E-B54A-99B9B98BC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9525" cy="9525"/>
    <xdr:pic>
      <xdr:nvPicPr>
        <xdr:cNvPr id="8085" name="Picture 8084">
          <a:extLst>
            <a:ext uri="{FF2B5EF4-FFF2-40B4-BE49-F238E27FC236}">
              <a16:creationId xmlns:a16="http://schemas.microsoft.com/office/drawing/2014/main" id="{F1B4692B-8573-44C2-AE93-66EC8FAC8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304800" cy="304800"/>
    <xdr:sp macro="" textlink="">
      <xdr:nvSpPr>
        <xdr:cNvPr id="8086" name="AutoShape 473">
          <a:extLst>
            <a:ext uri="{FF2B5EF4-FFF2-40B4-BE49-F238E27FC236}">
              <a16:creationId xmlns:a16="http://schemas.microsoft.com/office/drawing/2014/main" id="{9C6E3176-10E1-4295-8CB4-601DC0046408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87" name="Picture 8086">
          <a:extLst>
            <a:ext uri="{FF2B5EF4-FFF2-40B4-BE49-F238E27FC236}">
              <a16:creationId xmlns:a16="http://schemas.microsoft.com/office/drawing/2014/main" id="{B6118446-9A7D-4422-A267-9C0193BD6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304800" cy="304800"/>
    <xdr:sp macro="" textlink="">
      <xdr:nvSpPr>
        <xdr:cNvPr id="8088" name="AutoShape 475">
          <a:extLst>
            <a:ext uri="{FF2B5EF4-FFF2-40B4-BE49-F238E27FC236}">
              <a16:creationId xmlns:a16="http://schemas.microsoft.com/office/drawing/2014/main" id="{5627DB70-AB70-4757-B591-49733D5306DE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26</xdr:row>
      <xdr:rowOff>0</xdr:rowOff>
    </xdr:from>
    <xdr:ext cx="9525" cy="9525"/>
    <xdr:pic>
      <xdr:nvPicPr>
        <xdr:cNvPr id="8089" name="Picture 8088">
          <a:extLst>
            <a:ext uri="{FF2B5EF4-FFF2-40B4-BE49-F238E27FC236}">
              <a16:creationId xmlns:a16="http://schemas.microsoft.com/office/drawing/2014/main" id="{78C06006-A6AD-4ED8-BBE8-6B7CFC1A9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25</xdr:row>
      <xdr:rowOff>0</xdr:rowOff>
    </xdr:from>
    <xdr:ext cx="304800" cy="303440"/>
    <xdr:sp macro="" textlink="">
      <xdr:nvSpPr>
        <xdr:cNvPr id="8090" name="AutoShape 477">
          <a:extLst>
            <a:ext uri="{FF2B5EF4-FFF2-40B4-BE49-F238E27FC236}">
              <a16:creationId xmlns:a16="http://schemas.microsoft.com/office/drawing/2014/main" id="{447B800F-2387-4A6F-AC33-E3DB8620D9B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91" name="Picture 8090">
          <a:extLst>
            <a:ext uri="{FF2B5EF4-FFF2-40B4-BE49-F238E27FC236}">
              <a16:creationId xmlns:a16="http://schemas.microsoft.com/office/drawing/2014/main" id="{2973BC17-46B2-456D-B71B-4A4B83E5B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92" name="Picture 8091">
          <a:extLst>
            <a:ext uri="{FF2B5EF4-FFF2-40B4-BE49-F238E27FC236}">
              <a16:creationId xmlns:a16="http://schemas.microsoft.com/office/drawing/2014/main" id="{6C891180-727C-4B76-A84C-D5A3B4E3B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93" name="Picture 8092">
          <a:extLst>
            <a:ext uri="{FF2B5EF4-FFF2-40B4-BE49-F238E27FC236}">
              <a16:creationId xmlns:a16="http://schemas.microsoft.com/office/drawing/2014/main" id="{4D5BADD1-CCDB-448A-83C5-C3FB35717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94" name="Picture 8093">
          <a:extLst>
            <a:ext uri="{FF2B5EF4-FFF2-40B4-BE49-F238E27FC236}">
              <a16:creationId xmlns:a16="http://schemas.microsoft.com/office/drawing/2014/main" id="{1BF88849-00DF-450F-99EE-A3AEDF30B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95" name="Picture 8094">
          <a:extLst>
            <a:ext uri="{FF2B5EF4-FFF2-40B4-BE49-F238E27FC236}">
              <a16:creationId xmlns:a16="http://schemas.microsoft.com/office/drawing/2014/main" id="{B48E13E4-D67F-4D5C-BAA9-4A708E2C7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096" name="AutoShape 483">
          <a:extLst>
            <a:ext uri="{FF2B5EF4-FFF2-40B4-BE49-F238E27FC236}">
              <a16:creationId xmlns:a16="http://schemas.microsoft.com/office/drawing/2014/main" id="{CC43339C-0A1A-4A60-816A-33E4603A767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097" name="Picture 8096">
          <a:extLst>
            <a:ext uri="{FF2B5EF4-FFF2-40B4-BE49-F238E27FC236}">
              <a16:creationId xmlns:a16="http://schemas.microsoft.com/office/drawing/2014/main" id="{9CA69C37-67FF-495F-AA27-96602AF2A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098" name="AutoShape 485">
          <a:extLst>
            <a:ext uri="{FF2B5EF4-FFF2-40B4-BE49-F238E27FC236}">
              <a16:creationId xmlns:a16="http://schemas.microsoft.com/office/drawing/2014/main" id="{DC92C990-095E-41A3-B5BE-320E2773914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13</xdr:row>
      <xdr:rowOff>0</xdr:rowOff>
    </xdr:from>
    <xdr:ext cx="9525" cy="9525"/>
    <xdr:pic>
      <xdr:nvPicPr>
        <xdr:cNvPr id="8099" name="Picture 8098">
          <a:extLst>
            <a:ext uri="{FF2B5EF4-FFF2-40B4-BE49-F238E27FC236}">
              <a16:creationId xmlns:a16="http://schemas.microsoft.com/office/drawing/2014/main" id="{1F7AF17B-203E-4F4F-9DDE-48B746ADA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</xdr:row>
      <xdr:rowOff>0</xdr:rowOff>
    </xdr:from>
    <xdr:ext cx="304800" cy="303439"/>
    <xdr:sp macro="" textlink="">
      <xdr:nvSpPr>
        <xdr:cNvPr id="8100" name="AutoShape 487">
          <a:extLst>
            <a:ext uri="{FF2B5EF4-FFF2-40B4-BE49-F238E27FC236}">
              <a16:creationId xmlns:a16="http://schemas.microsoft.com/office/drawing/2014/main" id="{F6551701-4B27-4C09-AFAF-969CD55D9DF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101" name="Picture 8100">
          <a:extLst>
            <a:ext uri="{FF2B5EF4-FFF2-40B4-BE49-F238E27FC236}">
              <a16:creationId xmlns:a16="http://schemas.microsoft.com/office/drawing/2014/main" id="{688B1C0F-7E72-47B3-87EE-6B238469F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102" name="Picture 8101">
          <a:extLst>
            <a:ext uri="{FF2B5EF4-FFF2-40B4-BE49-F238E27FC236}">
              <a16:creationId xmlns:a16="http://schemas.microsoft.com/office/drawing/2014/main" id="{E06218AF-B89F-4F1C-8FFD-3A8F3CB79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3440"/>
    <xdr:sp macro="" textlink="">
      <xdr:nvSpPr>
        <xdr:cNvPr id="8103" name="AutoShape 491">
          <a:extLst>
            <a:ext uri="{FF2B5EF4-FFF2-40B4-BE49-F238E27FC236}">
              <a16:creationId xmlns:a16="http://schemas.microsoft.com/office/drawing/2014/main" id="{8A483CA9-D2E9-43B8-BCDB-9A85BF84C6E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27</xdr:row>
      <xdr:rowOff>0</xdr:rowOff>
    </xdr:from>
    <xdr:ext cx="9525" cy="9525"/>
    <xdr:pic>
      <xdr:nvPicPr>
        <xdr:cNvPr id="8104" name="Picture 8103">
          <a:extLst>
            <a:ext uri="{FF2B5EF4-FFF2-40B4-BE49-F238E27FC236}">
              <a16:creationId xmlns:a16="http://schemas.microsoft.com/office/drawing/2014/main" id="{29B45BA6-B73D-4C32-92AC-13FA90366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26</xdr:row>
      <xdr:rowOff>0</xdr:rowOff>
    </xdr:from>
    <xdr:ext cx="304800" cy="303439"/>
    <xdr:sp macro="" textlink="">
      <xdr:nvSpPr>
        <xdr:cNvPr id="8105" name="AutoShape 493">
          <a:extLst>
            <a:ext uri="{FF2B5EF4-FFF2-40B4-BE49-F238E27FC236}">
              <a16:creationId xmlns:a16="http://schemas.microsoft.com/office/drawing/2014/main" id="{284758D5-C16A-4DEA-BAA5-136DB4F3D0F7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106" name="Picture 8105">
          <a:extLst>
            <a:ext uri="{FF2B5EF4-FFF2-40B4-BE49-F238E27FC236}">
              <a16:creationId xmlns:a16="http://schemas.microsoft.com/office/drawing/2014/main" id="{74096C74-93B7-4913-A75B-A9656F6AC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107" name="Picture 8106">
          <a:extLst>
            <a:ext uri="{FF2B5EF4-FFF2-40B4-BE49-F238E27FC236}">
              <a16:creationId xmlns:a16="http://schemas.microsoft.com/office/drawing/2014/main" id="{923E18F4-6062-423D-BFE6-D3AF7B874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</xdr:row>
      <xdr:rowOff>0</xdr:rowOff>
    </xdr:from>
    <xdr:ext cx="9525" cy="9525"/>
    <xdr:pic>
      <xdr:nvPicPr>
        <xdr:cNvPr id="8108" name="Picture 8107">
          <a:extLst>
            <a:ext uri="{FF2B5EF4-FFF2-40B4-BE49-F238E27FC236}">
              <a16:creationId xmlns:a16="http://schemas.microsoft.com/office/drawing/2014/main" id="{C5631CD7-1FCC-46DB-9EF6-495718732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</xdr:row>
      <xdr:rowOff>0</xdr:rowOff>
    </xdr:from>
    <xdr:ext cx="304800" cy="303439"/>
    <xdr:sp macro="" textlink="">
      <xdr:nvSpPr>
        <xdr:cNvPr id="8109" name="AutoShape 497">
          <a:extLst>
            <a:ext uri="{FF2B5EF4-FFF2-40B4-BE49-F238E27FC236}">
              <a16:creationId xmlns:a16="http://schemas.microsoft.com/office/drawing/2014/main" id="{280BC4B5-6BE5-45F8-A7E8-150C66C0503E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9525" cy="9525"/>
    <xdr:pic>
      <xdr:nvPicPr>
        <xdr:cNvPr id="8110" name="Picture 8109">
          <a:extLst>
            <a:ext uri="{FF2B5EF4-FFF2-40B4-BE49-F238E27FC236}">
              <a16:creationId xmlns:a16="http://schemas.microsoft.com/office/drawing/2014/main" id="{4E5119DC-B9CD-4F83-AE8B-9A47ACF39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</xdr:row>
      <xdr:rowOff>0</xdr:rowOff>
    </xdr:from>
    <xdr:ext cx="304800" cy="304800"/>
    <xdr:sp macro="" textlink="">
      <xdr:nvSpPr>
        <xdr:cNvPr id="8111" name="AutoShape 499">
          <a:extLst>
            <a:ext uri="{FF2B5EF4-FFF2-40B4-BE49-F238E27FC236}">
              <a16:creationId xmlns:a16="http://schemas.microsoft.com/office/drawing/2014/main" id="{64B8C824-09F5-409D-99CF-4B4CE82FCBE4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5</xdr:row>
      <xdr:rowOff>0</xdr:rowOff>
    </xdr:from>
    <xdr:ext cx="9525" cy="9525"/>
    <xdr:pic>
      <xdr:nvPicPr>
        <xdr:cNvPr id="8112" name="Picture 8111">
          <a:extLst>
            <a:ext uri="{FF2B5EF4-FFF2-40B4-BE49-F238E27FC236}">
              <a16:creationId xmlns:a16="http://schemas.microsoft.com/office/drawing/2014/main" id="{0CB88961-2F76-4E1F-ACFE-E94C173B9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</xdr:row>
      <xdr:rowOff>0</xdr:rowOff>
    </xdr:from>
    <xdr:ext cx="304800" cy="304800"/>
    <xdr:sp macro="" textlink="">
      <xdr:nvSpPr>
        <xdr:cNvPr id="8113" name="AutoShape 501">
          <a:extLst>
            <a:ext uri="{FF2B5EF4-FFF2-40B4-BE49-F238E27FC236}">
              <a16:creationId xmlns:a16="http://schemas.microsoft.com/office/drawing/2014/main" id="{BBE9A9E1-EB60-4430-A363-10252A308EF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537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6</xdr:row>
      <xdr:rowOff>0</xdr:rowOff>
    </xdr:from>
    <xdr:ext cx="9525" cy="9525"/>
    <xdr:pic>
      <xdr:nvPicPr>
        <xdr:cNvPr id="8114" name="Picture 8113">
          <a:extLst>
            <a:ext uri="{FF2B5EF4-FFF2-40B4-BE49-F238E27FC236}">
              <a16:creationId xmlns:a16="http://schemas.microsoft.com/office/drawing/2014/main" id="{A01BAE1C-2BF7-4C4B-BD18-ECC45754B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304800" cy="304800"/>
    <xdr:sp macro="" textlink="">
      <xdr:nvSpPr>
        <xdr:cNvPr id="8115" name="AutoShape 503">
          <a:extLst>
            <a:ext uri="{FF2B5EF4-FFF2-40B4-BE49-F238E27FC236}">
              <a16:creationId xmlns:a16="http://schemas.microsoft.com/office/drawing/2014/main" id="{8968D330-ACF9-4BBD-9743-FE151866A04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116" name="Picture 8115">
          <a:extLst>
            <a:ext uri="{FF2B5EF4-FFF2-40B4-BE49-F238E27FC236}">
              <a16:creationId xmlns:a16="http://schemas.microsoft.com/office/drawing/2014/main" id="{C968A7AB-0944-427E-B0F5-A0BF1A63E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304800" cy="304800"/>
    <xdr:sp macro="" textlink="">
      <xdr:nvSpPr>
        <xdr:cNvPr id="8117" name="AutoShape 505">
          <a:extLst>
            <a:ext uri="{FF2B5EF4-FFF2-40B4-BE49-F238E27FC236}">
              <a16:creationId xmlns:a16="http://schemas.microsoft.com/office/drawing/2014/main" id="{E1E2A558-10DF-4ACB-8557-02A343C6830B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26</xdr:row>
      <xdr:rowOff>0</xdr:rowOff>
    </xdr:from>
    <xdr:ext cx="9525" cy="9525"/>
    <xdr:pic>
      <xdr:nvPicPr>
        <xdr:cNvPr id="8118" name="Picture 8117">
          <a:extLst>
            <a:ext uri="{FF2B5EF4-FFF2-40B4-BE49-F238E27FC236}">
              <a16:creationId xmlns:a16="http://schemas.microsoft.com/office/drawing/2014/main" id="{BD7E5755-C1AB-447C-B981-C74101280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25</xdr:row>
      <xdr:rowOff>0</xdr:rowOff>
    </xdr:from>
    <xdr:ext cx="304800" cy="303439"/>
    <xdr:sp macro="" textlink="">
      <xdr:nvSpPr>
        <xdr:cNvPr id="8119" name="AutoShape 507">
          <a:extLst>
            <a:ext uri="{FF2B5EF4-FFF2-40B4-BE49-F238E27FC236}">
              <a16:creationId xmlns:a16="http://schemas.microsoft.com/office/drawing/2014/main" id="{904634AA-30C1-408D-8628-291596D1B7B2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06878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120" name="Picture 8119">
          <a:extLst>
            <a:ext uri="{FF2B5EF4-FFF2-40B4-BE49-F238E27FC236}">
              <a16:creationId xmlns:a16="http://schemas.microsoft.com/office/drawing/2014/main" id="{256B2A82-DDED-4445-8830-718E1139B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26</xdr:row>
      <xdr:rowOff>0</xdr:rowOff>
    </xdr:from>
    <xdr:ext cx="304800" cy="304800"/>
    <xdr:sp macro="" textlink="">
      <xdr:nvSpPr>
        <xdr:cNvPr id="8121" name="AutoShape 509">
          <a:extLst>
            <a:ext uri="{FF2B5EF4-FFF2-40B4-BE49-F238E27FC236}">
              <a16:creationId xmlns:a16="http://schemas.microsoft.com/office/drawing/2014/main" id="{39292AEC-CC5A-4D20-AEC6-3C5CE46185E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122" name="Picture 8121">
          <a:extLst>
            <a:ext uri="{FF2B5EF4-FFF2-40B4-BE49-F238E27FC236}">
              <a16:creationId xmlns:a16="http://schemas.microsoft.com/office/drawing/2014/main" id="{7E33544E-B317-4E55-A2C7-8F989D535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123" name="AutoShape 511">
          <a:extLst>
            <a:ext uri="{FF2B5EF4-FFF2-40B4-BE49-F238E27FC236}">
              <a16:creationId xmlns:a16="http://schemas.microsoft.com/office/drawing/2014/main" id="{169A0645-4822-432D-9DEF-6E7E2275538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124" name="Picture 8123">
          <a:extLst>
            <a:ext uri="{FF2B5EF4-FFF2-40B4-BE49-F238E27FC236}">
              <a16:creationId xmlns:a16="http://schemas.microsoft.com/office/drawing/2014/main" id="{5EC8FBC1-F89D-4C15-993F-D1CDC0FBA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3439"/>
    <xdr:sp macro="" textlink="">
      <xdr:nvSpPr>
        <xdr:cNvPr id="8125" name="AutoShape 513">
          <a:extLst>
            <a:ext uri="{FF2B5EF4-FFF2-40B4-BE49-F238E27FC236}">
              <a16:creationId xmlns:a16="http://schemas.microsoft.com/office/drawing/2014/main" id="{6B88ED68-4D15-4E03-9306-598A1DA8F791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126" name="Picture 8125">
          <a:extLst>
            <a:ext uri="{FF2B5EF4-FFF2-40B4-BE49-F238E27FC236}">
              <a16:creationId xmlns:a16="http://schemas.microsoft.com/office/drawing/2014/main" id="{478D6697-37AE-4CA6-B89E-210159C56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127" name="AutoShape 515">
          <a:extLst>
            <a:ext uri="{FF2B5EF4-FFF2-40B4-BE49-F238E27FC236}">
              <a16:creationId xmlns:a16="http://schemas.microsoft.com/office/drawing/2014/main" id="{9699F0A7-F791-40D6-B71C-497EB51939C8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128" name="Picture 8127">
          <a:extLst>
            <a:ext uri="{FF2B5EF4-FFF2-40B4-BE49-F238E27FC236}">
              <a16:creationId xmlns:a16="http://schemas.microsoft.com/office/drawing/2014/main" id="{9A079B30-902C-4E9B-A897-0F358F42C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129" name="AutoShape 517">
          <a:extLst>
            <a:ext uri="{FF2B5EF4-FFF2-40B4-BE49-F238E27FC236}">
              <a16:creationId xmlns:a16="http://schemas.microsoft.com/office/drawing/2014/main" id="{990B142E-9BD6-4015-B2C3-7A7775EE5C9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130" name="Picture 8129">
          <a:extLst>
            <a:ext uri="{FF2B5EF4-FFF2-40B4-BE49-F238E27FC236}">
              <a16:creationId xmlns:a16="http://schemas.microsoft.com/office/drawing/2014/main" id="{C4342B14-32D4-419E-9648-2A76AE949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131" name="AutoShape 519">
          <a:extLst>
            <a:ext uri="{FF2B5EF4-FFF2-40B4-BE49-F238E27FC236}">
              <a16:creationId xmlns:a16="http://schemas.microsoft.com/office/drawing/2014/main" id="{B77AC06B-6A43-4174-A6B2-137BB4DB4A64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132" name="Picture 8131">
          <a:extLst>
            <a:ext uri="{FF2B5EF4-FFF2-40B4-BE49-F238E27FC236}">
              <a16:creationId xmlns:a16="http://schemas.microsoft.com/office/drawing/2014/main" id="{4804229B-49F3-426D-861F-35729DA2C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133" name="Picture 8132">
          <a:extLst>
            <a:ext uri="{FF2B5EF4-FFF2-40B4-BE49-F238E27FC236}">
              <a16:creationId xmlns:a16="http://schemas.microsoft.com/office/drawing/2014/main" id="{98D54790-B9CD-43F8-B81E-34BCA15FE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3440"/>
    <xdr:sp macro="" textlink="">
      <xdr:nvSpPr>
        <xdr:cNvPr id="8134" name="AutoShape 525">
          <a:extLst>
            <a:ext uri="{FF2B5EF4-FFF2-40B4-BE49-F238E27FC236}">
              <a16:creationId xmlns:a16="http://schemas.microsoft.com/office/drawing/2014/main" id="{A07EDF3C-09B1-493C-9D74-B316496068A2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27</xdr:row>
      <xdr:rowOff>0</xdr:rowOff>
    </xdr:from>
    <xdr:ext cx="9525" cy="9525"/>
    <xdr:pic>
      <xdr:nvPicPr>
        <xdr:cNvPr id="8135" name="Picture 8134">
          <a:extLst>
            <a:ext uri="{FF2B5EF4-FFF2-40B4-BE49-F238E27FC236}">
              <a16:creationId xmlns:a16="http://schemas.microsoft.com/office/drawing/2014/main" id="{383CF271-0DE5-47DF-908B-EAF02D066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26</xdr:row>
      <xdr:rowOff>0</xdr:rowOff>
    </xdr:from>
    <xdr:ext cx="304800" cy="303439"/>
    <xdr:sp macro="" textlink="">
      <xdr:nvSpPr>
        <xdr:cNvPr id="8136" name="AutoShape 527">
          <a:extLst>
            <a:ext uri="{FF2B5EF4-FFF2-40B4-BE49-F238E27FC236}">
              <a16:creationId xmlns:a16="http://schemas.microsoft.com/office/drawing/2014/main" id="{A2285083-5BC9-4E24-8F95-AA6238AC8FE9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137" name="Picture 8136">
          <a:extLst>
            <a:ext uri="{FF2B5EF4-FFF2-40B4-BE49-F238E27FC236}">
              <a16:creationId xmlns:a16="http://schemas.microsoft.com/office/drawing/2014/main" id="{479FC1FD-1832-401B-819A-0BCCB6E32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27</xdr:row>
      <xdr:rowOff>0</xdr:rowOff>
    </xdr:from>
    <xdr:ext cx="304800" cy="303439"/>
    <xdr:sp macro="" textlink="">
      <xdr:nvSpPr>
        <xdr:cNvPr id="8138" name="AutoShape 529">
          <a:extLst>
            <a:ext uri="{FF2B5EF4-FFF2-40B4-BE49-F238E27FC236}">
              <a16:creationId xmlns:a16="http://schemas.microsoft.com/office/drawing/2014/main" id="{9F462EB6-D0E9-4C7C-A988-47C4A6F7C6FB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477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139" name="Picture 8138">
          <a:extLst>
            <a:ext uri="{FF2B5EF4-FFF2-40B4-BE49-F238E27FC236}">
              <a16:creationId xmlns:a16="http://schemas.microsoft.com/office/drawing/2014/main" id="{644CDAF0-F19F-4891-AA4E-7E7950E47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3439"/>
    <xdr:sp macro="" textlink="">
      <xdr:nvSpPr>
        <xdr:cNvPr id="8140" name="AutoShape 531">
          <a:extLst>
            <a:ext uri="{FF2B5EF4-FFF2-40B4-BE49-F238E27FC236}">
              <a16:creationId xmlns:a16="http://schemas.microsoft.com/office/drawing/2014/main" id="{86EE9DEB-9811-4012-9E0F-2FD004EF606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9525" cy="9525"/>
    <xdr:pic>
      <xdr:nvPicPr>
        <xdr:cNvPr id="8141" name="Picture 8140">
          <a:extLst>
            <a:ext uri="{FF2B5EF4-FFF2-40B4-BE49-F238E27FC236}">
              <a16:creationId xmlns:a16="http://schemas.microsoft.com/office/drawing/2014/main" id="{C0F14159-A71A-48E7-8239-2953730DF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</xdr:row>
      <xdr:rowOff>0</xdr:rowOff>
    </xdr:from>
    <xdr:ext cx="9525" cy="9525"/>
    <xdr:pic>
      <xdr:nvPicPr>
        <xdr:cNvPr id="8142" name="Picture 8141">
          <a:extLst>
            <a:ext uri="{FF2B5EF4-FFF2-40B4-BE49-F238E27FC236}">
              <a16:creationId xmlns:a16="http://schemas.microsoft.com/office/drawing/2014/main" id="{6D8B8ECC-C384-4889-AB6D-8E6DD138D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</xdr:row>
      <xdr:rowOff>0</xdr:rowOff>
    </xdr:from>
    <xdr:ext cx="304800" cy="304800"/>
    <xdr:sp macro="" textlink="">
      <xdr:nvSpPr>
        <xdr:cNvPr id="8143" name="AutoShape 183">
          <a:extLst>
            <a:ext uri="{FF2B5EF4-FFF2-40B4-BE49-F238E27FC236}">
              <a16:creationId xmlns:a16="http://schemas.microsoft.com/office/drawing/2014/main" id="{4217C51E-ADF9-4034-B60D-5E52C48D2FA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9525" cy="9525"/>
    <xdr:pic>
      <xdr:nvPicPr>
        <xdr:cNvPr id="8144" name="Picture 8143">
          <a:extLst>
            <a:ext uri="{FF2B5EF4-FFF2-40B4-BE49-F238E27FC236}">
              <a16:creationId xmlns:a16="http://schemas.microsoft.com/office/drawing/2014/main" id="{731CFEA0-C80D-4BAD-A1B9-004E71453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</xdr:row>
      <xdr:rowOff>0</xdr:rowOff>
    </xdr:from>
    <xdr:ext cx="304800" cy="304800"/>
    <xdr:sp macro="" textlink="">
      <xdr:nvSpPr>
        <xdr:cNvPr id="8145" name="AutoShape 209">
          <a:extLst>
            <a:ext uri="{FF2B5EF4-FFF2-40B4-BE49-F238E27FC236}">
              <a16:creationId xmlns:a16="http://schemas.microsoft.com/office/drawing/2014/main" id="{367DEF5F-47E1-41D3-AA16-0E380C92C691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9525" cy="9525"/>
    <xdr:pic>
      <xdr:nvPicPr>
        <xdr:cNvPr id="8146" name="Picture 8145">
          <a:extLst>
            <a:ext uri="{FF2B5EF4-FFF2-40B4-BE49-F238E27FC236}">
              <a16:creationId xmlns:a16="http://schemas.microsoft.com/office/drawing/2014/main" id="{9D26CEDA-9840-420A-8527-CD43741CB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</xdr:row>
      <xdr:rowOff>0</xdr:rowOff>
    </xdr:from>
    <xdr:ext cx="304800" cy="304800"/>
    <xdr:sp macro="" textlink="">
      <xdr:nvSpPr>
        <xdr:cNvPr id="8147" name="AutoShape 233">
          <a:extLst>
            <a:ext uri="{FF2B5EF4-FFF2-40B4-BE49-F238E27FC236}">
              <a16:creationId xmlns:a16="http://schemas.microsoft.com/office/drawing/2014/main" id="{0A828BDB-8BA2-49DB-BA1E-7346AACFD80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9525" cy="9525"/>
    <xdr:pic>
      <xdr:nvPicPr>
        <xdr:cNvPr id="8148" name="Picture 8147">
          <a:extLst>
            <a:ext uri="{FF2B5EF4-FFF2-40B4-BE49-F238E27FC236}">
              <a16:creationId xmlns:a16="http://schemas.microsoft.com/office/drawing/2014/main" id="{14FA03D9-0432-4C5E-916C-9BF7963E9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</xdr:row>
      <xdr:rowOff>0</xdr:rowOff>
    </xdr:from>
    <xdr:ext cx="304800" cy="304800"/>
    <xdr:sp macro="" textlink="">
      <xdr:nvSpPr>
        <xdr:cNvPr id="8149" name="AutoShape 259">
          <a:extLst>
            <a:ext uri="{FF2B5EF4-FFF2-40B4-BE49-F238E27FC236}">
              <a16:creationId xmlns:a16="http://schemas.microsoft.com/office/drawing/2014/main" id="{ADE535D6-C501-42E3-8801-E62011A1158B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9525" cy="9525"/>
    <xdr:pic>
      <xdr:nvPicPr>
        <xdr:cNvPr id="8150" name="Picture 8149">
          <a:extLst>
            <a:ext uri="{FF2B5EF4-FFF2-40B4-BE49-F238E27FC236}">
              <a16:creationId xmlns:a16="http://schemas.microsoft.com/office/drawing/2014/main" id="{66874E16-9313-49B2-B8FC-D297B4230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</xdr:row>
      <xdr:rowOff>0</xdr:rowOff>
    </xdr:from>
    <xdr:ext cx="304800" cy="304800"/>
    <xdr:sp macro="" textlink="">
      <xdr:nvSpPr>
        <xdr:cNvPr id="8151" name="AutoShape 311">
          <a:extLst>
            <a:ext uri="{FF2B5EF4-FFF2-40B4-BE49-F238E27FC236}">
              <a16:creationId xmlns:a16="http://schemas.microsoft.com/office/drawing/2014/main" id="{FFA034F9-11F2-4E8C-BD0D-C352741B478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9525" cy="9525"/>
    <xdr:pic>
      <xdr:nvPicPr>
        <xdr:cNvPr id="8152" name="Picture 8151">
          <a:extLst>
            <a:ext uri="{FF2B5EF4-FFF2-40B4-BE49-F238E27FC236}">
              <a16:creationId xmlns:a16="http://schemas.microsoft.com/office/drawing/2014/main" id="{CC310C63-712C-4316-9164-29F3F9531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</xdr:row>
      <xdr:rowOff>0</xdr:rowOff>
    </xdr:from>
    <xdr:ext cx="304800" cy="304800"/>
    <xdr:sp macro="" textlink="">
      <xdr:nvSpPr>
        <xdr:cNvPr id="8153" name="AutoShape 363">
          <a:extLst>
            <a:ext uri="{FF2B5EF4-FFF2-40B4-BE49-F238E27FC236}">
              <a16:creationId xmlns:a16="http://schemas.microsoft.com/office/drawing/2014/main" id="{E44D1605-1F64-4EDA-B961-AE70E9F57F99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9525" cy="9525"/>
    <xdr:pic>
      <xdr:nvPicPr>
        <xdr:cNvPr id="8154" name="Picture 8153">
          <a:extLst>
            <a:ext uri="{FF2B5EF4-FFF2-40B4-BE49-F238E27FC236}">
              <a16:creationId xmlns:a16="http://schemas.microsoft.com/office/drawing/2014/main" id="{DDC315B5-DC97-43CA-BAB8-A31A2CDDB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</xdr:row>
      <xdr:rowOff>0</xdr:rowOff>
    </xdr:from>
    <xdr:ext cx="304800" cy="304800"/>
    <xdr:sp macro="" textlink="">
      <xdr:nvSpPr>
        <xdr:cNvPr id="8155" name="AutoShape 419">
          <a:extLst>
            <a:ext uri="{FF2B5EF4-FFF2-40B4-BE49-F238E27FC236}">
              <a16:creationId xmlns:a16="http://schemas.microsoft.com/office/drawing/2014/main" id="{0F72157F-1EAB-4CC8-83E2-1540D6E21A96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9525" cy="9525"/>
    <xdr:pic>
      <xdr:nvPicPr>
        <xdr:cNvPr id="8156" name="Picture 8155">
          <a:extLst>
            <a:ext uri="{FF2B5EF4-FFF2-40B4-BE49-F238E27FC236}">
              <a16:creationId xmlns:a16="http://schemas.microsoft.com/office/drawing/2014/main" id="{0F605D42-0A3F-4509-A348-26579EAE7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</xdr:row>
      <xdr:rowOff>0</xdr:rowOff>
    </xdr:from>
    <xdr:ext cx="304800" cy="304800"/>
    <xdr:sp macro="" textlink="">
      <xdr:nvSpPr>
        <xdr:cNvPr id="8157" name="AutoShape 475">
          <a:extLst>
            <a:ext uri="{FF2B5EF4-FFF2-40B4-BE49-F238E27FC236}">
              <a16:creationId xmlns:a16="http://schemas.microsoft.com/office/drawing/2014/main" id="{ED296511-81BA-4FAF-B199-0D42D346255B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9525" cy="9525"/>
    <xdr:pic>
      <xdr:nvPicPr>
        <xdr:cNvPr id="8158" name="Picture 8157">
          <a:extLst>
            <a:ext uri="{FF2B5EF4-FFF2-40B4-BE49-F238E27FC236}">
              <a16:creationId xmlns:a16="http://schemas.microsoft.com/office/drawing/2014/main" id="{BB9739F9-42D7-4B4C-86DC-37F8B94DA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9525" cy="9525"/>
    <xdr:pic>
      <xdr:nvPicPr>
        <xdr:cNvPr id="8159" name="Picture 8158">
          <a:extLst>
            <a:ext uri="{FF2B5EF4-FFF2-40B4-BE49-F238E27FC236}">
              <a16:creationId xmlns:a16="http://schemas.microsoft.com/office/drawing/2014/main" id="{4750D63C-BD5D-43F0-B30D-C370695ED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9525" cy="9525"/>
    <xdr:pic>
      <xdr:nvPicPr>
        <xdr:cNvPr id="8160" name="Picture 8159">
          <a:extLst>
            <a:ext uri="{FF2B5EF4-FFF2-40B4-BE49-F238E27FC236}">
              <a16:creationId xmlns:a16="http://schemas.microsoft.com/office/drawing/2014/main" id="{412D2DBF-9806-418F-90F1-E8A4C2900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4800"/>
    <xdr:sp macro="" textlink="">
      <xdr:nvSpPr>
        <xdr:cNvPr id="8161" name="AutoShape 183">
          <a:extLst>
            <a:ext uri="{FF2B5EF4-FFF2-40B4-BE49-F238E27FC236}">
              <a16:creationId xmlns:a16="http://schemas.microsoft.com/office/drawing/2014/main" id="{C7E11505-BF62-43DF-AF35-0A59218BD8F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15</xdr:row>
      <xdr:rowOff>0</xdr:rowOff>
    </xdr:from>
    <xdr:ext cx="9525" cy="9525"/>
    <xdr:pic>
      <xdr:nvPicPr>
        <xdr:cNvPr id="8162" name="Picture 8161">
          <a:extLst>
            <a:ext uri="{FF2B5EF4-FFF2-40B4-BE49-F238E27FC236}">
              <a16:creationId xmlns:a16="http://schemas.microsoft.com/office/drawing/2014/main" id="{3EB572C1-5E6C-4607-BBBF-E0493BCE9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4800"/>
    <xdr:sp macro="" textlink="">
      <xdr:nvSpPr>
        <xdr:cNvPr id="8163" name="AutoShape 209">
          <a:extLst>
            <a:ext uri="{FF2B5EF4-FFF2-40B4-BE49-F238E27FC236}">
              <a16:creationId xmlns:a16="http://schemas.microsoft.com/office/drawing/2014/main" id="{90D679E2-A03E-4592-8547-EB5CED0EC222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15</xdr:row>
      <xdr:rowOff>0</xdr:rowOff>
    </xdr:from>
    <xdr:ext cx="9525" cy="9525"/>
    <xdr:pic>
      <xdr:nvPicPr>
        <xdr:cNvPr id="8164" name="Picture 8163">
          <a:extLst>
            <a:ext uri="{FF2B5EF4-FFF2-40B4-BE49-F238E27FC236}">
              <a16:creationId xmlns:a16="http://schemas.microsoft.com/office/drawing/2014/main" id="{526CC1B1-94D4-45D4-80E9-07FC75FE2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4800"/>
    <xdr:sp macro="" textlink="">
      <xdr:nvSpPr>
        <xdr:cNvPr id="8165" name="AutoShape 233">
          <a:extLst>
            <a:ext uri="{FF2B5EF4-FFF2-40B4-BE49-F238E27FC236}">
              <a16:creationId xmlns:a16="http://schemas.microsoft.com/office/drawing/2014/main" id="{A3544FC0-F1B5-4398-98F8-8C43630CC6E1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15</xdr:row>
      <xdr:rowOff>0</xdr:rowOff>
    </xdr:from>
    <xdr:ext cx="9525" cy="9525"/>
    <xdr:pic>
      <xdr:nvPicPr>
        <xdr:cNvPr id="8166" name="Picture 8165">
          <a:extLst>
            <a:ext uri="{FF2B5EF4-FFF2-40B4-BE49-F238E27FC236}">
              <a16:creationId xmlns:a16="http://schemas.microsoft.com/office/drawing/2014/main" id="{FBE412D4-1DE2-4F71-8F30-AB5C3329E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4800"/>
    <xdr:sp macro="" textlink="">
      <xdr:nvSpPr>
        <xdr:cNvPr id="8167" name="AutoShape 259">
          <a:extLst>
            <a:ext uri="{FF2B5EF4-FFF2-40B4-BE49-F238E27FC236}">
              <a16:creationId xmlns:a16="http://schemas.microsoft.com/office/drawing/2014/main" id="{F45BDEFB-3AA6-4084-BBDB-CC73042D638E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15</xdr:row>
      <xdr:rowOff>0</xdr:rowOff>
    </xdr:from>
    <xdr:ext cx="9525" cy="9525"/>
    <xdr:pic>
      <xdr:nvPicPr>
        <xdr:cNvPr id="8168" name="Picture 8167">
          <a:extLst>
            <a:ext uri="{FF2B5EF4-FFF2-40B4-BE49-F238E27FC236}">
              <a16:creationId xmlns:a16="http://schemas.microsoft.com/office/drawing/2014/main" id="{81CDAFA8-FAD0-4E8B-954B-B81514C57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4800"/>
    <xdr:sp macro="" textlink="">
      <xdr:nvSpPr>
        <xdr:cNvPr id="8169" name="AutoShape 311">
          <a:extLst>
            <a:ext uri="{FF2B5EF4-FFF2-40B4-BE49-F238E27FC236}">
              <a16:creationId xmlns:a16="http://schemas.microsoft.com/office/drawing/2014/main" id="{0E1E803F-0D0E-474E-991E-3276177BD06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15</xdr:row>
      <xdr:rowOff>0</xdr:rowOff>
    </xdr:from>
    <xdr:ext cx="9525" cy="9525"/>
    <xdr:pic>
      <xdr:nvPicPr>
        <xdr:cNvPr id="8170" name="Picture 8169">
          <a:extLst>
            <a:ext uri="{FF2B5EF4-FFF2-40B4-BE49-F238E27FC236}">
              <a16:creationId xmlns:a16="http://schemas.microsoft.com/office/drawing/2014/main" id="{17AC6A67-3F92-49CA-B4C7-B72B5202C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4800"/>
    <xdr:sp macro="" textlink="">
      <xdr:nvSpPr>
        <xdr:cNvPr id="8171" name="AutoShape 363">
          <a:extLst>
            <a:ext uri="{FF2B5EF4-FFF2-40B4-BE49-F238E27FC236}">
              <a16:creationId xmlns:a16="http://schemas.microsoft.com/office/drawing/2014/main" id="{956F8C43-92AB-445C-B4C3-C60BBF2283D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15</xdr:row>
      <xdr:rowOff>0</xdr:rowOff>
    </xdr:from>
    <xdr:ext cx="9525" cy="9525"/>
    <xdr:pic>
      <xdr:nvPicPr>
        <xdr:cNvPr id="8172" name="Picture 8171">
          <a:extLst>
            <a:ext uri="{FF2B5EF4-FFF2-40B4-BE49-F238E27FC236}">
              <a16:creationId xmlns:a16="http://schemas.microsoft.com/office/drawing/2014/main" id="{CE9DC0AE-66BC-460C-B95F-CC50A2044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4800"/>
    <xdr:sp macro="" textlink="">
      <xdr:nvSpPr>
        <xdr:cNvPr id="8173" name="AutoShape 419">
          <a:extLst>
            <a:ext uri="{FF2B5EF4-FFF2-40B4-BE49-F238E27FC236}">
              <a16:creationId xmlns:a16="http://schemas.microsoft.com/office/drawing/2014/main" id="{86FBC6BA-5248-4530-B05F-7F2DAC7D914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15</xdr:row>
      <xdr:rowOff>0</xdr:rowOff>
    </xdr:from>
    <xdr:ext cx="9525" cy="9525"/>
    <xdr:pic>
      <xdr:nvPicPr>
        <xdr:cNvPr id="8174" name="Picture 8173">
          <a:extLst>
            <a:ext uri="{FF2B5EF4-FFF2-40B4-BE49-F238E27FC236}">
              <a16:creationId xmlns:a16="http://schemas.microsoft.com/office/drawing/2014/main" id="{53E173E2-9203-4369-9B6D-B5FA8DFD5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4800"/>
    <xdr:sp macro="" textlink="">
      <xdr:nvSpPr>
        <xdr:cNvPr id="8175" name="AutoShape 475">
          <a:extLst>
            <a:ext uri="{FF2B5EF4-FFF2-40B4-BE49-F238E27FC236}">
              <a16:creationId xmlns:a16="http://schemas.microsoft.com/office/drawing/2014/main" id="{C83BE815-2DB6-470E-BF45-2B80C054180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15</xdr:row>
      <xdr:rowOff>0</xdr:rowOff>
    </xdr:from>
    <xdr:ext cx="9525" cy="9525"/>
    <xdr:pic>
      <xdr:nvPicPr>
        <xdr:cNvPr id="8176" name="Picture 8175">
          <a:extLst>
            <a:ext uri="{FF2B5EF4-FFF2-40B4-BE49-F238E27FC236}">
              <a16:creationId xmlns:a16="http://schemas.microsoft.com/office/drawing/2014/main" id="{781F8A78-FFCA-4007-9F3B-79A4F0353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0</xdr:rowOff>
    </xdr:from>
    <xdr:ext cx="304800" cy="304800"/>
    <xdr:sp macro="" textlink="">
      <xdr:nvSpPr>
        <xdr:cNvPr id="8177" name="AutoShape 154">
          <a:extLst>
            <a:ext uri="{FF2B5EF4-FFF2-40B4-BE49-F238E27FC236}">
              <a16:creationId xmlns:a16="http://schemas.microsoft.com/office/drawing/2014/main" id="{FD1F94CA-FD0E-4106-871E-28DE1665025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21</xdr:row>
      <xdr:rowOff>0</xdr:rowOff>
    </xdr:from>
    <xdr:ext cx="304800" cy="304800"/>
    <xdr:sp macro="" textlink="">
      <xdr:nvSpPr>
        <xdr:cNvPr id="8178" name="AutoShape 505">
          <a:extLst>
            <a:ext uri="{FF2B5EF4-FFF2-40B4-BE49-F238E27FC236}">
              <a16:creationId xmlns:a16="http://schemas.microsoft.com/office/drawing/2014/main" id="{36EB89FD-C3E7-47E8-B715-1EE5A437CFD7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21</xdr:row>
      <xdr:rowOff>0</xdr:rowOff>
    </xdr:from>
    <xdr:ext cx="9525" cy="9525"/>
    <xdr:pic>
      <xdr:nvPicPr>
        <xdr:cNvPr id="8179" name="Picture 8178">
          <a:extLst>
            <a:ext uri="{FF2B5EF4-FFF2-40B4-BE49-F238E27FC236}">
              <a16:creationId xmlns:a16="http://schemas.microsoft.com/office/drawing/2014/main" id="{87267467-89B2-4CAF-8FED-EE21EAABE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0</xdr:rowOff>
    </xdr:from>
    <xdr:ext cx="9525" cy="9525"/>
    <xdr:pic>
      <xdr:nvPicPr>
        <xdr:cNvPr id="8180" name="Picture 8179">
          <a:extLst>
            <a:ext uri="{FF2B5EF4-FFF2-40B4-BE49-F238E27FC236}">
              <a16:creationId xmlns:a16="http://schemas.microsoft.com/office/drawing/2014/main" id="{045E5FB2-7284-46A3-BE63-ED9C68036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0</xdr:rowOff>
    </xdr:from>
    <xdr:ext cx="304800" cy="304800"/>
    <xdr:sp macro="" textlink="">
      <xdr:nvSpPr>
        <xdr:cNvPr id="8181" name="AutoShape 183">
          <a:extLst>
            <a:ext uri="{FF2B5EF4-FFF2-40B4-BE49-F238E27FC236}">
              <a16:creationId xmlns:a16="http://schemas.microsoft.com/office/drawing/2014/main" id="{ECE6BBF0-C17E-439C-8C56-2C95A8994316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21</xdr:row>
      <xdr:rowOff>0</xdr:rowOff>
    </xdr:from>
    <xdr:ext cx="9525" cy="9525"/>
    <xdr:pic>
      <xdr:nvPicPr>
        <xdr:cNvPr id="8182" name="Picture 8181">
          <a:extLst>
            <a:ext uri="{FF2B5EF4-FFF2-40B4-BE49-F238E27FC236}">
              <a16:creationId xmlns:a16="http://schemas.microsoft.com/office/drawing/2014/main" id="{FB3A33FE-2ED0-4A90-BC71-58B5120E6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0</xdr:rowOff>
    </xdr:from>
    <xdr:ext cx="304800" cy="304800"/>
    <xdr:sp macro="" textlink="">
      <xdr:nvSpPr>
        <xdr:cNvPr id="8183" name="AutoShape 209">
          <a:extLst>
            <a:ext uri="{FF2B5EF4-FFF2-40B4-BE49-F238E27FC236}">
              <a16:creationId xmlns:a16="http://schemas.microsoft.com/office/drawing/2014/main" id="{611397CA-2A70-461C-9A12-98121685234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21</xdr:row>
      <xdr:rowOff>0</xdr:rowOff>
    </xdr:from>
    <xdr:ext cx="9525" cy="9525"/>
    <xdr:pic>
      <xdr:nvPicPr>
        <xdr:cNvPr id="8184" name="Picture 8183">
          <a:extLst>
            <a:ext uri="{FF2B5EF4-FFF2-40B4-BE49-F238E27FC236}">
              <a16:creationId xmlns:a16="http://schemas.microsoft.com/office/drawing/2014/main" id="{7BDECF75-C136-4BF8-B514-4FA2D0DA5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0</xdr:rowOff>
    </xdr:from>
    <xdr:ext cx="304800" cy="304800"/>
    <xdr:sp macro="" textlink="">
      <xdr:nvSpPr>
        <xdr:cNvPr id="8185" name="AutoShape 233">
          <a:extLst>
            <a:ext uri="{FF2B5EF4-FFF2-40B4-BE49-F238E27FC236}">
              <a16:creationId xmlns:a16="http://schemas.microsoft.com/office/drawing/2014/main" id="{F28D6CC2-77C9-41A3-BAF2-068CDF4A52BE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21</xdr:row>
      <xdr:rowOff>0</xdr:rowOff>
    </xdr:from>
    <xdr:ext cx="9525" cy="9525"/>
    <xdr:pic>
      <xdr:nvPicPr>
        <xdr:cNvPr id="8186" name="Picture 8185">
          <a:extLst>
            <a:ext uri="{FF2B5EF4-FFF2-40B4-BE49-F238E27FC236}">
              <a16:creationId xmlns:a16="http://schemas.microsoft.com/office/drawing/2014/main" id="{AE8FC440-ECB4-4C8B-B789-7DA9E4471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0</xdr:rowOff>
    </xdr:from>
    <xdr:ext cx="304800" cy="304800"/>
    <xdr:sp macro="" textlink="">
      <xdr:nvSpPr>
        <xdr:cNvPr id="8187" name="AutoShape 259">
          <a:extLst>
            <a:ext uri="{FF2B5EF4-FFF2-40B4-BE49-F238E27FC236}">
              <a16:creationId xmlns:a16="http://schemas.microsoft.com/office/drawing/2014/main" id="{09B831D4-65A7-45A1-8EA8-C523113AAB3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21</xdr:row>
      <xdr:rowOff>0</xdr:rowOff>
    </xdr:from>
    <xdr:ext cx="9525" cy="9525"/>
    <xdr:pic>
      <xdr:nvPicPr>
        <xdr:cNvPr id="8188" name="Picture 8187">
          <a:extLst>
            <a:ext uri="{FF2B5EF4-FFF2-40B4-BE49-F238E27FC236}">
              <a16:creationId xmlns:a16="http://schemas.microsoft.com/office/drawing/2014/main" id="{D8CD448C-A072-4805-B13B-2BB5E5EDA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0</xdr:rowOff>
    </xdr:from>
    <xdr:ext cx="304800" cy="304800"/>
    <xdr:sp macro="" textlink="">
      <xdr:nvSpPr>
        <xdr:cNvPr id="8189" name="AutoShape 311">
          <a:extLst>
            <a:ext uri="{FF2B5EF4-FFF2-40B4-BE49-F238E27FC236}">
              <a16:creationId xmlns:a16="http://schemas.microsoft.com/office/drawing/2014/main" id="{F68D550F-4901-467D-AF00-9A455ACC5CA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21</xdr:row>
      <xdr:rowOff>0</xdr:rowOff>
    </xdr:from>
    <xdr:ext cx="9525" cy="9525"/>
    <xdr:pic>
      <xdr:nvPicPr>
        <xdr:cNvPr id="8190" name="Picture 8189">
          <a:extLst>
            <a:ext uri="{FF2B5EF4-FFF2-40B4-BE49-F238E27FC236}">
              <a16:creationId xmlns:a16="http://schemas.microsoft.com/office/drawing/2014/main" id="{66E9819C-FAF5-4743-B638-781A41965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0</xdr:rowOff>
    </xdr:from>
    <xdr:ext cx="304800" cy="304800"/>
    <xdr:sp macro="" textlink="">
      <xdr:nvSpPr>
        <xdr:cNvPr id="8191" name="AutoShape 363">
          <a:extLst>
            <a:ext uri="{FF2B5EF4-FFF2-40B4-BE49-F238E27FC236}">
              <a16:creationId xmlns:a16="http://schemas.microsoft.com/office/drawing/2014/main" id="{A6A05F38-3E68-4E27-A7B4-630E10AD88EB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21</xdr:row>
      <xdr:rowOff>0</xdr:rowOff>
    </xdr:from>
    <xdr:ext cx="9525" cy="9525"/>
    <xdr:pic>
      <xdr:nvPicPr>
        <xdr:cNvPr id="8192" name="Picture 8191">
          <a:extLst>
            <a:ext uri="{FF2B5EF4-FFF2-40B4-BE49-F238E27FC236}">
              <a16:creationId xmlns:a16="http://schemas.microsoft.com/office/drawing/2014/main" id="{CB2DF067-4774-4DB7-95F3-FA8670D9A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0</xdr:rowOff>
    </xdr:from>
    <xdr:ext cx="304800" cy="304800"/>
    <xdr:sp macro="" textlink="">
      <xdr:nvSpPr>
        <xdr:cNvPr id="8193" name="AutoShape 419">
          <a:extLst>
            <a:ext uri="{FF2B5EF4-FFF2-40B4-BE49-F238E27FC236}">
              <a16:creationId xmlns:a16="http://schemas.microsoft.com/office/drawing/2014/main" id="{F0E80AF9-8F73-4187-ADFB-8AF675BCCBF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21</xdr:row>
      <xdr:rowOff>0</xdr:rowOff>
    </xdr:from>
    <xdr:ext cx="9525" cy="9525"/>
    <xdr:pic>
      <xdr:nvPicPr>
        <xdr:cNvPr id="8194" name="Picture 8193">
          <a:extLst>
            <a:ext uri="{FF2B5EF4-FFF2-40B4-BE49-F238E27FC236}">
              <a16:creationId xmlns:a16="http://schemas.microsoft.com/office/drawing/2014/main" id="{916A7B8C-90BA-49D2-A420-318ACC181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0</xdr:rowOff>
    </xdr:from>
    <xdr:ext cx="304800" cy="304800"/>
    <xdr:sp macro="" textlink="">
      <xdr:nvSpPr>
        <xdr:cNvPr id="8195" name="AutoShape 475">
          <a:extLst>
            <a:ext uri="{FF2B5EF4-FFF2-40B4-BE49-F238E27FC236}">
              <a16:creationId xmlns:a16="http://schemas.microsoft.com/office/drawing/2014/main" id="{90048714-7017-45C0-90DD-D9DFB46EF9D2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21</xdr:row>
      <xdr:rowOff>0</xdr:rowOff>
    </xdr:from>
    <xdr:ext cx="9525" cy="9525"/>
    <xdr:pic>
      <xdr:nvPicPr>
        <xdr:cNvPr id="8196" name="Picture 8195">
          <a:extLst>
            <a:ext uri="{FF2B5EF4-FFF2-40B4-BE49-F238E27FC236}">
              <a16:creationId xmlns:a16="http://schemas.microsoft.com/office/drawing/2014/main" id="{8600B47A-5DAC-4DDA-9F65-9825F81F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9525" cy="9525"/>
    <xdr:pic>
      <xdr:nvPicPr>
        <xdr:cNvPr id="8197" name="Picture 8196">
          <a:extLst>
            <a:ext uri="{FF2B5EF4-FFF2-40B4-BE49-F238E27FC236}">
              <a16:creationId xmlns:a16="http://schemas.microsoft.com/office/drawing/2014/main" id="{8F13FBE5-BEE4-4834-A26F-006DFA1B3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3440"/>
    <xdr:sp macro="" textlink="">
      <xdr:nvSpPr>
        <xdr:cNvPr id="8198" name="AutoShape 169">
          <a:extLst>
            <a:ext uri="{FF2B5EF4-FFF2-40B4-BE49-F238E27FC236}">
              <a16:creationId xmlns:a16="http://schemas.microsoft.com/office/drawing/2014/main" id="{6D01E12A-902E-4637-97B4-B30E4103119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16</xdr:row>
      <xdr:rowOff>0</xdr:rowOff>
    </xdr:from>
    <xdr:ext cx="304800" cy="303439"/>
    <xdr:sp macro="" textlink="">
      <xdr:nvSpPr>
        <xdr:cNvPr id="8199" name="AutoShape 171">
          <a:extLst>
            <a:ext uri="{FF2B5EF4-FFF2-40B4-BE49-F238E27FC236}">
              <a16:creationId xmlns:a16="http://schemas.microsoft.com/office/drawing/2014/main" id="{B769C374-BDF4-4004-BD13-CB670D2D088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16</xdr:row>
      <xdr:rowOff>0</xdr:rowOff>
    </xdr:from>
    <xdr:ext cx="9525" cy="9525"/>
    <xdr:pic>
      <xdr:nvPicPr>
        <xdr:cNvPr id="8200" name="Picture 8199">
          <a:extLst>
            <a:ext uri="{FF2B5EF4-FFF2-40B4-BE49-F238E27FC236}">
              <a16:creationId xmlns:a16="http://schemas.microsoft.com/office/drawing/2014/main" id="{11463FCA-FB7B-4B48-8052-80EA1669F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3440"/>
    <xdr:sp macro="" textlink="">
      <xdr:nvSpPr>
        <xdr:cNvPr id="8201" name="AutoShape 199">
          <a:extLst>
            <a:ext uri="{FF2B5EF4-FFF2-40B4-BE49-F238E27FC236}">
              <a16:creationId xmlns:a16="http://schemas.microsoft.com/office/drawing/2014/main" id="{74A462A5-FB9C-427D-ADFA-2AADE6B63A4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16</xdr:row>
      <xdr:rowOff>0</xdr:rowOff>
    </xdr:from>
    <xdr:ext cx="9525" cy="9525"/>
    <xdr:pic>
      <xdr:nvPicPr>
        <xdr:cNvPr id="8202" name="Picture 8201">
          <a:extLst>
            <a:ext uri="{FF2B5EF4-FFF2-40B4-BE49-F238E27FC236}">
              <a16:creationId xmlns:a16="http://schemas.microsoft.com/office/drawing/2014/main" id="{8052217B-5DCE-4FF7-83FF-BF2CC080A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9525" cy="9525"/>
    <xdr:pic>
      <xdr:nvPicPr>
        <xdr:cNvPr id="8203" name="Picture 8202">
          <a:extLst>
            <a:ext uri="{FF2B5EF4-FFF2-40B4-BE49-F238E27FC236}">
              <a16:creationId xmlns:a16="http://schemas.microsoft.com/office/drawing/2014/main" id="{1ED0ADE2-B3AF-42CB-A584-161DC30A6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3440"/>
    <xdr:sp macro="" textlink="">
      <xdr:nvSpPr>
        <xdr:cNvPr id="8204" name="AutoShape 249">
          <a:extLst>
            <a:ext uri="{FF2B5EF4-FFF2-40B4-BE49-F238E27FC236}">
              <a16:creationId xmlns:a16="http://schemas.microsoft.com/office/drawing/2014/main" id="{7EF22344-B76E-4902-A0B2-4BE1BE700914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16</xdr:row>
      <xdr:rowOff>0</xdr:rowOff>
    </xdr:from>
    <xdr:ext cx="9525" cy="9525"/>
    <xdr:pic>
      <xdr:nvPicPr>
        <xdr:cNvPr id="8205" name="Picture 8204">
          <a:extLst>
            <a:ext uri="{FF2B5EF4-FFF2-40B4-BE49-F238E27FC236}">
              <a16:creationId xmlns:a16="http://schemas.microsoft.com/office/drawing/2014/main" id="{C974C647-90EF-41DF-A4E6-3638CFB43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3440"/>
    <xdr:sp macro="" textlink="">
      <xdr:nvSpPr>
        <xdr:cNvPr id="8206" name="AutoShape 275">
          <a:extLst>
            <a:ext uri="{FF2B5EF4-FFF2-40B4-BE49-F238E27FC236}">
              <a16:creationId xmlns:a16="http://schemas.microsoft.com/office/drawing/2014/main" id="{8E215915-B2CE-43C8-9375-855D5FAE116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16</xdr:row>
      <xdr:rowOff>0</xdr:rowOff>
    </xdr:from>
    <xdr:ext cx="9525" cy="9525"/>
    <xdr:pic>
      <xdr:nvPicPr>
        <xdr:cNvPr id="8207" name="Picture 8206">
          <a:extLst>
            <a:ext uri="{FF2B5EF4-FFF2-40B4-BE49-F238E27FC236}">
              <a16:creationId xmlns:a16="http://schemas.microsoft.com/office/drawing/2014/main" id="{511F5846-64DA-48F8-8B13-594BC8DAE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3440"/>
    <xdr:sp macro="" textlink="">
      <xdr:nvSpPr>
        <xdr:cNvPr id="8208" name="AutoShape 327">
          <a:extLst>
            <a:ext uri="{FF2B5EF4-FFF2-40B4-BE49-F238E27FC236}">
              <a16:creationId xmlns:a16="http://schemas.microsoft.com/office/drawing/2014/main" id="{99005D17-3DF5-4643-ACA0-C355C100346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16</xdr:row>
      <xdr:rowOff>0</xdr:rowOff>
    </xdr:from>
    <xdr:ext cx="9525" cy="9525"/>
    <xdr:pic>
      <xdr:nvPicPr>
        <xdr:cNvPr id="8209" name="Picture 8208">
          <a:extLst>
            <a:ext uri="{FF2B5EF4-FFF2-40B4-BE49-F238E27FC236}">
              <a16:creationId xmlns:a16="http://schemas.microsoft.com/office/drawing/2014/main" id="{62871A1A-BA33-4F2E-9B38-96EEFE5FE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3440"/>
    <xdr:sp macro="" textlink="">
      <xdr:nvSpPr>
        <xdr:cNvPr id="8210" name="AutoShape 379">
          <a:extLst>
            <a:ext uri="{FF2B5EF4-FFF2-40B4-BE49-F238E27FC236}">
              <a16:creationId xmlns:a16="http://schemas.microsoft.com/office/drawing/2014/main" id="{0A9A5AE0-C82F-4DA6-8980-C7E5D7B7F0F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16</xdr:row>
      <xdr:rowOff>0</xdr:rowOff>
    </xdr:from>
    <xdr:ext cx="304800" cy="303439"/>
    <xdr:sp macro="" textlink="">
      <xdr:nvSpPr>
        <xdr:cNvPr id="8211" name="AutoShape 381">
          <a:extLst>
            <a:ext uri="{FF2B5EF4-FFF2-40B4-BE49-F238E27FC236}">
              <a16:creationId xmlns:a16="http://schemas.microsoft.com/office/drawing/2014/main" id="{C72B76CA-211D-4636-A9BB-8C07506C5F34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16</xdr:row>
      <xdr:rowOff>0</xdr:rowOff>
    </xdr:from>
    <xdr:ext cx="9525" cy="9525"/>
    <xdr:pic>
      <xdr:nvPicPr>
        <xdr:cNvPr id="8212" name="Picture 8211">
          <a:extLst>
            <a:ext uri="{FF2B5EF4-FFF2-40B4-BE49-F238E27FC236}">
              <a16:creationId xmlns:a16="http://schemas.microsoft.com/office/drawing/2014/main" id="{781F9B45-1445-4766-B50B-AD5C54A26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3440"/>
    <xdr:sp macro="" textlink="">
      <xdr:nvSpPr>
        <xdr:cNvPr id="8213" name="AutoShape 435">
          <a:extLst>
            <a:ext uri="{FF2B5EF4-FFF2-40B4-BE49-F238E27FC236}">
              <a16:creationId xmlns:a16="http://schemas.microsoft.com/office/drawing/2014/main" id="{2B78EC14-364F-4CAE-B49C-D09F5E7D667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16</xdr:row>
      <xdr:rowOff>0</xdr:rowOff>
    </xdr:from>
    <xdr:ext cx="304800" cy="303439"/>
    <xdr:sp macro="" textlink="">
      <xdr:nvSpPr>
        <xdr:cNvPr id="8214" name="AutoShape 437">
          <a:extLst>
            <a:ext uri="{FF2B5EF4-FFF2-40B4-BE49-F238E27FC236}">
              <a16:creationId xmlns:a16="http://schemas.microsoft.com/office/drawing/2014/main" id="{0B03FB42-B378-4A86-ABD7-809BB374232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16</xdr:row>
      <xdr:rowOff>0</xdr:rowOff>
    </xdr:from>
    <xdr:ext cx="9525" cy="9525"/>
    <xdr:pic>
      <xdr:nvPicPr>
        <xdr:cNvPr id="8215" name="Picture 8214">
          <a:extLst>
            <a:ext uri="{FF2B5EF4-FFF2-40B4-BE49-F238E27FC236}">
              <a16:creationId xmlns:a16="http://schemas.microsoft.com/office/drawing/2014/main" id="{E164D1A3-AA0C-4AA0-AC89-8D48E0279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3440"/>
    <xdr:sp macro="" textlink="">
      <xdr:nvSpPr>
        <xdr:cNvPr id="8216" name="AutoShape 491">
          <a:extLst>
            <a:ext uri="{FF2B5EF4-FFF2-40B4-BE49-F238E27FC236}">
              <a16:creationId xmlns:a16="http://schemas.microsoft.com/office/drawing/2014/main" id="{1A4EB8E6-9A05-49EB-B2C3-9EF8B4FB467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16</xdr:row>
      <xdr:rowOff>0</xdr:rowOff>
    </xdr:from>
    <xdr:ext cx="304800" cy="303439"/>
    <xdr:sp macro="" textlink="">
      <xdr:nvSpPr>
        <xdr:cNvPr id="8217" name="AutoShape 493">
          <a:extLst>
            <a:ext uri="{FF2B5EF4-FFF2-40B4-BE49-F238E27FC236}">
              <a16:creationId xmlns:a16="http://schemas.microsoft.com/office/drawing/2014/main" id="{A61DD402-1E8B-48C6-8D12-F0B1B444281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16</xdr:row>
      <xdr:rowOff>0</xdr:rowOff>
    </xdr:from>
    <xdr:ext cx="9525" cy="9525"/>
    <xdr:pic>
      <xdr:nvPicPr>
        <xdr:cNvPr id="8218" name="Picture 8217">
          <a:extLst>
            <a:ext uri="{FF2B5EF4-FFF2-40B4-BE49-F238E27FC236}">
              <a16:creationId xmlns:a16="http://schemas.microsoft.com/office/drawing/2014/main" id="{72515FEE-562B-47F7-8045-E26B48BF3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3440"/>
    <xdr:sp macro="" textlink="">
      <xdr:nvSpPr>
        <xdr:cNvPr id="8219" name="AutoShape 525">
          <a:extLst>
            <a:ext uri="{FF2B5EF4-FFF2-40B4-BE49-F238E27FC236}">
              <a16:creationId xmlns:a16="http://schemas.microsoft.com/office/drawing/2014/main" id="{6E113138-B34E-407E-A61A-07DC07BDC252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16</xdr:row>
      <xdr:rowOff>0</xdr:rowOff>
    </xdr:from>
    <xdr:ext cx="304800" cy="303439"/>
    <xdr:sp macro="" textlink="">
      <xdr:nvSpPr>
        <xdr:cNvPr id="8220" name="AutoShape 527">
          <a:extLst>
            <a:ext uri="{FF2B5EF4-FFF2-40B4-BE49-F238E27FC236}">
              <a16:creationId xmlns:a16="http://schemas.microsoft.com/office/drawing/2014/main" id="{17733537-69C3-4603-BC72-7FF6A725443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19</xdr:row>
      <xdr:rowOff>0</xdr:rowOff>
    </xdr:from>
    <xdr:ext cx="9525" cy="9525"/>
    <xdr:pic>
      <xdr:nvPicPr>
        <xdr:cNvPr id="8221" name="Picture 8220">
          <a:extLst>
            <a:ext uri="{FF2B5EF4-FFF2-40B4-BE49-F238E27FC236}">
              <a16:creationId xmlns:a16="http://schemas.microsoft.com/office/drawing/2014/main" id="{187C3018-4787-467B-B2FE-C997A2698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18</xdr:row>
      <xdr:rowOff>0</xdr:rowOff>
    </xdr:from>
    <xdr:ext cx="304800" cy="303440"/>
    <xdr:sp macro="" textlink="">
      <xdr:nvSpPr>
        <xdr:cNvPr id="8222" name="AutoShape 173">
          <a:extLst>
            <a:ext uri="{FF2B5EF4-FFF2-40B4-BE49-F238E27FC236}">
              <a16:creationId xmlns:a16="http://schemas.microsoft.com/office/drawing/2014/main" id="{E508FD6F-9C46-4F56-A031-7E90C75391C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653643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20</xdr:row>
      <xdr:rowOff>0</xdr:rowOff>
    </xdr:from>
    <xdr:ext cx="9525" cy="9525"/>
    <xdr:pic>
      <xdr:nvPicPr>
        <xdr:cNvPr id="8223" name="Picture 8222">
          <a:extLst>
            <a:ext uri="{FF2B5EF4-FFF2-40B4-BE49-F238E27FC236}">
              <a16:creationId xmlns:a16="http://schemas.microsoft.com/office/drawing/2014/main" id="{82F23091-59E5-4DEA-9822-E1C93DB24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19</xdr:row>
      <xdr:rowOff>0</xdr:rowOff>
    </xdr:from>
    <xdr:ext cx="9525" cy="9525"/>
    <xdr:pic>
      <xdr:nvPicPr>
        <xdr:cNvPr id="8224" name="Picture 8223">
          <a:extLst>
            <a:ext uri="{FF2B5EF4-FFF2-40B4-BE49-F238E27FC236}">
              <a16:creationId xmlns:a16="http://schemas.microsoft.com/office/drawing/2014/main" id="{0AFDE98D-A6A1-4FD2-81D4-C010642FA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19</xdr:row>
      <xdr:rowOff>0</xdr:rowOff>
    </xdr:from>
    <xdr:ext cx="9525" cy="9525"/>
    <xdr:pic>
      <xdr:nvPicPr>
        <xdr:cNvPr id="8225" name="Picture 8224">
          <a:extLst>
            <a:ext uri="{FF2B5EF4-FFF2-40B4-BE49-F238E27FC236}">
              <a16:creationId xmlns:a16="http://schemas.microsoft.com/office/drawing/2014/main" id="{B0F90117-5A09-4FAE-8522-F80B4B617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19</xdr:row>
      <xdr:rowOff>0</xdr:rowOff>
    </xdr:from>
    <xdr:ext cx="9525" cy="9525"/>
    <xdr:pic>
      <xdr:nvPicPr>
        <xdr:cNvPr id="8226" name="Picture 8225">
          <a:extLst>
            <a:ext uri="{FF2B5EF4-FFF2-40B4-BE49-F238E27FC236}">
              <a16:creationId xmlns:a16="http://schemas.microsoft.com/office/drawing/2014/main" id="{54ECD20B-5F80-411D-B71F-F1F05ECEE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19</xdr:row>
      <xdr:rowOff>0</xdr:rowOff>
    </xdr:from>
    <xdr:ext cx="9525" cy="9525"/>
    <xdr:pic>
      <xdr:nvPicPr>
        <xdr:cNvPr id="8227" name="Picture 8226">
          <a:extLst>
            <a:ext uri="{FF2B5EF4-FFF2-40B4-BE49-F238E27FC236}">
              <a16:creationId xmlns:a16="http://schemas.microsoft.com/office/drawing/2014/main" id="{06C8C57A-7F15-451E-BE84-CF6109529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19</xdr:row>
      <xdr:rowOff>0</xdr:rowOff>
    </xdr:from>
    <xdr:ext cx="9525" cy="9525"/>
    <xdr:pic>
      <xdr:nvPicPr>
        <xdr:cNvPr id="8228" name="Picture 8227">
          <a:extLst>
            <a:ext uri="{FF2B5EF4-FFF2-40B4-BE49-F238E27FC236}">
              <a16:creationId xmlns:a16="http://schemas.microsoft.com/office/drawing/2014/main" id="{FEE95CC6-EB3D-44FA-9E9F-3788337DC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20</xdr:row>
      <xdr:rowOff>0</xdr:rowOff>
    </xdr:from>
    <xdr:ext cx="9525" cy="9525"/>
    <xdr:pic>
      <xdr:nvPicPr>
        <xdr:cNvPr id="8229" name="Picture 8228">
          <a:extLst>
            <a:ext uri="{FF2B5EF4-FFF2-40B4-BE49-F238E27FC236}">
              <a16:creationId xmlns:a16="http://schemas.microsoft.com/office/drawing/2014/main" id="{616FA7A3-629D-4913-8E8D-F3F07C34E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19</xdr:row>
      <xdr:rowOff>0</xdr:rowOff>
    </xdr:from>
    <xdr:ext cx="9525" cy="9525"/>
    <xdr:pic>
      <xdr:nvPicPr>
        <xdr:cNvPr id="8230" name="Picture 8229">
          <a:extLst>
            <a:ext uri="{FF2B5EF4-FFF2-40B4-BE49-F238E27FC236}">
              <a16:creationId xmlns:a16="http://schemas.microsoft.com/office/drawing/2014/main" id="{EBD84F30-C1FD-42F4-AB94-480A57860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20</xdr:row>
      <xdr:rowOff>0</xdr:rowOff>
    </xdr:from>
    <xdr:ext cx="9525" cy="9525"/>
    <xdr:pic>
      <xdr:nvPicPr>
        <xdr:cNvPr id="8231" name="Picture 8230">
          <a:extLst>
            <a:ext uri="{FF2B5EF4-FFF2-40B4-BE49-F238E27FC236}">
              <a16:creationId xmlns:a16="http://schemas.microsoft.com/office/drawing/2014/main" id="{EE12514A-EA26-4260-A6F8-2B16D83C1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19</xdr:row>
      <xdr:rowOff>0</xdr:rowOff>
    </xdr:from>
    <xdr:ext cx="9525" cy="9525"/>
    <xdr:pic>
      <xdr:nvPicPr>
        <xdr:cNvPr id="8232" name="Picture 8231">
          <a:extLst>
            <a:ext uri="{FF2B5EF4-FFF2-40B4-BE49-F238E27FC236}">
              <a16:creationId xmlns:a16="http://schemas.microsoft.com/office/drawing/2014/main" id="{9958C6B4-68A3-4D25-859A-5344C6938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20</xdr:row>
      <xdr:rowOff>0</xdr:rowOff>
    </xdr:from>
    <xdr:ext cx="9525" cy="9525"/>
    <xdr:pic>
      <xdr:nvPicPr>
        <xdr:cNvPr id="8233" name="Picture 8232">
          <a:extLst>
            <a:ext uri="{FF2B5EF4-FFF2-40B4-BE49-F238E27FC236}">
              <a16:creationId xmlns:a16="http://schemas.microsoft.com/office/drawing/2014/main" id="{4409ECF6-1DE1-4B27-A9C8-A7DE827D0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19</xdr:row>
      <xdr:rowOff>0</xdr:rowOff>
    </xdr:from>
    <xdr:ext cx="9525" cy="9525"/>
    <xdr:pic>
      <xdr:nvPicPr>
        <xdr:cNvPr id="8234" name="Picture 8233">
          <a:extLst>
            <a:ext uri="{FF2B5EF4-FFF2-40B4-BE49-F238E27FC236}">
              <a16:creationId xmlns:a16="http://schemas.microsoft.com/office/drawing/2014/main" id="{E0960A33-9568-4F0C-B72A-D7140D235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18</xdr:row>
      <xdr:rowOff>0</xdr:rowOff>
    </xdr:from>
    <xdr:ext cx="304800" cy="303439"/>
    <xdr:sp macro="" textlink="">
      <xdr:nvSpPr>
        <xdr:cNvPr id="8235" name="AutoShape 529">
          <a:extLst>
            <a:ext uri="{FF2B5EF4-FFF2-40B4-BE49-F238E27FC236}">
              <a16:creationId xmlns:a16="http://schemas.microsoft.com/office/drawing/2014/main" id="{3B5B2EB0-09E0-4418-B316-33C3A700D236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6536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20</xdr:row>
      <xdr:rowOff>0</xdr:rowOff>
    </xdr:from>
    <xdr:ext cx="9525" cy="9525"/>
    <xdr:pic>
      <xdr:nvPicPr>
        <xdr:cNvPr id="8236" name="Picture 8235">
          <a:extLst>
            <a:ext uri="{FF2B5EF4-FFF2-40B4-BE49-F238E27FC236}">
              <a16:creationId xmlns:a16="http://schemas.microsoft.com/office/drawing/2014/main" id="{7634D31B-1C03-47A6-9A09-19D816532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06185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19</xdr:row>
      <xdr:rowOff>0</xdr:rowOff>
    </xdr:from>
    <xdr:ext cx="304800" cy="303439"/>
    <xdr:sp macro="" textlink="">
      <xdr:nvSpPr>
        <xdr:cNvPr id="8237" name="AutoShape 531">
          <a:extLst>
            <a:ext uri="{FF2B5EF4-FFF2-40B4-BE49-F238E27FC236}">
              <a16:creationId xmlns:a16="http://schemas.microsoft.com/office/drawing/2014/main" id="{8B4BE844-7FC7-444D-ADB8-F067F1659E18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84414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9525" cy="9525"/>
    <xdr:pic>
      <xdr:nvPicPr>
        <xdr:cNvPr id="8238" name="Picture 8237">
          <a:extLst>
            <a:ext uri="{FF2B5EF4-FFF2-40B4-BE49-F238E27FC236}">
              <a16:creationId xmlns:a16="http://schemas.microsoft.com/office/drawing/2014/main" id="{B60B51F9-7960-4193-9977-8502E2ABA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</xdr:row>
      <xdr:rowOff>0</xdr:rowOff>
    </xdr:from>
    <xdr:ext cx="304800" cy="303439"/>
    <xdr:sp macro="" textlink="">
      <xdr:nvSpPr>
        <xdr:cNvPr id="8239" name="AutoShape 165">
          <a:extLst>
            <a:ext uri="{FF2B5EF4-FFF2-40B4-BE49-F238E27FC236}">
              <a16:creationId xmlns:a16="http://schemas.microsoft.com/office/drawing/2014/main" id="{A6B69CC9-5CAC-48D3-9130-EB421103B70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9525" cy="9525"/>
    <xdr:pic>
      <xdr:nvPicPr>
        <xdr:cNvPr id="8240" name="Picture 8239">
          <a:extLst>
            <a:ext uri="{FF2B5EF4-FFF2-40B4-BE49-F238E27FC236}">
              <a16:creationId xmlns:a16="http://schemas.microsoft.com/office/drawing/2014/main" id="{93E51762-236E-4B63-BBD2-A10875D3A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304800" cy="304800"/>
    <xdr:sp macro="" textlink="">
      <xdr:nvSpPr>
        <xdr:cNvPr id="8241" name="AutoShape 193">
          <a:extLst>
            <a:ext uri="{FF2B5EF4-FFF2-40B4-BE49-F238E27FC236}">
              <a16:creationId xmlns:a16="http://schemas.microsoft.com/office/drawing/2014/main" id="{694E73D1-24E2-493B-8357-8BB2EE13B7C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3439"/>
    <xdr:sp macro="" textlink="">
      <xdr:nvSpPr>
        <xdr:cNvPr id="8242" name="AutoShape 195">
          <a:extLst>
            <a:ext uri="{FF2B5EF4-FFF2-40B4-BE49-F238E27FC236}">
              <a16:creationId xmlns:a16="http://schemas.microsoft.com/office/drawing/2014/main" id="{8A2E7A6E-A9ED-4623-80AD-A5DCF641C4A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9525" cy="9525"/>
    <xdr:pic>
      <xdr:nvPicPr>
        <xdr:cNvPr id="8243" name="Picture 8242">
          <a:extLst>
            <a:ext uri="{FF2B5EF4-FFF2-40B4-BE49-F238E27FC236}">
              <a16:creationId xmlns:a16="http://schemas.microsoft.com/office/drawing/2014/main" id="{04D2D321-8BB5-4EEC-9424-302DB707E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304800" cy="304800"/>
    <xdr:sp macro="" textlink="">
      <xdr:nvSpPr>
        <xdr:cNvPr id="8244" name="AutoShape 219">
          <a:extLst>
            <a:ext uri="{FF2B5EF4-FFF2-40B4-BE49-F238E27FC236}">
              <a16:creationId xmlns:a16="http://schemas.microsoft.com/office/drawing/2014/main" id="{90D9662A-82AE-4C5A-A5FA-00890A7848F6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3439"/>
    <xdr:sp macro="" textlink="">
      <xdr:nvSpPr>
        <xdr:cNvPr id="8245" name="AutoShape 221">
          <a:extLst>
            <a:ext uri="{FF2B5EF4-FFF2-40B4-BE49-F238E27FC236}">
              <a16:creationId xmlns:a16="http://schemas.microsoft.com/office/drawing/2014/main" id="{90B2EF2F-8B23-4F90-BB35-8B79BB4CCBA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9525" cy="9525"/>
    <xdr:pic>
      <xdr:nvPicPr>
        <xdr:cNvPr id="8246" name="Picture 8245">
          <a:extLst>
            <a:ext uri="{FF2B5EF4-FFF2-40B4-BE49-F238E27FC236}">
              <a16:creationId xmlns:a16="http://schemas.microsoft.com/office/drawing/2014/main" id="{5AEB9280-1CD7-497C-AACB-A0EC20C15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304800" cy="304800"/>
    <xdr:sp macro="" textlink="">
      <xdr:nvSpPr>
        <xdr:cNvPr id="8247" name="AutoShape 243">
          <a:extLst>
            <a:ext uri="{FF2B5EF4-FFF2-40B4-BE49-F238E27FC236}">
              <a16:creationId xmlns:a16="http://schemas.microsoft.com/office/drawing/2014/main" id="{87DBC6D5-DAC0-4A54-99B1-0DC1E4A7731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3439"/>
    <xdr:sp macro="" textlink="">
      <xdr:nvSpPr>
        <xdr:cNvPr id="8248" name="AutoShape 245">
          <a:extLst>
            <a:ext uri="{FF2B5EF4-FFF2-40B4-BE49-F238E27FC236}">
              <a16:creationId xmlns:a16="http://schemas.microsoft.com/office/drawing/2014/main" id="{99EB6E34-698B-4686-A435-45D7FDB5318B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9525" cy="9525"/>
    <xdr:pic>
      <xdr:nvPicPr>
        <xdr:cNvPr id="8249" name="Picture 8248">
          <a:extLst>
            <a:ext uri="{FF2B5EF4-FFF2-40B4-BE49-F238E27FC236}">
              <a16:creationId xmlns:a16="http://schemas.microsoft.com/office/drawing/2014/main" id="{F1E2B018-3202-4710-BC51-5C282D916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304800" cy="304800"/>
    <xdr:sp macro="" textlink="">
      <xdr:nvSpPr>
        <xdr:cNvPr id="8250" name="AutoShape 269">
          <a:extLst>
            <a:ext uri="{FF2B5EF4-FFF2-40B4-BE49-F238E27FC236}">
              <a16:creationId xmlns:a16="http://schemas.microsoft.com/office/drawing/2014/main" id="{8D6143C2-AAA8-4C7A-A586-D7606B28875E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3439"/>
    <xdr:sp macro="" textlink="">
      <xdr:nvSpPr>
        <xdr:cNvPr id="8251" name="AutoShape 271">
          <a:extLst>
            <a:ext uri="{FF2B5EF4-FFF2-40B4-BE49-F238E27FC236}">
              <a16:creationId xmlns:a16="http://schemas.microsoft.com/office/drawing/2014/main" id="{69980C07-977D-4D84-AA8B-CDDE2E95FF26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9525" cy="9525"/>
    <xdr:pic>
      <xdr:nvPicPr>
        <xdr:cNvPr id="8252" name="Picture 8251">
          <a:extLst>
            <a:ext uri="{FF2B5EF4-FFF2-40B4-BE49-F238E27FC236}">
              <a16:creationId xmlns:a16="http://schemas.microsoft.com/office/drawing/2014/main" id="{9EA33A12-A996-48AD-A8F8-5C477494E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304800" cy="304800"/>
    <xdr:sp macro="" textlink="">
      <xdr:nvSpPr>
        <xdr:cNvPr id="8253" name="AutoShape 321">
          <a:extLst>
            <a:ext uri="{FF2B5EF4-FFF2-40B4-BE49-F238E27FC236}">
              <a16:creationId xmlns:a16="http://schemas.microsoft.com/office/drawing/2014/main" id="{FC6A66F6-E2FC-4326-9073-1058939CE88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3439"/>
    <xdr:sp macro="" textlink="">
      <xdr:nvSpPr>
        <xdr:cNvPr id="8254" name="AutoShape 323">
          <a:extLst>
            <a:ext uri="{FF2B5EF4-FFF2-40B4-BE49-F238E27FC236}">
              <a16:creationId xmlns:a16="http://schemas.microsoft.com/office/drawing/2014/main" id="{7A34280C-65F8-4D43-8D9A-93DEB50F9E0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9525" cy="9525"/>
    <xdr:pic>
      <xdr:nvPicPr>
        <xdr:cNvPr id="8255" name="Picture 8254">
          <a:extLst>
            <a:ext uri="{FF2B5EF4-FFF2-40B4-BE49-F238E27FC236}">
              <a16:creationId xmlns:a16="http://schemas.microsoft.com/office/drawing/2014/main" id="{6CBE35E2-2F20-4CDA-B050-BE734E8F4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304800" cy="304800"/>
    <xdr:sp macro="" textlink="">
      <xdr:nvSpPr>
        <xdr:cNvPr id="8256" name="AutoShape 373">
          <a:extLst>
            <a:ext uri="{FF2B5EF4-FFF2-40B4-BE49-F238E27FC236}">
              <a16:creationId xmlns:a16="http://schemas.microsoft.com/office/drawing/2014/main" id="{A6D03CCE-A311-4B47-8D49-0F015891168E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3439"/>
    <xdr:sp macro="" textlink="">
      <xdr:nvSpPr>
        <xdr:cNvPr id="8257" name="AutoShape 375">
          <a:extLst>
            <a:ext uri="{FF2B5EF4-FFF2-40B4-BE49-F238E27FC236}">
              <a16:creationId xmlns:a16="http://schemas.microsoft.com/office/drawing/2014/main" id="{0C5D058B-A1AF-49AF-9C7E-7806A0C5B04E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9525" cy="9525"/>
    <xdr:pic>
      <xdr:nvPicPr>
        <xdr:cNvPr id="8258" name="Picture 8257">
          <a:extLst>
            <a:ext uri="{FF2B5EF4-FFF2-40B4-BE49-F238E27FC236}">
              <a16:creationId xmlns:a16="http://schemas.microsoft.com/office/drawing/2014/main" id="{FA4B6A73-5454-46D4-B3E1-4C2BC9F6E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304800" cy="304800"/>
    <xdr:sp macro="" textlink="">
      <xdr:nvSpPr>
        <xdr:cNvPr id="8259" name="AutoShape 429">
          <a:extLst>
            <a:ext uri="{FF2B5EF4-FFF2-40B4-BE49-F238E27FC236}">
              <a16:creationId xmlns:a16="http://schemas.microsoft.com/office/drawing/2014/main" id="{4F260595-A1B1-45CB-AC44-D62A7CD75C07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3439"/>
    <xdr:sp macro="" textlink="">
      <xdr:nvSpPr>
        <xdr:cNvPr id="8260" name="AutoShape 431">
          <a:extLst>
            <a:ext uri="{FF2B5EF4-FFF2-40B4-BE49-F238E27FC236}">
              <a16:creationId xmlns:a16="http://schemas.microsoft.com/office/drawing/2014/main" id="{59869233-8B6D-4FC9-8CD7-852B1807ABD9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9525" cy="9525"/>
    <xdr:pic>
      <xdr:nvPicPr>
        <xdr:cNvPr id="8261" name="Picture 8260">
          <a:extLst>
            <a:ext uri="{FF2B5EF4-FFF2-40B4-BE49-F238E27FC236}">
              <a16:creationId xmlns:a16="http://schemas.microsoft.com/office/drawing/2014/main" id="{8ECD1C71-8781-4680-918B-03065944B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304800" cy="304800"/>
    <xdr:sp macro="" textlink="">
      <xdr:nvSpPr>
        <xdr:cNvPr id="8262" name="AutoShape 485">
          <a:extLst>
            <a:ext uri="{FF2B5EF4-FFF2-40B4-BE49-F238E27FC236}">
              <a16:creationId xmlns:a16="http://schemas.microsoft.com/office/drawing/2014/main" id="{5A1F2C3D-2B7F-486F-8BF0-DFB4D56457C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3439"/>
    <xdr:sp macro="" textlink="">
      <xdr:nvSpPr>
        <xdr:cNvPr id="8263" name="AutoShape 487">
          <a:extLst>
            <a:ext uri="{FF2B5EF4-FFF2-40B4-BE49-F238E27FC236}">
              <a16:creationId xmlns:a16="http://schemas.microsoft.com/office/drawing/2014/main" id="{E3B69EE6-0F23-485D-8BB6-1BF9F9C6C4C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9525" cy="9525"/>
    <xdr:pic>
      <xdr:nvPicPr>
        <xdr:cNvPr id="8264" name="Picture 8263">
          <a:extLst>
            <a:ext uri="{FF2B5EF4-FFF2-40B4-BE49-F238E27FC236}">
              <a16:creationId xmlns:a16="http://schemas.microsoft.com/office/drawing/2014/main" id="{F2D66B84-56D6-47AB-A9AA-CA0F3D92B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304800" cy="304800"/>
    <xdr:sp macro="" textlink="">
      <xdr:nvSpPr>
        <xdr:cNvPr id="8265" name="AutoShape 519">
          <a:extLst>
            <a:ext uri="{FF2B5EF4-FFF2-40B4-BE49-F238E27FC236}">
              <a16:creationId xmlns:a16="http://schemas.microsoft.com/office/drawing/2014/main" id="{8CD56147-8445-4DF9-AFA0-F90CE1F4115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3439"/>
    <xdr:sp macro="" textlink="">
      <xdr:nvSpPr>
        <xdr:cNvPr id="8266" name="AutoShape 521">
          <a:extLst>
            <a:ext uri="{FF2B5EF4-FFF2-40B4-BE49-F238E27FC236}">
              <a16:creationId xmlns:a16="http://schemas.microsoft.com/office/drawing/2014/main" id="{329B4453-5BC3-4684-A1FD-95E7BFB65FC9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18</xdr:row>
      <xdr:rowOff>0</xdr:rowOff>
    </xdr:from>
    <xdr:ext cx="9525" cy="9525"/>
    <xdr:pic>
      <xdr:nvPicPr>
        <xdr:cNvPr id="8267" name="Picture 8266">
          <a:extLst>
            <a:ext uri="{FF2B5EF4-FFF2-40B4-BE49-F238E27FC236}">
              <a16:creationId xmlns:a16="http://schemas.microsoft.com/office/drawing/2014/main" id="{0CE8B20D-2C39-4365-B385-F5D313E61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18</xdr:row>
      <xdr:rowOff>0</xdr:rowOff>
    </xdr:from>
    <xdr:ext cx="304800" cy="304800"/>
    <xdr:sp macro="" textlink="">
      <xdr:nvSpPr>
        <xdr:cNvPr id="8268" name="AutoShape 159">
          <a:extLst>
            <a:ext uri="{FF2B5EF4-FFF2-40B4-BE49-F238E27FC236}">
              <a16:creationId xmlns:a16="http://schemas.microsoft.com/office/drawing/2014/main" id="{FA847D2F-8A23-4E63-A219-3477B956F02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18</xdr:row>
      <xdr:rowOff>0</xdr:rowOff>
    </xdr:from>
    <xdr:ext cx="9525" cy="9525"/>
    <xdr:pic>
      <xdr:nvPicPr>
        <xdr:cNvPr id="8269" name="Picture 8268">
          <a:extLst>
            <a:ext uri="{FF2B5EF4-FFF2-40B4-BE49-F238E27FC236}">
              <a16:creationId xmlns:a16="http://schemas.microsoft.com/office/drawing/2014/main" id="{2F2E8358-6352-4BB3-8E94-168B5990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18</xdr:row>
      <xdr:rowOff>0</xdr:rowOff>
    </xdr:from>
    <xdr:ext cx="9525" cy="9525"/>
    <xdr:pic>
      <xdr:nvPicPr>
        <xdr:cNvPr id="8270" name="Picture 8269">
          <a:extLst>
            <a:ext uri="{FF2B5EF4-FFF2-40B4-BE49-F238E27FC236}">
              <a16:creationId xmlns:a16="http://schemas.microsoft.com/office/drawing/2014/main" id="{0143EC9F-2677-412F-8D67-657AACE3E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18</xdr:row>
      <xdr:rowOff>0</xdr:rowOff>
    </xdr:from>
    <xdr:ext cx="9525" cy="9525"/>
    <xdr:pic>
      <xdr:nvPicPr>
        <xdr:cNvPr id="8271" name="Picture 8270">
          <a:extLst>
            <a:ext uri="{FF2B5EF4-FFF2-40B4-BE49-F238E27FC236}">
              <a16:creationId xmlns:a16="http://schemas.microsoft.com/office/drawing/2014/main" id="{EF10354B-6492-4F50-ABE7-4D034D39E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18</xdr:row>
      <xdr:rowOff>0</xdr:rowOff>
    </xdr:from>
    <xdr:ext cx="9525" cy="9525"/>
    <xdr:pic>
      <xdr:nvPicPr>
        <xdr:cNvPr id="8272" name="Picture 8271">
          <a:extLst>
            <a:ext uri="{FF2B5EF4-FFF2-40B4-BE49-F238E27FC236}">
              <a16:creationId xmlns:a16="http://schemas.microsoft.com/office/drawing/2014/main" id="{B831C67C-71FE-4738-BFEB-B45B60A6B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18</xdr:row>
      <xdr:rowOff>0</xdr:rowOff>
    </xdr:from>
    <xdr:ext cx="9525" cy="9525"/>
    <xdr:pic>
      <xdr:nvPicPr>
        <xdr:cNvPr id="8273" name="Picture 8272">
          <a:extLst>
            <a:ext uri="{FF2B5EF4-FFF2-40B4-BE49-F238E27FC236}">
              <a16:creationId xmlns:a16="http://schemas.microsoft.com/office/drawing/2014/main" id="{3091CFE5-77D3-41FE-81B6-A401B0D9C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18</xdr:row>
      <xdr:rowOff>0</xdr:rowOff>
    </xdr:from>
    <xdr:ext cx="9525" cy="9525"/>
    <xdr:pic>
      <xdr:nvPicPr>
        <xdr:cNvPr id="8274" name="Picture 8273">
          <a:extLst>
            <a:ext uri="{FF2B5EF4-FFF2-40B4-BE49-F238E27FC236}">
              <a16:creationId xmlns:a16="http://schemas.microsoft.com/office/drawing/2014/main" id="{E4D97317-5FA1-4E1A-B0CB-E8A0E0369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18</xdr:row>
      <xdr:rowOff>0</xdr:rowOff>
    </xdr:from>
    <xdr:ext cx="9525" cy="9525"/>
    <xdr:pic>
      <xdr:nvPicPr>
        <xdr:cNvPr id="8275" name="Picture 8274">
          <a:extLst>
            <a:ext uri="{FF2B5EF4-FFF2-40B4-BE49-F238E27FC236}">
              <a16:creationId xmlns:a16="http://schemas.microsoft.com/office/drawing/2014/main" id="{CB1EEF94-4991-4F2A-976D-9280A4B09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18</xdr:row>
      <xdr:rowOff>0</xdr:rowOff>
    </xdr:from>
    <xdr:ext cx="9525" cy="9525"/>
    <xdr:pic>
      <xdr:nvPicPr>
        <xdr:cNvPr id="8276" name="Picture 8275">
          <a:extLst>
            <a:ext uri="{FF2B5EF4-FFF2-40B4-BE49-F238E27FC236}">
              <a16:creationId xmlns:a16="http://schemas.microsoft.com/office/drawing/2014/main" id="{CD2E9F71-56AD-400A-A358-3D71DEE10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18</xdr:row>
      <xdr:rowOff>0</xdr:rowOff>
    </xdr:from>
    <xdr:ext cx="9525" cy="9525"/>
    <xdr:pic>
      <xdr:nvPicPr>
        <xdr:cNvPr id="8277" name="Picture 8276">
          <a:extLst>
            <a:ext uri="{FF2B5EF4-FFF2-40B4-BE49-F238E27FC236}">
              <a16:creationId xmlns:a16="http://schemas.microsoft.com/office/drawing/2014/main" id="{F752B259-2B9E-4B90-95E6-40D9855EC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</xdr:row>
      <xdr:rowOff>0</xdr:rowOff>
    </xdr:from>
    <xdr:ext cx="304800" cy="304800"/>
    <xdr:sp macro="" textlink="">
      <xdr:nvSpPr>
        <xdr:cNvPr id="8278" name="AutoShape 509">
          <a:extLst>
            <a:ext uri="{FF2B5EF4-FFF2-40B4-BE49-F238E27FC236}">
              <a16:creationId xmlns:a16="http://schemas.microsoft.com/office/drawing/2014/main" id="{0CB08ED7-2772-4718-B6BE-2677C374EA0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4359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18</xdr:row>
      <xdr:rowOff>0</xdr:rowOff>
    </xdr:from>
    <xdr:ext cx="304800" cy="304800"/>
    <xdr:sp macro="" textlink="">
      <xdr:nvSpPr>
        <xdr:cNvPr id="8279" name="AutoShape 511">
          <a:extLst>
            <a:ext uri="{FF2B5EF4-FFF2-40B4-BE49-F238E27FC236}">
              <a16:creationId xmlns:a16="http://schemas.microsoft.com/office/drawing/2014/main" id="{7C35F987-D8F7-4D58-A79F-511DE4EC631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6536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9</xdr:row>
      <xdr:rowOff>0</xdr:rowOff>
    </xdr:from>
    <xdr:ext cx="9525" cy="9525"/>
    <xdr:pic>
      <xdr:nvPicPr>
        <xdr:cNvPr id="8280" name="Picture 8279">
          <a:extLst>
            <a:ext uri="{FF2B5EF4-FFF2-40B4-BE49-F238E27FC236}">
              <a16:creationId xmlns:a16="http://schemas.microsoft.com/office/drawing/2014/main" id="{F89D2ECE-A95F-4F78-97F4-3624CBFD6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</xdr:row>
      <xdr:rowOff>0</xdr:rowOff>
    </xdr:from>
    <xdr:ext cx="304800" cy="304800"/>
    <xdr:sp macro="" textlink="">
      <xdr:nvSpPr>
        <xdr:cNvPr id="8281" name="AutoShape 159">
          <a:extLst>
            <a:ext uri="{FF2B5EF4-FFF2-40B4-BE49-F238E27FC236}">
              <a16:creationId xmlns:a16="http://schemas.microsoft.com/office/drawing/2014/main" id="{93501239-4448-41F8-95B5-4D2B42D8693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9</xdr:row>
      <xdr:rowOff>0</xdr:rowOff>
    </xdr:from>
    <xdr:ext cx="9525" cy="9525"/>
    <xdr:pic>
      <xdr:nvPicPr>
        <xdr:cNvPr id="8282" name="Picture 8281">
          <a:extLst>
            <a:ext uri="{FF2B5EF4-FFF2-40B4-BE49-F238E27FC236}">
              <a16:creationId xmlns:a16="http://schemas.microsoft.com/office/drawing/2014/main" id="{684EEB16-791A-47F7-9556-10314602A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9525" cy="9525"/>
    <xdr:pic>
      <xdr:nvPicPr>
        <xdr:cNvPr id="8283" name="Picture 8282">
          <a:extLst>
            <a:ext uri="{FF2B5EF4-FFF2-40B4-BE49-F238E27FC236}">
              <a16:creationId xmlns:a16="http://schemas.microsoft.com/office/drawing/2014/main" id="{857959D5-ACFC-4287-9BCE-BE6912D0D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9525" cy="9525"/>
    <xdr:pic>
      <xdr:nvPicPr>
        <xdr:cNvPr id="8284" name="Picture 8283">
          <a:extLst>
            <a:ext uri="{FF2B5EF4-FFF2-40B4-BE49-F238E27FC236}">
              <a16:creationId xmlns:a16="http://schemas.microsoft.com/office/drawing/2014/main" id="{261CB542-0E38-46ED-AB16-8706BCE26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9525" cy="9525"/>
    <xdr:pic>
      <xdr:nvPicPr>
        <xdr:cNvPr id="8285" name="Picture 8284">
          <a:extLst>
            <a:ext uri="{FF2B5EF4-FFF2-40B4-BE49-F238E27FC236}">
              <a16:creationId xmlns:a16="http://schemas.microsoft.com/office/drawing/2014/main" id="{CF67E817-1E0E-4DB9-9DBD-03D54EBFD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9525" cy="9525"/>
    <xdr:pic>
      <xdr:nvPicPr>
        <xdr:cNvPr id="8286" name="Picture 8285">
          <a:extLst>
            <a:ext uri="{FF2B5EF4-FFF2-40B4-BE49-F238E27FC236}">
              <a16:creationId xmlns:a16="http://schemas.microsoft.com/office/drawing/2014/main" id="{A03C19BE-C31B-4C11-9A58-D57930958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9525" cy="9525"/>
    <xdr:pic>
      <xdr:nvPicPr>
        <xdr:cNvPr id="8287" name="Picture 8286">
          <a:extLst>
            <a:ext uri="{FF2B5EF4-FFF2-40B4-BE49-F238E27FC236}">
              <a16:creationId xmlns:a16="http://schemas.microsoft.com/office/drawing/2014/main" id="{D42EE20B-F8C6-4085-8252-48DE326DA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9525" cy="9525"/>
    <xdr:pic>
      <xdr:nvPicPr>
        <xdr:cNvPr id="8288" name="Picture 8287">
          <a:extLst>
            <a:ext uri="{FF2B5EF4-FFF2-40B4-BE49-F238E27FC236}">
              <a16:creationId xmlns:a16="http://schemas.microsoft.com/office/drawing/2014/main" id="{F3F6A411-ABF5-470D-8904-30419192E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9525" cy="9525"/>
    <xdr:pic>
      <xdr:nvPicPr>
        <xdr:cNvPr id="8289" name="Picture 8288">
          <a:extLst>
            <a:ext uri="{FF2B5EF4-FFF2-40B4-BE49-F238E27FC236}">
              <a16:creationId xmlns:a16="http://schemas.microsoft.com/office/drawing/2014/main" id="{FE233978-2745-4C7E-89D6-5D26A078A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9525" cy="9525"/>
    <xdr:pic>
      <xdr:nvPicPr>
        <xdr:cNvPr id="8290" name="Picture 8289">
          <a:extLst>
            <a:ext uri="{FF2B5EF4-FFF2-40B4-BE49-F238E27FC236}">
              <a16:creationId xmlns:a16="http://schemas.microsoft.com/office/drawing/2014/main" id="{0A0E1885-0028-49A5-BA19-19E3E9B92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304800" cy="303439"/>
    <xdr:sp macro="" textlink="">
      <xdr:nvSpPr>
        <xdr:cNvPr id="8291" name="AutoShape 513">
          <a:extLst>
            <a:ext uri="{FF2B5EF4-FFF2-40B4-BE49-F238E27FC236}">
              <a16:creationId xmlns:a16="http://schemas.microsoft.com/office/drawing/2014/main" id="{428C71F8-E086-4094-801D-3C4DC0DB28F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54453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9525"/>
    <xdr:pic>
      <xdr:nvPicPr>
        <xdr:cNvPr id="8292" name="Picture 8291">
          <a:extLst>
            <a:ext uri="{FF2B5EF4-FFF2-40B4-BE49-F238E27FC236}">
              <a16:creationId xmlns:a16="http://schemas.microsoft.com/office/drawing/2014/main" id="{80BCC8FA-10EB-45B6-97E0-8ED9DAECB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</xdr:row>
      <xdr:rowOff>0</xdr:rowOff>
    </xdr:from>
    <xdr:ext cx="9525" cy="9525"/>
    <xdr:pic>
      <xdr:nvPicPr>
        <xdr:cNvPr id="8293" name="Picture 8292">
          <a:extLst>
            <a:ext uri="{FF2B5EF4-FFF2-40B4-BE49-F238E27FC236}">
              <a16:creationId xmlns:a16="http://schemas.microsoft.com/office/drawing/2014/main" id="{D76A89E5-E940-44CC-A985-D30891316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304800" cy="304800"/>
    <xdr:sp macro="" textlink="">
      <xdr:nvSpPr>
        <xdr:cNvPr id="8294" name="AutoShape 191">
          <a:extLst>
            <a:ext uri="{FF2B5EF4-FFF2-40B4-BE49-F238E27FC236}">
              <a16:creationId xmlns:a16="http://schemas.microsoft.com/office/drawing/2014/main" id="{3DA6B0A0-85B9-4258-9D18-C8ABCE72BCE6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304800" cy="304800"/>
    <xdr:sp macro="" textlink="">
      <xdr:nvSpPr>
        <xdr:cNvPr id="8295" name="AutoShape 193">
          <a:extLst>
            <a:ext uri="{FF2B5EF4-FFF2-40B4-BE49-F238E27FC236}">
              <a16:creationId xmlns:a16="http://schemas.microsoft.com/office/drawing/2014/main" id="{33454AD7-37D0-4A14-8D9F-E684AC8FAED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9525"/>
    <xdr:pic>
      <xdr:nvPicPr>
        <xdr:cNvPr id="8296" name="Picture 8295">
          <a:extLst>
            <a:ext uri="{FF2B5EF4-FFF2-40B4-BE49-F238E27FC236}">
              <a16:creationId xmlns:a16="http://schemas.microsoft.com/office/drawing/2014/main" id="{7093D26B-7064-42D7-A6A2-748B25AB0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304800" cy="304800"/>
    <xdr:sp macro="" textlink="">
      <xdr:nvSpPr>
        <xdr:cNvPr id="8297" name="AutoShape 217">
          <a:extLst>
            <a:ext uri="{FF2B5EF4-FFF2-40B4-BE49-F238E27FC236}">
              <a16:creationId xmlns:a16="http://schemas.microsoft.com/office/drawing/2014/main" id="{EF1C5F5E-450A-418A-B0EF-B8A6BF8EBC8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304800" cy="304800"/>
    <xdr:sp macro="" textlink="">
      <xdr:nvSpPr>
        <xdr:cNvPr id="8298" name="AutoShape 219">
          <a:extLst>
            <a:ext uri="{FF2B5EF4-FFF2-40B4-BE49-F238E27FC236}">
              <a16:creationId xmlns:a16="http://schemas.microsoft.com/office/drawing/2014/main" id="{B22DF1A7-3616-49B5-A4A9-2129D8BBD2EE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9525"/>
    <xdr:pic>
      <xdr:nvPicPr>
        <xdr:cNvPr id="8299" name="Picture 8298">
          <a:extLst>
            <a:ext uri="{FF2B5EF4-FFF2-40B4-BE49-F238E27FC236}">
              <a16:creationId xmlns:a16="http://schemas.microsoft.com/office/drawing/2014/main" id="{927937E0-FACE-4E9D-A7BF-DB69A5D3F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304800" cy="304800"/>
    <xdr:sp macro="" textlink="">
      <xdr:nvSpPr>
        <xdr:cNvPr id="8300" name="AutoShape 241">
          <a:extLst>
            <a:ext uri="{FF2B5EF4-FFF2-40B4-BE49-F238E27FC236}">
              <a16:creationId xmlns:a16="http://schemas.microsoft.com/office/drawing/2014/main" id="{1367A16A-B027-4114-A53D-BE5E13B781AB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304800" cy="304800"/>
    <xdr:sp macro="" textlink="">
      <xdr:nvSpPr>
        <xdr:cNvPr id="8301" name="AutoShape 243">
          <a:extLst>
            <a:ext uri="{FF2B5EF4-FFF2-40B4-BE49-F238E27FC236}">
              <a16:creationId xmlns:a16="http://schemas.microsoft.com/office/drawing/2014/main" id="{DCEF15A3-8523-407E-9937-AF8536EC9F9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9525"/>
    <xdr:pic>
      <xdr:nvPicPr>
        <xdr:cNvPr id="8302" name="Picture 8301">
          <a:extLst>
            <a:ext uri="{FF2B5EF4-FFF2-40B4-BE49-F238E27FC236}">
              <a16:creationId xmlns:a16="http://schemas.microsoft.com/office/drawing/2014/main" id="{C5A54A60-84B9-4A73-A796-CEAC3FEBF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304800" cy="304800"/>
    <xdr:sp macro="" textlink="">
      <xdr:nvSpPr>
        <xdr:cNvPr id="8303" name="AutoShape 267">
          <a:extLst>
            <a:ext uri="{FF2B5EF4-FFF2-40B4-BE49-F238E27FC236}">
              <a16:creationId xmlns:a16="http://schemas.microsoft.com/office/drawing/2014/main" id="{D47F43EC-3393-4C24-9D65-C3DF01CB67D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304800" cy="304800"/>
    <xdr:sp macro="" textlink="">
      <xdr:nvSpPr>
        <xdr:cNvPr id="8304" name="AutoShape 269">
          <a:extLst>
            <a:ext uri="{FF2B5EF4-FFF2-40B4-BE49-F238E27FC236}">
              <a16:creationId xmlns:a16="http://schemas.microsoft.com/office/drawing/2014/main" id="{A142E620-C622-492D-803B-497672D48251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9525"/>
    <xdr:pic>
      <xdr:nvPicPr>
        <xdr:cNvPr id="8305" name="Picture 8304">
          <a:extLst>
            <a:ext uri="{FF2B5EF4-FFF2-40B4-BE49-F238E27FC236}">
              <a16:creationId xmlns:a16="http://schemas.microsoft.com/office/drawing/2014/main" id="{F66A92DD-AA56-4AB7-8D5E-E2A1D2A0B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304800" cy="304800"/>
    <xdr:sp macro="" textlink="">
      <xdr:nvSpPr>
        <xdr:cNvPr id="8306" name="AutoShape 319">
          <a:extLst>
            <a:ext uri="{FF2B5EF4-FFF2-40B4-BE49-F238E27FC236}">
              <a16:creationId xmlns:a16="http://schemas.microsoft.com/office/drawing/2014/main" id="{7D92E6EE-E3D1-498B-9FBE-6E3B262456B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9525"/>
    <xdr:pic>
      <xdr:nvPicPr>
        <xdr:cNvPr id="8307" name="Picture 8306">
          <a:extLst>
            <a:ext uri="{FF2B5EF4-FFF2-40B4-BE49-F238E27FC236}">
              <a16:creationId xmlns:a16="http://schemas.microsoft.com/office/drawing/2014/main" id="{63E4E1D3-864D-4180-AA47-1AC1D8A7D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</xdr:row>
      <xdr:rowOff>0</xdr:rowOff>
    </xdr:from>
    <xdr:ext cx="9525" cy="9525"/>
    <xdr:pic>
      <xdr:nvPicPr>
        <xdr:cNvPr id="8308" name="Picture 8307">
          <a:extLst>
            <a:ext uri="{FF2B5EF4-FFF2-40B4-BE49-F238E27FC236}">
              <a16:creationId xmlns:a16="http://schemas.microsoft.com/office/drawing/2014/main" id="{F699AA48-02AC-4328-9909-1CD9B8CB7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</xdr:row>
      <xdr:rowOff>0</xdr:rowOff>
    </xdr:from>
    <xdr:ext cx="9525" cy="9525"/>
    <xdr:pic>
      <xdr:nvPicPr>
        <xdr:cNvPr id="8309" name="Picture 8308">
          <a:extLst>
            <a:ext uri="{FF2B5EF4-FFF2-40B4-BE49-F238E27FC236}">
              <a16:creationId xmlns:a16="http://schemas.microsoft.com/office/drawing/2014/main" id="{48D5376C-609F-46F3-BE8D-4BB1F0DC2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</xdr:row>
      <xdr:rowOff>0</xdr:rowOff>
    </xdr:from>
    <xdr:ext cx="9525" cy="9525"/>
    <xdr:pic>
      <xdr:nvPicPr>
        <xdr:cNvPr id="8310" name="Picture 8309">
          <a:extLst>
            <a:ext uri="{FF2B5EF4-FFF2-40B4-BE49-F238E27FC236}">
              <a16:creationId xmlns:a16="http://schemas.microsoft.com/office/drawing/2014/main" id="{C7F22EF1-FE77-451F-AC4D-3C8D997F5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</xdr:row>
      <xdr:rowOff>0</xdr:rowOff>
    </xdr:from>
    <xdr:ext cx="9525" cy="9525"/>
    <xdr:pic>
      <xdr:nvPicPr>
        <xdr:cNvPr id="8311" name="Picture 8310">
          <a:extLst>
            <a:ext uri="{FF2B5EF4-FFF2-40B4-BE49-F238E27FC236}">
              <a16:creationId xmlns:a16="http://schemas.microsoft.com/office/drawing/2014/main" id="{47A1ADC3-D752-4BAE-9E17-C0E5D02DE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979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22</xdr:row>
      <xdr:rowOff>0</xdr:rowOff>
    </xdr:from>
    <xdr:ext cx="9525" cy="9525"/>
    <xdr:pic>
      <xdr:nvPicPr>
        <xdr:cNvPr id="8312" name="Picture 8311">
          <a:extLst>
            <a:ext uri="{FF2B5EF4-FFF2-40B4-BE49-F238E27FC236}">
              <a16:creationId xmlns:a16="http://schemas.microsoft.com/office/drawing/2014/main" id="{82177CEB-41DA-4A51-A948-EE73EF6D4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22</xdr:row>
      <xdr:rowOff>0</xdr:rowOff>
    </xdr:from>
    <xdr:ext cx="9525" cy="9525"/>
    <xdr:pic>
      <xdr:nvPicPr>
        <xdr:cNvPr id="8313" name="Picture 8312">
          <a:extLst>
            <a:ext uri="{FF2B5EF4-FFF2-40B4-BE49-F238E27FC236}">
              <a16:creationId xmlns:a16="http://schemas.microsoft.com/office/drawing/2014/main" id="{E42BBAD6-70CC-413D-A3EA-24C6ED735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22</xdr:row>
      <xdr:rowOff>0</xdr:rowOff>
    </xdr:from>
    <xdr:ext cx="9525" cy="9525"/>
    <xdr:pic>
      <xdr:nvPicPr>
        <xdr:cNvPr id="8314" name="Picture 8313">
          <a:extLst>
            <a:ext uri="{FF2B5EF4-FFF2-40B4-BE49-F238E27FC236}">
              <a16:creationId xmlns:a16="http://schemas.microsoft.com/office/drawing/2014/main" id="{791BB63E-B07E-4953-908E-370A09DB0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22</xdr:row>
      <xdr:rowOff>0</xdr:rowOff>
    </xdr:from>
    <xdr:ext cx="9525" cy="9525"/>
    <xdr:pic>
      <xdr:nvPicPr>
        <xdr:cNvPr id="8315" name="Picture 8314">
          <a:extLst>
            <a:ext uri="{FF2B5EF4-FFF2-40B4-BE49-F238E27FC236}">
              <a16:creationId xmlns:a16="http://schemas.microsoft.com/office/drawing/2014/main" id="{39C62AD5-59CB-42A6-A092-975CF0374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22</xdr:row>
      <xdr:rowOff>0</xdr:rowOff>
    </xdr:from>
    <xdr:ext cx="9525" cy="9525"/>
    <xdr:pic>
      <xdr:nvPicPr>
        <xdr:cNvPr id="8316" name="Picture 8315">
          <a:extLst>
            <a:ext uri="{FF2B5EF4-FFF2-40B4-BE49-F238E27FC236}">
              <a16:creationId xmlns:a16="http://schemas.microsoft.com/office/drawing/2014/main" id="{6E55211D-3DD3-469F-82F6-03E966F3E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22</xdr:row>
      <xdr:rowOff>0</xdr:rowOff>
    </xdr:from>
    <xdr:ext cx="9525" cy="9525"/>
    <xdr:pic>
      <xdr:nvPicPr>
        <xdr:cNvPr id="8317" name="Picture 8316">
          <a:extLst>
            <a:ext uri="{FF2B5EF4-FFF2-40B4-BE49-F238E27FC236}">
              <a16:creationId xmlns:a16="http://schemas.microsoft.com/office/drawing/2014/main" id="{D0920E0B-34AB-4839-9E8A-5F7966DC3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22</xdr:row>
      <xdr:rowOff>0</xdr:rowOff>
    </xdr:from>
    <xdr:ext cx="9525" cy="9525"/>
    <xdr:pic>
      <xdr:nvPicPr>
        <xdr:cNvPr id="8318" name="Picture 8317">
          <a:extLst>
            <a:ext uri="{FF2B5EF4-FFF2-40B4-BE49-F238E27FC236}">
              <a16:creationId xmlns:a16="http://schemas.microsoft.com/office/drawing/2014/main" id="{D1FEED62-E4EA-46C1-80EB-9742A5A05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22</xdr:row>
      <xdr:rowOff>0</xdr:rowOff>
    </xdr:from>
    <xdr:ext cx="9525" cy="9525"/>
    <xdr:pic>
      <xdr:nvPicPr>
        <xdr:cNvPr id="8319" name="Picture 8318">
          <a:extLst>
            <a:ext uri="{FF2B5EF4-FFF2-40B4-BE49-F238E27FC236}">
              <a16:creationId xmlns:a16="http://schemas.microsoft.com/office/drawing/2014/main" id="{D63D61F4-1471-4BD4-AB28-3E85757CB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22</xdr:row>
      <xdr:rowOff>0</xdr:rowOff>
    </xdr:from>
    <xdr:ext cx="9525" cy="9525"/>
    <xdr:pic>
      <xdr:nvPicPr>
        <xdr:cNvPr id="8320" name="Picture 8319">
          <a:extLst>
            <a:ext uri="{FF2B5EF4-FFF2-40B4-BE49-F238E27FC236}">
              <a16:creationId xmlns:a16="http://schemas.microsoft.com/office/drawing/2014/main" id="{36A0B02C-6D67-4873-B8ED-9D3C4CCE6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22</xdr:row>
      <xdr:rowOff>0</xdr:rowOff>
    </xdr:from>
    <xdr:ext cx="9525" cy="9525"/>
    <xdr:pic>
      <xdr:nvPicPr>
        <xdr:cNvPr id="8321" name="Picture 8320">
          <a:extLst>
            <a:ext uri="{FF2B5EF4-FFF2-40B4-BE49-F238E27FC236}">
              <a16:creationId xmlns:a16="http://schemas.microsoft.com/office/drawing/2014/main" id="{4133EA2A-F173-46EF-B26C-20BCA100A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0</xdr:rowOff>
    </xdr:from>
    <xdr:ext cx="304800" cy="303439"/>
    <xdr:sp macro="" textlink="">
      <xdr:nvSpPr>
        <xdr:cNvPr id="8322" name="AutoShape 513">
          <a:extLst>
            <a:ext uri="{FF2B5EF4-FFF2-40B4-BE49-F238E27FC236}">
              <a16:creationId xmlns:a16="http://schemas.microsoft.com/office/drawing/2014/main" id="{852353F0-EF9F-4ED4-AE0B-C6C947E9ECA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26596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22</xdr:row>
      <xdr:rowOff>0</xdr:rowOff>
    </xdr:from>
    <xdr:ext cx="304800" cy="304800"/>
    <xdr:sp macro="" textlink="">
      <xdr:nvSpPr>
        <xdr:cNvPr id="8323" name="AutoShape 515">
          <a:extLst>
            <a:ext uri="{FF2B5EF4-FFF2-40B4-BE49-F238E27FC236}">
              <a16:creationId xmlns:a16="http://schemas.microsoft.com/office/drawing/2014/main" id="{28BFF0F2-5FF2-4131-9DE7-64DF8010B44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23</xdr:row>
      <xdr:rowOff>0</xdr:rowOff>
    </xdr:from>
    <xdr:ext cx="9525" cy="9525"/>
    <xdr:pic>
      <xdr:nvPicPr>
        <xdr:cNvPr id="8324" name="Picture 8323">
          <a:extLst>
            <a:ext uri="{FF2B5EF4-FFF2-40B4-BE49-F238E27FC236}">
              <a16:creationId xmlns:a16="http://schemas.microsoft.com/office/drawing/2014/main" id="{8F35EC6C-E194-4755-8AA1-A4ABA30F6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9525" cy="9525"/>
    <xdr:pic>
      <xdr:nvPicPr>
        <xdr:cNvPr id="8325" name="Picture 8324">
          <a:extLst>
            <a:ext uri="{FF2B5EF4-FFF2-40B4-BE49-F238E27FC236}">
              <a16:creationId xmlns:a16="http://schemas.microsoft.com/office/drawing/2014/main" id="{0D44EA28-7887-4F8A-97AD-91657E1A3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326" name="AutoShape 191">
          <a:extLst>
            <a:ext uri="{FF2B5EF4-FFF2-40B4-BE49-F238E27FC236}">
              <a16:creationId xmlns:a16="http://schemas.microsoft.com/office/drawing/2014/main" id="{C7E57044-0CC6-4ECC-B6FD-6C7082F17D0E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23</xdr:row>
      <xdr:rowOff>0</xdr:rowOff>
    </xdr:from>
    <xdr:ext cx="9525" cy="9525"/>
    <xdr:pic>
      <xdr:nvPicPr>
        <xdr:cNvPr id="8327" name="Picture 8326">
          <a:extLst>
            <a:ext uri="{FF2B5EF4-FFF2-40B4-BE49-F238E27FC236}">
              <a16:creationId xmlns:a16="http://schemas.microsoft.com/office/drawing/2014/main" id="{64C6FDB7-C662-4493-8DA6-D65AC8E96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328" name="AutoShape 217">
          <a:extLst>
            <a:ext uri="{FF2B5EF4-FFF2-40B4-BE49-F238E27FC236}">
              <a16:creationId xmlns:a16="http://schemas.microsoft.com/office/drawing/2014/main" id="{69A77060-0F7A-46C8-9BFA-5C6C7D61308B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23</xdr:row>
      <xdr:rowOff>0</xdr:rowOff>
    </xdr:from>
    <xdr:ext cx="9525" cy="9525"/>
    <xdr:pic>
      <xdr:nvPicPr>
        <xdr:cNvPr id="8329" name="Picture 8328">
          <a:extLst>
            <a:ext uri="{FF2B5EF4-FFF2-40B4-BE49-F238E27FC236}">
              <a16:creationId xmlns:a16="http://schemas.microsoft.com/office/drawing/2014/main" id="{BEF5367C-47DF-4B4E-A8A3-FFBEC2A6B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330" name="AutoShape 241">
          <a:extLst>
            <a:ext uri="{FF2B5EF4-FFF2-40B4-BE49-F238E27FC236}">
              <a16:creationId xmlns:a16="http://schemas.microsoft.com/office/drawing/2014/main" id="{9DF34DEE-6ADA-4BC3-BF77-90869D86C987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23</xdr:row>
      <xdr:rowOff>0</xdr:rowOff>
    </xdr:from>
    <xdr:ext cx="9525" cy="9525"/>
    <xdr:pic>
      <xdr:nvPicPr>
        <xdr:cNvPr id="8331" name="Picture 8330">
          <a:extLst>
            <a:ext uri="{FF2B5EF4-FFF2-40B4-BE49-F238E27FC236}">
              <a16:creationId xmlns:a16="http://schemas.microsoft.com/office/drawing/2014/main" id="{78044551-8AE4-422F-833B-0F99587BF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332" name="AutoShape 267">
          <a:extLst>
            <a:ext uri="{FF2B5EF4-FFF2-40B4-BE49-F238E27FC236}">
              <a16:creationId xmlns:a16="http://schemas.microsoft.com/office/drawing/2014/main" id="{7A567388-7E0F-4B3D-9A12-199CC4DCA2E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23</xdr:row>
      <xdr:rowOff>0</xdr:rowOff>
    </xdr:from>
    <xdr:ext cx="9525" cy="9525"/>
    <xdr:pic>
      <xdr:nvPicPr>
        <xdr:cNvPr id="8333" name="Picture 8332">
          <a:extLst>
            <a:ext uri="{FF2B5EF4-FFF2-40B4-BE49-F238E27FC236}">
              <a16:creationId xmlns:a16="http://schemas.microsoft.com/office/drawing/2014/main" id="{937F6998-9AD5-4E26-9AEE-2F70B8146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334" name="AutoShape 319">
          <a:extLst>
            <a:ext uri="{FF2B5EF4-FFF2-40B4-BE49-F238E27FC236}">
              <a16:creationId xmlns:a16="http://schemas.microsoft.com/office/drawing/2014/main" id="{8E45EE99-A0F8-4382-A5F9-A14E2D8AA02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23</xdr:row>
      <xdr:rowOff>0</xdr:rowOff>
    </xdr:from>
    <xdr:ext cx="9525" cy="9525"/>
    <xdr:pic>
      <xdr:nvPicPr>
        <xdr:cNvPr id="8335" name="Picture 8334">
          <a:extLst>
            <a:ext uri="{FF2B5EF4-FFF2-40B4-BE49-F238E27FC236}">
              <a16:creationId xmlns:a16="http://schemas.microsoft.com/office/drawing/2014/main" id="{FD66B06F-F2B2-439D-9634-FA98195CB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336" name="AutoShape 371">
          <a:extLst>
            <a:ext uri="{FF2B5EF4-FFF2-40B4-BE49-F238E27FC236}">
              <a16:creationId xmlns:a16="http://schemas.microsoft.com/office/drawing/2014/main" id="{3A35923F-3587-4449-AF5B-87B93BC2144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23</xdr:row>
      <xdr:rowOff>0</xdr:rowOff>
    </xdr:from>
    <xdr:ext cx="9525" cy="9525"/>
    <xdr:pic>
      <xdr:nvPicPr>
        <xdr:cNvPr id="8337" name="Picture 8336">
          <a:extLst>
            <a:ext uri="{FF2B5EF4-FFF2-40B4-BE49-F238E27FC236}">
              <a16:creationId xmlns:a16="http://schemas.microsoft.com/office/drawing/2014/main" id="{538BAD03-29A2-4C1E-AA77-97116C88E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338" name="AutoShape 427">
          <a:extLst>
            <a:ext uri="{FF2B5EF4-FFF2-40B4-BE49-F238E27FC236}">
              <a16:creationId xmlns:a16="http://schemas.microsoft.com/office/drawing/2014/main" id="{B560F6FA-FBD8-46A6-98BC-B93A2A5E20C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23</xdr:row>
      <xdr:rowOff>0</xdr:rowOff>
    </xdr:from>
    <xdr:ext cx="9525" cy="9525"/>
    <xdr:pic>
      <xdr:nvPicPr>
        <xdr:cNvPr id="8339" name="Picture 8338">
          <a:extLst>
            <a:ext uri="{FF2B5EF4-FFF2-40B4-BE49-F238E27FC236}">
              <a16:creationId xmlns:a16="http://schemas.microsoft.com/office/drawing/2014/main" id="{649E3030-6B30-49AD-BD4D-2DC448461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340" name="AutoShape 483">
          <a:extLst>
            <a:ext uri="{FF2B5EF4-FFF2-40B4-BE49-F238E27FC236}">
              <a16:creationId xmlns:a16="http://schemas.microsoft.com/office/drawing/2014/main" id="{2FE297FF-6AAF-476B-98DE-E4A3D7F795D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23</xdr:row>
      <xdr:rowOff>0</xdr:rowOff>
    </xdr:from>
    <xdr:ext cx="9525" cy="9525"/>
    <xdr:pic>
      <xdr:nvPicPr>
        <xdr:cNvPr id="8341" name="Picture 8340">
          <a:extLst>
            <a:ext uri="{FF2B5EF4-FFF2-40B4-BE49-F238E27FC236}">
              <a16:creationId xmlns:a16="http://schemas.microsoft.com/office/drawing/2014/main" id="{54E04E74-ACD6-4679-AAA5-DE1AEEEB0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22</xdr:row>
      <xdr:rowOff>0</xdr:rowOff>
    </xdr:from>
    <xdr:ext cx="304800" cy="304800"/>
    <xdr:sp macro="" textlink="">
      <xdr:nvSpPr>
        <xdr:cNvPr id="8342" name="AutoShape 515">
          <a:extLst>
            <a:ext uri="{FF2B5EF4-FFF2-40B4-BE49-F238E27FC236}">
              <a16:creationId xmlns:a16="http://schemas.microsoft.com/office/drawing/2014/main" id="{4F1BA624-4E7C-4E81-A808-856FD3DE4E24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343" name="AutoShape 517">
          <a:extLst>
            <a:ext uri="{FF2B5EF4-FFF2-40B4-BE49-F238E27FC236}">
              <a16:creationId xmlns:a16="http://schemas.microsoft.com/office/drawing/2014/main" id="{D9107058-C7F9-4CC6-BB86-7E9DB5FA02A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9525"/>
    <xdr:pic>
      <xdr:nvPicPr>
        <xdr:cNvPr id="8344" name="Picture 8343">
          <a:extLst>
            <a:ext uri="{FF2B5EF4-FFF2-40B4-BE49-F238E27FC236}">
              <a16:creationId xmlns:a16="http://schemas.microsoft.com/office/drawing/2014/main" id="{BA363FEB-3B5A-4995-BC02-3428B121E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304800" cy="303440"/>
    <xdr:sp macro="" textlink="">
      <xdr:nvSpPr>
        <xdr:cNvPr id="8345" name="AutoShape 169">
          <a:extLst>
            <a:ext uri="{FF2B5EF4-FFF2-40B4-BE49-F238E27FC236}">
              <a16:creationId xmlns:a16="http://schemas.microsoft.com/office/drawing/2014/main" id="{6435CF07-D5D2-4850-A2CC-74418DAAA8C7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9525"/>
    <xdr:pic>
      <xdr:nvPicPr>
        <xdr:cNvPr id="8346" name="Picture 8345">
          <a:extLst>
            <a:ext uri="{FF2B5EF4-FFF2-40B4-BE49-F238E27FC236}">
              <a16:creationId xmlns:a16="http://schemas.microsoft.com/office/drawing/2014/main" id="{08CAEBBD-8CBC-4CBA-8437-0473F4298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304800" cy="303440"/>
    <xdr:sp macro="" textlink="">
      <xdr:nvSpPr>
        <xdr:cNvPr id="8347" name="AutoShape 199">
          <a:extLst>
            <a:ext uri="{FF2B5EF4-FFF2-40B4-BE49-F238E27FC236}">
              <a16:creationId xmlns:a16="http://schemas.microsoft.com/office/drawing/2014/main" id="{66CD5E76-D040-4AE0-8D2D-7CD02C05204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9525"/>
    <xdr:pic>
      <xdr:nvPicPr>
        <xdr:cNvPr id="8348" name="Picture 8347">
          <a:extLst>
            <a:ext uri="{FF2B5EF4-FFF2-40B4-BE49-F238E27FC236}">
              <a16:creationId xmlns:a16="http://schemas.microsoft.com/office/drawing/2014/main" id="{DD91BB82-8E3A-4C75-98B8-75DC7D8B2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349" name="AutoShape 223">
          <a:extLst>
            <a:ext uri="{FF2B5EF4-FFF2-40B4-BE49-F238E27FC236}">
              <a16:creationId xmlns:a16="http://schemas.microsoft.com/office/drawing/2014/main" id="{1C3E8847-D4FF-4ADB-8A06-E448CD2B8B9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9525"/>
    <xdr:pic>
      <xdr:nvPicPr>
        <xdr:cNvPr id="8350" name="Picture 8349">
          <a:extLst>
            <a:ext uri="{FF2B5EF4-FFF2-40B4-BE49-F238E27FC236}">
              <a16:creationId xmlns:a16="http://schemas.microsoft.com/office/drawing/2014/main" id="{F77D9037-FBE9-4C32-9D29-6B8EEEC8B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351" name="AutoShape 247">
          <a:extLst>
            <a:ext uri="{FF2B5EF4-FFF2-40B4-BE49-F238E27FC236}">
              <a16:creationId xmlns:a16="http://schemas.microsoft.com/office/drawing/2014/main" id="{DB3DFF79-7212-4FE3-AE55-7B7400A3F47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304800" cy="303440"/>
    <xdr:sp macro="" textlink="">
      <xdr:nvSpPr>
        <xdr:cNvPr id="8352" name="AutoShape 249">
          <a:extLst>
            <a:ext uri="{FF2B5EF4-FFF2-40B4-BE49-F238E27FC236}">
              <a16:creationId xmlns:a16="http://schemas.microsoft.com/office/drawing/2014/main" id="{BFC85DCB-5C4B-443D-823D-997C8D1EDBF9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9525"/>
    <xdr:pic>
      <xdr:nvPicPr>
        <xdr:cNvPr id="8353" name="Picture 8352">
          <a:extLst>
            <a:ext uri="{FF2B5EF4-FFF2-40B4-BE49-F238E27FC236}">
              <a16:creationId xmlns:a16="http://schemas.microsoft.com/office/drawing/2014/main" id="{AFB41995-8107-4739-A646-A283EAF9D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354" name="AutoShape 273">
          <a:extLst>
            <a:ext uri="{FF2B5EF4-FFF2-40B4-BE49-F238E27FC236}">
              <a16:creationId xmlns:a16="http://schemas.microsoft.com/office/drawing/2014/main" id="{A7786590-597E-437D-B5D6-9330913FA24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304800" cy="303440"/>
    <xdr:sp macro="" textlink="">
      <xdr:nvSpPr>
        <xdr:cNvPr id="8355" name="AutoShape 275">
          <a:extLst>
            <a:ext uri="{FF2B5EF4-FFF2-40B4-BE49-F238E27FC236}">
              <a16:creationId xmlns:a16="http://schemas.microsoft.com/office/drawing/2014/main" id="{B1937961-9E0F-4BA2-A53C-19E9639DFC5B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9525"/>
    <xdr:pic>
      <xdr:nvPicPr>
        <xdr:cNvPr id="8356" name="Picture 8355">
          <a:extLst>
            <a:ext uri="{FF2B5EF4-FFF2-40B4-BE49-F238E27FC236}">
              <a16:creationId xmlns:a16="http://schemas.microsoft.com/office/drawing/2014/main" id="{122BF37F-3FAE-488F-832C-23E23F04F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357" name="AutoShape 325">
          <a:extLst>
            <a:ext uri="{FF2B5EF4-FFF2-40B4-BE49-F238E27FC236}">
              <a16:creationId xmlns:a16="http://schemas.microsoft.com/office/drawing/2014/main" id="{A0099BB6-E14F-44C1-BC04-45D450DCAC2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304800" cy="303440"/>
    <xdr:sp macro="" textlink="">
      <xdr:nvSpPr>
        <xdr:cNvPr id="8358" name="AutoShape 327">
          <a:extLst>
            <a:ext uri="{FF2B5EF4-FFF2-40B4-BE49-F238E27FC236}">
              <a16:creationId xmlns:a16="http://schemas.microsoft.com/office/drawing/2014/main" id="{655CCB6E-750B-4BCF-A37F-1C1E22BDA60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9525"/>
    <xdr:pic>
      <xdr:nvPicPr>
        <xdr:cNvPr id="8359" name="Picture 8358">
          <a:extLst>
            <a:ext uri="{FF2B5EF4-FFF2-40B4-BE49-F238E27FC236}">
              <a16:creationId xmlns:a16="http://schemas.microsoft.com/office/drawing/2014/main" id="{B354865B-EAB9-4448-A81B-6D1CB8BFF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360" name="AutoShape 377">
          <a:extLst>
            <a:ext uri="{FF2B5EF4-FFF2-40B4-BE49-F238E27FC236}">
              <a16:creationId xmlns:a16="http://schemas.microsoft.com/office/drawing/2014/main" id="{298760DD-9D55-44F7-8C30-F99600CF0654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304800" cy="303440"/>
    <xdr:sp macro="" textlink="">
      <xdr:nvSpPr>
        <xdr:cNvPr id="8361" name="AutoShape 379">
          <a:extLst>
            <a:ext uri="{FF2B5EF4-FFF2-40B4-BE49-F238E27FC236}">
              <a16:creationId xmlns:a16="http://schemas.microsoft.com/office/drawing/2014/main" id="{93628514-D6E6-4506-9E65-AFC138AD3B7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9525"/>
    <xdr:pic>
      <xdr:nvPicPr>
        <xdr:cNvPr id="8362" name="Picture 8361">
          <a:extLst>
            <a:ext uri="{FF2B5EF4-FFF2-40B4-BE49-F238E27FC236}">
              <a16:creationId xmlns:a16="http://schemas.microsoft.com/office/drawing/2014/main" id="{511005E7-5A75-49C9-900E-429C4BE84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363" name="AutoShape 433">
          <a:extLst>
            <a:ext uri="{FF2B5EF4-FFF2-40B4-BE49-F238E27FC236}">
              <a16:creationId xmlns:a16="http://schemas.microsoft.com/office/drawing/2014/main" id="{06D97A9E-62A8-4E8B-BDE6-982E348F3F1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304800" cy="303440"/>
    <xdr:sp macro="" textlink="">
      <xdr:nvSpPr>
        <xdr:cNvPr id="8364" name="AutoShape 435">
          <a:extLst>
            <a:ext uri="{FF2B5EF4-FFF2-40B4-BE49-F238E27FC236}">
              <a16:creationId xmlns:a16="http://schemas.microsoft.com/office/drawing/2014/main" id="{0D82D697-F6C9-4370-B41D-C7508318320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9525"/>
    <xdr:pic>
      <xdr:nvPicPr>
        <xdr:cNvPr id="8365" name="Picture 8364">
          <a:extLst>
            <a:ext uri="{FF2B5EF4-FFF2-40B4-BE49-F238E27FC236}">
              <a16:creationId xmlns:a16="http://schemas.microsoft.com/office/drawing/2014/main" id="{EF8CF995-2E2C-4772-86A6-6C7189916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366" name="AutoShape 489">
          <a:extLst>
            <a:ext uri="{FF2B5EF4-FFF2-40B4-BE49-F238E27FC236}">
              <a16:creationId xmlns:a16="http://schemas.microsoft.com/office/drawing/2014/main" id="{204DDA89-C2F3-4CB8-8382-23D050FBC532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304800" cy="303440"/>
    <xdr:sp macro="" textlink="">
      <xdr:nvSpPr>
        <xdr:cNvPr id="8367" name="AutoShape 491">
          <a:extLst>
            <a:ext uri="{FF2B5EF4-FFF2-40B4-BE49-F238E27FC236}">
              <a16:creationId xmlns:a16="http://schemas.microsoft.com/office/drawing/2014/main" id="{551F63F6-33AE-41EF-8D56-07D54F3F3E66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9525"/>
    <xdr:pic>
      <xdr:nvPicPr>
        <xdr:cNvPr id="8368" name="Picture 8367">
          <a:extLst>
            <a:ext uri="{FF2B5EF4-FFF2-40B4-BE49-F238E27FC236}">
              <a16:creationId xmlns:a16="http://schemas.microsoft.com/office/drawing/2014/main" id="{AC39A7DC-E7DC-443A-86AD-6E90CA43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369" name="AutoShape 523">
          <a:extLst>
            <a:ext uri="{FF2B5EF4-FFF2-40B4-BE49-F238E27FC236}">
              <a16:creationId xmlns:a16="http://schemas.microsoft.com/office/drawing/2014/main" id="{EC0E122D-7500-4EE2-93B0-CA4E4C0B737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304800" cy="303440"/>
    <xdr:sp macro="" textlink="">
      <xdr:nvSpPr>
        <xdr:cNvPr id="8370" name="AutoShape 525">
          <a:extLst>
            <a:ext uri="{FF2B5EF4-FFF2-40B4-BE49-F238E27FC236}">
              <a16:creationId xmlns:a16="http://schemas.microsoft.com/office/drawing/2014/main" id="{2C57C03F-F559-442D-96B7-B44C1D97ABD2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3</xdr:row>
      <xdr:rowOff>0</xdr:rowOff>
    </xdr:from>
    <xdr:ext cx="9525" cy="9525"/>
    <xdr:pic>
      <xdr:nvPicPr>
        <xdr:cNvPr id="8371" name="Picture 8370">
          <a:extLst>
            <a:ext uri="{FF2B5EF4-FFF2-40B4-BE49-F238E27FC236}">
              <a16:creationId xmlns:a16="http://schemas.microsoft.com/office/drawing/2014/main" id="{F7EFB99A-57C5-44AF-9FF2-6F8F86CCA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</xdr:row>
      <xdr:rowOff>0</xdr:rowOff>
    </xdr:from>
    <xdr:ext cx="304800" cy="303439"/>
    <xdr:sp macro="" textlink="">
      <xdr:nvSpPr>
        <xdr:cNvPr id="8372" name="AutoShape 25">
          <a:extLst>
            <a:ext uri="{FF2B5EF4-FFF2-40B4-BE49-F238E27FC236}">
              <a16:creationId xmlns:a16="http://schemas.microsoft.com/office/drawing/2014/main" id="{B23F67CF-8B51-479C-9696-CEBEDFFDA917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9525" cy="9525"/>
    <xdr:pic>
      <xdr:nvPicPr>
        <xdr:cNvPr id="8373" name="Picture 8372">
          <a:extLst>
            <a:ext uri="{FF2B5EF4-FFF2-40B4-BE49-F238E27FC236}">
              <a16:creationId xmlns:a16="http://schemas.microsoft.com/office/drawing/2014/main" id="{CC530D35-5EDF-45A2-96C4-8F74AFFCE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9525" cy="9525"/>
    <xdr:pic>
      <xdr:nvPicPr>
        <xdr:cNvPr id="8374" name="Picture 8373">
          <a:extLst>
            <a:ext uri="{FF2B5EF4-FFF2-40B4-BE49-F238E27FC236}">
              <a16:creationId xmlns:a16="http://schemas.microsoft.com/office/drawing/2014/main" id="{83AD31F0-83EA-47F2-A706-03A1F0825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9525" cy="9525"/>
    <xdr:pic>
      <xdr:nvPicPr>
        <xdr:cNvPr id="8375" name="Picture 8374">
          <a:extLst>
            <a:ext uri="{FF2B5EF4-FFF2-40B4-BE49-F238E27FC236}">
              <a16:creationId xmlns:a16="http://schemas.microsoft.com/office/drawing/2014/main" id="{DB27CEFD-5EE6-4C7F-8910-40D45FAC3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304800" cy="304800"/>
    <xdr:sp macro="" textlink="">
      <xdr:nvSpPr>
        <xdr:cNvPr id="8376" name="AutoShape 29">
          <a:extLst>
            <a:ext uri="{FF2B5EF4-FFF2-40B4-BE49-F238E27FC236}">
              <a16:creationId xmlns:a16="http://schemas.microsoft.com/office/drawing/2014/main" id="{78AB858C-A084-4E8E-95FE-4650275BA96B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377" name="Picture 8376">
          <a:extLst>
            <a:ext uri="{FF2B5EF4-FFF2-40B4-BE49-F238E27FC236}">
              <a16:creationId xmlns:a16="http://schemas.microsoft.com/office/drawing/2014/main" id="{8830C286-4F5E-489F-BC4E-5B819E7D2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26</xdr:row>
      <xdr:rowOff>0</xdr:rowOff>
    </xdr:from>
    <xdr:ext cx="9525" cy="9525"/>
    <xdr:pic>
      <xdr:nvPicPr>
        <xdr:cNvPr id="8378" name="Picture 8377">
          <a:extLst>
            <a:ext uri="{FF2B5EF4-FFF2-40B4-BE49-F238E27FC236}">
              <a16:creationId xmlns:a16="http://schemas.microsoft.com/office/drawing/2014/main" id="{872BBA35-C55D-48BF-8412-F50920CE4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25</xdr:row>
      <xdr:rowOff>0</xdr:rowOff>
    </xdr:from>
    <xdr:ext cx="304800" cy="303440"/>
    <xdr:sp macro="" textlink="">
      <xdr:nvSpPr>
        <xdr:cNvPr id="8379" name="AutoShape 32">
          <a:extLst>
            <a:ext uri="{FF2B5EF4-FFF2-40B4-BE49-F238E27FC236}">
              <a16:creationId xmlns:a16="http://schemas.microsoft.com/office/drawing/2014/main" id="{BA1871C9-A984-4AC1-851F-65DE75AB495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380" name="Picture 8379">
          <a:extLst>
            <a:ext uri="{FF2B5EF4-FFF2-40B4-BE49-F238E27FC236}">
              <a16:creationId xmlns:a16="http://schemas.microsoft.com/office/drawing/2014/main" id="{0B03DF7B-C104-4A8A-8AE5-7D32C4CC0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381" name="Picture 8380">
          <a:extLst>
            <a:ext uri="{FF2B5EF4-FFF2-40B4-BE49-F238E27FC236}">
              <a16:creationId xmlns:a16="http://schemas.microsoft.com/office/drawing/2014/main" id="{1B4E98ED-3979-49AD-A254-EBE407FF6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382" name="Picture 8381">
          <a:extLst>
            <a:ext uri="{FF2B5EF4-FFF2-40B4-BE49-F238E27FC236}">
              <a16:creationId xmlns:a16="http://schemas.microsoft.com/office/drawing/2014/main" id="{D00082BE-4311-47BB-9761-BEA8B2A07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383" name="Picture 8382">
          <a:extLst>
            <a:ext uri="{FF2B5EF4-FFF2-40B4-BE49-F238E27FC236}">
              <a16:creationId xmlns:a16="http://schemas.microsoft.com/office/drawing/2014/main" id="{3CA801A1-C11A-42EF-BC33-6C0201FB3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384" name="Picture 8383">
          <a:extLst>
            <a:ext uri="{FF2B5EF4-FFF2-40B4-BE49-F238E27FC236}">
              <a16:creationId xmlns:a16="http://schemas.microsoft.com/office/drawing/2014/main" id="{D2529D49-DBD4-4846-8F80-5EE1C2BDB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385" name="AutoShape 38">
          <a:extLst>
            <a:ext uri="{FF2B5EF4-FFF2-40B4-BE49-F238E27FC236}">
              <a16:creationId xmlns:a16="http://schemas.microsoft.com/office/drawing/2014/main" id="{C051A5E7-A6DD-4610-948B-2A307B00CC0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386" name="Picture 8385">
          <a:extLst>
            <a:ext uri="{FF2B5EF4-FFF2-40B4-BE49-F238E27FC236}">
              <a16:creationId xmlns:a16="http://schemas.microsoft.com/office/drawing/2014/main" id="{C44548A2-F1CD-454A-928A-89F9E2B5B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387" name="AutoShape 40">
          <a:extLst>
            <a:ext uri="{FF2B5EF4-FFF2-40B4-BE49-F238E27FC236}">
              <a16:creationId xmlns:a16="http://schemas.microsoft.com/office/drawing/2014/main" id="{BF81C545-26C0-4153-A5AA-044053FF10D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13</xdr:row>
      <xdr:rowOff>0</xdr:rowOff>
    </xdr:from>
    <xdr:ext cx="9525" cy="9525"/>
    <xdr:pic>
      <xdr:nvPicPr>
        <xdr:cNvPr id="8388" name="Picture 8387">
          <a:extLst>
            <a:ext uri="{FF2B5EF4-FFF2-40B4-BE49-F238E27FC236}">
              <a16:creationId xmlns:a16="http://schemas.microsoft.com/office/drawing/2014/main" id="{4458F41C-C5A0-4EEC-A564-5C962F8F0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</xdr:row>
      <xdr:rowOff>0</xdr:rowOff>
    </xdr:from>
    <xdr:ext cx="304800" cy="303439"/>
    <xdr:sp macro="" textlink="">
      <xdr:nvSpPr>
        <xdr:cNvPr id="8389" name="AutoShape 42">
          <a:extLst>
            <a:ext uri="{FF2B5EF4-FFF2-40B4-BE49-F238E27FC236}">
              <a16:creationId xmlns:a16="http://schemas.microsoft.com/office/drawing/2014/main" id="{A57CA0BB-8982-4870-BC7D-94DDD43F6EA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13</xdr:row>
      <xdr:rowOff>0</xdr:rowOff>
    </xdr:from>
    <xdr:ext cx="304800" cy="304800"/>
    <xdr:sp macro="" textlink="">
      <xdr:nvSpPr>
        <xdr:cNvPr id="8390" name="AutoShape 44">
          <a:extLst>
            <a:ext uri="{FF2B5EF4-FFF2-40B4-BE49-F238E27FC236}">
              <a16:creationId xmlns:a16="http://schemas.microsoft.com/office/drawing/2014/main" id="{43DC3A7B-2385-4147-B76D-97660AE68ADB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391" name="Picture 8390">
          <a:extLst>
            <a:ext uri="{FF2B5EF4-FFF2-40B4-BE49-F238E27FC236}">
              <a16:creationId xmlns:a16="http://schemas.microsoft.com/office/drawing/2014/main" id="{0662F47B-B007-465B-A88A-BB6A46236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27</xdr:row>
      <xdr:rowOff>0</xdr:rowOff>
    </xdr:from>
    <xdr:ext cx="9525" cy="9525"/>
    <xdr:pic>
      <xdr:nvPicPr>
        <xdr:cNvPr id="8392" name="Picture 8391">
          <a:extLst>
            <a:ext uri="{FF2B5EF4-FFF2-40B4-BE49-F238E27FC236}">
              <a16:creationId xmlns:a16="http://schemas.microsoft.com/office/drawing/2014/main" id="{B0DB37B7-3C06-4F82-ACFF-F7D20F452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</xdr:row>
      <xdr:rowOff>0</xdr:rowOff>
    </xdr:from>
    <xdr:ext cx="9525" cy="9525"/>
    <xdr:pic>
      <xdr:nvPicPr>
        <xdr:cNvPr id="8393" name="Picture 8392">
          <a:extLst>
            <a:ext uri="{FF2B5EF4-FFF2-40B4-BE49-F238E27FC236}">
              <a16:creationId xmlns:a16="http://schemas.microsoft.com/office/drawing/2014/main" id="{37714141-6B34-4CAA-964C-F836A2C04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</xdr:row>
      <xdr:rowOff>0</xdr:rowOff>
    </xdr:from>
    <xdr:ext cx="304800" cy="303439"/>
    <xdr:sp macro="" textlink="">
      <xdr:nvSpPr>
        <xdr:cNvPr id="8394" name="AutoShape 48">
          <a:extLst>
            <a:ext uri="{FF2B5EF4-FFF2-40B4-BE49-F238E27FC236}">
              <a16:creationId xmlns:a16="http://schemas.microsoft.com/office/drawing/2014/main" id="{6C69898D-CFBA-46F6-BB63-2C2E179D47A9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9525" cy="9525"/>
    <xdr:pic>
      <xdr:nvPicPr>
        <xdr:cNvPr id="8395" name="Picture 8394">
          <a:extLst>
            <a:ext uri="{FF2B5EF4-FFF2-40B4-BE49-F238E27FC236}">
              <a16:creationId xmlns:a16="http://schemas.microsoft.com/office/drawing/2014/main" id="{B855CA42-7C89-4174-8B11-AD72E5B63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9525" cy="9525"/>
    <xdr:pic>
      <xdr:nvPicPr>
        <xdr:cNvPr id="8396" name="Picture 8395">
          <a:extLst>
            <a:ext uri="{FF2B5EF4-FFF2-40B4-BE49-F238E27FC236}">
              <a16:creationId xmlns:a16="http://schemas.microsoft.com/office/drawing/2014/main" id="{40929063-734E-4478-A769-810B1A871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9525" cy="9525"/>
    <xdr:pic>
      <xdr:nvPicPr>
        <xdr:cNvPr id="8397" name="Picture 8396">
          <a:extLst>
            <a:ext uri="{FF2B5EF4-FFF2-40B4-BE49-F238E27FC236}">
              <a16:creationId xmlns:a16="http://schemas.microsoft.com/office/drawing/2014/main" id="{AAEBA1E0-F187-430E-AC0D-5739CD75F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304800" cy="304800"/>
    <xdr:sp macro="" textlink="">
      <xdr:nvSpPr>
        <xdr:cNvPr id="8398" name="AutoShape 52">
          <a:extLst>
            <a:ext uri="{FF2B5EF4-FFF2-40B4-BE49-F238E27FC236}">
              <a16:creationId xmlns:a16="http://schemas.microsoft.com/office/drawing/2014/main" id="{0F29DE2A-DE07-458E-99A3-0E08CC4FAB6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399" name="Picture 8398">
          <a:extLst>
            <a:ext uri="{FF2B5EF4-FFF2-40B4-BE49-F238E27FC236}">
              <a16:creationId xmlns:a16="http://schemas.microsoft.com/office/drawing/2014/main" id="{086E0E13-3933-4212-9A41-344D9BC9C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26</xdr:row>
      <xdr:rowOff>0</xdr:rowOff>
    </xdr:from>
    <xdr:ext cx="9525" cy="9525"/>
    <xdr:pic>
      <xdr:nvPicPr>
        <xdr:cNvPr id="8400" name="Picture 8399">
          <a:extLst>
            <a:ext uri="{FF2B5EF4-FFF2-40B4-BE49-F238E27FC236}">
              <a16:creationId xmlns:a16="http://schemas.microsoft.com/office/drawing/2014/main" id="{62219C99-C60B-460E-9262-0F959D10A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25</xdr:row>
      <xdr:rowOff>0</xdr:rowOff>
    </xdr:from>
    <xdr:ext cx="304800" cy="303440"/>
    <xdr:sp macro="" textlink="">
      <xdr:nvSpPr>
        <xdr:cNvPr id="8401" name="AutoShape 55">
          <a:extLst>
            <a:ext uri="{FF2B5EF4-FFF2-40B4-BE49-F238E27FC236}">
              <a16:creationId xmlns:a16="http://schemas.microsoft.com/office/drawing/2014/main" id="{72CC3DD5-275A-493D-917A-9C2301A00956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02" name="Picture 8401">
          <a:extLst>
            <a:ext uri="{FF2B5EF4-FFF2-40B4-BE49-F238E27FC236}">
              <a16:creationId xmlns:a16="http://schemas.microsoft.com/office/drawing/2014/main" id="{687706FB-650A-4C84-BD56-46BFCAC99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03" name="Picture 8402">
          <a:extLst>
            <a:ext uri="{FF2B5EF4-FFF2-40B4-BE49-F238E27FC236}">
              <a16:creationId xmlns:a16="http://schemas.microsoft.com/office/drawing/2014/main" id="{3B4D2A75-6852-418F-A52C-1A088FDAB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04" name="Picture 8403">
          <a:extLst>
            <a:ext uri="{FF2B5EF4-FFF2-40B4-BE49-F238E27FC236}">
              <a16:creationId xmlns:a16="http://schemas.microsoft.com/office/drawing/2014/main" id="{6E79C2D5-F42E-4831-9000-9F9555704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05" name="Picture 8404">
          <a:extLst>
            <a:ext uri="{FF2B5EF4-FFF2-40B4-BE49-F238E27FC236}">
              <a16:creationId xmlns:a16="http://schemas.microsoft.com/office/drawing/2014/main" id="{A42605B2-F83B-4F1C-8FA2-B00D4DC0B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06" name="Picture 8405">
          <a:extLst>
            <a:ext uri="{FF2B5EF4-FFF2-40B4-BE49-F238E27FC236}">
              <a16:creationId xmlns:a16="http://schemas.microsoft.com/office/drawing/2014/main" id="{235BD087-844C-48A6-B4AE-6C6DD1D69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407" name="AutoShape 61">
          <a:extLst>
            <a:ext uri="{FF2B5EF4-FFF2-40B4-BE49-F238E27FC236}">
              <a16:creationId xmlns:a16="http://schemas.microsoft.com/office/drawing/2014/main" id="{21D79BEB-3806-4792-931D-7C55FAF9DF91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08" name="Picture 8407">
          <a:extLst>
            <a:ext uri="{FF2B5EF4-FFF2-40B4-BE49-F238E27FC236}">
              <a16:creationId xmlns:a16="http://schemas.microsoft.com/office/drawing/2014/main" id="{3FD49231-290A-4A35-8C44-539A4192E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409" name="AutoShape 63">
          <a:extLst>
            <a:ext uri="{FF2B5EF4-FFF2-40B4-BE49-F238E27FC236}">
              <a16:creationId xmlns:a16="http://schemas.microsoft.com/office/drawing/2014/main" id="{39A3CDCB-FC45-499F-BB81-307B263BC91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13</xdr:row>
      <xdr:rowOff>0</xdr:rowOff>
    </xdr:from>
    <xdr:ext cx="9525" cy="9525"/>
    <xdr:pic>
      <xdr:nvPicPr>
        <xdr:cNvPr id="8410" name="Picture 8409">
          <a:extLst>
            <a:ext uri="{FF2B5EF4-FFF2-40B4-BE49-F238E27FC236}">
              <a16:creationId xmlns:a16="http://schemas.microsoft.com/office/drawing/2014/main" id="{B43A9BD8-DCC6-4A81-8DF6-70F123E69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</xdr:row>
      <xdr:rowOff>0</xdr:rowOff>
    </xdr:from>
    <xdr:ext cx="304800" cy="303439"/>
    <xdr:sp macro="" textlink="">
      <xdr:nvSpPr>
        <xdr:cNvPr id="8411" name="AutoShape 65">
          <a:extLst>
            <a:ext uri="{FF2B5EF4-FFF2-40B4-BE49-F238E27FC236}">
              <a16:creationId xmlns:a16="http://schemas.microsoft.com/office/drawing/2014/main" id="{FA42D559-6B62-49D5-9A48-0645A03DCB02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13</xdr:row>
      <xdr:rowOff>0</xdr:rowOff>
    </xdr:from>
    <xdr:ext cx="304800" cy="304800"/>
    <xdr:sp macro="" textlink="">
      <xdr:nvSpPr>
        <xdr:cNvPr id="8412" name="AutoShape 67">
          <a:extLst>
            <a:ext uri="{FF2B5EF4-FFF2-40B4-BE49-F238E27FC236}">
              <a16:creationId xmlns:a16="http://schemas.microsoft.com/office/drawing/2014/main" id="{F8560376-A5CD-4774-9F38-6F7D4A148B5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13" name="Picture 8412">
          <a:extLst>
            <a:ext uri="{FF2B5EF4-FFF2-40B4-BE49-F238E27FC236}">
              <a16:creationId xmlns:a16="http://schemas.microsoft.com/office/drawing/2014/main" id="{F375F473-04B2-4EA0-944C-2662CFE69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3440"/>
    <xdr:sp macro="" textlink="">
      <xdr:nvSpPr>
        <xdr:cNvPr id="8414" name="AutoShape 69">
          <a:extLst>
            <a:ext uri="{FF2B5EF4-FFF2-40B4-BE49-F238E27FC236}">
              <a16:creationId xmlns:a16="http://schemas.microsoft.com/office/drawing/2014/main" id="{ABF22784-8DB5-4EF7-AE02-B6446C6169B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27</xdr:row>
      <xdr:rowOff>0</xdr:rowOff>
    </xdr:from>
    <xdr:ext cx="9525" cy="9525"/>
    <xdr:pic>
      <xdr:nvPicPr>
        <xdr:cNvPr id="8415" name="Picture 8414">
          <a:extLst>
            <a:ext uri="{FF2B5EF4-FFF2-40B4-BE49-F238E27FC236}">
              <a16:creationId xmlns:a16="http://schemas.microsoft.com/office/drawing/2014/main" id="{B45AFCE6-0155-480C-9B4A-CDEFF6E64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16" name="Picture 8415">
          <a:extLst>
            <a:ext uri="{FF2B5EF4-FFF2-40B4-BE49-F238E27FC236}">
              <a16:creationId xmlns:a16="http://schemas.microsoft.com/office/drawing/2014/main" id="{47A2C04F-82A7-4938-9A12-E7A329AC4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</xdr:row>
      <xdr:rowOff>0</xdr:rowOff>
    </xdr:from>
    <xdr:ext cx="9525" cy="9525"/>
    <xdr:pic>
      <xdr:nvPicPr>
        <xdr:cNvPr id="8417" name="Picture 8416">
          <a:extLst>
            <a:ext uri="{FF2B5EF4-FFF2-40B4-BE49-F238E27FC236}">
              <a16:creationId xmlns:a16="http://schemas.microsoft.com/office/drawing/2014/main" id="{8D03C1DE-1BAC-4086-944A-B9A85F68B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</xdr:row>
      <xdr:rowOff>0</xdr:rowOff>
    </xdr:from>
    <xdr:ext cx="304800" cy="303439"/>
    <xdr:sp macro="" textlink="">
      <xdr:nvSpPr>
        <xdr:cNvPr id="8418" name="AutoShape 98">
          <a:extLst>
            <a:ext uri="{FF2B5EF4-FFF2-40B4-BE49-F238E27FC236}">
              <a16:creationId xmlns:a16="http://schemas.microsoft.com/office/drawing/2014/main" id="{E96B3436-1039-4B3B-BAAB-11C4973AF48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9525" cy="9525"/>
    <xdr:pic>
      <xdr:nvPicPr>
        <xdr:cNvPr id="8419" name="Picture 8418">
          <a:extLst>
            <a:ext uri="{FF2B5EF4-FFF2-40B4-BE49-F238E27FC236}">
              <a16:creationId xmlns:a16="http://schemas.microsoft.com/office/drawing/2014/main" id="{F9EDF41D-B0CA-41A3-8A9C-03EB26F95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9525" cy="9525"/>
    <xdr:pic>
      <xdr:nvPicPr>
        <xdr:cNvPr id="8420" name="Picture 8419">
          <a:extLst>
            <a:ext uri="{FF2B5EF4-FFF2-40B4-BE49-F238E27FC236}">
              <a16:creationId xmlns:a16="http://schemas.microsoft.com/office/drawing/2014/main" id="{35090BE6-0DF1-4870-9039-9B2DFCE6D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9525" cy="9525"/>
    <xdr:pic>
      <xdr:nvPicPr>
        <xdr:cNvPr id="8421" name="Picture 8420">
          <a:extLst>
            <a:ext uri="{FF2B5EF4-FFF2-40B4-BE49-F238E27FC236}">
              <a16:creationId xmlns:a16="http://schemas.microsoft.com/office/drawing/2014/main" id="{4FB287E9-C7DE-40EA-AEA9-347A5B7AD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304800" cy="304800"/>
    <xdr:sp macro="" textlink="">
      <xdr:nvSpPr>
        <xdr:cNvPr id="8422" name="AutoShape 102">
          <a:extLst>
            <a:ext uri="{FF2B5EF4-FFF2-40B4-BE49-F238E27FC236}">
              <a16:creationId xmlns:a16="http://schemas.microsoft.com/office/drawing/2014/main" id="{38CDB09F-557A-46E4-A19E-D4ABCA5AFF6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23" name="Picture 8422">
          <a:extLst>
            <a:ext uri="{FF2B5EF4-FFF2-40B4-BE49-F238E27FC236}">
              <a16:creationId xmlns:a16="http://schemas.microsoft.com/office/drawing/2014/main" id="{146D9D06-E20E-449A-A905-D2A30AFA0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26</xdr:row>
      <xdr:rowOff>0</xdr:rowOff>
    </xdr:from>
    <xdr:ext cx="9525" cy="9525"/>
    <xdr:pic>
      <xdr:nvPicPr>
        <xdr:cNvPr id="8424" name="Picture 8423">
          <a:extLst>
            <a:ext uri="{FF2B5EF4-FFF2-40B4-BE49-F238E27FC236}">
              <a16:creationId xmlns:a16="http://schemas.microsoft.com/office/drawing/2014/main" id="{82A69E72-FCFC-4D5A-BEEA-53A25C87E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25</xdr:row>
      <xdr:rowOff>0</xdr:rowOff>
    </xdr:from>
    <xdr:ext cx="304800" cy="303440"/>
    <xdr:sp macro="" textlink="">
      <xdr:nvSpPr>
        <xdr:cNvPr id="8425" name="AutoShape 105">
          <a:extLst>
            <a:ext uri="{FF2B5EF4-FFF2-40B4-BE49-F238E27FC236}">
              <a16:creationId xmlns:a16="http://schemas.microsoft.com/office/drawing/2014/main" id="{C1C9DBE2-AC1F-4E01-9EA4-F7E3F5A034A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26" name="Picture 8425">
          <a:extLst>
            <a:ext uri="{FF2B5EF4-FFF2-40B4-BE49-F238E27FC236}">
              <a16:creationId xmlns:a16="http://schemas.microsoft.com/office/drawing/2014/main" id="{C3EBB9E0-F1CC-4C0E-BDE9-9AB9336C1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27" name="Picture 8426">
          <a:extLst>
            <a:ext uri="{FF2B5EF4-FFF2-40B4-BE49-F238E27FC236}">
              <a16:creationId xmlns:a16="http://schemas.microsoft.com/office/drawing/2014/main" id="{DFD76005-A82E-4933-87EE-8CB260619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28" name="Picture 8427">
          <a:extLst>
            <a:ext uri="{FF2B5EF4-FFF2-40B4-BE49-F238E27FC236}">
              <a16:creationId xmlns:a16="http://schemas.microsoft.com/office/drawing/2014/main" id="{736AB24B-E20F-4416-948C-4B2A2F32D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29" name="Picture 8428">
          <a:extLst>
            <a:ext uri="{FF2B5EF4-FFF2-40B4-BE49-F238E27FC236}">
              <a16:creationId xmlns:a16="http://schemas.microsoft.com/office/drawing/2014/main" id="{DE9563EC-2272-4AAF-9EEA-9B721F34A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30" name="Picture 8429">
          <a:extLst>
            <a:ext uri="{FF2B5EF4-FFF2-40B4-BE49-F238E27FC236}">
              <a16:creationId xmlns:a16="http://schemas.microsoft.com/office/drawing/2014/main" id="{DA30D912-4BE3-47A7-80B7-B91E04306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431" name="AutoShape 111">
          <a:extLst>
            <a:ext uri="{FF2B5EF4-FFF2-40B4-BE49-F238E27FC236}">
              <a16:creationId xmlns:a16="http://schemas.microsoft.com/office/drawing/2014/main" id="{A576673A-2BEE-440F-90C7-0B98A0B465F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32" name="Picture 8431">
          <a:extLst>
            <a:ext uri="{FF2B5EF4-FFF2-40B4-BE49-F238E27FC236}">
              <a16:creationId xmlns:a16="http://schemas.microsoft.com/office/drawing/2014/main" id="{013C85CA-33C0-4F93-89BA-EB1EFF0E4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433" name="AutoShape 113">
          <a:extLst>
            <a:ext uri="{FF2B5EF4-FFF2-40B4-BE49-F238E27FC236}">
              <a16:creationId xmlns:a16="http://schemas.microsoft.com/office/drawing/2014/main" id="{DCECA1DF-6B0B-455D-A3D7-D97936781AE7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13</xdr:row>
      <xdr:rowOff>0</xdr:rowOff>
    </xdr:from>
    <xdr:ext cx="9525" cy="9525"/>
    <xdr:pic>
      <xdr:nvPicPr>
        <xdr:cNvPr id="8434" name="Picture 8433">
          <a:extLst>
            <a:ext uri="{FF2B5EF4-FFF2-40B4-BE49-F238E27FC236}">
              <a16:creationId xmlns:a16="http://schemas.microsoft.com/office/drawing/2014/main" id="{2840D1C5-4742-4005-8B73-C5BDE595E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</xdr:row>
      <xdr:rowOff>0</xdr:rowOff>
    </xdr:from>
    <xdr:ext cx="304800" cy="303439"/>
    <xdr:sp macro="" textlink="">
      <xdr:nvSpPr>
        <xdr:cNvPr id="8435" name="AutoShape 115">
          <a:extLst>
            <a:ext uri="{FF2B5EF4-FFF2-40B4-BE49-F238E27FC236}">
              <a16:creationId xmlns:a16="http://schemas.microsoft.com/office/drawing/2014/main" id="{9A5EF0BE-1B6A-4125-8220-8EF2D16C8CF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36" name="Picture 8435">
          <a:extLst>
            <a:ext uri="{FF2B5EF4-FFF2-40B4-BE49-F238E27FC236}">
              <a16:creationId xmlns:a16="http://schemas.microsoft.com/office/drawing/2014/main" id="{2564AFF2-F42F-493E-9731-58D31268E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</xdr:row>
      <xdr:rowOff>0</xdr:rowOff>
    </xdr:from>
    <xdr:ext cx="304800" cy="304800"/>
    <xdr:sp macro="" textlink="">
      <xdr:nvSpPr>
        <xdr:cNvPr id="8437" name="AutoShape 117">
          <a:extLst>
            <a:ext uri="{FF2B5EF4-FFF2-40B4-BE49-F238E27FC236}">
              <a16:creationId xmlns:a16="http://schemas.microsoft.com/office/drawing/2014/main" id="{BAA4C4E1-56DC-4943-98EE-B9146299DC3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38" name="Picture 8437">
          <a:extLst>
            <a:ext uri="{FF2B5EF4-FFF2-40B4-BE49-F238E27FC236}">
              <a16:creationId xmlns:a16="http://schemas.microsoft.com/office/drawing/2014/main" id="{59BD91E9-5515-424B-858B-74A9922B8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3440"/>
    <xdr:sp macro="" textlink="">
      <xdr:nvSpPr>
        <xdr:cNvPr id="8439" name="AutoShape 119">
          <a:extLst>
            <a:ext uri="{FF2B5EF4-FFF2-40B4-BE49-F238E27FC236}">
              <a16:creationId xmlns:a16="http://schemas.microsoft.com/office/drawing/2014/main" id="{77F9DEE3-7121-4DC9-A095-B27F3D2212A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27</xdr:row>
      <xdr:rowOff>0</xdr:rowOff>
    </xdr:from>
    <xdr:ext cx="9525" cy="9525"/>
    <xdr:pic>
      <xdr:nvPicPr>
        <xdr:cNvPr id="8440" name="Picture 8439">
          <a:extLst>
            <a:ext uri="{FF2B5EF4-FFF2-40B4-BE49-F238E27FC236}">
              <a16:creationId xmlns:a16="http://schemas.microsoft.com/office/drawing/2014/main" id="{AC6BF616-62FD-46A9-AE54-95FEA1A5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41" name="Picture 8440">
          <a:extLst>
            <a:ext uri="{FF2B5EF4-FFF2-40B4-BE49-F238E27FC236}">
              <a16:creationId xmlns:a16="http://schemas.microsoft.com/office/drawing/2014/main" id="{F1E66326-09F4-4618-9899-B8DA11F1E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</xdr:row>
      <xdr:rowOff>0</xdr:rowOff>
    </xdr:from>
    <xdr:ext cx="9525" cy="9525"/>
    <xdr:pic>
      <xdr:nvPicPr>
        <xdr:cNvPr id="8442" name="Picture 8441">
          <a:extLst>
            <a:ext uri="{FF2B5EF4-FFF2-40B4-BE49-F238E27FC236}">
              <a16:creationId xmlns:a16="http://schemas.microsoft.com/office/drawing/2014/main" id="{E86EFDAA-9C17-460C-A787-621FDFD15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</xdr:row>
      <xdr:rowOff>0</xdr:rowOff>
    </xdr:from>
    <xdr:ext cx="304800" cy="303439"/>
    <xdr:sp macro="" textlink="">
      <xdr:nvSpPr>
        <xdr:cNvPr id="8443" name="AutoShape 123">
          <a:extLst>
            <a:ext uri="{FF2B5EF4-FFF2-40B4-BE49-F238E27FC236}">
              <a16:creationId xmlns:a16="http://schemas.microsoft.com/office/drawing/2014/main" id="{C3440B44-AC9D-4334-AD26-233797F488DB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9525" cy="9525"/>
    <xdr:pic>
      <xdr:nvPicPr>
        <xdr:cNvPr id="8444" name="Picture 8443">
          <a:extLst>
            <a:ext uri="{FF2B5EF4-FFF2-40B4-BE49-F238E27FC236}">
              <a16:creationId xmlns:a16="http://schemas.microsoft.com/office/drawing/2014/main" id="{CC1912BD-6B80-44A7-A412-EF9234DC8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9525" cy="9525"/>
    <xdr:pic>
      <xdr:nvPicPr>
        <xdr:cNvPr id="8445" name="Picture 8444">
          <a:extLst>
            <a:ext uri="{FF2B5EF4-FFF2-40B4-BE49-F238E27FC236}">
              <a16:creationId xmlns:a16="http://schemas.microsoft.com/office/drawing/2014/main" id="{17F8562E-8047-4E96-9C44-469D6FAE9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9525" cy="9525"/>
    <xdr:pic>
      <xdr:nvPicPr>
        <xdr:cNvPr id="8446" name="Picture 8445">
          <a:extLst>
            <a:ext uri="{FF2B5EF4-FFF2-40B4-BE49-F238E27FC236}">
              <a16:creationId xmlns:a16="http://schemas.microsoft.com/office/drawing/2014/main" id="{4E5A58EB-3AA5-4BE5-9BDB-DBFAE91D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</xdr:row>
      <xdr:rowOff>0</xdr:rowOff>
    </xdr:from>
    <xdr:ext cx="304800" cy="304800"/>
    <xdr:sp macro="" textlink="">
      <xdr:nvSpPr>
        <xdr:cNvPr id="8447" name="AutoShape 127">
          <a:extLst>
            <a:ext uri="{FF2B5EF4-FFF2-40B4-BE49-F238E27FC236}">
              <a16:creationId xmlns:a16="http://schemas.microsoft.com/office/drawing/2014/main" id="{D29E15EE-85D6-4864-BFC0-40F909770421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48" name="Picture 8447">
          <a:extLst>
            <a:ext uri="{FF2B5EF4-FFF2-40B4-BE49-F238E27FC236}">
              <a16:creationId xmlns:a16="http://schemas.microsoft.com/office/drawing/2014/main" id="{25895EF6-1D52-418D-BECA-FD50818A4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26</xdr:row>
      <xdr:rowOff>0</xdr:rowOff>
    </xdr:from>
    <xdr:ext cx="9525" cy="9525"/>
    <xdr:pic>
      <xdr:nvPicPr>
        <xdr:cNvPr id="8449" name="Picture 8448">
          <a:extLst>
            <a:ext uri="{FF2B5EF4-FFF2-40B4-BE49-F238E27FC236}">
              <a16:creationId xmlns:a16="http://schemas.microsoft.com/office/drawing/2014/main" id="{F0B20931-1ADA-4388-A39B-EA47DCFAE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25</xdr:row>
      <xdr:rowOff>0</xdr:rowOff>
    </xdr:from>
    <xdr:ext cx="304800" cy="303440"/>
    <xdr:sp macro="" textlink="">
      <xdr:nvSpPr>
        <xdr:cNvPr id="8450" name="AutoShape 130">
          <a:extLst>
            <a:ext uri="{FF2B5EF4-FFF2-40B4-BE49-F238E27FC236}">
              <a16:creationId xmlns:a16="http://schemas.microsoft.com/office/drawing/2014/main" id="{A8CD6FB2-8CB5-43CF-8386-74ED7878E76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51" name="Picture 8450">
          <a:extLst>
            <a:ext uri="{FF2B5EF4-FFF2-40B4-BE49-F238E27FC236}">
              <a16:creationId xmlns:a16="http://schemas.microsoft.com/office/drawing/2014/main" id="{F5A48EB8-0A84-43DB-BD19-8A2B7C221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52" name="Picture 8451">
          <a:extLst>
            <a:ext uri="{FF2B5EF4-FFF2-40B4-BE49-F238E27FC236}">
              <a16:creationId xmlns:a16="http://schemas.microsoft.com/office/drawing/2014/main" id="{2B810F32-0E08-45B4-88AC-D92753599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53" name="Picture 8452">
          <a:extLst>
            <a:ext uri="{FF2B5EF4-FFF2-40B4-BE49-F238E27FC236}">
              <a16:creationId xmlns:a16="http://schemas.microsoft.com/office/drawing/2014/main" id="{F5613666-B49F-4987-98DF-F960C32F7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54" name="Picture 8453">
          <a:extLst>
            <a:ext uri="{FF2B5EF4-FFF2-40B4-BE49-F238E27FC236}">
              <a16:creationId xmlns:a16="http://schemas.microsoft.com/office/drawing/2014/main" id="{61EFDAA3-EF09-4682-B81A-74C6C0BDF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55" name="Picture 8454">
          <a:extLst>
            <a:ext uri="{FF2B5EF4-FFF2-40B4-BE49-F238E27FC236}">
              <a16:creationId xmlns:a16="http://schemas.microsoft.com/office/drawing/2014/main" id="{502B6267-1D3E-4EC3-8A34-0CE9FB1A8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456" name="AutoShape 136">
          <a:extLst>
            <a:ext uri="{FF2B5EF4-FFF2-40B4-BE49-F238E27FC236}">
              <a16:creationId xmlns:a16="http://schemas.microsoft.com/office/drawing/2014/main" id="{13B891C3-9EEF-4D1C-96B5-6911B89B1D0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57" name="Picture 8456">
          <a:extLst>
            <a:ext uri="{FF2B5EF4-FFF2-40B4-BE49-F238E27FC236}">
              <a16:creationId xmlns:a16="http://schemas.microsoft.com/office/drawing/2014/main" id="{5E9E30BF-BC6B-4DAC-9306-05AB166AA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4800"/>
    <xdr:sp macro="" textlink="">
      <xdr:nvSpPr>
        <xdr:cNvPr id="8458" name="AutoShape 138">
          <a:extLst>
            <a:ext uri="{FF2B5EF4-FFF2-40B4-BE49-F238E27FC236}">
              <a16:creationId xmlns:a16="http://schemas.microsoft.com/office/drawing/2014/main" id="{E6D948C5-34A3-468E-B026-36F16B4807F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13</xdr:row>
      <xdr:rowOff>0</xdr:rowOff>
    </xdr:from>
    <xdr:ext cx="9525" cy="9525"/>
    <xdr:pic>
      <xdr:nvPicPr>
        <xdr:cNvPr id="8459" name="Picture 8458">
          <a:extLst>
            <a:ext uri="{FF2B5EF4-FFF2-40B4-BE49-F238E27FC236}">
              <a16:creationId xmlns:a16="http://schemas.microsoft.com/office/drawing/2014/main" id="{DB470238-5590-4504-8A5C-37CF6A441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</xdr:row>
      <xdr:rowOff>0</xdr:rowOff>
    </xdr:from>
    <xdr:ext cx="304800" cy="303439"/>
    <xdr:sp macro="" textlink="">
      <xdr:nvSpPr>
        <xdr:cNvPr id="8460" name="AutoShape 140">
          <a:extLst>
            <a:ext uri="{FF2B5EF4-FFF2-40B4-BE49-F238E27FC236}">
              <a16:creationId xmlns:a16="http://schemas.microsoft.com/office/drawing/2014/main" id="{97B63609-7877-4363-8564-46333B27335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61" name="Picture 8460">
          <a:extLst>
            <a:ext uri="{FF2B5EF4-FFF2-40B4-BE49-F238E27FC236}">
              <a16:creationId xmlns:a16="http://schemas.microsoft.com/office/drawing/2014/main" id="{7BEAFACC-2C58-40C4-A48E-81B19A817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</xdr:row>
      <xdr:rowOff>0</xdr:rowOff>
    </xdr:from>
    <xdr:ext cx="304800" cy="304800"/>
    <xdr:sp macro="" textlink="">
      <xdr:nvSpPr>
        <xdr:cNvPr id="8462" name="AutoShape 142">
          <a:extLst>
            <a:ext uri="{FF2B5EF4-FFF2-40B4-BE49-F238E27FC236}">
              <a16:creationId xmlns:a16="http://schemas.microsoft.com/office/drawing/2014/main" id="{8D0150F7-FA24-43A4-848C-2D370849EA48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63" name="Picture 8462">
          <a:extLst>
            <a:ext uri="{FF2B5EF4-FFF2-40B4-BE49-F238E27FC236}">
              <a16:creationId xmlns:a16="http://schemas.microsoft.com/office/drawing/2014/main" id="{7EF512D0-3923-41C7-8A3C-849AF4E2C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304800" cy="303440"/>
    <xdr:sp macro="" textlink="">
      <xdr:nvSpPr>
        <xdr:cNvPr id="8464" name="AutoShape 144">
          <a:extLst>
            <a:ext uri="{FF2B5EF4-FFF2-40B4-BE49-F238E27FC236}">
              <a16:creationId xmlns:a16="http://schemas.microsoft.com/office/drawing/2014/main" id="{F31E662E-F396-439A-8CEE-9289FD525DD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27</xdr:row>
      <xdr:rowOff>0</xdr:rowOff>
    </xdr:from>
    <xdr:ext cx="9525" cy="9525"/>
    <xdr:pic>
      <xdr:nvPicPr>
        <xdr:cNvPr id="8465" name="Picture 8464">
          <a:extLst>
            <a:ext uri="{FF2B5EF4-FFF2-40B4-BE49-F238E27FC236}">
              <a16:creationId xmlns:a16="http://schemas.microsoft.com/office/drawing/2014/main" id="{00E6C7B9-8B26-47D9-BCF5-123267F71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29</xdr:row>
      <xdr:rowOff>0</xdr:rowOff>
    </xdr:from>
    <xdr:ext cx="9525" cy="9525"/>
    <xdr:pic>
      <xdr:nvPicPr>
        <xdr:cNvPr id="8466" name="Picture 8465">
          <a:extLst>
            <a:ext uri="{FF2B5EF4-FFF2-40B4-BE49-F238E27FC236}">
              <a16:creationId xmlns:a16="http://schemas.microsoft.com/office/drawing/2014/main" id="{78946EE0-BAEC-4FF2-AE15-2FA41D78A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</xdr:row>
      <xdr:rowOff>0</xdr:rowOff>
    </xdr:from>
    <xdr:ext cx="9525" cy="9525"/>
    <xdr:pic>
      <xdr:nvPicPr>
        <xdr:cNvPr id="8467" name="Picture 8466">
          <a:extLst>
            <a:ext uri="{FF2B5EF4-FFF2-40B4-BE49-F238E27FC236}">
              <a16:creationId xmlns:a16="http://schemas.microsoft.com/office/drawing/2014/main" id="{A8EBD668-C4C7-4867-9EC1-128916A81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</xdr:row>
      <xdr:rowOff>0</xdr:rowOff>
    </xdr:from>
    <xdr:ext cx="9525" cy="9525"/>
    <xdr:pic>
      <xdr:nvPicPr>
        <xdr:cNvPr id="8468" name="Picture 8467">
          <a:extLst>
            <a:ext uri="{FF2B5EF4-FFF2-40B4-BE49-F238E27FC236}">
              <a16:creationId xmlns:a16="http://schemas.microsoft.com/office/drawing/2014/main" id="{FE1CAD5B-1A29-4DF8-950B-241131D41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</xdr:row>
      <xdr:rowOff>0</xdr:rowOff>
    </xdr:from>
    <xdr:ext cx="9525" cy="9525"/>
    <xdr:pic>
      <xdr:nvPicPr>
        <xdr:cNvPr id="8469" name="Picture 8468">
          <a:extLst>
            <a:ext uri="{FF2B5EF4-FFF2-40B4-BE49-F238E27FC236}">
              <a16:creationId xmlns:a16="http://schemas.microsoft.com/office/drawing/2014/main" id="{F7726290-BFF7-4904-B83A-D7EB8627C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</xdr:row>
      <xdr:rowOff>0</xdr:rowOff>
    </xdr:from>
    <xdr:ext cx="9525" cy="9525"/>
    <xdr:pic>
      <xdr:nvPicPr>
        <xdr:cNvPr id="8470" name="Picture 8469">
          <a:extLst>
            <a:ext uri="{FF2B5EF4-FFF2-40B4-BE49-F238E27FC236}">
              <a16:creationId xmlns:a16="http://schemas.microsoft.com/office/drawing/2014/main" id="{B115CC12-DA57-4F0F-8385-2B9BB6FAC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9525" cy="9525"/>
    <xdr:pic>
      <xdr:nvPicPr>
        <xdr:cNvPr id="8471" name="Picture 8470">
          <a:extLst>
            <a:ext uri="{FF2B5EF4-FFF2-40B4-BE49-F238E27FC236}">
              <a16:creationId xmlns:a16="http://schemas.microsoft.com/office/drawing/2014/main" id="{3817F1F9-E79B-4B0C-8E81-88418B734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9525" cy="9525"/>
    <xdr:pic>
      <xdr:nvPicPr>
        <xdr:cNvPr id="8472" name="Picture 8471">
          <a:extLst>
            <a:ext uri="{FF2B5EF4-FFF2-40B4-BE49-F238E27FC236}">
              <a16:creationId xmlns:a16="http://schemas.microsoft.com/office/drawing/2014/main" id="{3109AA79-5DF7-4AF4-89D3-5A5E5F3B7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9525" cy="9525"/>
    <xdr:pic>
      <xdr:nvPicPr>
        <xdr:cNvPr id="8473" name="Picture 8472">
          <a:extLst>
            <a:ext uri="{FF2B5EF4-FFF2-40B4-BE49-F238E27FC236}">
              <a16:creationId xmlns:a16="http://schemas.microsoft.com/office/drawing/2014/main" id="{A87050FB-B15E-4486-BA89-416E710A7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9525" cy="9525"/>
    <xdr:pic>
      <xdr:nvPicPr>
        <xdr:cNvPr id="8474" name="Picture 8473">
          <a:extLst>
            <a:ext uri="{FF2B5EF4-FFF2-40B4-BE49-F238E27FC236}">
              <a16:creationId xmlns:a16="http://schemas.microsoft.com/office/drawing/2014/main" id="{83DE3F44-39CE-44BD-A5DD-FC18F67D5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014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0</xdr:rowOff>
    </xdr:from>
    <xdr:ext cx="9525" cy="9525"/>
    <xdr:pic>
      <xdr:nvPicPr>
        <xdr:cNvPr id="8475" name="Picture 8474">
          <a:extLst>
            <a:ext uri="{FF2B5EF4-FFF2-40B4-BE49-F238E27FC236}">
              <a16:creationId xmlns:a16="http://schemas.microsoft.com/office/drawing/2014/main" id="{ABC2A506-5D86-45BD-8400-9E4267C9B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0</xdr:rowOff>
    </xdr:from>
    <xdr:ext cx="9525" cy="9525"/>
    <xdr:pic>
      <xdr:nvPicPr>
        <xdr:cNvPr id="8476" name="Picture 8475">
          <a:extLst>
            <a:ext uri="{FF2B5EF4-FFF2-40B4-BE49-F238E27FC236}">
              <a16:creationId xmlns:a16="http://schemas.microsoft.com/office/drawing/2014/main" id="{82F3F7C1-566F-4708-A0ED-F65D87207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0</xdr:rowOff>
    </xdr:from>
    <xdr:ext cx="9525" cy="9525"/>
    <xdr:pic>
      <xdr:nvPicPr>
        <xdr:cNvPr id="8477" name="Picture 8476">
          <a:extLst>
            <a:ext uri="{FF2B5EF4-FFF2-40B4-BE49-F238E27FC236}">
              <a16:creationId xmlns:a16="http://schemas.microsoft.com/office/drawing/2014/main" id="{D5A93F69-6A4A-4A9B-87B6-B0D02634C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0</xdr:rowOff>
    </xdr:from>
    <xdr:ext cx="9525" cy="9525"/>
    <xdr:pic>
      <xdr:nvPicPr>
        <xdr:cNvPr id="8478" name="Picture 8477">
          <a:extLst>
            <a:ext uri="{FF2B5EF4-FFF2-40B4-BE49-F238E27FC236}">
              <a16:creationId xmlns:a16="http://schemas.microsoft.com/office/drawing/2014/main" id="{CE97D9DD-0DCF-45FC-BBC0-AAD9CF924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265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9525" cy="9525"/>
    <xdr:pic>
      <xdr:nvPicPr>
        <xdr:cNvPr id="8479" name="Picture 8478">
          <a:extLst>
            <a:ext uri="{FF2B5EF4-FFF2-40B4-BE49-F238E27FC236}">
              <a16:creationId xmlns:a16="http://schemas.microsoft.com/office/drawing/2014/main" id="{2922FBCC-4EB2-45FF-86A9-99497CF31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9525" cy="9525"/>
    <xdr:pic>
      <xdr:nvPicPr>
        <xdr:cNvPr id="8480" name="Picture 8479">
          <a:extLst>
            <a:ext uri="{FF2B5EF4-FFF2-40B4-BE49-F238E27FC236}">
              <a16:creationId xmlns:a16="http://schemas.microsoft.com/office/drawing/2014/main" id="{EA7F44F4-A6EE-43A3-860D-706E726E0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3440"/>
    <xdr:sp macro="" textlink="">
      <xdr:nvSpPr>
        <xdr:cNvPr id="8481" name="AutoShape 69">
          <a:extLst>
            <a:ext uri="{FF2B5EF4-FFF2-40B4-BE49-F238E27FC236}">
              <a16:creationId xmlns:a16="http://schemas.microsoft.com/office/drawing/2014/main" id="{756FB853-657A-4A2A-A52C-EE9F0FF10A6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16</xdr:row>
      <xdr:rowOff>0</xdr:rowOff>
    </xdr:from>
    <xdr:ext cx="9525" cy="9525"/>
    <xdr:pic>
      <xdr:nvPicPr>
        <xdr:cNvPr id="8482" name="Picture 8481">
          <a:extLst>
            <a:ext uri="{FF2B5EF4-FFF2-40B4-BE49-F238E27FC236}">
              <a16:creationId xmlns:a16="http://schemas.microsoft.com/office/drawing/2014/main" id="{743D835E-F8A6-4842-95DC-A89B72CAB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3440"/>
    <xdr:sp macro="" textlink="">
      <xdr:nvSpPr>
        <xdr:cNvPr id="8483" name="AutoShape 119">
          <a:extLst>
            <a:ext uri="{FF2B5EF4-FFF2-40B4-BE49-F238E27FC236}">
              <a16:creationId xmlns:a16="http://schemas.microsoft.com/office/drawing/2014/main" id="{2BFB098F-035B-41CD-8641-715FDE7BF0A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16</xdr:row>
      <xdr:rowOff>0</xdr:rowOff>
    </xdr:from>
    <xdr:ext cx="9525" cy="9525"/>
    <xdr:pic>
      <xdr:nvPicPr>
        <xdr:cNvPr id="8484" name="Picture 8483">
          <a:extLst>
            <a:ext uri="{FF2B5EF4-FFF2-40B4-BE49-F238E27FC236}">
              <a16:creationId xmlns:a16="http://schemas.microsoft.com/office/drawing/2014/main" id="{64892FE7-1707-4AA9-97EF-0ACFA4253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2182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15</xdr:row>
      <xdr:rowOff>0</xdr:rowOff>
    </xdr:from>
    <xdr:ext cx="304800" cy="303440"/>
    <xdr:sp macro="" textlink="">
      <xdr:nvSpPr>
        <xdr:cNvPr id="8485" name="AutoShape 144">
          <a:extLst>
            <a:ext uri="{FF2B5EF4-FFF2-40B4-BE49-F238E27FC236}">
              <a16:creationId xmlns:a16="http://schemas.microsoft.com/office/drawing/2014/main" id="{5DE188E0-4084-4D2B-9626-D61D3CA009B8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014107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19</xdr:row>
      <xdr:rowOff>0</xdr:rowOff>
    </xdr:from>
    <xdr:ext cx="9525" cy="9525"/>
    <xdr:pic>
      <xdr:nvPicPr>
        <xdr:cNvPr id="8486" name="Picture 8485">
          <a:extLst>
            <a:ext uri="{FF2B5EF4-FFF2-40B4-BE49-F238E27FC236}">
              <a16:creationId xmlns:a16="http://schemas.microsoft.com/office/drawing/2014/main" id="{1E973468-986E-488C-9F31-188748013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19</xdr:row>
      <xdr:rowOff>0</xdr:rowOff>
    </xdr:from>
    <xdr:ext cx="9525" cy="9525"/>
    <xdr:pic>
      <xdr:nvPicPr>
        <xdr:cNvPr id="8487" name="Picture 8486">
          <a:extLst>
            <a:ext uri="{FF2B5EF4-FFF2-40B4-BE49-F238E27FC236}">
              <a16:creationId xmlns:a16="http://schemas.microsoft.com/office/drawing/2014/main" id="{D0500CBE-5EE0-4212-B671-6F2F7DA85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19</xdr:row>
      <xdr:rowOff>0</xdr:rowOff>
    </xdr:from>
    <xdr:ext cx="9525" cy="9525"/>
    <xdr:pic>
      <xdr:nvPicPr>
        <xdr:cNvPr id="8488" name="Picture 8487">
          <a:extLst>
            <a:ext uri="{FF2B5EF4-FFF2-40B4-BE49-F238E27FC236}">
              <a16:creationId xmlns:a16="http://schemas.microsoft.com/office/drawing/2014/main" id="{A22ED8F2-0659-4A33-AFA4-CEA9081CE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8441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</xdr:row>
      <xdr:rowOff>0</xdr:rowOff>
    </xdr:from>
    <xdr:ext cx="9525" cy="9525"/>
    <xdr:pic>
      <xdr:nvPicPr>
        <xdr:cNvPr id="8489" name="Picture 8488">
          <a:extLst>
            <a:ext uri="{FF2B5EF4-FFF2-40B4-BE49-F238E27FC236}">
              <a16:creationId xmlns:a16="http://schemas.microsoft.com/office/drawing/2014/main" id="{45FC1817-5FC1-44D8-A663-2960EA66E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304800" cy="304800"/>
    <xdr:sp macro="" textlink="">
      <xdr:nvSpPr>
        <xdr:cNvPr id="8490" name="AutoShape 40">
          <a:extLst>
            <a:ext uri="{FF2B5EF4-FFF2-40B4-BE49-F238E27FC236}">
              <a16:creationId xmlns:a16="http://schemas.microsoft.com/office/drawing/2014/main" id="{D7631427-FE6F-4D64-BE63-F9B5650F41A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3439"/>
    <xdr:sp macro="" textlink="">
      <xdr:nvSpPr>
        <xdr:cNvPr id="8491" name="AutoShape 42">
          <a:extLst>
            <a:ext uri="{FF2B5EF4-FFF2-40B4-BE49-F238E27FC236}">
              <a16:creationId xmlns:a16="http://schemas.microsoft.com/office/drawing/2014/main" id="{3591E3D3-DB5D-44C3-9E0F-0A74C6F2E984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9525" cy="9525"/>
    <xdr:pic>
      <xdr:nvPicPr>
        <xdr:cNvPr id="8492" name="Picture 8491">
          <a:extLst>
            <a:ext uri="{FF2B5EF4-FFF2-40B4-BE49-F238E27FC236}">
              <a16:creationId xmlns:a16="http://schemas.microsoft.com/office/drawing/2014/main" id="{C0C08173-513B-426C-8196-B849AC6B0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304800" cy="304800"/>
    <xdr:sp macro="" textlink="">
      <xdr:nvSpPr>
        <xdr:cNvPr id="8493" name="AutoShape 63">
          <a:extLst>
            <a:ext uri="{FF2B5EF4-FFF2-40B4-BE49-F238E27FC236}">
              <a16:creationId xmlns:a16="http://schemas.microsoft.com/office/drawing/2014/main" id="{30852484-6755-455B-8EC7-2A346A15B859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3439"/>
    <xdr:sp macro="" textlink="">
      <xdr:nvSpPr>
        <xdr:cNvPr id="8494" name="AutoShape 65">
          <a:extLst>
            <a:ext uri="{FF2B5EF4-FFF2-40B4-BE49-F238E27FC236}">
              <a16:creationId xmlns:a16="http://schemas.microsoft.com/office/drawing/2014/main" id="{4307140C-7C1F-4511-8631-748D9E47699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9525" cy="9525"/>
    <xdr:pic>
      <xdr:nvPicPr>
        <xdr:cNvPr id="8495" name="Picture 8494">
          <a:extLst>
            <a:ext uri="{FF2B5EF4-FFF2-40B4-BE49-F238E27FC236}">
              <a16:creationId xmlns:a16="http://schemas.microsoft.com/office/drawing/2014/main" id="{FAEF73B2-1F2C-4795-AC49-31F3458B5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304800" cy="304800"/>
    <xdr:sp macro="" textlink="">
      <xdr:nvSpPr>
        <xdr:cNvPr id="8496" name="AutoShape 113">
          <a:extLst>
            <a:ext uri="{FF2B5EF4-FFF2-40B4-BE49-F238E27FC236}">
              <a16:creationId xmlns:a16="http://schemas.microsoft.com/office/drawing/2014/main" id="{B502BEDA-7370-4C83-A2BE-A1537CBB06E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3439"/>
    <xdr:sp macro="" textlink="">
      <xdr:nvSpPr>
        <xdr:cNvPr id="8497" name="AutoShape 115">
          <a:extLst>
            <a:ext uri="{FF2B5EF4-FFF2-40B4-BE49-F238E27FC236}">
              <a16:creationId xmlns:a16="http://schemas.microsoft.com/office/drawing/2014/main" id="{138DDB32-B520-4AB9-85D6-532249DEEA1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9525" cy="9525"/>
    <xdr:pic>
      <xdr:nvPicPr>
        <xdr:cNvPr id="8498" name="Picture 8497">
          <a:extLst>
            <a:ext uri="{FF2B5EF4-FFF2-40B4-BE49-F238E27FC236}">
              <a16:creationId xmlns:a16="http://schemas.microsoft.com/office/drawing/2014/main" id="{27A21D07-BBD8-42FE-88E4-8D21C0B78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435929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16</xdr:row>
      <xdr:rowOff>0</xdr:rowOff>
    </xdr:from>
    <xdr:ext cx="304800" cy="304800"/>
    <xdr:sp macro="" textlink="">
      <xdr:nvSpPr>
        <xdr:cNvPr id="8499" name="AutoShape 138">
          <a:extLst>
            <a:ext uri="{FF2B5EF4-FFF2-40B4-BE49-F238E27FC236}">
              <a16:creationId xmlns:a16="http://schemas.microsoft.com/office/drawing/2014/main" id="{EBB1427B-9DEF-4C27-90C3-5CB559A93A4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2182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3439"/>
    <xdr:sp macro="" textlink="">
      <xdr:nvSpPr>
        <xdr:cNvPr id="8500" name="AutoShape 140">
          <a:extLst>
            <a:ext uri="{FF2B5EF4-FFF2-40B4-BE49-F238E27FC236}">
              <a16:creationId xmlns:a16="http://schemas.microsoft.com/office/drawing/2014/main" id="{8116F993-0D13-41E8-9F7E-F06BC76EDF2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443592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18</xdr:row>
      <xdr:rowOff>0</xdr:rowOff>
    </xdr:from>
    <xdr:ext cx="9525" cy="9525"/>
    <xdr:pic>
      <xdr:nvPicPr>
        <xdr:cNvPr id="8501" name="Picture 8500">
          <a:extLst>
            <a:ext uri="{FF2B5EF4-FFF2-40B4-BE49-F238E27FC236}">
              <a16:creationId xmlns:a16="http://schemas.microsoft.com/office/drawing/2014/main" id="{201952BF-0BAC-4CD7-8B4F-A8E6BA400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18</xdr:row>
      <xdr:rowOff>0</xdr:rowOff>
    </xdr:from>
    <xdr:ext cx="9525" cy="9525"/>
    <xdr:pic>
      <xdr:nvPicPr>
        <xdr:cNvPr id="8502" name="Picture 8501">
          <a:extLst>
            <a:ext uri="{FF2B5EF4-FFF2-40B4-BE49-F238E27FC236}">
              <a16:creationId xmlns:a16="http://schemas.microsoft.com/office/drawing/2014/main" id="{2139A96D-1B29-4C63-B4A0-FBF288A0C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18</xdr:row>
      <xdr:rowOff>0</xdr:rowOff>
    </xdr:from>
    <xdr:ext cx="9525" cy="9525"/>
    <xdr:pic>
      <xdr:nvPicPr>
        <xdr:cNvPr id="8503" name="Picture 8502">
          <a:extLst>
            <a:ext uri="{FF2B5EF4-FFF2-40B4-BE49-F238E27FC236}">
              <a16:creationId xmlns:a16="http://schemas.microsoft.com/office/drawing/2014/main" id="{97D24491-AAD8-48F5-90DB-69F0D3160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18</xdr:row>
      <xdr:rowOff>0</xdr:rowOff>
    </xdr:from>
    <xdr:ext cx="9525" cy="9525"/>
    <xdr:pic>
      <xdr:nvPicPr>
        <xdr:cNvPr id="8504" name="Picture 8503">
          <a:extLst>
            <a:ext uri="{FF2B5EF4-FFF2-40B4-BE49-F238E27FC236}">
              <a16:creationId xmlns:a16="http://schemas.microsoft.com/office/drawing/2014/main" id="{2A303883-EFAE-4CB9-BACE-599898CC4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465364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9525" cy="9525"/>
    <xdr:pic>
      <xdr:nvPicPr>
        <xdr:cNvPr id="8505" name="Picture 8504">
          <a:extLst>
            <a:ext uri="{FF2B5EF4-FFF2-40B4-BE49-F238E27FC236}">
              <a16:creationId xmlns:a16="http://schemas.microsoft.com/office/drawing/2014/main" id="{B6A08A35-E831-47DF-BC17-53EC365A0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9525" cy="9525"/>
    <xdr:pic>
      <xdr:nvPicPr>
        <xdr:cNvPr id="8506" name="Picture 8505">
          <a:extLst>
            <a:ext uri="{FF2B5EF4-FFF2-40B4-BE49-F238E27FC236}">
              <a16:creationId xmlns:a16="http://schemas.microsoft.com/office/drawing/2014/main" id="{4F6EF8AC-5CE0-46AD-845A-F8973E54E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9525" cy="9525"/>
    <xdr:pic>
      <xdr:nvPicPr>
        <xdr:cNvPr id="8507" name="Picture 8506">
          <a:extLst>
            <a:ext uri="{FF2B5EF4-FFF2-40B4-BE49-F238E27FC236}">
              <a16:creationId xmlns:a16="http://schemas.microsoft.com/office/drawing/2014/main" id="{EEC0AAE0-BCC6-4B8C-A0E1-DE92A2D0C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9525" cy="9525"/>
    <xdr:pic>
      <xdr:nvPicPr>
        <xdr:cNvPr id="8508" name="Picture 8507">
          <a:extLst>
            <a:ext uri="{FF2B5EF4-FFF2-40B4-BE49-F238E27FC236}">
              <a16:creationId xmlns:a16="http://schemas.microsoft.com/office/drawing/2014/main" id="{C2CE056F-E85C-4E10-BD1C-B9FD6B06F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</xdr:row>
      <xdr:rowOff>0</xdr:rowOff>
    </xdr:from>
    <xdr:ext cx="9525" cy="9525"/>
    <xdr:pic>
      <xdr:nvPicPr>
        <xdr:cNvPr id="8509" name="Picture 8508">
          <a:extLst>
            <a:ext uri="{FF2B5EF4-FFF2-40B4-BE49-F238E27FC236}">
              <a16:creationId xmlns:a16="http://schemas.microsoft.com/office/drawing/2014/main" id="{3FFC4484-E8E9-40BF-8E41-E5DA9A66E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304800" cy="304800"/>
    <xdr:sp macro="" textlink="">
      <xdr:nvSpPr>
        <xdr:cNvPr id="8510" name="AutoShape 38">
          <a:extLst>
            <a:ext uri="{FF2B5EF4-FFF2-40B4-BE49-F238E27FC236}">
              <a16:creationId xmlns:a16="http://schemas.microsoft.com/office/drawing/2014/main" id="{A40A25EA-7133-4117-9595-09B957648F2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304800" cy="304800"/>
    <xdr:sp macro="" textlink="">
      <xdr:nvSpPr>
        <xdr:cNvPr id="8511" name="AutoShape 40">
          <a:extLst>
            <a:ext uri="{FF2B5EF4-FFF2-40B4-BE49-F238E27FC236}">
              <a16:creationId xmlns:a16="http://schemas.microsoft.com/office/drawing/2014/main" id="{2BBFA2D1-5A28-4AD9-A166-7F4EBDEFB4AC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9525"/>
    <xdr:pic>
      <xdr:nvPicPr>
        <xdr:cNvPr id="8512" name="Picture 8511">
          <a:extLst>
            <a:ext uri="{FF2B5EF4-FFF2-40B4-BE49-F238E27FC236}">
              <a16:creationId xmlns:a16="http://schemas.microsoft.com/office/drawing/2014/main" id="{7850115E-DCAA-4E71-A555-BCB3191BB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304800" cy="304800"/>
    <xdr:sp macro="" textlink="">
      <xdr:nvSpPr>
        <xdr:cNvPr id="8513" name="AutoShape 61">
          <a:extLst>
            <a:ext uri="{FF2B5EF4-FFF2-40B4-BE49-F238E27FC236}">
              <a16:creationId xmlns:a16="http://schemas.microsoft.com/office/drawing/2014/main" id="{4A3C1D4B-59E2-4EBB-B820-FEB28F75F414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304800" cy="304800"/>
    <xdr:sp macro="" textlink="">
      <xdr:nvSpPr>
        <xdr:cNvPr id="8514" name="AutoShape 63">
          <a:extLst>
            <a:ext uri="{FF2B5EF4-FFF2-40B4-BE49-F238E27FC236}">
              <a16:creationId xmlns:a16="http://schemas.microsoft.com/office/drawing/2014/main" id="{A1A68D33-8C76-40F0-9D68-245A56CDE5E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9525"/>
    <xdr:pic>
      <xdr:nvPicPr>
        <xdr:cNvPr id="8515" name="Picture 8514">
          <a:extLst>
            <a:ext uri="{FF2B5EF4-FFF2-40B4-BE49-F238E27FC236}">
              <a16:creationId xmlns:a16="http://schemas.microsoft.com/office/drawing/2014/main" id="{CBD33C84-0E9C-4643-BFAC-D8B8C78E8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304800" cy="304800"/>
    <xdr:sp macro="" textlink="">
      <xdr:nvSpPr>
        <xdr:cNvPr id="8516" name="AutoShape 111">
          <a:extLst>
            <a:ext uri="{FF2B5EF4-FFF2-40B4-BE49-F238E27FC236}">
              <a16:creationId xmlns:a16="http://schemas.microsoft.com/office/drawing/2014/main" id="{75C6EFE6-91D3-40F2-B594-B8D6EF2C99A6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304800" cy="304800"/>
    <xdr:sp macro="" textlink="">
      <xdr:nvSpPr>
        <xdr:cNvPr id="8517" name="AutoShape 113">
          <a:extLst>
            <a:ext uri="{FF2B5EF4-FFF2-40B4-BE49-F238E27FC236}">
              <a16:creationId xmlns:a16="http://schemas.microsoft.com/office/drawing/2014/main" id="{D2B3929D-6E8F-468F-9223-EB049D2E9B1B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9525" cy="9525"/>
    <xdr:pic>
      <xdr:nvPicPr>
        <xdr:cNvPr id="8518" name="Picture 8517">
          <a:extLst>
            <a:ext uri="{FF2B5EF4-FFF2-40B4-BE49-F238E27FC236}">
              <a16:creationId xmlns:a16="http://schemas.microsoft.com/office/drawing/2014/main" id="{8461A72A-0193-439B-8B28-267A01B4C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9</xdr:row>
      <xdr:rowOff>0</xdr:rowOff>
    </xdr:from>
    <xdr:ext cx="304800" cy="304800"/>
    <xdr:sp macro="" textlink="">
      <xdr:nvSpPr>
        <xdr:cNvPr id="8519" name="AutoShape 136">
          <a:extLst>
            <a:ext uri="{FF2B5EF4-FFF2-40B4-BE49-F238E27FC236}">
              <a16:creationId xmlns:a16="http://schemas.microsoft.com/office/drawing/2014/main" id="{8627826D-674B-4E8D-BD13-22A829F44F69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304800" cy="304800"/>
    <xdr:sp macro="" textlink="">
      <xdr:nvSpPr>
        <xdr:cNvPr id="8520" name="AutoShape 138">
          <a:extLst>
            <a:ext uri="{FF2B5EF4-FFF2-40B4-BE49-F238E27FC236}">
              <a16:creationId xmlns:a16="http://schemas.microsoft.com/office/drawing/2014/main" id="{D52CC28B-3F9D-4660-8EE0-8E4B33E31E85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22</xdr:row>
      <xdr:rowOff>0</xdr:rowOff>
    </xdr:from>
    <xdr:ext cx="9525" cy="9525"/>
    <xdr:pic>
      <xdr:nvPicPr>
        <xdr:cNvPr id="8521" name="Picture 8520">
          <a:extLst>
            <a:ext uri="{FF2B5EF4-FFF2-40B4-BE49-F238E27FC236}">
              <a16:creationId xmlns:a16="http://schemas.microsoft.com/office/drawing/2014/main" id="{D55000B2-B9BD-4ADB-B02F-81D969C2E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22</xdr:row>
      <xdr:rowOff>0</xdr:rowOff>
    </xdr:from>
    <xdr:ext cx="9525" cy="9525"/>
    <xdr:pic>
      <xdr:nvPicPr>
        <xdr:cNvPr id="8522" name="Picture 8521">
          <a:extLst>
            <a:ext uri="{FF2B5EF4-FFF2-40B4-BE49-F238E27FC236}">
              <a16:creationId xmlns:a16="http://schemas.microsoft.com/office/drawing/2014/main" id="{636FBA40-418F-49B9-B75B-2B00189DC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22</xdr:row>
      <xdr:rowOff>0</xdr:rowOff>
    </xdr:from>
    <xdr:ext cx="9525" cy="9525"/>
    <xdr:pic>
      <xdr:nvPicPr>
        <xdr:cNvPr id="8523" name="Picture 8522">
          <a:extLst>
            <a:ext uri="{FF2B5EF4-FFF2-40B4-BE49-F238E27FC236}">
              <a16:creationId xmlns:a16="http://schemas.microsoft.com/office/drawing/2014/main" id="{121E8BA7-7BC4-42B7-AE35-8965D2A6A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22</xdr:row>
      <xdr:rowOff>0</xdr:rowOff>
    </xdr:from>
    <xdr:ext cx="9525" cy="9525"/>
    <xdr:pic>
      <xdr:nvPicPr>
        <xdr:cNvPr id="8524" name="Picture 8523">
          <a:extLst>
            <a:ext uri="{FF2B5EF4-FFF2-40B4-BE49-F238E27FC236}">
              <a16:creationId xmlns:a16="http://schemas.microsoft.com/office/drawing/2014/main" id="{9A763670-FCA0-4C19-A0E1-C47F15942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9525" cy="9525"/>
    <xdr:pic>
      <xdr:nvPicPr>
        <xdr:cNvPr id="8525" name="Picture 8524">
          <a:extLst>
            <a:ext uri="{FF2B5EF4-FFF2-40B4-BE49-F238E27FC236}">
              <a16:creationId xmlns:a16="http://schemas.microsoft.com/office/drawing/2014/main" id="{EEB003AB-BAE4-4DE5-8ECE-83FBC9DF1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526" name="AutoShape 38">
          <a:extLst>
            <a:ext uri="{FF2B5EF4-FFF2-40B4-BE49-F238E27FC236}">
              <a16:creationId xmlns:a16="http://schemas.microsoft.com/office/drawing/2014/main" id="{63447BE6-C2F4-43B9-94A8-D75C0F386FE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23</xdr:row>
      <xdr:rowOff>0</xdr:rowOff>
    </xdr:from>
    <xdr:ext cx="9525" cy="9525"/>
    <xdr:pic>
      <xdr:nvPicPr>
        <xdr:cNvPr id="8527" name="Picture 8526">
          <a:extLst>
            <a:ext uri="{FF2B5EF4-FFF2-40B4-BE49-F238E27FC236}">
              <a16:creationId xmlns:a16="http://schemas.microsoft.com/office/drawing/2014/main" id="{DBA7153D-810A-4EFE-B1D9-EDA2C483E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528" name="AutoShape 61">
          <a:extLst>
            <a:ext uri="{FF2B5EF4-FFF2-40B4-BE49-F238E27FC236}">
              <a16:creationId xmlns:a16="http://schemas.microsoft.com/office/drawing/2014/main" id="{284FF194-9137-43F1-8B27-B4F9A0D13616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23</xdr:row>
      <xdr:rowOff>0</xdr:rowOff>
    </xdr:from>
    <xdr:ext cx="9525" cy="9525"/>
    <xdr:pic>
      <xdr:nvPicPr>
        <xdr:cNvPr id="8529" name="Picture 8528">
          <a:extLst>
            <a:ext uri="{FF2B5EF4-FFF2-40B4-BE49-F238E27FC236}">
              <a16:creationId xmlns:a16="http://schemas.microsoft.com/office/drawing/2014/main" id="{60FAB0C0-B7E0-4413-AE7B-001BD68EC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530" name="AutoShape 111">
          <a:extLst>
            <a:ext uri="{FF2B5EF4-FFF2-40B4-BE49-F238E27FC236}">
              <a16:creationId xmlns:a16="http://schemas.microsoft.com/office/drawing/2014/main" id="{8A736EB4-D223-4F3E-93B0-9C9BD9F79D42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23</xdr:row>
      <xdr:rowOff>0</xdr:rowOff>
    </xdr:from>
    <xdr:ext cx="9525" cy="9525"/>
    <xdr:pic>
      <xdr:nvPicPr>
        <xdr:cNvPr id="8531" name="Picture 8530">
          <a:extLst>
            <a:ext uri="{FF2B5EF4-FFF2-40B4-BE49-F238E27FC236}">
              <a16:creationId xmlns:a16="http://schemas.microsoft.com/office/drawing/2014/main" id="{B2A9014F-A975-4F0B-8FCE-ECE02DC5B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532" name="AutoShape 136">
          <a:extLst>
            <a:ext uri="{FF2B5EF4-FFF2-40B4-BE49-F238E27FC236}">
              <a16:creationId xmlns:a16="http://schemas.microsoft.com/office/drawing/2014/main" id="{953FBA8A-88D8-43E2-83BD-8892E9E712EF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533" name="AutoShape 44">
          <a:extLst>
            <a:ext uri="{FF2B5EF4-FFF2-40B4-BE49-F238E27FC236}">
              <a16:creationId xmlns:a16="http://schemas.microsoft.com/office/drawing/2014/main" id="{0759191B-D928-45ED-8F69-B090F917C662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534" name="AutoShape 67">
          <a:extLst>
            <a:ext uri="{FF2B5EF4-FFF2-40B4-BE49-F238E27FC236}">
              <a16:creationId xmlns:a16="http://schemas.microsoft.com/office/drawing/2014/main" id="{1572718D-9064-4244-8B07-BE901C2E6CAE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304800" cy="303440"/>
    <xdr:sp macro="" textlink="">
      <xdr:nvSpPr>
        <xdr:cNvPr id="8535" name="AutoShape 69">
          <a:extLst>
            <a:ext uri="{FF2B5EF4-FFF2-40B4-BE49-F238E27FC236}">
              <a16:creationId xmlns:a16="http://schemas.microsoft.com/office/drawing/2014/main" id="{F51E64EF-B3AF-4517-B069-3456B7D50A8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9525"/>
    <xdr:pic>
      <xdr:nvPicPr>
        <xdr:cNvPr id="8536" name="Picture 8535">
          <a:extLst>
            <a:ext uri="{FF2B5EF4-FFF2-40B4-BE49-F238E27FC236}">
              <a16:creationId xmlns:a16="http://schemas.microsoft.com/office/drawing/2014/main" id="{5C7B1B44-B4A3-4698-833F-67D61254A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537" name="AutoShape 117">
          <a:extLst>
            <a:ext uri="{FF2B5EF4-FFF2-40B4-BE49-F238E27FC236}">
              <a16:creationId xmlns:a16="http://schemas.microsoft.com/office/drawing/2014/main" id="{F2D94C25-C9A4-49A7-AEAC-BA7399469D50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304800" cy="303440"/>
    <xdr:sp macro="" textlink="">
      <xdr:nvSpPr>
        <xdr:cNvPr id="8538" name="AutoShape 119">
          <a:extLst>
            <a:ext uri="{FF2B5EF4-FFF2-40B4-BE49-F238E27FC236}">
              <a16:creationId xmlns:a16="http://schemas.microsoft.com/office/drawing/2014/main" id="{C267ECA2-ADE0-44D5-896B-3AA229E9053D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9525" cy="9525"/>
    <xdr:pic>
      <xdr:nvPicPr>
        <xdr:cNvPr id="8539" name="Picture 8538">
          <a:extLst>
            <a:ext uri="{FF2B5EF4-FFF2-40B4-BE49-F238E27FC236}">
              <a16:creationId xmlns:a16="http://schemas.microsoft.com/office/drawing/2014/main" id="{DC7C0E24-A5A3-4A5C-98C4-8BC69E9C7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0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23</xdr:row>
      <xdr:rowOff>0</xdr:rowOff>
    </xdr:from>
    <xdr:ext cx="304800" cy="304800"/>
    <xdr:sp macro="" textlink="">
      <xdr:nvSpPr>
        <xdr:cNvPr id="8540" name="AutoShape 142">
          <a:extLst>
            <a:ext uri="{FF2B5EF4-FFF2-40B4-BE49-F238E27FC236}">
              <a16:creationId xmlns:a16="http://schemas.microsoft.com/office/drawing/2014/main" id="{7A09FA2B-E1A0-4E12-A6AA-F56FC816D453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24</xdr:row>
      <xdr:rowOff>0</xdr:rowOff>
    </xdr:from>
    <xdr:ext cx="304800" cy="303440"/>
    <xdr:sp macro="" textlink="">
      <xdr:nvSpPr>
        <xdr:cNvPr id="8541" name="AutoShape 144">
          <a:extLst>
            <a:ext uri="{FF2B5EF4-FFF2-40B4-BE49-F238E27FC236}">
              <a16:creationId xmlns:a16="http://schemas.microsoft.com/office/drawing/2014/main" id="{A86A1991-0785-4269-8B3F-B175DC36671A}"/>
            </a:ext>
          </a:extLst>
        </xdr:cNvPr>
        <xdr:cNvSpPr>
          <a:spLocks noChangeAspect="1" noChangeArrowheads="1"/>
        </xdr:cNvSpPr>
      </xdr:nvSpPr>
      <xdr:spPr bwMode="auto">
        <a:xfrm>
          <a:off x="96297750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3</xdr:row>
      <xdr:rowOff>0</xdr:rowOff>
    </xdr:from>
    <xdr:ext cx="9525" cy="9525"/>
    <xdr:pic>
      <xdr:nvPicPr>
        <xdr:cNvPr id="8542" name="Picture 8541">
          <a:extLst>
            <a:ext uri="{FF2B5EF4-FFF2-40B4-BE49-F238E27FC236}">
              <a16:creationId xmlns:a16="http://schemas.microsoft.com/office/drawing/2014/main" id="{CE7043FD-6727-41DB-8DB7-06DC1704E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</xdr:row>
      <xdr:rowOff>0</xdr:rowOff>
    </xdr:from>
    <xdr:ext cx="304800" cy="303439"/>
    <xdr:sp macro="" textlink="">
      <xdr:nvSpPr>
        <xdr:cNvPr id="8543" name="AutoShape 148">
          <a:extLst>
            <a:ext uri="{FF2B5EF4-FFF2-40B4-BE49-F238E27FC236}">
              <a16:creationId xmlns:a16="http://schemas.microsoft.com/office/drawing/2014/main" id="{B6C9A71E-8D9A-4A3C-96A3-09D8062C44B4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3</xdr:row>
      <xdr:rowOff>0</xdr:rowOff>
    </xdr:from>
    <xdr:ext cx="304800" cy="304800"/>
    <xdr:sp macro="" textlink="">
      <xdr:nvSpPr>
        <xdr:cNvPr id="8544" name="AutoShape 150">
          <a:extLst>
            <a:ext uri="{FF2B5EF4-FFF2-40B4-BE49-F238E27FC236}">
              <a16:creationId xmlns:a16="http://schemas.microsoft.com/office/drawing/2014/main" id="{9EA48479-46C3-4294-9DA5-8B4EDDB1779A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5</xdr:row>
      <xdr:rowOff>0</xdr:rowOff>
    </xdr:from>
    <xdr:ext cx="9525" cy="9525"/>
    <xdr:pic>
      <xdr:nvPicPr>
        <xdr:cNvPr id="8545" name="Picture 8544">
          <a:extLst>
            <a:ext uri="{FF2B5EF4-FFF2-40B4-BE49-F238E27FC236}">
              <a16:creationId xmlns:a16="http://schemas.microsoft.com/office/drawing/2014/main" id="{093FDA54-1BA5-4B96-BB7D-FA3689C0A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6</xdr:row>
      <xdr:rowOff>0</xdr:rowOff>
    </xdr:from>
    <xdr:ext cx="9525" cy="9525"/>
    <xdr:pic>
      <xdr:nvPicPr>
        <xdr:cNvPr id="8546" name="Picture 8545">
          <a:extLst>
            <a:ext uri="{FF2B5EF4-FFF2-40B4-BE49-F238E27FC236}">
              <a16:creationId xmlns:a16="http://schemas.microsoft.com/office/drawing/2014/main" id="{ADC4D960-F643-4B73-B3E6-48E3D10DA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6</xdr:row>
      <xdr:rowOff>0</xdr:rowOff>
    </xdr:from>
    <xdr:ext cx="304800" cy="304800"/>
    <xdr:sp macro="" textlink="">
      <xdr:nvSpPr>
        <xdr:cNvPr id="8547" name="AutoShape 154">
          <a:extLst>
            <a:ext uri="{FF2B5EF4-FFF2-40B4-BE49-F238E27FC236}">
              <a16:creationId xmlns:a16="http://schemas.microsoft.com/office/drawing/2014/main" id="{F2C810C7-8009-411C-A3C3-872B0A9D0E06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9525" cy="9525"/>
    <xdr:pic>
      <xdr:nvPicPr>
        <xdr:cNvPr id="8548" name="Picture 8547">
          <a:extLst>
            <a:ext uri="{FF2B5EF4-FFF2-40B4-BE49-F238E27FC236}">
              <a16:creationId xmlns:a16="http://schemas.microsoft.com/office/drawing/2014/main" id="{B202FD9B-39F4-439C-8F8D-E068D7513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12</xdr:row>
      <xdr:rowOff>0</xdr:rowOff>
    </xdr:from>
    <xdr:ext cx="304800" cy="303439"/>
    <xdr:sp macro="" textlink="">
      <xdr:nvSpPr>
        <xdr:cNvPr id="8549" name="AutoShape 165">
          <a:extLst>
            <a:ext uri="{FF2B5EF4-FFF2-40B4-BE49-F238E27FC236}">
              <a16:creationId xmlns:a16="http://schemas.microsoft.com/office/drawing/2014/main" id="{04C0804C-FC97-4687-96C1-9F11ED3E499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3</xdr:row>
      <xdr:rowOff>0</xdr:rowOff>
    </xdr:from>
    <xdr:ext cx="9525" cy="9525"/>
    <xdr:pic>
      <xdr:nvPicPr>
        <xdr:cNvPr id="8550" name="Picture 8549">
          <a:extLst>
            <a:ext uri="{FF2B5EF4-FFF2-40B4-BE49-F238E27FC236}">
              <a16:creationId xmlns:a16="http://schemas.microsoft.com/office/drawing/2014/main" id="{F28B2E58-F2F4-4DA8-9F4C-9FCC9E499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</xdr:row>
      <xdr:rowOff>0</xdr:rowOff>
    </xdr:from>
    <xdr:ext cx="304800" cy="303439"/>
    <xdr:sp macro="" textlink="">
      <xdr:nvSpPr>
        <xdr:cNvPr id="8551" name="AutoShape 177">
          <a:extLst>
            <a:ext uri="{FF2B5EF4-FFF2-40B4-BE49-F238E27FC236}">
              <a16:creationId xmlns:a16="http://schemas.microsoft.com/office/drawing/2014/main" id="{0E3D6123-EE53-4915-BF91-E954FFE5660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4</xdr:row>
      <xdr:rowOff>0</xdr:rowOff>
    </xdr:from>
    <xdr:ext cx="9525" cy="9525"/>
    <xdr:pic>
      <xdr:nvPicPr>
        <xdr:cNvPr id="8552" name="Picture 8551">
          <a:extLst>
            <a:ext uri="{FF2B5EF4-FFF2-40B4-BE49-F238E27FC236}">
              <a16:creationId xmlns:a16="http://schemas.microsoft.com/office/drawing/2014/main" id="{54AA433A-A6ED-4EEE-ACFD-A400ED1DC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9525" cy="9525"/>
    <xdr:pic>
      <xdr:nvPicPr>
        <xdr:cNvPr id="8553" name="Picture 8552">
          <a:extLst>
            <a:ext uri="{FF2B5EF4-FFF2-40B4-BE49-F238E27FC236}">
              <a16:creationId xmlns:a16="http://schemas.microsoft.com/office/drawing/2014/main" id="{CCB19F15-339A-4D69-ADDF-B35341EB3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6</xdr:row>
      <xdr:rowOff>0</xdr:rowOff>
    </xdr:from>
    <xdr:ext cx="9525" cy="9525"/>
    <xdr:pic>
      <xdr:nvPicPr>
        <xdr:cNvPr id="8554" name="Picture 8553">
          <a:extLst>
            <a:ext uri="{FF2B5EF4-FFF2-40B4-BE49-F238E27FC236}">
              <a16:creationId xmlns:a16="http://schemas.microsoft.com/office/drawing/2014/main" id="{08FFF3B3-0007-40C5-BEC4-34759E0C6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304800" cy="304800"/>
    <xdr:sp macro="" textlink="">
      <xdr:nvSpPr>
        <xdr:cNvPr id="8555" name="AutoShape 181">
          <a:extLst>
            <a:ext uri="{FF2B5EF4-FFF2-40B4-BE49-F238E27FC236}">
              <a16:creationId xmlns:a16="http://schemas.microsoft.com/office/drawing/2014/main" id="{836C6DAE-A937-4ED6-A97E-0EA7318BC556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9525" cy="9525"/>
    <xdr:pic>
      <xdr:nvPicPr>
        <xdr:cNvPr id="8556" name="Picture 8555">
          <a:extLst>
            <a:ext uri="{FF2B5EF4-FFF2-40B4-BE49-F238E27FC236}">
              <a16:creationId xmlns:a16="http://schemas.microsoft.com/office/drawing/2014/main" id="{9B01451F-2226-477A-9EF5-8B5237E3C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12</xdr:row>
      <xdr:rowOff>0</xdr:rowOff>
    </xdr:from>
    <xdr:ext cx="304800" cy="303439"/>
    <xdr:sp macro="" textlink="">
      <xdr:nvSpPr>
        <xdr:cNvPr id="8557" name="AutoShape 195">
          <a:extLst>
            <a:ext uri="{FF2B5EF4-FFF2-40B4-BE49-F238E27FC236}">
              <a16:creationId xmlns:a16="http://schemas.microsoft.com/office/drawing/2014/main" id="{4671CB35-4E30-4206-A343-F6C7FEDB5FB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3</xdr:row>
      <xdr:rowOff>0</xdr:rowOff>
    </xdr:from>
    <xdr:ext cx="9525" cy="9525"/>
    <xdr:pic>
      <xdr:nvPicPr>
        <xdr:cNvPr id="8558" name="Picture 8557">
          <a:extLst>
            <a:ext uri="{FF2B5EF4-FFF2-40B4-BE49-F238E27FC236}">
              <a16:creationId xmlns:a16="http://schemas.microsoft.com/office/drawing/2014/main" id="{8E62F231-E019-4C90-9000-DE0EC5705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</xdr:row>
      <xdr:rowOff>0</xdr:rowOff>
    </xdr:from>
    <xdr:ext cx="304800" cy="303439"/>
    <xdr:sp macro="" textlink="">
      <xdr:nvSpPr>
        <xdr:cNvPr id="8559" name="AutoShape 203">
          <a:extLst>
            <a:ext uri="{FF2B5EF4-FFF2-40B4-BE49-F238E27FC236}">
              <a16:creationId xmlns:a16="http://schemas.microsoft.com/office/drawing/2014/main" id="{BB297A94-1D35-454E-BD12-10DCB2DE5A57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4</xdr:row>
      <xdr:rowOff>0</xdr:rowOff>
    </xdr:from>
    <xdr:ext cx="9525" cy="9525"/>
    <xdr:pic>
      <xdr:nvPicPr>
        <xdr:cNvPr id="8560" name="Picture 8559">
          <a:extLst>
            <a:ext uri="{FF2B5EF4-FFF2-40B4-BE49-F238E27FC236}">
              <a16:creationId xmlns:a16="http://schemas.microsoft.com/office/drawing/2014/main" id="{3922808A-BCCD-4953-BB1D-FAFD4425B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9525" cy="9525"/>
    <xdr:pic>
      <xdr:nvPicPr>
        <xdr:cNvPr id="8561" name="Picture 8560">
          <a:extLst>
            <a:ext uri="{FF2B5EF4-FFF2-40B4-BE49-F238E27FC236}">
              <a16:creationId xmlns:a16="http://schemas.microsoft.com/office/drawing/2014/main" id="{B4E15787-498A-4789-8CE3-38EEF958F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6</xdr:row>
      <xdr:rowOff>0</xdr:rowOff>
    </xdr:from>
    <xdr:ext cx="9525" cy="9525"/>
    <xdr:pic>
      <xdr:nvPicPr>
        <xdr:cNvPr id="8562" name="Picture 8561">
          <a:extLst>
            <a:ext uri="{FF2B5EF4-FFF2-40B4-BE49-F238E27FC236}">
              <a16:creationId xmlns:a16="http://schemas.microsoft.com/office/drawing/2014/main" id="{8FAB5B99-1A1D-4F58-BA9F-2A1EA767B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304800" cy="304800"/>
    <xdr:sp macro="" textlink="">
      <xdr:nvSpPr>
        <xdr:cNvPr id="8563" name="AutoShape 207">
          <a:extLst>
            <a:ext uri="{FF2B5EF4-FFF2-40B4-BE49-F238E27FC236}">
              <a16:creationId xmlns:a16="http://schemas.microsoft.com/office/drawing/2014/main" id="{9B0D0D97-B68F-4C2E-8EF9-1B704353BED6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9525" cy="9525"/>
    <xdr:pic>
      <xdr:nvPicPr>
        <xdr:cNvPr id="8564" name="Picture 8563">
          <a:extLst>
            <a:ext uri="{FF2B5EF4-FFF2-40B4-BE49-F238E27FC236}">
              <a16:creationId xmlns:a16="http://schemas.microsoft.com/office/drawing/2014/main" id="{E8C53203-6BE6-4C57-B6DC-741254A0A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12</xdr:row>
      <xdr:rowOff>0</xdr:rowOff>
    </xdr:from>
    <xdr:ext cx="304800" cy="303439"/>
    <xdr:sp macro="" textlink="">
      <xdr:nvSpPr>
        <xdr:cNvPr id="8565" name="AutoShape 221">
          <a:extLst>
            <a:ext uri="{FF2B5EF4-FFF2-40B4-BE49-F238E27FC236}">
              <a16:creationId xmlns:a16="http://schemas.microsoft.com/office/drawing/2014/main" id="{249697A0-5883-4CF8-9932-C1D0EE2B526D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304800" cy="304800"/>
    <xdr:sp macro="" textlink="">
      <xdr:nvSpPr>
        <xdr:cNvPr id="8566" name="AutoShape 223">
          <a:extLst>
            <a:ext uri="{FF2B5EF4-FFF2-40B4-BE49-F238E27FC236}">
              <a16:creationId xmlns:a16="http://schemas.microsoft.com/office/drawing/2014/main" id="{95B9464A-B8D0-4B02-804D-EE6EC33602D0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3</xdr:row>
      <xdr:rowOff>0</xdr:rowOff>
    </xdr:from>
    <xdr:ext cx="9525" cy="9525"/>
    <xdr:pic>
      <xdr:nvPicPr>
        <xdr:cNvPr id="8567" name="Picture 8566">
          <a:extLst>
            <a:ext uri="{FF2B5EF4-FFF2-40B4-BE49-F238E27FC236}">
              <a16:creationId xmlns:a16="http://schemas.microsoft.com/office/drawing/2014/main" id="{70FE34E9-7DC2-4B30-8129-27ABD0F7C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</xdr:row>
      <xdr:rowOff>0</xdr:rowOff>
    </xdr:from>
    <xdr:ext cx="304800" cy="303439"/>
    <xdr:sp macro="" textlink="">
      <xdr:nvSpPr>
        <xdr:cNvPr id="8568" name="AutoShape 227">
          <a:extLst>
            <a:ext uri="{FF2B5EF4-FFF2-40B4-BE49-F238E27FC236}">
              <a16:creationId xmlns:a16="http://schemas.microsoft.com/office/drawing/2014/main" id="{78A7F4AB-5207-49D3-A89C-947EE50F1E7A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4</xdr:row>
      <xdr:rowOff>0</xdr:rowOff>
    </xdr:from>
    <xdr:ext cx="9525" cy="9525"/>
    <xdr:pic>
      <xdr:nvPicPr>
        <xdr:cNvPr id="8569" name="Picture 8568">
          <a:extLst>
            <a:ext uri="{FF2B5EF4-FFF2-40B4-BE49-F238E27FC236}">
              <a16:creationId xmlns:a16="http://schemas.microsoft.com/office/drawing/2014/main" id="{005B2436-3DE4-498C-9C99-9E7E4CCA4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9525" cy="9525"/>
    <xdr:pic>
      <xdr:nvPicPr>
        <xdr:cNvPr id="8570" name="Picture 8569">
          <a:extLst>
            <a:ext uri="{FF2B5EF4-FFF2-40B4-BE49-F238E27FC236}">
              <a16:creationId xmlns:a16="http://schemas.microsoft.com/office/drawing/2014/main" id="{D905E5A7-82A9-403A-94A4-7A516534B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6</xdr:row>
      <xdr:rowOff>0</xdr:rowOff>
    </xdr:from>
    <xdr:ext cx="9525" cy="9525"/>
    <xdr:pic>
      <xdr:nvPicPr>
        <xdr:cNvPr id="8571" name="Picture 8570">
          <a:extLst>
            <a:ext uri="{FF2B5EF4-FFF2-40B4-BE49-F238E27FC236}">
              <a16:creationId xmlns:a16="http://schemas.microsoft.com/office/drawing/2014/main" id="{AFB18CF9-2BDB-41E0-A92F-5816631BB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304800" cy="304800"/>
    <xdr:sp macro="" textlink="">
      <xdr:nvSpPr>
        <xdr:cNvPr id="8572" name="AutoShape 231">
          <a:extLst>
            <a:ext uri="{FF2B5EF4-FFF2-40B4-BE49-F238E27FC236}">
              <a16:creationId xmlns:a16="http://schemas.microsoft.com/office/drawing/2014/main" id="{A784CD9C-A1DC-4A9F-9FF1-76C6C778E34D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9525" cy="9525"/>
    <xdr:pic>
      <xdr:nvPicPr>
        <xdr:cNvPr id="8573" name="Picture 8572">
          <a:extLst>
            <a:ext uri="{FF2B5EF4-FFF2-40B4-BE49-F238E27FC236}">
              <a16:creationId xmlns:a16="http://schemas.microsoft.com/office/drawing/2014/main" id="{A2355DA8-D25F-44AA-9362-88C54CAF6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12</xdr:row>
      <xdr:rowOff>0</xdr:rowOff>
    </xdr:from>
    <xdr:ext cx="304800" cy="303439"/>
    <xdr:sp macro="" textlink="">
      <xdr:nvSpPr>
        <xdr:cNvPr id="8574" name="AutoShape 245">
          <a:extLst>
            <a:ext uri="{FF2B5EF4-FFF2-40B4-BE49-F238E27FC236}">
              <a16:creationId xmlns:a16="http://schemas.microsoft.com/office/drawing/2014/main" id="{AE49A081-22C7-40DA-8908-B611881412A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304800" cy="304800"/>
    <xdr:sp macro="" textlink="">
      <xdr:nvSpPr>
        <xdr:cNvPr id="8575" name="AutoShape 247">
          <a:extLst>
            <a:ext uri="{FF2B5EF4-FFF2-40B4-BE49-F238E27FC236}">
              <a16:creationId xmlns:a16="http://schemas.microsoft.com/office/drawing/2014/main" id="{04FCF34C-1FCF-48F7-B0C0-9B18C85B3D0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3</xdr:row>
      <xdr:rowOff>0</xdr:rowOff>
    </xdr:from>
    <xdr:ext cx="9525" cy="9525"/>
    <xdr:pic>
      <xdr:nvPicPr>
        <xdr:cNvPr id="8576" name="Picture 8575">
          <a:extLst>
            <a:ext uri="{FF2B5EF4-FFF2-40B4-BE49-F238E27FC236}">
              <a16:creationId xmlns:a16="http://schemas.microsoft.com/office/drawing/2014/main" id="{193C646C-BF25-4473-BAB3-D0CAABB82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</xdr:row>
      <xdr:rowOff>0</xdr:rowOff>
    </xdr:from>
    <xdr:ext cx="304800" cy="303439"/>
    <xdr:sp macro="" textlink="">
      <xdr:nvSpPr>
        <xdr:cNvPr id="8577" name="AutoShape 253">
          <a:extLst>
            <a:ext uri="{FF2B5EF4-FFF2-40B4-BE49-F238E27FC236}">
              <a16:creationId xmlns:a16="http://schemas.microsoft.com/office/drawing/2014/main" id="{76F01177-2E76-4940-874D-20F0B929F245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4</xdr:row>
      <xdr:rowOff>0</xdr:rowOff>
    </xdr:from>
    <xdr:ext cx="9525" cy="9525"/>
    <xdr:pic>
      <xdr:nvPicPr>
        <xdr:cNvPr id="8578" name="Picture 8577">
          <a:extLst>
            <a:ext uri="{FF2B5EF4-FFF2-40B4-BE49-F238E27FC236}">
              <a16:creationId xmlns:a16="http://schemas.microsoft.com/office/drawing/2014/main" id="{8054D588-A91B-448B-9D48-92848DD48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9525" cy="9525"/>
    <xdr:pic>
      <xdr:nvPicPr>
        <xdr:cNvPr id="8579" name="Picture 8578">
          <a:extLst>
            <a:ext uri="{FF2B5EF4-FFF2-40B4-BE49-F238E27FC236}">
              <a16:creationId xmlns:a16="http://schemas.microsoft.com/office/drawing/2014/main" id="{F5757CE5-B699-42EA-813B-E569A32A1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6</xdr:row>
      <xdr:rowOff>0</xdr:rowOff>
    </xdr:from>
    <xdr:ext cx="9525" cy="9525"/>
    <xdr:pic>
      <xdr:nvPicPr>
        <xdr:cNvPr id="8580" name="Picture 8579">
          <a:extLst>
            <a:ext uri="{FF2B5EF4-FFF2-40B4-BE49-F238E27FC236}">
              <a16:creationId xmlns:a16="http://schemas.microsoft.com/office/drawing/2014/main" id="{F9DA4769-7284-4DB6-930D-D6811672B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304800" cy="304800"/>
    <xdr:sp macro="" textlink="">
      <xdr:nvSpPr>
        <xdr:cNvPr id="8581" name="AutoShape 257">
          <a:extLst>
            <a:ext uri="{FF2B5EF4-FFF2-40B4-BE49-F238E27FC236}">
              <a16:creationId xmlns:a16="http://schemas.microsoft.com/office/drawing/2014/main" id="{72D20CE9-D93A-4601-BB46-83CB79B312A0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9525" cy="9525"/>
    <xdr:pic>
      <xdr:nvPicPr>
        <xdr:cNvPr id="8582" name="Picture 8581">
          <a:extLst>
            <a:ext uri="{FF2B5EF4-FFF2-40B4-BE49-F238E27FC236}">
              <a16:creationId xmlns:a16="http://schemas.microsoft.com/office/drawing/2014/main" id="{928EAE43-5472-41EB-94C8-ECCFD7062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12</xdr:row>
      <xdr:rowOff>0</xdr:rowOff>
    </xdr:from>
    <xdr:ext cx="304800" cy="303439"/>
    <xdr:sp macro="" textlink="">
      <xdr:nvSpPr>
        <xdr:cNvPr id="8583" name="AutoShape 271">
          <a:extLst>
            <a:ext uri="{FF2B5EF4-FFF2-40B4-BE49-F238E27FC236}">
              <a16:creationId xmlns:a16="http://schemas.microsoft.com/office/drawing/2014/main" id="{9DFA5CB3-313D-4024-A7D3-242E3A5E2EBA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304800" cy="304800"/>
    <xdr:sp macro="" textlink="">
      <xdr:nvSpPr>
        <xdr:cNvPr id="8584" name="AutoShape 273">
          <a:extLst>
            <a:ext uri="{FF2B5EF4-FFF2-40B4-BE49-F238E27FC236}">
              <a16:creationId xmlns:a16="http://schemas.microsoft.com/office/drawing/2014/main" id="{8B75CB67-D9B6-4980-A104-ABC291CE76A9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3</xdr:row>
      <xdr:rowOff>0</xdr:rowOff>
    </xdr:from>
    <xdr:ext cx="9525" cy="9525"/>
    <xdr:pic>
      <xdr:nvPicPr>
        <xdr:cNvPr id="8585" name="Picture 8584">
          <a:extLst>
            <a:ext uri="{FF2B5EF4-FFF2-40B4-BE49-F238E27FC236}">
              <a16:creationId xmlns:a16="http://schemas.microsoft.com/office/drawing/2014/main" id="{36393A5F-7531-4EF0-A59D-29CD258B0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</xdr:row>
      <xdr:rowOff>0</xdr:rowOff>
    </xdr:from>
    <xdr:ext cx="304800" cy="303439"/>
    <xdr:sp macro="" textlink="">
      <xdr:nvSpPr>
        <xdr:cNvPr id="8586" name="AutoShape 305">
          <a:extLst>
            <a:ext uri="{FF2B5EF4-FFF2-40B4-BE49-F238E27FC236}">
              <a16:creationId xmlns:a16="http://schemas.microsoft.com/office/drawing/2014/main" id="{469DF45A-E98D-48CE-BF63-1A72DEFEAC63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4</xdr:row>
      <xdr:rowOff>0</xdr:rowOff>
    </xdr:from>
    <xdr:ext cx="9525" cy="9525"/>
    <xdr:pic>
      <xdr:nvPicPr>
        <xdr:cNvPr id="8587" name="Picture 8586">
          <a:extLst>
            <a:ext uri="{FF2B5EF4-FFF2-40B4-BE49-F238E27FC236}">
              <a16:creationId xmlns:a16="http://schemas.microsoft.com/office/drawing/2014/main" id="{678431DA-42BD-4855-8F80-196F288EB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9525" cy="9525"/>
    <xdr:pic>
      <xdr:nvPicPr>
        <xdr:cNvPr id="8588" name="Picture 8587">
          <a:extLst>
            <a:ext uri="{FF2B5EF4-FFF2-40B4-BE49-F238E27FC236}">
              <a16:creationId xmlns:a16="http://schemas.microsoft.com/office/drawing/2014/main" id="{9A425355-0F55-40BA-A85A-6174779B4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6</xdr:row>
      <xdr:rowOff>0</xdr:rowOff>
    </xdr:from>
    <xdr:ext cx="9525" cy="9525"/>
    <xdr:pic>
      <xdr:nvPicPr>
        <xdr:cNvPr id="8589" name="Picture 8588">
          <a:extLst>
            <a:ext uri="{FF2B5EF4-FFF2-40B4-BE49-F238E27FC236}">
              <a16:creationId xmlns:a16="http://schemas.microsoft.com/office/drawing/2014/main" id="{24499C09-96F9-401B-8A5C-888354D26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304800" cy="304800"/>
    <xdr:sp macro="" textlink="">
      <xdr:nvSpPr>
        <xdr:cNvPr id="8590" name="AutoShape 309">
          <a:extLst>
            <a:ext uri="{FF2B5EF4-FFF2-40B4-BE49-F238E27FC236}">
              <a16:creationId xmlns:a16="http://schemas.microsoft.com/office/drawing/2014/main" id="{C287CD95-5063-4222-8A3F-1CD59BD17B55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9525" cy="9525"/>
    <xdr:pic>
      <xdr:nvPicPr>
        <xdr:cNvPr id="8591" name="Picture 8590">
          <a:extLst>
            <a:ext uri="{FF2B5EF4-FFF2-40B4-BE49-F238E27FC236}">
              <a16:creationId xmlns:a16="http://schemas.microsoft.com/office/drawing/2014/main" id="{D6223FF0-3E96-4FCA-AEB1-7472D907A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12</xdr:row>
      <xdr:rowOff>0</xdr:rowOff>
    </xdr:from>
    <xdr:ext cx="304800" cy="303439"/>
    <xdr:sp macro="" textlink="">
      <xdr:nvSpPr>
        <xdr:cNvPr id="8592" name="AutoShape 323">
          <a:extLst>
            <a:ext uri="{FF2B5EF4-FFF2-40B4-BE49-F238E27FC236}">
              <a16:creationId xmlns:a16="http://schemas.microsoft.com/office/drawing/2014/main" id="{66ABDEC4-3EC7-47C2-98DE-2383891AC4BD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304800" cy="304800"/>
    <xdr:sp macro="" textlink="">
      <xdr:nvSpPr>
        <xdr:cNvPr id="8593" name="AutoShape 325">
          <a:extLst>
            <a:ext uri="{FF2B5EF4-FFF2-40B4-BE49-F238E27FC236}">
              <a16:creationId xmlns:a16="http://schemas.microsoft.com/office/drawing/2014/main" id="{E44E99E4-7E3E-44EF-88A8-61B21B6A053F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3</xdr:row>
      <xdr:rowOff>0</xdr:rowOff>
    </xdr:from>
    <xdr:ext cx="9525" cy="9525"/>
    <xdr:pic>
      <xdr:nvPicPr>
        <xdr:cNvPr id="8594" name="Picture 8593">
          <a:extLst>
            <a:ext uri="{FF2B5EF4-FFF2-40B4-BE49-F238E27FC236}">
              <a16:creationId xmlns:a16="http://schemas.microsoft.com/office/drawing/2014/main" id="{64916B5A-76BA-4BFE-A220-503781A0B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</xdr:row>
      <xdr:rowOff>0</xdr:rowOff>
    </xdr:from>
    <xdr:ext cx="304800" cy="303439"/>
    <xdr:sp macro="" textlink="">
      <xdr:nvSpPr>
        <xdr:cNvPr id="8595" name="AutoShape 357">
          <a:extLst>
            <a:ext uri="{FF2B5EF4-FFF2-40B4-BE49-F238E27FC236}">
              <a16:creationId xmlns:a16="http://schemas.microsoft.com/office/drawing/2014/main" id="{39FB0CEE-5705-457E-82AC-DD957684AEF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4</xdr:row>
      <xdr:rowOff>0</xdr:rowOff>
    </xdr:from>
    <xdr:ext cx="9525" cy="9525"/>
    <xdr:pic>
      <xdr:nvPicPr>
        <xdr:cNvPr id="8596" name="Picture 8595">
          <a:extLst>
            <a:ext uri="{FF2B5EF4-FFF2-40B4-BE49-F238E27FC236}">
              <a16:creationId xmlns:a16="http://schemas.microsoft.com/office/drawing/2014/main" id="{D733077D-C406-4DC4-9AA2-8F51B073C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9525" cy="9525"/>
    <xdr:pic>
      <xdr:nvPicPr>
        <xdr:cNvPr id="8597" name="Picture 8596">
          <a:extLst>
            <a:ext uri="{FF2B5EF4-FFF2-40B4-BE49-F238E27FC236}">
              <a16:creationId xmlns:a16="http://schemas.microsoft.com/office/drawing/2014/main" id="{0BD72B53-E54E-4B41-B712-18540C066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6</xdr:row>
      <xdr:rowOff>0</xdr:rowOff>
    </xdr:from>
    <xdr:ext cx="9525" cy="9525"/>
    <xdr:pic>
      <xdr:nvPicPr>
        <xdr:cNvPr id="8598" name="Picture 8597">
          <a:extLst>
            <a:ext uri="{FF2B5EF4-FFF2-40B4-BE49-F238E27FC236}">
              <a16:creationId xmlns:a16="http://schemas.microsoft.com/office/drawing/2014/main" id="{7F638E42-2D4A-418C-9532-6D9DA511F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304800" cy="304800"/>
    <xdr:sp macro="" textlink="">
      <xdr:nvSpPr>
        <xdr:cNvPr id="8599" name="AutoShape 361">
          <a:extLst>
            <a:ext uri="{FF2B5EF4-FFF2-40B4-BE49-F238E27FC236}">
              <a16:creationId xmlns:a16="http://schemas.microsoft.com/office/drawing/2014/main" id="{F25B3E7D-2440-491F-A410-105189906B94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9525" cy="9525"/>
    <xdr:pic>
      <xdr:nvPicPr>
        <xdr:cNvPr id="8600" name="Picture 8599">
          <a:extLst>
            <a:ext uri="{FF2B5EF4-FFF2-40B4-BE49-F238E27FC236}">
              <a16:creationId xmlns:a16="http://schemas.microsoft.com/office/drawing/2014/main" id="{8B643F63-4F5E-4E93-BCCC-DC5986D1D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12</xdr:row>
      <xdr:rowOff>0</xdr:rowOff>
    </xdr:from>
    <xdr:ext cx="304800" cy="303439"/>
    <xdr:sp macro="" textlink="">
      <xdr:nvSpPr>
        <xdr:cNvPr id="8601" name="AutoShape 375">
          <a:extLst>
            <a:ext uri="{FF2B5EF4-FFF2-40B4-BE49-F238E27FC236}">
              <a16:creationId xmlns:a16="http://schemas.microsoft.com/office/drawing/2014/main" id="{D79F737C-D3AB-4851-9021-58E046F0334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304800" cy="304800"/>
    <xdr:sp macro="" textlink="">
      <xdr:nvSpPr>
        <xdr:cNvPr id="8602" name="AutoShape 377">
          <a:extLst>
            <a:ext uri="{FF2B5EF4-FFF2-40B4-BE49-F238E27FC236}">
              <a16:creationId xmlns:a16="http://schemas.microsoft.com/office/drawing/2014/main" id="{5EF822D8-3821-4E5A-AFB3-7F9A20323CFA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3</xdr:row>
      <xdr:rowOff>0</xdr:rowOff>
    </xdr:from>
    <xdr:ext cx="9525" cy="9525"/>
    <xdr:pic>
      <xdr:nvPicPr>
        <xdr:cNvPr id="8603" name="Picture 8602">
          <a:extLst>
            <a:ext uri="{FF2B5EF4-FFF2-40B4-BE49-F238E27FC236}">
              <a16:creationId xmlns:a16="http://schemas.microsoft.com/office/drawing/2014/main" id="{243086F5-25F5-4BB6-B8D8-61D6AB40D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</xdr:row>
      <xdr:rowOff>0</xdr:rowOff>
    </xdr:from>
    <xdr:ext cx="304800" cy="303439"/>
    <xdr:sp macro="" textlink="">
      <xdr:nvSpPr>
        <xdr:cNvPr id="8604" name="AutoShape 413">
          <a:extLst>
            <a:ext uri="{FF2B5EF4-FFF2-40B4-BE49-F238E27FC236}">
              <a16:creationId xmlns:a16="http://schemas.microsoft.com/office/drawing/2014/main" id="{89E37314-BA49-49C3-9008-BB2098DCBAC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4</xdr:row>
      <xdr:rowOff>0</xdr:rowOff>
    </xdr:from>
    <xdr:ext cx="9525" cy="9525"/>
    <xdr:pic>
      <xdr:nvPicPr>
        <xdr:cNvPr id="8605" name="Picture 8604">
          <a:extLst>
            <a:ext uri="{FF2B5EF4-FFF2-40B4-BE49-F238E27FC236}">
              <a16:creationId xmlns:a16="http://schemas.microsoft.com/office/drawing/2014/main" id="{84422A37-651C-467A-8490-553CECC5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9525" cy="9525"/>
    <xdr:pic>
      <xdr:nvPicPr>
        <xdr:cNvPr id="8606" name="Picture 8605">
          <a:extLst>
            <a:ext uri="{FF2B5EF4-FFF2-40B4-BE49-F238E27FC236}">
              <a16:creationId xmlns:a16="http://schemas.microsoft.com/office/drawing/2014/main" id="{35D1497B-95BC-4D77-A61D-5C8118F80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6</xdr:row>
      <xdr:rowOff>0</xdr:rowOff>
    </xdr:from>
    <xdr:ext cx="9525" cy="9525"/>
    <xdr:pic>
      <xdr:nvPicPr>
        <xdr:cNvPr id="8607" name="Picture 8606">
          <a:extLst>
            <a:ext uri="{FF2B5EF4-FFF2-40B4-BE49-F238E27FC236}">
              <a16:creationId xmlns:a16="http://schemas.microsoft.com/office/drawing/2014/main" id="{5864635A-4036-42B1-B1AC-24F382CE2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304800" cy="304800"/>
    <xdr:sp macro="" textlink="">
      <xdr:nvSpPr>
        <xdr:cNvPr id="8608" name="AutoShape 417">
          <a:extLst>
            <a:ext uri="{FF2B5EF4-FFF2-40B4-BE49-F238E27FC236}">
              <a16:creationId xmlns:a16="http://schemas.microsoft.com/office/drawing/2014/main" id="{A77A43A2-CD66-4ECA-ADA0-D95493EE37DA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9525" cy="9525"/>
    <xdr:pic>
      <xdr:nvPicPr>
        <xdr:cNvPr id="8609" name="Picture 8608">
          <a:extLst>
            <a:ext uri="{FF2B5EF4-FFF2-40B4-BE49-F238E27FC236}">
              <a16:creationId xmlns:a16="http://schemas.microsoft.com/office/drawing/2014/main" id="{7EF61458-14BD-4B84-9AE6-84C02B776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12</xdr:row>
      <xdr:rowOff>0</xdr:rowOff>
    </xdr:from>
    <xdr:ext cx="304800" cy="303439"/>
    <xdr:sp macro="" textlink="">
      <xdr:nvSpPr>
        <xdr:cNvPr id="8610" name="AutoShape 431">
          <a:extLst>
            <a:ext uri="{FF2B5EF4-FFF2-40B4-BE49-F238E27FC236}">
              <a16:creationId xmlns:a16="http://schemas.microsoft.com/office/drawing/2014/main" id="{769C2C3F-37E1-4CCB-8221-766A09B47099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304800" cy="304800"/>
    <xdr:sp macro="" textlink="">
      <xdr:nvSpPr>
        <xdr:cNvPr id="8611" name="AutoShape 433">
          <a:extLst>
            <a:ext uri="{FF2B5EF4-FFF2-40B4-BE49-F238E27FC236}">
              <a16:creationId xmlns:a16="http://schemas.microsoft.com/office/drawing/2014/main" id="{A1ED93DE-6A3E-4F22-9332-26C2542B7C58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3</xdr:row>
      <xdr:rowOff>0</xdr:rowOff>
    </xdr:from>
    <xdr:ext cx="9525" cy="9525"/>
    <xdr:pic>
      <xdr:nvPicPr>
        <xdr:cNvPr id="8612" name="Picture 8611">
          <a:extLst>
            <a:ext uri="{FF2B5EF4-FFF2-40B4-BE49-F238E27FC236}">
              <a16:creationId xmlns:a16="http://schemas.microsoft.com/office/drawing/2014/main" id="{75D1A3DE-EA84-4285-A59D-4912AF9DA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</xdr:row>
      <xdr:rowOff>0</xdr:rowOff>
    </xdr:from>
    <xdr:ext cx="304800" cy="303439"/>
    <xdr:sp macro="" textlink="">
      <xdr:nvSpPr>
        <xdr:cNvPr id="8613" name="AutoShape 469">
          <a:extLst>
            <a:ext uri="{FF2B5EF4-FFF2-40B4-BE49-F238E27FC236}">
              <a16:creationId xmlns:a16="http://schemas.microsoft.com/office/drawing/2014/main" id="{2CEFF329-F5E2-4E96-8488-78C6F8741CF6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4</xdr:row>
      <xdr:rowOff>0</xdr:rowOff>
    </xdr:from>
    <xdr:ext cx="9525" cy="9525"/>
    <xdr:pic>
      <xdr:nvPicPr>
        <xdr:cNvPr id="8614" name="Picture 8613">
          <a:extLst>
            <a:ext uri="{FF2B5EF4-FFF2-40B4-BE49-F238E27FC236}">
              <a16:creationId xmlns:a16="http://schemas.microsoft.com/office/drawing/2014/main" id="{363D4590-FED2-431A-A02C-DF9F2B53D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9525" cy="9525"/>
    <xdr:pic>
      <xdr:nvPicPr>
        <xdr:cNvPr id="8615" name="Picture 8614">
          <a:extLst>
            <a:ext uri="{FF2B5EF4-FFF2-40B4-BE49-F238E27FC236}">
              <a16:creationId xmlns:a16="http://schemas.microsoft.com/office/drawing/2014/main" id="{4E694DE5-9790-43E3-ADD5-EADEF1517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6</xdr:row>
      <xdr:rowOff>0</xdr:rowOff>
    </xdr:from>
    <xdr:ext cx="9525" cy="9525"/>
    <xdr:pic>
      <xdr:nvPicPr>
        <xdr:cNvPr id="8616" name="Picture 8615">
          <a:extLst>
            <a:ext uri="{FF2B5EF4-FFF2-40B4-BE49-F238E27FC236}">
              <a16:creationId xmlns:a16="http://schemas.microsoft.com/office/drawing/2014/main" id="{4F5CEC1B-1124-4162-ABF7-83F3B17CB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304800" cy="304800"/>
    <xdr:sp macro="" textlink="">
      <xdr:nvSpPr>
        <xdr:cNvPr id="8617" name="AutoShape 473">
          <a:extLst>
            <a:ext uri="{FF2B5EF4-FFF2-40B4-BE49-F238E27FC236}">
              <a16:creationId xmlns:a16="http://schemas.microsoft.com/office/drawing/2014/main" id="{189BB74F-987A-46D5-9EE8-F6F4732AF86F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9525" cy="9525"/>
    <xdr:pic>
      <xdr:nvPicPr>
        <xdr:cNvPr id="8618" name="Picture 8617">
          <a:extLst>
            <a:ext uri="{FF2B5EF4-FFF2-40B4-BE49-F238E27FC236}">
              <a16:creationId xmlns:a16="http://schemas.microsoft.com/office/drawing/2014/main" id="{6F997245-BBA2-4356-B1B4-EDCEAD1E1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12</xdr:row>
      <xdr:rowOff>0</xdr:rowOff>
    </xdr:from>
    <xdr:ext cx="304800" cy="303439"/>
    <xdr:sp macro="" textlink="">
      <xdr:nvSpPr>
        <xdr:cNvPr id="8619" name="AutoShape 487">
          <a:extLst>
            <a:ext uri="{FF2B5EF4-FFF2-40B4-BE49-F238E27FC236}">
              <a16:creationId xmlns:a16="http://schemas.microsoft.com/office/drawing/2014/main" id="{BE924E45-D483-4631-99F5-4C2CAE0B74D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3</xdr:row>
      <xdr:rowOff>0</xdr:rowOff>
    </xdr:from>
    <xdr:ext cx="9525" cy="9525"/>
    <xdr:pic>
      <xdr:nvPicPr>
        <xdr:cNvPr id="8620" name="Picture 8619">
          <a:extLst>
            <a:ext uri="{FF2B5EF4-FFF2-40B4-BE49-F238E27FC236}">
              <a16:creationId xmlns:a16="http://schemas.microsoft.com/office/drawing/2014/main" id="{907FD87B-7F11-47C3-8DC1-DC69193DC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</xdr:row>
      <xdr:rowOff>0</xdr:rowOff>
    </xdr:from>
    <xdr:ext cx="304800" cy="303439"/>
    <xdr:sp macro="" textlink="">
      <xdr:nvSpPr>
        <xdr:cNvPr id="8621" name="AutoShape 497">
          <a:extLst>
            <a:ext uri="{FF2B5EF4-FFF2-40B4-BE49-F238E27FC236}">
              <a16:creationId xmlns:a16="http://schemas.microsoft.com/office/drawing/2014/main" id="{DC8AC297-6D7C-44DF-8D18-67590787A45D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4</xdr:row>
      <xdr:rowOff>0</xdr:rowOff>
    </xdr:from>
    <xdr:ext cx="9525" cy="9525"/>
    <xdr:pic>
      <xdr:nvPicPr>
        <xdr:cNvPr id="8622" name="Picture 8621">
          <a:extLst>
            <a:ext uri="{FF2B5EF4-FFF2-40B4-BE49-F238E27FC236}">
              <a16:creationId xmlns:a16="http://schemas.microsoft.com/office/drawing/2014/main" id="{DF9A6785-7D6C-4DE4-A15B-0543FEC50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3</xdr:row>
      <xdr:rowOff>0</xdr:rowOff>
    </xdr:from>
    <xdr:ext cx="304800" cy="304800"/>
    <xdr:sp macro="" textlink="">
      <xdr:nvSpPr>
        <xdr:cNvPr id="8623" name="AutoShape 499">
          <a:extLst>
            <a:ext uri="{FF2B5EF4-FFF2-40B4-BE49-F238E27FC236}">
              <a16:creationId xmlns:a16="http://schemas.microsoft.com/office/drawing/2014/main" id="{87A84E61-BDDF-4C2A-8B43-AE6F17627C05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347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5</xdr:row>
      <xdr:rowOff>0</xdr:rowOff>
    </xdr:from>
    <xdr:ext cx="9525" cy="9525"/>
    <xdr:pic>
      <xdr:nvPicPr>
        <xdr:cNvPr id="8624" name="Picture 8623">
          <a:extLst>
            <a:ext uri="{FF2B5EF4-FFF2-40B4-BE49-F238E27FC236}">
              <a16:creationId xmlns:a16="http://schemas.microsoft.com/office/drawing/2014/main" id="{12ED4683-3EC2-414F-8E21-1EFE33314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4</xdr:row>
      <xdr:rowOff>0</xdr:rowOff>
    </xdr:from>
    <xdr:ext cx="304800" cy="304800"/>
    <xdr:sp macro="" textlink="">
      <xdr:nvSpPr>
        <xdr:cNvPr id="8625" name="AutoShape 501">
          <a:extLst>
            <a:ext uri="{FF2B5EF4-FFF2-40B4-BE49-F238E27FC236}">
              <a16:creationId xmlns:a16="http://schemas.microsoft.com/office/drawing/2014/main" id="{3B5A4DE7-0A09-405E-A283-B26255B8A82B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537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6</xdr:row>
      <xdr:rowOff>0</xdr:rowOff>
    </xdr:from>
    <xdr:ext cx="9525" cy="9525"/>
    <xdr:pic>
      <xdr:nvPicPr>
        <xdr:cNvPr id="8626" name="Picture 8625">
          <a:extLst>
            <a:ext uri="{FF2B5EF4-FFF2-40B4-BE49-F238E27FC236}">
              <a16:creationId xmlns:a16="http://schemas.microsoft.com/office/drawing/2014/main" id="{C69611AF-133F-42E0-B652-92D494D1D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304800" cy="304800"/>
    <xdr:sp macro="" textlink="">
      <xdr:nvSpPr>
        <xdr:cNvPr id="8627" name="AutoShape 503">
          <a:extLst>
            <a:ext uri="{FF2B5EF4-FFF2-40B4-BE49-F238E27FC236}">
              <a16:creationId xmlns:a16="http://schemas.microsoft.com/office/drawing/2014/main" id="{3E59F748-483A-402E-B75B-47BBC388233B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6</xdr:row>
      <xdr:rowOff>0</xdr:rowOff>
    </xdr:from>
    <xdr:ext cx="304800" cy="304800"/>
    <xdr:sp macro="" textlink="">
      <xdr:nvSpPr>
        <xdr:cNvPr id="8628" name="AutoShape 505">
          <a:extLst>
            <a:ext uri="{FF2B5EF4-FFF2-40B4-BE49-F238E27FC236}">
              <a16:creationId xmlns:a16="http://schemas.microsoft.com/office/drawing/2014/main" id="{780C7000-6780-477B-9C45-C311DB97F98B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918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7</xdr:row>
      <xdr:rowOff>0</xdr:rowOff>
    </xdr:from>
    <xdr:ext cx="9525" cy="9525"/>
    <xdr:pic>
      <xdr:nvPicPr>
        <xdr:cNvPr id="8629" name="Picture 8628">
          <a:extLst>
            <a:ext uri="{FF2B5EF4-FFF2-40B4-BE49-F238E27FC236}">
              <a16:creationId xmlns:a16="http://schemas.microsoft.com/office/drawing/2014/main" id="{EB372AE9-780F-45E2-A908-84F8AF2E1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7</xdr:row>
      <xdr:rowOff>0</xdr:rowOff>
    </xdr:from>
    <xdr:ext cx="9525" cy="9525"/>
    <xdr:pic>
      <xdr:nvPicPr>
        <xdr:cNvPr id="8630" name="Picture 8629">
          <a:extLst>
            <a:ext uri="{FF2B5EF4-FFF2-40B4-BE49-F238E27FC236}">
              <a16:creationId xmlns:a16="http://schemas.microsoft.com/office/drawing/2014/main" id="{16174235-EB2F-4DA7-804B-94655F49B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7</xdr:row>
      <xdr:rowOff>0</xdr:rowOff>
    </xdr:from>
    <xdr:ext cx="304800" cy="304800"/>
    <xdr:sp macro="" textlink="">
      <xdr:nvSpPr>
        <xdr:cNvPr id="8631" name="AutoShape 183">
          <a:extLst>
            <a:ext uri="{FF2B5EF4-FFF2-40B4-BE49-F238E27FC236}">
              <a16:creationId xmlns:a16="http://schemas.microsoft.com/office/drawing/2014/main" id="{9592FCF3-0E60-4404-8DAA-3F2EADAF6912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7</xdr:row>
      <xdr:rowOff>0</xdr:rowOff>
    </xdr:from>
    <xdr:ext cx="9525" cy="9525"/>
    <xdr:pic>
      <xdr:nvPicPr>
        <xdr:cNvPr id="8632" name="Picture 8631">
          <a:extLst>
            <a:ext uri="{FF2B5EF4-FFF2-40B4-BE49-F238E27FC236}">
              <a16:creationId xmlns:a16="http://schemas.microsoft.com/office/drawing/2014/main" id="{544E465A-32A3-4A5E-B83E-94AE3649F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7</xdr:row>
      <xdr:rowOff>0</xdr:rowOff>
    </xdr:from>
    <xdr:ext cx="304800" cy="304800"/>
    <xdr:sp macro="" textlink="">
      <xdr:nvSpPr>
        <xdr:cNvPr id="8633" name="AutoShape 209">
          <a:extLst>
            <a:ext uri="{FF2B5EF4-FFF2-40B4-BE49-F238E27FC236}">
              <a16:creationId xmlns:a16="http://schemas.microsoft.com/office/drawing/2014/main" id="{F4D27E2D-7142-4AAC-A65A-127BA7699751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7</xdr:row>
      <xdr:rowOff>0</xdr:rowOff>
    </xdr:from>
    <xdr:ext cx="9525" cy="9525"/>
    <xdr:pic>
      <xdr:nvPicPr>
        <xdr:cNvPr id="8634" name="Picture 8633">
          <a:extLst>
            <a:ext uri="{FF2B5EF4-FFF2-40B4-BE49-F238E27FC236}">
              <a16:creationId xmlns:a16="http://schemas.microsoft.com/office/drawing/2014/main" id="{0A9CD202-8453-4270-BDBE-39702932A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7</xdr:row>
      <xdr:rowOff>0</xdr:rowOff>
    </xdr:from>
    <xdr:ext cx="304800" cy="304800"/>
    <xdr:sp macro="" textlink="">
      <xdr:nvSpPr>
        <xdr:cNvPr id="8635" name="AutoShape 233">
          <a:extLst>
            <a:ext uri="{FF2B5EF4-FFF2-40B4-BE49-F238E27FC236}">
              <a16:creationId xmlns:a16="http://schemas.microsoft.com/office/drawing/2014/main" id="{C5AA43CA-DC1E-46F5-B6AC-29CD8824A225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7</xdr:row>
      <xdr:rowOff>0</xdr:rowOff>
    </xdr:from>
    <xdr:ext cx="9525" cy="9525"/>
    <xdr:pic>
      <xdr:nvPicPr>
        <xdr:cNvPr id="8636" name="Picture 8635">
          <a:extLst>
            <a:ext uri="{FF2B5EF4-FFF2-40B4-BE49-F238E27FC236}">
              <a16:creationId xmlns:a16="http://schemas.microsoft.com/office/drawing/2014/main" id="{97D16303-3335-46A1-BD2B-687596553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7</xdr:row>
      <xdr:rowOff>0</xdr:rowOff>
    </xdr:from>
    <xdr:ext cx="304800" cy="304800"/>
    <xdr:sp macro="" textlink="">
      <xdr:nvSpPr>
        <xdr:cNvPr id="8637" name="AutoShape 259">
          <a:extLst>
            <a:ext uri="{FF2B5EF4-FFF2-40B4-BE49-F238E27FC236}">
              <a16:creationId xmlns:a16="http://schemas.microsoft.com/office/drawing/2014/main" id="{D3FCE4FC-D026-41AE-B9D0-DA755A16123F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7</xdr:row>
      <xdr:rowOff>0</xdr:rowOff>
    </xdr:from>
    <xdr:ext cx="9525" cy="9525"/>
    <xdr:pic>
      <xdr:nvPicPr>
        <xdr:cNvPr id="8638" name="Picture 8637">
          <a:extLst>
            <a:ext uri="{FF2B5EF4-FFF2-40B4-BE49-F238E27FC236}">
              <a16:creationId xmlns:a16="http://schemas.microsoft.com/office/drawing/2014/main" id="{46F80A96-8DF3-4CB0-86B0-1616A9300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7</xdr:row>
      <xdr:rowOff>0</xdr:rowOff>
    </xdr:from>
    <xdr:ext cx="304800" cy="304800"/>
    <xdr:sp macro="" textlink="">
      <xdr:nvSpPr>
        <xdr:cNvPr id="8639" name="AutoShape 311">
          <a:extLst>
            <a:ext uri="{FF2B5EF4-FFF2-40B4-BE49-F238E27FC236}">
              <a16:creationId xmlns:a16="http://schemas.microsoft.com/office/drawing/2014/main" id="{04E7B7EF-7EF4-4863-9AAD-32C148471312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7</xdr:row>
      <xdr:rowOff>0</xdr:rowOff>
    </xdr:from>
    <xdr:ext cx="9525" cy="9525"/>
    <xdr:pic>
      <xdr:nvPicPr>
        <xdr:cNvPr id="8640" name="Picture 8639">
          <a:extLst>
            <a:ext uri="{FF2B5EF4-FFF2-40B4-BE49-F238E27FC236}">
              <a16:creationId xmlns:a16="http://schemas.microsoft.com/office/drawing/2014/main" id="{D1EF065D-79FB-4B53-A4BE-450E8B07E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7</xdr:row>
      <xdr:rowOff>0</xdr:rowOff>
    </xdr:from>
    <xdr:ext cx="304800" cy="304800"/>
    <xdr:sp macro="" textlink="">
      <xdr:nvSpPr>
        <xdr:cNvPr id="8641" name="AutoShape 363">
          <a:extLst>
            <a:ext uri="{FF2B5EF4-FFF2-40B4-BE49-F238E27FC236}">
              <a16:creationId xmlns:a16="http://schemas.microsoft.com/office/drawing/2014/main" id="{6359373B-3AD7-4BBE-A7B5-4D1AE5AFCCB6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7</xdr:row>
      <xdr:rowOff>0</xdr:rowOff>
    </xdr:from>
    <xdr:ext cx="9525" cy="9525"/>
    <xdr:pic>
      <xdr:nvPicPr>
        <xdr:cNvPr id="8642" name="Picture 8641">
          <a:extLst>
            <a:ext uri="{FF2B5EF4-FFF2-40B4-BE49-F238E27FC236}">
              <a16:creationId xmlns:a16="http://schemas.microsoft.com/office/drawing/2014/main" id="{E7B4E6B1-BF8A-444F-8E34-A78FA5194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7</xdr:row>
      <xdr:rowOff>0</xdr:rowOff>
    </xdr:from>
    <xdr:ext cx="304800" cy="304800"/>
    <xdr:sp macro="" textlink="">
      <xdr:nvSpPr>
        <xdr:cNvPr id="8643" name="AutoShape 419">
          <a:extLst>
            <a:ext uri="{FF2B5EF4-FFF2-40B4-BE49-F238E27FC236}">
              <a16:creationId xmlns:a16="http://schemas.microsoft.com/office/drawing/2014/main" id="{BEC0DFB9-BD34-4ED5-9F1B-F329345F5221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7</xdr:row>
      <xdr:rowOff>0</xdr:rowOff>
    </xdr:from>
    <xdr:ext cx="9525" cy="9525"/>
    <xdr:pic>
      <xdr:nvPicPr>
        <xdr:cNvPr id="8644" name="Picture 8643">
          <a:extLst>
            <a:ext uri="{FF2B5EF4-FFF2-40B4-BE49-F238E27FC236}">
              <a16:creationId xmlns:a16="http://schemas.microsoft.com/office/drawing/2014/main" id="{61A19E2A-AD8B-46E0-B527-4915AB837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7</xdr:row>
      <xdr:rowOff>0</xdr:rowOff>
    </xdr:from>
    <xdr:ext cx="304800" cy="304800"/>
    <xdr:sp macro="" textlink="">
      <xdr:nvSpPr>
        <xdr:cNvPr id="8645" name="AutoShape 475">
          <a:extLst>
            <a:ext uri="{FF2B5EF4-FFF2-40B4-BE49-F238E27FC236}">
              <a16:creationId xmlns:a16="http://schemas.microsoft.com/office/drawing/2014/main" id="{4B7B6BA6-A1BA-4EAD-B4A9-043BE9BA428A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7</xdr:row>
      <xdr:rowOff>0</xdr:rowOff>
    </xdr:from>
    <xdr:ext cx="9525" cy="9525"/>
    <xdr:pic>
      <xdr:nvPicPr>
        <xdr:cNvPr id="8646" name="Picture 8645">
          <a:extLst>
            <a:ext uri="{FF2B5EF4-FFF2-40B4-BE49-F238E27FC236}">
              <a16:creationId xmlns:a16="http://schemas.microsoft.com/office/drawing/2014/main" id="{30887C70-2B36-474E-B2D2-536466551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9525" cy="9525"/>
    <xdr:pic>
      <xdr:nvPicPr>
        <xdr:cNvPr id="8647" name="Picture 8646">
          <a:extLst>
            <a:ext uri="{FF2B5EF4-FFF2-40B4-BE49-F238E27FC236}">
              <a16:creationId xmlns:a16="http://schemas.microsoft.com/office/drawing/2014/main" id="{9E16EF77-4FC7-426C-A09D-F13CAB14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7</xdr:row>
      <xdr:rowOff>0</xdr:rowOff>
    </xdr:from>
    <xdr:ext cx="304800" cy="304800"/>
    <xdr:sp macro="" textlink="">
      <xdr:nvSpPr>
        <xdr:cNvPr id="8648" name="AutoShape 159">
          <a:extLst>
            <a:ext uri="{FF2B5EF4-FFF2-40B4-BE49-F238E27FC236}">
              <a16:creationId xmlns:a16="http://schemas.microsoft.com/office/drawing/2014/main" id="{64E667BC-5F02-4DBA-AC8A-F4CA1A4E5E53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12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9</xdr:row>
      <xdr:rowOff>0</xdr:rowOff>
    </xdr:from>
    <xdr:ext cx="9525" cy="9525"/>
    <xdr:pic>
      <xdr:nvPicPr>
        <xdr:cNvPr id="8649" name="Picture 8648">
          <a:extLst>
            <a:ext uri="{FF2B5EF4-FFF2-40B4-BE49-F238E27FC236}">
              <a16:creationId xmlns:a16="http://schemas.microsoft.com/office/drawing/2014/main" id="{0A629FF7-9E49-49C9-B4D8-74EA681AC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9525" cy="9525"/>
    <xdr:pic>
      <xdr:nvPicPr>
        <xdr:cNvPr id="8650" name="Picture 8649">
          <a:extLst>
            <a:ext uri="{FF2B5EF4-FFF2-40B4-BE49-F238E27FC236}">
              <a16:creationId xmlns:a16="http://schemas.microsoft.com/office/drawing/2014/main" id="{1AD66DDB-2A88-40A0-9D09-9DD5DB84E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9525" cy="9525"/>
    <xdr:pic>
      <xdr:nvPicPr>
        <xdr:cNvPr id="8651" name="Picture 8650">
          <a:extLst>
            <a:ext uri="{FF2B5EF4-FFF2-40B4-BE49-F238E27FC236}">
              <a16:creationId xmlns:a16="http://schemas.microsoft.com/office/drawing/2014/main" id="{4B58A1EA-CA7F-4C76-9B23-13742F08A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9525" cy="9525"/>
    <xdr:pic>
      <xdr:nvPicPr>
        <xdr:cNvPr id="8652" name="Picture 8651">
          <a:extLst>
            <a:ext uri="{FF2B5EF4-FFF2-40B4-BE49-F238E27FC236}">
              <a16:creationId xmlns:a16="http://schemas.microsoft.com/office/drawing/2014/main" id="{F790BA32-D4FE-41F3-BFD9-8A5FFA734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9525" cy="9525"/>
    <xdr:pic>
      <xdr:nvPicPr>
        <xdr:cNvPr id="8653" name="Picture 8652">
          <a:extLst>
            <a:ext uri="{FF2B5EF4-FFF2-40B4-BE49-F238E27FC236}">
              <a16:creationId xmlns:a16="http://schemas.microsoft.com/office/drawing/2014/main" id="{73745784-689F-4785-9B85-3405AD590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9525" cy="9525"/>
    <xdr:pic>
      <xdr:nvPicPr>
        <xdr:cNvPr id="8654" name="Picture 8653">
          <a:extLst>
            <a:ext uri="{FF2B5EF4-FFF2-40B4-BE49-F238E27FC236}">
              <a16:creationId xmlns:a16="http://schemas.microsoft.com/office/drawing/2014/main" id="{CF054A92-32F9-4EF3-941A-EEF14E772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9525" cy="9525"/>
    <xdr:pic>
      <xdr:nvPicPr>
        <xdr:cNvPr id="8655" name="Picture 8654">
          <a:extLst>
            <a:ext uri="{FF2B5EF4-FFF2-40B4-BE49-F238E27FC236}">
              <a16:creationId xmlns:a16="http://schemas.microsoft.com/office/drawing/2014/main" id="{29AD5B5B-C6C6-4B62-955F-BBB6514CB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9525" cy="9525"/>
    <xdr:pic>
      <xdr:nvPicPr>
        <xdr:cNvPr id="8656" name="Picture 8655">
          <a:extLst>
            <a:ext uri="{FF2B5EF4-FFF2-40B4-BE49-F238E27FC236}">
              <a16:creationId xmlns:a16="http://schemas.microsoft.com/office/drawing/2014/main" id="{00920485-DE12-49AA-B257-66028F5FE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9525" cy="9525"/>
    <xdr:pic>
      <xdr:nvPicPr>
        <xdr:cNvPr id="8657" name="Picture 8656">
          <a:extLst>
            <a:ext uri="{FF2B5EF4-FFF2-40B4-BE49-F238E27FC236}">
              <a16:creationId xmlns:a16="http://schemas.microsoft.com/office/drawing/2014/main" id="{22F3D147-715B-44C7-A65E-79E887B54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304800" cy="303439"/>
    <xdr:sp macro="" textlink="">
      <xdr:nvSpPr>
        <xdr:cNvPr id="8658" name="AutoShape 513">
          <a:extLst>
            <a:ext uri="{FF2B5EF4-FFF2-40B4-BE49-F238E27FC236}">
              <a16:creationId xmlns:a16="http://schemas.microsoft.com/office/drawing/2014/main" id="{04C10B2F-76EF-4277-B64A-01B50DD36568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54453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10</xdr:row>
      <xdr:rowOff>0</xdr:rowOff>
    </xdr:from>
    <xdr:ext cx="9525" cy="9525"/>
    <xdr:pic>
      <xdr:nvPicPr>
        <xdr:cNvPr id="8659" name="Picture 8658">
          <a:extLst>
            <a:ext uri="{FF2B5EF4-FFF2-40B4-BE49-F238E27FC236}">
              <a16:creationId xmlns:a16="http://schemas.microsoft.com/office/drawing/2014/main" id="{03408525-6A9F-44A5-8DEC-4A0228FE9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10</xdr:row>
      <xdr:rowOff>0</xdr:rowOff>
    </xdr:from>
    <xdr:ext cx="9525" cy="9525"/>
    <xdr:pic>
      <xdr:nvPicPr>
        <xdr:cNvPr id="8660" name="Picture 8659">
          <a:extLst>
            <a:ext uri="{FF2B5EF4-FFF2-40B4-BE49-F238E27FC236}">
              <a16:creationId xmlns:a16="http://schemas.microsoft.com/office/drawing/2014/main" id="{F5EDC8B5-E048-4310-BDA1-728292956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304800" cy="304800"/>
    <xdr:sp macro="" textlink="">
      <xdr:nvSpPr>
        <xdr:cNvPr id="8661" name="AutoShape 191">
          <a:extLst>
            <a:ext uri="{FF2B5EF4-FFF2-40B4-BE49-F238E27FC236}">
              <a16:creationId xmlns:a16="http://schemas.microsoft.com/office/drawing/2014/main" id="{E8B572BC-22B4-4294-98E8-129E2FA48426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10</xdr:row>
      <xdr:rowOff>0</xdr:rowOff>
    </xdr:from>
    <xdr:ext cx="304800" cy="304800"/>
    <xdr:sp macro="" textlink="">
      <xdr:nvSpPr>
        <xdr:cNvPr id="8662" name="AutoShape 193">
          <a:extLst>
            <a:ext uri="{FF2B5EF4-FFF2-40B4-BE49-F238E27FC236}">
              <a16:creationId xmlns:a16="http://schemas.microsoft.com/office/drawing/2014/main" id="{1F2B339F-DA87-4C6F-AC53-81F1ECCA1392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10</xdr:row>
      <xdr:rowOff>0</xdr:rowOff>
    </xdr:from>
    <xdr:ext cx="9525" cy="9525"/>
    <xdr:pic>
      <xdr:nvPicPr>
        <xdr:cNvPr id="8663" name="Picture 8662">
          <a:extLst>
            <a:ext uri="{FF2B5EF4-FFF2-40B4-BE49-F238E27FC236}">
              <a16:creationId xmlns:a16="http://schemas.microsoft.com/office/drawing/2014/main" id="{758D1399-F7C3-4F31-8577-79F23654B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304800" cy="304800"/>
    <xdr:sp macro="" textlink="">
      <xdr:nvSpPr>
        <xdr:cNvPr id="8664" name="AutoShape 217">
          <a:extLst>
            <a:ext uri="{FF2B5EF4-FFF2-40B4-BE49-F238E27FC236}">
              <a16:creationId xmlns:a16="http://schemas.microsoft.com/office/drawing/2014/main" id="{2302B031-18E0-47AF-97C0-4AF623067F98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10</xdr:row>
      <xdr:rowOff>0</xdr:rowOff>
    </xdr:from>
    <xdr:ext cx="304800" cy="304800"/>
    <xdr:sp macro="" textlink="">
      <xdr:nvSpPr>
        <xdr:cNvPr id="8665" name="AutoShape 219">
          <a:extLst>
            <a:ext uri="{FF2B5EF4-FFF2-40B4-BE49-F238E27FC236}">
              <a16:creationId xmlns:a16="http://schemas.microsoft.com/office/drawing/2014/main" id="{4A4273A6-76EA-4D2B-BCBD-79EB89D470F9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10</xdr:row>
      <xdr:rowOff>0</xdr:rowOff>
    </xdr:from>
    <xdr:ext cx="9525" cy="9525"/>
    <xdr:pic>
      <xdr:nvPicPr>
        <xdr:cNvPr id="8666" name="Picture 8665">
          <a:extLst>
            <a:ext uri="{FF2B5EF4-FFF2-40B4-BE49-F238E27FC236}">
              <a16:creationId xmlns:a16="http://schemas.microsoft.com/office/drawing/2014/main" id="{AA1BE62E-56C4-4921-B506-148A6E88F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304800" cy="304800"/>
    <xdr:sp macro="" textlink="">
      <xdr:nvSpPr>
        <xdr:cNvPr id="8667" name="AutoShape 241">
          <a:extLst>
            <a:ext uri="{FF2B5EF4-FFF2-40B4-BE49-F238E27FC236}">
              <a16:creationId xmlns:a16="http://schemas.microsoft.com/office/drawing/2014/main" id="{8113B0FE-5978-4505-A6BC-9D4D90C44962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10</xdr:row>
      <xdr:rowOff>0</xdr:rowOff>
    </xdr:from>
    <xdr:ext cx="304800" cy="304800"/>
    <xdr:sp macro="" textlink="">
      <xdr:nvSpPr>
        <xdr:cNvPr id="8668" name="AutoShape 243">
          <a:extLst>
            <a:ext uri="{FF2B5EF4-FFF2-40B4-BE49-F238E27FC236}">
              <a16:creationId xmlns:a16="http://schemas.microsoft.com/office/drawing/2014/main" id="{BEA23F71-8667-4529-992E-7ADC99708C56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10</xdr:row>
      <xdr:rowOff>0</xdr:rowOff>
    </xdr:from>
    <xdr:ext cx="9525" cy="9525"/>
    <xdr:pic>
      <xdr:nvPicPr>
        <xdr:cNvPr id="8669" name="Picture 8668">
          <a:extLst>
            <a:ext uri="{FF2B5EF4-FFF2-40B4-BE49-F238E27FC236}">
              <a16:creationId xmlns:a16="http://schemas.microsoft.com/office/drawing/2014/main" id="{FCAA52D8-28AD-48E8-BB1C-6E01998E5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304800" cy="304800"/>
    <xdr:sp macro="" textlink="">
      <xdr:nvSpPr>
        <xdr:cNvPr id="8670" name="AutoShape 267">
          <a:extLst>
            <a:ext uri="{FF2B5EF4-FFF2-40B4-BE49-F238E27FC236}">
              <a16:creationId xmlns:a16="http://schemas.microsoft.com/office/drawing/2014/main" id="{707788F0-C268-4D57-AC3F-1EAEEFD57B7B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10</xdr:row>
      <xdr:rowOff>0</xdr:rowOff>
    </xdr:from>
    <xdr:ext cx="304800" cy="304800"/>
    <xdr:sp macro="" textlink="">
      <xdr:nvSpPr>
        <xdr:cNvPr id="8671" name="AutoShape 269">
          <a:extLst>
            <a:ext uri="{FF2B5EF4-FFF2-40B4-BE49-F238E27FC236}">
              <a16:creationId xmlns:a16="http://schemas.microsoft.com/office/drawing/2014/main" id="{2D6A8A9A-A95C-4D89-83E8-499A3B1B1AFB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10</xdr:row>
      <xdr:rowOff>0</xdr:rowOff>
    </xdr:from>
    <xdr:ext cx="9525" cy="9525"/>
    <xdr:pic>
      <xdr:nvPicPr>
        <xdr:cNvPr id="8672" name="Picture 8671">
          <a:extLst>
            <a:ext uri="{FF2B5EF4-FFF2-40B4-BE49-F238E27FC236}">
              <a16:creationId xmlns:a16="http://schemas.microsoft.com/office/drawing/2014/main" id="{EF067B90-5701-4088-B3EF-3B5F94FB1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304800" cy="304800"/>
    <xdr:sp macro="" textlink="">
      <xdr:nvSpPr>
        <xdr:cNvPr id="8673" name="AutoShape 319">
          <a:extLst>
            <a:ext uri="{FF2B5EF4-FFF2-40B4-BE49-F238E27FC236}">
              <a16:creationId xmlns:a16="http://schemas.microsoft.com/office/drawing/2014/main" id="{1A4C245E-7E1B-4F26-A62E-E88A5BBD3820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10</xdr:row>
      <xdr:rowOff>0</xdr:rowOff>
    </xdr:from>
    <xdr:ext cx="9525" cy="9525"/>
    <xdr:pic>
      <xdr:nvPicPr>
        <xdr:cNvPr id="8674" name="Picture 8673">
          <a:extLst>
            <a:ext uri="{FF2B5EF4-FFF2-40B4-BE49-F238E27FC236}">
              <a16:creationId xmlns:a16="http://schemas.microsoft.com/office/drawing/2014/main" id="{F678740E-772C-45D0-B2A7-119551FC5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10</xdr:row>
      <xdr:rowOff>0</xdr:rowOff>
    </xdr:from>
    <xdr:ext cx="9525" cy="9525"/>
    <xdr:pic>
      <xdr:nvPicPr>
        <xdr:cNvPr id="8675" name="Picture 8674">
          <a:extLst>
            <a:ext uri="{FF2B5EF4-FFF2-40B4-BE49-F238E27FC236}">
              <a16:creationId xmlns:a16="http://schemas.microsoft.com/office/drawing/2014/main" id="{2D4D9FD9-B223-4223-A59D-5AEF85A64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10</xdr:row>
      <xdr:rowOff>0</xdr:rowOff>
    </xdr:from>
    <xdr:ext cx="9525" cy="9525"/>
    <xdr:pic>
      <xdr:nvPicPr>
        <xdr:cNvPr id="8676" name="Picture 8675">
          <a:extLst>
            <a:ext uri="{FF2B5EF4-FFF2-40B4-BE49-F238E27FC236}">
              <a16:creationId xmlns:a16="http://schemas.microsoft.com/office/drawing/2014/main" id="{135E9527-ED7E-47F6-A5DF-91FBF79C5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10</xdr:row>
      <xdr:rowOff>0</xdr:rowOff>
    </xdr:from>
    <xdr:ext cx="9525" cy="9525"/>
    <xdr:pic>
      <xdr:nvPicPr>
        <xdr:cNvPr id="8677" name="Picture 8676">
          <a:extLst>
            <a:ext uri="{FF2B5EF4-FFF2-40B4-BE49-F238E27FC236}">
              <a16:creationId xmlns:a16="http://schemas.microsoft.com/office/drawing/2014/main" id="{6F00B560-9021-4E23-B49E-856DA6582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11</xdr:row>
      <xdr:rowOff>0</xdr:rowOff>
    </xdr:from>
    <xdr:ext cx="9525" cy="9525"/>
    <xdr:pic>
      <xdr:nvPicPr>
        <xdr:cNvPr id="8678" name="Picture 8677">
          <a:extLst>
            <a:ext uri="{FF2B5EF4-FFF2-40B4-BE49-F238E27FC236}">
              <a16:creationId xmlns:a16="http://schemas.microsoft.com/office/drawing/2014/main" id="{8A1B07F4-D20D-4119-AC20-55A5E5F26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97996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3</xdr:row>
      <xdr:rowOff>0</xdr:rowOff>
    </xdr:from>
    <xdr:ext cx="9525" cy="9525"/>
    <xdr:pic>
      <xdr:nvPicPr>
        <xdr:cNvPr id="8679" name="Picture 8678">
          <a:extLst>
            <a:ext uri="{FF2B5EF4-FFF2-40B4-BE49-F238E27FC236}">
              <a16:creationId xmlns:a16="http://schemas.microsoft.com/office/drawing/2014/main" id="{34A0C4AE-71F4-449C-AEBD-7B6D14E22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</xdr:row>
      <xdr:rowOff>0</xdr:rowOff>
    </xdr:from>
    <xdr:ext cx="304800" cy="303439"/>
    <xdr:sp macro="" textlink="">
      <xdr:nvSpPr>
        <xdr:cNvPr id="8680" name="AutoShape 25">
          <a:extLst>
            <a:ext uri="{FF2B5EF4-FFF2-40B4-BE49-F238E27FC236}">
              <a16:creationId xmlns:a16="http://schemas.microsoft.com/office/drawing/2014/main" id="{7DDE45B6-643E-43AF-B5C2-F9518C979E97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4</xdr:row>
      <xdr:rowOff>0</xdr:rowOff>
    </xdr:from>
    <xdr:ext cx="9525" cy="9525"/>
    <xdr:pic>
      <xdr:nvPicPr>
        <xdr:cNvPr id="8681" name="Picture 8680">
          <a:extLst>
            <a:ext uri="{FF2B5EF4-FFF2-40B4-BE49-F238E27FC236}">
              <a16:creationId xmlns:a16="http://schemas.microsoft.com/office/drawing/2014/main" id="{089DCE3D-5807-4A52-B9AF-FAF6A7A87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9525" cy="9525"/>
    <xdr:pic>
      <xdr:nvPicPr>
        <xdr:cNvPr id="8682" name="Picture 8681">
          <a:extLst>
            <a:ext uri="{FF2B5EF4-FFF2-40B4-BE49-F238E27FC236}">
              <a16:creationId xmlns:a16="http://schemas.microsoft.com/office/drawing/2014/main" id="{6362067E-7678-4E62-B528-5ED6A5728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6</xdr:row>
      <xdr:rowOff>0</xdr:rowOff>
    </xdr:from>
    <xdr:ext cx="9525" cy="9525"/>
    <xdr:pic>
      <xdr:nvPicPr>
        <xdr:cNvPr id="8683" name="Picture 8682">
          <a:extLst>
            <a:ext uri="{FF2B5EF4-FFF2-40B4-BE49-F238E27FC236}">
              <a16:creationId xmlns:a16="http://schemas.microsoft.com/office/drawing/2014/main" id="{884DD671-9049-4B07-B15E-876A1D87E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304800" cy="304800"/>
    <xdr:sp macro="" textlink="">
      <xdr:nvSpPr>
        <xdr:cNvPr id="8684" name="AutoShape 29">
          <a:extLst>
            <a:ext uri="{FF2B5EF4-FFF2-40B4-BE49-F238E27FC236}">
              <a16:creationId xmlns:a16="http://schemas.microsoft.com/office/drawing/2014/main" id="{54B13D1C-19DF-43C3-B98C-51CBDDBAD45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9525" cy="9525"/>
    <xdr:pic>
      <xdr:nvPicPr>
        <xdr:cNvPr id="8685" name="Picture 8684">
          <a:extLst>
            <a:ext uri="{FF2B5EF4-FFF2-40B4-BE49-F238E27FC236}">
              <a16:creationId xmlns:a16="http://schemas.microsoft.com/office/drawing/2014/main" id="{66C8A5DB-C600-411E-A366-DA90070E1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12</xdr:row>
      <xdr:rowOff>0</xdr:rowOff>
    </xdr:from>
    <xdr:ext cx="304800" cy="303439"/>
    <xdr:sp macro="" textlink="">
      <xdr:nvSpPr>
        <xdr:cNvPr id="8686" name="AutoShape 42">
          <a:extLst>
            <a:ext uri="{FF2B5EF4-FFF2-40B4-BE49-F238E27FC236}">
              <a16:creationId xmlns:a16="http://schemas.microsoft.com/office/drawing/2014/main" id="{EADF5559-CF91-495D-8E81-833775E5BB48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304800" cy="304800"/>
    <xdr:sp macro="" textlink="">
      <xdr:nvSpPr>
        <xdr:cNvPr id="8687" name="AutoShape 44">
          <a:extLst>
            <a:ext uri="{FF2B5EF4-FFF2-40B4-BE49-F238E27FC236}">
              <a16:creationId xmlns:a16="http://schemas.microsoft.com/office/drawing/2014/main" id="{323D8F2A-F936-4CAB-A8F5-15746B57517B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3</xdr:row>
      <xdr:rowOff>0</xdr:rowOff>
    </xdr:from>
    <xdr:ext cx="9525" cy="9525"/>
    <xdr:pic>
      <xdr:nvPicPr>
        <xdr:cNvPr id="8688" name="Picture 8687">
          <a:extLst>
            <a:ext uri="{FF2B5EF4-FFF2-40B4-BE49-F238E27FC236}">
              <a16:creationId xmlns:a16="http://schemas.microsoft.com/office/drawing/2014/main" id="{5A00D333-A9BC-402A-B66C-AE7CEBBC6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</xdr:row>
      <xdr:rowOff>0</xdr:rowOff>
    </xdr:from>
    <xdr:ext cx="304800" cy="303439"/>
    <xdr:sp macro="" textlink="">
      <xdr:nvSpPr>
        <xdr:cNvPr id="8689" name="AutoShape 48">
          <a:extLst>
            <a:ext uri="{FF2B5EF4-FFF2-40B4-BE49-F238E27FC236}">
              <a16:creationId xmlns:a16="http://schemas.microsoft.com/office/drawing/2014/main" id="{94806297-047A-4354-B2FF-EC919E900E27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4</xdr:row>
      <xdr:rowOff>0</xdr:rowOff>
    </xdr:from>
    <xdr:ext cx="9525" cy="9525"/>
    <xdr:pic>
      <xdr:nvPicPr>
        <xdr:cNvPr id="8690" name="Picture 8689">
          <a:extLst>
            <a:ext uri="{FF2B5EF4-FFF2-40B4-BE49-F238E27FC236}">
              <a16:creationId xmlns:a16="http://schemas.microsoft.com/office/drawing/2014/main" id="{06A64C27-DBFD-4F86-9C07-21CE2A6C5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9525" cy="9525"/>
    <xdr:pic>
      <xdr:nvPicPr>
        <xdr:cNvPr id="8691" name="Picture 8690">
          <a:extLst>
            <a:ext uri="{FF2B5EF4-FFF2-40B4-BE49-F238E27FC236}">
              <a16:creationId xmlns:a16="http://schemas.microsoft.com/office/drawing/2014/main" id="{7671A530-552F-4B08-8172-D6F4A665C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6</xdr:row>
      <xdr:rowOff>0</xdr:rowOff>
    </xdr:from>
    <xdr:ext cx="9525" cy="9525"/>
    <xdr:pic>
      <xdr:nvPicPr>
        <xdr:cNvPr id="8692" name="Picture 8691">
          <a:extLst>
            <a:ext uri="{FF2B5EF4-FFF2-40B4-BE49-F238E27FC236}">
              <a16:creationId xmlns:a16="http://schemas.microsoft.com/office/drawing/2014/main" id="{376E80AE-344B-4676-9E29-C3F84BD69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304800" cy="304800"/>
    <xdr:sp macro="" textlink="">
      <xdr:nvSpPr>
        <xdr:cNvPr id="8693" name="AutoShape 52">
          <a:extLst>
            <a:ext uri="{FF2B5EF4-FFF2-40B4-BE49-F238E27FC236}">
              <a16:creationId xmlns:a16="http://schemas.microsoft.com/office/drawing/2014/main" id="{14AD993D-1277-4EA3-BDCA-F60499877FEA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9525" cy="9525"/>
    <xdr:pic>
      <xdr:nvPicPr>
        <xdr:cNvPr id="8694" name="Picture 8693">
          <a:extLst>
            <a:ext uri="{FF2B5EF4-FFF2-40B4-BE49-F238E27FC236}">
              <a16:creationId xmlns:a16="http://schemas.microsoft.com/office/drawing/2014/main" id="{A9AB87BE-1E47-44D6-A942-EA1BC0BB4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12</xdr:row>
      <xdr:rowOff>0</xdr:rowOff>
    </xdr:from>
    <xdr:ext cx="304800" cy="303439"/>
    <xdr:sp macro="" textlink="">
      <xdr:nvSpPr>
        <xdr:cNvPr id="8695" name="AutoShape 65">
          <a:extLst>
            <a:ext uri="{FF2B5EF4-FFF2-40B4-BE49-F238E27FC236}">
              <a16:creationId xmlns:a16="http://schemas.microsoft.com/office/drawing/2014/main" id="{56EDAC8C-17D4-45EC-A361-39E1269ACA94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304800" cy="304800"/>
    <xdr:sp macro="" textlink="">
      <xdr:nvSpPr>
        <xdr:cNvPr id="8696" name="AutoShape 67">
          <a:extLst>
            <a:ext uri="{FF2B5EF4-FFF2-40B4-BE49-F238E27FC236}">
              <a16:creationId xmlns:a16="http://schemas.microsoft.com/office/drawing/2014/main" id="{3CAFEF80-F23C-4CC0-A354-E62C0D497FEB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3</xdr:row>
      <xdr:rowOff>0</xdr:rowOff>
    </xdr:from>
    <xdr:ext cx="9525" cy="9525"/>
    <xdr:pic>
      <xdr:nvPicPr>
        <xdr:cNvPr id="8697" name="Picture 8696">
          <a:extLst>
            <a:ext uri="{FF2B5EF4-FFF2-40B4-BE49-F238E27FC236}">
              <a16:creationId xmlns:a16="http://schemas.microsoft.com/office/drawing/2014/main" id="{023F0A08-66A0-4350-8457-B969890EB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</xdr:row>
      <xdr:rowOff>0</xdr:rowOff>
    </xdr:from>
    <xdr:ext cx="304800" cy="303439"/>
    <xdr:sp macro="" textlink="">
      <xdr:nvSpPr>
        <xdr:cNvPr id="8698" name="AutoShape 98">
          <a:extLst>
            <a:ext uri="{FF2B5EF4-FFF2-40B4-BE49-F238E27FC236}">
              <a16:creationId xmlns:a16="http://schemas.microsoft.com/office/drawing/2014/main" id="{27DF0AB5-09A8-4C05-B539-C14F0BBE6CD3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4</xdr:row>
      <xdr:rowOff>0</xdr:rowOff>
    </xdr:from>
    <xdr:ext cx="9525" cy="9525"/>
    <xdr:pic>
      <xdr:nvPicPr>
        <xdr:cNvPr id="8699" name="Picture 8698">
          <a:extLst>
            <a:ext uri="{FF2B5EF4-FFF2-40B4-BE49-F238E27FC236}">
              <a16:creationId xmlns:a16="http://schemas.microsoft.com/office/drawing/2014/main" id="{A190C414-CFCE-43FE-88DF-9F546A78B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9525" cy="9525"/>
    <xdr:pic>
      <xdr:nvPicPr>
        <xdr:cNvPr id="8700" name="Picture 8699">
          <a:extLst>
            <a:ext uri="{FF2B5EF4-FFF2-40B4-BE49-F238E27FC236}">
              <a16:creationId xmlns:a16="http://schemas.microsoft.com/office/drawing/2014/main" id="{FA4A1A5C-ECD7-409A-8230-DF3DB6605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6</xdr:row>
      <xdr:rowOff>0</xdr:rowOff>
    </xdr:from>
    <xdr:ext cx="9525" cy="9525"/>
    <xdr:pic>
      <xdr:nvPicPr>
        <xdr:cNvPr id="8701" name="Picture 8700">
          <a:extLst>
            <a:ext uri="{FF2B5EF4-FFF2-40B4-BE49-F238E27FC236}">
              <a16:creationId xmlns:a16="http://schemas.microsoft.com/office/drawing/2014/main" id="{B1E78A71-D560-4073-BC64-AEF856FE9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304800" cy="304800"/>
    <xdr:sp macro="" textlink="">
      <xdr:nvSpPr>
        <xdr:cNvPr id="8702" name="AutoShape 102">
          <a:extLst>
            <a:ext uri="{FF2B5EF4-FFF2-40B4-BE49-F238E27FC236}">
              <a16:creationId xmlns:a16="http://schemas.microsoft.com/office/drawing/2014/main" id="{7D5113D0-E913-41AC-92DD-64988BF5D1B2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9525" cy="9525"/>
    <xdr:pic>
      <xdr:nvPicPr>
        <xdr:cNvPr id="8703" name="Picture 8702">
          <a:extLst>
            <a:ext uri="{FF2B5EF4-FFF2-40B4-BE49-F238E27FC236}">
              <a16:creationId xmlns:a16="http://schemas.microsoft.com/office/drawing/2014/main" id="{07B8288C-21B9-4F53-8345-7B6519497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12</xdr:row>
      <xdr:rowOff>0</xdr:rowOff>
    </xdr:from>
    <xdr:ext cx="304800" cy="303439"/>
    <xdr:sp macro="" textlink="">
      <xdr:nvSpPr>
        <xdr:cNvPr id="8704" name="AutoShape 115">
          <a:extLst>
            <a:ext uri="{FF2B5EF4-FFF2-40B4-BE49-F238E27FC236}">
              <a16:creationId xmlns:a16="http://schemas.microsoft.com/office/drawing/2014/main" id="{7B8985DD-B473-4E84-B7CB-79C4CD37C727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304800" cy="304800"/>
    <xdr:sp macro="" textlink="">
      <xdr:nvSpPr>
        <xdr:cNvPr id="8705" name="AutoShape 117">
          <a:extLst>
            <a:ext uri="{FF2B5EF4-FFF2-40B4-BE49-F238E27FC236}">
              <a16:creationId xmlns:a16="http://schemas.microsoft.com/office/drawing/2014/main" id="{CA2A2E42-19C0-48AA-B2F8-82C4C74683BD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3</xdr:row>
      <xdr:rowOff>0</xdr:rowOff>
    </xdr:from>
    <xdr:ext cx="9525" cy="9525"/>
    <xdr:pic>
      <xdr:nvPicPr>
        <xdr:cNvPr id="8706" name="Picture 8705">
          <a:extLst>
            <a:ext uri="{FF2B5EF4-FFF2-40B4-BE49-F238E27FC236}">
              <a16:creationId xmlns:a16="http://schemas.microsoft.com/office/drawing/2014/main" id="{4DB4DF04-3F39-4FB5-8F82-8327E5CD1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347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</xdr:row>
      <xdr:rowOff>0</xdr:rowOff>
    </xdr:from>
    <xdr:ext cx="304800" cy="303439"/>
    <xdr:sp macro="" textlink="">
      <xdr:nvSpPr>
        <xdr:cNvPr id="8707" name="AutoShape 123">
          <a:extLst>
            <a:ext uri="{FF2B5EF4-FFF2-40B4-BE49-F238E27FC236}">
              <a16:creationId xmlns:a16="http://schemas.microsoft.com/office/drawing/2014/main" id="{E2A97E67-F916-4BBA-B1EB-92A03C530D5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129393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4</xdr:row>
      <xdr:rowOff>0</xdr:rowOff>
    </xdr:from>
    <xdr:ext cx="9525" cy="9525"/>
    <xdr:pic>
      <xdr:nvPicPr>
        <xdr:cNvPr id="8708" name="Picture 8707">
          <a:extLst>
            <a:ext uri="{FF2B5EF4-FFF2-40B4-BE49-F238E27FC236}">
              <a16:creationId xmlns:a16="http://schemas.microsoft.com/office/drawing/2014/main" id="{CA019FD4-283B-4444-99A1-D463EAC76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537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9525" cy="9525"/>
    <xdr:pic>
      <xdr:nvPicPr>
        <xdr:cNvPr id="8709" name="Picture 8708">
          <a:extLst>
            <a:ext uri="{FF2B5EF4-FFF2-40B4-BE49-F238E27FC236}">
              <a16:creationId xmlns:a16="http://schemas.microsoft.com/office/drawing/2014/main" id="{EAA3DD91-47F9-41FC-8D70-D29D8A8EC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7281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6</xdr:row>
      <xdr:rowOff>0</xdr:rowOff>
    </xdr:from>
    <xdr:ext cx="9525" cy="9525"/>
    <xdr:pic>
      <xdr:nvPicPr>
        <xdr:cNvPr id="8710" name="Picture 8709">
          <a:extLst>
            <a:ext uri="{FF2B5EF4-FFF2-40B4-BE49-F238E27FC236}">
              <a16:creationId xmlns:a16="http://schemas.microsoft.com/office/drawing/2014/main" id="{D38C80FF-553C-467F-AC8D-28523A0C3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1918607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5</xdr:row>
      <xdr:rowOff>0</xdr:rowOff>
    </xdr:from>
    <xdr:ext cx="304800" cy="304800"/>
    <xdr:sp macro="" textlink="">
      <xdr:nvSpPr>
        <xdr:cNvPr id="8711" name="AutoShape 127">
          <a:extLst>
            <a:ext uri="{FF2B5EF4-FFF2-40B4-BE49-F238E27FC236}">
              <a16:creationId xmlns:a16="http://schemas.microsoft.com/office/drawing/2014/main" id="{CE5C26C1-EF2D-4AAF-92F3-04B0EE04D19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172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9525" cy="9525"/>
    <xdr:pic>
      <xdr:nvPicPr>
        <xdr:cNvPr id="8712" name="Picture 8711">
          <a:extLst>
            <a:ext uri="{FF2B5EF4-FFF2-40B4-BE49-F238E27FC236}">
              <a16:creationId xmlns:a16="http://schemas.microsoft.com/office/drawing/2014/main" id="{163B8D64-039B-40E4-B158-697A9E749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341539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12</xdr:row>
      <xdr:rowOff>0</xdr:rowOff>
    </xdr:from>
    <xdr:ext cx="304800" cy="303439"/>
    <xdr:sp macro="" textlink="">
      <xdr:nvSpPr>
        <xdr:cNvPr id="8713" name="AutoShape 140">
          <a:extLst>
            <a:ext uri="{FF2B5EF4-FFF2-40B4-BE49-F238E27FC236}">
              <a16:creationId xmlns:a16="http://schemas.microsoft.com/office/drawing/2014/main" id="{706A1078-A9BC-45AD-8039-7B8899E6B180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197679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13</xdr:row>
      <xdr:rowOff>0</xdr:rowOff>
    </xdr:from>
    <xdr:ext cx="304800" cy="304800"/>
    <xdr:sp macro="" textlink="">
      <xdr:nvSpPr>
        <xdr:cNvPr id="8714" name="AutoShape 142">
          <a:extLst>
            <a:ext uri="{FF2B5EF4-FFF2-40B4-BE49-F238E27FC236}">
              <a16:creationId xmlns:a16="http://schemas.microsoft.com/office/drawing/2014/main" id="{779BF18F-43AE-4FE9-8C42-F7FAA8CE87E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34153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7</xdr:row>
      <xdr:rowOff>0</xdr:rowOff>
    </xdr:from>
    <xdr:ext cx="9525" cy="9525"/>
    <xdr:pic>
      <xdr:nvPicPr>
        <xdr:cNvPr id="8715" name="Picture 8714">
          <a:extLst>
            <a:ext uri="{FF2B5EF4-FFF2-40B4-BE49-F238E27FC236}">
              <a16:creationId xmlns:a16="http://schemas.microsoft.com/office/drawing/2014/main" id="{880E9D7D-AFD6-4505-8CC7-4D273BB95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7</xdr:row>
      <xdr:rowOff>0</xdr:rowOff>
    </xdr:from>
    <xdr:ext cx="9525" cy="9525"/>
    <xdr:pic>
      <xdr:nvPicPr>
        <xdr:cNvPr id="8716" name="Picture 8715">
          <a:extLst>
            <a:ext uri="{FF2B5EF4-FFF2-40B4-BE49-F238E27FC236}">
              <a16:creationId xmlns:a16="http://schemas.microsoft.com/office/drawing/2014/main" id="{94E1DD17-CDCF-4A81-9F20-0AF9E3F0A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7</xdr:row>
      <xdr:rowOff>0</xdr:rowOff>
    </xdr:from>
    <xdr:ext cx="9525" cy="9525"/>
    <xdr:pic>
      <xdr:nvPicPr>
        <xdr:cNvPr id="8717" name="Picture 8716">
          <a:extLst>
            <a:ext uri="{FF2B5EF4-FFF2-40B4-BE49-F238E27FC236}">
              <a16:creationId xmlns:a16="http://schemas.microsoft.com/office/drawing/2014/main" id="{D5498730-B6EE-4EAD-9758-A3B56379C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7</xdr:row>
      <xdr:rowOff>0</xdr:rowOff>
    </xdr:from>
    <xdr:ext cx="9525" cy="9525"/>
    <xdr:pic>
      <xdr:nvPicPr>
        <xdr:cNvPr id="8718" name="Picture 8717">
          <a:extLst>
            <a:ext uri="{FF2B5EF4-FFF2-40B4-BE49-F238E27FC236}">
              <a16:creationId xmlns:a16="http://schemas.microsoft.com/office/drawing/2014/main" id="{A695AB99-B73F-459B-BE2E-26CD06857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122714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9525" cy="9525"/>
    <xdr:pic>
      <xdr:nvPicPr>
        <xdr:cNvPr id="8719" name="Picture 8718">
          <a:extLst>
            <a:ext uri="{FF2B5EF4-FFF2-40B4-BE49-F238E27FC236}">
              <a16:creationId xmlns:a16="http://schemas.microsoft.com/office/drawing/2014/main" id="{58EA9723-92D6-4166-8D7D-4DC22F54C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9525" cy="9525"/>
    <xdr:pic>
      <xdr:nvPicPr>
        <xdr:cNvPr id="8720" name="Picture 8719">
          <a:extLst>
            <a:ext uri="{FF2B5EF4-FFF2-40B4-BE49-F238E27FC236}">
              <a16:creationId xmlns:a16="http://schemas.microsoft.com/office/drawing/2014/main" id="{E7E455B4-75B0-491E-8ADA-7FAFD658E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9525" cy="9525"/>
    <xdr:pic>
      <xdr:nvPicPr>
        <xdr:cNvPr id="8721" name="Picture 8720">
          <a:extLst>
            <a:ext uri="{FF2B5EF4-FFF2-40B4-BE49-F238E27FC236}">
              <a16:creationId xmlns:a16="http://schemas.microsoft.com/office/drawing/2014/main" id="{B0FD076E-3090-4B77-94C6-069C8E3F9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9525" cy="9525"/>
    <xdr:pic>
      <xdr:nvPicPr>
        <xdr:cNvPr id="8722" name="Picture 8721">
          <a:extLst>
            <a:ext uri="{FF2B5EF4-FFF2-40B4-BE49-F238E27FC236}">
              <a16:creationId xmlns:a16="http://schemas.microsoft.com/office/drawing/2014/main" id="{8DAAD31C-ACC1-41B0-9815-F98144815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544536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10</xdr:row>
      <xdr:rowOff>0</xdr:rowOff>
    </xdr:from>
    <xdr:ext cx="9525" cy="9525"/>
    <xdr:pic>
      <xdr:nvPicPr>
        <xdr:cNvPr id="8723" name="Picture 8722">
          <a:extLst>
            <a:ext uri="{FF2B5EF4-FFF2-40B4-BE49-F238E27FC236}">
              <a16:creationId xmlns:a16="http://schemas.microsoft.com/office/drawing/2014/main" id="{5C4AC3C3-431F-4E2C-9B8A-A97BD4279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304800" cy="304800"/>
    <xdr:sp macro="" textlink="">
      <xdr:nvSpPr>
        <xdr:cNvPr id="8724" name="AutoShape 38">
          <a:extLst>
            <a:ext uri="{FF2B5EF4-FFF2-40B4-BE49-F238E27FC236}">
              <a16:creationId xmlns:a16="http://schemas.microsoft.com/office/drawing/2014/main" id="{05F3B430-262A-48BF-B99C-41CE6565EAE4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10</xdr:row>
      <xdr:rowOff>0</xdr:rowOff>
    </xdr:from>
    <xdr:ext cx="304800" cy="304800"/>
    <xdr:sp macro="" textlink="">
      <xdr:nvSpPr>
        <xdr:cNvPr id="8725" name="AutoShape 40">
          <a:extLst>
            <a:ext uri="{FF2B5EF4-FFF2-40B4-BE49-F238E27FC236}">
              <a16:creationId xmlns:a16="http://schemas.microsoft.com/office/drawing/2014/main" id="{33583FC6-832B-4D89-8F3F-EB5E45B7E883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10</xdr:row>
      <xdr:rowOff>0</xdr:rowOff>
    </xdr:from>
    <xdr:ext cx="9525" cy="9525"/>
    <xdr:pic>
      <xdr:nvPicPr>
        <xdr:cNvPr id="8726" name="Picture 8725">
          <a:extLst>
            <a:ext uri="{FF2B5EF4-FFF2-40B4-BE49-F238E27FC236}">
              <a16:creationId xmlns:a16="http://schemas.microsoft.com/office/drawing/2014/main" id="{9538B442-133C-4856-95FD-ED45CC4AA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304800" cy="304800"/>
    <xdr:sp macro="" textlink="">
      <xdr:nvSpPr>
        <xdr:cNvPr id="8727" name="AutoShape 61">
          <a:extLst>
            <a:ext uri="{FF2B5EF4-FFF2-40B4-BE49-F238E27FC236}">
              <a16:creationId xmlns:a16="http://schemas.microsoft.com/office/drawing/2014/main" id="{BB648976-AB18-4BB2-A0D9-00912BE864A7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10</xdr:row>
      <xdr:rowOff>0</xdr:rowOff>
    </xdr:from>
    <xdr:ext cx="304800" cy="304800"/>
    <xdr:sp macro="" textlink="">
      <xdr:nvSpPr>
        <xdr:cNvPr id="8728" name="AutoShape 63">
          <a:extLst>
            <a:ext uri="{FF2B5EF4-FFF2-40B4-BE49-F238E27FC236}">
              <a16:creationId xmlns:a16="http://schemas.microsoft.com/office/drawing/2014/main" id="{BB39EF10-5264-418E-9052-BD0FE4A7B799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10</xdr:row>
      <xdr:rowOff>0</xdr:rowOff>
    </xdr:from>
    <xdr:ext cx="9525" cy="9525"/>
    <xdr:pic>
      <xdr:nvPicPr>
        <xdr:cNvPr id="8729" name="Picture 8728">
          <a:extLst>
            <a:ext uri="{FF2B5EF4-FFF2-40B4-BE49-F238E27FC236}">
              <a16:creationId xmlns:a16="http://schemas.microsoft.com/office/drawing/2014/main" id="{D666D6A4-4FE2-4440-957C-FC20B2AA4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304800" cy="304800"/>
    <xdr:sp macro="" textlink="">
      <xdr:nvSpPr>
        <xdr:cNvPr id="8730" name="AutoShape 111">
          <a:extLst>
            <a:ext uri="{FF2B5EF4-FFF2-40B4-BE49-F238E27FC236}">
              <a16:creationId xmlns:a16="http://schemas.microsoft.com/office/drawing/2014/main" id="{FB84F6F7-9F15-4EB6-BC3E-B5B283D5E4C1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10</xdr:row>
      <xdr:rowOff>0</xdr:rowOff>
    </xdr:from>
    <xdr:ext cx="304800" cy="304800"/>
    <xdr:sp macro="" textlink="">
      <xdr:nvSpPr>
        <xdr:cNvPr id="8731" name="AutoShape 113">
          <a:extLst>
            <a:ext uri="{FF2B5EF4-FFF2-40B4-BE49-F238E27FC236}">
              <a16:creationId xmlns:a16="http://schemas.microsoft.com/office/drawing/2014/main" id="{138EAF38-E114-4067-939F-3D8C926349E4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10</xdr:row>
      <xdr:rowOff>0</xdr:rowOff>
    </xdr:from>
    <xdr:ext cx="9525" cy="9525"/>
    <xdr:pic>
      <xdr:nvPicPr>
        <xdr:cNvPr id="8732" name="Picture 8731">
          <a:extLst>
            <a:ext uri="{FF2B5EF4-FFF2-40B4-BE49-F238E27FC236}">
              <a16:creationId xmlns:a16="http://schemas.microsoft.com/office/drawing/2014/main" id="{0766DB0F-46F0-4333-8946-6D893CBAB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276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9</xdr:row>
      <xdr:rowOff>0</xdr:rowOff>
    </xdr:from>
    <xdr:ext cx="304800" cy="304800"/>
    <xdr:sp macro="" textlink="">
      <xdr:nvSpPr>
        <xdr:cNvPr id="8733" name="AutoShape 136">
          <a:extLst>
            <a:ext uri="{FF2B5EF4-FFF2-40B4-BE49-F238E27FC236}">
              <a16:creationId xmlns:a16="http://schemas.microsoft.com/office/drawing/2014/main" id="{D27BC3F0-AFC5-4222-9B18-F52B473EC58A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54453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10</xdr:row>
      <xdr:rowOff>0</xdr:rowOff>
    </xdr:from>
    <xdr:ext cx="304800" cy="304800"/>
    <xdr:sp macro="" textlink="">
      <xdr:nvSpPr>
        <xdr:cNvPr id="8734" name="AutoShape 138">
          <a:extLst>
            <a:ext uri="{FF2B5EF4-FFF2-40B4-BE49-F238E27FC236}">
              <a16:creationId xmlns:a16="http://schemas.microsoft.com/office/drawing/2014/main" id="{EBD8AFBD-F150-49DC-8AB2-F2705E244BFB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27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35" name="Picture 8734">
          <a:extLst>
            <a:ext uri="{FF2B5EF4-FFF2-40B4-BE49-F238E27FC236}">
              <a16:creationId xmlns:a16="http://schemas.microsoft.com/office/drawing/2014/main" id="{A39BEF88-4919-421D-A8DC-D5D1504A6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26</xdr:row>
      <xdr:rowOff>0</xdr:rowOff>
    </xdr:from>
    <xdr:ext cx="9525" cy="9525"/>
    <xdr:pic>
      <xdr:nvPicPr>
        <xdr:cNvPr id="8736" name="Picture 8735">
          <a:extLst>
            <a:ext uri="{FF2B5EF4-FFF2-40B4-BE49-F238E27FC236}">
              <a16:creationId xmlns:a16="http://schemas.microsoft.com/office/drawing/2014/main" id="{C525830C-F3BA-4C4F-8276-E3A5F75CB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25</xdr:row>
      <xdr:rowOff>0</xdr:rowOff>
    </xdr:from>
    <xdr:ext cx="304800" cy="303440"/>
    <xdr:sp macro="" textlink="">
      <xdr:nvSpPr>
        <xdr:cNvPr id="8737" name="AutoShape 156">
          <a:extLst>
            <a:ext uri="{FF2B5EF4-FFF2-40B4-BE49-F238E27FC236}">
              <a16:creationId xmlns:a16="http://schemas.microsoft.com/office/drawing/2014/main" id="{8CDED146-AD5D-4753-90F8-3FD8BD2E546F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38" name="Picture 8737">
          <a:extLst>
            <a:ext uri="{FF2B5EF4-FFF2-40B4-BE49-F238E27FC236}">
              <a16:creationId xmlns:a16="http://schemas.microsoft.com/office/drawing/2014/main" id="{51DC4D0E-1217-4F90-99DA-68BD31B79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39" name="Picture 8738">
          <a:extLst>
            <a:ext uri="{FF2B5EF4-FFF2-40B4-BE49-F238E27FC236}">
              <a16:creationId xmlns:a16="http://schemas.microsoft.com/office/drawing/2014/main" id="{869B9310-4C85-4885-949D-E46FD3880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740" name="AutoShape 159">
          <a:extLst>
            <a:ext uri="{FF2B5EF4-FFF2-40B4-BE49-F238E27FC236}">
              <a16:creationId xmlns:a16="http://schemas.microsoft.com/office/drawing/2014/main" id="{DD60EACB-02D4-48DE-B998-DF68BD9BC760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41" name="Picture 8740">
          <a:extLst>
            <a:ext uri="{FF2B5EF4-FFF2-40B4-BE49-F238E27FC236}">
              <a16:creationId xmlns:a16="http://schemas.microsoft.com/office/drawing/2014/main" id="{8545B652-F21D-4106-8C22-EA2EC3E7B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42" name="Picture 8741">
          <a:extLst>
            <a:ext uri="{FF2B5EF4-FFF2-40B4-BE49-F238E27FC236}">
              <a16:creationId xmlns:a16="http://schemas.microsoft.com/office/drawing/2014/main" id="{76EEEF60-6B5A-4BD4-8CCD-C7725FE99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43" name="Picture 8742">
          <a:extLst>
            <a:ext uri="{FF2B5EF4-FFF2-40B4-BE49-F238E27FC236}">
              <a16:creationId xmlns:a16="http://schemas.microsoft.com/office/drawing/2014/main" id="{56EF48A3-1F5B-48CE-82DB-D7DFCCCCE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44" name="Picture 8743">
          <a:extLst>
            <a:ext uri="{FF2B5EF4-FFF2-40B4-BE49-F238E27FC236}">
              <a16:creationId xmlns:a16="http://schemas.microsoft.com/office/drawing/2014/main" id="{B70F2816-B1AB-4A53-BA80-282F71633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45" name="Picture 8744">
          <a:extLst>
            <a:ext uri="{FF2B5EF4-FFF2-40B4-BE49-F238E27FC236}">
              <a16:creationId xmlns:a16="http://schemas.microsoft.com/office/drawing/2014/main" id="{A577AAB7-84B3-4D5E-A8F8-5124519C5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46" name="Picture 8745">
          <a:extLst>
            <a:ext uri="{FF2B5EF4-FFF2-40B4-BE49-F238E27FC236}">
              <a16:creationId xmlns:a16="http://schemas.microsoft.com/office/drawing/2014/main" id="{72876F3B-FB89-491F-B993-0EFA8BA56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3440"/>
    <xdr:sp macro="" textlink="">
      <xdr:nvSpPr>
        <xdr:cNvPr id="8747" name="AutoShape 169">
          <a:extLst>
            <a:ext uri="{FF2B5EF4-FFF2-40B4-BE49-F238E27FC236}">
              <a16:creationId xmlns:a16="http://schemas.microsoft.com/office/drawing/2014/main" id="{0AA77E34-1FCE-4548-B726-6298A621F95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27</xdr:row>
      <xdr:rowOff>0</xdr:rowOff>
    </xdr:from>
    <xdr:ext cx="9525" cy="9525"/>
    <xdr:pic>
      <xdr:nvPicPr>
        <xdr:cNvPr id="8748" name="Picture 8747">
          <a:extLst>
            <a:ext uri="{FF2B5EF4-FFF2-40B4-BE49-F238E27FC236}">
              <a16:creationId xmlns:a16="http://schemas.microsoft.com/office/drawing/2014/main" id="{4A927DE1-F5CC-4B7D-B61F-B3CF861EA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26</xdr:row>
      <xdr:rowOff>0</xdr:rowOff>
    </xdr:from>
    <xdr:ext cx="304800" cy="303439"/>
    <xdr:sp macro="" textlink="">
      <xdr:nvSpPr>
        <xdr:cNvPr id="8749" name="AutoShape 171">
          <a:extLst>
            <a:ext uri="{FF2B5EF4-FFF2-40B4-BE49-F238E27FC236}">
              <a16:creationId xmlns:a16="http://schemas.microsoft.com/office/drawing/2014/main" id="{67F3E190-E3C8-4094-AD3F-92349785CD9A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50" name="Picture 8749">
          <a:extLst>
            <a:ext uri="{FF2B5EF4-FFF2-40B4-BE49-F238E27FC236}">
              <a16:creationId xmlns:a16="http://schemas.microsoft.com/office/drawing/2014/main" id="{44B30099-0929-4C12-B262-880810642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27</xdr:row>
      <xdr:rowOff>0</xdr:rowOff>
    </xdr:from>
    <xdr:ext cx="304800" cy="303440"/>
    <xdr:sp macro="" textlink="">
      <xdr:nvSpPr>
        <xdr:cNvPr id="8751" name="AutoShape 173">
          <a:extLst>
            <a:ext uri="{FF2B5EF4-FFF2-40B4-BE49-F238E27FC236}">
              <a16:creationId xmlns:a16="http://schemas.microsoft.com/office/drawing/2014/main" id="{4EA4A715-E3DD-4EEA-A118-720F7D1AA582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477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52" name="Picture 8751">
          <a:extLst>
            <a:ext uri="{FF2B5EF4-FFF2-40B4-BE49-F238E27FC236}">
              <a16:creationId xmlns:a16="http://schemas.microsoft.com/office/drawing/2014/main" id="{EE4E5AD5-5182-4FF8-B7B0-546AB2D2C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53" name="Picture 8752">
          <a:extLst>
            <a:ext uri="{FF2B5EF4-FFF2-40B4-BE49-F238E27FC236}">
              <a16:creationId xmlns:a16="http://schemas.microsoft.com/office/drawing/2014/main" id="{CA195DE5-1213-43F9-859E-9801D4F7D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54" name="Picture 8753">
          <a:extLst>
            <a:ext uri="{FF2B5EF4-FFF2-40B4-BE49-F238E27FC236}">
              <a16:creationId xmlns:a16="http://schemas.microsoft.com/office/drawing/2014/main" id="{1EA43520-0C42-4305-91B3-5ED37B0D4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24</xdr:row>
      <xdr:rowOff>0</xdr:rowOff>
    </xdr:from>
    <xdr:ext cx="304800" cy="304800"/>
    <xdr:sp macro="" textlink="">
      <xdr:nvSpPr>
        <xdr:cNvPr id="8755" name="AutoShape 183">
          <a:extLst>
            <a:ext uri="{FF2B5EF4-FFF2-40B4-BE49-F238E27FC236}">
              <a16:creationId xmlns:a16="http://schemas.microsoft.com/office/drawing/2014/main" id="{0849FB8E-3C2E-4924-BBE0-834CB1BA5A06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26</xdr:row>
      <xdr:rowOff>0</xdr:rowOff>
    </xdr:from>
    <xdr:ext cx="9525" cy="9525"/>
    <xdr:pic>
      <xdr:nvPicPr>
        <xdr:cNvPr id="8756" name="Picture 8755">
          <a:extLst>
            <a:ext uri="{FF2B5EF4-FFF2-40B4-BE49-F238E27FC236}">
              <a16:creationId xmlns:a16="http://schemas.microsoft.com/office/drawing/2014/main" id="{DC0EB925-38DC-4498-8568-7AEA08076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25</xdr:row>
      <xdr:rowOff>0</xdr:rowOff>
    </xdr:from>
    <xdr:ext cx="304800" cy="303440"/>
    <xdr:sp macro="" textlink="">
      <xdr:nvSpPr>
        <xdr:cNvPr id="8757" name="AutoShape 185">
          <a:extLst>
            <a:ext uri="{FF2B5EF4-FFF2-40B4-BE49-F238E27FC236}">
              <a16:creationId xmlns:a16="http://schemas.microsoft.com/office/drawing/2014/main" id="{D1B56CA3-548A-48F2-B3C6-D8FBBE57F608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58" name="Picture 8757">
          <a:extLst>
            <a:ext uri="{FF2B5EF4-FFF2-40B4-BE49-F238E27FC236}">
              <a16:creationId xmlns:a16="http://schemas.microsoft.com/office/drawing/2014/main" id="{829BE98F-3049-4286-B588-F8CE4B1C8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59" name="Picture 8758">
          <a:extLst>
            <a:ext uri="{FF2B5EF4-FFF2-40B4-BE49-F238E27FC236}">
              <a16:creationId xmlns:a16="http://schemas.microsoft.com/office/drawing/2014/main" id="{6C682851-0410-48F2-B0D7-3378E0CC7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60" name="Picture 8759">
          <a:extLst>
            <a:ext uri="{FF2B5EF4-FFF2-40B4-BE49-F238E27FC236}">
              <a16:creationId xmlns:a16="http://schemas.microsoft.com/office/drawing/2014/main" id="{2A1A229B-F1F1-4FC0-8A78-C8C8DB7C7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61" name="Picture 8760">
          <a:extLst>
            <a:ext uri="{FF2B5EF4-FFF2-40B4-BE49-F238E27FC236}">
              <a16:creationId xmlns:a16="http://schemas.microsoft.com/office/drawing/2014/main" id="{FC2E418A-C7AB-4C40-9952-25245AAB2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62" name="Picture 8761">
          <a:extLst>
            <a:ext uri="{FF2B5EF4-FFF2-40B4-BE49-F238E27FC236}">
              <a16:creationId xmlns:a16="http://schemas.microsoft.com/office/drawing/2014/main" id="{1CF64C73-437C-47D6-99AC-A6C555ED7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763" name="AutoShape 191">
          <a:extLst>
            <a:ext uri="{FF2B5EF4-FFF2-40B4-BE49-F238E27FC236}">
              <a16:creationId xmlns:a16="http://schemas.microsoft.com/office/drawing/2014/main" id="{A1E15186-A403-4222-8C2B-65D72D1AD609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64" name="Picture 8763">
          <a:extLst>
            <a:ext uri="{FF2B5EF4-FFF2-40B4-BE49-F238E27FC236}">
              <a16:creationId xmlns:a16="http://schemas.microsoft.com/office/drawing/2014/main" id="{D41267A5-3F47-4C1B-A279-A4DA0CBFA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765" name="AutoShape 193">
          <a:extLst>
            <a:ext uri="{FF2B5EF4-FFF2-40B4-BE49-F238E27FC236}">
              <a16:creationId xmlns:a16="http://schemas.microsoft.com/office/drawing/2014/main" id="{0F4D4C9C-BBF8-4E22-A447-AA673C0576E3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66" name="Picture 8765">
          <a:extLst>
            <a:ext uri="{FF2B5EF4-FFF2-40B4-BE49-F238E27FC236}">
              <a16:creationId xmlns:a16="http://schemas.microsoft.com/office/drawing/2014/main" id="{0EE4C2C3-45BD-4F21-A648-0D12B19BE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67" name="Picture 8766">
          <a:extLst>
            <a:ext uri="{FF2B5EF4-FFF2-40B4-BE49-F238E27FC236}">
              <a16:creationId xmlns:a16="http://schemas.microsoft.com/office/drawing/2014/main" id="{85941796-BD50-4F1C-94FD-B519E23B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3440"/>
    <xdr:sp macro="" textlink="">
      <xdr:nvSpPr>
        <xdr:cNvPr id="8768" name="AutoShape 199">
          <a:extLst>
            <a:ext uri="{FF2B5EF4-FFF2-40B4-BE49-F238E27FC236}">
              <a16:creationId xmlns:a16="http://schemas.microsoft.com/office/drawing/2014/main" id="{D6C8C2A4-6006-4013-9B40-C1620221EBD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27</xdr:row>
      <xdr:rowOff>0</xdr:rowOff>
    </xdr:from>
    <xdr:ext cx="9525" cy="9525"/>
    <xdr:pic>
      <xdr:nvPicPr>
        <xdr:cNvPr id="8769" name="Picture 8768">
          <a:extLst>
            <a:ext uri="{FF2B5EF4-FFF2-40B4-BE49-F238E27FC236}">
              <a16:creationId xmlns:a16="http://schemas.microsoft.com/office/drawing/2014/main" id="{F155610E-2D85-468C-B172-550F1CC2B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70" name="Picture 8769">
          <a:extLst>
            <a:ext uri="{FF2B5EF4-FFF2-40B4-BE49-F238E27FC236}">
              <a16:creationId xmlns:a16="http://schemas.microsoft.com/office/drawing/2014/main" id="{970EE975-D081-43AB-B109-B5501D1AF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71" name="Picture 8770">
          <a:extLst>
            <a:ext uri="{FF2B5EF4-FFF2-40B4-BE49-F238E27FC236}">
              <a16:creationId xmlns:a16="http://schemas.microsoft.com/office/drawing/2014/main" id="{D24E58F5-7FF4-4741-A2AF-D4118B8BB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24</xdr:row>
      <xdr:rowOff>0</xdr:rowOff>
    </xdr:from>
    <xdr:ext cx="304800" cy="304800"/>
    <xdr:sp macro="" textlink="">
      <xdr:nvSpPr>
        <xdr:cNvPr id="8772" name="AutoShape 209">
          <a:extLst>
            <a:ext uri="{FF2B5EF4-FFF2-40B4-BE49-F238E27FC236}">
              <a16:creationId xmlns:a16="http://schemas.microsoft.com/office/drawing/2014/main" id="{7AEF855A-E9F8-4E7F-A08E-91667D5F62F8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26</xdr:row>
      <xdr:rowOff>0</xdr:rowOff>
    </xdr:from>
    <xdr:ext cx="9525" cy="9525"/>
    <xdr:pic>
      <xdr:nvPicPr>
        <xdr:cNvPr id="8773" name="Picture 8772">
          <a:extLst>
            <a:ext uri="{FF2B5EF4-FFF2-40B4-BE49-F238E27FC236}">
              <a16:creationId xmlns:a16="http://schemas.microsoft.com/office/drawing/2014/main" id="{A6B9261A-FD3F-4E56-91C5-B7384756F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25</xdr:row>
      <xdr:rowOff>0</xdr:rowOff>
    </xdr:from>
    <xdr:ext cx="304800" cy="303440"/>
    <xdr:sp macro="" textlink="">
      <xdr:nvSpPr>
        <xdr:cNvPr id="8774" name="AutoShape 211">
          <a:extLst>
            <a:ext uri="{FF2B5EF4-FFF2-40B4-BE49-F238E27FC236}">
              <a16:creationId xmlns:a16="http://schemas.microsoft.com/office/drawing/2014/main" id="{CB10BD31-3489-49CC-BE4D-B2368DB251BA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75" name="Picture 8774">
          <a:extLst>
            <a:ext uri="{FF2B5EF4-FFF2-40B4-BE49-F238E27FC236}">
              <a16:creationId xmlns:a16="http://schemas.microsoft.com/office/drawing/2014/main" id="{F6EB4656-C617-47C1-98EA-0FE48EACE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76" name="Picture 8775">
          <a:extLst>
            <a:ext uri="{FF2B5EF4-FFF2-40B4-BE49-F238E27FC236}">
              <a16:creationId xmlns:a16="http://schemas.microsoft.com/office/drawing/2014/main" id="{2591D23D-10EB-48DA-A1B9-06C4A194A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77" name="Picture 8776">
          <a:extLst>
            <a:ext uri="{FF2B5EF4-FFF2-40B4-BE49-F238E27FC236}">
              <a16:creationId xmlns:a16="http://schemas.microsoft.com/office/drawing/2014/main" id="{73918CA8-A09A-4705-8D1A-1850961BB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78" name="Picture 8777">
          <a:extLst>
            <a:ext uri="{FF2B5EF4-FFF2-40B4-BE49-F238E27FC236}">
              <a16:creationId xmlns:a16="http://schemas.microsoft.com/office/drawing/2014/main" id="{1127328E-B8CB-48DE-9B62-B1CDA9D6D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79" name="Picture 8778">
          <a:extLst>
            <a:ext uri="{FF2B5EF4-FFF2-40B4-BE49-F238E27FC236}">
              <a16:creationId xmlns:a16="http://schemas.microsoft.com/office/drawing/2014/main" id="{428CE3D2-B9AF-4078-A5A6-FB8A0C2D2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780" name="AutoShape 217">
          <a:extLst>
            <a:ext uri="{FF2B5EF4-FFF2-40B4-BE49-F238E27FC236}">
              <a16:creationId xmlns:a16="http://schemas.microsoft.com/office/drawing/2014/main" id="{95177152-ED8C-4FAD-837C-1941C06AD0D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81" name="Picture 8780">
          <a:extLst>
            <a:ext uri="{FF2B5EF4-FFF2-40B4-BE49-F238E27FC236}">
              <a16:creationId xmlns:a16="http://schemas.microsoft.com/office/drawing/2014/main" id="{1204E1A0-A96A-4BA5-B8A7-D0448AF31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782" name="AutoShape 219">
          <a:extLst>
            <a:ext uri="{FF2B5EF4-FFF2-40B4-BE49-F238E27FC236}">
              <a16:creationId xmlns:a16="http://schemas.microsoft.com/office/drawing/2014/main" id="{B0517E25-97DE-4231-9E2B-2E8657CC8896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83" name="Picture 8782">
          <a:extLst>
            <a:ext uri="{FF2B5EF4-FFF2-40B4-BE49-F238E27FC236}">
              <a16:creationId xmlns:a16="http://schemas.microsoft.com/office/drawing/2014/main" id="{7667D971-BE75-4323-8210-3732B99EB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84" name="Picture 8783">
          <a:extLst>
            <a:ext uri="{FF2B5EF4-FFF2-40B4-BE49-F238E27FC236}">
              <a16:creationId xmlns:a16="http://schemas.microsoft.com/office/drawing/2014/main" id="{AB253596-C30F-4139-9E7B-04C9438B6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27</xdr:row>
      <xdr:rowOff>0</xdr:rowOff>
    </xdr:from>
    <xdr:ext cx="9525" cy="9525"/>
    <xdr:pic>
      <xdr:nvPicPr>
        <xdr:cNvPr id="8785" name="Picture 8784">
          <a:extLst>
            <a:ext uri="{FF2B5EF4-FFF2-40B4-BE49-F238E27FC236}">
              <a16:creationId xmlns:a16="http://schemas.microsoft.com/office/drawing/2014/main" id="{01DF846E-8964-4FE9-A66E-C3A694135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86" name="Picture 8785">
          <a:extLst>
            <a:ext uri="{FF2B5EF4-FFF2-40B4-BE49-F238E27FC236}">
              <a16:creationId xmlns:a16="http://schemas.microsoft.com/office/drawing/2014/main" id="{3FE5F025-175F-4F4D-A577-3A4FAEDA6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24</xdr:row>
      <xdr:rowOff>0</xdr:rowOff>
    </xdr:from>
    <xdr:ext cx="304800" cy="304800"/>
    <xdr:sp macro="" textlink="">
      <xdr:nvSpPr>
        <xdr:cNvPr id="8787" name="AutoShape 233">
          <a:extLst>
            <a:ext uri="{FF2B5EF4-FFF2-40B4-BE49-F238E27FC236}">
              <a16:creationId xmlns:a16="http://schemas.microsoft.com/office/drawing/2014/main" id="{9D9E878C-55A9-491A-96E4-434B496BF5A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26</xdr:row>
      <xdr:rowOff>0</xdr:rowOff>
    </xdr:from>
    <xdr:ext cx="9525" cy="9525"/>
    <xdr:pic>
      <xdr:nvPicPr>
        <xdr:cNvPr id="8788" name="Picture 8787">
          <a:extLst>
            <a:ext uri="{FF2B5EF4-FFF2-40B4-BE49-F238E27FC236}">
              <a16:creationId xmlns:a16="http://schemas.microsoft.com/office/drawing/2014/main" id="{FC871E1E-BE60-4C25-9F76-D38D12707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25</xdr:row>
      <xdr:rowOff>0</xdr:rowOff>
    </xdr:from>
    <xdr:ext cx="304800" cy="303440"/>
    <xdr:sp macro="" textlink="">
      <xdr:nvSpPr>
        <xdr:cNvPr id="8789" name="AutoShape 235">
          <a:extLst>
            <a:ext uri="{FF2B5EF4-FFF2-40B4-BE49-F238E27FC236}">
              <a16:creationId xmlns:a16="http://schemas.microsoft.com/office/drawing/2014/main" id="{44FB0472-A410-400A-B856-B847721DAEB5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90" name="Picture 8789">
          <a:extLst>
            <a:ext uri="{FF2B5EF4-FFF2-40B4-BE49-F238E27FC236}">
              <a16:creationId xmlns:a16="http://schemas.microsoft.com/office/drawing/2014/main" id="{A75FE88C-F1AB-4D72-83C3-2593B54BC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91" name="Picture 8790">
          <a:extLst>
            <a:ext uri="{FF2B5EF4-FFF2-40B4-BE49-F238E27FC236}">
              <a16:creationId xmlns:a16="http://schemas.microsoft.com/office/drawing/2014/main" id="{6186874D-D339-4D02-9B05-E9918089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92" name="Picture 8791">
          <a:extLst>
            <a:ext uri="{FF2B5EF4-FFF2-40B4-BE49-F238E27FC236}">
              <a16:creationId xmlns:a16="http://schemas.microsoft.com/office/drawing/2014/main" id="{12AABEE3-93A4-457C-AF08-614DFCFE6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93" name="Picture 8792">
          <a:extLst>
            <a:ext uri="{FF2B5EF4-FFF2-40B4-BE49-F238E27FC236}">
              <a16:creationId xmlns:a16="http://schemas.microsoft.com/office/drawing/2014/main" id="{474C4C40-956E-4637-AD85-15C1637EF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94" name="Picture 8793">
          <a:extLst>
            <a:ext uri="{FF2B5EF4-FFF2-40B4-BE49-F238E27FC236}">
              <a16:creationId xmlns:a16="http://schemas.microsoft.com/office/drawing/2014/main" id="{DE8CEF93-AD1F-402A-83D0-EF137DA41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795" name="AutoShape 241">
          <a:extLst>
            <a:ext uri="{FF2B5EF4-FFF2-40B4-BE49-F238E27FC236}">
              <a16:creationId xmlns:a16="http://schemas.microsoft.com/office/drawing/2014/main" id="{AB325F60-9F6C-4D7C-BFF9-5649217D10F5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96" name="Picture 8795">
          <a:extLst>
            <a:ext uri="{FF2B5EF4-FFF2-40B4-BE49-F238E27FC236}">
              <a16:creationId xmlns:a16="http://schemas.microsoft.com/office/drawing/2014/main" id="{BD23ACBE-354C-440A-BF19-A4202B8CE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797" name="AutoShape 243">
          <a:extLst>
            <a:ext uri="{FF2B5EF4-FFF2-40B4-BE49-F238E27FC236}">
              <a16:creationId xmlns:a16="http://schemas.microsoft.com/office/drawing/2014/main" id="{2D9754ED-AFD3-4824-A481-8B8143E57474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98" name="Picture 8797">
          <a:extLst>
            <a:ext uri="{FF2B5EF4-FFF2-40B4-BE49-F238E27FC236}">
              <a16:creationId xmlns:a16="http://schemas.microsoft.com/office/drawing/2014/main" id="{C9400687-D9BD-4909-8E51-071377C15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799" name="Picture 8798">
          <a:extLst>
            <a:ext uri="{FF2B5EF4-FFF2-40B4-BE49-F238E27FC236}">
              <a16:creationId xmlns:a16="http://schemas.microsoft.com/office/drawing/2014/main" id="{009A2A46-2D18-4FA6-B041-E081FA5B5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3440"/>
    <xdr:sp macro="" textlink="">
      <xdr:nvSpPr>
        <xdr:cNvPr id="8800" name="AutoShape 249">
          <a:extLst>
            <a:ext uri="{FF2B5EF4-FFF2-40B4-BE49-F238E27FC236}">
              <a16:creationId xmlns:a16="http://schemas.microsoft.com/office/drawing/2014/main" id="{251FB819-C0BD-46EA-B2F2-219223CC09D8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27</xdr:row>
      <xdr:rowOff>0</xdr:rowOff>
    </xdr:from>
    <xdr:ext cx="9525" cy="9525"/>
    <xdr:pic>
      <xdr:nvPicPr>
        <xdr:cNvPr id="8801" name="Picture 8800">
          <a:extLst>
            <a:ext uri="{FF2B5EF4-FFF2-40B4-BE49-F238E27FC236}">
              <a16:creationId xmlns:a16="http://schemas.microsoft.com/office/drawing/2014/main" id="{6D7D3018-5B75-4875-8C4B-75FD27AE2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02" name="Picture 8801">
          <a:extLst>
            <a:ext uri="{FF2B5EF4-FFF2-40B4-BE49-F238E27FC236}">
              <a16:creationId xmlns:a16="http://schemas.microsoft.com/office/drawing/2014/main" id="{68D2CEFA-C332-4E8E-AFD6-F6F79F541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03" name="Picture 8802">
          <a:extLst>
            <a:ext uri="{FF2B5EF4-FFF2-40B4-BE49-F238E27FC236}">
              <a16:creationId xmlns:a16="http://schemas.microsoft.com/office/drawing/2014/main" id="{AE0A62FE-FBC2-4AB6-B6E1-82A323E67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24</xdr:row>
      <xdr:rowOff>0</xdr:rowOff>
    </xdr:from>
    <xdr:ext cx="304800" cy="304800"/>
    <xdr:sp macro="" textlink="">
      <xdr:nvSpPr>
        <xdr:cNvPr id="8804" name="AutoShape 259">
          <a:extLst>
            <a:ext uri="{FF2B5EF4-FFF2-40B4-BE49-F238E27FC236}">
              <a16:creationId xmlns:a16="http://schemas.microsoft.com/office/drawing/2014/main" id="{4D029623-EB81-43AF-9C51-BEAF6EDF3965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26</xdr:row>
      <xdr:rowOff>0</xdr:rowOff>
    </xdr:from>
    <xdr:ext cx="9525" cy="9525"/>
    <xdr:pic>
      <xdr:nvPicPr>
        <xdr:cNvPr id="8805" name="Picture 8804">
          <a:extLst>
            <a:ext uri="{FF2B5EF4-FFF2-40B4-BE49-F238E27FC236}">
              <a16:creationId xmlns:a16="http://schemas.microsoft.com/office/drawing/2014/main" id="{9E13264E-8939-4B09-97C2-48A76DFB3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25</xdr:row>
      <xdr:rowOff>0</xdr:rowOff>
    </xdr:from>
    <xdr:ext cx="304800" cy="303440"/>
    <xdr:sp macro="" textlink="">
      <xdr:nvSpPr>
        <xdr:cNvPr id="8806" name="AutoShape 261">
          <a:extLst>
            <a:ext uri="{FF2B5EF4-FFF2-40B4-BE49-F238E27FC236}">
              <a16:creationId xmlns:a16="http://schemas.microsoft.com/office/drawing/2014/main" id="{DDAEA62B-4F52-4208-A96E-D4DC695A5DB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07" name="Picture 8806">
          <a:extLst>
            <a:ext uri="{FF2B5EF4-FFF2-40B4-BE49-F238E27FC236}">
              <a16:creationId xmlns:a16="http://schemas.microsoft.com/office/drawing/2014/main" id="{AEF2B5B9-67F5-4D82-89E7-E38C73416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08" name="Picture 8807">
          <a:extLst>
            <a:ext uri="{FF2B5EF4-FFF2-40B4-BE49-F238E27FC236}">
              <a16:creationId xmlns:a16="http://schemas.microsoft.com/office/drawing/2014/main" id="{FF75EBE3-2827-4A82-941D-97464BDE1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09" name="Picture 8808">
          <a:extLst>
            <a:ext uri="{FF2B5EF4-FFF2-40B4-BE49-F238E27FC236}">
              <a16:creationId xmlns:a16="http://schemas.microsoft.com/office/drawing/2014/main" id="{86ABA2C5-8A29-4110-8876-74C873DC7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10" name="Picture 8809">
          <a:extLst>
            <a:ext uri="{FF2B5EF4-FFF2-40B4-BE49-F238E27FC236}">
              <a16:creationId xmlns:a16="http://schemas.microsoft.com/office/drawing/2014/main" id="{76E68052-6EE0-4C05-B56B-ECCF8DF67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11" name="Picture 8810">
          <a:extLst>
            <a:ext uri="{FF2B5EF4-FFF2-40B4-BE49-F238E27FC236}">
              <a16:creationId xmlns:a16="http://schemas.microsoft.com/office/drawing/2014/main" id="{0E4E53C1-D0DE-445B-8606-DB919ED24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812" name="AutoShape 267">
          <a:extLst>
            <a:ext uri="{FF2B5EF4-FFF2-40B4-BE49-F238E27FC236}">
              <a16:creationId xmlns:a16="http://schemas.microsoft.com/office/drawing/2014/main" id="{530BD52D-2B4F-48D5-9DC3-EBB62BBFAAD1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13" name="Picture 8812">
          <a:extLst>
            <a:ext uri="{FF2B5EF4-FFF2-40B4-BE49-F238E27FC236}">
              <a16:creationId xmlns:a16="http://schemas.microsoft.com/office/drawing/2014/main" id="{904D94E4-F00C-490A-BF7D-BDEFBF70B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814" name="AutoShape 269">
          <a:extLst>
            <a:ext uri="{FF2B5EF4-FFF2-40B4-BE49-F238E27FC236}">
              <a16:creationId xmlns:a16="http://schemas.microsoft.com/office/drawing/2014/main" id="{1366BC6F-D2EF-4B25-959F-C8FF0DBF1AC6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15" name="Picture 8814">
          <a:extLst>
            <a:ext uri="{FF2B5EF4-FFF2-40B4-BE49-F238E27FC236}">
              <a16:creationId xmlns:a16="http://schemas.microsoft.com/office/drawing/2014/main" id="{FAFEBBD9-D597-43BF-B9E8-1E03BF877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16" name="Picture 8815">
          <a:extLst>
            <a:ext uri="{FF2B5EF4-FFF2-40B4-BE49-F238E27FC236}">
              <a16:creationId xmlns:a16="http://schemas.microsoft.com/office/drawing/2014/main" id="{84FA7C3E-2CBA-4495-8ABC-9F2D2BD19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3440"/>
    <xdr:sp macro="" textlink="">
      <xdr:nvSpPr>
        <xdr:cNvPr id="8817" name="AutoShape 275">
          <a:extLst>
            <a:ext uri="{FF2B5EF4-FFF2-40B4-BE49-F238E27FC236}">
              <a16:creationId xmlns:a16="http://schemas.microsoft.com/office/drawing/2014/main" id="{8870348A-ECF2-41BC-B126-55D82C4A712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27</xdr:row>
      <xdr:rowOff>0</xdr:rowOff>
    </xdr:from>
    <xdr:ext cx="9525" cy="9525"/>
    <xdr:pic>
      <xdr:nvPicPr>
        <xdr:cNvPr id="8818" name="Picture 8817">
          <a:extLst>
            <a:ext uri="{FF2B5EF4-FFF2-40B4-BE49-F238E27FC236}">
              <a16:creationId xmlns:a16="http://schemas.microsoft.com/office/drawing/2014/main" id="{BFC3822A-A899-4C64-8DC0-683ECA088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19" name="Picture 8818">
          <a:extLst>
            <a:ext uri="{FF2B5EF4-FFF2-40B4-BE49-F238E27FC236}">
              <a16:creationId xmlns:a16="http://schemas.microsoft.com/office/drawing/2014/main" id="{D51E18A6-2C31-43FE-815A-94BF1268F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20" name="Picture 8819">
          <a:extLst>
            <a:ext uri="{FF2B5EF4-FFF2-40B4-BE49-F238E27FC236}">
              <a16:creationId xmlns:a16="http://schemas.microsoft.com/office/drawing/2014/main" id="{FACDF35D-277B-4BD6-BA81-322893224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24</xdr:row>
      <xdr:rowOff>0</xdr:rowOff>
    </xdr:from>
    <xdr:ext cx="304800" cy="304800"/>
    <xdr:sp macro="" textlink="">
      <xdr:nvSpPr>
        <xdr:cNvPr id="8821" name="AutoShape 311">
          <a:extLst>
            <a:ext uri="{FF2B5EF4-FFF2-40B4-BE49-F238E27FC236}">
              <a16:creationId xmlns:a16="http://schemas.microsoft.com/office/drawing/2014/main" id="{3859BAAE-957B-4925-874A-16D1011F0FD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26</xdr:row>
      <xdr:rowOff>0</xdr:rowOff>
    </xdr:from>
    <xdr:ext cx="9525" cy="9525"/>
    <xdr:pic>
      <xdr:nvPicPr>
        <xdr:cNvPr id="8822" name="Picture 8821">
          <a:extLst>
            <a:ext uri="{FF2B5EF4-FFF2-40B4-BE49-F238E27FC236}">
              <a16:creationId xmlns:a16="http://schemas.microsoft.com/office/drawing/2014/main" id="{C30723D2-05D3-4A58-B48F-6236DC7C0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25</xdr:row>
      <xdr:rowOff>0</xdr:rowOff>
    </xdr:from>
    <xdr:ext cx="304800" cy="303440"/>
    <xdr:sp macro="" textlink="">
      <xdr:nvSpPr>
        <xdr:cNvPr id="8823" name="AutoShape 313">
          <a:extLst>
            <a:ext uri="{FF2B5EF4-FFF2-40B4-BE49-F238E27FC236}">
              <a16:creationId xmlns:a16="http://schemas.microsoft.com/office/drawing/2014/main" id="{01EDC6BE-B55C-4D65-8536-845EDD919611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24" name="Picture 8823">
          <a:extLst>
            <a:ext uri="{FF2B5EF4-FFF2-40B4-BE49-F238E27FC236}">
              <a16:creationId xmlns:a16="http://schemas.microsoft.com/office/drawing/2014/main" id="{F298FB2A-DEAF-46FE-9FBB-1E22E9EDC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25" name="Picture 8824">
          <a:extLst>
            <a:ext uri="{FF2B5EF4-FFF2-40B4-BE49-F238E27FC236}">
              <a16:creationId xmlns:a16="http://schemas.microsoft.com/office/drawing/2014/main" id="{1D82B24E-512A-46CD-9696-85A7A719F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26" name="Picture 8825">
          <a:extLst>
            <a:ext uri="{FF2B5EF4-FFF2-40B4-BE49-F238E27FC236}">
              <a16:creationId xmlns:a16="http://schemas.microsoft.com/office/drawing/2014/main" id="{664AC461-F55D-4367-BA9B-5FAC53E13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27" name="Picture 8826">
          <a:extLst>
            <a:ext uri="{FF2B5EF4-FFF2-40B4-BE49-F238E27FC236}">
              <a16:creationId xmlns:a16="http://schemas.microsoft.com/office/drawing/2014/main" id="{A7C1D693-523A-4137-9221-17A2A09F1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28" name="Picture 8827">
          <a:extLst>
            <a:ext uri="{FF2B5EF4-FFF2-40B4-BE49-F238E27FC236}">
              <a16:creationId xmlns:a16="http://schemas.microsoft.com/office/drawing/2014/main" id="{059D196D-0FEE-4613-8D8E-97549B0E3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829" name="AutoShape 319">
          <a:extLst>
            <a:ext uri="{FF2B5EF4-FFF2-40B4-BE49-F238E27FC236}">
              <a16:creationId xmlns:a16="http://schemas.microsoft.com/office/drawing/2014/main" id="{276762D0-9D1F-4979-A427-EC46EB0BB4EA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30" name="Picture 8829">
          <a:extLst>
            <a:ext uri="{FF2B5EF4-FFF2-40B4-BE49-F238E27FC236}">
              <a16:creationId xmlns:a16="http://schemas.microsoft.com/office/drawing/2014/main" id="{DA40D45A-C2D3-4F8A-925E-E82ECEE01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831" name="AutoShape 321">
          <a:extLst>
            <a:ext uri="{FF2B5EF4-FFF2-40B4-BE49-F238E27FC236}">
              <a16:creationId xmlns:a16="http://schemas.microsoft.com/office/drawing/2014/main" id="{24D47B40-B378-4995-BE6B-C4EDA99AA06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32" name="Picture 8831">
          <a:extLst>
            <a:ext uri="{FF2B5EF4-FFF2-40B4-BE49-F238E27FC236}">
              <a16:creationId xmlns:a16="http://schemas.microsoft.com/office/drawing/2014/main" id="{42B3DA80-1140-43A9-A206-F26850D67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33" name="Picture 8832">
          <a:extLst>
            <a:ext uri="{FF2B5EF4-FFF2-40B4-BE49-F238E27FC236}">
              <a16:creationId xmlns:a16="http://schemas.microsoft.com/office/drawing/2014/main" id="{2337D0BC-C996-4944-A071-BD0525901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3440"/>
    <xdr:sp macro="" textlink="">
      <xdr:nvSpPr>
        <xdr:cNvPr id="8834" name="AutoShape 327">
          <a:extLst>
            <a:ext uri="{FF2B5EF4-FFF2-40B4-BE49-F238E27FC236}">
              <a16:creationId xmlns:a16="http://schemas.microsoft.com/office/drawing/2014/main" id="{78760314-5824-4684-8F5D-535165F88BE8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27</xdr:row>
      <xdr:rowOff>0</xdr:rowOff>
    </xdr:from>
    <xdr:ext cx="9525" cy="9525"/>
    <xdr:pic>
      <xdr:nvPicPr>
        <xdr:cNvPr id="8835" name="Picture 8834">
          <a:extLst>
            <a:ext uri="{FF2B5EF4-FFF2-40B4-BE49-F238E27FC236}">
              <a16:creationId xmlns:a16="http://schemas.microsoft.com/office/drawing/2014/main" id="{6F679ECE-00D1-437F-833C-7B65221F6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36" name="Picture 8835">
          <a:extLst>
            <a:ext uri="{FF2B5EF4-FFF2-40B4-BE49-F238E27FC236}">
              <a16:creationId xmlns:a16="http://schemas.microsoft.com/office/drawing/2014/main" id="{E2810B56-0460-48C5-954C-FC225E864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37" name="Picture 8836">
          <a:extLst>
            <a:ext uri="{FF2B5EF4-FFF2-40B4-BE49-F238E27FC236}">
              <a16:creationId xmlns:a16="http://schemas.microsoft.com/office/drawing/2014/main" id="{882CEB0E-6801-4A7F-B2D8-36AEF4621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24</xdr:row>
      <xdr:rowOff>0</xdr:rowOff>
    </xdr:from>
    <xdr:ext cx="304800" cy="304800"/>
    <xdr:sp macro="" textlink="">
      <xdr:nvSpPr>
        <xdr:cNvPr id="8838" name="AutoShape 363">
          <a:extLst>
            <a:ext uri="{FF2B5EF4-FFF2-40B4-BE49-F238E27FC236}">
              <a16:creationId xmlns:a16="http://schemas.microsoft.com/office/drawing/2014/main" id="{F9010A44-655D-49BD-B451-35FB594163C4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26</xdr:row>
      <xdr:rowOff>0</xdr:rowOff>
    </xdr:from>
    <xdr:ext cx="9525" cy="9525"/>
    <xdr:pic>
      <xdr:nvPicPr>
        <xdr:cNvPr id="8839" name="Picture 8838">
          <a:extLst>
            <a:ext uri="{FF2B5EF4-FFF2-40B4-BE49-F238E27FC236}">
              <a16:creationId xmlns:a16="http://schemas.microsoft.com/office/drawing/2014/main" id="{95FA58EF-6D45-4BF7-8353-647116FC5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25</xdr:row>
      <xdr:rowOff>0</xdr:rowOff>
    </xdr:from>
    <xdr:ext cx="304800" cy="303440"/>
    <xdr:sp macro="" textlink="">
      <xdr:nvSpPr>
        <xdr:cNvPr id="8840" name="AutoShape 365">
          <a:extLst>
            <a:ext uri="{FF2B5EF4-FFF2-40B4-BE49-F238E27FC236}">
              <a16:creationId xmlns:a16="http://schemas.microsoft.com/office/drawing/2014/main" id="{4FE8ACDC-8169-4B56-8F42-41BD85D693F5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41" name="Picture 8840">
          <a:extLst>
            <a:ext uri="{FF2B5EF4-FFF2-40B4-BE49-F238E27FC236}">
              <a16:creationId xmlns:a16="http://schemas.microsoft.com/office/drawing/2014/main" id="{D86B82FA-1D69-4B6D-932C-99EF33AC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42" name="Picture 8841">
          <a:extLst>
            <a:ext uri="{FF2B5EF4-FFF2-40B4-BE49-F238E27FC236}">
              <a16:creationId xmlns:a16="http://schemas.microsoft.com/office/drawing/2014/main" id="{DD09EF41-A75D-4E2A-B4B1-31CBAF380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43" name="Picture 8842">
          <a:extLst>
            <a:ext uri="{FF2B5EF4-FFF2-40B4-BE49-F238E27FC236}">
              <a16:creationId xmlns:a16="http://schemas.microsoft.com/office/drawing/2014/main" id="{2C250B5A-12E4-4AD6-8BF9-2A8DD49D7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44" name="Picture 8843">
          <a:extLst>
            <a:ext uri="{FF2B5EF4-FFF2-40B4-BE49-F238E27FC236}">
              <a16:creationId xmlns:a16="http://schemas.microsoft.com/office/drawing/2014/main" id="{D736AB59-B676-43F9-B03B-3B6915770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45" name="Picture 8844">
          <a:extLst>
            <a:ext uri="{FF2B5EF4-FFF2-40B4-BE49-F238E27FC236}">
              <a16:creationId xmlns:a16="http://schemas.microsoft.com/office/drawing/2014/main" id="{743FE86A-E1E9-4CAD-94CC-E4DB3A397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846" name="AutoShape 371">
          <a:extLst>
            <a:ext uri="{FF2B5EF4-FFF2-40B4-BE49-F238E27FC236}">
              <a16:creationId xmlns:a16="http://schemas.microsoft.com/office/drawing/2014/main" id="{7D4CE2D0-B33C-4931-9306-98B1A818C678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47" name="Picture 8846">
          <a:extLst>
            <a:ext uri="{FF2B5EF4-FFF2-40B4-BE49-F238E27FC236}">
              <a16:creationId xmlns:a16="http://schemas.microsoft.com/office/drawing/2014/main" id="{A1ECE42A-507B-41C3-A852-F8D50F13E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848" name="AutoShape 373">
          <a:extLst>
            <a:ext uri="{FF2B5EF4-FFF2-40B4-BE49-F238E27FC236}">
              <a16:creationId xmlns:a16="http://schemas.microsoft.com/office/drawing/2014/main" id="{48C7F8B8-26CE-4200-814E-6BF57B338F27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49" name="Picture 8848">
          <a:extLst>
            <a:ext uri="{FF2B5EF4-FFF2-40B4-BE49-F238E27FC236}">
              <a16:creationId xmlns:a16="http://schemas.microsoft.com/office/drawing/2014/main" id="{172D57D7-9FD1-46B0-B420-27649D7AA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50" name="Picture 8849">
          <a:extLst>
            <a:ext uri="{FF2B5EF4-FFF2-40B4-BE49-F238E27FC236}">
              <a16:creationId xmlns:a16="http://schemas.microsoft.com/office/drawing/2014/main" id="{CBB9B553-EA94-45B3-AB69-A0D6F6A16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3440"/>
    <xdr:sp macro="" textlink="">
      <xdr:nvSpPr>
        <xdr:cNvPr id="8851" name="AutoShape 379">
          <a:extLst>
            <a:ext uri="{FF2B5EF4-FFF2-40B4-BE49-F238E27FC236}">
              <a16:creationId xmlns:a16="http://schemas.microsoft.com/office/drawing/2014/main" id="{71BE51C1-F8FB-452F-BB3B-1EDE3A642186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27</xdr:row>
      <xdr:rowOff>0</xdr:rowOff>
    </xdr:from>
    <xdr:ext cx="9525" cy="9525"/>
    <xdr:pic>
      <xdr:nvPicPr>
        <xdr:cNvPr id="8852" name="Picture 8851">
          <a:extLst>
            <a:ext uri="{FF2B5EF4-FFF2-40B4-BE49-F238E27FC236}">
              <a16:creationId xmlns:a16="http://schemas.microsoft.com/office/drawing/2014/main" id="{5CE31BFD-B415-441A-9741-ED556CD1B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26</xdr:row>
      <xdr:rowOff>0</xdr:rowOff>
    </xdr:from>
    <xdr:ext cx="304800" cy="303439"/>
    <xdr:sp macro="" textlink="">
      <xdr:nvSpPr>
        <xdr:cNvPr id="8853" name="AutoShape 381">
          <a:extLst>
            <a:ext uri="{FF2B5EF4-FFF2-40B4-BE49-F238E27FC236}">
              <a16:creationId xmlns:a16="http://schemas.microsoft.com/office/drawing/2014/main" id="{F6B3E61E-2B91-47DE-8996-FDABA4E5BC0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54" name="Picture 8853">
          <a:extLst>
            <a:ext uri="{FF2B5EF4-FFF2-40B4-BE49-F238E27FC236}">
              <a16:creationId xmlns:a16="http://schemas.microsoft.com/office/drawing/2014/main" id="{3ACFCCEE-6709-4394-ABC1-2BC9A71A5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55" name="Picture 8854">
          <a:extLst>
            <a:ext uri="{FF2B5EF4-FFF2-40B4-BE49-F238E27FC236}">
              <a16:creationId xmlns:a16="http://schemas.microsoft.com/office/drawing/2014/main" id="{4451ED4E-019C-43D0-BE95-5F29C921C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56" name="Picture 8855">
          <a:extLst>
            <a:ext uri="{FF2B5EF4-FFF2-40B4-BE49-F238E27FC236}">
              <a16:creationId xmlns:a16="http://schemas.microsoft.com/office/drawing/2014/main" id="{F54EF5F5-AFB9-4480-8CBC-556348DE3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24</xdr:row>
      <xdr:rowOff>0</xdr:rowOff>
    </xdr:from>
    <xdr:ext cx="304800" cy="304800"/>
    <xdr:sp macro="" textlink="">
      <xdr:nvSpPr>
        <xdr:cNvPr id="8857" name="AutoShape 419">
          <a:extLst>
            <a:ext uri="{FF2B5EF4-FFF2-40B4-BE49-F238E27FC236}">
              <a16:creationId xmlns:a16="http://schemas.microsoft.com/office/drawing/2014/main" id="{516F548E-0B1A-4DDB-B573-F5A694B8061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26</xdr:row>
      <xdr:rowOff>0</xdr:rowOff>
    </xdr:from>
    <xdr:ext cx="9525" cy="9525"/>
    <xdr:pic>
      <xdr:nvPicPr>
        <xdr:cNvPr id="8858" name="Picture 8857">
          <a:extLst>
            <a:ext uri="{FF2B5EF4-FFF2-40B4-BE49-F238E27FC236}">
              <a16:creationId xmlns:a16="http://schemas.microsoft.com/office/drawing/2014/main" id="{848269B4-9FCE-4FF7-B4AB-7B0B15903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25</xdr:row>
      <xdr:rowOff>0</xdr:rowOff>
    </xdr:from>
    <xdr:ext cx="304800" cy="303440"/>
    <xdr:sp macro="" textlink="">
      <xdr:nvSpPr>
        <xdr:cNvPr id="8859" name="AutoShape 421">
          <a:extLst>
            <a:ext uri="{FF2B5EF4-FFF2-40B4-BE49-F238E27FC236}">
              <a16:creationId xmlns:a16="http://schemas.microsoft.com/office/drawing/2014/main" id="{7E224110-E0F7-48BB-BBDF-6FF42FA5A49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60" name="Picture 8859">
          <a:extLst>
            <a:ext uri="{FF2B5EF4-FFF2-40B4-BE49-F238E27FC236}">
              <a16:creationId xmlns:a16="http://schemas.microsoft.com/office/drawing/2014/main" id="{FD5BEF16-2D15-4EE7-BD79-866CA1726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61" name="Picture 8860">
          <a:extLst>
            <a:ext uri="{FF2B5EF4-FFF2-40B4-BE49-F238E27FC236}">
              <a16:creationId xmlns:a16="http://schemas.microsoft.com/office/drawing/2014/main" id="{F1186E8F-784E-4B92-B92A-3CCBEF1D0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62" name="Picture 8861">
          <a:extLst>
            <a:ext uri="{FF2B5EF4-FFF2-40B4-BE49-F238E27FC236}">
              <a16:creationId xmlns:a16="http://schemas.microsoft.com/office/drawing/2014/main" id="{37D8CC37-B1B7-4FF6-8CD6-170033259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63" name="Picture 8862">
          <a:extLst>
            <a:ext uri="{FF2B5EF4-FFF2-40B4-BE49-F238E27FC236}">
              <a16:creationId xmlns:a16="http://schemas.microsoft.com/office/drawing/2014/main" id="{D22FA976-9E41-4795-929B-40016A6E3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64" name="Picture 8863">
          <a:extLst>
            <a:ext uri="{FF2B5EF4-FFF2-40B4-BE49-F238E27FC236}">
              <a16:creationId xmlns:a16="http://schemas.microsoft.com/office/drawing/2014/main" id="{E661195B-6421-4B03-93D6-FBF905C33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865" name="AutoShape 427">
          <a:extLst>
            <a:ext uri="{FF2B5EF4-FFF2-40B4-BE49-F238E27FC236}">
              <a16:creationId xmlns:a16="http://schemas.microsoft.com/office/drawing/2014/main" id="{01DA4AB7-F900-4895-B1DC-C5B3EF7001B5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66" name="Picture 8865">
          <a:extLst>
            <a:ext uri="{FF2B5EF4-FFF2-40B4-BE49-F238E27FC236}">
              <a16:creationId xmlns:a16="http://schemas.microsoft.com/office/drawing/2014/main" id="{2598119D-8BE0-4787-A3DC-BBEAADDA2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867" name="AutoShape 429">
          <a:extLst>
            <a:ext uri="{FF2B5EF4-FFF2-40B4-BE49-F238E27FC236}">
              <a16:creationId xmlns:a16="http://schemas.microsoft.com/office/drawing/2014/main" id="{3D5FDBCE-0FDC-4F79-92CD-82B778F0850D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68" name="Picture 8867">
          <a:extLst>
            <a:ext uri="{FF2B5EF4-FFF2-40B4-BE49-F238E27FC236}">
              <a16:creationId xmlns:a16="http://schemas.microsoft.com/office/drawing/2014/main" id="{6B0257E7-21DE-4C26-B261-A74A44BD6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69" name="Picture 8868">
          <a:extLst>
            <a:ext uri="{FF2B5EF4-FFF2-40B4-BE49-F238E27FC236}">
              <a16:creationId xmlns:a16="http://schemas.microsoft.com/office/drawing/2014/main" id="{2D8C2648-8C94-4F61-B421-33CC47AAB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3440"/>
    <xdr:sp macro="" textlink="">
      <xdr:nvSpPr>
        <xdr:cNvPr id="8870" name="AutoShape 435">
          <a:extLst>
            <a:ext uri="{FF2B5EF4-FFF2-40B4-BE49-F238E27FC236}">
              <a16:creationId xmlns:a16="http://schemas.microsoft.com/office/drawing/2014/main" id="{7A10AFDB-D9F1-414D-BAE9-B471E920CE90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27</xdr:row>
      <xdr:rowOff>0</xdr:rowOff>
    </xdr:from>
    <xdr:ext cx="9525" cy="9525"/>
    <xdr:pic>
      <xdr:nvPicPr>
        <xdr:cNvPr id="8871" name="Picture 8870">
          <a:extLst>
            <a:ext uri="{FF2B5EF4-FFF2-40B4-BE49-F238E27FC236}">
              <a16:creationId xmlns:a16="http://schemas.microsoft.com/office/drawing/2014/main" id="{77AF8460-83A8-4A3B-8290-9437FE6FE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26</xdr:row>
      <xdr:rowOff>0</xdr:rowOff>
    </xdr:from>
    <xdr:ext cx="304800" cy="303439"/>
    <xdr:sp macro="" textlink="">
      <xdr:nvSpPr>
        <xdr:cNvPr id="8872" name="AutoShape 437">
          <a:extLst>
            <a:ext uri="{FF2B5EF4-FFF2-40B4-BE49-F238E27FC236}">
              <a16:creationId xmlns:a16="http://schemas.microsoft.com/office/drawing/2014/main" id="{FC16B47E-5B4E-4E8F-957F-B6B2BE625FB4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73" name="Picture 8872">
          <a:extLst>
            <a:ext uri="{FF2B5EF4-FFF2-40B4-BE49-F238E27FC236}">
              <a16:creationId xmlns:a16="http://schemas.microsoft.com/office/drawing/2014/main" id="{7D7CCD93-D92B-44CB-90BA-A8A6919C5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74" name="Picture 8873">
          <a:extLst>
            <a:ext uri="{FF2B5EF4-FFF2-40B4-BE49-F238E27FC236}">
              <a16:creationId xmlns:a16="http://schemas.microsoft.com/office/drawing/2014/main" id="{139D5CFA-04DE-4B71-B015-DD008A7BC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75" name="Picture 8874">
          <a:extLst>
            <a:ext uri="{FF2B5EF4-FFF2-40B4-BE49-F238E27FC236}">
              <a16:creationId xmlns:a16="http://schemas.microsoft.com/office/drawing/2014/main" id="{1C7A633D-F11E-4A1A-A081-47C73E622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24</xdr:row>
      <xdr:rowOff>0</xdr:rowOff>
    </xdr:from>
    <xdr:ext cx="304800" cy="304800"/>
    <xdr:sp macro="" textlink="">
      <xdr:nvSpPr>
        <xdr:cNvPr id="8876" name="AutoShape 475">
          <a:extLst>
            <a:ext uri="{FF2B5EF4-FFF2-40B4-BE49-F238E27FC236}">
              <a16:creationId xmlns:a16="http://schemas.microsoft.com/office/drawing/2014/main" id="{1A321133-8211-4C09-BD27-D49585FB7E08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26</xdr:row>
      <xdr:rowOff>0</xdr:rowOff>
    </xdr:from>
    <xdr:ext cx="9525" cy="9525"/>
    <xdr:pic>
      <xdr:nvPicPr>
        <xdr:cNvPr id="8877" name="Picture 8876">
          <a:extLst>
            <a:ext uri="{FF2B5EF4-FFF2-40B4-BE49-F238E27FC236}">
              <a16:creationId xmlns:a16="http://schemas.microsoft.com/office/drawing/2014/main" id="{0973650B-356B-4C7C-96B9-021685A51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25</xdr:row>
      <xdr:rowOff>0</xdr:rowOff>
    </xdr:from>
    <xdr:ext cx="304800" cy="303440"/>
    <xdr:sp macro="" textlink="">
      <xdr:nvSpPr>
        <xdr:cNvPr id="8878" name="AutoShape 477">
          <a:extLst>
            <a:ext uri="{FF2B5EF4-FFF2-40B4-BE49-F238E27FC236}">
              <a16:creationId xmlns:a16="http://schemas.microsoft.com/office/drawing/2014/main" id="{AD39810A-6C78-4CF9-A4CB-8D1A984DEE0D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79" name="Picture 8878">
          <a:extLst>
            <a:ext uri="{FF2B5EF4-FFF2-40B4-BE49-F238E27FC236}">
              <a16:creationId xmlns:a16="http://schemas.microsoft.com/office/drawing/2014/main" id="{63C3066B-0BCA-4F5F-80F4-182882A3E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80" name="Picture 8879">
          <a:extLst>
            <a:ext uri="{FF2B5EF4-FFF2-40B4-BE49-F238E27FC236}">
              <a16:creationId xmlns:a16="http://schemas.microsoft.com/office/drawing/2014/main" id="{CA16A282-06D1-4CA6-BDFE-FD51655E2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81" name="Picture 8880">
          <a:extLst>
            <a:ext uri="{FF2B5EF4-FFF2-40B4-BE49-F238E27FC236}">
              <a16:creationId xmlns:a16="http://schemas.microsoft.com/office/drawing/2014/main" id="{B6CDB12D-E829-4816-BAC3-FE5D3D28D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82" name="Picture 8881">
          <a:extLst>
            <a:ext uri="{FF2B5EF4-FFF2-40B4-BE49-F238E27FC236}">
              <a16:creationId xmlns:a16="http://schemas.microsoft.com/office/drawing/2014/main" id="{6E96F657-204A-44C9-82EA-E232F7355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83" name="Picture 8882">
          <a:extLst>
            <a:ext uri="{FF2B5EF4-FFF2-40B4-BE49-F238E27FC236}">
              <a16:creationId xmlns:a16="http://schemas.microsoft.com/office/drawing/2014/main" id="{363C81BA-2B40-4179-B088-729639CAD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884" name="AutoShape 483">
          <a:extLst>
            <a:ext uri="{FF2B5EF4-FFF2-40B4-BE49-F238E27FC236}">
              <a16:creationId xmlns:a16="http://schemas.microsoft.com/office/drawing/2014/main" id="{AE174313-4393-4F02-9B0C-34C2411DD57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85" name="Picture 8884">
          <a:extLst>
            <a:ext uri="{FF2B5EF4-FFF2-40B4-BE49-F238E27FC236}">
              <a16:creationId xmlns:a16="http://schemas.microsoft.com/office/drawing/2014/main" id="{827029E8-6178-4B59-9EA5-47B1C51E1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886" name="AutoShape 485">
          <a:extLst>
            <a:ext uri="{FF2B5EF4-FFF2-40B4-BE49-F238E27FC236}">
              <a16:creationId xmlns:a16="http://schemas.microsoft.com/office/drawing/2014/main" id="{C910C16B-3918-45C3-86F3-E751B464C698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87" name="Picture 8886">
          <a:extLst>
            <a:ext uri="{FF2B5EF4-FFF2-40B4-BE49-F238E27FC236}">
              <a16:creationId xmlns:a16="http://schemas.microsoft.com/office/drawing/2014/main" id="{BA83E31C-399C-439F-AFBC-359F20030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88" name="Picture 8887">
          <a:extLst>
            <a:ext uri="{FF2B5EF4-FFF2-40B4-BE49-F238E27FC236}">
              <a16:creationId xmlns:a16="http://schemas.microsoft.com/office/drawing/2014/main" id="{AC390D78-305D-4F6A-9C54-A067E0133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3440"/>
    <xdr:sp macro="" textlink="">
      <xdr:nvSpPr>
        <xdr:cNvPr id="8889" name="AutoShape 491">
          <a:extLst>
            <a:ext uri="{FF2B5EF4-FFF2-40B4-BE49-F238E27FC236}">
              <a16:creationId xmlns:a16="http://schemas.microsoft.com/office/drawing/2014/main" id="{95CFE828-E8BB-4A7F-8621-0C2F4D443DB8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27</xdr:row>
      <xdr:rowOff>0</xdr:rowOff>
    </xdr:from>
    <xdr:ext cx="9525" cy="9525"/>
    <xdr:pic>
      <xdr:nvPicPr>
        <xdr:cNvPr id="8890" name="Picture 8889">
          <a:extLst>
            <a:ext uri="{FF2B5EF4-FFF2-40B4-BE49-F238E27FC236}">
              <a16:creationId xmlns:a16="http://schemas.microsoft.com/office/drawing/2014/main" id="{658C382D-D0A3-4BC6-936B-263BBCC2C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26</xdr:row>
      <xdr:rowOff>0</xdr:rowOff>
    </xdr:from>
    <xdr:ext cx="304800" cy="303439"/>
    <xdr:sp macro="" textlink="">
      <xdr:nvSpPr>
        <xdr:cNvPr id="8891" name="AutoShape 493">
          <a:extLst>
            <a:ext uri="{FF2B5EF4-FFF2-40B4-BE49-F238E27FC236}">
              <a16:creationId xmlns:a16="http://schemas.microsoft.com/office/drawing/2014/main" id="{69E1357A-9D3C-4457-A2E1-8EE2454AAC10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92" name="Picture 8891">
          <a:extLst>
            <a:ext uri="{FF2B5EF4-FFF2-40B4-BE49-F238E27FC236}">
              <a16:creationId xmlns:a16="http://schemas.microsoft.com/office/drawing/2014/main" id="{B5D6A639-1780-4E8A-B376-36C41A15F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93" name="Picture 8892">
          <a:extLst>
            <a:ext uri="{FF2B5EF4-FFF2-40B4-BE49-F238E27FC236}">
              <a16:creationId xmlns:a16="http://schemas.microsoft.com/office/drawing/2014/main" id="{B2E24A18-0989-43B5-B02B-5C8DA58BE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94" name="Picture 8893">
          <a:extLst>
            <a:ext uri="{FF2B5EF4-FFF2-40B4-BE49-F238E27FC236}">
              <a16:creationId xmlns:a16="http://schemas.microsoft.com/office/drawing/2014/main" id="{6B3B6B2C-1D1F-4745-8C72-DCA9439F8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26</xdr:row>
      <xdr:rowOff>0</xdr:rowOff>
    </xdr:from>
    <xdr:ext cx="9525" cy="9525"/>
    <xdr:pic>
      <xdr:nvPicPr>
        <xdr:cNvPr id="8895" name="Picture 8894">
          <a:extLst>
            <a:ext uri="{FF2B5EF4-FFF2-40B4-BE49-F238E27FC236}">
              <a16:creationId xmlns:a16="http://schemas.microsoft.com/office/drawing/2014/main" id="{97FDCDAC-F58D-4B50-A1C5-B7D39BC59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25</xdr:row>
      <xdr:rowOff>0</xdr:rowOff>
    </xdr:from>
    <xdr:ext cx="304800" cy="303439"/>
    <xdr:sp macro="" textlink="">
      <xdr:nvSpPr>
        <xdr:cNvPr id="8896" name="AutoShape 507">
          <a:extLst>
            <a:ext uri="{FF2B5EF4-FFF2-40B4-BE49-F238E27FC236}">
              <a16:creationId xmlns:a16="http://schemas.microsoft.com/office/drawing/2014/main" id="{B1424439-98D6-4EC0-A3E5-25AFC4AB2C50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068786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97" name="Picture 8896">
          <a:extLst>
            <a:ext uri="{FF2B5EF4-FFF2-40B4-BE49-F238E27FC236}">
              <a16:creationId xmlns:a16="http://schemas.microsoft.com/office/drawing/2014/main" id="{468F2779-30A1-4123-BC55-5D1AEA449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26</xdr:row>
      <xdr:rowOff>0</xdr:rowOff>
    </xdr:from>
    <xdr:ext cx="304800" cy="304800"/>
    <xdr:sp macro="" textlink="">
      <xdr:nvSpPr>
        <xdr:cNvPr id="8898" name="AutoShape 509">
          <a:extLst>
            <a:ext uri="{FF2B5EF4-FFF2-40B4-BE49-F238E27FC236}">
              <a16:creationId xmlns:a16="http://schemas.microsoft.com/office/drawing/2014/main" id="{8D83BD01-8C37-4D87-AD80-4A8EA706969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899" name="Picture 8898">
          <a:extLst>
            <a:ext uri="{FF2B5EF4-FFF2-40B4-BE49-F238E27FC236}">
              <a16:creationId xmlns:a16="http://schemas.microsoft.com/office/drawing/2014/main" id="{CF12B32C-9545-4D70-998F-5EF22CF0D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900" name="AutoShape 511">
          <a:extLst>
            <a:ext uri="{FF2B5EF4-FFF2-40B4-BE49-F238E27FC236}">
              <a16:creationId xmlns:a16="http://schemas.microsoft.com/office/drawing/2014/main" id="{86078680-6ADF-4273-9186-09232073E47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901" name="Picture 8900">
          <a:extLst>
            <a:ext uri="{FF2B5EF4-FFF2-40B4-BE49-F238E27FC236}">
              <a16:creationId xmlns:a16="http://schemas.microsoft.com/office/drawing/2014/main" id="{E1D806CE-CF93-4940-AA7C-064E97912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3439"/>
    <xdr:sp macro="" textlink="">
      <xdr:nvSpPr>
        <xdr:cNvPr id="8902" name="AutoShape 513">
          <a:extLst>
            <a:ext uri="{FF2B5EF4-FFF2-40B4-BE49-F238E27FC236}">
              <a16:creationId xmlns:a16="http://schemas.microsoft.com/office/drawing/2014/main" id="{77F72DAA-D8DF-4D18-90DD-9429F9518C3F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903" name="Picture 8902">
          <a:extLst>
            <a:ext uri="{FF2B5EF4-FFF2-40B4-BE49-F238E27FC236}">
              <a16:creationId xmlns:a16="http://schemas.microsoft.com/office/drawing/2014/main" id="{F661A75F-FFC9-455C-9B31-1605CE772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904" name="AutoShape 515">
          <a:extLst>
            <a:ext uri="{FF2B5EF4-FFF2-40B4-BE49-F238E27FC236}">
              <a16:creationId xmlns:a16="http://schemas.microsoft.com/office/drawing/2014/main" id="{ECC417B8-3926-4352-87C8-6ECB5267484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905" name="Picture 8904">
          <a:extLst>
            <a:ext uri="{FF2B5EF4-FFF2-40B4-BE49-F238E27FC236}">
              <a16:creationId xmlns:a16="http://schemas.microsoft.com/office/drawing/2014/main" id="{C8759A87-A0C8-4132-A091-A245CCB6B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906" name="AutoShape 517">
          <a:extLst>
            <a:ext uri="{FF2B5EF4-FFF2-40B4-BE49-F238E27FC236}">
              <a16:creationId xmlns:a16="http://schemas.microsoft.com/office/drawing/2014/main" id="{17809A34-0A49-42E0-B72E-29EEC49988F1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907" name="Picture 8906">
          <a:extLst>
            <a:ext uri="{FF2B5EF4-FFF2-40B4-BE49-F238E27FC236}">
              <a16:creationId xmlns:a16="http://schemas.microsoft.com/office/drawing/2014/main" id="{5254EE92-5E29-4A6B-8216-0946DFE6D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908" name="AutoShape 519">
          <a:extLst>
            <a:ext uri="{FF2B5EF4-FFF2-40B4-BE49-F238E27FC236}">
              <a16:creationId xmlns:a16="http://schemas.microsoft.com/office/drawing/2014/main" id="{B3BAD088-CAF4-4A1A-9753-025527BCE865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909" name="Picture 8908">
          <a:extLst>
            <a:ext uri="{FF2B5EF4-FFF2-40B4-BE49-F238E27FC236}">
              <a16:creationId xmlns:a16="http://schemas.microsoft.com/office/drawing/2014/main" id="{D6959720-CC81-4836-AECB-248D7AF2B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910" name="Picture 8909">
          <a:extLst>
            <a:ext uri="{FF2B5EF4-FFF2-40B4-BE49-F238E27FC236}">
              <a16:creationId xmlns:a16="http://schemas.microsoft.com/office/drawing/2014/main" id="{BBD21B17-0A5D-4B55-B0A7-11C461367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3440"/>
    <xdr:sp macro="" textlink="">
      <xdr:nvSpPr>
        <xdr:cNvPr id="8911" name="AutoShape 525">
          <a:extLst>
            <a:ext uri="{FF2B5EF4-FFF2-40B4-BE49-F238E27FC236}">
              <a16:creationId xmlns:a16="http://schemas.microsoft.com/office/drawing/2014/main" id="{FC8072C8-106A-44C0-A170-DD44ECC119E0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27</xdr:row>
      <xdr:rowOff>0</xdr:rowOff>
    </xdr:from>
    <xdr:ext cx="9525" cy="9525"/>
    <xdr:pic>
      <xdr:nvPicPr>
        <xdr:cNvPr id="8912" name="Picture 8911">
          <a:extLst>
            <a:ext uri="{FF2B5EF4-FFF2-40B4-BE49-F238E27FC236}">
              <a16:creationId xmlns:a16="http://schemas.microsoft.com/office/drawing/2014/main" id="{95FCE23D-3D3C-43E2-BCED-A4F5E0889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26</xdr:row>
      <xdr:rowOff>0</xdr:rowOff>
    </xdr:from>
    <xdr:ext cx="304800" cy="303439"/>
    <xdr:sp macro="" textlink="">
      <xdr:nvSpPr>
        <xdr:cNvPr id="8913" name="AutoShape 527">
          <a:extLst>
            <a:ext uri="{FF2B5EF4-FFF2-40B4-BE49-F238E27FC236}">
              <a16:creationId xmlns:a16="http://schemas.microsoft.com/office/drawing/2014/main" id="{3D02568C-2BD3-4EDB-BCDE-F0653E476611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2865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914" name="Picture 8913">
          <a:extLst>
            <a:ext uri="{FF2B5EF4-FFF2-40B4-BE49-F238E27FC236}">
              <a16:creationId xmlns:a16="http://schemas.microsoft.com/office/drawing/2014/main" id="{6F4E8716-449B-411B-955D-13B8C7475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27</xdr:row>
      <xdr:rowOff>0</xdr:rowOff>
    </xdr:from>
    <xdr:ext cx="304800" cy="303439"/>
    <xdr:sp macro="" textlink="">
      <xdr:nvSpPr>
        <xdr:cNvPr id="8915" name="AutoShape 529">
          <a:extLst>
            <a:ext uri="{FF2B5EF4-FFF2-40B4-BE49-F238E27FC236}">
              <a16:creationId xmlns:a16="http://schemas.microsoft.com/office/drawing/2014/main" id="{44AEE6F8-64BB-45BD-A0F5-441F700E7917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477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916" name="Picture 8915">
          <a:extLst>
            <a:ext uri="{FF2B5EF4-FFF2-40B4-BE49-F238E27FC236}">
              <a16:creationId xmlns:a16="http://schemas.microsoft.com/office/drawing/2014/main" id="{0AA1006D-0E79-4D0D-9BB3-A3E66C057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3439"/>
    <xdr:sp macro="" textlink="">
      <xdr:nvSpPr>
        <xdr:cNvPr id="8917" name="AutoShape 531">
          <a:extLst>
            <a:ext uri="{FF2B5EF4-FFF2-40B4-BE49-F238E27FC236}">
              <a16:creationId xmlns:a16="http://schemas.microsoft.com/office/drawing/2014/main" id="{CFC02605-1C3B-4176-AC1F-0A0FDC5FC200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21</xdr:row>
      <xdr:rowOff>0</xdr:rowOff>
    </xdr:from>
    <xdr:ext cx="304800" cy="304800"/>
    <xdr:sp macro="" textlink="">
      <xdr:nvSpPr>
        <xdr:cNvPr id="8918" name="AutoShape 154">
          <a:extLst>
            <a:ext uri="{FF2B5EF4-FFF2-40B4-BE49-F238E27FC236}">
              <a16:creationId xmlns:a16="http://schemas.microsoft.com/office/drawing/2014/main" id="{0B8FEFCD-FA07-4054-B0A1-B08218BAE672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21</xdr:row>
      <xdr:rowOff>0</xdr:rowOff>
    </xdr:from>
    <xdr:ext cx="304800" cy="304800"/>
    <xdr:sp macro="" textlink="">
      <xdr:nvSpPr>
        <xdr:cNvPr id="8919" name="AutoShape 505">
          <a:extLst>
            <a:ext uri="{FF2B5EF4-FFF2-40B4-BE49-F238E27FC236}">
              <a16:creationId xmlns:a16="http://schemas.microsoft.com/office/drawing/2014/main" id="{0D7F8EF8-B3B6-47E3-B267-E0667C63BD07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21</xdr:row>
      <xdr:rowOff>0</xdr:rowOff>
    </xdr:from>
    <xdr:ext cx="304800" cy="304800"/>
    <xdr:sp macro="" textlink="">
      <xdr:nvSpPr>
        <xdr:cNvPr id="8920" name="AutoShape 183">
          <a:extLst>
            <a:ext uri="{FF2B5EF4-FFF2-40B4-BE49-F238E27FC236}">
              <a16:creationId xmlns:a16="http://schemas.microsoft.com/office/drawing/2014/main" id="{1314BA21-FE36-4040-8BA3-3A5468DDC89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21</xdr:row>
      <xdr:rowOff>0</xdr:rowOff>
    </xdr:from>
    <xdr:ext cx="304800" cy="304800"/>
    <xdr:sp macro="" textlink="">
      <xdr:nvSpPr>
        <xdr:cNvPr id="8921" name="AutoShape 209">
          <a:extLst>
            <a:ext uri="{FF2B5EF4-FFF2-40B4-BE49-F238E27FC236}">
              <a16:creationId xmlns:a16="http://schemas.microsoft.com/office/drawing/2014/main" id="{BA2E9EA0-7896-4EAE-8943-F16597B3929D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21</xdr:row>
      <xdr:rowOff>0</xdr:rowOff>
    </xdr:from>
    <xdr:ext cx="304800" cy="304800"/>
    <xdr:sp macro="" textlink="">
      <xdr:nvSpPr>
        <xdr:cNvPr id="8922" name="AutoShape 233">
          <a:extLst>
            <a:ext uri="{FF2B5EF4-FFF2-40B4-BE49-F238E27FC236}">
              <a16:creationId xmlns:a16="http://schemas.microsoft.com/office/drawing/2014/main" id="{F9056AD1-8838-4273-80C7-F035F00161F8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21</xdr:row>
      <xdr:rowOff>0</xdr:rowOff>
    </xdr:from>
    <xdr:ext cx="304800" cy="304800"/>
    <xdr:sp macro="" textlink="">
      <xdr:nvSpPr>
        <xdr:cNvPr id="8923" name="AutoShape 259">
          <a:extLst>
            <a:ext uri="{FF2B5EF4-FFF2-40B4-BE49-F238E27FC236}">
              <a16:creationId xmlns:a16="http://schemas.microsoft.com/office/drawing/2014/main" id="{D46A5C05-7799-43E1-8923-2CB9203E7B45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21</xdr:row>
      <xdr:rowOff>0</xdr:rowOff>
    </xdr:from>
    <xdr:ext cx="304800" cy="304800"/>
    <xdr:sp macro="" textlink="">
      <xdr:nvSpPr>
        <xdr:cNvPr id="8924" name="AutoShape 311">
          <a:extLst>
            <a:ext uri="{FF2B5EF4-FFF2-40B4-BE49-F238E27FC236}">
              <a16:creationId xmlns:a16="http://schemas.microsoft.com/office/drawing/2014/main" id="{1FA18E36-1637-48E2-A009-BF0E6E29C499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21</xdr:row>
      <xdr:rowOff>0</xdr:rowOff>
    </xdr:from>
    <xdr:ext cx="304800" cy="304800"/>
    <xdr:sp macro="" textlink="">
      <xdr:nvSpPr>
        <xdr:cNvPr id="8925" name="AutoShape 363">
          <a:extLst>
            <a:ext uri="{FF2B5EF4-FFF2-40B4-BE49-F238E27FC236}">
              <a16:creationId xmlns:a16="http://schemas.microsoft.com/office/drawing/2014/main" id="{8B68F8F3-63B8-44A2-9461-D19FD63307F6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21</xdr:row>
      <xdr:rowOff>0</xdr:rowOff>
    </xdr:from>
    <xdr:ext cx="304800" cy="304800"/>
    <xdr:sp macro="" textlink="">
      <xdr:nvSpPr>
        <xdr:cNvPr id="8926" name="AutoShape 419">
          <a:extLst>
            <a:ext uri="{FF2B5EF4-FFF2-40B4-BE49-F238E27FC236}">
              <a16:creationId xmlns:a16="http://schemas.microsoft.com/office/drawing/2014/main" id="{A60753AC-BD10-4FF9-8A3A-68865209071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21</xdr:row>
      <xdr:rowOff>0</xdr:rowOff>
    </xdr:from>
    <xdr:ext cx="304800" cy="304800"/>
    <xdr:sp macro="" textlink="">
      <xdr:nvSpPr>
        <xdr:cNvPr id="8927" name="AutoShape 475">
          <a:extLst>
            <a:ext uri="{FF2B5EF4-FFF2-40B4-BE49-F238E27FC236}">
              <a16:creationId xmlns:a16="http://schemas.microsoft.com/office/drawing/2014/main" id="{4B2D0628-C702-48BB-9144-0FEEA9840031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265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22</xdr:row>
      <xdr:rowOff>0</xdr:rowOff>
    </xdr:from>
    <xdr:ext cx="9525" cy="9525"/>
    <xdr:pic>
      <xdr:nvPicPr>
        <xdr:cNvPr id="8928" name="Picture 8927">
          <a:extLst>
            <a:ext uri="{FF2B5EF4-FFF2-40B4-BE49-F238E27FC236}">
              <a16:creationId xmlns:a16="http://schemas.microsoft.com/office/drawing/2014/main" id="{F8B09BA7-C6A0-4D14-8552-FAB56EDDF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22</xdr:row>
      <xdr:rowOff>0</xdr:rowOff>
    </xdr:from>
    <xdr:ext cx="9525" cy="9525"/>
    <xdr:pic>
      <xdr:nvPicPr>
        <xdr:cNvPr id="8929" name="Picture 8928">
          <a:extLst>
            <a:ext uri="{FF2B5EF4-FFF2-40B4-BE49-F238E27FC236}">
              <a16:creationId xmlns:a16="http://schemas.microsoft.com/office/drawing/2014/main" id="{57721085-4CA7-49AA-AE48-8AAA5F32B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22</xdr:row>
      <xdr:rowOff>0</xdr:rowOff>
    </xdr:from>
    <xdr:ext cx="9525" cy="9525"/>
    <xdr:pic>
      <xdr:nvPicPr>
        <xdr:cNvPr id="8930" name="Picture 8929">
          <a:extLst>
            <a:ext uri="{FF2B5EF4-FFF2-40B4-BE49-F238E27FC236}">
              <a16:creationId xmlns:a16="http://schemas.microsoft.com/office/drawing/2014/main" id="{E4974B14-BA08-4E00-AD53-AB7694EE9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22</xdr:row>
      <xdr:rowOff>0</xdr:rowOff>
    </xdr:from>
    <xdr:ext cx="9525" cy="9525"/>
    <xdr:pic>
      <xdr:nvPicPr>
        <xdr:cNvPr id="8931" name="Picture 8930">
          <a:extLst>
            <a:ext uri="{FF2B5EF4-FFF2-40B4-BE49-F238E27FC236}">
              <a16:creationId xmlns:a16="http://schemas.microsoft.com/office/drawing/2014/main" id="{F001B62A-975F-4D4C-9370-18272FF04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22</xdr:row>
      <xdr:rowOff>0</xdr:rowOff>
    </xdr:from>
    <xdr:ext cx="9525" cy="9525"/>
    <xdr:pic>
      <xdr:nvPicPr>
        <xdr:cNvPr id="8932" name="Picture 8931">
          <a:extLst>
            <a:ext uri="{FF2B5EF4-FFF2-40B4-BE49-F238E27FC236}">
              <a16:creationId xmlns:a16="http://schemas.microsoft.com/office/drawing/2014/main" id="{50C110A1-A9D2-4800-A1D0-AB045036D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22</xdr:row>
      <xdr:rowOff>0</xdr:rowOff>
    </xdr:from>
    <xdr:ext cx="9525" cy="9525"/>
    <xdr:pic>
      <xdr:nvPicPr>
        <xdr:cNvPr id="8933" name="Picture 8932">
          <a:extLst>
            <a:ext uri="{FF2B5EF4-FFF2-40B4-BE49-F238E27FC236}">
              <a16:creationId xmlns:a16="http://schemas.microsoft.com/office/drawing/2014/main" id="{81AC4999-E1BA-4BD7-BB46-BFBCF19FB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22</xdr:row>
      <xdr:rowOff>0</xdr:rowOff>
    </xdr:from>
    <xdr:ext cx="9525" cy="9525"/>
    <xdr:pic>
      <xdr:nvPicPr>
        <xdr:cNvPr id="8934" name="Picture 8933">
          <a:extLst>
            <a:ext uri="{FF2B5EF4-FFF2-40B4-BE49-F238E27FC236}">
              <a16:creationId xmlns:a16="http://schemas.microsoft.com/office/drawing/2014/main" id="{5F97F153-1B6E-4620-87ED-A9F3A1574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22</xdr:row>
      <xdr:rowOff>0</xdr:rowOff>
    </xdr:from>
    <xdr:ext cx="9525" cy="9525"/>
    <xdr:pic>
      <xdr:nvPicPr>
        <xdr:cNvPr id="8935" name="Picture 8934">
          <a:extLst>
            <a:ext uri="{FF2B5EF4-FFF2-40B4-BE49-F238E27FC236}">
              <a16:creationId xmlns:a16="http://schemas.microsoft.com/office/drawing/2014/main" id="{0C525380-1463-4C1A-AE28-58BAD97FF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22</xdr:row>
      <xdr:rowOff>0</xdr:rowOff>
    </xdr:from>
    <xdr:ext cx="9525" cy="9525"/>
    <xdr:pic>
      <xdr:nvPicPr>
        <xdr:cNvPr id="8936" name="Picture 8935">
          <a:extLst>
            <a:ext uri="{FF2B5EF4-FFF2-40B4-BE49-F238E27FC236}">
              <a16:creationId xmlns:a16="http://schemas.microsoft.com/office/drawing/2014/main" id="{445817A6-C6ED-41A8-94B7-A4F8C35EE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22</xdr:row>
      <xdr:rowOff>0</xdr:rowOff>
    </xdr:from>
    <xdr:ext cx="9525" cy="9525"/>
    <xdr:pic>
      <xdr:nvPicPr>
        <xdr:cNvPr id="8937" name="Picture 8936">
          <a:extLst>
            <a:ext uri="{FF2B5EF4-FFF2-40B4-BE49-F238E27FC236}">
              <a16:creationId xmlns:a16="http://schemas.microsoft.com/office/drawing/2014/main" id="{8BB9AC55-5D9A-446E-A17F-57185C717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21</xdr:row>
      <xdr:rowOff>0</xdr:rowOff>
    </xdr:from>
    <xdr:ext cx="304800" cy="303439"/>
    <xdr:sp macro="" textlink="">
      <xdr:nvSpPr>
        <xdr:cNvPr id="8938" name="AutoShape 513">
          <a:extLst>
            <a:ext uri="{FF2B5EF4-FFF2-40B4-BE49-F238E27FC236}">
              <a16:creationId xmlns:a16="http://schemas.microsoft.com/office/drawing/2014/main" id="{E76EDC8C-E1FE-4DFC-8EC8-EEAB2CB06090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265964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22</xdr:row>
      <xdr:rowOff>0</xdr:rowOff>
    </xdr:from>
    <xdr:ext cx="304800" cy="304800"/>
    <xdr:sp macro="" textlink="">
      <xdr:nvSpPr>
        <xdr:cNvPr id="8939" name="AutoShape 515">
          <a:extLst>
            <a:ext uri="{FF2B5EF4-FFF2-40B4-BE49-F238E27FC236}">
              <a16:creationId xmlns:a16="http://schemas.microsoft.com/office/drawing/2014/main" id="{2D3E2FFF-6F3C-4DC5-B5D0-A363C89562EB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23</xdr:row>
      <xdr:rowOff>0</xdr:rowOff>
    </xdr:from>
    <xdr:ext cx="9525" cy="9525"/>
    <xdr:pic>
      <xdr:nvPicPr>
        <xdr:cNvPr id="8940" name="Picture 8939">
          <a:extLst>
            <a:ext uri="{FF2B5EF4-FFF2-40B4-BE49-F238E27FC236}">
              <a16:creationId xmlns:a16="http://schemas.microsoft.com/office/drawing/2014/main" id="{A1A1D667-796B-4CD1-86F2-F93F18C66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9525" cy="9525"/>
    <xdr:pic>
      <xdr:nvPicPr>
        <xdr:cNvPr id="8941" name="Picture 8940">
          <a:extLst>
            <a:ext uri="{FF2B5EF4-FFF2-40B4-BE49-F238E27FC236}">
              <a16:creationId xmlns:a16="http://schemas.microsoft.com/office/drawing/2014/main" id="{8E0F287A-D95B-425D-AE61-21F4C1468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8942" name="AutoShape 191">
          <a:extLst>
            <a:ext uri="{FF2B5EF4-FFF2-40B4-BE49-F238E27FC236}">
              <a16:creationId xmlns:a16="http://schemas.microsoft.com/office/drawing/2014/main" id="{DA18CA48-79AC-4A63-8303-F0BC87F20A93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23</xdr:row>
      <xdr:rowOff>0</xdr:rowOff>
    </xdr:from>
    <xdr:ext cx="9525" cy="9525"/>
    <xdr:pic>
      <xdr:nvPicPr>
        <xdr:cNvPr id="8943" name="Picture 8942">
          <a:extLst>
            <a:ext uri="{FF2B5EF4-FFF2-40B4-BE49-F238E27FC236}">
              <a16:creationId xmlns:a16="http://schemas.microsoft.com/office/drawing/2014/main" id="{2A10D1BF-5891-4F3F-9256-285FF688D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8944" name="AutoShape 217">
          <a:extLst>
            <a:ext uri="{FF2B5EF4-FFF2-40B4-BE49-F238E27FC236}">
              <a16:creationId xmlns:a16="http://schemas.microsoft.com/office/drawing/2014/main" id="{254BAE9A-D655-478F-8036-B66936C2D90F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23</xdr:row>
      <xdr:rowOff>0</xdr:rowOff>
    </xdr:from>
    <xdr:ext cx="9525" cy="9525"/>
    <xdr:pic>
      <xdr:nvPicPr>
        <xdr:cNvPr id="8945" name="Picture 8944">
          <a:extLst>
            <a:ext uri="{FF2B5EF4-FFF2-40B4-BE49-F238E27FC236}">
              <a16:creationId xmlns:a16="http://schemas.microsoft.com/office/drawing/2014/main" id="{2F451D97-A106-4804-85DC-7338A0B09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8946" name="AutoShape 241">
          <a:extLst>
            <a:ext uri="{FF2B5EF4-FFF2-40B4-BE49-F238E27FC236}">
              <a16:creationId xmlns:a16="http://schemas.microsoft.com/office/drawing/2014/main" id="{53432F56-171F-4076-BF09-6C2FD85D8C38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23</xdr:row>
      <xdr:rowOff>0</xdr:rowOff>
    </xdr:from>
    <xdr:ext cx="9525" cy="9525"/>
    <xdr:pic>
      <xdr:nvPicPr>
        <xdr:cNvPr id="8947" name="Picture 8946">
          <a:extLst>
            <a:ext uri="{FF2B5EF4-FFF2-40B4-BE49-F238E27FC236}">
              <a16:creationId xmlns:a16="http://schemas.microsoft.com/office/drawing/2014/main" id="{0C29A97B-0577-4425-BD09-C9DBF04B2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8948" name="AutoShape 267">
          <a:extLst>
            <a:ext uri="{FF2B5EF4-FFF2-40B4-BE49-F238E27FC236}">
              <a16:creationId xmlns:a16="http://schemas.microsoft.com/office/drawing/2014/main" id="{959DB2F0-950A-4EBE-ABA4-EF785B8A5F6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23</xdr:row>
      <xdr:rowOff>0</xdr:rowOff>
    </xdr:from>
    <xdr:ext cx="9525" cy="9525"/>
    <xdr:pic>
      <xdr:nvPicPr>
        <xdr:cNvPr id="8949" name="Picture 8948">
          <a:extLst>
            <a:ext uri="{FF2B5EF4-FFF2-40B4-BE49-F238E27FC236}">
              <a16:creationId xmlns:a16="http://schemas.microsoft.com/office/drawing/2014/main" id="{99BCCD9C-B403-44E7-9E9D-6913685B2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8950" name="AutoShape 319">
          <a:extLst>
            <a:ext uri="{FF2B5EF4-FFF2-40B4-BE49-F238E27FC236}">
              <a16:creationId xmlns:a16="http://schemas.microsoft.com/office/drawing/2014/main" id="{7331F71F-6072-4CF7-95B7-6A9B373859A8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23</xdr:row>
      <xdr:rowOff>0</xdr:rowOff>
    </xdr:from>
    <xdr:ext cx="9525" cy="9525"/>
    <xdr:pic>
      <xdr:nvPicPr>
        <xdr:cNvPr id="8951" name="Picture 8950">
          <a:extLst>
            <a:ext uri="{FF2B5EF4-FFF2-40B4-BE49-F238E27FC236}">
              <a16:creationId xmlns:a16="http://schemas.microsoft.com/office/drawing/2014/main" id="{7FA07017-DEC3-4B00-A5CB-6A5EE6678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8952" name="AutoShape 371">
          <a:extLst>
            <a:ext uri="{FF2B5EF4-FFF2-40B4-BE49-F238E27FC236}">
              <a16:creationId xmlns:a16="http://schemas.microsoft.com/office/drawing/2014/main" id="{E89EFE65-4841-4F4E-8A45-7A116E52F182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23</xdr:row>
      <xdr:rowOff>0</xdr:rowOff>
    </xdr:from>
    <xdr:ext cx="9525" cy="9525"/>
    <xdr:pic>
      <xdr:nvPicPr>
        <xdr:cNvPr id="8953" name="Picture 8952">
          <a:extLst>
            <a:ext uri="{FF2B5EF4-FFF2-40B4-BE49-F238E27FC236}">
              <a16:creationId xmlns:a16="http://schemas.microsoft.com/office/drawing/2014/main" id="{6341B6C9-BEB2-4211-A413-C5E80842E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8954" name="AutoShape 427">
          <a:extLst>
            <a:ext uri="{FF2B5EF4-FFF2-40B4-BE49-F238E27FC236}">
              <a16:creationId xmlns:a16="http://schemas.microsoft.com/office/drawing/2014/main" id="{5B184B85-DF6A-4949-A925-8565D72919D9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23</xdr:row>
      <xdr:rowOff>0</xdr:rowOff>
    </xdr:from>
    <xdr:ext cx="9525" cy="9525"/>
    <xdr:pic>
      <xdr:nvPicPr>
        <xdr:cNvPr id="8955" name="Picture 8954">
          <a:extLst>
            <a:ext uri="{FF2B5EF4-FFF2-40B4-BE49-F238E27FC236}">
              <a16:creationId xmlns:a16="http://schemas.microsoft.com/office/drawing/2014/main" id="{00D42377-2F16-47C7-85BC-FC1172711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8956" name="AutoShape 483">
          <a:extLst>
            <a:ext uri="{FF2B5EF4-FFF2-40B4-BE49-F238E27FC236}">
              <a16:creationId xmlns:a16="http://schemas.microsoft.com/office/drawing/2014/main" id="{14F23C13-A52D-4A5A-83A6-2AA6936D700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23</xdr:row>
      <xdr:rowOff>0</xdr:rowOff>
    </xdr:from>
    <xdr:ext cx="9525" cy="9525"/>
    <xdr:pic>
      <xdr:nvPicPr>
        <xdr:cNvPr id="8957" name="Picture 8956">
          <a:extLst>
            <a:ext uri="{FF2B5EF4-FFF2-40B4-BE49-F238E27FC236}">
              <a16:creationId xmlns:a16="http://schemas.microsoft.com/office/drawing/2014/main" id="{8706F444-2689-4E1A-9B27-676F832D7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22</xdr:row>
      <xdr:rowOff>0</xdr:rowOff>
    </xdr:from>
    <xdr:ext cx="304800" cy="304800"/>
    <xdr:sp macro="" textlink="">
      <xdr:nvSpPr>
        <xdr:cNvPr id="8958" name="AutoShape 515">
          <a:extLst>
            <a:ext uri="{FF2B5EF4-FFF2-40B4-BE49-F238E27FC236}">
              <a16:creationId xmlns:a16="http://schemas.microsoft.com/office/drawing/2014/main" id="{6E864A85-7049-4976-B49B-C99BEF6B657F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470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8959" name="AutoShape 517">
          <a:extLst>
            <a:ext uri="{FF2B5EF4-FFF2-40B4-BE49-F238E27FC236}">
              <a16:creationId xmlns:a16="http://schemas.microsoft.com/office/drawing/2014/main" id="{7E76DD10-B13E-4D4D-B7C5-CA1DF506B16F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9525" cy="9525"/>
    <xdr:pic>
      <xdr:nvPicPr>
        <xdr:cNvPr id="8960" name="Picture 8959">
          <a:extLst>
            <a:ext uri="{FF2B5EF4-FFF2-40B4-BE49-F238E27FC236}">
              <a16:creationId xmlns:a16="http://schemas.microsoft.com/office/drawing/2014/main" id="{35A37B1A-E300-40AD-B43C-C8132CD5B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24</xdr:row>
      <xdr:rowOff>0</xdr:rowOff>
    </xdr:from>
    <xdr:ext cx="304800" cy="303440"/>
    <xdr:sp macro="" textlink="">
      <xdr:nvSpPr>
        <xdr:cNvPr id="8961" name="AutoShape 169">
          <a:extLst>
            <a:ext uri="{FF2B5EF4-FFF2-40B4-BE49-F238E27FC236}">
              <a16:creationId xmlns:a16="http://schemas.microsoft.com/office/drawing/2014/main" id="{47C7F2E0-CD84-4510-9864-9F32EEA79EB0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9525" cy="9525"/>
    <xdr:pic>
      <xdr:nvPicPr>
        <xdr:cNvPr id="8962" name="Picture 8961">
          <a:extLst>
            <a:ext uri="{FF2B5EF4-FFF2-40B4-BE49-F238E27FC236}">
              <a16:creationId xmlns:a16="http://schemas.microsoft.com/office/drawing/2014/main" id="{0355EF3B-2783-4B0C-91DF-5F74B0319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24</xdr:row>
      <xdr:rowOff>0</xdr:rowOff>
    </xdr:from>
    <xdr:ext cx="304800" cy="303440"/>
    <xdr:sp macro="" textlink="">
      <xdr:nvSpPr>
        <xdr:cNvPr id="8963" name="AutoShape 199">
          <a:extLst>
            <a:ext uri="{FF2B5EF4-FFF2-40B4-BE49-F238E27FC236}">
              <a16:creationId xmlns:a16="http://schemas.microsoft.com/office/drawing/2014/main" id="{6DE5B858-BEB4-4DC1-A943-810999464B6F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9525" cy="9525"/>
    <xdr:pic>
      <xdr:nvPicPr>
        <xdr:cNvPr id="8964" name="Picture 8963">
          <a:extLst>
            <a:ext uri="{FF2B5EF4-FFF2-40B4-BE49-F238E27FC236}">
              <a16:creationId xmlns:a16="http://schemas.microsoft.com/office/drawing/2014/main" id="{C5908EBB-1B0E-472D-BB5C-932348259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8965" name="AutoShape 223">
          <a:extLst>
            <a:ext uri="{FF2B5EF4-FFF2-40B4-BE49-F238E27FC236}">
              <a16:creationId xmlns:a16="http://schemas.microsoft.com/office/drawing/2014/main" id="{DC121C08-DFE1-404B-ABF9-5464C753CFE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9525" cy="9525"/>
    <xdr:pic>
      <xdr:nvPicPr>
        <xdr:cNvPr id="8966" name="Picture 8965">
          <a:extLst>
            <a:ext uri="{FF2B5EF4-FFF2-40B4-BE49-F238E27FC236}">
              <a16:creationId xmlns:a16="http://schemas.microsoft.com/office/drawing/2014/main" id="{3CA4A166-EE17-46A0-9A16-55156DB36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8967" name="AutoShape 247">
          <a:extLst>
            <a:ext uri="{FF2B5EF4-FFF2-40B4-BE49-F238E27FC236}">
              <a16:creationId xmlns:a16="http://schemas.microsoft.com/office/drawing/2014/main" id="{0359A1E2-79BC-41F3-9209-3B70FD775605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304800" cy="303440"/>
    <xdr:sp macro="" textlink="">
      <xdr:nvSpPr>
        <xdr:cNvPr id="8968" name="AutoShape 249">
          <a:extLst>
            <a:ext uri="{FF2B5EF4-FFF2-40B4-BE49-F238E27FC236}">
              <a16:creationId xmlns:a16="http://schemas.microsoft.com/office/drawing/2014/main" id="{A9F425EC-8F11-4644-9C4E-34146C3300ED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9525" cy="9525"/>
    <xdr:pic>
      <xdr:nvPicPr>
        <xdr:cNvPr id="8969" name="Picture 8968">
          <a:extLst>
            <a:ext uri="{FF2B5EF4-FFF2-40B4-BE49-F238E27FC236}">
              <a16:creationId xmlns:a16="http://schemas.microsoft.com/office/drawing/2014/main" id="{B6D55C6C-65D6-4A57-8222-7630D3109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8970" name="AutoShape 273">
          <a:extLst>
            <a:ext uri="{FF2B5EF4-FFF2-40B4-BE49-F238E27FC236}">
              <a16:creationId xmlns:a16="http://schemas.microsoft.com/office/drawing/2014/main" id="{08878385-C9E7-4A3B-BC0E-18E55866262B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304800" cy="303440"/>
    <xdr:sp macro="" textlink="">
      <xdr:nvSpPr>
        <xdr:cNvPr id="8971" name="AutoShape 275">
          <a:extLst>
            <a:ext uri="{FF2B5EF4-FFF2-40B4-BE49-F238E27FC236}">
              <a16:creationId xmlns:a16="http://schemas.microsoft.com/office/drawing/2014/main" id="{73C93135-0EE1-42F0-9047-84C11A78F1A9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9525" cy="9525"/>
    <xdr:pic>
      <xdr:nvPicPr>
        <xdr:cNvPr id="8972" name="Picture 8971">
          <a:extLst>
            <a:ext uri="{FF2B5EF4-FFF2-40B4-BE49-F238E27FC236}">
              <a16:creationId xmlns:a16="http://schemas.microsoft.com/office/drawing/2014/main" id="{8D15648E-C8A3-48FC-BA14-53EB5F524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8973" name="AutoShape 325">
          <a:extLst>
            <a:ext uri="{FF2B5EF4-FFF2-40B4-BE49-F238E27FC236}">
              <a16:creationId xmlns:a16="http://schemas.microsoft.com/office/drawing/2014/main" id="{9437A2E3-900B-4AAF-B36D-8DAB05860CD5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304800" cy="303440"/>
    <xdr:sp macro="" textlink="">
      <xdr:nvSpPr>
        <xdr:cNvPr id="8974" name="AutoShape 327">
          <a:extLst>
            <a:ext uri="{FF2B5EF4-FFF2-40B4-BE49-F238E27FC236}">
              <a16:creationId xmlns:a16="http://schemas.microsoft.com/office/drawing/2014/main" id="{4868C950-4814-4BE6-B49D-E22BC0F237AD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9525" cy="9525"/>
    <xdr:pic>
      <xdr:nvPicPr>
        <xdr:cNvPr id="8975" name="Picture 8974">
          <a:extLst>
            <a:ext uri="{FF2B5EF4-FFF2-40B4-BE49-F238E27FC236}">
              <a16:creationId xmlns:a16="http://schemas.microsoft.com/office/drawing/2014/main" id="{6036A0A2-81EA-43FD-96FF-820ED92D2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8976" name="AutoShape 377">
          <a:extLst>
            <a:ext uri="{FF2B5EF4-FFF2-40B4-BE49-F238E27FC236}">
              <a16:creationId xmlns:a16="http://schemas.microsoft.com/office/drawing/2014/main" id="{E81E17DF-EC28-4475-B00F-68DB2E43B2BF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304800" cy="303440"/>
    <xdr:sp macro="" textlink="">
      <xdr:nvSpPr>
        <xdr:cNvPr id="8977" name="AutoShape 379">
          <a:extLst>
            <a:ext uri="{FF2B5EF4-FFF2-40B4-BE49-F238E27FC236}">
              <a16:creationId xmlns:a16="http://schemas.microsoft.com/office/drawing/2014/main" id="{629DBE35-B691-459D-9A80-26E6A2122F21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9525" cy="9525"/>
    <xdr:pic>
      <xdr:nvPicPr>
        <xdr:cNvPr id="8978" name="Picture 8977">
          <a:extLst>
            <a:ext uri="{FF2B5EF4-FFF2-40B4-BE49-F238E27FC236}">
              <a16:creationId xmlns:a16="http://schemas.microsoft.com/office/drawing/2014/main" id="{0519463C-F5B4-40FB-94EB-B77C838BA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8979" name="AutoShape 433">
          <a:extLst>
            <a:ext uri="{FF2B5EF4-FFF2-40B4-BE49-F238E27FC236}">
              <a16:creationId xmlns:a16="http://schemas.microsoft.com/office/drawing/2014/main" id="{5B3D5DE5-9A16-47BC-B3C3-81FEB2A07924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304800" cy="303440"/>
    <xdr:sp macro="" textlink="">
      <xdr:nvSpPr>
        <xdr:cNvPr id="8980" name="AutoShape 435">
          <a:extLst>
            <a:ext uri="{FF2B5EF4-FFF2-40B4-BE49-F238E27FC236}">
              <a16:creationId xmlns:a16="http://schemas.microsoft.com/office/drawing/2014/main" id="{2A9649A6-16F6-4AD3-A3A5-E6C72782591A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9525" cy="9525"/>
    <xdr:pic>
      <xdr:nvPicPr>
        <xdr:cNvPr id="8981" name="Picture 8980">
          <a:extLst>
            <a:ext uri="{FF2B5EF4-FFF2-40B4-BE49-F238E27FC236}">
              <a16:creationId xmlns:a16="http://schemas.microsoft.com/office/drawing/2014/main" id="{61558ED3-30D4-4D24-B5A1-40A684DEE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8982" name="AutoShape 489">
          <a:extLst>
            <a:ext uri="{FF2B5EF4-FFF2-40B4-BE49-F238E27FC236}">
              <a16:creationId xmlns:a16="http://schemas.microsoft.com/office/drawing/2014/main" id="{CEBE0C35-D0E7-4F54-A359-BB3E7B547DA1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304800" cy="303440"/>
    <xdr:sp macro="" textlink="">
      <xdr:nvSpPr>
        <xdr:cNvPr id="8983" name="AutoShape 491">
          <a:extLst>
            <a:ext uri="{FF2B5EF4-FFF2-40B4-BE49-F238E27FC236}">
              <a16:creationId xmlns:a16="http://schemas.microsoft.com/office/drawing/2014/main" id="{4334880D-9A22-4DB9-9DD5-FD986E77780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9525" cy="9525"/>
    <xdr:pic>
      <xdr:nvPicPr>
        <xdr:cNvPr id="8984" name="Picture 8983">
          <a:extLst>
            <a:ext uri="{FF2B5EF4-FFF2-40B4-BE49-F238E27FC236}">
              <a16:creationId xmlns:a16="http://schemas.microsoft.com/office/drawing/2014/main" id="{BC6E1ECA-F1FD-4A0F-AB71-CF909C28A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8985" name="AutoShape 523">
          <a:extLst>
            <a:ext uri="{FF2B5EF4-FFF2-40B4-BE49-F238E27FC236}">
              <a16:creationId xmlns:a16="http://schemas.microsoft.com/office/drawing/2014/main" id="{633DC4CC-CF0C-4F62-B9D0-A47C63D78765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304800" cy="303440"/>
    <xdr:sp macro="" textlink="">
      <xdr:nvSpPr>
        <xdr:cNvPr id="8986" name="AutoShape 525">
          <a:extLst>
            <a:ext uri="{FF2B5EF4-FFF2-40B4-BE49-F238E27FC236}">
              <a16:creationId xmlns:a16="http://schemas.microsoft.com/office/drawing/2014/main" id="{659EBF34-D0A2-4326-9426-9E5A4AB9C581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987" name="Picture 8986">
          <a:extLst>
            <a:ext uri="{FF2B5EF4-FFF2-40B4-BE49-F238E27FC236}">
              <a16:creationId xmlns:a16="http://schemas.microsoft.com/office/drawing/2014/main" id="{FAB08927-D235-4CFD-A4EC-DF335F6D9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26</xdr:row>
      <xdr:rowOff>0</xdr:rowOff>
    </xdr:from>
    <xdr:ext cx="9525" cy="9525"/>
    <xdr:pic>
      <xdr:nvPicPr>
        <xdr:cNvPr id="8988" name="Picture 8987">
          <a:extLst>
            <a:ext uri="{FF2B5EF4-FFF2-40B4-BE49-F238E27FC236}">
              <a16:creationId xmlns:a16="http://schemas.microsoft.com/office/drawing/2014/main" id="{5B33B1D9-B8BB-4254-8B06-6207E582F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25</xdr:row>
      <xdr:rowOff>0</xdr:rowOff>
    </xdr:from>
    <xdr:ext cx="304800" cy="303440"/>
    <xdr:sp macro="" textlink="">
      <xdr:nvSpPr>
        <xdr:cNvPr id="8989" name="AutoShape 32">
          <a:extLst>
            <a:ext uri="{FF2B5EF4-FFF2-40B4-BE49-F238E27FC236}">
              <a16:creationId xmlns:a16="http://schemas.microsoft.com/office/drawing/2014/main" id="{CA862003-CC27-4FD2-879C-F0F956828CBD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990" name="Picture 8989">
          <a:extLst>
            <a:ext uri="{FF2B5EF4-FFF2-40B4-BE49-F238E27FC236}">
              <a16:creationId xmlns:a16="http://schemas.microsoft.com/office/drawing/2014/main" id="{344BADCC-D9E1-40A6-BBB4-2041B28B0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991" name="Picture 8990">
          <a:extLst>
            <a:ext uri="{FF2B5EF4-FFF2-40B4-BE49-F238E27FC236}">
              <a16:creationId xmlns:a16="http://schemas.microsoft.com/office/drawing/2014/main" id="{C856B70C-6744-42F5-BB3E-47EE7B1CF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992" name="Picture 8991">
          <a:extLst>
            <a:ext uri="{FF2B5EF4-FFF2-40B4-BE49-F238E27FC236}">
              <a16:creationId xmlns:a16="http://schemas.microsoft.com/office/drawing/2014/main" id="{ADE849CA-F3CC-4EC7-8DDD-7C259EBAE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993" name="Picture 8992">
          <a:extLst>
            <a:ext uri="{FF2B5EF4-FFF2-40B4-BE49-F238E27FC236}">
              <a16:creationId xmlns:a16="http://schemas.microsoft.com/office/drawing/2014/main" id="{39E36445-7F2E-4B7A-A2BA-5224F0E1E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994" name="Picture 8993">
          <a:extLst>
            <a:ext uri="{FF2B5EF4-FFF2-40B4-BE49-F238E27FC236}">
              <a16:creationId xmlns:a16="http://schemas.microsoft.com/office/drawing/2014/main" id="{685EF22A-5658-41A8-AAB6-599093484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995" name="AutoShape 38">
          <a:extLst>
            <a:ext uri="{FF2B5EF4-FFF2-40B4-BE49-F238E27FC236}">
              <a16:creationId xmlns:a16="http://schemas.microsoft.com/office/drawing/2014/main" id="{95918B9E-9AF0-4FA8-8B13-F1A6F3C220E7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996" name="Picture 8995">
          <a:extLst>
            <a:ext uri="{FF2B5EF4-FFF2-40B4-BE49-F238E27FC236}">
              <a16:creationId xmlns:a16="http://schemas.microsoft.com/office/drawing/2014/main" id="{BA9FE8AA-0643-48A2-98A5-A10323F2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8997" name="AutoShape 40">
          <a:extLst>
            <a:ext uri="{FF2B5EF4-FFF2-40B4-BE49-F238E27FC236}">
              <a16:creationId xmlns:a16="http://schemas.microsoft.com/office/drawing/2014/main" id="{5DA649AB-0147-4728-92C4-18F118B1D360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8998" name="Picture 8997">
          <a:extLst>
            <a:ext uri="{FF2B5EF4-FFF2-40B4-BE49-F238E27FC236}">
              <a16:creationId xmlns:a16="http://schemas.microsoft.com/office/drawing/2014/main" id="{AE5C84DF-8ACE-4824-BB3B-C6ED0109F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27</xdr:row>
      <xdr:rowOff>0</xdr:rowOff>
    </xdr:from>
    <xdr:ext cx="9525" cy="9525"/>
    <xdr:pic>
      <xdr:nvPicPr>
        <xdr:cNvPr id="8999" name="Picture 8998">
          <a:extLst>
            <a:ext uri="{FF2B5EF4-FFF2-40B4-BE49-F238E27FC236}">
              <a16:creationId xmlns:a16="http://schemas.microsoft.com/office/drawing/2014/main" id="{A36449D4-9340-4F4D-96CD-4E4B6DC6E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00" name="Picture 8999">
          <a:extLst>
            <a:ext uri="{FF2B5EF4-FFF2-40B4-BE49-F238E27FC236}">
              <a16:creationId xmlns:a16="http://schemas.microsoft.com/office/drawing/2014/main" id="{BE4764C7-B877-403E-849F-700DBCD1A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26</xdr:row>
      <xdr:rowOff>0</xdr:rowOff>
    </xdr:from>
    <xdr:ext cx="9525" cy="9525"/>
    <xdr:pic>
      <xdr:nvPicPr>
        <xdr:cNvPr id="9001" name="Picture 9000">
          <a:extLst>
            <a:ext uri="{FF2B5EF4-FFF2-40B4-BE49-F238E27FC236}">
              <a16:creationId xmlns:a16="http://schemas.microsoft.com/office/drawing/2014/main" id="{63EED1F8-5E15-4938-A0A8-F8F9B9DB5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25</xdr:row>
      <xdr:rowOff>0</xdr:rowOff>
    </xdr:from>
    <xdr:ext cx="304800" cy="303440"/>
    <xdr:sp macro="" textlink="">
      <xdr:nvSpPr>
        <xdr:cNvPr id="9002" name="AutoShape 55">
          <a:extLst>
            <a:ext uri="{FF2B5EF4-FFF2-40B4-BE49-F238E27FC236}">
              <a16:creationId xmlns:a16="http://schemas.microsoft.com/office/drawing/2014/main" id="{EB69FB7E-A531-4182-B3EF-1622D5399191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03" name="Picture 9002">
          <a:extLst>
            <a:ext uri="{FF2B5EF4-FFF2-40B4-BE49-F238E27FC236}">
              <a16:creationId xmlns:a16="http://schemas.microsoft.com/office/drawing/2014/main" id="{1CE4FA67-C403-4210-9910-FD6AC4A00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04" name="Picture 9003">
          <a:extLst>
            <a:ext uri="{FF2B5EF4-FFF2-40B4-BE49-F238E27FC236}">
              <a16:creationId xmlns:a16="http://schemas.microsoft.com/office/drawing/2014/main" id="{81E6AE75-7378-4E59-8C77-FA134E5C5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05" name="Picture 9004">
          <a:extLst>
            <a:ext uri="{FF2B5EF4-FFF2-40B4-BE49-F238E27FC236}">
              <a16:creationId xmlns:a16="http://schemas.microsoft.com/office/drawing/2014/main" id="{C652C22C-B19D-47BB-8AE0-D346F2237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06" name="Picture 9005">
          <a:extLst>
            <a:ext uri="{FF2B5EF4-FFF2-40B4-BE49-F238E27FC236}">
              <a16:creationId xmlns:a16="http://schemas.microsoft.com/office/drawing/2014/main" id="{C6B11227-3038-4170-BAE7-F1E82E9FC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07" name="Picture 9006">
          <a:extLst>
            <a:ext uri="{FF2B5EF4-FFF2-40B4-BE49-F238E27FC236}">
              <a16:creationId xmlns:a16="http://schemas.microsoft.com/office/drawing/2014/main" id="{1E66E76A-DC89-4AD3-B69C-51FE29225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9008" name="AutoShape 61">
          <a:extLst>
            <a:ext uri="{FF2B5EF4-FFF2-40B4-BE49-F238E27FC236}">
              <a16:creationId xmlns:a16="http://schemas.microsoft.com/office/drawing/2014/main" id="{DFC8A163-BCC5-41CC-8EBF-012D8A4B8868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09" name="Picture 9008">
          <a:extLst>
            <a:ext uri="{FF2B5EF4-FFF2-40B4-BE49-F238E27FC236}">
              <a16:creationId xmlns:a16="http://schemas.microsoft.com/office/drawing/2014/main" id="{A9CD6080-1E15-4A3D-B4D0-C4F20B07F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9010" name="AutoShape 63">
          <a:extLst>
            <a:ext uri="{FF2B5EF4-FFF2-40B4-BE49-F238E27FC236}">
              <a16:creationId xmlns:a16="http://schemas.microsoft.com/office/drawing/2014/main" id="{0A85C328-FBB3-4147-8A86-2BB0E9FB8F6C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11" name="Picture 9010">
          <a:extLst>
            <a:ext uri="{FF2B5EF4-FFF2-40B4-BE49-F238E27FC236}">
              <a16:creationId xmlns:a16="http://schemas.microsoft.com/office/drawing/2014/main" id="{6FC96C41-4B02-4881-8A95-9775F2A89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3440"/>
    <xdr:sp macro="" textlink="">
      <xdr:nvSpPr>
        <xdr:cNvPr id="9012" name="AutoShape 69">
          <a:extLst>
            <a:ext uri="{FF2B5EF4-FFF2-40B4-BE49-F238E27FC236}">
              <a16:creationId xmlns:a16="http://schemas.microsoft.com/office/drawing/2014/main" id="{1DBA183F-E1E4-4DEE-A0BB-FD09CE962D8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27</xdr:row>
      <xdr:rowOff>0</xdr:rowOff>
    </xdr:from>
    <xdr:ext cx="9525" cy="9525"/>
    <xdr:pic>
      <xdr:nvPicPr>
        <xdr:cNvPr id="9013" name="Picture 9012">
          <a:extLst>
            <a:ext uri="{FF2B5EF4-FFF2-40B4-BE49-F238E27FC236}">
              <a16:creationId xmlns:a16="http://schemas.microsoft.com/office/drawing/2014/main" id="{5F985879-28B7-4CD4-A9DE-3E6E6347B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14" name="Picture 9013">
          <a:extLst>
            <a:ext uri="{FF2B5EF4-FFF2-40B4-BE49-F238E27FC236}">
              <a16:creationId xmlns:a16="http://schemas.microsoft.com/office/drawing/2014/main" id="{D93CCDAA-CA5C-4ABE-BDD0-362F46691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15" name="Picture 9014">
          <a:extLst>
            <a:ext uri="{FF2B5EF4-FFF2-40B4-BE49-F238E27FC236}">
              <a16:creationId xmlns:a16="http://schemas.microsoft.com/office/drawing/2014/main" id="{AC5BB1EC-ABAC-4487-83B5-0091D4664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26</xdr:row>
      <xdr:rowOff>0</xdr:rowOff>
    </xdr:from>
    <xdr:ext cx="9525" cy="9525"/>
    <xdr:pic>
      <xdr:nvPicPr>
        <xdr:cNvPr id="9016" name="Picture 9015">
          <a:extLst>
            <a:ext uri="{FF2B5EF4-FFF2-40B4-BE49-F238E27FC236}">
              <a16:creationId xmlns:a16="http://schemas.microsoft.com/office/drawing/2014/main" id="{4E745D94-9E4D-4D54-880D-A30CD1921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25</xdr:row>
      <xdr:rowOff>0</xdr:rowOff>
    </xdr:from>
    <xdr:ext cx="304800" cy="303440"/>
    <xdr:sp macro="" textlink="">
      <xdr:nvSpPr>
        <xdr:cNvPr id="9017" name="AutoShape 105">
          <a:extLst>
            <a:ext uri="{FF2B5EF4-FFF2-40B4-BE49-F238E27FC236}">
              <a16:creationId xmlns:a16="http://schemas.microsoft.com/office/drawing/2014/main" id="{642C5B3E-1D32-4008-A3CE-B00DA3731699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18" name="Picture 9017">
          <a:extLst>
            <a:ext uri="{FF2B5EF4-FFF2-40B4-BE49-F238E27FC236}">
              <a16:creationId xmlns:a16="http://schemas.microsoft.com/office/drawing/2014/main" id="{2B5EB434-3FDB-4C5A-9341-9F670E2DC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19" name="Picture 9018">
          <a:extLst>
            <a:ext uri="{FF2B5EF4-FFF2-40B4-BE49-F238E27FC236}">
              <a16:creationId xmlns:a16="http://schemas.microsoft.com/office/drawing/2014/main" id="{18DB1C39-FB74-420B-8A98-123EF208E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20" name="Picture 9019">
          <a:extLst>
            <a:ext uri="{FF2B5EF4-FFF2-40B4-BE49-F238E27FC236}">
              <a16:creationId xmlns:a16="http://schemas.microsoft.com/office/drawing/2014/main" id="{BA632F03-303D-49B7-B841-08A966C00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21" name="Picture 9020">
          <a:extLst>
            <a:ext uri="{FF2B5EF4-FFF2-40B4-BE49-F238E27FC236}">
              <a16:creationId xmlns:a16="http://schemas.microsoft.com/office/drawing/2014/main" id="{40AB64D5-95AE-4B3F-9A3D-65E2FADDE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22" name="Picture 9021">
          <a:extLst>
            <a:ext uri="{FF2B5EF4-FFF2-40B4-BE49-F238E27FC236}">
              <a16:creationId xmlns:a16="http://schemas.microsoft.com/office/drawing/2014/main" id="{05CB81BF-5F41-43E5-A010-CCE4CE3EA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9023" name="AutoShape 111">
          <a:extLst>
            <a:ext uri="{FF2B5EF4-FFF2-40B4-BE49-F238E27FC236}">
              <a16:creationId xmlns:a16="http://schemas.microsoft.com/office/drawing/2014/main" id="{B3A4FD81-C5C0-4ED8-AD01-241DAEC17644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24" name="Picture 9023">
          <a:extLst>
            <a:ext uri="{FF2B5EF4-FFF2-40B4-BE49-F238E27FC236}">
              <a16:creationId xmlns:a16="http://schemas.microsoft.com/office/drawing/2014/main" id="{A68F6AD5-165A-4D4E-B5D2-63EBF121A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9025" name="AutoShape 113">
          <a:extLst>
            <a:ext uri="{FF2B5EF4-FFF2-40B4-BE49-F238E27FC236}">
              <a16:creationId xmlns:a16="http://schemas.microsoft.com/office/drawing/2014/main" id="{4F62B9E5-EBBD-41E8-AE93-EF8FD2FDAFA5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26" name="Picture 9025">
          <a:extLst>
            <a:ext uri="{FF2B5EF4-FFF2-40B4-BE49-F238E27FC236}">
              <a16:creationId xmlns:a16="http://schemas.microsoft.com/office/drawing/2014/main" id="{954536D3-F9C3-4968-8794-398F396AC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27" name="Picture 9026">
          <a:extLst>
            <a:ext uri="{FF2B5EF4-FFF2-40B4-BE49-F238E27FC236}">
              <a16:creationId xmlns:a16="http://schemas.microsoft.com/office/drawing/2014/main" id="{BB70F27E-7C69-49B5-8EC7-CB15F949D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3440"/>
    <xdr:sp macro="" textlink="">
      <xdr:nvSpPr>
        <xdr:cNvPr id="9028" name="AutoShape 119">
          <a:extLst>
            <a:ext uri="{FF2B5EF4-FFF2-40B4-BE49-F238E27FC236}">
              <a16:creationId xmlns:a16="http://schemas.microsoft.com/office/drawing/2014/main" id="{BA024F48-22BD-4997-9940-7DA0C228AEB9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27</xdr:row>
      <xdr:rowOff>0</xdr:rowOff>
    </xdr:from>
    <xdr:ext cx="9525" cy="9525"/>
    <xdr:pic>
      <xdr:nvPicPr>
        <xdr:cNvPr id="9029" name="Picture 9028">
          <a:extLst>
            <a:ext uri="{FF2B5EF4-FFF2-40B4-BE49-F238E27FC236}">
              <a16:creationId xmlns:a16="http://schemas.microsoft.com/office/drawing/2014/main" id="{8740B42A-54EC-4E3F-A96F-00B736C2F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30" name="Picture 9029">
          <a:extLst>
            <a:ext uri="{FF2B5EF4-FFF2-40B4-BE49-F238E27FC236}">
              <a16:creationId xmlns:a16="http://schemas.microsoft.com/office/drawing/2014/main" id="{C34CAC3F-8B07-40D5-B69B-0D997D808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31" name="Picture 9030">
          <a:extLst>
            <a:ext uri="{FF2B5EF4-FFF2-40B4-BE49-F238E27FC236}">
              <a16:creationId xmlns:a16="http://schemas.microsoft.com/office/drawing/2014/main" id="{64341365-1D0E-4FF1-A71D-5C6856068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26</xdr:row>
      <xdr:rowOff>0</xdr:rowOff>
    </xdr:from>
    <xdr:ext cx="9525" cy="9525"/>
    <xdr:pic>
      <xdr:nvPicPr>
        <xdr:cNvPr id="9032" name="Picture 9031">
          <a:extLst>
            <a:ext uri="{FF2B5EF4-FFF2-40B4-BE49-F238E27FC236}">
              <a16:creationId xmlns:a16="http://schemas.microsoft.com/office/drawing/2014/main" id="{72A81596-A9A7-420E-8259-488B7E87B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25</xdr:row>
      <xdr:rowOff>0</xdr:rowOff>
    </xdr:from>
    <xdr:ext cx="304800" cy="303440"/>
    <xdr:sp macro="" textlink="">
      <xdr:nvSpPr>
        <xdr:cNvPr id="9033" name="AutoShape 130">
          <a:extLst>
            <a:ext uri="{FF2B5EF4-FFF2-40B4-BE49-F238E27FC236}">
              <a16:creationId xmlns:a16="http://schemas.microsoft.com/office/drawing/2014/main" id="{4BFFB761-203D-4998-A3E2-F959804C316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068786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34" name="Picture 9033">
          <a:extLst>
            <a:ext uri="{FF2B5EF4-FFF2-40B4-BE49-F238E27FC236}">
              <a16:creationId xmlns:a16="http://schemas.microsoft.com/office/drawing/2014/main" id="{707F8E61-939C-45F9-ABC8-3956642E6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35" name="Picture 9034">
          <a:extLst>
            <a:ext uri="{FF2B5EF4-FFF2-40B4-BE49-F238E27FC236}">
              <a16:creationId xmlns:a16="http://schemas.microsoft.com/office/drawing/2014/main" id="{FBFBB743-5630-45AB-8000-86FDCD16F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36" name="Picture 9035">
          <a:extLst>
            <a:ext uri="{FF2B5EF4-FFF2-40B4-BE49-F238E27FC236}">
              <a16:creationId xmlns:a16="http://schemas.microsoft.com/office/drawing/2014/main" id="{A704E46E-F7F5-4702-8673-EFE90C94F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37" name="Picture 9036">
          <a:extLst>
            <a:ext uri="{FF2B5EF4-FFF2-40B4-BE49-F238E27FC236}">
              <a16:creationId xmlns:a16="http://schemas.microsoft.com/office/drawing/2014/main" id="{F1574EE2-0B2C-40CD-99B1-40C868A87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38" name="Picture 9037">
          <a:extLst>
            <a:ext uri="{FF2B5EF4-FFF2-40B4-BE49-F238E27FC236}">
              <a16:creationId xmlns:a16="http://schemas.microsoft.com/office/drawing/2014/main" id="{2B6AD508-8B53-45C1-B600-38F07210C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9039" name="AutoShape 136">
          <a:extLst>
            <a:ext uri="{FF2B5EF4-FFF2-40B4-BE49-F238E27FC236}">
              <a16:creationId xmlns:a16="http://schemas.microsoft.com/office/drawing/2014/main" id="{6883932A-E78D-4905-8170-E76D5BF0496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40" name="Picture 9039">
          <a:extLst>
            <a:ext uri="{FF2B5EF4-FFF2-40B4-BE49-F238E27FC236}">
              <a16:creationId xmlns:a16="http://schemas.microsoft.com/office/drawing/2014/main" id="{118F437B-84AC-476D-AA45-CA186E70B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4800"/>
    <xdr:sp macro="" textlink="">
      <xdr:nvSpPr>
        <xdr:cNvPr id="9041" name="AutoShape 138">
          <a:extLst>
            <a:ext uri="{FF2B5EF4-FFF2-40B4-BE49-F238E27FC236}">
              <a16:creationId xmlns:a16="http://schemas.microsoft.com/office/drawing/2014/main" id="{B0EB191E-5067-4CDD-AE85-9AB538F07F66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42" name="Picture 9041">
          <a:extLst>
            <a:ext uri="{FF2B5EF4-FFF2-40B4-BE49-F238E27FC236}">
              <a16:creationId xmlns:a16="http://schemas.microsoft.com/office/drawing/2014/main" id="{71001608-E2B4-4BCC-B311-532916F38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43" name="Picture 9042">
          <a:extLst>
            <a:ext uri="{FF2B5EF4-FFF2-40B4-BE49-F238E27FC236}">
              <a16:creationId xmlns:a16="http://schemas.microsoft.com/office/drawing/2014/main" id="{F426A215-1FF1-4407-9A7D-02B889977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304800" cy="303440"/>
    <xdr:sp macro="" textlink="">
      <xdr:nvSpPr>
        <xdr:cNvPr id="9044" name="AutoShape 144">
          <a:extLst>
            <a:ext uri="{FF2B5EF4-FFF2-40B4-BE49-F238E27FC236}">
              <a16:creationId xmlns:a16="http://schemas.microsoft.com/office/drawing/2014/main" id="{44D13149-7778-4B45-9B4F-4B7547090ACE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6858000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27</xdr:row>
      <xdr:rowOff>0</xdr:rowOff>
    </xdr:from>
    <xdr:ext cx="9525" cy="9525"/>
    <xdr:pic>
      <xdr:nvPicPr>
        <xdr:cNvPr id="9045" name="Picture 9044">
          <a:extLst>
            <a:ext uri="{FF2B5EF4-FFF2-40B4-BE49-F238E27FC236}">
              <a16:creationId xmlns:a16="http://schemas.microsoft.com/office/drawing/2014/main" id="{718791EA-4C67-46A1-ACFF-C349BE597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29</xdr:row>
      <xdr:rowOff>0</xdr:rowOff>
    </xdr:from>
    <xdr:ext cx="9525" cy="9525"/>
    <xdr:pic>
      <xdr:nvPicPr>
        <xdr:cNvPr id="9046" name="Picture 9045">
          <a:extLst>
            <a:ext uri="{FF2B5EF4-FFF2-40B4-BE49-F238E27FC236}">
              <a16:creationId xmlns:a16="http://schemas.microsoft.com/office/drawing/2014/main" id="{D87F95CA-FBD2-4622-BD5C-3C8EEA462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22</xdr:row>
      <xdr:rowOff>0</xdr:rowOff>
    </xdr:from>
    <xdr:ext cx="9525" cy="9525"/>
    <xdr:pic>
      <xdr:nvPicPr>
        <xdr:cNvPr id="9047" name="Picture 9046">
          <a:extLst>
            <a:ext uri="{FF2B5EF4-FFF2-40B4-BE49-F238E27FC236}">
              <a16:creationId xmlns:a16="http://schemas.microsoft.com/office/drawing/2014/main" id="{EC02686A-B1C1-40D2-B0F7-0D0A5E814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22</xdr:row>
      <xdr:rowOff>0</xdr:rowOff>
    </xdr:from>
    <xdr:ext cx="9525" cy="9525"/>
    <xdr:pic>
      <xdr:nvPicPr>
        <xdr:cNvPr id="9048" name="Picture 9047">
          <a:extLst>
            <a:ext uri="{FF2B5EF4-FFF2-40B4-BE49-F238E27FC236}">
              <a16:creationId xmlns:a16="http://schemas.microsoft.com/office/drawing/2014/main" id="{8F4484BB-94B0-4FFC-AC81-E0EE60EF6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22</xdr:row>
      <xdr:rowOff>0</xdr:rowOff>
    </xdr:from>
    <xdr:ext cx="9525" cy="9525"/>
    <xdr:pic>
      <xdr:nvPicPr>
        <xdr:cNvPr id="9049" name="Picture 9048">
          <a:extLst>
            <a:ext uri="{FF2B5EF4-FFF2-40B4-BE49-F238E27FC236}">
              <a16:creationId xmlns:a16="http://schemas.microsoft.com/office/drawing/2014/main" id="{E9FF8975-8F36-4D95-BE7B-B9B0EA227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22</xdr:row>
      <xdr:rowOff>0</xdr:rowOff>
    </xdr:from>
    <xdr:ext cx="9525" cy="9525"/>
    <xdr:pic>
      <xdr:nvPicPr>
        <xdr:cNvPr id="9050" name="Picture 9049">
          <a:extLst>
            <a:ext uri="{FF2B5EF4-FFF2-40B4-BE49-F238E27FC236}">
              <a16:creationId xmlns:a16="http://schemas.microsoft.com/office/drawing/2014/main" id="{563C86B7-75D7-4C32-9F29-676C321F0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470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9525" cy="9525"/>
    <xdr:pic>
      <xdr:nvPicPr>
        <xdr:cNvPr id="9051" name="Picture 9050">
          <a:extLst>
            <a:ext uri="{FF2B5EF4-FFF2-40B4-BE49-F238E27FC236}">
              <a16:creationId xmlns:a16="http://schemas.microsoft.com/office/drawing/2014/main" id="{45737C02-4C54-4D9F-A4E4-A5DFE5E30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9052" name="AutoShape 38">
          <a:extLst>
            <a:ext uri="{FF2B5EF4-FFF2-40B4-BE49-F238E27FC236}">
              <a16:creationId xmlns:a16="http://schemas.microsoft.com/office/drawing/2014/main" id="{23722FF8-13CF-4DAB-BD15-113CFCE56A75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23</xdr:row>
      <xdr:rowOff>0</xdr:rowOff>
    </xdr:from>
    <xdr:ext cx="9525" cy="9525"/>
    <xdr:pic>
      <xdr:nvPicPr>
        <xdr:cNvPr id="9053" name="Picture 9052">
          <a:extLst>
            <a:ext uri="{FF2B5EF4-FFF2-40B4-BE49-F238E27FC236}">
              <a16:creationId xmlns:a16="http://schemas.microsoft.com/office/drawing/2014/main" id="{46C25661-6F54-4651-920E-2C8D7FA8D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9054" name="AutoShape 61">
          <a:extLst>
            <a:ext uri="{FF2B5EF4-FFF2-40B4-BE49-F238E27FC236}">
              <a16:creationId xmlns:a16="http://schemas.microsoft.com/office/drawing/2014/main" id="{7E22B4CE-E306-4692-B289-31BB79925E20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23</xdr:row>
      <xdr:rowOff>0</xdr:rowOff>
    </xdr:from>
    <xdr:ext cx="9525" cy="9525"/>
    <xdr:pic>
      <xdr:nvPicPr>
        <xdr:cNvPr id="9055" name="Picture 9054">
          <a:extLst>
            <a:ext uri="{FF2B5EF4-FFF2-40B4-BE49-F238E27FC236}">
              <a16:creationId xmlns:a16="http://schemas.microsoft.com/office/drawing/2014/main" id="{39490903-3C06-4B3E-8153-5F6FE7096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9056" name="AutoShape 111">
          <a:extLst>
            <a:ext uri="{FF2B5EF4-FFF2-40B4-BE49-F238E27FC236}">
              <a16:creationId xmlns:a16="http://schemas.microsoft.com/office/drawing/2014/main" id="{8508D1D0-EB93-4634-9454-AFB0AAE98C59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23</xdr:row>
      <xdr:rowOff>0</xdr:rowOff>
    </xdr:from>
    <xdr:ext cx="9525" cy="9525"/>
    <xdr:pic>
      <xdr:nvPicPr>
        <xdr:cNvPr id="9057" name="Picture 9056">
          <a:extLst>
            <a:ext uri="{FF2B5EF4-FFF2-40B4-BE49-F238E27FC236}">
              <a16:creationId xmlns:a16="http://schemas.microsoft.com/office/drawing/2014/main" id="{18B96FFE-2130-4FE5-9E0D-C2D491AA1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6605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9058" name="AutoShape 136">
          <a:extLst>
            <a:ext uri="{FF2B5EF4-FFF2-40B4-BE49-F238E27FC236}">
              <a16:creationId xmlns:a16="http://schemas.microsoft.com/office/drawing/2014/main" id="{49CA324E-3700-46FF-B375-E3B49FD912E6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9059" name="AutoShape 44">
          <a:extLst>
            <a:ext uri="{FF2B5EF4-FFF2-40B4-BE49-F238E27FC236}">
              <a16:creationId xmlns:a16="http://schemas.microsoft.com/office/drawing/2014/main" id="{7AED773C-8B55-4043-93B6-0D1082CE20F3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9060" name="AutoShape 67">
          <a:extLst>
            <a:ext uri="{FF2B5EF4-FFF2-40B4-BE49-F238E27FC236}">
              <a16:creationId xmlns:a16="http://schemas.microsoft.com/office/drawing/2014/main" id="{2F901C9F-59BD-41EE-99BA-EA5F25BADD48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304800" cy="303440"/>
    <xdr:sp macro="" textlink="">
      <xdr:nvSpPr>
        <xdr:cNvPr id="9061" name="AutoShape 69">
          <a:extLst>
            <a:ext uri="{FF2B5EF4-FFF2-40B4-BE49-F238E27FC236}">
              <a16:creationId xmlns:a16="http://schemas.microsoft.com/office/drawing/2014/main" id="{F980E74F-26A4-4B0A-BAD5-9230D9B5872B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9525" cy="9525"/>
    <xdr:pic>
      <xdr:nvPicPr>
        <xdr:cNvPr id="9062" name="Picture 9061">
          <a:extLst>
            <a:ext uri="{FF2B5EF4-FFF2-40B4-BE49-F238E27FC236}">
              <a16:creationId xmlns:a16="http://schemas.microsoft.com/office/drawing/2014/main" id="{4B5B9EC2-B9B7-4561-BB29-8757A080C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9063" name="AutoShape 117">
          <a:extLst>
            <a:ext uri="{FF2B5EF4-FFF2-40B4-BE49-F238E27FC236}">
              <a16:creationId xmlns:a16="http://schemas.microsoft.com/office/drawing/2014/main" id="{6A2292CB-09B4-4427-B6EE-D464374B20CD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304800" cy="303440"/>
    <xdr:sp macro="" textlink="">
      <xdr:nvSpPr>
        <xdr:cNvPr id="9064" name="AutoShape 119">
          <a:extLst>
            <a:ext uri="{FF2B5EF4-FFF2-40B4-BE49-F238E27FC236}">
              <a16:creationId xmlns:a16="http://schemas.microsoft.com/office/drawing/2014/main" id="{6B19F929-D808-401C-9732-1FA18B989494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9525" cy="9525"/>
    <xdr:pic>
      <xdr:nvPicPr>
        <xdr:cNvPr id="9065" name="Picture 9064">
          <a:extLst>
            <a:ext uri="{FF2B5EF4-FFF2-40B4-BE49-F238E27FC236}">
              <a16:creationId xmlns:a16="http://schemas.microsoft.com/office/drawing/2014/main" id="{ED4B28E1-5199-47DF-8D24-E322C3AC8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2321" y="5851071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23</xdr:row>
      <xdr:rowOff>0</xdr:rowOff>
    </xdr:from>
    <xdr:ext cx="304800" cy="304800"/>
    <xdr:sp macro="" textlink="">
      <xdr:nvSpPr>
        <xdr:cNvPr id="9066" name="AutoShape 142">
          <a:extLst>
            <a:ext uri="{FF2B5EF4-FFF2-40B4-BE49-F238E27FC236}">
              <a16:creationId xmlns:a16="http://schemas.microsoft.com/office/drawing/2014/main" id="{DCDE5707-DF54-48B7-92F1-4BB1BA3D7E20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66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24</xdr:row>
      <xdr:rowOff>0</xdr:rowOff>
    </xdr:from>
    <xdr:ext cx="304800" cy="303440"/>
    <xdr:sp macro="" textlink="">
      <xdr:nvSpPr>
        <xdr:cNvPr id="9067" name="AutoShape 144">
          <a:extLst>
            <a:ext uri="{FF2B5EF4-FFF2-40B4-BE49-F238E27FC236}">
              <a16:creationId xmlns:a16="http://schemas.microsoft.com/office/drawing/2014/main" id="{695F245E-9272-4BFD-AD39-6651F213C301}"/>
            </a:ext>
          </a:extLst>
        </xdr:cNvPr>
        <xdr:cNvSpPr>
          <a:spLocks noChangeAspect="1" noChangeArrowheads="1"/>
        </xdr:cNvSpPr>
      </xdr:nvSpPr>
      <xdr:spPr bwMode="auto">
        <a:xfrm>
          <a:off x="99672321" y="5851071"/>
          <a:ext cx="304800" cy="30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rtal.ds.irsnet.gov/Users/CXGCB/Documents/CXGCB_Documents/Calculators/WHC/W-4/Employer%20Instructions/TY2022/2022%20Pub%2015-T_09172021__DRAFT2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2021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Rate Schedules"/>
      <sheetName val="Updated Rate Schedules"/>
      <sheetName val="Overview"/>
      <sheetName val="1A % Method Worksheet-Automated"/>
      <sheetName val="1B % Method Tables - Automated"/>
      <sheetName val="2A Wage Bracket Worksheet - New"/>
      <sheetName val="2B WageBracket-New-Weekly"/>
      <sheetName val="2C WageBracket-New-Biweekly"/>
      <sheetName val="2D WageBracket-New-Semimonthly"/>
      <sheetName val="2E WageBracket-New-Monthly"/>
      <sheetName val="2F WageBracket-New-Daily"/>
      <sheetName val="3A Wage Bracket Worksheet - Old"/>
      <sheetName val="3B WageBracket-Old-Weekly"/>
      <sheetName val="3C WageBracket Old-Biweekly"/>
      <sheetName val="3D WageBracket Old-Semimonthly"/>
      <sheetName val="3E WageBracket Old-Monthly"/>
      <sheetName val="3F WageBracket Old-Daily"/>
      <sheetName val="4A %Method Worksheet-Manual New"/>
      <sheetName val="4B %Method Manual New-Weekly"/>
      <sheetName val="4C %Method Manual New-Biweekly"/>
      <sheetName val="4D %Method Manual New-SMonthly"/>
      <sheetName val="4E %Method Manual New-Monthly"/>
      <sheetName val="4F %Method Manual New-Daily"/>
      <sheetName val="5A %Method Worksheet-Manual Old"/>
      <sheetName val="5B %Method Manual Old"/>
      <sheetName val="6A - Casino Profits"/>
    </sheetNames>
    <sheetDataSet>
      <sheetData sheetId="0">
        <row r="32">
          <cell r="F32">
            <v>0</v>
          </cell>
          <cell r="G32">
            <v>0</v>
          </cell>
          <cell r="H32">
            <v>0.1</v>
          </cell>
        </row>
        <row r="33">
          <cell r="F33">
            <v>13600</v>
          </cell>
          <cell r="G33">
            <v>1360</v>
          </cell>
          <cell r="H33">
            <v>0.12</v>
          </cell>
        </row>
        <row r="34">
          <cell r="F34">
            <v>51800</v>
          </cell>
          <cell r="G34">
            <v>5944</v>
          </cell>
          <cell r="H34">
            <v>0.22</v>
          </cell>
        </row>
        <row r="35">
          <cell r="F35">
            <v>82500</v>
          </cell>
          <cell r="G35">
            <v>12698</v>
          </cell>
          <cell r="H35">
            <v>0.24</v>
          </cell>
        </row>
        <row r="36">
          <cell r="F36">
            <v>157500</v>
          </cell>
          <cell r="G36">
            <v>30698</v>
          </cell>
          <cell r="H36">
            <v>0.32</v>
          </cell>
        </row>
        <row r="37">
          <cell r="F37">
            <v>200000</v>
          </cell>
          <cell r="G37">
            <v>44298</v>
          </cell>
          <cell r="H37">
            <v>0.35</v>
          </cell>
        </row>
        <row r="38">
          <cell r="F38">
            <v>500000</v>
          </cell>
          <cell r="G38">
            <v>149298</v>
          </cell>
          <cell r="H38">
            <v>0.37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ome"/>
      <sheetName val="Snapshot"/>
      <sheetName val="Transactions"/>
      <sheetName val="Categories"/>
      <sheetName val="HiddenCategories"/>
      <sheetName val="Institutions"/>
      <sheetName val="MonthlyBudgetHidden"/>
      <sheetName val="MonthlyBudget"/>
      <sheetName val="Sheet1"/>
    </sheetNames>
    <sheetDataSet>
      <sheetData sheetId="0"/>
      <sheetData sheetId="1">
        <row r="7">
          <cell r="V7" t="str">
            <v>January 2022</v>
          </cell>
        </row>
        <row r="8">
          <cell r="V8" t="str">
            <v>December 2021</v>
          </cell>
        </row>
        <row r="9">
          <cell r="V9" t="str">
            <v>November 2021</v>
          </cell>
        </row>
        <row r="10">
          <cell r="V10" t="str">
            <v>October 2021</v>
          </cell>
        </row>
        <row r="11">
          <cell r="V11" t="str">
            <v>September 2021</v>
          </cell>
        </row>
        <row r="12">
          <cell r="V12" t="str">
            <v>August 2021</v>
          </cell>
        </row>
        <row r="13">
          <cell r="V13" t="str">
            <v>July 2021</v>
          </cell>
        </row>
        <row r="14">
          <cell r="V14" t="str">
            <v>June 2021</v>
          </cell>
        </row>
        <row r="15">
          <cell r="V15" t="str">
            <v>May 2021</v>
          </cell>
        </row>
        <row r="16">
          <cell r="V16" t="str">
            <v>April 2021</v>
          </cell>
        </row>
        <row r="17">
          <cell r="V17" t="str">
            <v>March 2021</v>
          </cell>
        </row>
        <row r="18">
          <cell r="V18" t="str">
            <v>February 2021</v>
          </cell>
        </row>
        <row r="19">
          <cell r="V19" t="str">
            <v>January 2021</v>
          </cell>
        </row>
        <row r="20">
          <cell r="V20" t="str">
            <v>December 2020</v>
          </cell>
        </row>
        <row r="21">
          <cell r="V21" t="str">
            <v>November 2020</v>
          </cell>
        </row>
        <row r="22">
          <cell r="V22" t="str">
            <v>October 2020</v>
          </cell>
        </row>
        <row r="23">
          <cell r="V23" t="str">
            <v>September 2020</v>
          </cell>
        </row>
        <row r="24">
          <cell r="V24" t="str">
            <v>August 2020</v>
          </cell>
        </row>
        <row r="25">
          <cell r="V25" t="str">
            <v>July 2020</v>
          </cell>
        </row>
        <row r="26">
          <cell r="V26" t="str">
            <v>June 2020</v>
          </cell>
        </row>
        <row r="27">
          <cell r="V27" t="str">
            <v>May 2020</v>
          </cell>
        </row>
        <row r="28">
          <cell r="V28" t="str">
            <v>April 2020</v>
          </cell>
        </row>
        <row r="29">
          <cell r="V29" t="str">
            <v>March 2020</v>
          </cell>
        </row>
        <row r="30">
          <cell r="V30" t="str">
            <v>February 2020</v>
          </cell>
        </row>
        <row r="31">
          <cell r="V31" t="str">
            <v>January 2020</v>
          </cell>
        </row>
        <row r="32">
          <cell r="V32" t="str">
            <v>--</v>
          </cell>
        </row>
        <row r="33">
          <cell r="V33" t="str">
            <v>--</v>
          </cell>
        </row>
        <row r="34">
          <cell r="V34" t="str">
            <v>--</v>
          </cell>
        </row>
        <row r="35">
          <cell r="V35" t="str">
            <v>--</v>
          </cell>
        </row>
        <row r="36">
          <cell r="V36" t="str">
            <v>--</v>
          </cell>
        </row>
        <row r="37">
          <cell r="V37" t="str">
            <v>--</v>
          </cell>
        </row>
        <row r="38">
          <cell r="V38" t="str">
            <v>--</v>
          </cell>
        </row>
        <row r="39">
          <cell r="V39" t="str">
            <v>--</v>
          </cell>
        </row>
        <row r="40">
          <cell r="V40" t="str">
            <v>--</v>
          </cell>
        </row>
        <row r="41">
          <cell r="V41" t="str">
            <v>--</v>
          </cell>
        </row>
        <row r="42">
          <cell r="V42" t="str">
            <v>--</v>
          </cell>
        </row>
        <row r="43">
          <cell r="V43" t="str">
            <v>--</v>
          </cell>
        </row>
        <row r="44">
          <cell r="V44" t="str">
            <v>--</v>
          </cell>
        </row>
        <row r="45">
          <cell r="V45" t="str">
            <v>--</v>
          </cell>
        </row>
        <row r="46">
          <cell r="V46" t="str">
            <v>--</v>
          </cell>
        </row>
        <row r="47">
          <cell r="V47" t="str">
            <v>--</v>
          </cell>
        </row>
        <row r="48">
          <cell r="V48" t="str">
            <v>--</v>
          </cell>
        </row>
        <row r="49">
          <cell r="V49" t="str">
            <v>--</v>
          </cell>
        </row>
        <row r="50">
          <cell r="V50" t="str">
            <v>--</v>
          </cell>
        </row>
        <row r="51">
          <cell r="V51" t="str">
            <v>--</v>
          </cell>
        </row>
        <row r="52">
          <cell r="V52" t="str">
            <v>--</v>
          </cell>
        </row>
        <row r="53">
          <cell r="V53" t="str">
            <v>--</v>
          </cell>
        </row>
        <row r="54">
          <cell r="V54" t="str">
            <v>--</v>
          </cell>
        </row>
        <row r="55">
          <cell r="V55" t="str">
            <v>--</v>
          </cell>
        </row>
        <row r="56">
          <cell r="V56" t="str">
            <v>--</v>
          </cell>
        </row>
        <row r="57">
          <cell r="V57" t="str">
            <v>--</v>
          </cell>
        </row>
        <row r="58">
          <cell r="V58" t="str">
            <v>--</v>
          </cell>
        </row>
        <row r="59">
          <cell r="V59" t="str">
            <v>--</v>
          </cell>
        </row>
        <row r="60">
          <cell r="V60" t="str">
            <v>--</v>
          </cell>
        </row>
        <row r="61">
          <cell r="V61" t="str">
            <v>--</v>
          </cell>
        </row>
        <row r="62">
          <cell r="V62" t="str">
            <v>--</v>
          </cell>
        </row>
        <row r="63">
          <cell r="V63" t="str">
            <v>--</v>
          </cell>
        </row>
        <row r="64">
          <cell r="V64" t="str">
            <v>--</v>
          </cell>
        </row>
        <row r="65">
          <cell r="V65" t="str">
            <v>--</v>
          </cell>
        </row>
        <row r="66">
          <cell r="V66" t="str">
            <v>--</v>
          </cell>
        </row>
        <row r="67">
          <cell r="V67" t="str">
            <v>--</v>
          </cell>
        </row>
        <row r="68">
          <cell r="V68" t="str">
            <v>--</v>
          </cell>
        </row>
        <row r="69">
          <cell r="V69" t="str">
            <v>--</v>
          </cell>
        </row>
        <row r="70">
          <cell r="V70" t="str">
            <v>--</v>
          </cell>
        </row>
        <row r="71">
          <cell r="V71" t="str">
            <v>--</v>
          </cell>
        </row>
        <row r="72">
          <cell r="V72" t="str">
            <v>--</v>
          </cell>
        </row>
        <row r="73">
          <cell r="V73" t="str">
            <v>--</v>
          </cell>
        </row>
        <row r="74">
          <cell r="V74" t="str">
            <v>--</v>
          </cell>
        </row>
        <row r="75">
          <cell r="V75" t="str">
            <v>--</v>
          </cell>
        </row>
        <row r="76">
          <cell r="V76" t="str">
            <v>--</v>
          </cell>
        </row>
        <row r="77">
          <cell r="V77" t="str">
            <v>--</v>
          </cell>
        </row>
        <row r="78">
          <cell r="V78" t="str">
            <v>--</v>
          </cell>
        </row>
        <row r="79">
          <cell r="V79" t="str">
            <v>--</v>
          </cell>
        </row>
        <row r="80">
          <cell r="V80" t="str">
            <v>--</v>
          </cell>
        </row>
        <row r="81">
          <cell r="V81" t="str">
            <v>--</v>
          </cell>
        </row>
        <row r="82">
          <cell r="V82" t="str">
            <v>--</v>
          </cell>
        </row>
        <row r="83">
          <cell r="V83" t="str">
            <v>--</v>
          </cell>
        </row>
        <row r="84">
          <cell r="V84" t="str">
            <v>--</v>
          </cell>
        </row>
        <row r="85">
          <cell r="V85" t="str">
            <v>--</v>
          </cell>
        </row>
        <row r="86">
          <cell r="V86" t="str">
            <v>--</v>
          </cell>
        </row>
        <row r="87">
          <cell r="V87" t="str">
            <v>--</v>
          </cell>
        </row>
        <row r="88">
          <cell r="V88" t="str">
            <v>--</v>
          </cell>
        </row>
        <row r="89">
          <cell r="V89" t="str">
            <v>--</v>
          </cell>
        </row>
        <row r="90">
          <cell r="V90" t="str">
            <v>--</v>
          </cell>
        </row>
        <row r="91">
          <cell r="V91" t="str">
            <v>--</v>
          </cell>
        </row>
        <row r="92">
          <cell r="V92" t="str">
            <v>--</v>
          </cell>
        </row>
        <row r="93">
          <cell r="V93" t="str">
            <v>--</v>
          </cell>
        </row>
        <row r="94">
          <cell r="V94" t="str">
            <v>--</v>
          </cell>
        </row>
        <row r="95">
          <cell r="V95" t="str">
            <v>--</v>
          </cell>
        </row>
        <row r="96">
          <cell r="V96" t="str">
            <v>--</v>
          </cell>
        </row>
        <row r="97">
          <cell r="V97" t="str">
            <v>--</v>
          </cell>
        </row>
        <row r="98">
          <cell r="V98" t="str">
            <v>--</v>
          </cell>
        </row>
        <row r="99">
          <cell r="V99" t="str">
            <v>--</v>
          </cell>
        </row>
        <row r="100">
          <cell r="V100" t="str">
            <v>--</v>
          </cell>
        </row>
        <row r="101">
          <cell r="V101" t="str">
            <v>--</v>
          </cell>
        </row>
        <row r="102">
          <cell r="V102" t="str">
            <v>--</v>
          </cell>
        </row>
        <row r="103">
          <cell r="V103" t="str">
            <v>--</v>
          </cell>
        </row>
        <row r="104">
          <cell r="V104" t="str">
            <v>--</v>
          </cell>
        </row>
        <row r="105">
          <cell r="V105" t="str">
            <v>--</v>
          </cell>
        </row>
        <row r="106">
          <cell r="V106" t="str">
            <v>--</v>
          </cell>
        </row>
        <row r="107">
          <cell r="V107" t="str">
            <v>--</v>
          </cell>
        </row>
        <row r="108">
          <cell r="V108" t="str">
            <v>--</v>
          </cell>
        </row>
        <row r="109">
          <cell r="V109" t="str">
            <v>--</v>
          </cell>
        </row>
        <row r="110">
          <cell r="V110" t="str">
            <v>--</v>
          </cell>
        </row>
        <row r="111">
          <cell r="V111" t="str">
            <v>--</v>
          </cell>
        </row>
        <row r="112">
          <cell r="V112" t="str">
            <v>--</v>
          </cell>
        </row>
        <row r="113">
          <cell r="V113" t="str">
            <v>--</v>
          </cell>
        </row>
        <row r="114">
          <cell r="V114" t="str">
            <v>--</v>
          </cell>
        </row>
        <row r="115">
          <cell r="V115" t="str">
            <v>--</v>
          </cell>
        </row>
        <row r="116">
          <cell r="V116" t="str">
            <v>--</v>
          </cell>
        </row>
        <row r="117">
          <cell r="V117" t="str">
            <v>--</v>
          </cell>
        </row>
        <row r="118">
          <cell r="V118" t="str">
            <v>--</v>
          </cell>
        </row>
        <row r="119">
          <cell r="V119" t="str">
            <v>--</v>
          </cell>
        </row>
        <row r="120">
          <cell r="V120" t="str">
            <v>--</v>
          </cell>
        </row>
        <row r="121">
          <cell r="V121" t="str">
            <v>--</v>
          </cell>
        </row>
        <row r="122">
          <cell r="V122" t="str">
            <v>--</v>
          </cell>
        </row>
        <row r="123">
          <cell r="V123" t="str">
            <v>--</v>
          </cell>
        </row>
        <row r="124">
          <cell r="V124" t="str">
            <v>--</v>
          </cell>
        </row>
        <row r="125">
          <cell r="V125" t="str">
            <v>--</v>
          </cell>
        </row>
        <row r="126">
          <cell r="V126" t="str">
            <v>--</v>
          </cell>
        </row>
        <row r="127">
          <cell r="V127" t="str">
            <v>--</v>
          </cell>
        </row>
        <row r="128">
          <cell r="V128" t="str">
            <v>--</v>
          </cell>
        </row>
        <row r="129">
          <cell r="V129" t="str">
            <v>--</v>
          </cell>
        </row>
        <row r="130">
          <cell r="V130" t="str">
            <v>--</v>
          </cell>
        </row>
        <row r="131">
          <cell r="V131" t="str">
            <v>--</v>
          </cell>
        </row>
        <row r="132">
          <cell r="V132" t="str">
            <v>--</v>
          </cell>
        </row>
        <row r="133">
          <cell r="V133" t="str">
            <v>--</v>
          </cell>
        </row>
        <row r="134">
          <cell r="V134" t="str">
            <v>--</v>
          </cell>
        </row>
        <row r="135">
          <cell r="V135" t="str">
            <v>--</v>
          </cell>
        </row>
        <row r="136">
          <cell r="V136" t="str">
            <v>--</v>
          </cell>
        </row>
        <row r="137">
          <cell r="V137" t="str">
            <v>--</v>
          </cell>
        </row>
        <row r="138">
          <cell r="V138" t="str">
            <v>--</v>
          </cell>
        </row>
        <row r="139">
          <cell r="V139" t="str">
            <v>--</v>
          </cell>
        </row>
        <row r="140">
          <cell r="V140" t="str">
            <v>--</v>
          </cell>
        </row>
        <row r="141">
          <cell r="V141" t="str">
            <v>--</v>
          </cell>
        </row>
        <row r="142">
          <cell r="V142" t="str">
            <v>--</v>
          </cell>
        </row>
        <row r="143">
          <cell r="V143" t="str">
            <v>--</v>
          </cell>
        </row>
        <row r="144">
          <cell r="V144" t="str">
            <v>--</v>
          </cell>
        </row>
        <row r="145">
          <cell r="V145" t="str">
            <v>--</v>
          </cell>
        </row>
        <row r="146">
          <cell r="V146" t="str">
            <v>--</v>
          </cell>
        </row>
        <row r="147">
          <cell r="V147" t="str">
            <v>--</v>
          </cell>
        </row>
        <row r="148">
          <cell r="V148" t="str">
            <v>--</v>
          </cell>
        </row>
        <row r="149">
          <cell r="V149" t="str">
            <v>--</v>
          </cell>
        </row>
        <row r="150">
          <cell r="V150" t="str">
            <v>--</v>
          </cell>
        </row>
        <row r="151">
          <cell r="V151" t="str">
            <v>--</v>
          </cell>
        </row>
        <row r="152">
          <cell r="V152" t="str">
            <v>--</v>
          </cell>
        </row>
        <row r="153">
          <cell r="V153" t="str">
            <v>--</v>
          </cell>
        </row>
        <row r="154">
          <cell r="V154" t="str">
            <v>--</v>
          </cell>
        </row>
        <row r="155">
          <cell r="V155" t="str">
            <v>--</v>
          </cell>
        </row>
        <row r="156">
          <cell r="V156" t="str">
            <v>--</v>
          </cell>
        </row>
        <row r="157">
          <cell r="V157" t="str">
            <v>--</v>
          </cell>
        </row>
        <row r="158">
          <cell r="V158" t="str">
            <v>--</v>
          </cell>
        </row>
        <row r="159">
          <cell r="V159" t="str">
            <v>--</v>
          </cell>
        </row>
        <row r="160">
          <cell r="V160" t="str">
            <v>--</v>
          </cell>
        </row>
        <row r="161">
          <cell r="V161" t="str">
            <v>--</v>
          </cell>
        </row>
        <row r="162">
          <cell r="V162" t="str">
            <v>--</v>
          </cell>
        </row>
        <row r="163">
          <cell r="V163" t="str">
            <v>--</v>
          </cell>
        </row>
        <row r="164">
          <cell r="V164" t="str">
            <v>--</v>
          </cell>
        </row>
        <row r="165">
          <cell r="V165" t="str">
            <v>--</v>
          </cell>
        </row>
        <row r="166">
          <cell r="V166" t="str">
            <v>--</v>
          </cell>
        </row>
        <row r="167">
          <cell r="V167" t="str">
            <v>--</v>
          </cell>
        </row>
        <row r="168">
          <cell r="V168" t="str">
            <v>--</v>
          </cell>
        </row>
        <row r="169">
          <cell r="V169" t="str">
            <v>--</v>
          </cell>
        </row>
        <row r="170">
          <cell r="V170" t="str">
            <v>--</v>
          </cell>
        </row>
        <row r="171">
          <cell r="V171" t="str">
            <v>--</v>
          </cell>
        </row>
        <row r="172">
          <cell r="V172" t="str">
            <v>--</v>
          </cell>
        </row>
        <row r="173">
          <cell r="V173" t="str">
            <v>--</v>
          </cell>
        </row>
        <row r="174">
          <cell r="V174" t="str">
            <v>--</v>
          </cell>
        </row>
        <row r="175">
          <cell r="V175" t="str">
            <v>--</v>
          </cell>
        </row>
        <row r="176">
          <cell r="V176" t="str">
            <v>--</v>
          </cell>
        </row>
        <row r="177">
          <cell r="V177" t="str">
            <v>--</v>
          </cell>
        </row>
        <row r="178">
          <cell r="V178" t="str">
            <v>--</v>
          </cell>
        </row>
        <row r="179">
          <cell r="V179" t="str">
            <v>--</v>
          </cell>
        </row>
        <row r="180">
          <cell r="V180" t="str">
            <v>--</v>
          </cell>
        </row>
        <row r="181">
          <cell r="V181" t="str">
            <v>--</v>
          </cell>
        </row>
        <row r="182">
          <cell r="V182" t="str">
            <v>--</v>
          </cell>
        </row>
        <row r="183">
          <cell r="V183" t="str">
            <v>--</v>
          </cell>
        </row>
        <row r="184">
          <cell r="V184" t="str">
            <v>--</v>
          </cell>
        </row>
        <row r="185">
          <cell r="V185" t="str">
            <v>--</v>
          </cell>
        </row>
        <row r="186">
          <cell r="V186" t="str">
            <v>--</v>
          </cell>
        </row>
        <row r="187">
          <cell r="V187" t="str">
            <v>--</v>
          </cell>
        </row>
        <row r="188">
          <cell r="V188" t="str">
            <v>--</v>
          </cell>
        </row>
        <row r="189">
          <cell r="V189" t="str">
            <v>--</v>
          </cell>
        </row>
        <row r="190">
          <cell r="V190" t="str">
            <v>--</v>
          </cell>
        </row>
        <row r="191">
          <cell r="V191" t="str">
            <v>--</v>
          </cell>
        </row>
        <row r="192">
          <cell r="V192" t="str">
            <v>--</v>
          </cell>
        </row>
        <row r="193">
          <cell r="V193" t="str">
            <v>--</v>
          </cell>
        </row>
        <row r="194">
          <cell r="V194" t="str">
            <v>--</v>
          </cell>
        </row>
        <row r="195">
          <cell r="V195" t="str">
            <v>--</v>
          </cell>
        </row>
        <row r="196">
          <cell r="V196" t="str">
            <v>--</v>
          </cell>
        </row>
        <row r="197">
          <cell r="V197" t="str">
            <v>--</v>
          </cell>
        </row>
        <row r="198">
          <cell r="V198" t="str">
            <v>--</v>
          </cell>
        </row>
        <row r="199">
          <cell r="V199" t="str">
            <v>--</v>
          </cell>
        </row>
        <row r="200">
          <cell r="V200" t="str">
            <v>--</v>
          </cell>
        </row>
      </sheetData>
      <sheetData sheetId="2"/>
      <sheetData sheetId="3">
        <row r="8">
          <cell r="B8" t="str">
            <v>ca8ac7c19b84437194c3fe5508eb8bda</v>
          </cell>
          <cell r="C8" t="str">
            <v>Auto/Transport</v>
          </cell>
          <cell r="I8" t="str">
            <v>DMV Fees</v>
          </cell>
        </row>
        <row r="9">
          <cell r="B9" t="str">
            <v>89f91b72f72a4dd68a16b583d4720595</v>
          </cell>
          <cell r="C9" t="str">
            <v>Bills/Utilities</v>
          </cell>
          <cell r="I9" t="str">
            <v>Gas</v>
          </cell>
        </row>
        <row r="10">
          <cell r="B10" t="str">
            <v>9fa283df10474311b55af8d4cf39d146</v>
          </cell>
          <cell r="C10" t="str">
            <v>Entertainment</v>
          </cell>
          <cell r="I10" t="str">
            <v>Maintenance</v>
          </cell>
        </row>
        <row r="11">
          <cell r="B11" t="str">
            <v>31cc220e25c84daf9b641cfb0e376681</v>
          </cell>
          <cell r="C11" t="str">
            <v>Fees/Charges</v>
          </cell>
          <cell r="I11" t="str">
            <v>Parking</v>
          </cell>
        </row>
        <row r="12">
          <cell r="B12" t="str">
            <v>1c7ed344fd3c47f1b0c4926eb05c305c</v>
          </cell>
          <cell r="C12" t="str">
            <v>Groceries</v>
          </cell>
          <cell r="I12" t="str">
            <v>Public Transit</v>
          </cell>
        </row>
        <row r="13">
          <cell r="B13" t="str">
            <v>0c9f3488736a4d97bd78b9c29fbb29fb</v>
          </cell>
          <cell r="C13" t="str">
            <v>Health/Fitness</v>
          </cell>
          <cell r="I13" t="str">
            <v>Registration</v>
          </cell>
        </row>
        <row r="14">
          <cell r="B14" t="str">
            <v>0613345f0a8b4edfb294d0fdc6fe7382</v>
          </cell>
          <cell r="C14" t="str">
            <v>Home</v>
          </cell>
          <cell r="I14" t="str">
            <v>Rideshare</v>
          </cell>
        </row>
        <row r="15">
          <cell r="B15" t="str">
            <v>fabfe582932d48b78ac2846c1ec3d43f</v>
          </cell>
          <cell r="C15" t="str">
            <v>Income</v>
          </cell>
          <cell r="I15" t="str">
            <v>Tolls</v>
          </cell>
        </row>
        <row r="16">
          <cell r="B16" t="str">
            <v>013119218f2e4bdd86aa9097992873f8</v>
          </cell>
          <cell r="C16" t="str">
            <v>Misc</v>
          </cell>
          <cell r="I16" t="str">
            <v>Food Delivery</v>
          </cell>
        </row>
        <row r="17">
          <cell r="B17" t="str">
            <v>23fe5da83519415dae0687f037d51b09</v>
          </cell>
          <cell r="C17" t="str">
            <v>Mortgage/Rent</v>
          </cell>
          <cell r="I17" t="str">
            <v>Groceries</v>
          </cell>
        </row>
        <row r="18">
          <cell r="B18" t="str">
            <v>6385c1768b814d3d89087c436c9cab15</v>
          </cell>
          <cell r="C18" t="str">
            <v>Payment</v>
          </cell>
          <cell r="I18" t="str">
            <v>Work Lunches</v>
          </cell>
        </row>
        <row r="19">
          <cell r="B19" t="str">
            <v>cc336735a5324e28bf4f3414f7548cf1</v>
          </cell>
          <cell r="C19" t="str">
            <v>Professional Services</v>
          </cell>
          <cell r="I19" t="str">
            <v>Electricity</v>
          </cell>
        </row>
        <row r="20">
          <cell r="B20" t="str">
            <v>fca5dd8329b743f7b77704e23a1e63ad</v>
          </cell>
          <cell r="C20" t="str">
            <v>Refund</v>
          </cell>
          <cell r="I20" t="str">
            <v>Government Services</v>
          </cell>
        </row>
        <row r="21">
          <cell r="B21" t="str">
            <v>3dafc6bd8d7c45ae9840ff09e01567d1</v>
          </cell>
          <cell r="C21" t="str">
            <v>Restaurants/Dining</v>
          </cell>
          <cell r="I21" t="str">
            <v>Internet</v>
          </cell>
        </row>
        <row r="22">
          <cell r="B22" t="str">
            <v>4144f48502914015b998277a326fcedc</v>
          </cell>
          <cell r="C22" t="str">
            <v>Shopping</v>
          </cell>
          <cell r="I22" t="str">
            <v>Phone</v>
          </cell>
        </row>
        <row r="23">
          <cell r="B23" t="str">
            <v>1c99e2ba30f14dbfb79dfa7d009e0924</v>
          </cell>
          <cell r="C23" t="str">
            <v>Transfer</v>
          </cell>
          <cell r="I23" t="str">
            <v>PO Boxes</v>
          </cell>
        </row>
        <row r="24">
          <cell r="B24" t="str">
            <v>e428eb09b5454450b5ffff66b9b935be</v>
          </cell>
          <cell r="C24" t="str">
            <v>Travel</v>
          </cell>
          <cell r="I24" t="str">
            <v>Storage</v>
          </cell>
        </row>
        <row r="25">
          <cell r="B25" t="str">
            <v>de9b1d2511bc45a9bb2d484aa9e33b31</v>
          </cell>
          <cell r="C25" t="str">
            <v>Uncategorized</v>
          </cell>
          <cell r="I25" t="str">
            <v>Water</v>
          </cell>
        </row>
        <row r="26">
          <cell r="B26" t="str">
            <v>fec746a44521f2118fef19237dbf4f91</v>
          </cell>
          <cell r="C26" t="str">
            <v>Food</v>
          </cell>
          <cell r="I26" t="str">
            <v>Auto Insurance</v>
          </cell>
        </row>
        <row r="27">
          <cell r="B27" t="str">
            <v>fc644bd9ea3a9fa6cdcd5fd08cd93f11</v>
          </cell>
          <cell r="C27" t="str">
            <v>Insurance</v>
          </cell>
          <cell r="I27" t="str">
            <v>Dental Care</v>
          </cell>
        </row>
        <row r="28">
          <cell r="B28" t="str">
            <v>fb81ce070826aab24513c89fbfe939e9</v>
          </cell>
          <cell r="C28" t="str">
            <v>Medical &amp; Healthcare</v>
          </cell>
          <cell r="I28" t="str">
            <v>Eye Care</v>
          </cell>
        </row>
        <row r="29">
          <cell r="B29" t="str">
            <v>fa8b5d98bc93b00cd8fc9897f00a1b52</v>
          </cell>
          <cell r="C29" t="str">
            <v>Misc</v>
          </cell>
          <cell r="I29" t="str">
            <v>Medical Devices &amp; Supplies</v>
          </cell>
        </row>
        <row r="30">
          <cell r="B30" t="str">
            <v>f9fd776a16da81a948d166fcd5952d14</v>
          </cell>
          <cell r="C30" t="str">
            <v>Personal Spending</v>
          </cell>
          <cell r="I30" t="str">
            <v>Out-of-Pocket Costs</v>
          </cell>
        </row>
        <row r="31">
          <cell r="B31" t="str">
            <v>f870f35280fadaf3c3539ad54e3062cd</v>
          </cell>
          <cell r="C31" t="str">
            <v>Recreational &amp; Entertainment</v>
          </cell>
          <cell r="I31" t="str">
            <v>Prescriptions</v>
          </cell>
        </row>
        <row r="32">
          <cell r="B32" t="str">
            <v>f59903268bc5a7b5382a7eb44e1c5e95</v>
          </cell>
          <cell r="C32" t="str">
            <v>Savings, Investing, &amp;Debt</v>
          </cell>
          <cell r="I32" t="str">
            <v>Specialty Care</v>
          </cell>
        </row>
        <row r="33">
          <cell r="B33" t="str">
            <v>e6c07c144d52704210419358ba4a8d2e</v>
          </cell>
          <cell r="C33" t="str">
            <v>Transportation</v>
          </cell>
          <cell r="I33" t="str">
            <v>Urgent Care</v>
          </cell>
        </row>
        <row r="34">
          <cell r="B34" t="str">
            <v>e652020e73ca21c507fb0132026987b5</v>
          </cell>
          <cell r="C34" t="str">
            <v>Utilities</v>
          </cell>
          <cell r="I34" t="str">
            <v>401 K</v>
          </cell>
        </row>
        <row r="35">
          <cell r="B35" t="str">
            <v>e0bb920d647a52cd84280e8c3044ff66</v>
          </cell>
          <cell r="C35"/>
          <cell r="I35" t="str">
            <v>Credit</v>
          </cell>
        </row>
        <row r="36">
          <cell r="B36" t="str">
            <v>dfb83736abfed696d6bd6ac8c733eeda</v>
          </cell>
          <cell r="C36"/>
          <cell r="I36" t="str">
            <v>Emergency Fund</v>
          </cell>
        </row>
        <row r="37">
          <cell r="B37" t="str">
            <v>de0e2c203fbd884d097db4a54fe5acd7</v>
          </cell>
          <cell r="C37"/>
          <cell r="I37" t="str">
            <v>Personal Debt</v>
          </cell>
        </row>
        <row r="38">
          <cell r="B38" t="str">
            <v>d844791819db601519872778991c4f9c</v>
          </cell>
          <cell r="C38"/>
          <cell r="I38" t="str">
            <v>Retirement Account</v>
          </cell>
        </row>
        <row r="39">
          <cell r="B39" t="str">
            <v>d5676d097011f3e6a0424a1f41d436f3</v>
          </cell>
          <cell r="C39"/>
          <cell r="I39" t="str">
            <v>Savings Account</v>
          </cell>
        </row>
        <row r="40">
          <cell r="B40" t="str">
            <v>d400271556862ef9754f37a16f5af3f3</v>
          </cell>
          <cell r="C40"/>
          <cell r="I40" t="str">
            <v>Securities</v>
          </cell>
        </row>
        <row r="41">
          <cell r="B41" t="str">
            <v>cf2a6b2b5a640d6759aef117a024fb2e</v>
          </cell>
          <cell r="C41"/>
          <cell r="I41" t="str">
            <v>Student Loan</v>
          </cell>
        </row>
        <row r="42">
          <cell r="B42" t="str">
            <v>ce8b8ce3b27fa7a3d6a59cca66d27bc5</v>
          </cell>
          <cell r="C42"/>
          <cell r="I42" t="str">
            <v>Clothes</v>
          </cell>
        </row>
        <row r="43">
          <cell r="B43" t="str">
            <v>cdf52de3d0576d4cbbd7e4dd119de151</v>
          </cell>
          <cell r="C43"/>
          <cell r="I43" t="str">
            <v>Conveinence Store</v>
          </cell>
        </row>
        <row r="44">
          <cell r="B44" t="str">
            <v>c7ac47f8a4b335350ca95fba936f62e0</v>
          </cell>
          <cell r="C44"/>
          <cell r="I44" t="str">
            <v>Gifts/Donations</v>
          </cell>
        </row>
        <row r="45">
          <cell r="B45" t="str">
            <v>c548699496a405bdb836e3e96430330d</v>
          </cell>
          <cell r="C45"/>
          <cell r="I45" t="str">
            <v>Gym</v>
          </cell>
        </row>
        <row r="46">
          <cell r="B46" t="str">
            <v>c52657cf84852dde2fea27809d7ee8cb</v>
          </cell>
          <cell r="C46"/>
          <cell r="I46" t="str">
            <v>Health (Experimental)</v>
          </cell>
        </row>
        <row r="47">
          <cell r="B47" t="str">
            <v>c4ce84e74f1136d14ee7da2e323ecf63</v>
          </cell>
          <cell r="C47"/>
          <cell r="I47" t="str">
            <v>Home Décor</v>
          </cell>
        </row>
        <row r="48">
          <cell r="B48" t="str">
            <v>c0719b622f4546f1b497c50df9768cb0</v>
          </cell>
          <cell r="C48"/>
          <cell r="I48" t="str">
            <v>Merchandise</v>
          </cell>
        </row>
        <row r="49">
          <cell r="B49" t="str">
            <v>bf7e9b348cc43633c723f79978f1183f</v>
          </cell>
          <cell r="C49"/>
          <cell r="I49" t="str">
            <v>Pay Walls</v>
          </cell>
        </row>
        <row r="50">
          <cell r="B50" t="str">
            <v>bec5308ee6e4fc96e26541c14b3a10c7</v>
          </cell>
          <cell r="C50"/>
          <cell r="I50" t="str">
            <v>Self Care</v>
          </cell>
        </row>
        <row r="51">
          <cell r="B51" t="str">
            <v>bd4bd8d44de8cab1784a30aaf439459a</v>
          </cell>
          <cell r="C51"/>
          <cell r="I51" t="str">
            <v>Subscription</v>
          </cell>
        </row>
        <row r="52">
          <cell r="B52" t="str">
            <v>b61a0a2ffdd2081ae40c0021e038bbb2</v>
          </cell>
          <cell r="C52"/>
          <cell r="I52" t="str">
            <v>Walmart/Target Run</v>
          </cell>
        </row>
        <row r="53">
          <cell r="B53" t="str">
            <v>b33fb22c7523b62d3e8f966bc9339d5e</v>
          </cell>
          <cell r="C53"/>
          <cell r="I53" t="str">
            <v>Concerts</v>
          </cell>
        </row>
        <row r="54">
          <cell r="B54" t="str">
            <v>b14fc6d0c74c34bbecc9f474288efcc3</v>
          </cell>
          <cell r="C54"/>
          <cell r="I54" t="str">
            <v>Conveinence Store</v>
          </cell>
        </row>
        <row r="55">
          <cell r="B55" t="str">
            <v>ad2386f3eb42915fec931ff740e6ace0</v>
          </cell>
          <cell r="C55"/>
          <cell r="I55" t="str">
            <v>Family</v>
          </cell>
        </row>
        <row r="56">
          <cell r="B56" t="str">
            <v>a3881a76a0c0a129d46c3d4c1e39da5b</v>
          </cell>
          <cell r="C56"/>
          <cell r="I56" t="str">
            <v>Family Activities</v>
          </cell>
        </row>
        <row r="57">
          <cell r="B57" t="str">
            <v>a2a7c3462e23b35efd5644a1c4a58efb</v>
          </cell>
          <cell r="C57"/>
          <cell r="I57" t="str">
            <v>Hobbies</v>
          </cell>
        </row>
        <row r="58">
          <cell r="B58" t="str">
            <v>a1a5d77312a22fe9ef6720caa13ab334</v>
          </cell>
          <cell r="C58"/>
          <cell r="I58" t="str">
            <v>Merchandise</v>
          </cell>
        </row>
        <row r="59">
          <cell r="B59" t="str">
            <v>9bf7f57db95eeaa90ad44e692667a63c</v>
          </cell>
          <cell r="C59"/>
          <cell r="I59" t="str">
            <v>Resteraunts</v>
          </cell>
        </row>
        <row r="60">
          <cell r="B60" t="str">
            <v>9b9db5e90674f8f116c7016039cd0bab</v>
          </cell>
          <cell r="C60"/>
          <cell r="I60" t="str">
            <v>Sporting Events</v>
          </cell>
        </row>
        <row r="61">
          <cell r="B61" t="str">
            <v>97a3f92abcb5a219e0a9f1241001bb0e</v>
          </cell>
          <cell r="C61"/>
          <cell r="I61" t="str">
            <v>Streaming Services</v>
          </cell>
        </row>
        <row r="62">
          <cell r="B62" t="str">
            <v>935d542cc30feade932e28d4ac07bafc</v>
          </cell>
          <cell r="C62"/>
          <cell r="I62" t="str">
            <v>Subscription</v>
          </cell>
        </row>
        <row r="63">
          <cell r="B63" t="str">
            <v>8d9a56bc60fdeadccfbfc86cd4c589b1</v>
          </cell>
          <cell r="C63"/>
          <cell r="I63" t="str">
            <v>Video Games</v>
          </cell>
        </row>
        <row r="64">
          <cell r="B64" t="str">
            <v>89107c5e31048dbb400e4e85b2ff1b45</v>
          </cell>
          <cell r="C64"/>
          <cell r="I64" t="str">
            <v>Home Maintenance</v>
          </cell>
        </row>
        <row r="65">
          <cell r="B65" t="str">
            <v>85057c46a30000f7ef6a33f1b2be8d57</v>
          </cell>
          <cell r="C65"/>
          <cell r="I65" t="str">
            <v>Home Supplies</v>
          </cell>
        </row>
        <row r="66">
          <cell r="B66" t="str">
            <v>841ef3c7d0b75b5801a2510563cd5273</v>
          </cell>
          <cell r="C66"/>
          <cell r="I66" t="str">
            <v>Office Supplies</v>
          </cell>
        </row>
        <row r="67">
          <cell r="B67" t="str">
            <v>83f5d2f41ee3861d76f707f2e6a3ee39</v>
          </cell>
          <cell r="C67"/>
          <cell r="I67" t="str">
            <v>Personal Care</v>
          </cell>
        </row>
        <row r="68">
          <cell r="B68" t="str">
            <v>81524f662598baa37c2b9767802089ca</v>
          </cell>
          <cell r="C68"/>
          <cell r="I68" t="str">
            <v>Rent</v>
          </cell>
        </row>
        <row r="69">
          <cell r="B69" t="str">
            <v>8008f8e91e6dc2953045384240cc4c30</v>
          </cell>
          <cell r="C69"/>
          <cell r="I69" t="str">
            <v>Study Material (Pre Nationwide)</v>
          </cell>
        </row>
        <row r="70">
          <cell r="B70" t="str">
            <v>7f9ad6078d044687b4e346435c03c397</v>
          </cell>
          <cell r="C70"/>
          <cell r="I70" t="str">
            <v>Taxes</v>
          </cell>
        </row>
        <row r="71">
          <cell r="B71" t="str">
            <v>7b8f75b000c9e1324838dc6b35cc8c04</v>
          </cell>
          <cell r="C71"/>
          <cell r="I71" t="str">
            <v>Resteraunts</v>
          </cell>
        </row>
        <row r="72">
          <cell r="B72" t="str">
            <v>75e762f3a92a4fdc84f7e263d1d6f29a</v>
          </cell>
          <cell r="C72"/>
          <cell r="I72"/>
        </row>
        <row r="73">
          <cell r="B73" t="str">
            <v>74165f2cc61bd3159dd2ac068097094c</v>
          </cell>
          <cell r="C73"/>
          <cell r="I73"/>
        </row>
        <row r="74">
          <cell r="B74" t="str">
            <v>7376689a73f04ecd8b60a33ff72eca9f</v>
          </cell>
          <cell r="C74"/>
          <cell r="I74"/>
        </row>
        <row r="75">
          <cell r="B75" t="str">
            <v>70a1408536b042e7b7e041204b76dc1f</v>
          </cell>
          <cell r="C75"/>
          <cell r="I75"/>
        </row>
        <row r="76">
          <cell r="B76" t="str">
            <v>6e4a436858e666d0bee1f2fc35902bbe</v>
          </cell>
          <cell r="C76"/>
          <cell r="I76"/>
        </row>
        <row r="77">
          <cell r="B77" t="str">
            <v>63ce88a532384b29bb84b6dda00d978b</v>
          </cell>
          <cell r="C77"/>
          <cell r="I77"/>
        </row>
        <row r="78">
          <cell r="B78" t="str">
            <v>60123d83fb9ca0a39504bd2e8a1427e3</v>
          </cell>
          <cell r="C78"/>
          <cell r="I78"/>
        </row>
        <row r="79">
          <cell r="B79" t="str">
            <v>59a9d23c12859854ac5b0bbd458d4d7b</v>
          </cell>
          <cell r="C79"/>
          <cell r="I79"/>
        </row>
        <row r="80">
          <cell r="B80" t="str">
            <v>5736df66acdce9561ddb879c0613dd98</v>
          </cell>
          <cell r="C80"/>
          <cell r="I80"/>
        </row>
        <row r="81">
          <cell r="B81" t="str">
            <v>4ddb742dba41c598e0fe786ef3789c95</v>
          </cell>
          <cell r="C81"/>
          <cell r="I81"/>
        </row>
        <row r="82">
          <cell r="B82" t="str">
            <v>46e718bdde0b9e2147860ec6c9628d87</v>
          </cell>
          <cell r="C82"/>
          <cell r="I82"/>
        </row>
        <row r="83">
          <cell r="B83" t="str">
            <v>4568e4f719c15930583619a2a2d39ef6</v>
          </cell>
          <cell r="C83"/>
          <cell r="I83"/>
        </row>
        <row r="84">
          <cell r="B84" t="str">
            <v>44b98b4dab98b8fcde042a6a1517ede2</v>
          </cell>
          <cell r="C84"/>
          <cell r="I84"/>
        </row>
        <row r="85">
          <cell r="B85" t="str">
            <v>40a1d17af9efce98e8399eb030ac303f</v>
          </cell>
          <cell r="C85"/>
          <cell r="I85"/>
        </row>
        <row r="86">
          <cell r="B86" t="str">
            <v>3f7049d13ea3770cd20886d16392b43a</v>
          </cell>
          <cell r="C86"/>
          <cell r="I86"/>
        </row>
        <row r="87">
          <cell r="B87" t="str">
            <v>3ef666cfab22f0c7d74e4f5fc008e39a</v>
          </cell>
          <cell r="C87"/>
          <cell r="I87"/>
        </row>
        <row r="88">
          <cell r="B88" t="str">
            <v>3b5314e3ee6e51858fd2aaf4dd0a9394</v>
          </cell>
          <cell r="C88"/>
          <cell r="I88"/>
        </row>
        <row r="89">
          <cell r="B89" t="str">
            <v>3985374bf32573ace6a5ce15474e3d93</v>
          </cell>
          <cell r="C89"/>
          <cell r="I89"/>
        </row>
        <row r="90">
          <cell r="B90" t="str">
            <v>33a7d72567b419d3369caae834516eb1</v>
          </cell>
          <cell r="C90"/>
          <cell r="I90"/>
        </row>
        <row r="91">
          <cell r="B91" t="str">
            <v>2dcd6ee699ce26fcddc19251d9772237</v>
          </cell>
          <cell r="C91"/>
          <cell r="I91"/>
        </row>
        <row r="92">
          <cell r="B92" t="str">
            <v>2a19642d64298ced9ed7fa040f6e409f</v>
          </cell>
          <cell r="C92"/>
          <cell r="I92"/>
        </row>
        <row r="93">
          <cell r="B93" t="str">
            <v>267c5d04a264c077f4568023653f4edc</v>
          </cell>
          <cell r="C93"/>
          <cell r="I93"/>
        </row>
        <row r="94">
          <cell r="B94" t="str">
            <v>23ac36b27460488659da9bf28a9e106b</v>
          </cell>
          <cell r="C94"/>
          <cell r="I94"/>
        </row>
        <row r="95">
          <cell r="B95" t="str">
            <v>1ea57b4b8c7a0dfd9ce7296a4b83abcc</v>
          </cell>
          <cell r="C95"/>
          <cell r="I95"/>
        </row>
        <row r="96">
          <cell r="B96" t="str">
            <v>1e2e42f7a6566720c854adfe0132bc7d</v>
          </cell>
          <cell r="C96"/>
          <cell r="I96"/>
        </row>
        <row r="97">
          <cell r="B97" t="str">
            <v>1da80f4129a53e0b2022c6e61d59ce22</v>
          </cell>
          <cell r="C97"/>
          <cell r="I97"/>
        </row>
        <row r="98">
          <cell r="B98" t="str">
            <v>1d4479d13eb593a056ef05e94f8bc715</v>
          </cell>
          <cell r="C98"/>
          <cell r="I98"/>
        </row>
        <row r="99">
          <cell r="B99" t="str">
            <v>1a017543f522207ce0a1eec495bd04c5</v>
          </cell>
          <cell r="C99"/>
          <cell r="I99"/>
        </row>
        <row r="100">
          <cell r="B100" t="str">
            <v>18991f6c7d819c410006e5f53be5a50e</v>
          </cell>
          <cell r="C100"/>
          <cell r="I100"/>
        </row>
        <row r="101">
          <cell r="B101" t="str">
            <v>187eb8cc64b29a1bef44d9a42e76ae2c</v>
          </cell>
          <cell r="C101"/>
          <cell r="I101"/>
        </row>
        <row r="102">
          <cell r="B102" t="str">
            <v>176bb18879794c26920d3f8de43e9847</v>
          </cell>
          <cell r="C102"/>
          <cell r="I102"/>
        </row>
        <row r="103">
          <cell r="B103" t="str">
            <v>1053184ec4086dd4e7bb05e7467b550e</v>
          </cell>
          <cell r="C103"/>
          <cell r="I103"/>
        </row>
        <row r="104">
          <cell r="B104" t="str">
            <v>08ab0f988dbb47735e6f7e445188412f</v>
          </cell>
          <cell r="C104"/>
          <cell r="I104"/>
        </row>
        <row r="105">
          <cell r="B105" t="str">
            <v>01bcde8b95390389d3f0c31d834d22e7</v>
          </cell>
          <cell r="C105"/>
          <cell r="I105"/>
        </row>
        <row r="106">
          <cell r="B106" t="str">
            <v>ffc59024ccaae5266a82b8a30fd5b102</v>
          </cell>
          <cell r="C106"/>
          <cell r="I106"/>
        </row>
        <row r="107">
          <cell r="B107" t="str">
            <v>fc0c8e373f30d35d3b6bdcbfcf760a73</v>
          </cell>
          <cell r="C107"/>
          <cell r="I107"/>
        </row>
        <row r="108">
          <cell r="B108" t="str">
            <v>faa3e5e72e09dd70cc96188f87d5f615</v>
          </cell>
          <cell r="C108"/>
          <cell r="I108"/>
        </row>
        <row r="109">
          <cell r="B109" t="str">
            <v>fa3c83173bc6f68a65bab620df9cb9f5</v>
          </cell>
          <cell r="C109"/>
          <cell r="I109"/>
        </row>
        <row r="110">
          <cell r="B110" t="str">
            <v>f91242537d39f572a67242d7cc692a1b</v>
          </cell>
          <cell r="C110"/>
          <cell r="I110"/>
        </row>
        <row r="111">
          <cell r="B111" t="str">
            <v>f7423f96d818920147dad8f6276fcc0c</v>
          </cell>
          <cell r="C111"/>
          <cell r="I111"/>
        </row>
        <row r="112">
          <cell r="B112" t="str">
            <v>f3f1d0cf6ca6043cf4bc134986bf397d</v>
          </cell>
          <cell r="C112"/>
          <cell r="I112"/>
        </row>
        <row r="113">
          <cell r="B113" t="str">
            <v>f31dd8e05001f2ce68c1fd310b6142b3</v>
          </cell>
          <cell r="C113"/>
          <cell r="I113"/>
        </row>
        <row r="114">
          <cell r="B114" t="str">
            <v>f1e89ebcd50f77ff32225f1ace192abf</v>
          </cell>
          <cell r="C114"/>
          <cell r="I114"/>
        </row>
        <row r="115">
          <cell r="B115" t="str">
            <v>ef20cb963950c4b9e676fb717b604623</v>
          </cell>
          <cell r="C115"/>
          <cell r="I115"/>
        </row>
        <row r="116">
          <cell r="B116" t="str">
            <v>eddab044a40a5747c87d7e2f780f0dcd</v>
          </cell>
          <cell r="C116"/>
          <cell r="I116"/>
        </row>
        <row r="117">
          <cell r="B117" t="str">
            <v>ecacabe7d20c6fc1f412ee0ff2677e77</v>
          </cell>
          <cell r="C117"/>
          <cell r="I117"/>
        </row>
        <row r="118">
          <cell r="B118" t="str">
            <v>eb9d013c1e3b1b375b25a3c799beacce</v>
          </cell>
          <cell r="C118"/>
          <cell r="I118"/>
        </row>
        <row r="119">
          <cell r="B119" t="str">
            <v>ea56678f6f3525b03707a879f2326cd4</v>
          </cell>
          <cell r="C119"/>
          <cell r="I119"/>
        </row>
        <row r="120">
          <cell r="B120" t="str">
            <v>e944ff60a78cecc0c340291dff66ecf7</v>
          </cell>
          <cell r="C120"/>
          <cell r="I120"/>
        </row>
        <row r="121">
          <cell r="B121" t="str">
            <v>e93fd042a7cc36e45a08b8f465d7721b</v>
          </cell>
          <cell r="C121"/>
          <cell r="I121"/>
        </row>
        <row r="122">
          <cell r="B122" t="str">
            <v>e82d36de8f598cf8a082a273b027ae97</v>
          </cell>
          <cell r="C122"/>
          <cell r="I122"/>
        </row>
        <row r="123">
          <cell r="B123" t="str">
            <v>e627d1b31c075f675815137a96684c12</v>
          </cell>
          <cell r="C123"/>
          <cell r="I123"/>
        </row>
        <row r="124">
          <cell r="B124" t="str">
            <v>e5dc442fd7c364a5ccf8de0187de3d58</v>
          </cell>
          <cell r="C124"/>
          <cell r="I124"/>
        </row>
        <row r="125">
          <cell r="B125" t="str">
            <v>e41ca6b5019c18ec4e5d54b2f567c8cb</v>
          </cell>
          <cell r="C125"/>
          <cell r="I125"/>
        </row>
        <row r="126">
          <cell r="B126" t="str">
            <v>e140c81bb6bbc43021b9e7b1e502094b</v>
          </cell>
          <cell r="C126"/>
          <cell r="I126"/>
        </row>
        <row r="127">
          <cell r="B127" t="str">
            <v>dfc9fe1c6e67077d7325bdb159de4084</v>
          </cell>
          <cell r="C127"/>
          <cell r="I127"/>
        </row>
        <row r="128">
          <cell r="B128" t="str">
            <v>deb2047f71a9c2ed096a34766d2a1781</v>
          </cell>
          <cell r="C128"/>
          <cell r="I128"/>
        </row>
        <row r="129">
          <cell r="B129" t="str">
            <v>dcfec56afa61eed90a3a4bd08f70c3ed</v>
          </cell>
          <cell r="C129"/>
          <cell r="I129"/>
        </row>
        <row r="130">
          <cell r="B130" t="str">
            <v>dc14e3f64778761cec28e3649b7d219e</v>
          </cell>
          <cell r="C130"/>
          <cell r="I130"/>
        </row>
        <row r="131">
          <cell r="B131" t="str">
            <v>d9cd75327a46d483fee8b0db2188827f</v>
          </cell>
          <cell r="C131"/>
          <cell r="I131"/>
        </row>
        <row r="132">
          <cell r="B132" t="str">
            <v>d4b18552784ef4423f59186aae9288de</v>
          </cell>
          <cell r="C132"/>
          <cell r="I132"/>
        </row>
        <row r="133">
          <cell r="B133" t="str">
            <v>d3ea9e821661a31f5be553bceb31a5d2</v>
          </cell>
          <cell r="C133"/>
          <cell r="I133"/>
        </row>
        <row r="134">
          <cell r="B134" t="str">
            <v>d2e0cf23a7cb2ac530458dd5673802d2</v>
          </cell>
          <cell r="C134"/>
          <cell r="I134"/>
        </row>
        <row r="135">
          <cell r="B135" t="str">
            <v>d15488939748f36e0855dd163329e19d</v>
          </cell>
          <cell r="C135"/>
          <cell r="I135"/>
        </row>
        <row r="136">
          <cell r="B136" t="str">
            <v>cf553944a4c50f667cb0fee73ddde70f</v>
          </cell>
          <cell r="C136"/>
          <cell r="I136"/>
        </row>
        <row r="137">
          <cell r="B137" t="str">
            <v>cea8ae0005a1febf06046d962343189e</v>
          </cell>
          <cell r="C137"/>
          <cell r="I137"/>
        </row>
        <row r="138">
          <cell r="B138" t="str">
            <v>ce09726ae52cc90ee5a9893362506811</v>
          </cell>
          <cell r="C138"/>
          <cell r="I138"/>
        </row>
        <row r="139">
          <cell r="B139" t="str">
            <v>c7f3f4103d66e5bd52b69cf4a5a51962</v>
          </cell>
          <cell r="C139"/>
          <cell r="I139"/>
        </row>
        <row r="140">
          <cell r="B140" t="str">
            <v>c7ed506ccd7dfdd350c4a2ded748e865</v>
          </cell>
          <cell r="C140"/>
          <cell r="I140"/>
        </row>
        <row r="141">
          <cell r="B141" t="str">
            <v>c72eafe28643e1cdeeec12a34950a12b</v>
          </cell>
          <cell r="C141"/>
          <cell r="I141"/>
        </row>
        <row r="142">
          <cell r="B142" t="str">
            <v>c6a94bf854df2526880c522ddf56b66c</v>
          </cell>
          <cell r="C142"/>
          <cell r="I142"/>
        </row>
        <row r="143">
          <cell r="B143" t="str">
            <v>c53aba76e64e8ead6c92d05a803cae95</v>
          </cell>
          <cell r="C143"/>
          <cell r="I143"/>
        </row>
        <row r="144">
          <cell r="B144" t="str">
            <v>bfd3a4bb08921b69019ad81bfb421e3c</v>
          </cell>
          <cell r="C144"/>
          <cell r="I144"/>
        </row>
        <row r="145">
          <cell r="B145" t="str">
            <v>bcaf5a20f99fe332b8b47f14c92afb77</v>
          </cell>
          <cell r="C145"/>
          <cell r="I145"/>
        </row>
        <row r="146">
          <cell r="B146" t="str">
            <v>bbea0ae11b83ec78ce1f1613c9ce56c6</v>
          </cell>
          <cell r="C146"/>
          <cell r="I146"/>
        </row>
        <row r="147">
          <cell r="B147" t="str">
            <v>bba5eb5dbf96c47662c4412145881404</v>
          </cell>
          <cell r="C147"/>
          <cell r="I147"/>
        </row>
        <row r="148">
          <cell r="B148" t="str">
            <v>b7eb28e51fc0e15331385a29486270e2</v>
          </cell>
          <cell r="C148"/>
          <cell r="I148"/>
        </row>
        <row r="149">
          <cell r="B149" t="str">
            <v>b676c4db9e539ee5cc141795752846db</v>
          </cell>
          <cell r="C149"/>
          <cell r="I149"/>
        </row>
        <row r="150">
          <cell r="B150" t="str">
            <v>b4cc931c4161bfb174101ed9b64195b7</v>
          </cell>
          <cell r="C150"/>
          <cell r="I150"/>
        </row>
        <row r="151">
          <cell r="B151" t="str">
            <v>b487e5723c51805e2986998758c66a8f</v>
          </cell>
          <cell r="C151"/>
          <cell r="I151"/>
        </row>
        <row r="152">
          <cell r="B152" t="str">
            <v>b40c775287c38c10a33b11220c129d53</v>
          </cell>
          <cell r="C152"/>
          <cell r="I152"/>
        </row>
        <row r="153">
          <cell r="B153" t="str">
            <v>b3e8243adb3d05b7d21780299473a3f3</v>
          </cell>
          <cell r="C153"/>
          <cell r="I153"/>
        </row>
        <row r="154">
          <cell r="B154" t="str">
            <v>b344ea4d8fd3b6be7b06f33db173b451</v>
          </cell>
          <cell r="C154"/>
          <cell r="I154"/>
        </row>
        <row r="155">
          <cell r="B155" t="str">
            <v>b2bdd5ae34cadcbdcc72bbef8bcb1c51</v>
          </cell>
          <cell r="C155"/>
          <cell r="I155"/>
        </row>
        <row r="156">
          <cell r="B156" t="str">
            <v>b1f5767752eacdebf0b66a8e762cfd18</v>
          </cell>
          <cell r="C156"/>
          <cell r="I156"/>
        </row>
        <row r="157">
          <cell r="B157" t="str">
            <v>ae423409a02f14d407bee59a286e1401</v>
          </cell>
          <cell r="C157"/>
          <cell r="I157"/>
        </row>
        <row r="158">
          <cell r="B158" t="str">
            <v>acfb601130820f7174443c95e2299f0d</v>
          </cell>
          <cell r="C158"/>
          <cell r="I158"/>
        </row>
        <row r="159">
          <cell r="B159" t="str">
            <v>aa3cab948c936e181820c4a050bd17fc</v>
          </cell>
          <cell r="C159"/>
          <cell r="I159"/>
        </row>
        <row r="160">
          <cell r="B160" t="str">
            <v>aa18ba872097cc7543acc3724963ff04</v>
          </cell>
          <cell r="C160"/>
          <cell r="I160"/>
        </row>
        <row r="161">
          <cell r="B161" t="str">
            <v>a7fabb47b6613e500ba138ea9cffe6a7</v>
          </cell>
          <cell r="C161"/>
          <cell r="I161"/>
        </row>
        <row r="162">
          <cell r="B162" t="str">
            <v>a79269880b0e23ca9bca89dd2eb2b3c9</v>
          </cell>
          <cell r="C162"/>
          <cell r="I162"/>
        </row>
        <row r="163">
          <cell r="B163" t="str">
            <v>a634bf98b12e7a31387b1e9d730c9e09</v>
          </cell>
          <cell r="C163"/>
          <cell r="I163"/>
        </row>
        <row r="164">
          <cell r="B164" t="str">
            <v>a589970003940561c5a9c90f63463f94</v>
          </cell>
          <cell r="C164"/>
          <cell r="I164"/>
        </row>
        <row r="165">
          <cell r="B165" t="str">
            <v>a30aa4564d499a1ff7b8181dccf1353f</v>
          </cell>
          <cell r="C165"/>
          <cell r="I165"/>
        </row>
        <row r="166">
          <cell r="B166" t="str">
            <v>a2a61a805b38657107d62b8ad54a20b2</v>
          </cell>
          <cell r="C166"/>
          <cell r="I166"/>
        </row>
        <row r="167">
          <cell r="B167" t="str">
            <v>9c46394c7a61bde5676990e846594327</v>
          </cell>
          <cell r="C167"/>
          <cell r="I167"/>
        </row>
        <row r="168">
          <cell r="B168" t="str">
            <v>95c9e35f50e28bc70f58d07373e33a64</v>
          </cell>
          <cell r="C168"/>
          <cell r="I168"/>
        </row>
        <row r="169">
          <cell r="B169" t="str">
            <v>959368239d907ef4b80f0db1d145cf6d</v>
          </cell>
          <cell r="C169"/>
          <cell r="I169"/>
        </row>
        <row r="170">
          <cell r="B170" t="str">
            <v>935620ca2069901f652c558ff3a959e6</v>
          </cell>
          <cell r="C170"/>
          <cell r="I170"/>
        </row>
        <row r="171">
          <cell r="B171" t="str">
            <v>90c9506ced84a399ab691e84dcd19e65</v>
          </cell>
          <cell r="C171"/>
          <cell r="I171"/>
        </row>
        <row r="172">
          <cell r="B172" t="str">
            <v>8b8d242537c12e9ce3f8c864e19df1ec</v>
          </cell>
          <cell r="C172"/>
          <cell r="I172"/>
        </row>
        <row r="173">
          <cell r="B173" t="str">
            <v>8b2aa8345d23e6106711f8735aef4735</v>
          </cell>
          <cell r="C173"/>
          <cell r="I173"/>
        </row>
        <row r="174">
          <cell r="B174" t="str">
            <v>8a1643fb823151760d2879654b7e680e</v>
          </cell>
          <cell r="C174"/>
          <cell r="I174"/>
        </row>
        <row r="175">
          <cell r="B175" t="str">
            <v>88df14b1859b55bb735c7c921a6d1b94</v>
          </cell>
          <cell r="C175"/>
          <cell r="I175"/>
        </row>
        <row r="176">
          <cell r="B176" t="str">
            <v>88118827f540071582eb817141480c6c</v>
          </cell>
          <cell r="C176"/>
          <cell r="I176"/>
        </row>
        <row r="177">
          <cell r="B177" t="str">
            <v>86da71daa0aa5957b884c88d6edc4d31</v>
          </cell>
          <cell r="C177"/>
          <cell r="I177"/>
        </row>
        <row r="178">
          <cell r="B178" t="str">
            <v>868feff95ffaa34fbcc67992120b5139</v>
          </cell>
          <cell r="C178"/>
          <cell r="I178"/>
        </row>
        <row r="179">
          <cell r="B179" t="str">
            <v>85f974b85762c1a978de9165a6d1407d</v>
          </cell>
          <cell r="C179"/>
          <cell r="I179"/>
        </row>
        <row r="180">
          <cell r="B180" t="str">
            <v>84287652b4761030df934ead388c3ae9</v>
          </cell>
          <cell r="C180"/>
          <cell r="I180"/>
        </row>
        <row r="181">
          <cell r="B181" t="str">
            <v>831aff7bbbe182ccf6a65ad15cd4976f</v>
          </cell>
          <cell r="C181"/>
          <cell r="I181"/>
        </row>
        <row r="182">
          <cell r="B182" t="str">
            <v>8310589f8150761abf61b9d515e0e00b</v>
          </cell>
          <cell r="C182"/>
          <cell r="I182"/>
        </row>
        <row r="183">
          <cell r="B183" t="str">
            <v>82662fe95a4d76816d1052b7bc4cf8be</v>
          </cell>
          <cell r="C183"/>
          <cell r="I183"/>
        </row>
        <row r="184">
          <cell r="B184" t="str">
            <v>8097fdd201f8351328333f723f9a09c0</v>
          </cell>
          <cell r="C184"/>
          <cell r="I184"/>
        </row>
        <row r="185">
          <cell r="B185" t="str">
            <v>805a3026a360bcd040dc18665190b583</v>
          </cell>
          <cell r="C185"/>
          <cell r="I185"/>
        </row>
        <row r="186">
          <cell r="B186" t="str">
            <v>7f3423bcf774e948887e32cf85cf0e44</v>
          </cell>
          <cell r="C186"/>
          <cell r="I186"/>
        </row>
        <row r="187">
          <cell r="B187" t="str">
            <v>7cd46114a9c785f149bb4c617777497e</v>
          </cell>
          <cell r="C187"/>
          <cell r="I187"/>
        </row>
        <row r="188">
          <cell r="B188" t="str">
            <v>7aaa1620138593bf8a9618cef595c14c</v>
          </cell>
          <cell r="C188"/>
          <cell r="I188"/>
        </row>
        <row r="189">
          <cell r="B189" t="str">
            <v>7a05b46695fefefbcecb350ccf24e01b</v>
          </cell>
          <cell r="C189"/>
          <cell r="I189"/>
        </row>
        <row r="190">
          <cell r="B190" t="str">
            <v>75a086a1d1d3f23b4c6526ef1551c26b</v>
          </cell>
          <cell r="C190"/>
          <cell r="I190"/>
        </row>
        <row r="191">
          <cell r="B191" t="str">
            <v>7502b382836dca80406200e83a16d459</v>
          </cell>
          <cell r="C191"/>
          <cell r="I191"/>
        </row>
        <row r="192">
          <cell r="B192" t="str">
            <v>73dd31bf5af4e1588a34a9dfd42ca9ed</v>
          </cell>
          <cell r="C192"/>
          <cell r="I192"/>
        </row>
        <row r="193">
          <cell r="B193" t="str">
            <v>717ea17754a2c5458a19c1790ebcb4ec</v>
          </cell>
          <cell r="C193"/>
          <cell r="I193"/>
        </row>
        <row r="194">
          <cell r="B194" t="str">
            <v>6d13c38d21a48b063888e063a7066112</v>
          </cell>
          <cell r="C194"/>
          <cell r="I194"/>
        </row>
        <row r="195">
          <cell r="B195" t="str">
            <v>6bb023f18c99cb7bd5a48a0523ea12ad</v>
          </cell>
          <cell r="C195"/>
          <cell r="I195"/>
        </row>
        <row r="196">
          <cell r="B196" t="str">
            <v>6acc6c85230f9420a7ebfd53c773e3c7</v>
          </cell>
          <cell r="C196"/>
          <cell r="I196"/>
        </row>
        <row r="197">
          <cell r="B197" t="str">
            <v>6a6fbc5c67e7e60901bedfcfcd54f2cd</v>
          </cell>
          <cell r="C197"/>
          <cell r="I197"/>
        </row>
        <row r="198">
          <cell r="B198" t="str">
            <v>69889f8e1a8789126b1810b876cc55ce</v>
          </cell>
          <cell r="C198"/>
          <cell r="I198"/>
        </row>
        <row r="199">
          <cell r="B199" t="str">
            <v>68dff3d6f42edaf87dd88c49517fdb2e</v>
          </cell>
          <cell r="C199"/>
          <cell r="I199"/>
        </row>
        <row r="200">
          <cell r="B200" t="str">
            <v>68d66897258191d6aa4d6edfa7bb2409</v>
          </cell>
          <cell r="C200"/>
          <cell r="I200"/>
        </row>
        <row r="201">
          <cell r="B201" t="str">
            <v>68aba88ef9b7594f88d9f13342a952c1</v>
          </cell>
          <cell r="C201"/>
          <cell r="I201"/>
        </row>
        <row r="202">
          <cell r="B202" t="str">
            <v>678abeaf5fa4c2cdfea9200b199d2cce</v>
          </cell>
          <cell r="C202"/>
          <cell r="I202"/>
        </row>
        <row r="203">
          <cell r="B203" t="str">
            <v>6709b4d16cff816597587772fbbfb226</v>
          </cell>
          <cell r="C203"/>
          <cell r="I203"/>
        </row>
        <row r="204">
          <cell r="B204" t="str">
            <v>648ace7db377b0a95e9d1e9c748686e9</v>
          </cell>
          <cell r="C204"/>
          <cell r="I204"/>
        </row>
        <row r="205">
          <cell r="B205" t="str">
            <v>629d3d5a453a567c5b0487827fe453f7</v>
          </cell>
          <cell r="C205"/>
          <cell r="I205"/>
        </row>
        <row r="206">
          <cell r="B206" t="str">
            <v>615fc642ccb0fabcabd8aa849b03d14c</v>
          </cell>
          <cell r="C206"/>
          <cell r="I206"/>
        </row>
        <row r="207">
          <cell r="B207" t="str">
            <v>5de490f265f7ab8d5acceba37986b865</v>
          </cell>
          <cell r="C207"/>
          <cell r="I207"/>
        </row>
        <row r="208">
          <cell r="B208" t="str">
            <v>5d5c1deacb1c3cfc7ee5e7e74e1bba4e</v>
          </cell>
          <cell r="C208"/>
          <cell r="I208"/>
        </row>
        <row r="209">
          <cell r="B209" t="str">
            <v>5c7616bd9a853b6e1481bfef2239472f</v>
          </cell>
          <cell r="C209"/>
          <cell r="I209"/>
        </row>
        <row r="210">
          <cell r="B210" t="str">
            <v>5c389ed5395f95631b37126083a31ed7</v>
          </cell>
          <cell r="C210"/>
          <cell r="I210"/>
        </row>
        <row r="211">
          <cell r="B211" t="str">
            <v>5bc8748780de4438ab33980eaf9b0e48</v>
          </cell>
          <cell r="C211"/>
          <cell r="I211"/>
        </row>
        <row r="212">
          <cell r="B212" t="str">
            <v>55ba30867adbba185f089130cb6c8f14</v>
          </cell>
          <cell r="C212"/>
          <cell r="I212"/>
        </row>
        <row r="213">
          <cell r="B213" t="str">
            <v>53b07d930802b009a461b2c23069f28d</v>
          </cell>
          <cell r="C213"/>
          <cell r="I213"/>
        </row>
        <row r="214">
          <cell r="B214" t="str">
            <v>510712761cb4dd79a8d61ce4e609fd27</v>
          </cell>
          <cell r="C214"/>
          <cell r="I214"/>
        </row>
        <row r="215">
          <cell r="B215" t="str">
            <v>4f3400ae3daad83535ee4d4639a5f12c</v>
          </cell>
          <cell r="C215"/>
          <cell r="I215"/>
        </row>
        <row r="216">
          <cell r="B216" t="str">
            <v>4ea3ff066082e548567658f95efab2e2</v>
          </cell>
          <cell r="C216"/>
          <cell r="I216"/>
        </row>
        <row r="217">
          <cell r="B217" t="str">
            <v>4e61b12c00395f2075b4244fd4bad24b</v>
          </cell>
          <cell r="C217"/>
          <cell r="I217"/>
        </row>
        <row r="218">
          <cell r="B218" t="str">
            <v>4d8057142f449764dc39f1263c671d25</v>
          </cell>
          <cell r="C218"/>
          <cell r="I218"/>
        </row>
        <row r="219">
          <cell r="B219" t="str">
            <v>4c469047c114a4e24cce412800d10050</v>
          </cell>
          <cell r="C219"/>
          <cell r="I219"/>
        </row>
        <row r="220">
          <cell r="B220" t="str">
            <v>46f10c765e369c24cc456ac0287e8e42</v>
          </cell>
          <cell r="C220"/>
          <cell r="I220"/>
        </row>
        <row r="221">
          <cell r="B221" t="str">
            <v>452c0244cf0faeaee7c13e12b8d0656d</v>
          </cell>
          <cell r="C221"/>
          <cell r="I221"/>
        </row>
        <row r="222">
          <cell r="B222" t="str">
            <v>44a820df9eb896c7cf32de090b6afd5d</v>
          </cell>
          <cell r="C222"/>
          <cell r="I222"/>
        </row>
        <row r="223">
          <cell r="B223" t="str">
            <v>40f550db09ef35badbd46d33876e128c</v>
          </cell>
          <cell r="C223"/>
          <cell r="I223"/>
        </row>
        <row r="224">
          <cell r="B224" t="str">
            <v>404ba135fa73c084408af1d6441d4715</v>
          </cell>
          <cell r="C224"/>
          <cell r="I224"/>
        </row>
        <row r="225">
          <cell r="B225" t="str">
            <v>3f858654cd228b5d0a8191f30ed3e40b</v>
          </cell>
          <cell r="C225"/>
          <cell r="I225"/>
        </row>
        <row r="226">
          <cell r="B226" t="str">
            <v>3e06cf7e3ec9035b53952ec32f2bcd33</v>
          </cell>
          <cell r="C226"/>
          <cell r="I226"/>
        </row>
        <row r="227">
          <cell r="B227" t="str">
            <v>3d7772696fe0dce91cddd73e58b68719</v>
          </cell>
          <cell r="C227"/>
          <cell r="I227"/>
        </row>
        <row r="228">
          <cell r="B228" t="str">
            <v>3cc1b93a3a3a65fb19c8c7a7a48ebd72</v>
          </cell>
          <cell r="C228"/>
          <cell r="I228"/>
        </row>
        <row r="229">
          <cell r="B229" t="str">
            <v>3a820574964b3a83f4cde72555b6461c</v>
          </cell>
          <cell r="C229"/>
          <cell r="I229"/>
        </row>
        <row r="230">
          <cell r="B230" t="str">
            <v>3a6a1149c0416283935ca69db3b57a05</v>
          </cell>
          <cell r="C230"/>
          <cell r="I230"/>
        </row>
        <row r="231">
          <cell r="B231" t="str">
            <v>3a56ac77db59ee13d32c127a1d018a72</v>
          </cell>
          <cell r="C231"/>
          <cell r="I231"/>
        </row>
        <row r="232">
          <cell r="B232" t="str">
            <v>39f15c64f25780896f0b494f700aaf90</v>
          </cell>
          <cell r="C232"/>
          <cell r="I232"/>
        </row>
        <row r="233">
          <cell r="B233" t="str">
            <v>3630c551e5527f07d98e3d7bad40a781</v>
          </cell>
          <cell r="C233"/>
          <cell r="I233"/>
        </row>
        <row r="234">
          <cell r="B234" t="str">
            <v>350672cc6a0c430e0c68007a6e9fcf92</v>
          </cell>
          <cell r="C234"/>
          <cell r="I234"/>
        </row>
        <row r="235">
          <cell r="B235" t="str">
            <v>316e075c84821e29d0397e76a65ac71e</v>
          </cell>
          <cell r="C235"/>
          <cell r="I235"/>
        </row>
        <row r="236">
          <cell r="B236" t="str">
            <v>315bd09e027fbf77969b6190bedd6bd4</v>
          </cell>
          <cell r="C236"/>
          <cell r="I236"/>
        </row>
        <row r="237">
          <cell r="B237" t="str">
            <v>312cb7a619e74048cada643da2810990</v>
          </cell>
          <cell r="C237"/>
          <cell r="I237"/>
        </row>
        <row r="238">
          <cell r="B238" t="str">
            <v>30f4ddb68510450d267552ace858381c</v>
          </cell>
          <cell r="C238"/>
          <cell r="I238"/>
        </row>
        <row r="239">
          <cell r="B239" t="str">
            <v>300ebb317aee1942684db3687883f9ae</v>
          </cell>
          <cell r="C239"/>
          <cell r="I239"/>
        </row>
        <row r="240">
          <cell r="B240" t="str">
            <v>2fae37b3458114e87f0834d655ca35b6</v>
          </cell>
          <cell r="C240"/>
          <cell r="I240"/>
        </row>
        <row r="241">
          <cell r="B241" t="str">
            <v>2f236f89c6ab8ebfed22f8f786644890</v>
          </cell>
          <cell r="C241"/>
          <cell r="I241"/>
        </row>
        <row r="242">
          <cell r="B242" t="str">
            <v>2eee943615d3b6fd4dee0f0bb299ac9e</v>
          </cell>
          <cell r="C242"/>
          <cell r="I242"/>
        </row>
        <row r="243">
          <cell r="B243" t="str">
            <v>2e345f7e50ca87d48f013c2a3a42159f</v>
          </cell>
          <cell r="C243"/>
          <cell r="I243"/>
        </row>
        <row r="244">
          <cell r="B244" t="str">
            <v>2a998baa5eaa6a339d4ec3509b6ca0eb</v>
          </cell>
          <cell r="C244"/>
          <cell r="I244"/>
        </row>
        <row r="245">
          <cell r="B245" t="str">
            <v>2a81bdc51976c5bb916b2335c7627d74</v>
          </cell>
          <cell r="C245"/>
          <cell r="I245"/>
        </row>
        <row r="246">
          <cell r="B246" t="str">
            <v>28f2347e808164c0e240baf89fa7bc43</v>
          </cell>
          <cell r="C246"/>
          <cell r="I246"/>
        </row>
        <row r="247">
          <cell r="B247" t="str">
            <v>28558a515abb3c1009a399a19f71974a</v>
          </cell>
          <cell r="C247"/>
          <cell r="I247"/>
        </row>
        <row r="248">
          <cell r="B248" t="str">
            <v>2728f2eb220f95320616da1ebbfb4a27</v>
          </cell>
          <cell r="C248"/>
          <cell r="I248"/>
        </row>
        <row r="249">
          <cell r="B249" t="str">
            <v>26cd5c4c87195538af74c3759fc491be</v>
          </cell>
          <cell r="C249"/>
          <cell r="I249"/>
        </row>
        <row r="250">
          <cell r="B250" t="str">
            <v>26a804c49e2fce64ca7ff349b5794683</v>
          </cell>
          <cell r="C250"/>
          <cell r="I250"/>
        </row>
        <row r="251">
          <cell r="B251" t="str">
            <v>2579041d1f29f5eff72ab9e9ab41ae83</v>
          </cell>
          <cell r="C251"/>
          <cell r="I251"/>
        </row>
        <row r="252">
          <cell r="B252" t="str">
            <v>2556ed62392f9fd9f1828e4af48a4e44</v>
          </cell>
          <cell r="C252"/>
        </row>
        <row r="253">
          <cell r="B253" t="str">
            <v>217e423e53ee97da4a3bbbe0b41049cf</v>
          </cell>
          <cell r="C253"/>
        </row>
        <row r="254">
          <cell r="B254" t="str">
            <v>2171057766f39dcd56621550bf985482</v>
          </cell>
          <cell r="C254"/>
        </row>
        <row r="255">
          <cell r="B255" t="str">
            <v>1d9e9bdc45b34e5f8bbfca191d666780</v>
          </cell>
          <cell r="C255"/>
        </row>
        <row r="256">
          <cell r="B256" t="str">
            <v>17c6541561192f2cf6a453b372a1ca53</v>
          </cell>
          <cell r="C256"/>
        </row>
        <row r="257">
          <cell r="B257" t="str">
            <v>1766689c92849d95d8c72deba752b3d6</v>
          </cell>
          <cell r="C257"/>
        </row>
        <row r="258">
          <cell r="B258" t="str">
            <v>1287cd111b5aa57c4397d3ea4f68ad49</v>
          </cell>
          <cell r="C258"/>
        </row>
        <row r="259">
          <cell r="B259" t="str">
            <v>1257bd1d5658ba40fa1eaa6446a56bed</v>
          </cell>
          <cell r="C259"/>
        </row>
        <row r="260">
          <cell r="B260" t="str">
            <v>117d0e61216b91acc36811258e431578</v>
          </cell>
          <cell r="C260"/>
        </row>
        <row r="261">
          <cell r="B261" t="str">
            <v>0d3a0c97b460425857ef40c54bde6bfc</v>
          </cell>
          <cell r="C261"/>
        </row>
        <row r="262">
          <cell r="B262" t="str">
            <v>0c84d5cbe4b153be56a0740dad809e37</v>
          </cell>
          <cell r="C262"/>
        </row>
        <row r="263">
          <cell r="B263" t="str">
            <v>0c723d6da98191c85c2b7c2297ec4530</v>
          </cell>
          <cell r="C263"/>
        </row>
        <row r="264">
          <cell r="B264" t="str">
            <v>090b0907825c794449eaab7460e20860</v>
          </cell>
          <cell r="C264"/>
        </row>
        <row r="265">
          <cell r="B265" t="str">
            <v>08923118acbbe4c8adacb844d85f01b2</v>
          </cell>
          <cell r="C265"/>
        </row>
        <row r="266">
          <cell r="B266" t="str">
            <v>0831244357eeb7244e156b8ae337d4be</v>
          </cell>
          <cell r="C266"/>
        </row>
        <row r="267">
          <cell r="B267" t="str">
            <v>081cc3059cd7cb52d7eb1f7778e92221</v>
          </cell>
          <cell r="C267"/>
        </row>
        <row r="268">
          <cell r="B268" t="str">
            <v>07cd7f0073c9637caccf384c39a3ae2f</v>
          </cell>
          <cell r="C268"/>
        </row>
        <row r="269">
          <cell r="B269" t="str">
            <v>04d9805d38387537cf285be3d9210a63</v>
          </cell>
          <cell r="C269"/>
        </row>
        <row r="270">
          <cell r="B270" t="str">
            <v>04522b207735f25f436dd96ae275ab90</v>
          </cell>
          <cell r="C270"/>
        </row>
        <row r="271">
          <cell r="B271" t="str">
            <v>0432f64fce832badb44feb410b58c8ce</v>
          </cell>
          <cell r="C271"/>
        </row>
        <row r="272">
          <cell r="B272" t="str">
            <v>0407a77ae2c004184aa9c79089affb56</v>
          </cell>
          <cell r="C272"/>
        </row>
        <row r="273">
          <cell r="B273" t="str">
            <v>00bd4a903092e20b03063f29626ede82</v>
          </cell>
          <cell r="C273"/>
        </row>
      </sheetData>
      <sheetData sheetId="4">
        <row r="2">
          <cell r="B2" t="str">
            <v>Auto/Transport</v>
          </cell>
        </row>
      </sheetData>
      <sheetData sheetId="5"/>
      <sheetData sheetId="6">
        <row r="2">
          <cell r="C2">
            <v>44562</v>
          </cell>
          <cell r="D2" t="str">
            <v>Auto/Transport</v>
          </cell>
          <cell r="E2" t="str">
            <v>Misc</v>
          </cell>
          <cell r="G2" t="str">
            <v>Bills/Utilities</v>
          </cell>
        </row>
      </sheetData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ls Fargo"/>
      <sheetName val="Discover"/>
      <sheetName val="Subscriptions"/>
      <sheetName val="Cash Flow"/>
      <sheetName val="Waterfall"/>
      <sheetName val="Debts"/>
      <sheetName val="Avidia Deposits"/>
      <sheetName val="Categories - WIP"/>
      <sheetName val="PERSONAL BUDGET - WIP"/>
      <sheetName val="Budget"/>
    </sheetNames>
    <sheetDataSet>
      <sheetData sheetId="0"/>
      <sheetData sheetId="1">
        <row r="5">
          <cell r="S5" t="str">
            <v>Category</v>
          </cell>
          <cell r="T5"/>
        </row>
        <row r="6">
          <cell r="S6" t="str">
            <v>Payments and Credits</v>
          </cell>
          <cell r="T6" t="str">
            <v>Payment</v>
          </cell>
        </row>
        <row r="7">
          <cell r="S7" t="str">
            <v>APP</v>
          </cell>
          <cell r="T7" t="str">
            <v>Fixed</v>
          </cell>
        </row>
        <row r="8">
          <cell r="S8" t="str">
            <v>Gasoline</v>
          </cell>
          <cell r="T8" t="str">
            <v>Variable</v>
          </cell>
        </row>
        <row r="9">
          <cell r="S9" t="str">
            <v>Merchandise</v>
          </cell>
          <cell r="T9" t="str">
            <v>Variable</v>
          </cell>
        </row>
        <row r="10">
          <cell r="S10" t="str">
            <v>Family</v>
          </cell>
          <cell r="T10" t="str">
            <v>Variable</v>
          </cell>
        </row>
        <row r="11">
          <cell r="S11" t="str">
            <v>Medical Services</v>
          </cell>
          <cell r="T11" t="str">
            <v>Variable</v>
          </cell>
        </row>
        <row r="12">
          <cell r="S12" t="str">
            <v>Supermarkets</v>
          </cell>
          <cell r="T12" t="str">
            <v>Variable</v>
          </cell>
        </row>
        <row r="13">
          <cell r="S13" t="str">
            <v>Restaurants</v>
          </cell>
          <cell r="T13" t="str">
            <v>Variable</v>
          </cell>
        </row>
        <row r="14">
          <cell r="S14" t="str">
            <v>Services</v>
          </cell>
          <cell r="T14" t="str">
            <v>Variable</v>
          </cell>
        </row>
        <row r="15">
          <cell r="S15" t="str">
            <v>Education</v>
          </cell>
          <cell r="T15" t="str">
            <v>Variable</v>
          </cell>
        </row>
        <row r="16">
          <cell r="S16" t="str">
            <v>Awards and Rebate Credits</v>
          </cell>
          <cell r="T16" t="str">
            <v>Payment</v>
          </cell>
        </row>
        <row r="17">
          <cell r="S17" t="str">
            <v>Government Services</v>
          </cell>
          <cell r="T17" t="str">
            <v>Variable</v>
          </cell>
        </row>
        <row r="18">
          <cell r="S18" t="str">
            <v>Automotive</v>
          </cell>
          <cell r="T18" t="str">
            <v>Fixed</v>
          </cell>
        </row>
        <row r="19">
          <cell r="S19" t="str">
            <v>Travel/ Entertainment</v>
          </cell>
          <cell r="T19" t="str">
            <v>Variable</v>
          </cell>
        </row>
        <row r="20">
          <cell r="S20" t="str">
            <v>Home Improvement</v>
          </cell>
          <cell r="T20" t="str">
            <v>Variable</v>
          </cell>
        </row>
        <row r="21">
          <cell r="S21" t="str">
            <v>Resteraunts</v>
          </cell>
          <cell r="T21" t="str">
            <v>Variable</v>
          </cell>
        </row>
        <row r="22">
          <cell r="S22" t="str">
            <v>Car Wash</v>
          </cell>
          <cell r="T22" t="str">
            <v>Variable</v>
          </cell>
        </row>
        <row r="23">
          <cell r="S23" t="str">
            <v>Department Stores</v>
          </cell>
        </row>
        <row r="24">
          <cell r="T24" t="str">
            <v>Monthly Spending -&gt;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">
          <cell r="C2"/>
        </row>
        <row r="4">
          <cell r="A4" t="str">
            <v>Labels are in cells C4 through P4.</v>
          </cell>
          <cell r="B4"/>
          <cell r="C4" t="str">
            <v>REVENUE</v>
          </cell>
          <cell r="D4" t="str">
            <v>JAN</v>
          </cell>
          <cell r="E4" t="str">
            <v>FEB</v>
          </cell>
          <cell r="F4" t="str">
            <v>MAR</v>
          </cell>
          <cell r="G4" t="str">
            <v>APR</v>
          </cell>
          <cell r="H4" t="str">
            <v>MAY</v>
          </cell>
          <cell r="I4" t="str">
            <v>JUN</v>
          </cell>
          <cell r="J4" t="str">
            <v>JUL</v>
          </cell>
          <cell r="K4" t="str">
            <v>AUG</v>
          </cell>
          <cell r="L4" t="str">
            <v>SEP</v>
          </cell>
          <cell r="M4" t="str">
            <v>OCT</v>
          </cell>
          <cell r="N4" t="str">
            <v>NOV</v>
          </cell>
          <cell r="O4" t="str">
            <v>DEC</v>
          </cell>
          <cell r="P4" t="str">
            <v>YEAR</v>
          </cell>
          <cell r="Q4"/>
        </row>
        <row r="5">
          <cell r="C5" t="str">
            <v>INCOME</v>
          </cell>
        </row>
        <row r="6">
          <cell r="C6" t="str">
            <v>Wages</v>
          </cell>
        </row>
        <row r="7">
          <cell r="C7" t="str">
            <v>Government</v>
          </cell>
        </row>
        <row r="8">
          <cell r="C8" t="str">
            <v>HSA Refunds</v>
          </cell>
        </row>
        <row r="9">
          <cell r="C9" t="str">
            <v>Principal Retirement</v>
          </cell>
        </row>
        <row r="10">
          <cell r="C10" t="str">
            <v>Total</v>
          </cell>
        </row>
        <row r="11">
          <cell r="C11" t="str">
            <v>Enter Home expenses in table starting in cell C12. Next instruction is in cell A20.</v>
          </cell>
        </row>
        <row r="12">
          <cell r="C12" t="str">
            <v>EXPENSES</v>
          </cell>
        </row>
        <row r="13">
          <cell r="C13" t="str">
            <v>HOME</v>
          </cell>
        </row>
        <row r="14">
          <cell r="C14" t="str">
            <v>Rent</v>
          </cell>
        </row>
        <row r="15">
          <cell r="C15" t="str">
            <v>Taxes</v>
          </cell>
        </row>
        <row r="16">
          <cell r="C16" t="str">
            <v>Home Maintenance</v>
          </cell>
        </row>
        <row r="17">
          <cell r="C17" t="str">
            <v>Personal Care</v>
          </cell>
        </row>
        <row r="18">
          <cell r="C18" t="str">
            <v>Office Supplies</v>
          </cell>
        </row>
        <row r="19">
          <cell r="C19" t="str">
            <v>Home Supplies</v>
          </cell>
        </row>
        <row r="20">
          <cell r="C20" t="str">
            <v>Study Material (Pre Nationwide)</v>
          </cell>
        </row>
        <row r="21">
          <cell r="C21" t="str">
            <v>Total</v>
          </cell>
        </row>
        <row r="22">
          <cell r="C22" t="str">
            <v>Enter Home expenses in table starting in cell C12. Next instruction is in cell A20.</v>
          </cell>
        </row>
        <row r="23">
          <cell r="C23" t="str">
            <v>Transportation</v>
          </cell>
        </row>
        <row r="24">
          <cell r="C24" t="str">
            <v>Registration</v>
          </cell>
        </row>
        <row r="25">
          <cell r="C25" t="str">
            <v>DMV Fees</v>
          </cell>
        </row>
        <row r="26">
          <cell r="C26" t="str">
            <v>Gas</v>
          </cell>
        </row>
        <row r="27">
          <cell r="C27" t="str">
            <v>Maintenance</v>
          </cell>
        </row>
        <row r="28">
          <cell r="C28" t="str">
            <v>Parking</v>
          </cell>
        </row>
        <row r="29">
          <cell r="C29" t="str">
            <v>Tolls</v>
          </cell>
        </row>
        <row r="30">
          <cell r="C30" t="str">
            <v>Public Transit</v>
          </cell>
        </row>
        <row r="31">
          <cell r="C31" t="str">
            <v>Rideshare</v>
          </cell>
        </row>
        <row r="32">
          <cell r="C32" t="str">
            <v>Total</v>
          </cell>
        </row>
        <row r="33">
          <cell r="C33" t="str">
            <v>Enter Home expenses in table starting in cell C12. Next instruction is in cell A20.</v>
          </cell>
        </row>
        <row r="34">
          <cell r="C34" t="str">
            <v>Food</v>
          </cell>
        </row>
        <row r="35">
          <cell r="C35" t="str">
            <v>Groceries</v>
          </cell>
        </row>
        <row r="36">
          <cell r="C36" t="str">
            <v>Work Lunches</v>
          </cell>
        </row>
        <row r="37">
          <cell r="C37" t="str">
            <v>Food Delivery</v>
          </cell>
        </row>
        <row r="38">
          <cell r="C38" t="str">
            <v>Total</v>
          </cell>
        </row>
        <row r="39">
          <cell r="C39" t="str">
            <v>Enter Home expenses in table starting in cell C12. Next instruction is in cell A20.</v>
          </cell>
        </row>
        <row r="40">
          <cell r="C40"/>
        </row>
        <row r="41">
          <cell r="C41" t="str">
            <v>Utilities</v>
          </cell>
        </row>
        <row r="42">
          <cell r="C42" t="str">
            <v>Water</v>
          </cell>
        </row>
        <row r="43">
          <cell r="C43" t="str">
            <v>Electricity</v>
          </cell>
        </row>
        <row r="44">
          <cell r="C44" t="str">
            <v>Internet</v>
          </cell>
        </row>
        <row r="45">
          <cell r="C45" t="str">
            <v>Phone</v>
          </cell>
        </row>
        <row r="46">
          <cell r="C46" t="str">
            <v>Storage</v>
          </cell>
        </row>
        <row r="47">
          <cell r="C47" t="str">
            <v>PO Boxes</v>
          </cell>
        </row>
        <row r="48">
          <cell r="C48" t="str">
            <v>Government Services</v>
          </cell>
        </row>
        <row r="49">
          <cell r="C49" t="str">
            <v>Total</v>
          </cell>
        </row>
        <row r="50">
          <cell r="C50" t="str">
            <v>Enter Home expenses in table starting in cell C12. Next instruction is in cell A20.</v>
          </cell>
        </row>
        <row r="51">
          <cell r="C51"/>
        </row>
        <row r="52">
          <cell r="C52" t="str">
            <v>Insurance</v>
          </cell>
        </row>
        <row r="53">
          <cell r="C53" t="str">
            <v>Auto Insurance</v>
          </cell>
        </row>
        <row r="54">
          <cell r="C54" t="str">
            <v>Total</v>
          </cell>
        </row>
        <row r="55">
          <cell r="C55" t="str">
            <v>Enter Home expenses in table starting in cell C12. Next instruction is in cell A20.</v>
          </cell>
        </row>
        <row r="56">
          <cell r="C56"/>
        </row>
        <row r="57">
          <cell r="C57" t="str">
            <v>Medical &amp; Healthcare</v>
          </cell>
        </row>
        <row r="58">
          <cell r="C58" t="str">
            <v>Out-of-Pocket Costs</v>
          </cell>
        </row>
        <row r="59">
          <cell r="C59" t="str">
            <v>Specialty Care</v>
          </cell>
        </row>
        <row r="60">
          <cell r="C60" t="str">
            <v>Dental Care</v>
          </cell>
        </row>
        <row r="61">
          <cell r="C61" t="str">
            <v>Urgent Care</v>
          </cell>
        </row>
        <row r="62">
          <cell r="C62" t="str">
            <v>Prescriptions</v>
          </cell>
        </row>
        <row r="63">
          <cell r="C63" t="str">
            <v>Medical Devices &amp; Supplies</v>
          </cell>
        </row>
        <row r="64">
          <cell r="C64" t="str">
            <v>Eye Care</v>
          </cell>
        </row>
        <row r="65">
          <cell r="C65" t="str">
            <v>Total</v>
          </cell>
        </row>
        <row r="66">
          <cell r="C66" t="str">
            <v>Enter Home expenses in table starting in cell C12. Next instruction is in cell A20.</v>
          </cell>
        </row>
        <row r="67">
          <cell r="C67"/>
        </row>
        <row r="68">
          <cell r="C68" t="str">
            <v>Savings, Investing &amp; Debt</v>
          </cell>
        </row>
        <row r="69">
          <cell r="C69" t="str">
            <v>Emergency Fund</v>
          </cell>
        </row>
        <row r="70">
          <cell r="C70" t="str">
            <v>Retirement Account</v>
          </cell>
        </row>
        <row r="71">
          <cell r="C71" t="str">
            <v>401 K</v>
          </cell>
        </row>
        <row r="72">
          <cell r="C72" t="str">
            <v>Securities</v>
          </cell>
        </row>
        <row r="73">
          <cell r="C73" t="str">
            <v>Savings Account</v>
          </cell>
        </row>
        <row r="74">
          <cell r="C74" t="str">
            <v>Student Loan</v>
          </cell>
        </row>
        <row r="75">
          <cell r="C75" t="str">
            <v>Credit</v>
          </cell>
        </row>
        <row r="76">
          <cell r="C76" t="str">
            <v>Personal Debt</v>
          </cell>
        </row>
        <row r="77">
          <cell r="C77" t="str">
            <v>Total</v>
          </cell>
        </row>
        <row r="78">
          <cell r="C78" t="str">
            <v>Enter Home expenses in table starting in cell C12. Next instruction is in cell A20.</v>
          </cell>
        </row>
        <row r="79">
          <cell r="C79"/>
        </row>
        <row r="80">
          <cell r="C80" t="str">
            <v>Personal Spending</v>
          </cell>
        </row>
        <row r="81">
          <cell r="C81" t="str">
            <v>Gym</v>
          </cell>
        </row>
        <row r="82">
          <cell r="C82" t="str">
            <v>Clothes</v>
          </cell>
        </row>
        <row r="83">
          <cell r="C83" t="str">
            <v>Home Décor</v>
          </cell>
        </row>
        <row r="84">
          <cell r="C84" t="str">
            <v>Gifts/Donations</v>
          </cell>
        </row>
        <row r="85">
          <cell r="C85" t="str">
            <v>Subscription</v>
          </cell>
        </row>
        <row r="86">
          <cell r="C86" t="str">
            <v>Health (Experimental)</v>
          </cell>
        </row>
        <row r="87">
          <cell r="C87" t="str">
            <v>Pay Walls</v>
          </cell>
        </row>
        <row r="88">
          <cell r="C88" t="str">
            <v>Walmart/Target Run</v>
          </cell>
        </row>
        <row r="89">
          <cell r="C89" t="str">
            <v>Self Care</v>
          </cell>
        </row>
        <row r="90">
          <cell r="C90" t="str">
            <v>Conveinence Store</v>
          </cell>
        </row>
        <row r="91">
          <cell r="C91" t="str">
            <v>Merchandise</v>
          </cell>
        </row>
        <row r="92">
          <cell r="C92" t="str">
            <v>Total</v>
          </cell>
        </row>
        <row r="93">
          <cell r="C93" t="str">
            <v>Enter Home expenses in table starting in cell C12. Next instruction is in cell A20.</v>
          </cell>
        </row>
        <row r="94">
          <cell r="C94" t="str">
            <v>Recreation &amp; Entertainment</v>
          </cell>
        </row>
        <row r="95">
          <cell r="C95" t="str">
            <v>Concerts</v>
          </cell>
        </row>
        <row r="96">
          <cell r="C96" t="str">
            <v>Sporting Events</v>
          </cell>
        </row>
        <row r="97">
          <cell r="C97" t="str">
            <v>Family Activities</v>
          </cell>
        </row>
        <row r="98">
          <cell r="C98" t="str">
            <v>Streaming Services</v>
          </cell>
        </row>
        <row r="99">
          <cell r="C99" t="str">
            <v>Resteraunts</v>
          </cell>
        </row>
        <row r="100">
          <cell r="C100" t="str">
            <v>Video Games</v>
          </cell>
        </row>
        <row r="101">
          <cell r="C101" t="str">
            <v>Hobbies</v>
          </cell>
        </row>
        <row r="102">
          <cell r="C102" t="str">
            <v>Subscription</v>
          </cell>
        </row>
        <row r="103">
          <cell r="C103" t="str">
            <v>Merchandise</v>
          </cell>
        </row>
        <row r="104">
          <cell r="C104" t="str">
            <v>Conveinence Store</v>
          </cell>
        </row>
        <row r="105">
          <cell r="C105" t="str">
            <v>Total</v>
          </cell>
        </row>
        <row r="106">
          <cell r="C106" t="str">
            <v>Enter Home expenses in table starting in cell C12. Next instruction is in cell A20.</v>
          </cell>
        </row>
        <row r="107">
          <cell r="C107"/>
        </row>
        <row r="108">
          <cell r="C108" t="str">
            <v>Miscellaneus</v>
          </cell>
        </row>
        <row r="109">
          <cell r="C109" t="str">
            <v>Family</v>
          </cell>
        </row>
        <row r="110">
          <cell r="C110" t="str">
            <v>--</v>
          </cell>
        </row>
        <row r="111">
          <cell r="C111" t="str">
            <v>Total</v>
          </cell>
        </row>
        <row r="112">
          <cell r="C112" t="str">
            <v>Enter Home expenses in table starting in cell C12. Next instruction is in cell A20.</v>
          </cell>
        </row>
        <row r="113">
          <cell r="C113"/>
        </row>
        <row r="114">
          <cell r="C114" t="str">
            <v>TOTALS</v>
          </cell>
        </row>
        <row r="115">
          <cell r="C115" t="str">
            <v>Total expenses</v>
          </cell>
        </row>
        <row r="116">
          <cell r="C116" t="str">
            <v>Cash short/extra</v>
          </cell>
        </row>
        <row r="117">
          <cell r="C117"/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A2CE-BD9E-4974-8CC4-CBFE6670DBA3}">
  <dimension ref="A1:F17"/>
  <sheetViews>
    <sheetView workbookViewId="0">
      <selection activeCell="E2" sqref="E2"/>
    </sheetView>
  </sheetViews>
  <sheetFormatPr defaultRowHeight="15"/>
  <cols>
    <col min="1" max="1" width="33.5703125" customWidth="1"/>
    <col min="2" max="2" width="10.42578125" bestFit="1" customWidth="1"/>
    <col min="3" max="3" width="16.42578125" bestFit="1" customWidth="1"/>
    <col min="4" max="4" width="14.140625" bestFit="1" customWidth="1"/>
    <col min="5" max="5" width="17.42578125" bestFit="1" customWidth="1"/>
    <col min="6" max="6" width="10.42578125" bestFit="1" customWidth="1"/>
  </cols>
  <sheetData>
    <row r="1" spans="1:6" s="19" customFormat="1" ht="15.75" thickBo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41.25" customHeight="1" thickBot="1">
      <c r="A2" s="4" t="s">
        <v>6</v>
      </c>
      <c r="B2" s="14">
        <v>6798.37</v>
      </c>
      <c r="C2" s="15">
        <v>0</v>
      </c>
      <c r="D2" s="14">
        <v>2361.8000000000002</v>
      </c>
      <c r="E2" s="15">
        <v>0</v>
      </c>
      <c r="F2" s="16">
        <v>4436.57</v>
      </c>
    </row>
    <row r="3" spans="1:6" ht="41.25" customHeight="1" thickBot="1">
      <c r="A3" s="5" t="s">
        <v>7</v>
      </c>
      <c r="B3" s="10">
        <v>3024.86</v>
      </c>
      <c r="C3" s="10">
        <v>147.16</v>
      </c>
      <c r="D3" s="10">
        <v>833.26</v>
      </c>
      <c r="E3" s="10">
        <v>460.82</v>
      </c>
      <c r="F3" s="11">
        <v>1583.62</v>
      </c>
    </row>
    <row r="4" spans="1:6" ht="41.25" customHeight="1" thickBot="1">
      <c r="A4" s="6" t="s">
        <v>8</v>
      </c>
      <c r="B4" s="8">
        <v>3024.86</v>
      </c>
      <c r="C4" s="8">
        <v>147.16</v>
      </c>
      <c r="D4" s="8">
        <v>833.27</v>
      </c>
      <c r="E4" s="8">
        <v>460.82</v>
      </c>
      <c r="F4" s="9">
        <v>1583.61</v>
      </c>
    </row>
    <row r="5" spans="1:6" ht="41.25" customHeight="1" thickBot="1">
      <c r="A5" s="7" t="s">
        <v>9</v>
      </c>
      <c r="B5" s="12">
        <v>3024.86</v>
      </c>
      <c r="C5" s="12">
        <v>147.16</v>
      </c>
      <c r="D5" s="12">
        <v>833.22</v>
      </c>
      <c r="E5" s="12">
        <v>310.82</v>
      </c>
      <c r="F5" s="13">
        <v>1733.66</v>
      </c>
    </row>
    <row r="6" spans="1:6" ht="41.25" customHeight="1" thickBot="1">
      <c r="A6" s="6" t="s">
        <v>10</v>
      </c>
      <c r="B6" s="8">
        <v>3024.86</v>
      </c>
      <c r="C6" s="8">
        <v>147.16</v>
      </c>
      <c r="D6" s="8">
        <v>833.23</v>
      </c>
      <c r="E6" s="8">
        <v>10.82</v>
      </c>
      <c r="F6" s="9">
        <v>2033.65</v>
      </c>
    </row>
    <row r="7" spans="1:6" ht="41.25" customHeight="1" thickBot="1">
      <c r="A7" s="5" t="s">
        <v>11</v>
      </c>
      <c r="B7" s="10">
        <v>3024.86</v>
      </c>
      <c r="C7" s="10">
        <v>147.16</v>
      </c>
      <c r="D7" s="10">
        <v>833.23</v>
      </c>
      <c r="E7" s="10">
        <v>10.82</v>
      </c>
      <c r="F7" s="11">
        <v>2033.65</v>
      </c>
    </row>
    <row r="8" spans="1:6" ht="41.25" customHeight="1" thickBot="1">
      <c r="A8" s="6" t="s">
        <v>12</v>
      </c>
      <c r="B8" s="8">
        <v>3024.86</v>
      </c>
      <c r="C8" s="8">
        <v>147.16</v>
      </c>
      <c r="D8" s="8">
        <v>833.22</v>
      </c>
      <c r="E8" s="8">
        <v>10.82</v>
      </c>
      <c r="F8" s="9">
        <v>2033.66</v>
      </c>
    </row>
    <row r="9" spans="1:6" ht="41.25" customHeight="1" thickBot="1">
      <c r="A9" s="5" t="s">
        <v>13</v>
      </c>
      <c r="B9" s="10">
        <v>3024.86</v>
      </c>
      <c r="C9" s="10">
        <v>147.16</v>
      </c>
      <c r="D9" s="10">
        <v>687.54</v>
      </c>
      <c r="E9" s="10">
        <v>10.82</v>
      </c>
      <c r="F9" s="11">
        <v>2179.34</v>
      </c>
    </row>
    <row r="10" spans="1:6" ht="41.25" customHeight="1" thickBot="1">
      <c r="A10" s="6" t="s">
        <v>14</v>
      </c>
      <c r="B10" s="8">
        <v>3024.86</v>
      </c>
      <c r="C10" s="8">
        <v>147.16</v>
      </c>
      <c r="D10" s="8">
        <v>687.54</v>
      </c>
      <c r="E10" s="8">
        <v>160.82</v>
      </c>
      <c r="F10" s="9">
        <v>2029.34</v>
      </c>
    </row>
    <row r="11" spans="1:6" ht="41.25" customHeight="1" thickBot="1">
      <c r="A11" s="5" t="s">
        <v>15</v>
      </c>
      <c r="B11" s="10">
        <v>3249.6</v>
      </c>
      <c r="C11" s="10">
        <v>147.16</v>
      </c>
      <c r="D11" s="10">
        <v>762.27</v>
      </c>
      <c r="E11" s="10">
        <v>439.29</v>
      </c>
      <c r="F11" s="11">
        <v>1900.88</v>
      </c>
    </row>
    <row r="12" spans="1:6" ht="41.25" customHeight="1" thickBot="1">
      <c r="A12" s="6" t="s">
        <v>16</v>
      </c>
      <c r="B12" s="8">
        <v>3024.86</v>
      </c>
      <c r="C12" s="8">
        <v>147.16</v>
      </c>
      <c r="D12" s="8">
        <v>687.54</v>
      </c>
      <c r="E12" s="8">
        <v>289.29000000000002</v>
      </c>
      <c r="F12" s="9">
        <v>1900.87</v>
      </c>
    </row>
    <row r="13" spans="1:6" ht="41.25" customHeight="1" thickBot="1">
      <c r="A13" s="5" t="s">
        <v>17</v>
      </c>
      <c r="B13" s="10">
        <v>3024.86</v>
      </c>
      <c r="C13" s="10">
        <v>147.16</v>
      </c>
      <c r="D13" s="10">
        <v>687.53</v>
      </c>
      <c r="E13" s="10">
        <v>289.29000000000002</v>
      </c>
      <c r="F13" s="11">
        <v>1900.88</v>
      </c>
    </row>
    <row r="14" spans="1:6" ht="41.25" customHeight="1" thickBot="1">
      <c r="A14" s="6" t="s">
        <v>18</v>
      </c>
      <c r="B14" s="8">
        <v>3024.86</v>
      </c>
      <c r="C14" s="8">
        <v>387.16</v>
      </c>
      <c r="D14" s="8">
        <v>626.1</v>
      </c>
      <c r="E14" s="8">
        <v>49.29</v>
      </c>
      <c r="F14" s="9">
        <v>1962.31</v>
      </c>
    </row>
    <row r="15" spans="1:6" ht="41.25" customHeight="1" thickBot="1">
      <c r="A15" s="5" t="s">
        <v>19</v>
      </c>
      <c r="B15" s="10">
        <v>3024.86</v>
      </c>
      <c r="C15" s="10">
        <v>387.16</v>
      </c>
      <c r="D15" s="10">
        <v>626.09</v>
      </c>
      <c r="E15" s="10">
        <v>49.29</v>
      </c>
      <c r="F15" s="11">
        <v>1962.32</v>
      </c>
    </row>
    <row r="16" spans="1:6" ht="41.25" customHeight="1" thickBot="1">
      <c r="A16" s="6" t="s">
        <v>20</v>
      </c>
      <c r="B16" s="8">
        <v>4301.79</v>
      </c>
      <c r="C16" s="8">
        <v>489.31</v>
      </c>
      <c r="D16" s="8">
        <v>1024.53</v>
      </c>
      <c r="E16" s="8">
        <v>49.29</v>
      </c>
      <c r="F16" s="9">
        <v>2738.66</v>
      </c>
    </row>
    <row r="17" spans="1:6">
      <c r="A17" s="2" t="s">
        <v>21</v>
      </c>
      <c r="B17" s="3">
        <v>50648.08</v>
      </c>
      <c r="C17" s="3">
        <v>2882.39</v>
      </c>
      <c r="D17" s="3">
        <v>13150.37</v>
      </c>
      <c r="E17" s="3">
        <v>2602.3000000000002</v>
      </c>
      <c r="F17" s="3">
        <v>32013.02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AE21F-4453-4AD7-ABFD-B6E7F2720673}">
  <dimension ref="A1:AG43"/>
  <sheetViews>
    <sheetView tabSelected="1" zoomScale="70" zoomScaleNormal="70" workbookViewId="0">
      <pane xSplit="1" topLeftCell="W1" activePane="topRight" state="frozen"/>
      <selection pane="topRight" activeCell="AG15" sqref="AG15"/>
    </sheetView>
  </sheetViews>
  <sheetFormatPr defaultRowHeight="15"/>
  <cols>
    <col min="1" max="1" width="27.140625" bestFit="1" customWidth="1"/>
    <col min="2" max="15" width="50.5703125" customWidth="1"/>
    <col min="16" max="19" width="50.5703125" style="79" customWidth="1"/>
    <col min="20" max="30" width="50.5703125" customWidth="1"/>
    <col min="31" max="31" width="34.85546875" customWidth="1"/>
    <col min="32" max="32" width="25.42578125" customWidth="1"/>
  </cols>
  <sheetData>
    <row r="1" spans="1:33" ht="72.75" customHeight="1" thickBot="1">
      <c r="A1" s="20"/>
      <c r="B1" s="21" t="s">
        <v>6</v>
      </c>
      <c r="C1" s="21" t="s">
        <v>7</v>
      </c>
      <c r="D1" s="21" t="s">
        <v>8</v>
      </c>
      <c r="E1" s="21" t="s">
        <v>9</v>
      </c>
      <c r="F1" s="21" t="s">
        <v>10</v>
      </c>
      <c r="G1" s="21" t="s">
        <v>11</v>
      </c>
      <c r="H1" s="22" t="s">
        <v>12</v>
      </c>
      <c r="I1" s="21" t="s">
        <v>13</v>
      </c>
      <c r="J1" s="21" t="s">
        <v>14</v>
      </c>
      <c r="K1" s="21" t="s">
        <v>15</v>
      </c>
      <c r="L1" s="21" t="s">
        <v>16</v>
      </c>
      <c r="M1" s="21" t="s">
        <v>17</v>
      </c>
      <c r="N1" s="21" t="s">
        <v>18</v>
      </c>
      <c r="O1" s="21" t="s">
        <v>19</v>
      </c>
      <c r="P1" s="21" t="s">
        <v>20</v>
      </c>
      <c r="Q1" s="21" t="s">
        <v>127</v>
      </c>
      <c r="R1" s="21" t="s">
        <v>126</v>
      </c>
      <c r="S1" s="21" t="s">
        <v>124</v>
      </c>
      <c r="T1" s="21" t="s">
        <v>128</v>
      </c>
      <c r="U1" s="21" t="s">
        <v>129</v>
      </c>
      <c r="V1" s="21" t="s">
        <v>130</v>
      </c>
      <c r="W1" s="21" t="s">
        <v>131</v>
      </c>
      <c r="X1" s="21" t="s">
        <v>132</v>
      </c>
      <c r="Y1" s="21" t="s">
        <v>133</v>
      </c>
      <c r="Z1" s="21" t="s">
        <v>134</v>
      </c>
      <c r="AA1" s="21" t="s">
        <v>135</v>
      </c>
      <c r="AB1" s="21" t="s">
        <v>136</v>
      </c>
      <c r="AC1" s="21" t="s">
        <v>137</v>
      </c>
      <c r="AD1" s="21" t="s">
        <v>138</v>
      </c>
      <c r="AE1" s="21" t="s">
        <v>139</v>
      </c>
      <c r="AF1" s="85" t="s">
        <v>140</v>
      </c>
    </row>
    <row r="2" spans="1:33" ht="15.75" thickBo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4"/>
      <c r="L2" s="24"/>
      <c r="M2" s="24"/>
      <c r="N2" s="23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3" ht="17.25" customHeight="1" thickBot="1">
      <c r="A3" s="25" t="s">
        <v>22</v>
      </c>
      <c r="B3" s="25"/>
      <c r="C3" s="25"/>
      <c r="D3" s="25"/>
      <c r="E3" s="25"/>
      <c r="F3" s="25"/>
      <c r="G3" s="25"/>
      <c r="H3" s="25"/>
      <c r="I3" s="25"/>
      <c r="J3" s="26">
        <v>0</v>
      </c>
      <c r="K3" s="26">
        <v>0</v>
      </c>
      <c r="L3" s="26">
        <v>0</v>
      </c>
      <c r="M3" s="27">
        <v>0</v>
      </c>
      <c r="N3" s="26">
        <v>0</v>
      </c>
      <c r="O3" s="77">
        <v>0</v>
      </c>
      <c r="P3" s="77">
        <v>1200</v>
      </c>
      <c r="Q3" s="77">
        <v>3143</v>
      </c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</row>
    <row r="4" spans="1:33" ht="15" customHeight="1" thickBot="1">
      <c r="A4" s="29" t="s">
        <v>23</v>
      </c>
      <c r="B4" s="30">
        <v>4098.37</v>
      </c>
      <c r="C4" s="29"/>
      <c r="D4" s="29"/>
      <c r="E4" s="29"/>
      <c r="F4" s="29"/>
      <c r="G4" s="29"/>
      <c r="H4" s="29"/>
      <c r="I4" s="29"/>
      <c r="J4" s="29"/>
      <c r="K4" s="30">
        <v>224.74</v>
      </c>
      <c r="L4" s="30"/>
      <c r="M4" s="30"/>
      <c r="N4" s="30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3" ht="15" customHeight="1" thickBot="1">
      <c r="A5" s="25" t="s">
        <v>24</v>
      </c>
      <c r="B5" s="26">
        <v>0</v>
      </c>
      <c r="C5" s="30">
        <v>4.8600000000000003</v>
      </c>
      <c r="D5" s="30">
        <v>4.8600000000000003</v>
      </c>
      <c r="E5" s="30">
        <v>4.8600000000000003</v>
      </c>
      <c r="F5" s="30">
        <v>4.8600000000000003</v>
      </c>
      <c r="G5" s="30">
        <v>4.8600000000000003</v>
      </c>
      <c r="H5" s="30">
        <v>4.8600000000000003</v>
      </c>
      <c r="I5" s="30">
        <v>4.8600000000000003</v>
      </c>
      <c r="J5" s="30">
        <v>4.8600000000000003</v>
      </c>
      <c r="K5" s="28">
        <v>4.8600000000000003</v>
      </c>
      <c r="L5" s="30">
        <v>4.8600000000000003</v>
      </c>
      <c r="M5" s="30">
        <v>4.8600000000000003</v>
      </c>
      <c r="N5" s="30">
        <v>4.8600000000000003</v>
      </c>
      <c r="O5" s="35">
        <v>4.8600000000000003</v>
      </c>
      <c r="P5" s="35">
        <v>4.8600000000000003</v>
      </c>
      <c r="Q5" s="35">
        <v>4.8600000000000003</v>
      </c>
      <c r="R5" s="35">
        <v>4.9800000000000004</v>
      </c>
      <c r="S5" s="35">
        <v>4.9800000000000004</v>
      </c>
      <c r="T5" s="35">
        <v>4.9800000000000004</v>
      </c>
      <c r="U5" s="35">
        <v>5.14</v>
      </c>
      <c r="V5" s="35">
        <v>5.14</v>
      </c>
      <c r="W5" s="35">
        <v>5.14</v>
      </c>
      <c r="X5" s="35">
        <v>5.14</v>
      </c>
      <c r="Y5" s="35">
        <v>5.73</v>
      </c>
      <c r="Z5" s="35">
        <v>5.73</v>
      </c>
      <c r="AA5" s="35">
        <v>5.73</v>
      </c>
      <c r="AB5" s="35">
        <v>5.73</v>
      </c>
      <c r="AC5" s="35">
        <v>5.73</v>
      </c>
      <c r="AD5" s="35">
        <v>5.73</v>
      </c>
      <c r="AE5" s="35">
        <v>5.73</v>
      </c>
      <c r="AF5" s="35">
        <v>5.73</v>
      </c>
    </row>
    <row r="6" spans="1:33" ht="15" customHeight="1" thickBot="1">
      <c r="A6" s="29" t="s">
        <v>25</v>
      </c>
      <c r="B6" s="31">
        <v>0</v>
      </c>
      <c r="C6" s="28">
        <v>20</v>
      </c>
      <c r="D6" s="28">
        <v>20</v>
      </c>
      <c r="E6" s="28">
        <v>20</v>
      </c>
      <c r="F6" s="28">
        <v>20</v>
      </c>
      <c r="G6" s="28">
        <v>20</v>
      </c>
      <c r="H6" s="28">
        <v>20</v>
      </c>
      <c r="I6" s="28">
        <v>20</v>
      </c>
      <c r="J6" s="28">
        <v>20</v>
      </c>
      <c r="K6" s="30">
        <v>20</v>
      </c>
      <c r="L6" s="28">
        <v>20</v>
      </c>
      <c r="M6" s="28">
        <v>20</v>
      </c>
      <c r="N6" s="28">
        <v>20</v>
      </c>
      <c r="O6" s="34">
        <v>20</v>
      </c>
      <c r="P6" s="34">
        <v>20</v>
      </c>
      <c r="Q6" s="34">
        <v>20</v>
      </c>
      <c r="R6" s="34">
        <v>20</v>
      </c>
      <c r="S6" s="34">
        <v>20</v>
      </c>
      <c r="T6" s="34">
        <v>20</v>
      </c>
      <c r="U6" s="34">
        <v>20</v>
      </c>
      <c r="V6" s="34">
        <v>20</v>
      </c>
      <c r="W6" s="34">
        <v>20</v>
      </c>
      <c r="X6" s="34">
        <v>20</v>
      </c>
      <c r="Y6" s="34">
        <v>20</v>
      </c>
      <c r="Z6" s="34">
        <v>20</v>
      </c>
      <c r="AA6" s="34">
        <v>20</v>
      </c>
      <c r="AB6" s="34">
        <v>20</v>
      </c>
      <c r="AC6" s="34">
        <v>20</v>
      </c>
      <c r="AD6" s="34">
        <v>20</v>
      </c>
      <c r="AE6" s="34">
        <v>20</v>
      </c>
      <c r="AF6" s="34">
        <v>20</v>
      </c>
    </row>
    <row r="7" spans="1:33" ht="16.5" thickBot="1">
      <c r="A7" s="25" t="s">
        <v>26</v>
      </c>
      <c r="B7" s="28">
        <v>2700</v>
      </c>
      <c r="C7" s="30">
        <v>3000</v>
      </c>
      <c r="D7" s="30">
        <v>3000</v>
      </c>
      <c r="E7" s="30">
        <v>3000</v>
      </c>
      <c r="F7" s="30">
        <v>3000</v>
      </c>
      <c r="G7" s="30">
        <v>3000</v>
      </c>
      <c r="H7" s="30">
        <v>3000</v>
      </c>
      <c r="I7" s="30">
        <v>3000</v>
      </c>
      <c r="J7" s="30">
        <v>3000</v>
      </c>
      <c r="K7" s="28">
        <v>3000</v>
      </c>
      <c r="L7" s="30">
        <v>3000</v>
      </c>
      <c r="M7" s="30">
        <v>3000</v>
      </c>
      <c r="N7" s="30">
        <v>3000</v>
      </c>
      <c r="O7" s="35">
        <v>3000</v>
      </c>
      <c r="P7" s="35">
        <v>3076.93</v>
      </c>
      <c r="Q7" s="35">
        <v>3076.93</v>
      </c>
      <c r="R7" s="35">
        <v>3076.93</v>
      </c>
      <c r="S7" s="35">
        <v>3076.93</v>
      </c>
      <c r="T7" s="35">
        <v>3076.93</v>
      </c>
      <c r="U7" s="35">
        <v>3173.08</v>
      </c>
      <c r="V7" s="35">
        <v>3173.08</v>
      </c>
      <c r="W7" s="35">
        <v>3173.08</v>
      </c>
      <c r="X7" s="35">
        <v>3173.08</v>
      </c>
      <c r="Y7" s="35">
        <v>3538.47</v>
      </c>
      <c r="Z7" s="35">
        <v>3538.47</v>
      </c>
      <c r="AA7" s="35">
        <v>3538.47</v>
      </c>
      <c r="AB7" s="35">
        <v>3538.47</v>
      </c>
      <c r="AC7" s="35">
        <v>3538.47</v>
      </c>
      <c r="AD7" s="35">
        <v>3538.47</v>
      </c>
      <c r="AE7" s="35">
        <v>3538.47</v>
      </c>
      <c r="AF7" s="35">
        <v>3538.47</v>
      </c>
    </row>
    <row r="8" spans="1:33" ht="15.75" thickBot="1">
      <c r="A8" s="32" t="s">
        <v>2</v>
      </c>
      <c r="B8" s="32"/>
      <c r="C8" s="32"/>
      <c r="D8" s="32"/>
      <c r="E8" s="32"/>
      <c r="F8" s="32"/>
      <c r="G8" s="32"/>
      <c r="H8" s="32"/>
      <c r="I8" s="32"/>
      <c r="J8" s="32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</row>
    <row r="9" spans="1:33" ht="17.25" customHeight="1" thickBot="1">
      <c r="A9" s="75" t="s">
        <v>123</v>
      </c>
      <c r="B9" s="76"/>
      <c r="C9" s="76"/>
      <c r="D9" s="76"/>
      <c r="E9" s="76"/>
      <c r="F9" s="76"/>
      <c r="G9" s="76"/>
      <c r="H9" s="76"/>
      <c r="I9" s="76"/>
      <c r="J9" s="76"/>
      <c r="K9" s="34"/>
      <c r="L9" s="34"/>
      <c r="M9" s="34"/>
      <c r="N9" s="34"/>
      <c r="O9" s="34"/>
      <c r="P9" s="34"/>
      <c r="Q9" s="34"/>
      <c r="R9" s="34">
        <v>0.82</v>
      </c>
      <c r="S9" s="34">
        <v>0.82</v>
      </c>
      <c r="T9" s="34">
        <v>0.82</v>
      </c>
      <c r="U9" s="34">
        <v>0.84</v>
      </c>
      <c r="V9" s="34">
        <v>0.84</v>
      </c>
      <c r="W9" s="34">
        <v>0.84</v>
      </c>
      <c r="X9" s="34">
        <v>0.84</v>
      </c>
      <c r="Y9" s="34">
        <v>0.94</v>
      </c>
      <c r="Z9" s="34">
        <v>0.94</v>
      </c>
      <c r="AA9" s="34">
        <v>0.94</v>
      </c>
      <c r="AB9" s="34">
        <v>0.94</v>
      </c>
      <c r="AC9" s="34">
        <v>0.94</v>
      </c>
      <c r="AD9" s="34">
        <v>0.94</v>
      </c>
      <c r="AE9" s="34">
        <v>0.94</v>
      </c>
      <c r="AF9" s="34">
        <v>0.94</v>
      </c>
    </row>
    <row r="10" spans="1:33" ht="17.25" customHeight="1" thickBot="1">
      <c r="A10" s="29" t="s">
        <v>30</v>
      </c>
      <c r="B10" s="28">
        <v>0</v>
      </c>
      <c r="C10" s="28">
        <v>54.77</v>
      </c>
      <c r="D10" s="28">
        <v>54.77</v>
      </c>
      <c r="E10" s="28">
        <v>54.77</v>
      </c>
      <c r="F10" s="28">
        <v>54.77</v>
      </c>
      <c r="G10" s="28">
        <v>54.77</v>
      </c>
      <c r="H10" s="28">
        <v>54.77</v>
      </c>
      <c r="I10" s="28">
        <v>54.77</v>
      </c>
      <c r="J10" s="28">
        <v>54.77</v>
      </c>
      <c r="K10" s="28">
        <v>54.77</v>
      </c>
      <c r="L10" s="28">
        <v>54.77</v>
      </c>
      <c r="M10" s="28">
        <v>54.77</v>
      </c>
      <c r="N10" s="28">
        <v>54.77</v>
      </c>
      <c r="O10" s="34">
        <v>54.77</v>
      </c>
      <c r="P10" s="34">
        <v>54.77</v>
      </c>
      <c r="Q10" s="34">
        <v>111.15</v>
      </c>
      <c r="R10" s="34">
        <v>111.15</v>
      </c>
      <c r="S10" s="34">
        <v>111.15</v>
      </c>
      <c r="T10" s="34">
        <v>111.15</v>
      </c>
      <c r="U10" s="34">
        <v>111.15</v>
      </c>
      <c r="V10" s="34">
        <v>111.15</v>
      </c>
      <c r="W10" s="34">
        <v>111.15</v>
      </c>
      <c r="X10" s="34">
        <v>111.15</v>
      </c>
      <c r="Y10" s="34">
        <v>111.15</v>
      </c>
      <c r="Z10" s="34">
        <v>111.15</v>
      </c>
      <c r="AA10" s="34">
        <v>111.15</v>
      </c>
      <c r="AB10" s="34">
        <v>111.15</v>
      </c>
      <c r="AC10" s="34">
        <v>111.15</v>
      </c>
      <c r="AD10" s="34">
        <v>111.15</v>
      </c>
      <c r="AE10" s="34">
        <v>111.15</v>
      </c>
      <c r="AF10" s="34">
        <v>111.15</v>
      </c>
    </row>
    <row r="11" spans="1:33" ht="17.25" customHeight="1" thickBot="1">
      <c r="A11" s="29" t="s">
        <v>33</v>
      </c>
      <c r="B11" s="28">
        <v>0</v>
      </c>
      <c r="C11" s="28">
        <v>87</v>
      </c>
      <c r="D11" s="28">
        <v>87</v>
      </c>
      <c r="E11" s="28">
        <v>87</v>
      </c>
      <c r="F11" s="28">
        <v>87</v>
      </c>
      <c r="G11" s="28">
        <v>87</v>
      </c>
      <c r="H11" s="28">
        <v>87</v>
      </c>
      <c r="I11" s="28">
        <v>87</v>
      </c>
      <c r="J11" s="28">
        <v>87</v>
      </c>
      <c r="K11" s="28">
        <v>87</v>
      </c>
      <c r="L11" s="28">
        <v>87</v>
      </c>
      <c r="M11" s="28">
        <v>87</v>
      </c>
      <c r="N11" s="28">
        <v>87</v>
      </c>
      <c r="O11" s="34">
        <v>87</v>
      </c>
      <c r="P11" s="34">
        <v>87</v>
      </c>
      <c r="Q11" s="34">
        <v>66</v>
      </c>
      <c r="R11" s="34">
        <v>66</v>
      </c>
      <c r="S11" s="34">
        <v>66</v>
      </c>
      <c r="T11" s="34">
        <v>66</v>
      </c>
      <c r="U11" s="34">
        <v>66</v>
      </c>
      <c r="V11" s="34">
        <v>66</v>
      </c>
      <c r="W11" s="34">
        <v>66</v>
      </c>
      <c r="X11" s="34">
        <v>66</v>
      </c>
      <c r="Y11" s="34">
        <v>66</v>
      </c>
      <c r="Z11" s="34">
        <v>66</v>
      </c>
      <c r="AA11" s="34">
        <v>66</v>
      </c>
      <c r="AB11" s="34">
        <v>66</v>
      </c>
      <c r="AC11" s="34">
        <v>66</v>
      </c>
      <c r="AD11" s="34">
        <v>66</v>
      </c>
      <c r="AE11" s="34">
        <v>66</v>
      </c>
      <c r="AF11" s="34">
        <v>66</v>
      </c>
    </row>
    <row r="12" spans="1:33" ht="17.25" customHeight="1" thickBot="1">
      <c r="A12" s="29" t="s">
        <v>41</v>
      </c>
      <c r="B12" s="28">
        <v>0</v>
      </c>
      <c r="C12" s="28">
        <v>1.6</v>
      </c>
      <c r="D12" s="28">
        <v>1.6</v>
      </c>
      <c r="E12" s="28">
        <v>1.6</v>
      </c>
      <c r="F12" s="28">
        <v>1.6</v>
      </c>
      <c r="G12" s="28">
        <v>1.6</v>
      </c>
      <c r="H12" s="28">
        <v>1.6</v>
      </c>
      <c r="I12" s="28">
        <v>1.6</v>
      </c>
      <c r="J12" s="28">
        <v>1.6</v>
      </c>
      <c r="K12" s="28">
        <v>1.6</v>
      </c>
      <c r="L12" s="28">
        <v>1.6</v>
      </c>
      <c r="M12" s="28">
        <v>1.6</v>
      </c>
      <c r="N12" s="28">
        <v>1.6</v>
      </c>
      <c r="O12" s="34">
        <v>1.6</v>
      </c>
      <c r="P12" s="34">
        <v>1.6</v>
      </c>
      <c r="Q12" s="34">
        <v>1.7</v>
      </c>
      <c r="R12" s="34">
        <v>1.7</v>
      </c>
      <c r="S12" s="34">
        <v>1.7</v>
      </c>
      <c r="T12" s="34">
        <v>1.7</v>
      </c>
      <c r="U12" s="34">
        <v>1.7</v>
      </c>
      <c r="V12" s="34">
        <v>1.7</v>
      </c>
      <c r="W12" s="34">
        <v>1.7</v>
      </c>
      <c r="X12" s="34">
        <v>1.7</v>
      </c>
      <c r="Y12" s="34">
        <v>1.7</v>
      </c>
      <c r="Z12" s="34">
        <v>1.7</v>
      </c>
      <c r="AA12" s="34">
        <v>1.7</v>
      </c>
      <c r="AB12" s="34">
        <v>1.7</v>
      </c>
      <c r="AC12" s="34">
        <v>1.7</v>
      </c>
      <c r="AD12" s="34">
        <v>1.7</v>
      </c>
      <c r="AE12" s="34">
        <v>1.7</v>
      </c>
      <c r="AF12" s="34">
        <v>1.7</v>
      </c>
    </row>
    <row r="13" spans="1:33" ht="17.25" customHeight="1" thickBot="1">
      <c r="A13" s="29" t="s">
        <v>42</v>
      </c>
      <c r="B13" s="28">
        <v>0</v>
      </c>
      <c r="C13" s="28">
        <v>3.79</v>
      </c>
      <c r="D13" s="28">
        <v>3.79</v>
      </c>
      <c r="E13" s="28">
        <v>3.79</v>
      </c>
      <c r="F13" s="28">
        <v>3.79</v>
      </c>
      <c r="G13" s="28">
        <v>3.79</v>
      </c>
      <c r="H13" s="28">
        <v>3.79</v>
      </c>
      <c r="I13" s="28">
        <v>3.79</v>
      </c>
      <c r="J13" s="28">
        <v>3.79</v>
      </c>
      <c r="K13" s="28">
        <v>3.79</v>
      </c>
      <c r="L13" s="28">
        <v>3.79</v>
      </c>
      <c r="M13" s="28">
        <v>3.79</v>
      </c>
      <c r="N13" s="28">
        <v>3.79</v>
      </c>
      <c r="O13" s="34">
        <v>3.79</v>
      </c>
      <c r="P13" s="34">
        <v>3.79</v>
      </c>
      <c r="Q13" s="34">
        <v>3.79</v>
      </c>
      <c r="R13" s="34">
        <v>3.79</v>
      </c>
      <c r="S13" s="34">
        <v>3.79</v>
      </c>
      <c r="T13" s="34">
        <v>3.79</v>
      </c>
      <c r="U13" s="34">
        <v>3.79</v>
      </c>
      <c r="V13" s="34">
        <v>3.79</v>
      </c>
      <c r="W13" s="34">
        <v>3.79</v>
      </c>
      <c r="X13" s="34">
        <v>3.79</v>
      </c>
      <c r="Y13" s="34">
        <v>3.79</v>
      </c>
      <c r="Z13" s="34">
        <v>3.79</v>
      </c>
      <c r="AA13" s="34">
        <v>3.79</v>
      </c>
      <c r="AB13" s="34">
        <v>3.79</v>
      </c>
      <c r="AC13" s="34">
        <v>3.79</v>
      </c>
      <c r="AD13" s="34">
        <v>3.79</v>
      </c>
      <c r="AE13" s="34">
        <v>3.79</v>
      </c>
      <c r="AF13" s="34">
        <v>3.79</v>
      </c>
    </row>
    <row r="14" spans="1:33" ht="15" customHeight="1" thickBot="1">
      <c r="A14" s="25" t="s">
        <v>35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240</v>
      </c>
      <c r="O14" s="34">
        <v>240</v>
      </c>
      <c r="P14" s="34">
        <v>342.15</v>
      </c>
      <c r="Q14" s="34">
        <f>Q7*Q39</f>
        <v>0</v>
      </c>
      <c r="R14" s="34">
        <v>615.39</v>
      </c>
      <c r="S14" s="34">
        <v>615.39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f>AF7*0.15</f>
        <v>530.77049999999997</v>
      </c>
      <c r="AG14" s="38">
        <f>S14-AF14</f>
        <v>84.619500000000016</v>
      </c>
    </row>
    <row r="15" spans="1:33" ht="32.25" thickBot="1">
      <c r="A15" s="36" t="s">
        <v>45</v>
      </c>
      <c r="B15" s="37">
        <f>SUM(B4:B7)-SUM(B10:B13)</f>
        <v>6798.37</v>
      </c>
      <c r="C15" s="37">
        <f>SUM(C4:C7)-SUM(C10:C13)</f>
        <v>2877.7000000000003</v>
      </c>
      <c r="D15" s="37">
        <f>SUM(D4:D7)-SUM(D10:D13)</f>
        <v>2877.7000000000003</v>
      </c>
      <c r="E15" s="37">
        <f>SUM(E4:E7)-SUM(E10:E13)</f>
        <v>2877.7000000000003</v>
      </c>
      <c r="F15" s="37">
        <f>SUM(F4:F7)-SUM(F10:F13)</f>
        <v>2877.7000000000003</v>
      </c>
      <c r="G15" s="37">
        <f>SUM(G4:G7)-SUM(G10:G13)</f>
        <v>2877.7000000000003</v>
      </c>
      <c r="H15" s="37">
        <f>SUM(H4:H7)-SUM(H10:H13)</f>
        <v>2877.7000000000003</v>
      </c>
      <c r="I15" s="37">
        <f>SUM(I4:I7)-SUM(I10:I13)</f>
        <v>2877.7000000000003</v>
      </c>
      <c r="J15" s="37">
        <f>SUM(J4:J7)-SUM(J10:J13)</f>
        <v>2877.7000000000003</v>
      </c>
      <c r="K15" s="37">
        <f>SUM(K4:K7)-SUM(K10:K13)</f>
        <v>3102.44</v>
      </c>
      <c r="L15" s="37">
        <f>SUM(L4:L7)-SUM(L10:L13)</f>
        <v>2877.7000000000003</v>
      </c>
      <c r="M15" s="37">
        <f>SUM(M4:M7)-SUM(M10:M13)</f>
        <v>2877.7000000000003</v>
      </c>
      <c r="N15" s="37">
        <f t="shared" ref="N15:O15" si="0">SUM(N3:N7)-SUM(N10:N14)</f>
        <v>2637.7000000000003</v>
      </c>
      <c r="O15" s="37">
        <f t="shared" si="0"/>
        <v>2637.7000000000003</v>
      </c>
      <c r="P15" s="37">
        <f>SUM(P3:P7)-SUM(P10:P14)</f>
        <v>3812.48</v>
      </c>
      <c r="Q15" s="37">
        <f>SUM(Q3:Q7)-SUM(Q10:Q14)</f>
        <v>6062.15</v>
      </c>
      <c r="R15" s="37">
        <f>SUM(R3:R7)-SUM(R9:R13)+1.42</f>
        <v>2919.87</v>
      </c>
      <c r="S15" s="37">
        <f>SUM(S3:S7)-SUM(S9:S13)+1.42</f>
        <v>2919.87</v>
      </c>
      <c r="T15" s="37">
        <f>SUM(T3:T7)-SUM(T9:T14)+1.42</f>
        <v>2919.87</v>
      </c>
      <c r="U15" s="37">
        <f t="shared" ref="U15:W15" si="1">SUM(U3:U7)-SUM(U9:U14)+1.55</f>
        <v>3016.29</v>
      </c>
      <c r="V15" s="37">
        <f t="shared" si="1"/>
        <v>3016.29</v>
      </c>
      <c r="W15" s="37">
        <f t="shared" si="1"/>
        <v>3016.29</v>
      </c>
      <c r="X15" s="37">
        <f>SUM(X3:X7)-SUM(X9:X14)+1.55</f>
        <v>3016.29</v>
      </c>
      <c r="Y15" s="37">
        <f>SUM(Y3:Y7)-SUM(Y9:Y14)+1.92</f>
        <v>3382.54</v>
      </c>
      <c r="Z15" s="37">
        <f>SUM(Z3:Z7)-SUM(Z9:Z14)+1.92</f>
        <v>3382.54</v>
      </c>
      <c r="AA15" s="37">
        <f>SUM(AA3:AA7)-SUM(AA9:AA14)+1.92</f>
        <v>3382.54</v>
      </c>
      <c r="AB15" s="37">
        <f>SUM(AB3:AB7)-SUM(AB9:AB14)+1.92</f>
        <v>3382.54</v>
      </c>
      <c r="AC15" s="37">
        <f>SUM(AC3:AC7)-SUM(AC9:AC14)+1.92</f>
        <v>3382.54</v>
      </c>
      <c r="AD15" s="37">
        <f>SUM(AD3:AD7)-SUM(AD9:AD14)+1.92</f>
        <v>3382.54</v>
      </c>
      <c r="AE15" s="37">
        <f>SUM(AE3:AE7)-SUM(AE9:AE14)+1.92</f>
        <v>3382.54</v>
      </c>
      <c r="AF15" s="37">
        <f>SUM(AF3:AF7)-SUM(AF9:AF13)+1.92</f>
        <v>3382.54</v>
      </c>
    </row>
    <row r="16" spans="1:33" ht="15.75" thickBot="1">
      <c r="A16" s="32" t="s">
        <v>44</v>
      </c>
      <c r="B16" s="32"/>
      <c r="C16" s="32"/>
      <c r="D16" s="32"/>
      <c r="E16" s="32"/>
      <c r="F16" s="32"/>
      <c r="G16" s="32"/>
      <c r="H16" s="32"/>
      <c r="I16" s="32"/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</row>
    <row r="17" spans="1:32" ht="17.25" customHeight="1" thickBot="1">
      <c r="A17" s="29" t="s">
        <v>37</v>
      </c>
      <c r="B17" s="28">
        <v>421.5</v>
      </c>
      <c r="C17" s="28">
        <v>178.5</v>
      </c>
      <c r="D17" s="28">
        <v>178.5</v>
      </c>
      <c r="E17" s="28">
        <v>178.5</v>
      </c>
      <c r="F17" s="28">
        <v>178.5</v>
      </c>
      <c r="G17" s="28">
        <v>178.5</v>
      </c>
      <c r="H17" s="28">
        <v>178.5</v>
      </c>
      <c r="I17" s="28">
        <v>178.5</v>
      </c>
      <c r="J17" s="28">
        <v>178.5</v>
      </c>
      <c r="K17" s="28">
        <v>192.44</v>
      </c>
      <c r="L17" s="28">
        <v>178.5</v>
      </c>
      <c r="M17" s="28">
        <v>178.5</v>
      </c>
      <c r="N17" s="28">
        <v>178.5</v>
      </c>
      <c r="O17" s="34">
        <v>178.5</v>
      </c>
      <c r="P17" s="34">
        <v>257.67</v>
      </c>
      <c r="Q17" s="34">
        <v>375.97432033658833</v>
      </c>
      <c r="R17" s="34">
        <v>181.03</v>
      </c>
      <c r="S17" s="34">
        <v>181.03</v>
      </c>
      <c r="T17" s="34">
        <v>181.03</v>
      </c>
      <c r="U17" s="34">
        <v>187.01</v>
      </c>
      <c r="V17" s="34">
        <v>187.01</v>
      </c>
      <c r="W17" s="34">
        <v>187.01</v>
      </c>
      <c r="X17" s="34">
        <v>187.01</v>
      </c>
      <c r="Y17" s="34">
        <v>209.72</v>
      </c>
      <c r="Z17" s="34">
        <v>209.72</v>
      </c>
      <c r="AA17" s="34">
        <v>209.72</v>
      </c>
      <c r="AB17" s="34">
        <v>209.72</v>
      </c>
      <c r="AC17" s="34">
        <v>209.72</v>
      </c>
      <c r="AD17" s="34">
        <v>209.72</v>
      </c>
      <c r="AE17" s="34">
        <v>209.72</v>
      </c>
      <c r="AF17" s="34">
        <f>$AF$15*AE33</f>
        <v>209.72</v>
      </c>
    </row>
    <row r="18" spans="1:32" ht="17.25" customHeight="1" thickBot="1">
      <c r="A18" s="29" t="s">
        <v>34</v>
      </c>
      <c r="B18" s="28">
        <v>98.58</v>
      </c>
      <c r="C18" s="28">
        <v>41.74</v>
      </c>
      <c r="D18" s="28">
        <v>41.75</v>
      </c>
      <c r="E18" s="28">
        <v>41.74</v>
      </c>
      <c r="F18" s="28">
        <v>41.75</v>
      </c>
      <c r="G18" s="28">
        <v>41.75</v>
      </c>
      <c r="H18" s="28">
        <v>41.74</v>
      </c>
      <c r="I18" s="28">
        <v>41.75</v>
      </c>
      <c r="J18" s="28">
        <v>41.75</v>
      </c>
      <c r="K18" s="28">
        <v>45</v>
      </c>
      <c r="L18" s="28">
        <v>41.75</v>
      </c>
      <c r="M18" s="28">
        <v>41.74</v>
      </c>
      <c r="N18" s="28">
        <v>41.75</v>
      </c>
      <c r="O18" s="34">
        <v>41.74</v>
      </c>
      <c r="P18" s="34">
        <v>60.27</v>
      </c>
      <c r="Q18" s="34">
        <v>87.941833689161243</v>
      </c>
      <c r="R18" s="34">
        <v>42.34</v>
      </c>
      <c r="S18" s="34">
        <v>42.34</v>
      </c>
      <c r="T18" s="34">
        <v>42.33</v>
      </c>
      <c r="U18" s="34">
        <v>43.74</v>
      </c>
      <c r="V18" s="34">
        <v>43.74</v>
      </c>
      <c r="W18" s="34">
        <v>43.73</v>
      </c>
      <c r="X18" s="34">
        <v>43.74</v>
      </c>
      <c r="Y18" s="34">
        <v>49.05</v>
      </c>
      <c r="Z18" s="34">
        <v>49.04</v>
      </c>
      <c r="AA18" s="34">
        <v>49.04</v>
      </c>
      <c r="AB18" s="34">
        <v>49.05</v>
      </c>
      <c r="AC18" s="34">
        <v>49.04</v>
      </c>
      <c r="AD18" s="34">
        <v>49.05</v>
      </c>
      <c r="AE18" s="34">
        <v>49.04</v>
      </c>
      <c r="AF18" s="34">
        <f t="shared" ref="AF18:AF19" si="2">$AF$15*AE34</f>
        <v>49.04</v>
      </c>
    </row>
    <row r="19" spans="1:32" ht="15" customHeight="1" thickBot="1">
      <c r="A19" s="25" t="s">
        <v>29</v>
      </c>
      <c r="B19" s="28">
        <v>1225.93</v>
      </c>
      <c r="C19" s="28">
        <v>363.68</v>
      </c>
      <c r="D19" s="28">
        <v>363.68</v>
      </c>
      <c r="E19" s="28">
        <v>363.64</v>
      </c>
      <c r="F19" s="28">
        <v>363.64</v>
      </c>
      <c r="G19" s="28">
        <v>363.64</v>
      </c>
      <c r="H19" s="28">
        <v>363.64</v>
      </c>
      <c r="I19" s="28">
        <v>363.64</v>
      </c>
      <c r="J19" s="28">
        <v>363.64</v>
      </c>
      <c r="K19" s="28">
        <v>413.09</v>
      </c>
      <c r="L19" s="28">
        <v>363.64</v>
      </c>
      <c r="M19" s="28">
        <v>363.64</v>
      </c>
      <c r="N19" s="28">
        <v>310.83999999999997</v>
      </c>
      <c r="O19" s="34">
        <v>310.83999999999997</v>
      </c>
      <c r="P19" s="34">
        <v>569.29</v>
      </c>
      <c r="Q19" s="34">
        <v>1079.0506153846152</v>
      </c>
      <c r="R19" s="34">
        <v>228.8</v>
      </c>
      <c r="S19" s="34">
        <v>228.8</v>
      </c>
      <c r="T19" s="34">
        <v>364.18</v>
      </c>
      <c r="U19" s="34">
        <v>385.39</v>
      </c>
      <c r="V19" s="34">
        <v>385.39</v>
      </c>
      <c r="W19" s="34">
        <v>385.39</v>
      </c>
      <c r="X19" s="34">
        <v>385.39</v>
      </c>
      <c r="Y19" s="34">
        <v>465.96</v>
      </c>
      <c r="Z19" s="34">
        <v>465.96</v>
      </c>
      <c r="AA19" s="34">
        <v>465.96</v>
      </c>
      <c r="AB19" s="34">
        <v>465.96</v>
      </c>
      <c r="AC19" s="34">
        <v>465.96</v>
      </c>
      <c r="AD19" s="34">
        <v>465.96</v>
      </c>
      <c r="AE19" s="34">
        <v>465.96</v>
      </c>
      <c r="AF19" s="34">
        <f t="shared" si="2"/>
        <v>465.96000000000004</v>
      </c>
    </row>
    <row r="20" spans="1:32" ht="17.25" customHeight="1" thickBot="1">
      <c r="A20" s="29" t="s">
        <v>39</v>
      </c>
      <c r="B20" s="28">
        <v>371.05</v>
      </c>
      <c r="C20" s="28">
        <v>145.69</v>
      </c>
      <c r="D20" s="28">
        <v>145.69</v>
      </c>
      <c r="E20" s="28">
        <v>145.69</v>
      </c>
      <c r="F20" s="28">
        <v>145.69</v>
      </c>
      <c r="G20" s="28">
        <v>145.69</v>
      </c>
      <c r="H20" s="28">
        <v>145.69</v>
      </c>
      <c r="I20" s="28"/>
      <c r="J20" s="28"/>
      <c r="K20" s="28"/>
      <c r="L20" s="28"/>
      <c r="M20" s="28"/>
      <c r="N20" s="28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spans="1:32" ht="16.5" thickBot="1">
      <c r="A21" s="29" t="s">
        <v>40</v>
      </c>
      <c r="B21" s="28">
        <v>244.74</v>
      </c>
      <c r="C21" s="28">
        <v>103.65</v>
      </c>
      <c r="D21" s="28">
        <v>103.65</v>
      </c>
      <c r="E21" s="28">
        <v>103.65</v>
      </c>
      <c r="F21" s="28">
        <v>103.65</v>
      </c>
      <c r="G21" s="28">
        <v>103.65</v>
      </c>
      <c r="H21" s="28">
        <v>103.65</v>
      </c>
      <c r="I21" s="28">
        <v>103.65</v>
      </c>
      <c r="J21" s="28">
        <v>103.65</v>
      </c>
      <c r="K21" s="28">
        <v>111.74</v>
      </c>
      <c r="L21" s="28">
        <v>103.65</v>
      </c>
      <c r="M21" s="28">
        <v>103.65</v>
      </c>
      <c r="N21" s="28">
        <v>95.01</v>
      </c>
      <c r="O21" s="34">
        <v>95.01</v>
      </c>
      <c r="P21" s="34">
        <v>137.30000000000001</v>
      </c>
      <c r="Q21" s="34">
        <v>218.23739999999998</v>
      </c>
      <c r="R21" s="34">
        <v>82.96</v>
      </c>
      <c r="S21" s="34">
        <v>82.96</v>
      </c>
      <c r="T21" s="34">
        <v>105.12</v>
      </c>
      <c r="U21" s="34">
        <v>108.59</v>
      </c>
      <c r="V21" s="34">
        <v>108.59</v>
      </c>
      <c r="W21" s="34">
        <v>108.59</v>
      </c>
      <c r="X21" s="34">
        <v>108.59</v>
      </c>
      <c r="Y21" s="34">
        <v>121.77</v>
      </c>
      <c r="Z21" s="34">
        <v>121.77</v>
      </c>
      <c r="AA21" s="34">
        <v>121.77</v>
      </c>
      <c r="AB21" s="34">
        <v>121.77</v>
      </c>
      <c r="AC21" s="34">
        <v>121.77</v>
      </c>
      <c r="AD21" s="34">
        <v>121.77</v>
      </c>
      <c r="AE21" s="34">
        <v>121.77</v>
      </c>
      <c r="AF21" s="34">
        <f>AE37*(AF15-AF14)</f>
        <v>102.66248795727469</v>
      </c>
    </row>
    <row r="22" spans="1:32" ht="15.75" thickBot="1">
      <c r="A22" s="32" t="s">
        <v>4</v>
      </c>
      <c r="B22" s="32"/>
      <c r="C22" s="32"/>
      <c r="D22" s="32"/>
      <c r="E22" s="32"/>
      <c r="F22" s="32"/>
      <c r="G22" s="32"/>
      <c r="H22" s="32"/>
      <c r="I22" s="32"/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</row>
    <row r="23" spans="1:32" ht="15" customHeight="1" thickBot="1">
      <c r="A23" s="25" t="s">
        <v>31</v>
      </c>
      <c r="B23" s="28">
        <v>0</v>
      </c>
      <c r="C23" s="28">
        <v>1.1299999999999999</v>
      </c>
      <c r="D23" s="28">
        <v>1.1299999999999999</v>
      </c>
      <c r="E23" s="28">
        <v>1.1299999999999999</v>
      </c>
      <c r="F23" s="28">
        <v>1.1299999999999999</v>
      </c>
      <c r="G23" s="28">
        <v>1.1299999999999999</v>
      </c>
      <c r="H23" s="28">
        <v>1.1299999999999999</v>
      </c>
      <c r="I23" s="28">
        <v>1.1299999999999999</v>
      </c>
      <c r="J23" s="28">
        <v>1.1299999999999999</v>
      </c>
      <c r="K23" s="28">
        <v>1.1299999999999999</v>
      </c>
      <c r="L23" s="28">
        <v>1.1299999999999999</v>
      </c>
      <c r="M23" s="28">
        <v>1.1299999999999999</v>
      </c>
      <c r="N23" s="28">
        <v>1.1299999999999999</v>
      </c>
      <c r="O23" s="34">
        <v>1.1299999999999999</v>
      </c>
      <c r="P23" s="34">
        <v>1.1299999999999999</v>
      </c>
      <c r="Q23" s="34">
        <v>1.1599999999999999</v>
      </c>
      <c r="R23" s="34">
        <v>1.1599999999999999</v>
      </c>
      <c r="S23" s="34">
        <v>1.1599999999999999</v>
      </c>
      <c r="T23" s="34">
        <v>1.1599999999999999</v>
      </c>
      <c r="U23" s="34">
        <v>1.22</v>
      </c>
      <c r="V23" s="34">
        <v>1.22</v>
      </c>
      <c r="W23" s="34">
        <v>1.22</v>
      </c>
      <c r="X23" s="34">
        <v>1.22</v>
      </c>
      <c r="Y23" s="34">
        <v>1.33</v>
      </c>
      <c r="Z23" s="34">
        <v>1.33</v>
      </c>
      <c r="AA23" s="34">
        <v>1.33</v>
      </c>
      <c r="AB23" s="34">
        <v>1.33</v>
      </c>
      <c r="AC23" s="34">
        <v>1.33</v>
      </c>
      <c r="AD23" s="34">
        <v>1.33</v>
      </c>
      <c r="AE23" s="34">
        <v>1.33</v>
      </c>
      <c r="AF23" s="34">
        <v>1.33</v>
      </c>
    </row>
    <row r="24" spans="1:32" ht="15" customHeight="1" thickBot="1">
      <c r="A24" s="25" t="s">
        <v>32</v>
      </c>
      <c r="B24" s="28">
        <v>0</v>
      </c>
      <c r="C24" s="28">
        <v>9.69</v>
      </c>
      <c r="D24" s="28">
        <v>9.69</v>
      </c>
      <c r="E24" s="28">
        <v>9.69</v>
      </c>
      <c r="F24" s="28">
        <v>9.69</v>
      </c>
      <c r="G24" s="28">
        <v>9.69</v>
      </c>
      <c r="H24" s="28">
        <v>9.69</v>
      </c>
      <c r="I24" s="28">
        <v>9.69</v>
      </c>
      <c r="J24" s="28">
        <v>9.69</v>
      </c>
      <c r="K24" s="28">
        <v>9.69</v>
      </c>
      <c r="L24" s="28">
        <v>9.69</v>
      </c>
      <c r="M24" s="28">
        <v>9.69</v>
      </c>
      <c r="N24" s="28">
        <v>9.69</v>
      </c>
      <c r="O24" s="34">
        <v>9.69</v>
      </c>
      <c r="P24" s="34">
        <v>9.69</v>
      </c>
      <c r="Q24" s="34">
        <v>9.94</v>
      </c>
      <c r="R24" s="34">
        <v>9.94</v>
      </c>
      <c r="S24" s="34">
        <v>9.94</v>
      </c>
      <c r="T24" s="34">
        <v>9.94</v>
      </c>
      <c r="U24" s="34">
        <v>10.25</v>
      </c>
      <c r="V24" s="34">
        <v>10.25</v>
      </c>
      <c r="W24" s="34">
        <v>10.25</v>
      </c>
      <c r="X24" s="34">
        <v>10.25</v>
      </c>
      <c r="Y24" s="34">
        <v>11.43</v>
      </c>
      <c r="Z24" s="34">
        <v>11.43</v>
      </c>
      <c r="AA24" s="34">
        <v>11.43</v>
      </c>
      <c r="AB24" s="34">
        <v>11.43</v>
      </c>
      <c r="AC24" s="34">
        <v>11.43</v>
      </c>
      <c r="AD24" s="34">
        <v>11.43</v>
      </c>
      <c r="AE24" s="34">
        <v>11.43</v>
      </c>
      <c r="AF24" s="34">
        <v>11.43</v>
      </c>
    </row>
    <row r="25" spans="1:32" ht="17.25" customHeight="1" thickBot="1">
      <c r="A25" s="25" t="s">
        <v>36</v>
      </c>
      <c r="B25" s="28"/>
      <c r="C25" s="28">
        <v>450</v>
      </c>
      <c r="D25" s="28">
        <v>450</v>
      </c>
      <c r="E25" s="28">
        <v>300</v>
      </c>
      <c r="F25" s="28"/>
      <c r="G25" s="28"/>
      <c r="H25" s="28"/>
      <c r="I25" s="28"/>
      <c r="J25" s="28"/>
      <c r="K25" s="28"/>
      <c r="L25" s="28"/>
      <c r="M25" s="28"/>
      <c r="N25" s="28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1:32" ht="17.25" customHeight="1" thickBot="1">
      <c r="A26" s="25" t="s">
        <v>27</v>
      </c>
      <c r="B26" s="28"/>
      <c r="C26" s="28"/>
      <c r="D26" s="28"/>
      <c r="E26" s="28"/>
      <c r="F26" s="28"/>
      <c r="G26" s="28"/>
      <c r="H26" s="28"/>
      <c r="I26" s="28"/>
      <c r="J26" s="28"/>
      <c r="K26" s="28">
        <v>150</v>
      </c>
      <c r="L26" s="28"/>
      <c r="M26" s="28"/>
      <c r="N26" s="28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1:32" ht="15" customHeight="1" thickBot="1">
      <c r="A27" s="25" t="s">
        <v>28</v>
      </c>
      <c r="B27" s="28"/>
      <c r="C27" s="28"/>
      <c r="D27" s="28"/>
      <c r="E27" s="28"/>
      <c r="F27" s="28"/>
      <c r="G27" s="28"/>
      <c r="H27" s="28"/>
      <c r="I27" s="28"/>
      <c r="J27" s="28"/>
      <c r="K27" s="28">
        <v>38.47</v>
      </c>
      <c r="L27" s="28">
        <v>38.47</v>
      </c>
      <c r="M27" s="28">
        <v>38.47</v>
      </c>
      <c r="N27" s="28">
        <v>38.47</v>
      </c>
      <c r="O27" s="34">
        <v>38.47</v>
      </c>
      <c r="P27" s="34">
        <v>38.47</v>
      </c>
      <c r="Q27" s="34">
        <v>38.47</v>
      </c>
      <c r="R27" s="34">
        <v>38.47</v>
      </c>
      <c r="S27" s="34">
        <v>38.47</v>
      </c>
      <c r="T27" s="34">
        <v>38.47</v>
      </c>
      <c r="U27" s="34">
        <v>38.47</v>
      </c>
      <c r="V27" s="34">
        <v>38.47</v>
      </c>
      <c r="W27" s="34">
        <v>38.47</v>
      </c>
      <c r="X27" s="34">
        <v>38.47</v>
      </c>
      <c r="Y27" s="34">
        <v>38.47</v>
      </c>
      <c r="Z27" s="34">
        <v>38.47</v>
      </c>
      <c r="AA27" s="34">
        <v>38.47</v>
      </c>
      <c r="AB27" s="34">
        <v>38.47</v>
      </c>
      <c r="AC27" s="34">
        <v>38.47</v>
      </c>
      <c r="AD27" s="34">
        <v>38.47</v>
      </c>
      <c r="AE27" s="34">
        <v>38.47</v>
      </c>
      <c r="AF27" s="34">
        <v>38.47</v>
      </c>
    </row>
    <row r="28" spans="1:32" ht="15" customHeight="1" thickBot="1">
      <c r="A28" s="25" t="s">
        <v>38</v>
      </c>
      <c r="B28" s="28"/>
      <c r="C28" s="28"/>
      <c r="D28" s="28"/>
      <c r="E28" s="28"/>
      <c r="F28" s="28"/>
      <c r="G28" s="28"/>
      <c r="H28" s="28"/>
      <c r="I28" s="28"/>
      <c r="J28" s="28">
        <v>150</v>
      </c>
      <c r="K28" s="28">
        <v>240</v>
      </c>
      <c r="L28" s="28">
        <v>240</v>
      </c>
      <c r="M28" s="28">
        <v>240</v>
      </c>
      <c r="N28" s="28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1:32" ht="15" customHeight="1" thickBot="1">
      <c r="A29" s="25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s="41" customFormat="1" ht="15" customHeight="1">
      <c r="A30" s="40" t="s">
        <v>43</v>
      </c>
      <c r="B30" s="37">
        <f>B15-SUM(B17:B21)-SUM(B23:B28)</f>
        <v>4436.57</v>
      </c>
      <c r="C30" s="37">
        <f t="shared" ref="C30:R30" si="3">C15-SUM(C17:C21)-SUM(C23:C28)</f>
        <v>1583.6200000000001</v>
      </c>
      <c r="D30" s="37">
        <f t="shared" si="3"/>
        <v>1583.6100000000004</v>
      </c>
      <c r="E30" s="37">
        <f t="shared" si="3"/>
        <v>1733.6600000000005</v>
      </c>
      <c r="F30" s="37">
        <f t="shared" si="3"/>
        <v>2033.6500000000003</v>
      </c>
      <c r="G30" s="37">
        <f t="shared" si="3"/>
        <v>2033.6500000000003</v>
      </c>
      <c r="H30" s="37">
        <f t="shared" si="3"/>
        <v>2033.6600000000005</v>
      </c>
      <c r="I30" s="37">
        <f t="shared" si="3"/>
        <v>2179.34</v>
      </c>
      <c r="J30" s="37">
        <f t="shared" si="3"/>
        <v>2029.3400000000004</v>
      </c>
      <c r="K30" s="37">
        <f t="shared" si="3"/>
        <v>1900.88</v>
      </c>
      <c r="L30" s="37">
        <f t="shared" si="3"/>
        <v>1900.8700000000003</v>
      </c>
      <c r="M30" s="37">
        <f t="shared" si="3"/>
        <v>1900.88</v>
      </c>
      <c r="N30" s="37">
        <f t="shared" si="3"/>
        <v>1962.3100000000004</v>
      </c>
      <c r="O30" s="37">
        <f t="shared" si="3"/>
        <v>1962.3200000000004</v>
      </c>
      <c r="P30" s="37">
        <f t="shared" si="3"/>
        <v>2738.66</v>
      </c>
      <c r="Q30" s="37">
        <f t="shared" si="3"/>
        <v>4251.3758305896354</v>
      </c>
      <c r="R30" s="37">
        <f>R15-SUM(R17:R21)-SUM(R23:R28)-R14-1.55</f>
        <v>1718.2299999999998</v>
      </c>
      <c r="S30" s="37">
        <f>S15-SUM(S17:S21)-SUM(S23:S28)-S14-1.55</f>
        <v>1718.2299999999998</v>
      </c>
      <c r="T30" s="37">
        <f>T15-SUM(T17:T21)-SUM(T23:T28)-1.42</f>
        <v>2176.2199999999998</v>
      </c>
      <c r="U30" s="37">
        <f t="shared" ref="U30:W30" si="4">U15-SUM(U17:U21)-SUM(U23:U28)-1.55</f>
        <v>2240.0699999999997</v>
      </c>
      <c r="V30" s="37">
        <f t="shared" si="4"/>
        <v>2240.0699999999997</v>
      </c>
      <c r="W30" s="37">
        <f t="shared" si="4"/>
        <v>2240.0799999999995</v>
      </c>
      <c r="X30" s="37">
        <f>X15-SUM(X17:X21)-SUM(X23:X28)-1.55</f>
        <v>2240.0699999999997</v>
      </c>
      <c r="Y30" s="37">
        <f>Y15-SUM(Y17:Y21)-SUM(Y23:Y28)-1.92</f>
        <v>2482.89</v>
      </c>
      <c r="Z30" s="37">
        <f>Z15-SUM(Z17:Z21)-SUM(Z23:Z28)-1.92</f>
        <v>2482.9</v>
      </c>
      <c r="AA30" s="37">
        <f>AA15-SUM(AA17:AA21)-SUM(AA23:AA28)-1.92</f>
        <v>2482.9</v>
      </c>
      <c r="AB30" s="37">
        <f>AB15-SUM(AB17:AB21)-SUM(AB23:AB28)-1.92</f>
        <v>2482.89</v>
      </c>
      <c r="AC30" s="37">
        <f>AC15-SUM(AC17:AC21)-SUM(AC23:AC28)-1.92</f>
        <v>2482.9</v>
      </c>
      <c r="AD30" s="37">
        <f>AD15-SUM(AD17:AD21)-SUM(AD23:AD28)-1.92</f>
        <v>2482.89</v>
      </c>
      <c r="AE30" s="37">
        <f>AE15-SUM(AE17:AE21)-SUM(AE23:AE28)-1.92</f>
        <v>2482.9</v>
      </c>
      <c r="AF30" s="37">
        <f>AF15-SUM(AF17:AF21)-SUM(AF23:AF28)-1.92-AF14</f>
        <v>1971.2370120427249</v>
      </c>
    </row>
    <row r="31" spans="1:32" ht="15.75" thickBot="1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</row>
    <row r="32" spans="1:32" ht="15.75" thickBot="1">
      <c r="A32" s="32" t="s">
        <v>44</v>
      </c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</row>
    <row r="33" spans="1:32" ht="16.5" thickBot="1">
      <c r="A33" s="29" t="s">
        <v>37</v>
      </c>
      <c r="B33" s="42">
        <f>B17/B$15</f>
        <v>6.2000155919727816E-2</v>
      </c>
      <c r="C33" s="42">
        <f t="shared" ref="C33:P33" si="5">C17/C$15</f>
        <v>6.2028703478472384E-2</v>
      </c>
      <c r="D33" s="42">
        <f t="shared" si="5"/>
        <v>6.2028703478472384E-2</v>
      </c>
      <c r="E33" s="42">
        <f t="shared" si="5"/>
        <v>6.2028703478472384E-2</v>
      </c>
      <c r="F33" s="42">
        <f t="shared" si="5"/>
        <v>6.2028703478472384E-2</v>
      </c>
      <c r="G33" s="42">
        <f t="shared" si="5"/>
        <v>6.2028703478472384E-2</v>
      </c>
      <c r="H33" s="42">
        <f t="shared" si="5"/>
        <v>6.2028703478472384E-2</v>
      </c>
      <c r="I33" s="42">
        <f t="shared" si="5"/>
        <v>6.2028703478472384E-2</v>
      </c>
      <c r="J33" s="42">
        <f t="shared" si="5"/>
        <v>6.2028703478472384E-2</v>
      </c>
      <c r="K33" s="42">
        <f t="shared" si="5"/>
        <v>6.2028596846353194E-2</v>
      </c>
      <c r="L33" s="42">
        <f t="shared" si="5"/>
        <v>6.2028703478472384E-2</v>
      </c>
      <c r="M33" s="42">
        <f t="shared" si="5"/>
        <v>6.2028703478472384E-2</v>
      </c>
      <c r="N33" s="42">
        <f t="shared" si="5"/>
        <v>6.7672593547408719E-2</v>
      </c>
      <c r="O33" s="42">
        <f t="shared" si="5"/>
        <v>6.7672593547408719E-2</v>
      </c>
      <c r="P33" s="80">
        <f t="shared" si="5"/>
        <v>6.758592831962397E-2</v>
      </c>
      <c r="Q33" s="80">
        <f t="shared" ref="Q33:S33" si="6">Q17/Q$15</f>
        <v>6.2019963269894077E-2</v>
      </c>
      <c r="R33" s="80">
        <f t="shared" si="6"/>
        <v>6.1999335586858322E-2</v>
      </c>
      <c r="S33" s="80">
        <f t="shared" si="6"/>
        <v>6.1999335586858322E-2</v>
      </c>
      <c r="T33" s="80">
        <f t="shared" ref="T33:U33" si="7">T17/T$15</f>
        <v>6.1999335586858322E-2</v>
      </c>
      <c r="U33" s="80">
        <f t="shared" si="7"/>
        <v>6.2000006630662172E-2</v>
      </c>
      <c r="V33" s="80">
        <f t="shared" ref="V33:W33" si="8">V17/V$15</f>
        <v>6.2000006630662172E-2</v>
      </c>
      <c r="W33" s="80">
        <f t="shared" si="8"/>
        <v>6.2000006630662172E-2</v>
      </c>
      <c r="X33" s="80">
        <f t="shared" ref="X33:Y33" si="9">X17/X$15</f>
        <v>6.2000006630662172E-2</v>
      </c>
      <c r="Y33" s="80">
        <f t="shared" si="9"/>
        <v>6.2000745002276397E-2</v>
      </c>
      <c r="Z33" s="80">
        <f t="shared" ref="Z33:AA33" si="10">Z17/Z$15</f>
        <v>6.2000745002276397E-2</v>
      </c>
      <c r="AA33" s="80">
        <f t="shared" si="10"/>
        <v>6.2000745002276397E-2</v>
      </c>
      <c r="AB33" s="80">
        <f t="shared" ref="AB33:AC33" si="11">AB17/AB$15</f>
        <v>6.2000745002276397E-2</v>
      </c>
      <c r="AC33" s="80">
        <f t="shared" si="11"/>
        <v>6.2000745002276397E-2</v>
      </c>
      <c r="AD33" s="80">
        <f t="shared" ref="AD33:AE33" si="12">AD17/AD$15</f>
        <v>6.2000745002276397E-2</v>
      </c>
      <c r="AE33" s="80">
        <f t="shared" si="12"/>
        <v>6.2000745002276397E-2</v>
      </c>
      <c r="AF33" s="80">
        <f t="shared" ref="AF33" si="13">AF17/AF$15</f>
        <v>6.2000745002276397E-2</v>
      </c>
    </row>
    <row r="34" spans="1:32" ht="16.5" thickBot="1">
      <c r="A34" s="29" t="s">
        <v>34</v>
      </c>
      <c r="B34" s="42">
        <f t="shared" ref="B34:P37" si="14">B18/B$15</f>
        <v>1.4500534686991147E-2</v>
      </c>
      <c r="C34" s="42">
        <f t="shared" si="14"/>
        <v>1.4504639121520658E-2</v>
      </c>
      <c r="D34" s="42">
        <f t="shared" si="14"/>
        <v>1.4508114118914409E-2</v>
      </c>
      <c r="E34" s="42">
        <f t="shared" si="14"/>
        <v>1.4504639121520658E-2</v>
      </c>
      <c r="F34" s="42">
        <f t="shared" si="14"/>
        <v>1.4508114118914409E-2</v>
      </c>
      <c r="G34" s="42">
        <f t="shared" si="14"/>
        <v>1.4508114118914409E-2</v>
      </c>
      <c r="H34" s="42">
        <f t="shared" si="14"/>
        <v>1.4504639121520658E-2</v>
      </c>
      <c r="I34" s="42">
        <f t="shared" si="14"/>
        <v>1.4508114118914409E-2</v>
      </c>
      <c r="J34" s="42">
        <f t="shared" si="14"/>
        <v>1.4508114118914409E-2</v>
      </c>
      <c r="K34" s="42">
        <f t="shared" si="14"/>
        <v>1.4504712419901755E-2</v>
      </c>
      <c r="L34" s="42">
        <f t="shared" si="14"/>
        <v>1.4508114118914409E-2</v>
      </c>
      <c r="M34" s="42">
        <f t="shared" si="14"/>
        <v>1.4504639121520658E-2</v>
      </c>
      <c r="N34" s="42">
        <f t="shared" si="14"/>
        <v>1.5828183644842096E-2</v>
      </c>
      <c r="O34" s="42">
        <f t="shared" si="14"/>
        <v>1.5824392463130756E-2</v>
      </c>
      <c r="P34" s="80">
        <f t="shared" si="14"/>
        <v>1.5808607520564042E-2</v>
      </c>
      <c r="Q34" s="80">
        <f t="shared" ref="Q34:S34" si="15">Q18/Q$15</f>
        <v>1.4506706975109697E-2</v>
      </c>
      <c r="R34" s="80">
        <f t="shared" si="15"/>
        <v>1.4500645576686635E-2</v>
      </c>
      <c r="S34" s="80">
        <f t="shared" si="15"/>
        <v>1.4500645576686635E-2</v>
      </c>
      <c r="T34" s="80">
        <f t="shared" ref="T34:U34" si="16">T18/T$15</f>
        <v>1.4497220766677969E-2</v>
      </c>
      <c r="U34" s="80">
        <f t="shared" si="16"/>
        <v>1.4501258168146963E-2</v>
      </c>
      <c r="V34" s="80">
        <f t="shared" ref="V34:W34" si="17">V18/V$15</f>
        <v>1.4501258168146963E-2</v>
      </c>
      <c r="W34" s="80">
        <f t="shared" si="17"/>
        <v>1.4497942837061422E-2</v>
      </c>
      <c r="X34" s="80">
        <f t="shared" ref="X34:Y34" si="18">X18/X$15</f>
        <v>1.4501258168146963E-2</v>
      </c>
      <c r="Y34" s="80">
        <f t="shared" si="18"/>
        <v>1.4500937165561974E-2</v>
      </c>
      <c r="Z34" s="80">
        <f t="shared" ref="Z34:AA34" si="19">Z18/Z$15</f>
        <v>1.4497980807322309E-2</v>
      </c>
      <c r="AA34" s="80">
        <f t="shared" si="19"/>
        <v>1.4497980807322309E-2</v>
      </c>
      <c r="AB34" s="80">
        <f t="shared" ref="AB34:AC34" si="20">AB18/AB$15</f>
        <v>1.4500937165561974E-2</v>
      </c>
      <c r="AC34" s="80">
        <f t="shared" si="20"/>
        <v>1.4497980807322309E-2</v>
      </c>
      <c r="AD34" s="80">
        <f t="shared" ref="AD34:AE34" si="21">AD18/AD$15</f>
        <v>1.4500937165561974E-2</v>
      </c>
      <c r="AE34" s="80">
        <f t="shared" si="21"/>
        <v>1.4497980807322309E-2</v>
      </c>
      <c r="AF34" s="80">
        <f t="shared" ref="AF34" si="22">AF18/AF$15</f>
        <v>1.4497980807322309E-2</v>
      </c>
    </row>
    <row r="35" spans="1:32" ht="16.5" thickBot="1">
      <c r="A35" s="25" t="s">
        <v>29</v>
      </c>
      <c r="B35" s="42">
        <f t="shared" si="14"/>
        <v>0.18032704898380053</v>
      </c>
      <c r="C35" s="42">
        <f t="shared" si="14"/>
        <v>0.12637870521597108</v>
      </c>
      <c r="D35" s="42">
        <f t="shared" si="14"/>
        <v>0.12637870521597108</v>
      </c>
      <c r="E35" s="42">
        <f t="shared" si="14"/>
        <v>0.12636480522639607</v>
      </c>
      <c r="F35" s="42">
        <f t="shared" si="14"/>
        <v>0.12636480522639607</v>
      </c>
      <c r="G35" s="42">
        <f t="shared" si="14"/>
        <v>0.12636480522639607</v>
      </c>
      <c r="H35" s="42">
        <f t="shared" si="14"/>
        <v>0.12636480522639607</v>
      </c>
      <c r="I35" s="42">
        <f t="shared" si="14"/>
        <v>0.12636480522639607</v>
      </c>
      <c r="J35" s="42">
        <f t="shared" si="14"/>
        <v>0.12636480522639607</v>
      </c>
      <c r="K35" s="42">
        <f t="shared" si="14"/>
        <v>0.13315003674527146</v>
      </c>
      <c r="L35" s="42">
        <f t="shared" si="14"/>
        <v>0.12636480522639607</v>
      </c>
      <c r="M35" s="42">
        <f t="shared" si="14"/>
        <v>0.12636480522639607</v>
      </c>
      <c r="N35" s="42">
        <f t="shared" si="14"/>
        <v>0.11784509231527465</v>
      </c>
      <c r="O35" s="42">
        <f t="shared" si="14"/>
        <v>0.11784509231527465</v>
      </c>
      <c r="P35" s="80">
        <f t="shared" si="14"/>
        <v>0.14932275054557662</v>
      </c>
      <c r="Q35" s="80">
        <f t="shared" ref="Q35:S35" si="23">Q19/Q$15</f>
        <v>0.17799800654629386</v>
      </c>
      <c r="R35" s="80">
        <f t="shared" si="23"/>
        <v>7.8359652998249929E-2</v>
      </c>
      <c r="S35" s="80">
        <f t="shared" si="23"/>
        <v>7.8359652998249929E-2</v>
      </c>
      <c r="T35" s="80">
        <f t="shared" ref="T35:U35" si="24">T19/T$15</f>
        <v>0.12472473089555358</v>
      </c>
      <c r="U35" s="80">
        <f t="shared" si="24"/>
        <v>0.12776954470558202</v>
      </c>
      <c r="V35" s="80">
        <f t="shared" ref="V35:W35" si="25">V19/V$15</f>
        <v>0.12776954470558202</v>
      </c>
      <c r="W35" s="80">
        <f t="shared" si="25"/>
        <v>0.12776954470558202</v>
      </c>
      <c r="X35" s="80">
        <f t="shared" ref="X35:Y35" si="26">X19/X$15</f>
        <v>0.12776954470558202</v>
      </c>
      <c r="Y35" s="80">
        <f t="shared" si="26"/>
        <v>0.13775446853547926</v>
      </c>
      <c r="Z35" s="80">
        <f t="shared" ref="Z35:AA35" si="27">Z19/Z$15</f>
        <v>0.13775446853547926</v>
      </c>
      <c r="AA35" s="80">
        <f t="shared" si="27"/>
        <v>0.13775446853547926</v>
      </c>
      <c r="AB35" s="80">
        <f t="shared" ref="AB35:AC35" si="28">AB19/AB$15</f>
        <v>0.13775446853547926</v>
      </c>
      <c r="AC35" s="80">
        <f t="shared" si="28"/>
        <v>0.13775446853547926</v>
      </c>
      <c r="AD35" s="80">
        <f t="shared" ref="AD35:AE35" si="29">AD19/AD$15</f>
        <v>0.13775446853547926</v>
      </c>
      <c r="AE35" s="80">
        <f t="shared" si="29"/>
        <v>0.13775446853547926</v>
      </c>
      <c r="AF35" s="80">
        <f t="shared" ref="AF35" si="30">AF19/AF$15</f>
        <v>0.13775446853547926</v>
      </c>
    </row>
    <row r="36" spans="1:32" ht="16.5" thickBot="1">
      <c r="A36" s="29" t="s">
        <v>39</v>
      </c>
      <c r="B36" s="42">
        <f t="shared" si="14"/>
        <v>5.4579259440130506E-2</v>
      </c>
      <c r="C36" s="42">
        <f t="shared" si="14"/>
        <v>5.0627237029572225E-2</v>
      </c>
      <c r="D36" s="42">
        <f t="shared" si="14"/>
        <v>5.0627237029572225E-2</v>
      </c>
      <c r="E36" s="42">
        <f t="shared" si="14"/>
        <v>5.0627237029572225E-2</v>
      </c>
      <c r="F36" s="42">
        <f t="shared" si="14"/>
        <v>5.0627237029572225E-2</v>
      </c>
      <c r="G36" s="42">
        <f t="shared" si="14"/>
        <v>5.0627237029572225E-2</v>
      </c>
      <c r="H36" s="42">
        <f t="shared" si="14"/>
        <v>5.0627237029572225E-2</v>
      </c>
      <c r="I36" s="42">
        <f t="shared" si="14"/>
        <v>0</v>
      </c>
      <c r="J36" s="42">
        <f t="shared" si="14"/>
        <v>0</v>
      </c>
      <c r="K36" s="42">
        <f t="shared" si="14"/>
        <v>0</v>
      </c>
      <c r="L36" s="42">
        <f t="shared" si="14"/>
        <v>0</v>
      </c>
      <c r="M36" s="42">
        <f t="shared" si="14"/>
        <v>0</v>
      </c>
      <c r="N36" s="42">
        <f t="shared" si="14"/>
        <v>0</v>
      </c>
      <c r="O36" s="42">
        <f t="shared" si="14"/>
        <v>0</v>
      </c>
      <c r="P36" s="80">
        <f t="shared" si="14"/>
        <v>0</v>
      </c>
      <c r="Q36" s="80">
        <f t="shared" ref="Q36:S36" si="31">Q20/Q$15</f>
        <v>0</v>
      </c>
      <c r="R36" s="80">
        <f t="shared" si="31"/>
        <v>0</v>
      </c>
      <c r="S36" s="80">
        <f t="shared" si="31"/>
        <v>0</v>
      </c>
      <c r="T36" s="80">
        <f t="shared" ref="T36:U36" si="32">T20/T$15</f>
        <v>0</v>
      </c>
      <c r="U36" s="80">
        <f t="shared" si="32"/>
        <v>0</v>
      </c>
      <c r="V36" s="80">
        <f t="shared" ref="V36:W36" si="33">V20/V$15</f>
        <v>0</v>
      </c>
      <c r="W36" s="80">
        <f t="shared" si="33"/>
        <v>0</v>
      </c>
      <c r="X36" s="80">
        <f t="shared" ref="X36:Y36" si="34">X20/X$15</f>
        <v>0</v>
      </c>
      <c r="Y36" s="80">
        <f t="shared" si="34"/>
        <v>0</v>
      </c>
      <c r="Z36" s="80">
        <f t="shared" ref="Z36:AA36" si="35">Z20/Z$15</f>
        <v>0</v>
      </c>
      <c r="AA36" s="80">
        <f t="shared" si="35"/>
        <v>0</v>
      </c>
      <c r="AB36" s="80">
        <f t="shared" ref="AB36:AC36" si="36">AB20/AB$15</f>
        <v>0</v>
      </c>
      <c r="AC36" s="80">
        <f t="shared" si="36"/>
        <v>0</v>
      </c>
      <c r="AD36" s="80">
        <f t="shared" ref="AD36:AE36" si="37">AD20/AD$15</f>
        <v>0</v>
      </c>
      <c r="AE36" s="80">
        <f t="shared" si="37"/>
        <v>0</v>
      </c>
      <c r="AF36" s="80">
        <f t="shared" ref="AF36" si="38">AF20/AF$15</f>
        <v>0</v>
      </c>
    </row>
    <row r="37" spans="1:32" ht="15.75">
      <c r="A37" s="29" t="s">
        <v>40</v>
      </c>
      <c r="B37" s="80">
        <f t="shared" ref="B37:AE37" si="39">B21/(B$15-B14)</f>
        <v>3.5999805835810646E-2</v>
      </c>
      <c r="C37" s="80">
        <f t="shared" si="39"/>
        <v>3.6018347986239006E-2</v>
      </c>
      <c r="D37" s="80">
        <f t="shared" si="39"/>
        <v>3.6018347986239006E-2</v>
      </c>
      <c r="E37" s="80">
        <f t="shared" si="39"/>
        <v>3.6018347986239006E-2</v>
      </c>
      <c r="F37" s="80">
        <f t="shared" si="39"/>
        <v>3.6018347986239006E-2</v>
      </c>
      <c r="G37" s="80">
        <f t="shared" si="39"/>
        <v>3.6018347986239006E-2</v>
      </c>
      <c r="H37" s="80">
        <f t="shared" si="39"/>
        <v>3.6018347986239006E-2</v>
      </c>
      <c r="I37" s="80">
        <f t="shared" si="39"/>
        <v>3.6018347986239006E-2</v>
      </c>
      <c r="J37" s="80">
        <f t="shared" si="39"/>
        <v>3.6018347986239006E-2</v>
      </c>
      <c r="K37" s="80">
        <f t="shared" si="39"/>
        <v>3.6016812573329379E-2</v>
      </c>
      <c r="L37" s="80">
        <f t="shared" si="39"/>
        <v>3.6018347986239006E-2</v>
      </c>
      <c r="M37" s="80">
        <f t="shared" si="39"/>
        <v>3.6018347986239006E-2</v>
      </c>
      <c r="N37" s="80">
        <f t="shared" si="39"/>
        <v>3.9625474412979103E-2</v>
      </c>
      <c r="O37" s="80">
        <f t="shared" si="39"/>
        <v>3.9625474412979103E-2</v>
      </c>
      <c r="P37" s="80">
        <f t="shared" si="39"/>
        <v>3.9563960776064527E-2</v>
      </c>
      <c r="Q37" s="80">
        <f t="shared" si="39"/>
        <v>3.5999999999999997E-2</v>
      </c>
      <c r="R37" s="80">
        <f t="shared" si="39"/>
        <v>3.5999444560161076E-2</v>
      </c>
      <c r="S37" s="80">
        <f t="shared" si="39"/>
        <v>3.5999444560161076E-2</v>
      </c>
      <c r="T37" s="80">
        <f t="shared" si="39"/>
        <v>3.6001602811084055E-2</v>
      </c>
      <c r="U37" s="80">
        <f t="shared" si="39"/>
        <v>3.6001180257866451E-2</v>
      </c>
      <c r="V37" s="80">
        <f t="shared" si="39"/>
        <v>3.6001180257866451E-2</v>
      </c>
      <c r="W37" s="80">
        <f t="shared" si="39"/>
        <v>3.6001180257866451E-2</v>
      </c>
      <c r="X37" s="80">
        <f t="shared" si="39"/>
        <v>3.6001180257866451E-2</v>
      </c>
      <c r="Y37" s="80">
        <f t="shared" si="39"/>
        <v>3.5999574284413485E-2</v>
      </c>
      <c r="Z37" s="80">
        <f t="shared" si="39"/>
        <v>3.5999574284413485E-2</v>
      </c>
      <c r="AA37" s="80">
        <f t="shared" si="39"/>
        <v>3.5999574284413485E-2</v>
      </c>
      <c r="AB37" s="80">
        <f t="shared" si="39"/>
        <v>3.5999574284413485E-2</v>
      </c>
      <c r="AC37" s="80">
        <f t="shared" si="39"/>
        <v>3.5999574284413485E-2</v>
      </c>
      <c r="AD37" s="80">
        <f t="shared" si="39"/>
        <v>3.5999574284413485E-2</v>
      </c>
      <c r="AE37" s="80">
        <f t="shared" si="39"/>
        <v>3.5999574284413485E-2</v>
      </c>
      <c r="AF37" s="80">
        <f>AF21/(AF$15-AF14)</f>
        <v>3.5999574284413485E-2</v>
      </c>
    </row>
    <row r="38" spans="1:32" ht="31.5">
      <c r="A38" s="83" t="s">
        <v>35</v>
      </c>
      <c r="B38" s="82">
        <f t="shared" ref="B38:M38" si="40">B14/B7</f>
        <v>0</v>
      </c>
      <c r="C38" s="82">
        <f t="shared" si="40"/>
        <v>0</v>
      </c>
      <c r="D38" s="82">
        <f t="shared" si="40"/>
        <v>0</v>
      </c>
      <c r="E38" s="82">
        <f t="shared" si="40"/>
        <v>0</v>
      </c>
      <c r="F38" s="82">
        <f t="shared" si="40"/>
        <v>0</v>
      </c>
      <c r="G38" s="82">
        <f t="shared" si="40"/>
        <v>0</v>
      </c>
      <c r="H38" s="82">
        <f t="shared" si="40"/>
        <v>0</v>
      </c>
      <c r="I38" s="82">
        <f t="shared" si="40"/>
        <v>0</v>
      </c>
      <c r="J38" s="82">
        <f t="shared" si="40"/>
        <v>0</v>
      </c>
      <c r="K38" s="82">
        <f t="shared" si="40"/>
        <v>0</v>
      </c>
      <c r="L38" s="82">
        <f t="shared" si="40"/>
        <v>0</v>
      </c>
      <c r="M38" s="82">
        <f t="shared" si="40"/>
        <v>0</v>
      </c>
      <c r="N38" s="82">
        <f t="shared" ref="N38:R38" si="41">N14/N7</f>
        <v>0.08</v>
      </c>
      <c r="O38" s="82">
        <f t="shared" si="41"/>
        <v>0.08</v>
      </c>
      <c r="P38" s="82">
        <f t="shared" si="41"/>
        <v>0.11119849980337544</v>
      </c>
      <c r="Q38" s="82">
        <f t="shared" si="41"/>
        <v>0</v>
      </c>
      <c r="R38" s="82">
        <f t="shared" si="41"/>
        <v>0.200001299997075</v>
      </c>
      <c r="S38" s="82">
        <f>S14/S7</f>
        <v>0.200001299997075</v>
      </c>
      <c r="T38" s="82">
        <f>T14/T7</f>
        <v>0</v>
      </c>
      <c r="U38" s="82">
        <f>U14/U7</f>
        <v>0</v>
      </c>
      <c r="V38" s="82">
        <f>V14/V7</f>
        <v>0</v>
      </c>
      <c r="W38" s="82">
        <f>W14/W7</f>
        <v>0</v>
      </c>
      <c r="X38" s="82">
        <f>X14/X7</f>
        <v>0</v>
      </c>
      <c r="Y38" s="82">
        <f>Y14/Y7</f>
        <v>0</v>
      </c>
      <c r="Z38" s="82">
        <f>Z14/Z7</f>
        <v>0</v>
      </c>
      <c r="AA38" s="82">
        <f>AA14/AA7</f>
        <v>0</v>
      </c>
      <c r="AB38" s="82">
        <f>AB14/AB7</f>
        <v>0</v>
      </c>
      <c r="AC38" s="82">
        <f>AC14/AC7</f>
        <v>0</v>
      </c>
      <c r="AD38" s="82">
        <f>AD14/AD7</f>
        <v>0</v>
      </c>
      <c r="AE38" s="82">
        <f>AE14/AE7</f>
        <v>0</v>
      </c>
      <c r="AF38" s="86">
        <f>AF14/AF7</f>
        <v>0.15</v>
      </c>
    </row>
    <row r="39" spans="1:32" ht="15.75">
      <c r="A39" s="83" t="s">
        <v>125</v>
      </c>
      <c r="B39" s="82">
        <f>B28/B7</f>
        <v>0</v>
      </c>
      <c r="C39" s="82">
        <f t="shared" ref="C39:S39" si="42">C28/C7</f>
        <v>0</v>
      </c>
      <c r="D39" s="82">
        <f t="shared" si="42"/>
        <v>0</v>
      </c>
      <c r="E39" s="82">
        <f t="shared" si="42"/>
        <v>0</v>
      </c>
      <c r="F39" s="82">
        <f t="shared" si="42"/>
        <v>0</v>
      </c>
      <c r="G39" s="82">
        <f t="shared" si="42"/>
        <v>0</v>
      </c>
      <c r="H39" s="82">
        <f t="shared" si="42"/>
        <v>0</v>
      </c>
      <c r="I39" s="82">
        <f t="shared" si="42"/>
        <v>0</v>
      </c>
      <c r="J39" s="82">
        <f t="shared" si="42"/>
        <v>0.05</v>
      </c>
      <c r="K39" s="82">
        <f t="shared" si="42"/>
        <v>0.08</v>
      </c>
      <c r="L39" s="82">
        <f t="shared" si="42"/>
        <v>0.08</v>
      </c>
      <c r="M39" s="82">
        <f t="shared" si="42"/>
        <v>0.08</v>
      </c>
      <c r="N39" s="82">
        <f t="shared" si="42"/>
        <v>0</v>
      </c>
      <c r="O39" s="82">
        <f t="shared" si="42"/>
        <v>0</v>
      </c>
      <c r="P39" s="82">
        <f t="shared" si="42"/>
        <v>0</v>
      </c>
      <c r="Q39" s="82">
        <f t="shared" si="42"/>
        <v>0</v>
      </c>
      <c r="R39" s="82">
        <f t="shared" si="42"/>
        <v>0</v>
      </c>
      <c r="S39" s="82">
        <f t="shared" si="42"/>
        <v>0</v>
      </c>
      <c r="T39" s="82">
        <f t="shared" ref="T39:U39" si="43">T28/T7</f>
        <v>0</v>
      </c>
      <c r="U39" s="82">
        <f t="shared" si="43"/>
        <v>0</v>
      </c>
      <c r="V39" s="82">
        <f t="shared" ref="V39:W39" si="44">V28/V7</f>
        <v>0</v>
      </c>
      <c r="W39" s="82">
        <f t="shared" si="44"/>
        <v>0</v>
      </c>
      <c r="X39" s="82">
        <f t="shared" ref="X39:Y39" si="45">X28/X7</f>
        <v>0</v>
      </c>
      <c r="Y39" s="82">
        <f t="shared" si="45"/>
        <v>0</v>
      </c>
      <c r="Z39" s="82">
        <f t="shared" ref="Z39:AA39" si="46">Z28/Z7</f>
        <v>0</v>
      </c>
      <c r="AA39" s="82">
        <f t="shared" si="46"/>
        <v>0</v>
      </c>
      <c r="AB39" s="82">
        <f t="shared" ref="AB39:AC39" si="47">AB28/AB7</f>
        <v>0</v>
      </c>
      <c r="AC39" s="82">
        <f t="shared" si="47"/>
        <v>0</v>
      </c>
      <c r="AD39" s="82">
        <f t="shared" ref="AD39:AE39" si="48">AD28/AD7</f>
        <v>0</v>
      </c>
      <c r="AE39" s="82">
        <f t="shared" si="48"/>
        <v>0</v>
      </c>
      <c r="AF39" s="82">
        <f t="shared" ref="AF39" si="49">AF28/AF7</f>
        <v>0</v>
      </c>
    </row>
    <row r="40" spans="1:32">
      <c r="R40" s="38">
        <f t="shared" ref="R40:U40" si="50">0.2*R7</f>
        <v>615.38599999999997</v>
      </c>
      <c r="S40" s="38">
        <f t="shared" si="50"/>
        <v>615.38599999999997</v>
      </c>
      <c r="T40" s="38">
        <f t="shared" si="50"/>
        <v>615.38599999999997</v>
      </c>
      <c r="U40" s="38">
        <f t="shared" si="50"/>
        <v>634.61599999999999</v>
      </c>
      <c r="V40" s="38">
        <f>0.2*V7</f>
        <v>634.61599999999999</v>
      </c>
      <c r="W40" s="38">
        <f>0.2*W7</f>
        <v>634.61599999999999</v>
      </c>
      <c r="X40" s="38">
        <f>0.2*X7</f>
        <v>634.61599999999999</v>
      </c>
      <c r="Y40" s="38">
        <f>0.15*Y7</f>
        <v>530.77049999999997</v>
      </c>
      <c r="Z40" s="38">
        <f>0.15*Z7</f>
        <v>530.77049999999997</v>
      </c>
      <c r="AA40" s="38">
        <f>0.15*AA7</f>
        <v>530.77049999999997</v>
      </c>
      <c r="AB40" s="38">
        <f>0.15*AB7</f>
        <v>530.77049999999997</v>
      </c>
      <c r="AC40" s="38">
        <f>0.15*AC7</f>
        <v>530.77049999999997</v>
      </c>
      <c r="AD40" s="38">
        <f>0.15*AD7</f>
        <v>530.77049999999997</v>
      </c>
      <c r="AE40" s="38">
        <f>0.15*AE7</f>
        <v>530.77049999999997</v>
      </c>
      <c r="AF40" s="38">
        <f>0.15*AF7</f>
        <v>530.77049999999997</v>
      </c>
    </row>
    <row r="41" spans="1:32">
      <c r="L41" s="74"/>
      <c r="M41" s="74"/>
      <c r="N41" s="74"/>
      <c r="O41" s="74"/>
      <c r="P41" s="81"/>
      <c r="S41" s="84">
        <f>S30/S15</f>
        <v>0.58846113011880663</v>
      </c>
      <c r="X41" s="38"/>
    </row>
    <row r="42" spans="1:32">
      <c r="S42" s="78"/>
      <c r="Y42" s="38"/>
      <c r="AF42" s="38">
        <f>2000-AF30</f>
        <v>28.762987957275072</v>
      </c>
    </row>
    <row r="43" spans="1:32">
      <c r="S43" s="78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523B-BD74-4A96-9522-F7423A647125}">
  <dimension ref="A1:P42"/>
  <sheetViews>
    <sheetView zoomScale="70" zoomScaleNormal="70" workbookViewId="0">
      <selection activeCell="M6" sqref="M6"/>
    </sheetView>
  </sheetViews>
  <sheetFormatPr defaultRowHeight="15"/>
  <cols>
    <col min="1" max="1" width="8.5703125" bestFit="1" customWidth="1"/>
    <col min="2" max="2" width="8.140625" bestFit="1" customWidth="1"/>
    <col min="4" max="4" width="14.7109375" style="19" customWidth="1"/>
    <col min="5" max="10" width="14.7109375" customWidth="1"/>
    <col min="11" max="11" width="35.140625" customWidth="1"/>
    <col min="12" max="12" width="3.5703125" bestFit="1" customWidth="1"/>
    <col min="13" max="13" width="12.140625" style="39" bestFit="1" customWidth="1"/>
    <col min="16" max="16" width="10" bestFit="1" customWidth="1"/>
  </cols>
  <sheetData>
    <row r="1" spans="1:16" ht="15.75">
      <c r="A1" s="45" t="s">
        <v>46</v>
      </c>
      <c r="B1" s="45"/>
      <c r="D1" s="54" t="s">
        <v>47</v>
      </c>
      <c r="E1" s="48" t="s">
        <v>48</v>
      </c>
      <c r="F1" s="48" t="s">
        <v>49</v>
      </c>
      <c r="G1" s="48" t="s">
        <v>50</v>
      </c>
      <c r="H1" s="48" t="s">
        <v>51</v>
      </c>
      <c r="I1" s="49" t="s">
        <v>52</v>
      </c>
      <c r="J1" s="49" t="s">
        <v>53</v>
      </c>
      <c r="K1" s="43"/>
      <c r="L1" s="1"/>
      <c r="M1" s="60"/>
      <c r="P1" s="38">
        <v>363.68</v>
      </c>
    </row>
    <row r="2" spans="1:16" ht="15.75">
      <c r="A2" s="44"/>
      <c r="B2" s="44"/>
      <c r="C2" s="44"/>
      <c r="D2" s="55">
        <v>2</v>
      </c>
      <c r="E2" s="50">
        <v>4</v>
      </c>
      <c r="F2" s="50">
        <v>12</v>
      </c>
      <c r="G2" s="50">
        <v>24</v>
      </c>
      <c r="H2" s="50">
        <v>26</v>
      </c>
      <c r="I2" s="50">
        <v>52</v>
      </c>
      <c r="J2" s="51">
        <v>260</v>
      </c>
      <c r="L2" s="44"/>
      <c r="M2" s="61"/>
    </row>
    <row r="3" spans="1:16" ht="15.75">
      <c r="A3" s="44"/>
      <c r="B3" s="44"/>
      <c r="C3" s="44"/>
      <c r="D3" s="52"/>
      <c r="E3" s="44"/>
      <c r="F3" s="44"/>
      <c r="G3" s="44"/>
      <c r="H3" s="44"/>
      <c r="I3" s="44"/>
      <c r="J3" s="44"/>
      <c r="K3" s="44"/>
      <c r="L3" s="44"/>
      <c r="M3" s="62"/>
    </row>
    <row r="4" spans="1:16" ht="15.75">
      <c r="A4" s="44"/>
      <c r="B4" s="45" t="s">
        <v>54</v>
      </c>
      <c r="C4" s="45"/>
      <c r="D4" s="53" t="s">
        <v>55</v>
      </c>
      <c r="E4" s="45"/>
      <c r="F4" s="45"/>
      <c r="G4" s="45"/>
      <c r="H4" s="45"/>
      <c r="I4" s="45"/>
      <c r="J4" s="45"/>
      <c r="K4" s="45"/>
      <c r="L4" s="45"/>
      <c r="M4" s="63"/>
    </row>
    <row r="5" spans="1:16" ht="15.75">
      <c r="A5" s="44"/>
      <c r="B5" s="44"/>
      <c r="C5" s="44"/>
      <c r="D5" s="52" t="s">
        <v>56</v>
      </c>
      <c r="E5" s="52" t="s">
        <v>57</v>
      </c>
      <c r="F5" s="44"/>
      <c r="G5" s="44"/>
      <c r="H5" s="44"/>
      <c r="I5" s="44"/>
      <c r="J5" s="44"/>
      <c r="K5" s="44"/>
      <c r="L5" s="44" t="s">
        <v>56</v>
      </c>
      <c r="M5" s="71">
        <f>Income!Q15</f>
        <v>6062.15</v>
      </c>
    </row>
    <row r="6" spans="1:16" ht="15.75">
      <c r="A6" s="44"/>
      <c r="B6" s="44"/>
      <c r="C6" s="44"/>
      <c r="D6" s="52" t="s">
        <v>58</v>
      </c>
      <c r="E6" s="52" t="s">
        <v>59</v>
      </c>
      <c r="F6" s="44"/>
      <c r="G6" s="44"/>
      <c r="H6" s="44"/>
      <c r="I6" s="44"/>
      <c r="J6" s="44"/>
      <c r="K6" s="44"/>
      <c r="L6" s="44" t="s">
        <v>58</v>
      </c>
      <c r="M6" s="64">
        <f>H2</f>
        <v>26</v>
      </c>
    </row>
    <row r="7" spans="1:16" ht="15.75">
      <c r="A7" s="44"/>
      <c r="B7" s="44"/>
      <c r="C7" s="44"/>
      <c r="D7" s="52" t="s">
        <v>60</v>
      </c>
      <c r="E7" s="52" t="s">
        <v>61</v>
      </c>
      <c r="F7" s="44"/>
      <c r="G7" s="44"/>
      <c r="H7" s="44"/>
      <c r="I7" s="44"/>
      <c r="J7" s="44"/>
      <c r="K7" s="44"/>
      <c r="L7" s="44" t="s">
        <v>60</v>
      </c>
      <c r="M7" s="64">
        <f>M6*M5</f>
        <v>157615.9</v>
      </c>
    </row>
    <row r="8" spans="1:16" ht="15.75">
      <c r="A8" s="44"/>
      <c r="B8" s="44"/>
      <c r="C8" s="44"/>
      <c r="D8" s="52"/>
      <c r="E8" s="52"/>
      <c r="F8" s="44"/>
      <c r="G8" s="44"/>
      <c r="H8" s="44"/>
      <c r="I8" s="44"/>
      <c r="J8" s="44"/>
      <c r="K8" s="44"/>
      <c r="L8" s="44"/>
      <c r="M8" s="64"/>
    </row>
    <row r="9" spans="1:16" ht="15.75">
      <c r="A9" s="44"/>
      <c r="B9" s="44"/>
      <c r="C9" s="52" t="s">
        <v>62</v>
      </c>
      <c r="D9" s="52"/>
      <c r="E9" s="52"/>
      <c r="F9" s="44"/>
      <c r="G9" s="44"/>
      <c r="H9" s="44"/>
      <c r="I9" s="44"/>
      <c r="J9" s="44"/>
      <c r="K9" s="44"/>
      <c r="L9" s="44"/>
      <c r="M9" s="64"/>
    </row>
    <row r="10" spans="1:16" ht="15.75">
      <c r="A10" s="44"/>
      <c r="B10" s="44"/>
      <c r="C10" s="44"/>
      <c r="D10" s="52" t="s">
        <v>63</v>
      </c>
      <c r="E10" s="52" t="s">
        <v>64</v>
      </c>
      <c r="F10" s="44"/>
      <c r="G10" s="44"/>
      <c r="H10" s="44"/>
      <c r="I10" s="44"/>
      <c r="J10" s="44"/>
      <c r="K10" s="44"/>
      <c r="L10" s="44" t="s">
        <v>63</v>
      </c>
      <c r="M10" s="64">
        <v>0</v>
      </c>
    </row>
    <row r="11" spans="1:16" ht="15.75">
      <c r="A11" s="44"/>
      <c r="B11" s="44"/>
      <c r="C11" s="44"/>
      <c r="D11" s="52" t="s">
        <v>65</v>
      </c>
      <c r="E11" s="52" t="s">
        <v>66</v>
      </c>
      <c r="F11" s="44"/>
      <c r="G11" s="44"/>
      <c r="H11" s="44"/>
      <c r="I11" s="44"/>
      <c r="J11" s="44"/>
      <c r="K11" s="44"/>
      <c r="L11" s="44" t="s">
        <v>65</v>
      </c>
      <c r="M11" s="64">
        <f>M10+M7</f>
        <v>157615.9</v>
      </c>
    </row>
    <row r="12" spans="1:16" ht="15.75">
      <c r="A12" s="44"/>
      <c r="B12" s="44"/>
      <c r="C12" s="44"/>
      <c r="D12" s="52" t="s">
        <v>67</v>
      </c>
      <c r="E12" s="52" t="s">
        <v>68</v>
      </c>
      <c r="F12" s="44"/>
      <c r="G12" s="44"/>
      <c r="H12" s="44"/>
      <c r="I12" s="44"/>
      <c r="J12" s="44"/>
      <c r="K12" s="44"/>
      <c r="L12" s="44" t="s">
        <v>67</v>
      </c>
      <c r="M12" s="64">
        <v>0</v>
      </c>
    </row>
    <row r="13" spans="1:16" ht="15.75">
      <c r="A13" s="44"/>
      <c r="B13" s="44"/>
      <c r="C13" s="44"/>
      <c r="D13" s="52" t="s">
        <v>69</v>
      </c>
      <c r="E13" s="52" t="s">
        <v>70</v>
      </c>
      <c r="F13" s="44"/>
      <c r="G13" s="44"/>
      <c r="H13" s="44"/>
      <c r="I13" s="44"/>
      <c r="J13" s="44"/>
      <c r="K13" s="44"/>
      <c r="L13" s="44" t="s">
        <v>69</v>
      </c>
      <c r="M13" s="64">
        <v>0</v>
      </c>
    </row>
    <row r="14" spans="1:16" ht="15.75">
      <c r="A14" s="44"/>
      <c r="B14" s="44"/>
      <c r="C14" s="44"/>
      <c r="D14" s="52" t="s">
        <v>71</v>
      </c>
      <c r="E14" s="52" t="s">
        <v>72</v>
      </c>
      <c r="F14" s="44"/>
      <c r="G14" s="44"/>
      <c r="H14" s="44"/>
      <c r="I14" s="44"/>
      <c r="J14" s="44"/>
      <c r="K14" s="44"/>
      <c r="L14" s="44" t="s">
        <v>71</v>
      </c>
      <c r="M14" s="64">
        <v>0</v>
      </c>
    </row>
    <row r="15" spans="1:16" ht="15.75">
      <c r="A15" s="44"/>
      <c r="B15" s="44"/>
      <c r="C15" s="44"/>
      <c r="D15" s="52" t="s">
        <v>73</v>
      </c>
      <c r="E15" s="52" t="s">
        <v>74</v>
      </c>
      <c r="F15" s="44"/>
      <c r="G15" s="44"/>
      <c r="H15" s="44"/>
      <c r="I15" s="44"/>
      <c r="J15" s="44"/>
      <c r="K15" s="44"/>
      <c r="L15" s="44" t="s">
        <v>73</v>
      </c>
      <c r="M15" s="64">
        <f>M11</f>
        <v>157615.9</v>
      </c>
    </row>
    <row r="16" spans="1:16" ht="15.75">
      <c r="A16" s="44"/>
      <c r="B16" s="44"/>
      <c r="C16" s="44"/>
      <c r="D16" s="52"/>
      <c r="E16" s="52"/>
      <c r="F16" s="44"/>
      <c r="G16" s="44"/>
      <c r="H16" s="44"/>
      <c r="I16" s="44"/>
      <c r="J16" s="44"/>
      <c r="K16" s="44"/>
      <c r="L16" s="44"/>
      <c r="M16" s="64"/>
    </row>
    <row r="17" spans="1:13" ht="15.75">
      <c r="A17" s="44"/>
      <c r="B17" s="44"/>
      <c r="C17" s="52" t="s">
        <v>75</v>
      </c>
      <c r="D17" s="52"/>
      <c r="E17" s="52"/>
      <c r="F17" s="44"/>
      <c r="G17" s="44"/>
      <c r="H17" s="44"/>
      <c r="I17" s="44"/>
      <c r="J17" s="44"/>
      <c r="K17" s="44"/>
      <c r="L17" s="44"/>
      <c r="M17" s="65"/>
    </row>
    <row r="18" spans="1:13" ht="15.75">
      <c r="A18" s="44"/>
      <c r="B18" s="44"/>
      <c r="C18" s="44"/>
      <c r="D18" s="52" t="s">
        <v>76</v>
      </c>
      <c r="E18" s="52" t="s">
        <v>77</v>
      </c>
      <c r="F18" s="44"/>
      <c r="G18" s="44"/>
      <c r="H18" s="44"/>
      <c r="I18" s="44"/>
      <c r="J18" s="44"/>
      <c r="K18" s="44"/>
      <c r="L18" s="44" t="s">
        <v>76</v>
      </c>
      <c r="M18" s="65"/>
    </row>
    <row r="19" spans="1:13" ht="15.75">
      <c r="A19" s="44"/>
      <c r="B19" s="44"/>
      <c r="C19" s="44"/>
      <c r="D19" s="52" t="s">
        <v>78</v>
      </c>
      <c r="E19" s="52" t="s">
        <v>79</v>
      </c>
      <c r="F19" s="44"/>
      <c r="G19" s="44"/>
      <c r="H19" s="44"/>
      <c r="I19" s="44"/>
      <c r="J19" s="44"/>
      <c r="K19" s="44"/>
      <c r="L19" s="44" t="s">
        <v>78</v>
      </c>
      <c r="M19" s="65"/>
    </row>
    <row r="20" spans="1:13" ht="15.75">
      <c r="A20" s="44"/>
      <c r="B20" s="44"/>
      <c r="C20" s="44"/>
      <c r="D20" s="52" t="s">
        <v>80</v>
      </c>
      <c r="E20" s="52" t="s">
        <v>81</v>
      </c>
      <c r="F20" s="44"/>
      <c r="G20" s="44"/>
      <c r="H20" s="44"/>
      <c r="I20" s="44"/>
      <c r="J20" s="44"/>
      <c r="K20" s="44"/>
      <c r="L20" s="44" t="s">
        <v>80</v>
      </c>
      <c r="M20" s="65"/>
    </row>
    <row r="21" spans="1:13" ht="15.75">
      <c r="A21" s="44"/>
      <c r="B21" s="44"/>
      <c r="C21" s="44"/>
      <c r="D21" s="52"/>
      <c r="E21" s="52"/>
      <c r="F21" s="44"/>
      <c r="G21" s="44"/>
      <c r="H21" s="44"/>
      <c r="I21" s="44"/>
      <c r="J21" s="44"/>
      <c r="K21" s="44"/>
      <c r="L21" s="44"/>
      <c r="M21" s="64"/>
    </row>
    <row r="22" spans="1:13" ht="15.75">
      <c r="A22" s="44"/>
      <c r="B22" s="45" t="s">
        <v>82</v>
      </c>
      <c r="C22" s="45"/>
      <c r="D22" s="53" t="s">
        <v>83</v>
      </c>
      <c r="E22" s="53"/>
      <c r="F22" s="45"/>
      <c r="G22" s="45"/>
      <c r="H22" s="45"/>
      <c r="I22" s="45"/>
      <c r="J22" s="45"/>
      <c r="K22" s="45"/>
      <c r="L22" s="45"/>
      <c r="M22" s="66"/>
    </row>
    <row r="23" spans="1:13" ht="15.75">
      <c r="A23" s="44"/>
      <c r="B23" s="44"/>
      <c r="C23" s="44"/>
      <c r="D23" s="72" t="s">
        <v>84</v>
      </c>
      <c r="E23" s="72"/>
      <c r="F23" s="72"/>
      <c r="G23" s="72"/>
      <c r="H23" s="72"/>
      <c r="I23" s="72"/>
      <c r="J23" s="72"/>
      <c r="K23" s="72"/>
      <c r="L23" s="44"/>
      <c r="M23" s="64"/>
    </row>
    <row r="24" spans="1:13" ht="15.75">
      <c r="A24" s="44"/>
      <c r="B24" s="44"/>
      <c r="C24" s="44"/>
      <c r="D24" s="53" t="s">
        <v>85</v>
      </c>
      <c r="E24" s="53"/>
      <c r="F24" s="45"/>
      <c r="G24" s="45"/>
      <c r="H24" s="45"/>
      <c r="I24" s="45"/>
      <c r="J24" s="45"/>
      <c r="K24" s="45"/>
      <c r="L24" s="45"/>
      <c r="M24" s="66"/>
    </row>
    <row r="25" spans="1:13" ht="15.75">
      <c r="A25" s="44"/>
      <c r="B25" s="44"/>
      <c r="C25" s="44"/>
      <c r="D25" s="52"/>
      <c r="E25" s="52"/>
      <c r="F25" s="44"/>
      <c r="G25" s="44"/>
      <c r="H25" s="44"/>
      <c r="I25" s="44"/>
      <c r="J25" s="44"/>
      <c r="K25" s="44"/>
      <c r="L25" s="44"/>
      <c r="M25" s="64"/>
    </row>
    <row r="26" spans="1:13" ht="15.75">
      <c r="A26" s="44"/>
      <c r="B26" s="44"/>
      <c r="C26" s="44"/>
      <c r="D26" s="52" t="s">
        <v>86</v>
      </c>
      <c r="E26" s="52" t="s">
        <v>87</v>
      </c>
      <c r="F26" s="44"/>
      <c r="G26" s="44"/>
      <c r="H26" s="44"/>
      <c r="I26" s="44"/>
      <c r="J26" s="44"/>
      <c r="K26" s="44"/>
      <c r="L26" s="44" t="s">
        <v>86</v>
      </c>
      <c r="M26" s="64">
        <f>M15</f>
        <v>157615.9</v>
      </c>
    </row>
    <row r="27" spans="1:13" ht="33" customHeight="1">
      <c r="A27" s="44"/>
      <c r="B27" s="44"/>
      <c r="C27" s="44"/>
      <c r="D27" s="52" t="s">
        <v>88</v>
      </c>
      <c r="E27" s="72" t="s">
        <v>89</v>
      </c>
      <c r="F27" s="72"/>
      <c r="G27" s="72"/>
      <c r="H27" s="72"/>
      <c r="I27" s="72"/>
      <c r="J27" s="72"/>
      <c r="K27" s="72"/>
      <c r="L27" s="44" t="s">
        <v>88</v>
      </c>
      <c r="M27" s="64">
        <f>VLOOKUP(1,'Tax Table'!A3:F10,2,0)</f>
        <v>102025</v>
      </c>
    </row>
    <row r="28" spans="1:13" ht="15.75">
      <c r="A28" s="44"/>
      <c r="B28" s="44"/>
      <c r="C28" s="44"/>
      <c r="D28" s="52" t="s">
        <v>90</v>
      </c>
      <c r="E28" s="52" t="s">
        <v>91</v>
      </c>
      <c r="F28" s="44"/>
      <c r="G28" s="44"/>
      <c r="H28" s="44"/>
      <c r="I28" s="44"/>
      <c r="J28" s="44"/>
      <c r="K28" s="44"/>
      <c r="L28" s="44" t="s">
        <v>90</v>
      </c>
      <c r="M28" s="64">
        <f>VLOOKUP(1,'Tax Table'!A3:F10,4,0)</f>
        <v>15213.5</v>
      </c>
    </row>
    <row r="29" spans="1:13" ht="15.75">
      <c r="A29" s="44"/>
      <c r="B29" s="44"/>
      <c r="C29" s="44"/>
      <c r="D29" s="52" t="s">
        <v>92</v>
      </c>
      <c r="E29" s="52" t="s">
        <v>93</v>
      </c>
      <c r="F29" s="44"/>
      <c r="G29" s="44"/>
      <c r="H29" s="44"/>
      <c r="I29" s="44"/>
      <c r="J29" s="44"/>
      <c r="K29" s="44"/>
      <c r="L29" s="46" t="s">
        <v>92</v>
      </c>
      <c r="M29" s="70">
        <f>VLOOKUP(1,'Tax Table'!A3:F10,5,0)</f>
        <v>0.24</v>
      </c>
    </row>
    <row r="30" spans="1:13" ht="15.75">
      <c r="A30" s="44"/>
      <c r="B30" s="44"/>
      <c r="C30" s="44"/>
      <c r="D30" s="52" t="s">
        <v>94</v>
      </c>
      <c r="E30" s="52" t="s">
        <v>95</v>
      </c>
      <c r="F30" s="44"/>
      <c r="G30" s="44"/>
      <c r="H30" s="44"/>
      <c r="I30" s="44"/>
      <c r="J30" s="44"/>
      <c r="K30" s="44"/>
      <c r="L30" s="44" t="s">
        <v>94</v>
      </c>
      <c r="M30" s="64">
        <f>M26-M27</f>
        <v>55590.899999999994</v>
      </c>
    </row>
    <row r="31" spans="1:13" ht="15.75">
      <c r="A31" s="44"/>
      <c r="B31" s="44"/>
      <c r="C31" s="44"/>
      <c r="D31" s="52" t="s">
        <v>96</v>
      </c>
      <c r="E31" s="52" t="s">
        <v>97</v>
      </c>
      <c r="F31" s="44"/>
      <c r="G31" s="44"/>
      <c r="H31" s="44"/>
      <c r="I31" s="44"/>
      <c r="J31" s="44"/>
      <c r="K31" s="44"/>
      <c r="L31" s="46" t="s">
        <v>96</v>
      </c>
      <c r="M31" s="68">
        <f>M30*M29</f>
        <v>13341.815999999999</v>
      </c>
    </row>
    <row r="32" spans="1:13" ht="15.75">
      <c r="A32" s="44"/>
      <c r="B32" s="44"/>
      <c r="C32" s="44"/>
      <c r="D32" s="52" t="s">
        <v>98</v>
      </c>
      <c r="E32" s="52" t="s">
        <v>99</v>
      </c>
      <c r="F32" s="44"/>
      <c r="G32" s="44"/>
      <c r="H32" s="44"/>
      <c r="I32" s="44"/>
      <c r="J32" s="44"/>
      <c r="K32" s="44"/>
      <c r="L32" s="44" t="s">
        <v>98</v>
      </c>
      <c r="M32" s="64">
        <f>M31+M28</f>
        <v>28555.315999999999</v>
      </c>
    </row>
    <row r="33" spans="1:13" ht="15.75">
      <c r="A33" s="44"/>
      <c r="B33" s="44"/>
      <c r="C33" s="44"/>
      <c r="D33" s="52" t="s">
        <v>100</v>
      </c>
      <c r="E33" s="52" t="s">
        <v>101</v>
      </c>
      <c r="F33" s="44"/>
      <c r="G33" s="44"/>
      <c r="H33" s="44"/>
      <c r="I33" s="44"/>
      <c r="J33" s="44"/>
      <c r="K33" s="44"/>
      <c r="L33" s="44" t="s">
        <v>100</v>
      </c>
      <c r="M33" s="64">
        <f>M32/M6</f>
        <v>1098.2813846153845</v>
      </c>
    </row>
    <row r="34" spans="1:13" ht="15.75">
      <c r="A34" s="44"/>
      <c r="B34" s="44"/>
      <c r="C34" s="44"/>
      <c r="D34" s="52"/>
      <c r="E34" s="52"/>
      <c r="F34" s="44"/>
      <c r="G34" s="44"/>
      <c r="H34" s="44"/>
      <c r="I34" s="44"/>
      <c r="J34" s="44"/>
      <c r="K34" s="44"/>
      <c r="L34" s="44"/>
      <c r="M34" s="64"/>
    </row>
    <row r="35" spans="1:13" ht="15.75">
      <c r="A35" s="47"/>
      <c r="B35" s="45" t="s">
        <v>102</v>
      </c>
      <c r="C35" s="45"/>
      <c r="D35" s="53" t="s">
        <v>103</v>
      </c>
      <c r="E35" s="53"/>
      <c r="F35" s="45"/>
      <c r="G35" s="45"/>
      <c r="H35" s="45"/>
      <c r="I35" s="45"/>
      <c r="J35" s="45"/>
      <c r="K35" s="45"/>
      <c r="L35" s="45"/>
      <c r="M35" s="64"/>
    </row>
    <row r="36" spans="1:13" ht="15.75">
      <c r="A36" s="44"/>
      <c r="B36" s="44"/>
      <c r="C36" s="44"/>
      <c r="D36" s="52" t="s">
        <v>104</v>
      </c>
      <c r="E36" s="52" t="s">
        <v>105</v>
      </c>
      <c r="F36" s="44"/>
      <c r="G36" s="44"/>
      <c r="H36" s="44"/>
      <c r="I36" s="44"/>
      <c r="J36" s="44"/>
      <c r="K36" s="44"/>
      <c r="L36" s="44" t="s">
        <v>104</v>
      </c>
      <c r="M36" s="64">
        <v>500</v>
      </c>
    </row>
    <row r="37" spans="1:13" ht="15.75">
      <c r="A37" s="44"/>
      <c r="B37" s="44"/>
      <c r="C37" s="44"/>
      <c r="D37" s="52" t="s">
        <v>106</v>
      </c>
      <c r="E37" s="52" t="s">
        <v>107</v>
      </c>
      <c r="F37" s="44"/>
      <c r="G37" s="44"/>
      <c r="H37" s="44"/>
      <c r="I37" s="44"/>
      <c r="J37" s="44"/>
      <c r="K37" s="44"/>
      <c r="L37" s="44" t="s">
        <v>106</v>
      </c>
      <c r="M37" s="64">
        <f>M36/M6</f>
        <v>19.23076923076923</v>
      </c>
    </row>
    <row r="38" spans="1:13" ht="15.75">
      <c r="A38" s="44"/>
      <c r="B38" s="44"/>
      <c r="C38" s="44"/>
      <c r="D38" s="52" t="s">
        <v>108</v>
      </c>
      <c r="E38" s="52" t="s">
        <v>109</v>
      </c>
      <c r="F38" s="44"/>
      <c r="G38" s="44"/>
      <c r="H38" s="44"/>
      <c r="I38" s="44"/>
      <c r="J38" s="44"/>
      <c r="K38" s="44"/>
      <c r="L38" s="44" t="s">
        <v>108</v>
      </c>
      <c r="M38" s="64">
        <f>M33-M37</f>
        <v>1079.0506153846152</v>
      </c>
    </row>
    <row r="39" spans="1:13" ht="15.75">
      <c r="A39" s="44"/>
      <c r="B39" s="44"/>
      <c r="C39" s="44"/>
      <c r="D39" s="52"/>
      <c r="E39" s="52"/>
      <c r="F39" s="44"/>
      <c r="G39" s="44"/>
      <c r="H39" s="44"/>
      <c r="I39" s="44"/>
      <c r="J39" s="44"/>
      <c r="K39" s="44"/>
      <c r="L39" s="44"/>
      <c r="M39" s="67"/>
    </row>
    <row r="40" spans="1:13" ht="15.75">
      <c r="A40" s="47"/>
      <c r="B40" s="45" t="s">
        <v>110</v>
      </c>
      <c r="C40" s="45"/>
      <c r="D40" s="53" t="s">
        <v>111</v>
      </c>
      <c r="E40" s="53"/>
      <c r="F40" s="45"/>
      <c r="G40" s="45"/>
      <c r="H40" s="45"/>
      <c r="I40" s="45"/>
      <c r="J40" s="45"/>
      <c r="K40" s="45"/>
      <c r="L40" s="45"/>
      <c r="M40" s="66"/>
    </row>
    <row r="41" spans="1:13" ht="15.75">
      <c r="A41" s="44"/>
      <c r="B41" s="44"/>
      <c r="C41" s="44"/>
      <c r="D41" s="52" t="s">
        <v>112</v>
      </c>
      <c r="E41" s="52" t="s">
        <v>113</v>
      </c>
      <c r="F41" s="44"/>
      <c r="G41" s="44"/>
      <c r="H41" s="44"/>
      <c r="I41" s="44"/>
      <c r="J41" s="44"/>
      <c r="K41" s="44"/>
      <c r="L41" s="44" t="s">
        <v>112</v>
      </c>
      <c r="M41" s="64">
        <v>0</v>
      </c>
    </row>
    <row r="42" spans="1:13" ht="15.75">
      <c r="A42" s="44"/>
      <c r="B42" s="44"/>
      <c r="C42" s="44"/>
      <c r="D42" s="52" t="s">
        <v>114</v>
      </c>
      <c r="E42" s="52" t="s">
        <v>115</v>
      </c>
      <c r="F42" s="44"/>
      <c r="G42" s="44"/>
      <c r="H42" s="44"/>
      <c r="I42" s="44"/>
      <c r="J42" s="44"/>
      <c r="K42" s="44"/>
      <c r="L42" s="1"/>
      <c r="M42" s="69">
        <f>M38-M41</f>
        <v>1079.0506153846152</v>
      </c>
    </row>
  </sheetData>
  <mergeCells count="2">
    <mergeCell ref="D23:K23"/>
    <mergeCell ref="E27:K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C300-2275-4A9E-A601-322ECC58E8D6}">
  <dimension ref="A1:F20"/>
  <sheetViews>
    <sheetView workbookViewId="0">
      <selection activeCell="B11" sqref="B11:F11"/>
    </sheetView>
  </sheetViews>
  <sheetFormatPr defaultRowHeight="15"/>
  <cols>
    <col min="2" max="3" width="10" style="56" bestFit="1" customWidth="1"/>
    <col min="4" max="4" width="12.85546875" style="56" bestFit="1" customWidth="1"/>
    <col min="5" max="5" width="5.140625" style="56" bestFit="1" customWidth="1"/>
    <col min="6" max="6" width="10" style="56" bestFit="1" customWidth="1"/>
  </cols>
  <sheetData>
    <row r="1" spans="1:6">
      <c r="B1" s="56" t="s">
        <v>118</v>
      </c>
      <c r="C1" s="56" t="s">
        <v>119</v>
      </c>
      <c r="D1" s="56" t="s">
        <v>120</v>
      </c>
      <c r="E1" s="56" t="s">
        <v>121</v>
      </c>
      <c r="F1" s="56" t="s">
        <v>122</v>
      </c>
    </row>
    <row r="2" spans="1:6" ht="15.75" customHeight="1">
      <c r="B2" s="73" t="s">
        <v>116</v>
      </c>
      <c r="C2" s="73"/>
      <c r="D2" s="73"/>
      <c r="E2" s="73"/>
      <c r="F2" s="73"/>
    </row>
    <row r="3" spans="1:6" ht="15.75">
      <c r="A3">
        <f>IF(AND('Federal Tax Estimate'!$M$15&gt;='Tax Table'!B3,'Federal Tax Estimate'!$M$15&lt;='Tax Table'!C3),1,0)</f>
        <v>0</v>
      </c>
      <c r="B3" s="57">
        <v>0</v>
      </c>
      <c r="C3" s="57">
        <v>6475</v>
      </c>
      <c r="D3" s="58">
        <v>0</v>
      </c>
      <c r="E3" s="59">
        <v>0</v>
      </c>
      <c r="F3" s="57">
        <v>0</v>
      </c>
    </row>
    <row r="4" spans="1:6" ht="15.75">
      <c r="A4">
        <f>IF(AND('Federal Tax Estimate'!$M$15&gt;='Tax Table'!B4,'Federal Tax Estimate'!$M$15&lt;='Tax Table'!C4),1,0)</f>
        <v>0</v>
      </c>
      <c r="B4" s="57">
        <v>12950</v>
      </c>
      <c r="C4" s="57">
        <f>B5</f>
        <v>23225</v>
      </c>
      <c r="D4" s="58">
        <v>0</v>
      </c>
      <c r="E4" s="59">
        <v>0.1</v>
      </c>
      <c r="F4" s="57">
        <v>6475</v>
      </c>
    </row>
    <row r="5" spans="1:6" ht="15.75">
      <c r="A5">
        <f>IF(AND('Federal Tax Estimate'!$M$15&gt;='Tax Table'!B5,'Federal Tax Estimate'!$M$15&lt;='Tax Table'!C5),1,0)</f>
        <v>0</v>
      </c>
      <c r="B5" s="57">
        <v>23225</v>
      </c>
      <c r="C5" s="57">
        <f t="shared" ref="C5:C9" si="0">B6</f>
        <v>54725</v>
      </c>
      <c r="D5" s="58">
        <v>1027.5</v>
      </c>
      <c r="E5" s="59">
        <v>0.12</v>
      </c>
      <c r="F5" s="57">
        <v>11613</v>
      </c>
    </row>
    <row r="6" spans="1:6" ht="15.75">
      <c r="A6">
        <f>IF(AND('Federal Tax Estimate'!$M$15&gt;='Tax Table'!B6,'Federal Tax Estimate'!$M$15&lt;='Tax Table'!C6),1,0)</f>
        <v>0</v>
      </c>
      <c r="B6" s="57">
        <v>54725</v>
      </c>
      <c r="C6" s="57">
        <f t="shared" si="0"/>
        <v>102025</v>
      </c>
      <c r="D6" s="58">
        <v>4807.5</v>
      </c>
      <c r="E6" s="59">
        <v>0.22</v>
      </c>
      <c r="F6" s="57">
        <v>27363</v>
      </c>
    </row>
    <row r="7" spans="1:6" ht="15.75">
      <c r="A7">
        <f>IF(AND('Federal Tax Estimate'!$M$15&gt;='Tax Table'!B7,'Federal Tax Estimate'!$M$15&lt;='Tax Table'!C7),1,0)</f>
        <v>1</v>
      </c>
      <c r="B7" s="57">
        <v>102025</v>
      </c>
      <c r="C7" s="57">
        <f t="shared" si="0"/>
        <v>183000</v>
      </c>
      <c r="D7" s="58">
        <v>15213.5</v>
      </c>
      <c r="E7" s="59">
        <v>0.24</v>
      </c>
      <c r="F7" s="57">
        <v>51013</v>
      </c>
    </row>
    <row r="8" spans="1:6" ht="15.75">
      <c r="A8">
        <f>IF(AND('Federal Tax Estimate'!$M$15&gt;='Tax Table'!B8,'Federal Tax Estimate'!$M$15&lt;='Tax Table'!C8),1,0)</f>
        <v>0</v>
      </c>
      <c r="B8" s="57">
        <v>183000</v>
      </c>
      <c r="C8" s="57">
        <f t="shared" si="0"/>
        <v>228900</v>
      </c>
      <c r="D8" s="58">
        <v>34647.5</v>
      </c>
      <c r="E8" s="59">
        <v>0.32</v>
      </c>
      <c r="F8" s="57">
        <v>91500</v>
      </c>
    </row>
    <row r="9" spans="1:6" ht="15.75">
      <c r="A9">
        <f>IF(AND('Federal Tax Estimate'!$M$15&gt;='Tax Table'!B9,'Federal Tax Estimate'!$M$15&lt;='Tax Table'!C9),1,0)</f>
        <v>0</v>
      </c>
      <c r="B9" s="57">
        <v>228900</v>
      </c>
      <c r="C9" s="57">
        <f t="shared" si="0"/>
        <v>552850</v>
      </c>
      <c r="D9" s="58">
        <v>49335.5</v>
      </c>
      <c r="E9" s="59">
        <v>0.35</v>
      </c>
      <c r="F9" s="57">
        <v>114450</v>
      </c>
    </row>
    <row r="10" spans="1:6" ht="15.75">
      <c r="A10">
        <f>IF(AND('Federal Tax Estimate'!$M$15&gt;='Tax Table'!B10,'Federal Tax Estimate'!$M$15&lt;='Tax Table'!C10),1,0)</f>
        <v>0</v>
      </c>
      <c r="B10" s="57">
        <v>552850</v>
      </c>
      <c r="C10" s="50"/>
      <c r="D10" s="58">
        <v>162718</v>
      </c>
      <c r="E10" s="59">
        <v>0.37</v>
      </c>
      <c r="F10" s="57">
        <v>276425</v>
      </c>
    </row>
    <row r="11" spans="1:6" ht="15.75">
      <c r="B11" s="73"/>
      <c r="C11" s="73"/>
      <c r="D11" s="73"/>
      <c r="E11" s="73"/>
      <c r="F11" s="73"/>
    </row>
    <row r="12" spans="1:6" ht="15.75" customHeight="1">
      <c r="B12" s="73" t="s">
        <v>117</v>
      </c>
      <c r="C12" s="73"/>
      <c r="D12" s="73"/>
      <c r="E12" s="73"/>
      <c r="F12" s="73"/>
    </row>
    <row r="13" spans="1:6" ht="15.75">
      <c r="B13" s="57">
        <v>0</v>
      </c>
      <c r="C13" s="57">
        <v>9700</v>
      </c>
      <c r="D13" s="58">
        <v>0</v>
      </c>
      <c r="E13" s="59">
        <v>0</v>
      </c>
      <c r="F13" s="57">
        <v>0</v>
      </c>
    </row>
    <row r="14" spans="1:6" ht="15.75">
      <c r="B14" s="57">
        <v>9700</v>
      </c>
      <c r="C14" s="57">
        <v>17025</v>
      </c>
      <c r="D14" s="58">
        <v>0</v>
      </c>
      <c r="E14" s="59">
        <v>0.1</v>
      </c>
      <c r="F14" s="57">
        <v>9700</v>
      </c>
    </row>
    <row r="15" spans="1:6" ht="15.75">
      <c r="B15" s="57">
        <v>17025</v>
      </c>
      <c r="C15" s="57">
        <v>37650</v>
      </c>
      <c r="D15" s="58">
        <v>732.5</v>
      </c>
      <c r="E15" s="59">
        <v>0.12</v>
      </c>
      <c r="F15" s="57">
        <v>17025</v>
      </c>
    </row>
    <row r="16" spans="1:6" ht="15.75">
      <c r="B16" s="57">
        <v>37650</v>
      </c>
      <c r="C16" s="57">
        <v>54225</v>
      </c>
      <c r="D16" s="58">
        <v>3207.5</v>
      </c>
      <c r="E16" s="59">
        <v>0.22</v>
      </c>
      <c r="F16" s="57">
        <v>37650</v>
      </c>
    </row>
    <row r="17" spans="2:6" ht="15.75">
      <c r="B17" s="57">
        <v>54225</v>
      </c>
      <c r="C17" s="57">
        <v>94725</v>
      </c>
      <c r="D17" s="58">
        <v>6854</v>
      </c>
      <c r="E17" s="59">
        <v>0.24</v>
      </c>
      <c r="F17" s="57">
        <v>54225</v>
      </c>
    </row>
    <row r="18" spans="2:6" ht="15.75">
      <c r="B18" s="57">
        <v>94725</v>
      </c>
      <c r="C18" s="57">
        <v>117675</v>
      </c>
      <c r="D18" s="58">
        <v>16574</v>
      </c>
      <c r="E18" s="59">
        <v>0.32</v>
      </c>
      <c r="F18" s="57">
        <v>94725</v>
      </c>
    </row>
    <row r="19" spans="2:6" ht="15.75">
      <c r="B19" s="57">
        <v>117675</v>
      </c>
      <c r="C19" s="57">
        <v>279650</v>
      </c>
      <c r="D19" s="58">
        <v>23918</v>
      </c>
      <c r="E19" s="59">
        <v>0.35</v>
      </c>
      <c r="F19" s="57">
        <v>117675</v>
      </c>
    </row>
    <row r="20" spans="2:6" ht="15.75">
      <c r="B20" s="57">
        <v>279650</v>
      </c>
      <c r="C20" s="50"/>
      <c r="D20" s="58">
        <v>80609.25</v>
      </c>
      <c r="E20" s="59">
        <v>0.37</v>
      </c>
      <c r="F20" s="57">
        <v>279650</v>
      </c>
    </row>
  </sheetData>
  <mergeCells count="3">
    <mergeCell ref="B2:F2"/>
    <mergeCell ref="B11:F11"/>
    <mergeCell ref="B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Income</vt:lpstr>
      <vt:lpstr>Federal Tax Estimate</vt:lpstr>
      <vt:lpstr>Tax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Lewis</dc:creator>
  <cp:lastModifiedBy>Sean Lewis</cp:lastModifiedBy>
  <dcterms:created xsi:type="dcterms:W3CDTF">2022-01-08T23:43:21Z</dcterms:created>
  <dcterms:modified xsi:type="dcterms:W3CDTF">2022-08-02T02:30:30Z</dcterms:modified>
</cp:coreProperties>
</file>