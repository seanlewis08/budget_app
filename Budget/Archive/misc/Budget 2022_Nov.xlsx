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anl\Documents\Budget\"/>
    </mc:Choice>
  </mc:AlternateContent>
  <xr:revisionPtr revIDLastSave="0" documentId="13_ncr:1_{C4311E73-55AA-4E91-B43D-87EAB2E114A1}" xr6:coauthVersionLast="47" xr6:coauthVersionMax="47" xr10:uidLastSave="{00000000-0000-0000-0000-000000000000}"/>
  <bookViews>
    <workbookView xWindow="-16200" yWindow="-6840" windowWidth="16305" windowHeight="11100" tabRatio="708" firstSheet="9" activeTab="12" xr2:uid="{00000000-000D-0000-FFFF-FFFF00000000}"/>
  </bookViews>
  <sheets>
    <sheet name="Discover Data" sheetId="1" r:id="rId1"/>
    <sheet name="Discover Account" sheetId="12" r:id="rId2"/>
    <sheet name="Care Credit" sheetId="5" r:id="rId3"/>
    <sheet name="Best Buy" sheetId="6" r:id="rId4"/>
    <sheet name="Wells Fargo" sheetId="7" r:id="rId5"/>
    <sheet name="AMEX" sheetId="10" r:id="rId6"/>
    <sheet name="June Trips" sheetId="9" r:id="rId7"/>
    <sheet name="Accounts" sheetId="11" r:id="rId8"/>
    <sheet name="Category Summary" sheetId="2" r:id="rId9"/>
    <sheet name="Cat Sum" sheetId="17" r:id="rId10"/>
    <sheet name="People Summary" sheetId="16" r:id="rId11"/>
    <sheet name="Short Desc Summary" sheetId="15" r:id="rId12"/>
    <sheet name="Reoccuring" sheetId="14" r:id="rId13"/>
    <sheet name="The plan" sheetId="13" r:id="rId14"/>
  </sheets>
  <definedNames>
    <definedName name="_xlnm._FilterDatabase" localSheetId="5" hidden="1">AMEX!$A$1:$D$1</definedName>
    <definedName name="_xlnm._FilterDatabase" localSheetId="2" hidden="1">'Care Credit'!$A$1:$D$1</definedName>
    <definedName name="_xlnm._FilterDatabase" localSheetId="4" hidden="1">'Wells Fargo'!$A$1:$G$182</definedName>
  </definedNames>
  <calcPr calcId="191029"/>
  <pivotCaches>
    <pivotCache cacheId="2" r:id="rId15"/>
    <pivotCache cacheId="1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6" i="1" l="1"/>
  <c r="V16" i="1"/>
  <c r="W16" i="1"/>
  <c r="X16" i="1"/>
  <c r="Y16" i="1"/>
  <c r="U3" i="1"/>
  <c r="V3" i="1"/>
  <c r="W3" i="1"/>
  <c r="X3" i="1"/>
  <c r="Y3" i="1"/>
  <c r="U4" i="1"/>
  <c r="V4" i="1"/>
  <c r="W4" i="1"/>
  <c r="X4" i="1"/>
  <c r="Y4" i="1"/>
  <c r="U5" i="1"/>
  <c r="V5" i="1"/>
  <c r="W5" i="1"/>
  <c r="X5" i="1"/>
  <c r="Y5" i="1"/>
  <c r="U6" i="1"/>
  <c r="V6" i="1"/>
  <c r="W6" i="1"/>
  <c r="X6" i="1"/>
  <c r="Y6" i="1"/>
  <c r="U7" i="1"/>
  <c r="V7" i="1"/>
  <c r="W7" i="1"/>
  <c r="X7" i="1"/>
  <c r="Y7" i="1"/>
  <c r="U8" i="1"/>
  <c r="V8" i="1"/>
  <c r="W8" i="1"/>
  <c r="X8" i="1"/>
  <c r="Y8" i="1"/>
  <c r="U9" i="1"/>
  <c r="V9" i="1"/>
  <c r="W9" i="1"/>
  <c r="X9" i="1"/>
  <c r="Y9" i="1"/>
  <c r="U10" i="1"/>
  <c r="V10" i="1"/>
  <c r="W10" i="1"/>
  <c r="X10" i="1"/>
  <c r="Y10" i="1"/>
  <c r="U11" i="1"/>
  <c r="V11" i="1"/>
  <c r="W11" i="1"/>
  <c r="X11" i="1"/>
  <c r="Y11" i="1"/>
  <c r="U12" i="1"/>
  <c r="V12" i="1"/>
  <c r="W12" i="1"/>
  <c r="X12" i="1"/>
  <c r="Y12" i="1"/>
  <c r="U13" i="1"/>
  <c r="V13" i="1"/>
  <c r="W13" i="1"/>
  <c r="X13" i="1"/>
  <c r="Y13" i="1"/>
  <c r="U15" i="1"/>
  <c r="U20" i="1" s="1"/>
  <c r="V15" i="1"/>
  <c r="V20" i="1" s="1"/>
  <c r="W15" i="1"/>
  <c r="W20" i="1" s="1"/>
  <c r="X15" i="1"/>
  <c r="X20" i="1" s="1"/>
  <c r="Y15" i="1"/>
  <c r="Y20" i="1" s="1"/>
  <c r="Y2" i="1"/>
  <c r="Y14" i="1" s="1"/>
  <c r="Y19" i="1" s="1"/>
  <c r="X2" i="1"/>
  <c r="X14" i="1" s="1"/>
  <c r="X19" i="1" s="1"/>
  <c r="W2" i="1"/>
  <c r="W14" i="1" s="1"/>
  <c r="W19" i="1" s="1"/>
  <c r="V2" i="1"/>
  <c r="V14" i="1" s="1"/>
  <c r="V19" i="1" s="1"/>
  <c r="U2" i="1"/>
  <c r="U14" i="1" s="1"/>
  <c r="U19" i="1" s="1"/>
  <c r="N9" i="2"/>
  <c r="N11" i="2"/>
  <c r="J18" i="2"/>
  <c r="K18" i="2"/>
  <c r="L18" i="2"/>
  <c r="M18" i="2"/>
  <c r="N18" i="2"/>
  <c r="N3" i="2" s="1"/>
  <c r="J19" i="2"/>
  <c r="K19" i="2"/>
  <c r="L19" i="2"/>
  <c r="M19" i="2"/>
  <c r="M28" i="2" s="1"/>
  <c r="N19" i="2"/>
  <c r="J20" i="2"/>
  <c r="K20" i="2"/>
  <c r="L20" i="2"/>
  <c r="M20" i="2"/>
  <c r="N20" i="2"/>
  <c r="N5" i="2" s="1"/>
  <c r="J21" i="2"/>
  <c r="K21" i="2"/>
  <c r="L21" i="2"/>
  <c r="M21" i="2"/>
  <c r="N21" i="2"/>
  <c r="N6" i="2" s="1"/>
  <c r="J22" i="2"/>
  <c r="K22" i="2"/>
  <c r="L22" i="2"/>
  <c r="M22" i="2"/>
  <c r="N22" i="2"/>
  <c r="N7" i="2" s="1"/>
  <c r="J23" i="2"/>
  <c r="K23" i="2"/>
  <c r="L23" i="2"/>
  <c r="M23" i="2"/>
  <c r="N23" i="2"/>
  <c r="N8" i="2" s="1"/>
  <c r="J24" i="2"/>
  <c r="K24" i="2"/>
  <c r="L24" i="2"/>
  <c r="M24" i="2"/>
  <c r="N24" i="2"/>
  <c r="N10" i="2" s="1"/>
  <c r="J25" i="2"/>
  <c r="K25" i="2"/>
  <c r="L25" i="2"/>
  <c r="M25" i="2"/>
  <c r="N25" i="2"/>
  <c r="N12" i="2" s="1"/>
  <c r="J26" i="2"/>
  <c r="K26" i="2"/>
  <c r="L26" i="2"/>
  <c r="M26" i="2"/>
  <c r="N26" i="2"/>
  <c r="J27" i="2"/>
  <c r="K27" i="2"/>
  <c r="L27" i="2"/>
  <c r="M27" i="2"/>
  <c r="N27" i="2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O5" i="13"/>
  <c r="P5" i="13" s="1"/>
  <c r="B88" i="12"/>
  <c r="B89" i="12"/>
  <c r="B120" i="12"/>
  <c r="B166" i="12"/>
  <c r="B171" i="12"/>
  <c r="B286" i="12"/>
  <c r="B287" i="12"/>
  <c r="B335" i="12"/>
  <c r="B336" i="12"/>
  <c r="B386" i="12"/>
  <c r="B435" i="12"/>
  <c r="B453" i="12"/>
  <c r="B482" i="12"/>
  <c r="B483" i="12"/>
  <c r="B516" i="12"/>
  <c r="B592" i="12"/>
  <c r="B601" i="12"/>
  <c r="B602" i="12"/>
  <c r="B619" i="12"/>
  <c r="B635" i="12"/>
  <c r="B639" i="12"/>
  <c r="B643" i="12"/>
  <c r="B663" i="12"/>
  <c r="B665" i="12"/>
  <c r="B33" i="12"/>
  <c r="B75" i="12"/>
  <c r="B77" i="12"/>
  <c r="P4" i="13"/>
  <c r="F41" i="13"/>
  <c r="G41" i="13"/>
  <c r="H41" i="13"/>
  <c r="E41" i="13"/>
  <c r="K4" i="13"/>
  <c r="C16" i="13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I12" i="13"/>
  <c r="I41" i="13" s="1"/>
  <c r="C3" i="13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J5" i="13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J32" i="11"/>
  <c r="J34" i="11"/>
  <c r="K31" i="11" s="1"/>
  <c r="K32" i="11" s="1"/>
  <c r="K34" i="11" s="1"/>
  <c r="L31" i="11" s="1"/>
  <c r="L32" i="11" s="1"/>
  <c r="L34" i="11" s="1"/>
  <c r="M31" i="11" s="1"/>
  <c r="M32" i="11" s="1"/>
  <c r="M34" i="11" s="1"/>
  <c r="B31" i="11"/>
  <c r="B32" i="11" s="1"/>
  <c r="B34" i="11" s="1"/>
  <c r="C31" i="11" s="1"/>
  <c r="C32" i="11" s="1"/>
  <c r="C34" i="11" s="1"/>
  <c r="D31" i="11" s="1"/>
  <c r="D32" i="11" s="1"/>
  <c r="D34" i="11" s="1"/>
  <c r="E31" i="11" s="1"/>
  <c r="E32" i="11" s="1"/>
  <c r="E34" i="11" s="1"/>
  <c r="F31" i="11" s="1"/>
  <c r="F32" i="11" s="1"/>
  <c r="F34" i="11" s="1"/>
  <c r="G31" i="11" s="1"/>
  <c r="G32" i="11" s="1"/>
  <c r="G34" i="11" s="1"/>
  <c r="H31" i="11" s="1"/>
  <c r="H32" i="11" s="1"/>
  <c r="H34" i="11" s="1"/>
  <c r="I31" i="11" s="1"/>
  <c r="I32" i="11" s="1"/>
  <c r="I34" i="11" s="1"/>
  <c r="J31" i="11" s="1"/>
  <c r="M20" i="1"/>
  <c r="M19" i="1"/>
  <c r="T16" i="1"/>
  <c r="S16" i="1"/>
  <c r="R16" i="1"/>
  <c r="Q16" i="1"/>
  <c r="P16" i="1"/>
  <c r="O16" i="1"/>
  <c r="T15" i="1"/>
  <c r="T20" i="1" s="1"/>
  <c r="S15" i="1"/>
  <c r="S20" i="1" s="1"/>
  <c r="R15" i="1"/>
  <c r="R20" i="1" s="1"/>
  <c r="Q15" i="1"/>
  <c r="Q20" i="1" s="1"/>
  <c r="P15" i="1"/>
  <c r="P20" i="1" s="1"/>
  <c r="O15" i="1"/>
  <c r="O20" i="1" s="1"/>
  <c r="T13" i="1"/>
  <c r="S13" i="1"/>
  <c r="R13" i="1"/>
  <c r="Q13" i="1"/>
  <c r="P13" i="1"/>
  <c r="O13" i="1"/>
  <c r="T12" i="1"/>
  <c r="S12" i="1"/>
  <c r="R12" i="1"/>
  <c r="Q12" i="1"/>
  <c r="P12" i="1"/>
  <c r="O12" i="1"/>
  <c r="T11" i="1"/>
  <c r="S11" i="1"/>
  <c r="R11" i="1"/>
  <c r="Q11" i="1"/>
  <c r="P11" i="1"/>
  <c r="O11" i="1"/>
  <c r="T10" i="1"/>
  <c r="S10" i="1"/>
  <c r="R10" i="1"/>
  <c r="Q10" i="1"/>
  <c r="P10" i="1"/>
  <c r="O10" i="1"/>
  <c r="T9" i="1"/>
  <c r="S9" i="1"/>
  <c r="R9" i="1"/>
  <c r="Q9" i="1"/>
  <c r="P9" i="1"/>
  <c r="O9" i="1"/>
  <c r="T8" i="1"/>
  <c r="S8" i="1"/>
  <c r="R8" i="1"/>
  <c r="Q8" i="1"/>
  <c r="P8" i="1"/>
  <c r="O8" i="1"/>
  <c r="T7" i="1"/>
  <c r="S7" i="1"/>
  <c r="R7" i="1"/>
  <c r="Q7" i="1"/>
  <c r="P7" i="1"/>
  <c r="O7" i="1"/>
  <c r="T6" i="1"/>
  <c r="S6" i="1"/>
  <c r="R6" i="1"/>
  <c r="Q6" i="1"/>
  <c r="P6" i="1"/>
  <c r="O6" i="1"/>
  <c r="T5" i="1"/>
  <c r="S5" i="1"/>
  <c r="R5" i="1"/>
  <c r="Q5" i="1"/>
  <c r="P5" i="1"/>
  <c r="O5" i="1"/>
  <c r="T4" i="1"/>
  <c r="S4" i="1"/>
  <c r="R4" i="1"/>
  <c r="Q4" i="1"/>
  <c r="P4" i="1"/>
  <c r="O4" i="1"/>
  <c r="T3" i="1"/>
  <c r="S3" i="1"/>
  <c r="R3" i="1"/>
  <c r="Q3" i="1"/>
  <c r="P3" i="1"/>
  <c r="O3" i="1"/>
  <c r="T2" i="1"/>
  <c r="S2" i="1"/>
  <c r="S14" i="1" s="1"/>
  <c r="S19" i="1" s="1"/>
  <c r="R2" i="1"/>
  <c r="Q2" i="1"/>
  <c r="P2" i="1"/>
  <c r="O2" i="1"/>
  <c r="N16" i="1"/>
  <c r="N3" i="1"/>
  <c r="N4" i="1"/>
  <c r="N5" i="1"/>
  <c r="N6" i="1"/>
  <c r="N7" i="1"/>
  <c r="N8" i="1"/>
  <c r="N9" i="1"/>
  <c r="N15" i="1"/>
  <c r="N20" i="1" s="1"/>
  <c r="N10" i="1"/>
  <c r="N11" i="1"/>
  <c r="N12" i="1"/>
  <c r="N13" i="1"/>
  <c r="N2" i="1"/>
  <c r="C26" i="11"/>
  <c r="D26" i="11"/>
  <c r="F26" i="11"/>
  <c r="H26" i="11"/>
  <c r="J26" i="11"/>
  <c r="L26" i="11"/>
  <c r="M26" i="11"/>
  <c r="B26" i="11"/>
  <c r="K24" i="11"/>
  <c r="K26" i="11" s="1"/>
  <c r="I24" i="11"/>
  <c r="I26" i="11" s="1"/>
  <c r="G24" i="11"/>
  <c r="G26" i="11" s="1"/>
  <c r="G3" i="11"/>
  <c r="B16" i="11"/>
  <c r="N13" i="1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B8" i="11"/>
  <c r="E25" i="11" s="1"/>
  <c r="E26" i="11" s="1"/>
  <c r="F34" i="9"/>
  <c r="D4" i="11"/>
  <c r="D5" i="11"/>
  <c r="D3" i="11"/>
  <c r="J7" i="2" l="1"/>
  <c r="K8" i="2"/>
  <c r="J8" i="2"/>
  <c r="N28" i="2"/>
  <c r="K28" i="2"/>
  <c r="N4" i="2"/>
  <c r="N13" i="2" s="1"/>
  <c r="L28" i="2"/>
  <c r="J28" i="2"/>
  <c r="K5" i="13"/>
  <c r="J6" i="13"/>
  <c r="B28" i="11"/>
  <c r="C16" i="11" s="1"/>
  <c r="O14" i="1"/>
  <c r="O19" i="1" s="1"/>
  <c r="P14" i="1"/>
  <c r="P19" i="1" s="1"/>
  <c r="Q14" i="1"/>
  <c r="Q19" i="1" s="1"/>
  <c r="R14" i="1"/>
  <c r="R19" i="1" s="1"/>
  <c r="T14" i="1"/>
  <c r="T19" i="1" s="1"/>
  <c r="N14" i="1"/>
  <c r="C28" i="11"/>
  <c r="D16" i="11" s="1"/>
  <c r="D28" i="11" s="1"/>
  <c r="E16" i="11" s="1"/>
  <c r="E28" i="11" s="1"/>
  <c r="F16" i="11" s="1"/>
  <c r="F28" i="11" s="1"/>
  <c r="G16" i="11" s="1"/>
  <c r="G28" i="11" s="1"/>
  <c r="H16" i="11" s="1"/>
  <c r="H28" i="11" s="1"/>
  <c r="I16" i="11" s="1"/>
  <c r="I28" i="11" s="1"/>
  <c r="J16" i="11" s="1"/>
  <c r="J28" i="11" s="1"/>
  <c r="K16" i="11" s="1"/>
  <c r="K28" i="11" s="1"/>
  <c r="L16" i="11" s="1"/>
  <c r="L28" i="11" s="1"/>
  <c r="M16" i="11" s="1"/>
  <c r="M28" i="11" s="1"/>
  <c r="I2" i="9"/>
  <c r="J9" i="2" s="1"/>
  <c r="I3" i="9"/>
  <c r="L7" i="2" s="1"/>
  <c r="I4" i="9"/>
  <c r="I5" i="9"/>
  <c r="I6" i="9"/>
  <c r="I8" i="9"/>
  <c r="I9" i="9"/>
  <c r="I10" i="9"/>
  <c r="I12" i="9"/>
  <c r="I13" i="9"/>
  <c r="I14" i="9"/>
  <c r="I15" i="9"/>
  <c r="I17" i="9"/>
  <c r="L12" i="2" s="1"/>
  <c r="I18" i="9"/>
  <c r="I21" i="9"/>
  <c r="I22" i="9"/>
  <c r="I23" i="9"/>
  <c r="I24" i="9"/>
  <c r="I26" i="9"/>
  <c r="I27" i="9"/>
  <c r="I28" i="9"/>
  <c r="I29" i="9"/>
  <c r="I30" i="9"/>
  <c r="I31" i="9"/>
  <c r="I32" i="9"/>
  <c r="I33" i="9"/>
  <c r="E2" i="9"/>
  <c r="F2" i="9" s="1"/>
  <c r="G2" i="9"/>
  <c r="E3" i="9"/>
  <c r="F3" i="9"/>
  <c r="G3" i="9"/>
  <c r="F4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F5" i="9"/>
  <c r="F14" i="9"/>
  <c r="F16" i="9"/>
  <c r="F33" i="9"/>
  <c r="E32" i="9"/>
  <c r="F32" i="9" s="1"/>
  <c r="E31" i="9"/>
  <c r="F31" i="9" s="1"/>
  <c r="E30" i="9"/>
  <c r="F30" i="9" s="1"/>
  <c r="E29" i="9"/>
  <c r="F29" i="9" s="1"/>
  <c r="E28" i="9"/>
  <c r="F28" i="9" s="1"/>
  <c r="E27" i="9"/>
  <c r="F27" i="9" s="1"/>
  <c r="E26" i="9"/>
  <c r="F26" i="9" s="1"/>
  <c r="E25" i="9"/>
  <c r="F25" i="9" s="1"/>
  <c r="E24" i="9"/>
  <c r="F24" i="9" s="1"/>
  <c r="E23" i="9"/>
  <c r="F23" i="9" s="1"/>
  <c r="E22" i="9"/>
  <c r="F22" i="9" s="1"/>
  <c r="E21" i="9"/>
  <c r="F21" i="9" s="1"/>
  <c r="E20" i="9"/>
  <c r="F20" i="9" s="1"/>
  <c r="E19" i="9"/>
  <c r="F19" i="9" s="1"/>
  <c r="E18" i="9"/>
  <c r="F18" i="9" s="1"/>
  <c r="E17" i="9"/>
  <c r="F17" i="9" s="1"/>
  <c r="E15" i="9"/>
  <c r="F15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E6" i="9"/>
  <c r="F6" i="9" s="1"/>
  <c r="C12" i="7"/>
  <c r="C2" i="7"/>
  <c r="C3" i="7"/>
  <c r="C4" i="7"/>
  <c r="C6" i="7"/>
  <c r="C7" i="7"/>
  <c r="C5" i="7"/>
  <c r="C8" i="7"/>
  <c r="C9" i="7"/>
  <c r="C10" i="7"/>
  <c r="C11" i="7"/>
  <c r="C13" i="7"/>
  <c r="C14" i="7"/>
  <c r="C15" i="7"/>
  <c r="C16" i="7"/>
  <c r="C17" i="7"/>
  <c r="C28" i="7"/>
  <c r="C29" i="7"/>
  <c r="C20" i="7"/>
  <c r="C21" i="7"/>
  <c r="C22" i="7"/>
  <c r="C18" i="7"/>
  <c r="C23" i="7"/>
  <c r="C24" i="7"/>
  <c r="C25" i="7"/>
  <c r="C19" i="7"/>
  <c r="C26" i="7"/>
  <c r="C27" i="7"/>
  <c r="C30" i="7"/>
  <c r="C31" i="7"/>
  <c r="C32" i="7"/>
  <c r="C33" i="7"/>
  <c r="C36" i="7"/>
  <c r="C35" i="7"/>
  <c r="C34" i="7"/>
  <c r="C37" i="7"/>
  <c r="C38" i="7"/>
  <c r="C39" i="7"/>
  <c r="C40" i="7"/>
  <c r="C41" i="7"/>
  <c r="C42" i="7"/>
  <c r="C43" i="7"/>
  <c r="C44" i="7"/>
  <c r="C45" i="7"/>
  <c r="C46" i="7"/>
  <c r="C52" i="7"/>
  <c r="C47" i="7"/>
  <c r="C48" i="7"/>
  <c r="C49" i="7"/>
  <c r="C50" i="7"/>
  <c r="C51" i="7"/>
  <c r="C53" i="7"/>
  <c r="C54" i="7"/>
  <c r="C56" i="7"/>
  <c r="C55" i="7"/>
  <c r="C57" i="7"/>
  <c r="C61" i="7"/>
  <c r="C58" i="7"/>
  <c r="C59" i="7"/>
  <c r="C60" i="7"/>
  <c r="C62" i="7"/>
  <c r="C65" i="7"/>
  <c r="C63" i="7"/>
  <c r="C64" i="7"/>
  <c r="C66" i="7"/>
  <c r="C68" i="7"/>
  <c r="C67" i="7"/>
  <c r="C69" i="7"/>
  <c r="C70" i="7"/>
  <c r="C71" i="7"/>
  <c r="C72" i="7"/>
  <c r="C73" i="7"/>
  <c r="C74" i="7"/>
  <c r="C75" i="7"/>
  <c r="C76" i="7"/>
  <c r="C77" i="7"/>
  <c r="C78" i="7"/>
  <c r="C79" i="7"/>
  <c r="C81" i="7"/>
  <c r="C80" i="7"/>
  <c r="C82" i="7"/>
  <c r="C83" i="7"/>
  <c r="C86" i="7"/>
  <c r="C85" i="7"/>
  <c r="C84" i="7"/>
  <c r="C87" i="7"/>
  <c r="C88" i="7"/>
  <c r="C89" i="7"/>
  <c r="C90" i="7"/>
  <c r="C91" i="7"/>
  <c r="C93" i="7"/>
  <c r="C94" i="7"/>
  <c r="C92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9" i="7"/>
  <c r="C108" i="7"/>
  <c r="C110" i="7"/>
  <c r="C111" i="7"/>
  <c r="C112" i="7"/>
  <c r="C113" i="7"/>
  <c r="C118" i="7"/>
  <c r="C116" i="7"/>
  <c r="C114" i="7"/>
  <c r="C115" i="7"/>
  <c r="C117" i="7"/>
  <c r="C119" i="7"/>
  <c r="C120" i="7"/>
  <c r="C121" i="7"/>
  <c r="C122" i="7"/>
  <c r="C123" i="7"/>
  <c r="C124" i="7"/>
  <c r="C125" i="7"/>
  <c r="C126" i="7"/>
  <c r="C127" i="7"/>
  <c r="C129" i="7"/>
  <c r="C128" i="7"/>
  <c r="C130" i="7"/>
  <c r="C131" i="7"/>
  <c r="C132" i="7"/>
  <c r="C133" i="7"/>
  <c r="C134" i="7"/>
  <c r="C136" i="7"/>
  <c r="C135" i="7"/>
  <c r="C137" i="7"/>
  <c r="C138" i="7"/>
  <c r="C140" i="7"/>
  <c r="C139" i="7"/>
  <c r="C141" i="7"/>
  <c r="C142" i="7"/>
  <c r="C144" i="7"/>
  <c r="C143" i="7"/>
  <c r="C145" i="7"/>
  <c r="C147" i="7"/>
  <c r="C146" i="7"/>
  <c r="C148" i="7"/>
  <c r="C150" i="7"/>
  <c r="C151" i="7"/>
  <c r="C149" i="7"/>
  <c r="C152" i="7"/>
  <c r="C153" i="7"/>
  <c r="C154" i="7"/>
  <c r="C155" i="7"/>
  <c r="C156" i="7"/>
  <c r="C157" i="7"/>
  <c r="C158" i="7"/>
  <c r="C159" i="7"/>
  <c r="C160" i="7"/>
  <c r="C161" i="7"/>
  <c r="C162" i="7"/>
  <c r="G20" i="7"/>
  <c r="G21" i="7"/>
  <c r="G161" i="7"/>
  <c r="G160" i="7"/>
  <c r="G151" i="7"/>
  <c r="G137" i="7"/>
  <c r="G138" i="7"/>
  <c r="G131" i="7"/>
  <c r="G132" i="7"/>
  <c r="G117" i="7"/>
  <c r="G111" i="7"/>
  <c r="G108" i="7"/>
  <c r="G87" i="7"/>
  <c r="G88" i="7"/>
  <c r="G85" i="7"/>
  <c r="G71" i="7"/>
  <c r="G58" i="7"/>
  <c r="G59" i="7"/>
  <c r="G49" i="7"/>
  <c r="G45" i="7"/>
  <c r="G38" i="7"/>
  <c r="G22" i="7"/>
  <c r="G18" i="7"/>
  <c r="G23" i="7"/>
  <c r="G24" i="7"/>
  <c r="G25" i="7"/>
  <c r="G19" i="7"/>
  <c r="G26" i="7"/>
  <c r="G16" i="7"/>
  <c r="G9" i="7"/>
  <c r="G4" i="7"/>
  <c r="F161" i="7"/>
  <c r="F160" i="7"/>
  <c r="F158" i="7"/>
  <c r="F159" i="7"/>
  <c r="F157" i="7"/>
  <c r="F156" i="7"/>
  <c r="F153" i="7"/>
  <c r="F154" i="7"/>
  <c r="F155" i="7"/>
  <c r="F152" i="7"/>
  <c r="F150" i="7"/>
  <c r="F151" i="7"/>
  <c r="F149" i="7"/>
  <c r="F148" i="7"/>
  <c r="F145" i="7"/>
  <c r="F147" i="7"/>
  <c r="F146" i="7"/>
  <c r="F144" i="7"/>
  <c r="F143" i="7"/>
  <c r="F140" i="7"/>
  <c r="F139" i="7"/>
  <c r="F141" i="7"/>
  <c r="F142" i="7"/>
  <c r="F136" i="7"/>
  <c r="F135" i="7"/>
  <c r="F137" i="7"/>
  <c r="F138" i="7"/>
  <c r="F134" i="7"/>
  <c r="F133" i="7"/>
  <c r="F130" i="7"/>
  <c r="F131" i="7"/>
  <c r="F132" i="7"/>
  <c r="F129" i="7"/>
  <c r="F128" i="7"/>
  <c r="F125" i="7"/>
  <c r="F126" i="7"/>
  <c r="F127" i="7"/>
  <c r="F124" i="7"/>
  <c r="F123" i="7"/>
  <c r="F120" i="7"/>
  <c r="F121" i="7"/>
  <c r="F122" i="7"/>
  <c r="F118" i="7"/>
  <c r="F116" i="7"/>
  <c r="F114" i="7"/>
  <c r="F115" i="7"/>
  <c r="F117" i="7"/>
  <c r="F119" i="7"/>
  <c r="F113" i="7"/>
  <c r="F110" i="7"/>
  <c r="F111" i="7"/>
  <c r="F112" i="7"/>
  <c r="F107" i="7"/>
  <c r="F109" i="7"/>
  <c r="F108" i="7"/>
  <c r="F106" i="7"/>
  <c r="F102" i="7"/>
  <c r="F103" i="7"/>
  <c r="F104" i="7"/>
  <c r="F105" i="7"/>
  <c r="F100" i="7"/>
  <c r="F101" i="7"/>
  <c r="F98" i="7"/>
  <c r="F99" i="7"/>
  <c r="F97" i="7"/>
  <c r="F95" i="7"/>
  <c r="F96" i="7"/>
  <c r="F93" i="7"/>
  <c r="F94" i="7"/>
  <c r="F92" i="7"/>
  <c r="F90" i="7"/>
  <c r="F91" i="7"/>
  <c r="F89" i="7"/>
  <c r="F87" i="7"/>
  <c r="F88" i="7"/>
  <c r="F86" i="7"/>
  <c r="F85" i="7"/>
  <c r="F84" i="7"/>
  <c r="F83" i="7"/>
  <c r="F82" i="7"/>
  <c r="F79" i="7"/>
  <c r="F81" i="7"/>
  <c r="F80" i="7"/>
  <c r="F77" i="7"/>
  <c r="F78" i="7"/>
  <c r="F76" i="7"/>
  <c r="F73" i="7"/>
  <c r="F74" i="7"/>
  <c r="F75" i="7"/>
  <c r="F69" i="7"/>
  <c r="F70" i="7"/>
  <c r="F71" i="7"/>
  <c r="F72" i="7"/>
  <c r="F68" i="7"/>
  <c r="F67" i="7"/>
  <c r="F66" i="7"/>
  <c r="F65" i="7"/>
  <c r="F63" i="7"/>
  <c r="F64" i="7"/>
  <c r="F62" i="7"/>
  <c r="F57" i="7"/>
  <c r="F61" i="7"/>
  <c r="F58" i="7"/>
  <c r="F59" i="7"/>
  <c r="F60" i="7"/>
  <c r="F56" i="7"/>
  <c r="F55" i="7"/>
  <c r="F53" i="7"/>
  <c r="F54" i="7"/>
  <c r="F52" i="7"/>
  <c r="F47" i="7"/>
  <c r="F48" i="7"/>
  <c r="F49" i="7"/>
  <c r="F50" i="7"/>
  <c r="F51" i="7"/>
  <c r="F46" i="7"/>
  <c r="F45" i="7"/>
  <c r="F43" i="7"/>
  <c r="F44" i="7"/>
  <c r="F38" i="7"/>
  <c r="F39" i="7"/>
  <c r="F40" i="7"/>
  <c r="F41" i="7"/>
  <c r="F42" i="7"/>
  <c r="F37" i="7"/>
  <c r="F36" i="7"/>
  <c r="F35" i="7"/>
  <c r="F34" i="7"/>
  <c r="F31" i="7"/>
  <c r="F32" i="7"/>
  <c r="F33" i="7"/>
  <c r="F30" i="7"/>
  <c r="F28" i="7"/>
  <c r="F29" i="7"/>
  <c r="F20" i="7"/>
  <c r="F21" i="7"/>
  <c r="F22" i="7"/>
  <c r="F18" i="7"/>
  <c r="F23" i="7"/>
  <c r="F24" i="7"/>
  <c r="F25" i="7"/>
  <c r="F19" i="7"/>
  <c r="F26" i="7"/>
  <c r="F27" i="7"/>
  <c r="F15" i="7"/>
  <c r="F16" i="7"/>
  <c r="F17" i="7"/>
  <c r="F13" i="7"/>
  <c r="F14" i="7"/>
  <c r="F12" i="7"/>
  <c r="F10" i="7"/>
  <c r="F11" i="7"/>
  <c r="F8" i="7"/>
  <c r="F9" i="7"/>
  <c r="F2" i="7"/>
  <c r="F3" i="7"/>
  <c r="F4" i="7"/>
  <c r="F6" i="7"/>
  <c r="F7" i="7"/>
  <c r="F5" i="7"/>
  <c r="F162" i="7"/>
  <c r="F3" i="6"/>
  <c r="F4" i="6"/>
  <c r="F5" i="6"/>
  <c r="F6" i="6"/>
  <c r="F7" i="6"/>
  <c r="F8" i="6"/>
  <c r="F9" i="6"/>
  <c r="F2" i="6"/>
  <c r="F3" i="5"/>
  <c r="F4" i="5"/>
  <c r="F5" i="5"/>
  <c r="F6" i="5"/>
  <c r="F7" i="5"/>
  <c r="F8" i="5"/>
  <c r="F9" i="5"/>
  <c r="F10" i="5"/>
  <c r="F11" i="5"/>
  <c r="F12" i="5"/>
  <c r="F13" i="5"/>
  <c r="F2" i="5"/>
  <c r="K5" i="2" l="1"/>
  <c r="L8" i="2"/>
  <c r="J12" i="2"/>
  <c r="K9" i="2"/>
  <c r="J6" i="2"/>
  <c r="K6" i="2"/>
  <c r="L6" i="2"/>
  <c r="M5" i="2"/>
  <c r="L4" i="2"/>
  <c r="M6" i="2"/>
  <c r="L5" i="2"/>
  <c r="M7" i="2"/>
  <c r="L9" i="2"/>
  <c r="M8" i="2"/>
  <c r="L10" i="2"/>
  <c r="M9" i="2"/>
  <c r="L11" i="2"/>
  <c r="M10" i="2"/>
  <c r="L3" i="2"/>
  <c r="M11" i="2"/>
  <c r="M12" i="2"/>
  <c r="M3" i="2"/>
  <c r="J5" i="2"/>
  <c r="J3" i="2"/>
  <c r="K10" i="2"/>
  <c r="K11" i="2"/>
  <c r="K12" i="2"/>
  <c r="M4" i="2"/>
  <c r="K3" i="2"/>
  <c r="K4" i="2"/>
  <c r="J4" i="2"/>
  <c r="K7" i="2"/>
  <c r="J10" i="2"/>
  <c r="J11" i="2"/>
  <c r="K6" i="13"/>
  <c r="J7" i="13"/>
  <c r="K7" i="13" s="1"/>
  <c r="I11" i="2"/>
  <c r="H11" i="2"/>
  <c r="G11" i="2"/>
  <c r="F11" i="2"/>
  <c r="E11" i="2"/>
  <c r="D11" i="2"/>
  <c r="I9" i="2"/>
  <c r="H9" i="2"/>
  <c r="G9" i="2"/>
  <c r="F9" i="2"/>
  <c r="E9" i="2"/>
  <c r="D9" i="2"/>
  <c r="C9" i="2"/>
  <c r="C11" i="2"/>
  <c r="C24" i="2"/>
  <c r="C10" i="2" s="1"/>
  <c r="O10" i="2" s="1"/>
  <c r="C23" i="2"/>
  <c r="C8" i="2" s="1"/>
  <c r="I23" i="2"/>
  <c r="I8" i="2" s="1"/>
  <c r="H23" i="2"/>
  <c r="H8" i="2" s="1"/>
  <c r="G23" i="2"/>
  <c r="G8" i="2" s="1"/>
  <c r="F23" i="2"/>
  <c r="F8" i="2" s="1"/>
  <c r="E23" i="2"/>
  <c r="E8" i="2" s="1"/>
  <c r="D23" i="2"/>
  <c r="D8" i="2" s="1"/>
  <c r="G26" i="2"/>
  <c r="D25" i="2"/>
  <c r="D12" i="2" s="1"/>
  <c r="E20" i="2"/>
  <c r="E5" i="2" s="1"/>
  <c r="G18" i="2"/>
  <c r="H24" i="2"/>
  <c r="H10" i="2" s="1"/>
  <c r="D27" i="2"/>
  <c r="E19" i="2"/>
  <c r="E4" i="2" s="1"/>
  <c r="G25" i="2"/>
  <c r="G12" i="2" s="1"/>
  <c r="H20" i="2"/>
  <c r="H5" i="2" s="1"/>
  <c r="H19" i="2"/>
  <c r="H4" i="2" s="1"/>
  <c r="C26" i="2"/>
  <c r="D22" i="2"/>
  <c r="D7" i="2" s="1"/>
  <c r="H21" i="2"/>
  <c r="H6" i="2" s="1"/>
  <c r="D24" i="2"/>
  <c r="D10" i="2" s="1"/>
  <c r="F26" i="2"/>
  <c r="G22" i="2"/>
  <c r="G7" i="2" s="1"/>
  <c r="C21" i="2"/>
  <c r="C6" i="2" s="1"/>
  <c r="O6" i="2" s="1"/>
  <c r="D20" i="2"/>
  <c r="D5" i="2" s="1"/>
  <c r="F18" i="2"/>
  <c r="G24" i="2"/>
  <c r="G10" i="2" s="1"/>
  <c r="I26" i="2"/>
  <c r="C19" i="2"/>
  <c r="C4" i="2" s="1"/>
  <c r="D19" i="2"/>
  <c r="D4" i="2" s="1"/>
  <c r="F25" i="2"/>
  <c r="F12" i="2" s="1"/>
  <c r="G20" i="2"/>
  <c r="G5" i="2" s="1"/>
  <c r="I18" i="2"/>
  <c r="C20" i="2"/>
  <c r="C5" i="2" s="1"/>
  <c r="D21" i="2"/>
  <c r="D6" i="2" s="1"/>
  <c r="F27" i="2"/>
  <c r="G19" i="2"/>
  <c r="G4" i="2" s="1"/>
  <c r="I25" i="2"/>
  <c r="I12" i="2" s="1"/>
  <c r="G27" i="2"/>
  <c r="G21" i="2"/>
  <c r="G6" i="2" s="1"/>
  <c r="I27" i="2"/>
  <c r="E21" i="2"/>
  <c r="E6" i="2" s="1"/>
  <c r="C22" i="2"/>
  <c r="C7" i="2" s="1"/>
  <c r="E26" i="2"/>
  <c r="F22" i="2"/>
  <c r="F7" i="2" s="1"/>
  <c r="E18" i="2"/>
  <c r="F24" i="2"/>
  <c r="F10" i="2" s="1"/>
  <c r="H26" i="2"/>
  <c r="I22" i="2"/>
  <c r="I7" i="2" s="1"/>
  <c r="C27" i="2"/>
  <c r="E25" i="2"/>
  <c r="E12" i="2" s="1"/>
  <c r="F20" i="2"/>
  <c r="F5" i="2" s="1"/>
  <c r="H18" i="2"/>
  <c r="I24" i="2"/>
  <c r="I10" i="2" s="1"/>
  <c r="C25" i="2"/>
  <c r="C12" i="2" s="1"/>
  <c r="E27" i="2"/>
  <c r="F19" i="2"/>
  <c r="F4" i="2" s="1"/>
  <c r="H25" i="2"/>
  <c r="H12" i="2" s="1"/>
  <c r="I20" i="2"/>
  <c r="I5" i="2" s="1"/>
  <c r="C18" i="2"/>
  <c r="C3" i="2" s="1"/>
  <c r="F21" i="2"/>
  <c r="F6" i="2" s="1"/>
  <c r="H27" i="2"/>
  <c r="I19" i="2"/>
  <c r="I4" i="2" s="1"/>
  <c r="D26" i="2"/>
  <c r="E22" i="2"/>
  <c r="E7" i="2" s="1"/>
  <c r="I21" i="2"/>
  <c r="I6" i="2" s="1"/>
  <c r="D18" i="2"/>
  <c r="E24" i="2"/>
  <c r="E10" i="2" s="1"/>
  <c r="H22" i="2"/>
  <c r="H7" i="2" s="1"/>
  <c r="O4" i="2" l="1"/>
  <c r="O7" i="2"/>
  <c r="K13" i="2"/>
  <c r="J13" i="2"/>
  <c r="M13" i="2"/>
  <c r="O5" i="2"/>
  <c r="O12" i="2"/>
  <c r="O8" i="2"/>
  <c r="L13" i="2"/>
  <c r="O11" i="2"/>
  <c r="O9" i="2"/>
  <c r="J8" i="13"/>
  <c r="K8" i="13" s="1"/>
  <c r="E3" i="2"/>
  <c r="E13" i="2" s="1"/>
  <c r="E28" i="2"/>
  <c r="C28" i="2"/>
  <c r="G3" i="2"/>
  <c r="G13" i="2" s="1"/>
  <c r="G28" i="2"/>
  <c r="F3" i="2"/>
  <c r="F13" i="2" s="1"/>
  <c r="F28" i="2"/>
  <c r="I3" i="2"/>
  <c r="I13" i="2" s="1"/>
  <c r="I28" i="2"/>
  <c r="H3" i="2"/>
  <c r="H13" i="2" s="1"/>
  <c r="H28" i="2"/>
  <c r="D3" i="2"/>
  <c r="D13" i="2" s="1"/>
  <c r="D28" i="2"/>
  <c r="O23" i="2"/>
  <c r="O20" i="2"/>
  <c r="O18" i="2"/>
  <c r="O22" i="2"/>
  <c r="O26" i="2"/>
  <c r="O25" i="2"/>
  <c r="O19" i="2"/>
  <c r="O24" i="2"/>
  <c r="O21" i="2"/>
  <c r="O27" i="2"/>
  <c r="O3" i="2" l="1"/>
  <c r="J9" i="13"/>
  <c r="K9" i="13" s="1"/>
  <c r="P3" i="2"/>
  <c r="C13" i="2"/>
  <c r="P6" i="2"/>
  <c r="P7" i="2"/>
  <c r="P8" i="2"/>
  <c r="P11" i="2"/>
  <c r="P4" i="2"/>
  <c r="P10" i="2"/>
  <c r="P9" i="2"/>
  <c r="P12" i="2"/>
  <c r="P5" i="2"/>
  <c r="O13" i="2"/>
  <c r="O28" i="2" s="1"/>
  <c r="J10" i="13" l="1"/>
  <c r="K10" i="13" s="1"/>
  <c r="P13" i="2"/>
  <c r="J11" i="13" l="1"/>
  <c r="K11" i="13" s="1"/>
  <c r="J12" i="13" l="1"/>
  <c r="K12" i="13" s="1"/>
  <c r="J13" i="13" l="1"/>
  <c r="K13" i="13" s="1"/>
  <c r="J14" i="13" l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K14" i="13" l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</calcChain>
</file>

<file path=xl/sharedStrings.xml><?xml version="1.0" encoding="utf-8"?>
<sst xmlns="http://schemas.openxmlformats.org/spreadsheetml/2006/main" count="9530" uniqueCount="1393">
  <si>
    <t>Trans. Date</t>
  </si>
  <si>
    <t>Post Date</t>
  </si>
  <si>
    <t>Description</t>
  </si>
  <si>
    <t>Amount</t>
  </si>
  <si>
    <t>Category</t>
  </si>
  <si>
    <t>Short_Desc</t>
  </si>
  <si>
    <t>Date</t>
  </si>
  <si>
    <t>Reoccurring_Flag</t>
  </si>
  <si>
    <t>Category_2</t>
  </si>
  <si>
    <t>CumAmount</t>
  </si>
  <si>
    <t>Balance</t>
  </si>
  <si>
    <t>JIMMY JOHNS - 2500 PHOENIX AZ</t>
  </si>
  <si>
    <t>Restaurants</t>
  </si>
  <si>
    <t>fast_food</t>
  </si>
  <si>
    <t>01/2022</t>
  </si>
  <si>
    <t>No</t>
  </si>
  <si>
    <t>Food</t>
  </si>
  <si>
    <t>OLIVE GARDE00064212140 PHOENIX AZ</t>
  </si>
  <si>
    <t>restaurant</t>
  </si>
  <si>
    <t>NETFLIX.COM NETFLIX.COM CAITEM TRANSFERRED FROM PREV ACCOUNT</t>
  </si>
  <si>
    <t>Merchandise</t>
  </si>
  <si>
    <t>netflix</t>
  </si>
  <si>
    <t>Yes</t>
  </si>
  <si>
    <t>Recreation_Entertainment</t>
  </si>
  <si>
    <t>SPOTIFY P18D298A28 8777781161 NYITEM TRANSFERRED FROM PREV ACCOUNT</t>
  </si>
  <si>
    <t>spotify</t>
  </si>
  <si>
    <t>AMZN MKTP US*BP5036MA3 AMZN.COM/BILLWAITEM TRANSFERRED FROM PREV ACCOUNT</t>
  </si>
  <si>
    <t>amazon</t>
  </si>
  <si>
    <t>MCDONALD'S F20697 PHOENIX AZ</t>
  </si>
  <si>
    <t>LIFE TIME ATHLETIC 279 PHOENIX AZ01118R</t>
  </si>
  <si>
    <t>Travel/ Entertainment</t>
  </si>
  <si>
    <t>gym</t>
  </si>
  <si>
    <t>Personal_Spending</t>
  </si>
  <si>
    <t>CVS/PHARMACY #09252 SCOTTSDALE AZAPPLE PAY ENDING IN 4775</t>
  </si>
  <si>
    <t>conv_store</t>
  </si>
  <si>
    <t>CAFE RIO 0084 SCOTTSDALE SCOTTSDALE AZ</t>
  </si>
  <si>
    <t>INTERNET PAYMENT - THANK YOU</t>
  </si>
  <si>
    <t>Payments and Credits</t>
  </si>
  <si>
    <t>payment</t>
  </si>
  <si>
    <t>CIRCLE K 01930 YUMA AZ01374R</t>
  </si>
  <si>
    <t>Gasoline</t>
  </si>
  <si>
    <t>gas_station</t>
  </si>
  <si>
    <t>Transportation</t>
  </si>
  <si>
    <t>CASHBACK BONUS REDEMPTION PYMT/STMT CRDT</t>
  </si>
  <si>
    <t>Awards and Rebate Credits</t>
  </si>
  <si>
    <t>cashback_bonus</t>
  </si>
  <si>
    <t>SEVEN MILE CASINO RESTAU CHULA VISTA CA</t>
  </si>
  <si>
    <t>MCDONALDS 20697 PHOENIX AZ</t>
  </si>
  <si>
    <t>APPLE.COM/BILL 866-712-7753 CAAPPLE PAY ENDING IN 4775MMW7SF5QV8A0</t>
  </si>
  <si>
    <t>hbo</t>
  </si>
  <si>
    <t>THE CRACK SHACK LITTLE I SAN DIEGO CA</t>
  </si>
  <si>
    <t>TACOS EL GORDO - CHULA V CHULA VISTA CA</t>
  </si>
  <si>
    <t>RALPHS # 0212 SAN DIEGO CA</t>
  </si>
  <si>
    <t>Supermarkets</t>
  </si>
  <si>
    <t>groceries</t>
  </si>
  <si>
    <t>ZOO TICKETS AND TOURS SAN DIEGO CA0001000185182201161649</t>
  </si>
  <si>
    <t>Services</t>
  </si>
  <si>
    <t>zoo</t>
  </si>
  <si>
    <t>APPLE.COM/BILL 111-111-1111 CAAPPLE PAY ENDING IN 4775</t>
  </si>
  <si>
    <t>unsure</t>
  </si>
  <si>
    <t>Misc</t>
  </si>
  <si>
    <t>7-ELEVEN 21028 EL CENTRO CAAPPLE PAY ENDING IN 4775</t>
  </si>
  <si>
    <t>CHEVRON 0207812 YUMA AZ00207812 1200537 R</t>
  </si>
  <si>
    <t>BURGER KING #25911 YUMA AZ</t>
  </si>
  <si>
    <t>TMOBILE*AUTO PAY 800-937-8997 WAITEM TRANSFERRED FROM PREV ACCOUNT</t>
  </si>
  <si>
    <t>cell_phone</t>
  </si>
  <si>
    <t>Utilities</t>
  </si>
  <si>
    <t>APPLE.COM/BILL 866-712-7753 CAAPPLE PAY ENDING IN 4775MMW7VVNMDVA0</t>
  </si>
  <si>
    <t>apple_tv</t>
  </si>
  <si>
    <t>PAYPAL *ARIZONAPUBL 402-935-7733 CA</t>
  </si>
  <si>
    <t>aps</t>
  </si>
  <si>
    <t>TARGET PHOENIX AZ</t>
  </si>
  <si>
    <t>target</t>
  </si>
  <si>
    <t>CAVASSON EASTSIDE CAFE SCOTTSDALE AZ</t>
  </si>
  <si>
    <t>work_lunch</t>
  </si>
  <si>
    <t>LYFT *2 RIDES 01-18 855-865-9553 CAITEM TRANSFERRED FROM PREV ACCOUNT</t>
  </si>
  <si>
    <t>ride_share</t>
  </si>
  <si>
    <t>KRYSTAL AND SAAGAR 2025317527 DCITEM TRANSFERRED FROM PREV ACCOUNT</t>
  </si>
  <si>
    <t>breaking_points</t>
  </si>
  <si>
    <t>CCBILL.COM 888-5969279 AZITEM TRANSFERRED FROM PREV ACCOUNT</t>
  </si>
  <si>
    <t>onlyfans</t>
  </si>
  <si>
    <t>LYFT *2 RIDES 01-20 855-865-9553 CAITEM TRANSFERRED FROM PREV ACCOUNT</t>
  </si>
  <si>
    <t>MCDONALD'S F20697 PHOENIX AZAPPLE PAY ENDING IN 4775</t>
  </si>
  <si>
    <t>OCOTILLO VILLAGE HEALTH CHANDLER AZ</t>
  </si>
  <si>
    <t>AMZN MKTP US*FL5G52C63 AMZN.COM/BILLWAITEM TRANSFERRED FROM PREV ACCOUNT</t>
  </si>
  <si>
    <t>AMZN MKTP US*VD9Y872T3 AMZN.COM/BILLWAITEM TRANSFERRED FROM PREV ACCOUNT</t>
  </si>
  <si>
    <t>AMZN MKTP US*YX9X26H73 AMZN.COM/BILLWAITEM TRANSFERRED FROM PREV ACCOUNT</t>
  </si>
  <si>
    <t>PAYPAL *GRAMMARLY ZDYBC 402-935-7733 CA</t>
  </si>
  <si>
    <t>grammarly</t>
  </si>
  <si>
    <t>CLR*STRETCHZONE480687187 480-687-1874 TITEM TRANSFERRED FROM PREV ACCOUNT</t>
  </si>
  <si>
    <t>stretch_zone</t>
  </si>
  <si>
    <t>STAPLES 00103929105 PHOENIX AZ</t>
  </si>
  <si>
    <t>staples</t>
  </si>
  <si>
    <t>PAYPAL *INTERACTIVE 402-935-7733 CA</t>
  </si>
  <si>
    <t>learning</t>
  </si>
  <si>
    <t>SQ *NORA ASIAN FRESH PHOENIX AZ0002305843015128013485</t>
  </si>
  <si>
    <t>TST* BBQ TRAPP HAUS - PHOENIX AZ00003553005946884140AA</t>
  </si>
  <si>
    <t>CIRCLE K # 03447 PHOENIX AZ02978R</t>
  </si>
  <si>
    <t>DICKS SPORTING GOODS#362 TEMPE AZ</t>
  </si>
  <si>
    <t>sport_stuff</t>
  </si>
  <si>
    <t>PAYPAL *HULU 402-935-7733 CA</t>
  </si>
  <si>
    <t>hulu</t>
  </si>
  <si>
    <t>TST* WOW WOW HAWAIIAN LE PHOENIX AZ</t>
  </si>
  <si>
    <t>WALGREENS #3464 PHOENIX AZ</t>
  </si>
  <si>
    <t>SAFEWAY #2651 PHOENIX AZ</t>
  </si>
  <si>
    <t>AUTOZONE #2768 PHOENIX AZ</t>
  </si>
  <si>
    <t>Automotive</t>
  </si>
  <si>
    <t>car</t>
  </si>
  <si>
    <t>STATE FARM INSURANCE 800-956-6310 ILITEM TRANSFERRED FROM PREV ACCOUNT</t>
  </si>
  <si>
    <t>state_farm</t>
  </si>
  <si>
    <t>Insurance</t>
  </si>
  <si>
    <t>3856 EL POLLO LOCO PHOENIX AZ</t>
  </si>
  <si>
    <t>DRI*NVIDIA STORE NVIDIA.COM MNITEM TRANSFERRED FROM PREV ACCOUNT</t>
  </si>
  <si>
    <t>nvidia</t>
  </si>
  <si>
    <t>PAYPAL *HEARSTMAGAZ 402-935-7733 CA</t>
  </si>
  <si>
    <t>pay_wall</t>
  </si>
  <si>
    <t>FRYS-FOOD-DRG #006 GLENDALE AZ</t>
  </si>
  <si>
    <t>02/2022</t>
  </si>
  <si>
    <t>SAFEWAY #1549 SCOTTSDALE AZ</t>
  </si>
  <si>
    <t>SPOTIFY P19967769F 8777781161 NYITEM TRANSFERRED FROM PREV ACCOUNT</t>
  </si>
  <si>
    <t>APPLE.COM/BILL 866-712-7753 CAAPPLE PAY ENDING IN 4775MMW8436DXMA0</t>
  </si>
  <si>
    <t>AMZN MKTP US*9T8VU3NC3 AMZN.COM/BILLWAITEM TRANSFERRED FROM PREV ACCOUNT</t>
  </si>
  <si>
    <t>AMZN MKTP US*RX32S1F23 AMZN.COM/BILLWAITEM TRANSFERRED FROM PREV ACCOUNT</t>
  </si>
  <si>
    <t>JIMMY JOHNS - 2500 - ECO PHOENIX AZAPPLE PAY ENDING IN 4775</t>
  </si>
  <si>
    <t>nba_league_pass</t>
  </si>
  <si>
    <t>AF*REAL PROPERTY MANA. 866-648-1536 CA</t>
  </si>
  <si>
    <t>dad</t>
  </si>
  <si>
    <t>People</t>
  </si>
  <si>
    <t>APPLE.COM/BILL 866-712-7753 CAAPPLE PAY ENDING IN 4775MMW86H07HVA0</t>
  </si>
  <si>
    <t>GOOGLE *YOUTUBE TV G.CO/HELPPAY#CAP0HR9LUQ</t>
  </si>
  <si>
    <t>youtube_tv</t>
  </si>
  <si>
    <t>PAYPAL *GRAMMARLY A0Q7H 402-935-7733 CA</t>
  </si>
  <si>
    <t>WALMART SC 04232 PHOENIX AZ</t>
  </si>
  <si>
    <t>walmart</t>
  </si>
  <si>
    <t>PAYPAL *FRONTGATETX INN 402-935-7733 CA</t>
  </si>
  <si>
    <t>music_festival</t>
  </si>
  <si>
    <t>ALBERTSONS #0966 SCOTTSDALE AZ</t>
  </si>
  <si>
    <t>CHARLIE'S PHOENIX PHOENIX AZ</t>
  </si>
  <si>
    <t>PAYPAL *SPORTPLANLT 402-935-7733 CA</t>
  </si>
  <si>
    <t>BR: INNINGS FEST AUSTIN TX</t>
  </si>
  <si>
    <t>DUNKIN #350872 PHOENIX AZ</t>
  </si>
  <si>
    <t>AMERICAN AIRLINES FT WORTH TX</t>
  </si>
  <si>
    <t>air_travel</t>
  </si>
  <si>
    <t>crunchy_roll</t>
  </si>
  <si>
    <t>STAPLES PROMO 800-848-8028 KS</t>
  </si>
  <si>
    <t>03/2022</t>
  </si>
  <si>
    <t>FANDANGO 866-857-5191 CAAPPLE PAY ENDING IN 4775</t>
  </si>
  <si>
    <t>movies</t>
  </si>
  <si>
    <t>PANDA EXPRESS 1185 SCOTTSDALE AZ</t>
  </si>
  <si>
    <t>SPOTIFY P1A17D18DB 8777781161 NYITEM TRANSFERRED FROM PREV ACCOUNT</t>
  </si>
  <si>
    <t>ARCO #42554 AMPM PHOENIX AZ</t>
  </si>
  <si>
    <t>CHEVRON 0208757 WILLIAMS AZ00208757 5782659 I</t>
  </si>
  <si>
    <t>CHEVRON 0208757 WILLIAMS AZ00208757 5782658 I</t>
  </si>
  <si>
    <t>TOCA BANNER 6868100020 PHOENIX AZ</t>
  </si>
  <si>
    <t>Medical Services</t>
  </si>
  <si>
    <t>medical</t>
  </si>
  <si>
    <t>Medical</t>
  </si>
  <si>
    <t>GRAND CYN NP-NGVC FLAGSTAFF AZ</t>
  </si>
  <si>
    <t>Government Services</t>
  </si>
  <si>
    <t>museum</t>
  </si>
  <si>
    <t>LOVE'S TRAVEL STOPS #7 MAYER AZ</t>
  </si>
  <si>
    <t>DUNKIN #346591 PHOENIX AZ</t>
  </si>
  <si>
    <t>APPLE.COM/BILL 866-712-7753 CAAPPLE PAY ENDING IN 4775MMW8FFM12TA0</t>
  </si>
  <si>
    <t>APPLE.COM/BILL 866-712-7753 CAAPPLE PAY ENDING IN 4775MMW8GV5L2GA0</t>
  </si>
  <si>
    <t>CARLS JR 1101366 COACHELLA CA</t>
  </si>
  <si>
    <t>ARCO #42533 AMPM PHOENIX AZ</t>
  </si>
  <si>
    <t>LOVE'S COUNTRY STORE # COACHELLA CA</t>
  </si>
  <si>
    <t>MUSICAL INSTRUMENT MUSEU PHOENIX AZ</t>
  </si>
  <si>
    <t>RITT MOMNEY 6502396947 NY</t>
  </si>
  <si>
    <t>concert</t>
  </si>
  <si>
    <t>SQ *DESERT BOTANICAL G PHOENIX AZ0001152921511168063764</t>
  </si>
  <si>
    <t>SQ *DESERT BOTANICAL G PHOENIX AZ0001152921511167811108</t>
  </si>
  <si>
    <t>SQ *EIS CAFE PHOENIX AZ0002305843015308289306</t>
  </si>
  <si>
    <t>UNION 76 PHOENIX AZ</t>
  </si>
  <si>
    <t>CHEVRON 0208757 WILLIAMS AZ00208757 5784292 I</t>
  </si>
  <si>
    <t>OLLIE VAUGHN S PHOENIX AZ</t>
  </si>
  <si>
    <t>TST* VALLEY BAR PHOENIX AZ</t>
  </si>
  <si>
    <t>APPLE.COM/BILL 866-712-7753 CAAPPLE PAY ENDING IN 4775MMW8HX69MJA0</t>
  </si>
  <si>
    <t>CIRCLE K # 03447 PHOENIX AZ20220315</t>
  </si>
  <si>
    <t>IN N OUT BURGER 317 PHOENIX AZ</t>
  </si>
  <si>
    <t>TACOS CALAFIA PHOENIX AZ</t>
  </si>
  <si>
    <t>WE COOK PIZZA AND PASTA TUSAYAN AZ</t>
  </si>
  <si>
    <t>ARCO #42530 PHOENIX AZ</t>
  </si>
  <si>
    <t>APPLE.COM/BILL 866-712-7753 CAAPPLE PAY ENDING IN 4775MMW8K9WZ9NA0</t>
  </si>
  <si>
    <t>JOBOT COFFEE PHOENIX AZ</t>
  </si>
  <si>
    <t>coffee</t>
  </si>
  <si>
    <t>STAND UP LIVE TICKETS 480-7196100 AZ</t>
  </si>
  <si>
    <t>comedy</t>
  </si>
  <si>
    <t>THE UPS STORE 6120 PHOENIX AZ</t>
  </si>
  <si>
    <t>tahjei</t>
  </si>
  <si>
    <t>STAND UP LIVE F&amp;B PHOENIX AZ</t>
  </si>
  <si>
    <t>TOUS LES JOURS MESA AZ</t>
  </si>
  <si>
    <t>SQ *POKITRITION - SUSH PHOENIX AZ0001152921511129126725</t>
  </si>
  <si>
    <t>WALGREENS #5453 SCOTTSDALE AZ</t>
  </si>
  <si>
    <t>MEKONG PALACE MESA AZ</t>
  </si>
  <si>
    <t>GOOGLE *YOUTUBE TV G.CO/HELPPAY#CAP0I657PY</t>
  </si>
  <si>
    <t>MENS WEARHOUSE #2503 PHOENIX AZ</t>
  </si>
  <si>
    <t>clothes</t>
  </si>
  <si>
    <t>TST* BOP &amp; ROLL PHOENIX AZ</t>
  </si>
  <si>
    <t>TST* CRESCENT BALLROOM PHOENIX AZ00035514006464508949AA</t>
  </si>
  <si>
    <t>TOCA BANNER 6868100020 888-2642127 AZ</t>
  </si>
  <si>
    <t>DNCSS MARYVALE BB CON PHOENIX AZ02670R</t>
  </si>
  <si>
    <t>PARKJOCKEY MIAMI FL</t>
  </si>
  <si>
    <t>parking</t>
  </si>
  <si>
    <t>SQ *HAPPY ZACH'S FUN F PHOENIX AZ0002305843015381111051</t>
  </si>
  <si>
    <t>SQ *LA PARRILLA DEL GO PHOENIX AZAPPLE PAY ENDING IN 47750001152921511217585389</t>
  </si>
  <si>
    <t>SQ *HAPPY ZACH'S FUN F PHOENIX AZ0002305843015381595274</t>
  </si>
  <si>
    <t>SQ *LA PARRILLA DEL GO PHOENIX AZAPPLE PAY ENDING IN 47750002305843015383152546</t>
  </si>
  <si>
    <t>WALGREENS #5893 PHOENIX AZAPPLE PAY ENDING IN 4775</t>
  </si>
  <si>
    <t>DOORDASH*IL BOSCO PIZZ 6506819470 CAAPPLE PAY ENDING IN 4775</t>
  </si>
  <si>
    <t>TCKTWEB*JACOBCOLLIERDJ 800-965-4827 CAITEM TRANSFERRED FROM PREV ACCOUNT</t>
  </si>
  <si>
    <t>EDGE BARBER SPA PHOENIX AZ</t>
  </si>
  <si>
    <t>barbershop</t>
  </si>
  <si>
    <t>ARCO #42283 AMPM PHOENIX AZ</t>
  </si>
  <si>
    <t>AMC 2679 WESTGATE 20 GLENDALE AZ</t>
  </si>
  <si>
    <t>DISNEYPLUS 888-905-7888 CAITEM TRANSFERRED FROM PREV ACCOUNT</t>
  </si>
  <si>
    <t>disney</t>
  </si>
  <si>
    <t>SHOWTIME 888-965-7469 NY</t>
  </si>
  <si>
    <t>live_event</t>
  </si>
  <si>
    <t>AMZN MKTP US*1W4E475R0 AMZN.COM/BILLWAITEM TRANSFERRED FROM PREV ACCOUNT</t>
  </si>
  <si>
    <t>ST JOHN VIANNEY GIFT SHO SEDONA AZ</t>
  </si>
  <si>
    <t>ROTTEN JOHNNY S SEDONA AZ</t>
  </si>
  <si>
    <t>REI #56 PARADISE VAL PHOENIX AZ0927610560271410</t>
  </si>
  <si>
    <t>clothing</t>
  </si>
  <si>
    <t>WABA HAIR SUPPLY #5 PHOENIX AZ</t>
  </si>
  <si>
    <t>hair_supplies</t>
  </si>
  <si>
    <t>WHATABURGER 1223 TEMPE AZ51</t>
  </si>
  <si>
    <t>SEE TICKETS *BAHAMAS - G 323-908-0607 CASEE TICKETS *BAHAMAS - G</t>
  </si>
  <si>
    <t>concerts</t>
  </si>
  <si>
    <t>SKYHARBORPARKINGTERM3 PHOENIX AZ00899R</t>
  </si>
  <si>
    <t>SEE TICKETS *RITT MOMNEY 323-908-0607 CASEE TICKETS *RITT MOMNEY</t>
  </si>
  <si>
    <t>PIER 54 TEMPE AZ</t>
  </si>
  <si>
    <t>TACOS HUICHO #3 PHOENIX AZ</t>
  </si>
  <si>
    <t>04/2022</t>
  </si>
  <si>
    <t>SPOTIFY P1AA95185E 8777781161 NYITEM TRANSFERRED FROM PREV ACCOUNT</t>
  </si>
  <si>
    <t>APPLE.COM/BILL 866-712-7753 CAAPPLE PAY ENDING IN 4775MMW8WNNX9GA0</t>
  </si>
  <si>
    <t>UBER TRIP HELP.UBER.CO SAN FRANCISCOCA</t>
  </si>
  <si>
    <t>UBER PENDING SAN FRANCISCOCA</t>
  </si>
  <si>
    <t>AMC 0127 ARIZONA CTR 2 PHOENIX AZ</t>
  </si>
  <si>
    <t>CHEBA HUT - PHOENIX AZ PHOENIX AZ</t>
  </si>
  <si>
    <t>ATI3997-040168136 310-627-2866 CAAPPLE PAY ENDING IN 4775</t>
  </si>
  <si>
    <t>AMZN MKTP US*1H0DF7SN2 AMZN.COM/BILLWAITEM TRANSFERRED FROM PREV ACCOUNT</t>
  </si>
  <si>
    <t>GOOGLE *YOUTUBE G.CO/HELPPAY#CAP0IZVTPS</t>
  </si>
  <si>
    <t>CASPER SLEEP INC. 888-498-0003 NY</t>
  </si>
  <si>
    <t>home</t>
  </si>
  <si>
    <t>Housing</t>
  </si>
  <si>
    <t>AMAZON.COM*1A9W099W1 AMZN.COM/BILLWAITEM TRANSFERRED FROM PREV ACCOUNT</t>
  </si>
  <si>
    <t>UDEMY: ONLINE COURSES 8888385432 CA</t>
  </si>
  <si>
    <t>Education</t>
  </si>
  <si>
    <t>SAFEWAY.COM #2651 877-505-4040 AZ42064559</t>
  </si>
  <si>
    <t>APPLE.COM/BILL 866-712-7753 CAAPPLE PAY ENDING IN 4775MMW8X809J8A0</t>
  </si>
  <si>
    <t>blossom</t>
  </si>
  <si>
    <t>TST* POSTINO - ANNEX TEMPE AZ</t>
  </si>
  <si>
    <t>ENDGAME BAR MESA AZ</t>
  </si>
  <si>
    <t>GDP*VIMRAJ GLOBAL LLC CHANDLER AZ</t>
  </si>
  <si>
    <t>UBER TRIP 866-576-1039 CA</t>
  </si>
  <si>
    <t>ONLYFANS.COM 8886880458 IL</t>
  </si>
  <si>
    <t>TST* IL BOSCO PIZZA - 602-616-2556 AZ00040336006740827703AA</t>
  </si>
  <si>
    <t>UBER EATS 866-576-1039 CA</t>
  </si>
  <si>
    <t>JACOB COLLIER 6502396947 AZ</t>
  </si>
  <si>
    <t>ZIGGYS PIZZA AND STARDUS PHOENIX AZ</t>
  </si>
  <si>
    <t>TIP JACOB COLLIER 6502396947 AZ</t>
  </si>
  <si>
    <t>APPLE.COM/BILL 866-712-7753 CAAPPLE PAY ENDING IN 4775MMW8YJVBLNA0</t>
  </si>
  <si>
    <t>TARGET.COM * 800-591-3869 MN</t>
  </si>
  <si>
    <t>SAFEWAY.COM #2651 877-505-4040 AZ42329306</t>
  </si>
  <si>
    <t>GOOGLE *YOUTUBE TV G.CO/HELPPAY#CAP0ILMSKP</t>
  </si>
  <si>
    <t>WALGREENS #5893 PHOENIX AZ</t>
  </si>
  <si>
    <t>ATI3997-042289030 310-627-2866 CAAPPLE PAY ENDING IN 4775</t>
  </si>
  <si>
    <t>ONLYFANS 8886880458 FL</t>
  </si>
  <si>
    <t>ARIZONA DIAMONDBACKS PHOENIX AZ02548R</t>
  </si>
  <si>
    <t>live_baseball</t>
  </si>
  <si>
    <t>8AZ DIAMOND11875804307 PHOENIX AZ</t>
  </si>
  <si>
    <t>2LEVY@BANK1 PHOENIX AZ</t>
  </si>
  <si>
    <t>CIRCLE K # 03447 PHOENIX AZ02652R</t>
  </si>
  <si>
    <t>RAMEN KAGAWA PHOENIX AZ02701R</t>
  </si>
  <si>
    <t>TST* BBQ TRAPP HAUS - PHOENIX AZ00003553006868170442AA</t>
  </si>
  <si>
    <t>LINKEDIN-781*2612004 LNKD.IN/BILL CA2212131974-7812612004</t>
  </si>
  <si>
    <t>professional</t>
  </si>
  <si>
    <t>AMZN MKTP US*169FP2UB2 AMZN.COM/BILLWAITEM TRANSFERRED FROM PREV ACCOUNT</t>
  </si>
  <si>
    <t>APPLE.COM/BILL 866-712-7753 CAAPPLE PAY ENDING IN 4775MMW8V590N4A0</t>
  </si>
  <si>
    <t>UST*USTA MEMBERSHIP 800-990-8782 NYITEM TRANSFERRED FROM PREV ACCOUNT</t>
  </si>
  <si>
    <t>tennis</t>
  </si>
  <si>
    <t>SOSOBA PHOENIX AZ</t>
  </si>
  <si>
    <t>A MEDIUM CORPORATION 415-508-5008 CA</t>
  </si>
  <si>
    <t>medium</t>
  </si>
  <si>
    <t>JERSEY MIKES 9069 PHOENIX AZ</t>
  </si>
  <si>
    <t>AMZN MKTP US*1H3DX4US0 AMZN.COM/BILLWAITEM TRANSFERRED FROM PREV ACCOUNT</t>
  </si>
  <si>
    <t>FANDANGO 866-857-5191 CA</t>
  </si>
  <si>
    <t>R U 4 REAL AVONDALE AZ</t>
  </si>
  <si>
    <t>vr_arcade</t>
  </si>
  <si>
    <t>05/2022</t>
  </si>
  <si>
    <t>THE CEREAL KILLERZ AZ GOODYEAR AZ</t>
  </si>
  <si>
    <t>SPOTIFY P1B3856632 8777781161 NYITEM TRANSFERRED FROM PREV ACCOUNT</t>
  </si>
  <si>
    <t>PHOENIX SUNS CONCESSIONS PHOENIX AZ</t>
  </si>
  <si>
    <t>live_nba</t>
  </si>
  <si>
    <t>AMZN MKTP US*133PF08Z2 AMZN.COM/BILLWAITEM TRANSFERRED FROM PREV ACCOUNT</t>
  </si>
  <si>
    <t>SQ *THE WHINING PIG DO TEMPE AZ0001152921511383260366</t>
  </si>
  <si>
    <t>APPLE.COM/BILL 866-712-7753 CAAPPLE PAY ENDING IN 4775MMW961WYX0A0</t>
  </si>
  <si>
    <t>SQ *BIG PAPA HPT (JAY) PHOENIX AZ0002305843015618183201</t>
  </si>
  <si>
    <t>FIVE GUYS 4053 QSR GLENDALE AZ</t>
  </si>
  <si>
    <t>SQ *PHOENIX PERFORMING PHOENIX AZ0002305843015646210851</t>
  </si>
  <si>
    <t>THAI BASIL SIGNATURE DOW PHOENIX AZ</t>
  </si>
  <si>
    <t>TST* BREAKFAST BITCH 2 PHOENIX AZ00007311007075213638AA</t>
  </si>
  <si>
    <t>CIRCLE K # 03447 PHOENIX AZ20220515</t>
  </si>
  <si>
    <t>ROKU FOR VIKI INC 8162728107 DE</t>
  </si>
  <si>
    <t>viki</t>
  </si>
  <si>
    <t>CIRCLE K # 03447 PHOENIX AZ01631R</t>
  </si>
  <si>
    <t>AMZN MKTP US*1L5EH1PW0 AMZN.COM/BILLWAITEM TRANSFERRED FROM PREV ACCOUNT</t>
  </si>
  <si>
    <t>SP STRAW AND WOOL 6028884761 AZ</t>
  </si>
  <si>
    <t>FATTY DADDYS ICE CREAM PHOENIX AZ</t>
  </si>
  <si>
    <t>CKE*IKES LOVE AND SANDWI PHOENIX AZ</t>
  </si>
  <si>
    <t>AMZN MKTP US*1L95D1QX2 AMZN.COM/BILLWAITEM TRANSFERRED FROM PREV ACCOUNT</t>
  </si>
  <si>
    <t>APPLE.COM/BILL 866-712-7753 CAAPPLE PAY ENDING IN 4775MMW987JN2BA0</t>
  </si>
  <si>
    <t>CIRCLE K # 03447 PHOENIX AZ00249R</t>
  </si>
  <si>
    <t>CIRCLE K # 03447 PHOENIX AZ00201R</t>
  </si>
  <si>
    <t>PAYPAL *GAUSS LABS 888-221-1161 CA</t>
  </si>
  <si>
    <t>oculus</t>
  </si>
  <si>
    <t>ROOSEVELT BARBER SHOP PHOENIX AZ</t>
  </si>
  <si>
    <t>PAYPAL *WIDMO 402-935-7733 CA</t>
  </si>
  <si>
    <t>INTEREST CHARGE ON PURCHASES</t>
  </si>
  <si>
    <t>Interest</t>
  </si>
  <si>
    <t>interest</t>
  </si>
  <si>
    <t>CAFE RIO 0150 GOODYEAR GOODYEAR AZ</t>
  </si>
  <si>
    <t>BEACH LIQUORS INC SANTA CRUZ CAAPPLE PAY ENDING IN 4775</t>
  </si>
  <si>
    <t>CKE*IKE S - BURLINGA 140 BURLINGAME CAAPPLE PAY ENDING IN 4775</t>
  </si>
  <si>
    <t>GOOGLE *YOUTUBE TV G.CO/HELPPAY#CAP0JOYEQS</t>
  </si>
  <si>
    <t>CAFFE CENTRAL BURLINGAME CA</t>
  </si>
  <si>
    <t>TEASPOON- BURLINGAME BURLINGAME CA</t>
  </si>
  <si>
    <t>PEET'S #01802 BURLINGAME CA02559R</t>
  </si>
  <si>
    <t>PEET'S #01802 BURLINGAME CA02563R</t>
  </si>
  <si>
    <t>SQ *FIERO CAFFE SAN MATEO CA0001152921511436857844</t>
  </si>
  <si>
    <t>SQ *FIERO CAFFE SAN MATEO CA0001152921511437662356</t>
  </si>
  <si>
    <t>SQ *BLUE BOTTLE COFFEE SAN MATEO CA0002305843015706658666</t>
  </si>
  <si>
    <t>CENTURY THEATRES 485 REDWOOD CITY CA04850096154E</t>
  </si>
  <si>
    <t>ATI10113-05720079 310-627-2866 CAAPPLE PAY ENDING IN 4775</t>
  </si>
  <si>
    <t>OCULUS *YAMLBDPD92 OCULUS.COM CAP4943057269139443</t>
  </si>
  <si>
    <t>APPLE.COM/BILL 866-712-7753 CAAPPLE PAY ENDING IN 4775MMW9B3SSZMA0</t>
  </si>
  <si>
    <t>meal_lime</t>
  </si>
  <si>
    <t>UNITED AIRLINES 18004214655 TX</t>
  </si>
  <si>
    <t>CIRCLE K # 03447 PHOENIX AZ00375R</t>
  </si>
  <si>
    <t>AMZN MKTP US*1Q1802SF0 AMZN.COM/BILLWAITEM TRANSFERRED FROM PREV ACCOUNT</t>
  </si>
  <si>
    <t>TARGET 00032615091 PHOENIX AZ</t>
  </si>
  <si>
    <t>AMZN MKTP US*134QM7QQ1 AMZN.COM/BILLWAITEM TRANSFERRED FROM PREV ACCOUNT</t>
  </si>
  <si>
    <t>LINKEDIN-698*8895866 LNKD.IN/BILL CA1863218766-6988895866</t>
  </si>
  <si>
    <t>WALGREENS #12257 BURLINGAME CA</t>
  </si>
  <si>
    <t>AMZN MKTP US*1Q4BA6I50 AMZN.COM/BILLWAITEM TRANSFERRED FROM PREV ACCOUNT</t>
  </si>
  <si>
    <t>COLLEGE TRANSCRIPT 703-742-4200 VA</t>
  </si>
  <si>
    <t>OCULUS *8H3HJBKD92 OCULUS.COM CAP4743439395767898</t>
  </si>
  <si>
    <t>OCULUS *DPZG7BTD92 OCULUS.COM CAP4704985442946629</t>
  </si>
  <si>
    <t>OCULUS *EE2H7BTD92 OCULUS.COM CAP4704987899613050</t>
  </si>
  <si>
    <t>OCULUS *F7H6KBKD92 OCULUS.COM CAP4745779898867181</t>
  </si>
  <si>
    <t>AMAZON.COM*1Q9E85YR0 AMZN.COM/BILLWAITEM TRANSFERRED FROM PREV ACCOUNT</t>
  </si>
  <si>
    <t>LYFT *1 RIDE 05-04 855-865-9553 CAITEM TRANSFERRED FROM PREV ACCOUNT</t>
  </si>
  <si>
    <t>UBER PASS 866-576-1039 CA</t>
  </si>
  <si>
    <t>UBER CORNERSHOP 866-576-1039 CA</t>
  </si>
  <si>
    <t>AMAZON.COM*1L5GU1AB1 AMZN.COM/BILLWAITEM TRANSFERRED FROM PREV ACCOUNT</t>
  </si>
  <si>
    <t>CIRCLE K 01667 PHOENIX AZ00874R</t>
  </si>
  <si>
    <t>FIRST WATCH - 041 PHOENIX AZ</t>
  </si>
  <si>
    <t>PHOENIX SUNS 602-514-5444 AZMIC3DF7800-5JSUJ</t>
  </si>
  <si>
    <t>SLICE*VIADELLASLICESHO 8889749928 NYAPPLE PAY ENDING IN 4775</t>
  </si>
  <si>
    <t>TST* PEDAL HAUS PHX PHOENIX AZ00003115006991738555AA</t>
  </si>
  <si>
    <t>STEAM PURCHASE 425-952-2985 WA</t>
  </si>
  <si>
    <t>video_games</t>
  </si>
  <si>
    <t>AMZN MKTP US*1L9WG0X11 AMZN.COM/BILLWAITEM TRANSFERRED FROM PREV ACCOUNT</t>
  </si>
  <si>
    <t>06/2022</t>
  </si>
  <si>
    <t>SPOTIFY P1BC6CEF8D 8777781161 NYITEM TRANSFERRED FROM PREV ACCOUNT</t>
  </si>
  <si>
    <t>APPLE.COM/BILL 866-712-7753 CAAPPLE PAY ENDING IN 4775MMW9JHZN12A0</t>
  </si>
  <si>
    <t>BOB &amp; EDITH'S DINER ARLINGTON VA</t>
  </si>
  <si>
    <t>GIANT 0774 ARLINGTON VA01266R</t>
  </si>
  <si>
    <t>OCULUS *DJER8CTD92 OCULUS.COM CAP4821246444653861</t>
  </si>
  <si>
    <t>OCULUS *H6P4WD3E92 OCULUS.COM CAP5007725799339259</t>
  </si>
  <si>
    <t>TST* TWO GUYS GRILL &amp; BALTIMORE MD00020841007416396344AA</t>
  </si>
  <si>
    <t>AMZN MKTP US*2825U43J3 AMZN.COM/BILLWAITEM TRANSFERRED FROM PREV ACCOUNT</t>
  </si>
  <si>
    <t>AMZN MKTP US*BO0JH2WA3 AMZN.COM/BILLWAITEM TRANSFERRED FROM PREV ACCOUNT</t>
  </si>
  <si>
    <t>OCULUS *5CDH6CBD92 OCULUS.COM CAP4813378045440697</t>
  </si>
  <si>
    <t>OCULUS *68RVQDPD92 OCULUS.COM CAP4989491951162641</t>
  </si>
  <si>
    <t>OCULUS *G8SVQDPD92 OCULUS.COM CAP4989495397828963</t>
  </si>
  <si>
    <t>OCULUS *Y69PWD3E92 OCULUS.COM CAP5009753369136502</t>
  </si>
  <si>
    <t>OCULUS *NN9PWD3E92 OCULUS.COM CAP5009755042469668</t>
  </si>
  <si>
    <t>CCBILL.COM 888-5969279 AZ</t>
  </si>
  <si>
    <t>DUNKIN DONUTSBALTIMORE BALTIMORE MD</t>
  </si>
  <si>
    <t>FABER NEWS #1211 BALTIMORE MD</t>
  </si>
  <si>
    <t>airport</t>
  </si>
  <si>
    <t>HILTON RESTAURANT SHRT RICHMOND VA</t>
  </si>
  <si>
    <t>HBOOKSELLER ST625 BALTIMORE MD</t>
  </si>
  <si>
    <t>bookstore</t>
  </si>
  <si>
    <t>WALGREENS #11856 SEATTLE WA</t>
  </si>
  <si>
    <t>HIMALAYAN JAVA COFFEE LYNNWOOD WA</t>
  </si>
  <si>
    <t>CVS/PHARMACY #11076 SEATTLE WA</t>
  </si>
  <si>
    <t>ALASKA WIFI BY GOGO 877-350-0038 IL373866613SSAS</t>
  </si>
  <si>
    <t>ALASKA WIFI BY GOGO 877-350-0038 IL373866605SSAS</t>
  </si>
  <si>
    <t>SQ *SIMPLY SEATTLE SEATTLE WA0002305843015849359620</t>
  </si>
  <si>
    <t>SAVEWAY MARKET SEATTLE WA</t>
  </si>
  <si>
    <t>ORCA SEATTLE WA</t>
  </si>
  <si>
    <t>bus_fare</t>
  </si>
  <si>
    <t>HYATT HOUSE SPACE NEEDLE SEATTLE WA</t>
  </si>
  <si>
    <t>UBER TRIP 866-576-1039 CAAPPLE PAY ENDING IN 4775</t>
  </si>
  <si>
    <t>TST* PREMIER MEAT PIES SEATTLE WA00029314007510745100AA</t>
  </si>
  <si>
    <t>TM *FLEET FOXES 800-653-8000 CAAPPLE PAY ENDING IN 4775SEA/31-18312</t>
  </si>
  <si>
    <t>THE BOOKSTORE SEATTLE WA02223R</t>
  </si>
  <si>
    <t>SPACE NEEDLE GIFT SHOP SEATTLE WA02267R</t>
  </si>
  <si>
    <t>PAYPAL *DATACAMPINC 402-935-7733 CA</t>
  </si>
  <si>
    <t>CHIHULY G&amp;G TICKETS SEATTLE WATICKET-ORDER-</t>
  </si>
  <si>
    <t>TST* TOM DOUGLAS - THE SEATTLE WA00000344007535312151AA</t>
  </si>
  <si>
    <t>SQ *MINTER GOODS SEATTLE WA0001152921511547542984</t>
  </si>
  <si>
    <t>wallet</t>
  </si>
  <si>
    <t>MOORE THEATER 6502396947 WA</t>
  </si>
  <si>
    <t>PP*TONY 402-935-2244 CA</t>
  </si>
  <si>
    <t>PLANNED PARENTHOOD ACTIO NEW YORK NY</t>
  </si>
  <si>
    <t>political_cause</t>
  </si>
  <si>
    <t>SQ *GLOW TEA SEATTLE WA0001152921511560224750</t>
  </si>
  <si>
    <t>STARBUCKS STORE 16798 BALTIMORE MD393FDE634DB7663671</t>
  </si>
  <si>
    <t>7-ELEVEN 39655 BALTIMORE MD</t>
  </si>
  <si>
    <t>APPLE.COM/BILL 866-712-7753 CAAPPLE PAY ENDING IN 4775MMW9NHTJYHA0</t>
  </si>
  <si>
    <t>SAFEWAY #1547 BURLINGAME CA</t>
  </si>
  <si>
    <t>SQ *TPUMPS BURLINGAME BURLINGAME CA0001152921511466194853</t>
  </si>
  <si>
    <t>TST* BLUE LINE PIZZA - 650-375-1700 CAAPPLE PAY ENDING IN 477500020155007293490897AA</t>
  </si>
  <si>
    <t>AXS.COM*FESTIVAL GV R 888-929-7849 CA3166625</t>
  </si>
  <si>
    <t>STORE*TEA PLUS NOODLES 6506819470 CA</t>
  </si>
  <si>
    <t>COPENHAGEN BAKERY &amp; CAFE BURLINGAME CA</t>
  </si>
  <si>
    <t>07/2022</t>
  </si>
  <si>
    <t>SPOTIFY P1C5133410 8777781161 NYITEM TRANSFERRED FROM PREV ACCOUNT</t>
  </si>
  <si>
    <t>SPROUTS FARMERS MARKET SCOTTSDALE AZ</t>
  </si>
  <si>
    <t>0113 PLANET FITNESS PHOENIX AZ</t>
  </si>
  <si>
    <t>QT 410 SURPRISE AZ0041001MUT3898H</t>
  </si>
  <si>
    <t>TST* POSTINO - KIERLAN SCOTTSDALE AZ00051712007732140803AA</t>
  </si>
  <si>
    <t>AMZN MKTP US*C410V0IJ3 AMZN.COM/BILLWA58J4D8LYVDM</t>
  </si>
  <si>
    <t>ATL WINGS AZ330 PHOENIX AZ</t>
  </si>
  <si>
    <t>UNLV WEB TIX/FOUNDATION 702-774-9800 NV</t>
  </si>
  <si>
    <t>OSCARS TACO SHOP SCOTTSDALE AZ</t>
  </si>
  <si>
    <t>ARCO #42370 AMPM LAS VEGAS NV</t>
  </si>
  <si>
    <t>EXXONMOBIL WIKIEUP AZ</t>
  </si>
  <si>
    <t>GOOGLE *PLAY G.CO/HELPPAY#CAP0KBBJXS</t>
  </si>
  <si>
    <t>GOOGLE *PLAY G.CO/HELPPAY#CAP0KBD5U1</t>
  </si>
  <si>
    <t>QT 468 YOUNGTOWN AZ0046801HXZ25Q9H</t>
  </si>
  <si>
    <t>APPLE.COM/BILL 866-712-7753 CAAPPLE PAY ENDING IN 4775MMW9WSH40FA0</t>
  </si>
  <si>
    <t>06654 - SHOWCASE MALL G LAS VEGAS NV</t>
  </si>
  <si>
    <t>FOOT LOCKER - 08804 LAS VEGAS NV</t>
  </si>
  <si>
    <t>H&amp;M0143 LAS VEGAS NV</t>
  </si>
  <si>
    <t>HUDSON-DUNKIN ST1599 LAS VEGAS NV</t>
  </si>
  <si>
    <t>PARKINGCOM 8444727577 IL</t>
  </si>
  <si>
    <t>ROSS STORES #1341 LAS VEGAS NV</t>
  </si>
  <si>
    <t>QUINTEVENTS 7049262700 NC</t>
  </si>
  <si>
    <t>UNLV TMC MERCHANDISE LAS VEGAS NV</t>
  </si>
  <si>
    <t>SHELL12675958008 WHITE HILLS AZ</t>
  </si>
  <si>
    <t>HOOVER DAM 7024942517 NV</t>
  </si>
  <si>
    <t>hoover_dam</t>
  </si>
  <si>
    <t>NAYAX VENDING 14 HUNT VALLEY MD</t>
  </si>
  <si>
    <t>vending</t>
  </si>
  <si>
    <t>HOOVER DAM CAFE BOULDER CITY NV</t>
  </si>
  <si>
    <t>PIZZA FORTE LAS VEGAS NV</t>
  </si>
  <si>
    <t>WARBY PARKER 8884927297 NYITEM TRANSFERRED FROM PREV ACCOUNT</t>
  </si>
  <si>
    <t>5GUYS 0567 QSR PHOENIX AZ</t>
  </si>
  <si>
    <t>TARGET 00009506091 PHOENIX AZAPPLE PAY ENDING IN 4775</t>
  </si>
  <si>
    <t>THE HOME DEPOT #0477 PHOENIX AZ</t>
  </si>
  <si>
    <t>Home Improvement</t>
  </si>
  <si>
    <t>home_supplies</t>
  </si>
  <si>
    <t>TST* SUPERSTITION MEADER PHOENIX AZ</t>
  </si>
  <si>
    <t>FOOD CITY #140 PHOENIX AZ</t>
  </si>
  <si>
    <t>SQ *BOSA DONUTS PHOENIX AZ0001152921511664935285</t>
  </si>
  <si>
    <t>FAMOUS FOOTWEAR #3150 PHOENIX AZ</t>
  </si>
  <si>
    <t>ARIZONA DIAMONDBACKS PHOENIX AZ02099R</t>
  </si>
  <si>
    <t>THE VAN BUREN PHOENIX AZ</t>
  </si>
  <si>
    <t>AMC 0190 DESERT RIDGE PHOENIX AZ</t>
  </si>
  <si>
    <t>AMZN MKTP US*SL3O72I03 AMZN.COM/BILLWA4ULJ8ELKYZT</t>
  </si>
  <si>
    <t>SPIN MOBILITY SPIN.APP CAAPPLE PAY ENDING IN 4775</t>
  </si>
  <si>
    <t>SQ *POKITRITION - SUSH PHOENIX AZ0002305843015997224135</t>
  </si>
  <si>
    <t>THE VAN BUREN 602-253-0370 AZARZB507F35-32881</t>
  </si>
  <si>
    <t>LEBANESE TAVERNA EXPRESS CHICAGO IL</t>
  </si>
  <si>
    <t>AMERICANAIR0010268379855 DALLAS TX</t>
  </si>
  <si>
    <t>DCA FORBES SPACE #23 ARLINGTON VA00359R</t>
  </si>
  <si>
    <t>DCA WASHINGTONIAN SHOP ARLINGTON VA00314R</t>
  </si>
  <si>
    <t>WHOLEFDS CMA #10476 PHOENIX AZ</t>
  </si>
  <si>
    <t>AMAZON.COM*E55349263 AMZN.COM/BILLWA3QF0NLW9MGA</t>
  </si>
  <si>
    <t>AMZN MKTP US*1D8YY1K91 AMZN.COM/BILLWASJBSB0433W4</t>
  </si>
  <si>
    <t>RAZOR RIDE* OFJTXBLGKP 8335278645 CAAPPLE PAY ENDING IN 4775</t>
  </si>
  <si>
    <t>RAZOR RIDE* UGBXHAJAUK 8335278645 CAAPPLE PAY ENDING IN 4775</t>
  </si>
  <si>
    <t>SAFEWAY.COM #2651 877-505-4040 AZ45965020</t>
  </si>
  <si>
    <t>TACO BELL #32737 PHOENIX AZ</t>
  </si>
  <si>
    <t>TM *CORINNE BAILEY RAE 800-653-8000 CAARZ/29-16353</t>
  </si>
  <si>
    <t>FUBOTV INC NEW YORK NY</t>
  </si>
  <si>
    <t>fubo_tv</t>
  </si>
  <si>
    <t>A-Z TENNIS LLC SCOTTSDALE AZ</t>
  </si>
  <si>
    <t>TST* THE HUB BAR &amp; GRILL PHOENIX AZ</t>
  </si>
  <si>
    <t>CASH APP*JUSTINA LE 415-375-3176 CAITEM TRANSFERRED FROM PREV ACCOUNT</t>
  </si>
  <si>
    <t>don</t>
  </si>
  <si>
    <t>SWEETS 4 TREATS AZ MILLS TEMPE AZ</t>
  </si>
  <si>
    <t>Total</t>
  </si>
  <si>
    <t>Transaction Date</t>
  </si>
  <si>
    <t>F907200JU000CB202 CREDIT BALANCE I         KETTERING    OH</t>
  </si>
  <si>
    <t>8534812JRLK8M1WZF BANNER SURGERY CENTER CAMPHOENIX      AZ</t>
  </si>
  <si>
    <t>8534812GD01KKWEH4 PAYMENT - THANK YOU</t>
  </si>
  <si>
    <t>8534812G501JT48VE PAYMENT - THANK YOU</t>
  </si>
  <si>
    <t>Card Security 1-800-815-4051</t>
  </si>
  <si>
    <t>8534812FH01H6BNDY PAYMENT - THANK YOU</t>
  </si>
  <si>
    <t>8534812F6LK8M1WZE BANNER SURGERY CENTER CAMPHOENIX      AZ</t>
  </si>
  <si>
    <t>8534812E301QZ55AX PAYMENT - THANK YOU</t>
  </si>
  <si>
    <t>8534812DT01Q3QH69 PAYMENT - THANK YOU</t>
  </si>
  <si>
    <t>8534812QX019L6GDK PAYMENT - THANK YOU</t>
  </si>
  <si>
    <t>8534812QVLH06N92F WESTERN DENTAL OF ARIZONAPHOENIX      AZ</t>
  </si>
  <si>
    <t>Dental</t>
  </si>
  <si>
    <t>Surgery</t>
  </si>
  <si>
    <t>Payment</t>
  </si>
  <si>
    <t>Refund</t>
  </si>
  <si>
    <t>Security</t>
  </si>
  <si>
    <t>ONLINE PAYMENT           DEERFIELD    IL</t>
  </si>
  <si>
    <t>sale</t>
  </si>
  <si>
    <t>COACHING ACTUARIES       WWW.COACHINGAIA</t>
  </si>
  <si>
    <t>SEASCAPE GOLF CLUB       APTOS        CA</t>
  </si>
  <si>
    <t>TST* Laili Restaurant    Santa Cruz   CA</t>
  </si>
  <si>
    <t>MELOMELO KAVA BAR - SANT SANTA CRUZ   CA</t>
  </si>
  <si>
    <t>SQ *HMB COFFEE CO        Half Moon BayCA</t>
  </si>
  <si>
    <t>golf</t>
  </si>
  <si>
    <t>resteraunt</t>
  </si>
  <si>
    <t>refund</t>
  </si>
  <si>
    <t>Trans Date</t>
  </si>
  <si>
    <t>APS electric pmt PAYMENT 220719 5175354092 Autopay</t>
  </si>
  <si>
    <t>PURCHASE AUTHORIZED ON 07/20 CIRCLE K # 03461 2840 PHOENIX AZ P000000286605087 CARD 6659</t>
  </si>
  <si>
    <t>PLANET FIT CLUB FEES 2219604520647 623-439-5550</t>
  </si>
  <si>
    <t>DISCOVER E-PAYMENT 220714 4618 LEWIS SEAN</t>
  </si>
  <si>
    <t>Nationwide PAYROLL 01 HRP0008481840 Sean Lewis</t>
  </si>
  <si>
    <t>PURCHASE AUTHORIZED ON 07/13 TVM ROOSEVELT / CENTRA PHOENIX AZ P000000382476516 CARD 6659</t>
  </si>
  <si>
    <t>TRANSFER TO LEWIS SHARON ON 07/02 REF #PP0QJVRTMH XXXXXXXXX5267</t>
  </si>
  <si>
    <t>VENMO PAYMENT 220630 1020962587938 SEAN LEWIS</t>
  </si>
  <si>
    <t>DISCOVER E-PAYMENT 220630 4618 LEWIS SEAN</t>
  </si>
  <si>
    <t>Nationwide PAYROLL 01 HRP0008432957 Sean Lewis</t>
  </si>
  <si>
    <t>VENMO PAYMENT 220623 1020831539453 SEAN LEWIS</t>
  </si>
  <si>
    <t>APS electric pmt PAYMENT 220617 5175354092 Autopay</t>
  </si>
  <si>
    <t>Cash eWithdrawal in Branch/Store 06/21/2022 10:33 AM 2800 3RD AVE SEATTLE WA 6659</t>
  </si>
  <si>
    <t>PURCHASE AUTHORIZED ON 06/18 CASH APP*ENGAGETM 8774174551 CA S582169671615289 CARD 6634</t>
  </si>
  <si>
    <t>TRANSFER FROM LEWIS SHARON ON 06/17 REF # PP0QHXR59Y</t>
  </si>
  <si>
    <t>DISCOVER E-PAYMENT 220616 4618 LEWIS SEAN</t>
  </si>
  <si>
    <t>VENMO PAYMENT 220616 1020720046155 SEAN LEWIS</t>
  </si>
  <si>
    <t>Nationwide PAYROLL 01 HRP0008410541 Sean Lewis</t>
  </si>
  <si>
    <t>PURCHASE AUTHORIZED ON 06/14 CASH APP*POODIE 8774174551 CA S382165830962853 CARD 6634</t>
  </si>
  <si>
    <t>PURCHASE AUTHORIZED ON 06/14 CASH APP*DON LEWIS 8774174551 CA S582165498489582 CARD 6634</t>
  </si>
  <si>
    <t>PURCHASE AUTHORIZED ON 06/12 CASH APP*ENGAGETM 8774174551 CA S382163744567563 CARD 6634</t>
  </si>
  <si>
    <t>PURCHASE AUTHORIZED ON 06/11 CASH APP*DON 8774174551 CA S582163074746371 CARD 6634</t>
  </si>
  <si>
    <t>TRANSFER FROM LEWIS SHARON ON 06/13 REF # PP0QHQ4TR4</t>
  </si>
  <si>
    <t>TRANSFER FROM LEWIS SHARON ON 06/12 REF # PP0QHNG9SZ</t>
  </si>
  <si>
    <t>BEST BUY PAYMENT 220603 610764515124033 SEAN LEWIS</t>
  </si>
  <si>
    <t>TRANSFER TO LEWIS SHARON ON 06/06 REF #PP0QHBWMGF XXXXXXXXX5267</t>
  </si>
  <si>
    <t>PURCHASE AUTHORIZED ON 06/04 Whitepages 800-9529005 WA S302155835572091 CARD 6634</t>
  </si>
  <si>
    <t>PURCHASE WITH CASH BACK $ 5.00 AUTHORIZED ON 06/04 WALGREENS STORE 260 EL CA BURLINGAME CA P462155627233083 CARD 6634</t>
  </si>
  <si>
    <t>DISCOVER E-PAYMENT 220603 4618 LEWIS SEAN</t>
  </si>
  <si>
    <t>Nationwide PAYROLL 01 HRP0008356183 Sean Lewis</t>
  </si>
  <si>
    <t>VENMO PAYMENT 220522 1020247831834 SEAN LEWIS</t>
  </si>
  <si>
    <t>VENMO PAYMENT 220522 1020246831785 SEAN LEWIS</t>
  </si>
  <si>
    <t>VENMO REFUND 220522 1020247819317 SEAN LEWIS</t>
  </si>
  <si>
    <t>APS electric pmt PAYMENT 220518 5175354092 Autopay</t>
  </si>
  <si>
    <t>TRANSFER TO LEWIS SHARON ON 05/20 REF #PP0QG9RW9R XXXXXXXXX5267</t>
  </si>
  <si>
    <t>VENMO PAYMENT 220519 1020186945987 SEAN LEWIS</t>
  </si>
  <si>
    <t>DISCOVER E-PAYMENT 220519 4618 LEWIS SEAN</t>
  </si>
  <si>
    <t>Nationwide PAYROLL 01 HRP0008329531 Sean Lewis</t>
  </si>
  <si>
    <t>PURCHASE AUTHORIZED ON 05/15 WGC*FOGODECHAO 888-288-4641 TX S382136093175836 CARD 6634</t>
  </si>
  <si>
    <t>VENMO PAYMENT 220513 1020093875157 SEAN LEWIS</t>
  </si>
  <si>
    <t>PURCHASE AUTHORIZED ON 05/10 FANDUEL SPORTSBOOK 9717083015 NJ S582131013680702 CARD 6634</t>
  </si>
  <si>
    <t>PURCHASE AUTHORIZED ON 05/09 FANDUEL/STARDUST C JERSEY CITY NJ S462130048614183 CARD 6634</t>
  </si>
  <si>
    <t>PURCHASE AUTHORIZED ON 05/09 FANDUEL/STARDUST C JERSEY CITY NJ S462130031365088 CARD 6634</t>
  </si>
  <si>
    <t>VENMO PAYMENT 220509 1020011090331 SEAN LEWIS</t>
  </si>
  <si>
    <t>TRANSFER TO LEWIS SHARON ON 05/08 REF #PP0QFL5Y5L XXXXXXXXX5267</t>
  </si>
  <si>
    <t>PURCHASE AUTHORIZED ON 05/07 CASH APP*CYANFACE 8774174551 CA S462127606388401 CARD 6634</t>
  </si>
  <si>
    <t>PURCHASE AUTHORIZED ON 05/06 CASH APP*CYANFACE 8774174551 CA S582127150926322 CARD 6634</t>
  </si>
  <si>
    <t>PURCHASE AUTHORIZED ON 05/05 HARKINS AZ MILLS TEMPE AZ S302126116385899 CARD 6634</t>
  </si>
  <si>
    <t>VENMO CASHOUT 220507 1019978241112 SEAN LEWIS</t>
  </si>
  <si>
    <t>Synchrony Bank CC PYMT MAY 05 601918368630042 SEAN LEWIS</t>
  </si>
  <si>
    <t>DISCOVER E-PAYMENT 220505 4618 LEWIS SEAN</t>
  </si>
  <si>
    <t>PURCHASE AUTHORIZED ON 05/04 Whitepages 800-9529005 WA S302124835848510 CARD 6634</t>
  </si>
  <si>
    <t>Nationwide PAYROLL 01 HRP0008291684 Sean Lewis</t>
  </si>
  <si>
    <t>RECURRING PAYMENT AUTHORIZED ON 05/01 FBPAY * Meta Store 650-5434800 CA S462122141896482 CARD 6634</t>
  </si>
  <si>
    <t>RTP from VENMO on 05/01 Ref#20220501021000021P1BRJPM00020083532</t>
  </si>
  <si>
    <t>MONEY TRANSFER AUTHORIZED ON 05/01 FROM Sean Lewis VA S302122142423810 CARD 6634</t>
  </si>
  <si>
    <t>Synchrony Bank CC PYMT APR 27 601918368630042 SEAN LEWIS</t>
  </si>
  <si>
    <t>PURCHASE AUTHORIZED ON 04/25 CASH APP*ENGAGETM 8774174551 CA S582115519772801 CARD 6634</t>
  </si>
  <si>
    <t>PURCHASE AUTHORIZED ON 04/25 CASH APP*ENGAGETM 8774174551 CA S382115509672635 CARD 6634</t>
  </si>
  <si>
    <t>PURCHASE AUTHORIZED ON 04/25 CASH APP*ENGAGETM 8774174551 CA S582115509564771 CARD 6634</t>
  </si>
  <si>
    <t>PURCHASE AUTHORIZED ON 04/25 CASH APP*ENGAGETM 8774174551 CA S382115509436010 CARD 6634</t>
  </si>
  <si>
    <t>VENMO PAYMENT 220425 1019749370210 SEAN LEWIS</t>
  </si>
  <si>
    <t>TRANSFER TO LEWIS SHARON ON 04/24 REF #PP0QDPJBL5 XXXXXXXXX5267</t>
  </si>
  <si>
    <t>VENMO PAYMENT 220421 1019665215805 SEAN LEWIS</t>
  </si>
  <si>
    <t>Nationwide PAYROLL 01 HRP0008262709 Sean Lewis</t>
  </si>
  <si>
    <t>APS electric pmt PAYMENT 220418 5175354092 Autopay</t>
  </si>
  <si>
    <t>VENMO PAYMENT 220415 1019571055773 SEAN LEWIS</t>
  </si>
  <si>
    <t>TICKETMASTER RES 0414-TH002 200051625122116 SEAN LEWIS</t>
  </si>
  <si>
    <t>Synchrony Bank CC PYMT APR 07 601918368630042 SEAN LEWIS</t>
  </si>
  <si>
    <t>TRANSFER TO LEWIS SHARON ON 04/08 REF #PP0QCT2JQH XXXXXXXXX5267</t>
  </si>
  <si>
    <t>ZELLE TO ZAZUETA CARMEN ON 04/08 REF #PP0QCS8FDR</t>
  </si>
  <si>
    <t>DISCOVER E-PAYMENT 220407 4618 LEWIS SEAN</t>
  </si>
  <si>
    <t>Nationwide PAYROLL 01 HRP0008210841 Sean Lewis</t>
  </si>
  <si>
    <t>PURCHASE AUTHORIZED ON 04/05 CASH APP*CYANFACE 8774174551 CA S382096070149787 CARD 6634</t>
  </si>
  <si>
    <t>PURCHASE AUTHORIZED ON 04/04 Whitepages 800-9529005 WA S382095014545576 CARD 6634</t>
  </si>
  <si>
    <t>PURCHASE AUTHORIZED ON 04/04 Whitepages 800-9529005 WA S382095010925055 CARD 6634</t>
  </si>
  <si>
    <t>TRANSFER TO LEWIS SHARON ON 04/03 REF #PP0QCJCLVN XXXXXXXXX5267</t>
  </si>
  <si>
    <t>PURCHASE AUTHORIZED ON 04/02 SAFEWAY #2651 PHOENIX AZ P462092686408975 CARD 6634</t>
  </si>
  <si>
    <t>PURCHASE AUTHORIZED ON 04/01 CASH APP*CYANFACE 8774174551 CA S302091792116789 CARD 6634</t>
  </si>
  <si>
    <t>PURCHASE AUTHORIZED ON 03/31 CASH APP*CYANFACE 8774174551 CA S582090834603593 CARD 6634</t>
  </si>
  <si>
    <t>PURCHASE AUTHORIZED ON 03/30 CASH APP*CYANFACE 8774174551 CA S462090143040686 CARD 6634</t>
  </si>
  <si>
    <t>VENMO PAYMENT 220329 1019258605951 SEAN LEWIS</t>
  </si>
  <si>
    <t>VENMO CASHOUT 220329 1019257034036 SEAN LEWIS</t>
  </si>
  <si>
    <t>VENMO CASHOUT 220329 1019258957091 SEAN LEWIS</t>
  </si>
  <si>
    <t>PURCHASE AUTHORIZED ON 03/26 CASH APP*ENGAGETM 8774174551 CA S382085824280328 CARD 6634</t>
  </si>
  <si>
    <t>PURCHASE AUTHORIZED ON 03/25 CASH APP*CYANFACE 8774174551 CA S302084480194424 CARD 6634</t>
  </si>
  <si>
    <t>VENMO PAYMENT 220325 1019189845192 SEAN LEWIS</t>
  </si>
  <si>
    <t>VENMO PAYMENT 220324 1019164077845 SEAN LEWIS</t>
  </si>
  <si>
    <t>DISCOVER E-PAYMENT 220324 4618 LEWIS SEAN</t>
  </si>
  <si>
    <t>Nationwide PAYROLL 01 HRP0008178715 Sean Lewis</t>
  </si>
  <si>
    <t>DISCOVER E-PAYMENT 220322 4618 LEWIS SEAN</t>
  </si>
  <si>
    <t>APS electric pmt PAYMENT 220318 5175354092 Autopay</t>
  </si>
  <si>
    <t>PURCHASE AUTHORIZED ON 03/22 SHELL SERVICE STATION PHOENIX AZ P302081522144554 CARD 6634</t>
  </si>
  <si>
    <t>VENMO CASHOUT 220322 1019125273986 SEAN LEWIS</t>
  </si>
  <si>
    <t>VENMO CASHOUT 220321 1019111739464 SEAN LEWIS</t>
  </si>
  <si>
    <t>ZELLE FROM ERNEST NOCHE ON 03/20 REF # BACU6FMEIILK</t>
  </si>
  <si>
    <t>PURCHASE AUTHORIZED ON 03/17 CASH APP*SHEVON LE 8774174551 CA S302076796250975 CARD 6634</t>
  </si>
  <si>
    <t>VENMO PAYMENT 220310 1018915574100 SEAN LEWIS</t>
  </si>
  <si>
    <t>DISCOVER E-PAYMENT 220310 4618 LEWIS SEAN</t>
  </si>
  <si>
    <t>Nationwide PAYROLL 01 HRP0008137116 Sean Lewis</t>
  </si>
  <si>
    <t>VENMO PAYMENT 220301 1018758856961 SEAN LEWIS</t>
  </si>
  <si>
    <t>VENMO PAYMENT 220226 1018692237447 SEAN LEWIS</t>
  </si>
  <si>
    <t>VENMO PAYMENT 220226 1018692186925 SEAN LEWIS</t>
  </si>
  <si>
    <t>NON-WELLS FARGO ATM TRANSACTION FEE</t>
  </si>
  <si>
    <t>NON-WF ATM WITHDRAWAL AUTHORIZED ON 02/25 727 W CAMELBACK RD PHOENIX AZ 382057136740734 ATM ID P304339 CARD 6634</t>
  </si>
  <si>
    <t>TRANSFER FROM LEWIS SHARON ON 02/26 REF # PP0Q9F5QXB THANK YOU</t>
  </si>
  <si>
    <t>VENMO PAYMENT 220225 1018674378710 SEAN LEWIS</t>
  </si>
  <si>
    <t>VA DEPT TAXATION VASTTAXRFD 220217 XXXXX0268 LEWIS, SEAN E</t>
  </si>
  <si>
    <t>Nationwide PAYROLL 01 HRP0008091792 Sean Lewis</t>
  </si>
  <si>
    <t>TD AMERITRADE ACH OUT a9KLOZ6PQR LEWIS SEAN</t>
  </si>
  <si>
    <t>VENMO PAYMENT 220222 1018622300513 SEAN LEWIS</t>
  </si>
  <si>
    <t>APS electric pmt PAYMENT 220217 5175354092 Autopay</t>
  </si>
  <si>
    <t>Synchrony Bank CC PYMT FEB 19 601918368630042 SEAN LEWIS</t>
  </si>
  <si>
    <t>DISCOVER E-PAYMENT 220220 4618 LEWIS SEAN</t>
  </si>
  <si>
    <t>TPG PRODUCTS SBTPG LLC 220218 ETRVW3GLLOEOPDY SEAN LEWIS</t>
  </si>
  <si>
    <t>AZ DEPT OF REV Tax Refund 220218 XXXXX0268 LEWIS SEAN</t>
  </si>
  <si>
    <t>VENMO PAYMENT 220218 1018555740013 SEAN LEWIS</t>
  </si>
  <si>
    <t>ATM WITHDRAWAL AUTHORIZED ON 02/13 4402 E Thomas Rd Phoenix AZ 0008953 ATM ID 5743H CARD 6634</t>
  </si>
  <si>
    <t>VENMO PAYMENT 220211 1018433632129 SEAN LEWIS</t>
  </si>
  <si>
    <t>Synchrony Bank CC PYMT FEB 10 601918368630042 SEAN LEWIS</t>
  </si>
  <si>
    <t>DISCOVER E-PAYMENT 220210 4618 LEWIS SEAN</t>
  </si>
  <si>
    <t>VENMO PAYMENT 220210 1018415472279 SEAN LEWIS</t>
  </si>
  <si>
    <t>VENMO CASHOUT 220210 1018420729744 SEAN LEWIS</t>
  </si>
  <si>
    <t>VENMO CASHOUT 220210 1018412598097 SEAN LEWIS</t>
  </si>
  <si>
    <t>Nationwide PAYROLL 01 HRP0008036323 Sean Lewis</t>
  </si>
  <si>
    <t>ZELLE FROM LEWIS JUSTINA ON 02/05 REF # PP0Q8BDL92</t>
  </si>
  <si>
    <t>VENMO PAYMENT 220129 1018202156945 SEAN LEWIS</t>
  </si>
  <si>
    <t>TRANSFER TO LEWIS SHARON ON 01/31 REF #PP0Q7YX7VJ XXXXXXXXX5267</t>
  </si>
  <si>
    <t>TRANSFER TO LEWIS DON ON 01/31 REF #PP0Q7YVDF7 XXXXXX7932</t>
  </si>
  <si>
    <t>VENMO PAYMENT 220127 1018168964129 SEAN LEWIS</t>
  </si>
  <si>
    <t>VENMO CASHOUT 220127 1018164349212 SEAN LEWIS</t>
  </si>
  <si>
    <t>Nationwide PAYROLL 01 HRP0008024211 Sean Lewis</t>
  </si>
  <si>
    <t>VENMO PAYMENT 220122 1018085063025 SEAN LEWIS</t>
  </si>
  <si>
    <t>VENMO PAYMENT 220117 1018001608819 SEAN LEWIS</t>
  </si>
  <si>
    <t>VENMO PAYMENT 220117 1018001751483 SEAN LEWIS</t>
  </si>
  <si>
    <t>PURCHASE AUTHORIZED ON 01/16 CASH APP*VALLEY 8774174551 CA S382017149175934 CARD 6634</t>
  </si>
  <si>
    <t>PURCHASE AUTHORIZED ON 01/16 CASH APP*DARIUS CA 8774174551 CA S382017148849842 CARD 6634</t>
  </si>
  <si>
    <t>NON-WF ATM WITHDRAWAL AUTHORIZED ON 01/16 4645 DE SOTO ST SAN DIEGO CA 582017109140029 ATM ID L631055 CARD 6634</t>
  </si>
  <si>
    <t>PURCHASE AUTHORIZED ON 01/16 CHEVRON 0094991 SAN DIEGO CA S382017053945491 CARD 6634</t>
  </si>
  <si>
    <t>PURCHASE AUTHORIZED ON 01/16 SD ZOO CINNAMON TR SAN DIEGO CA S382017034170694 CARD 6634</t>
  </si>
  <si>
    <t>PURCHASE AUTHORIZED ON 01/16 SD ZOO CANYON CAFE SAN DIEGO CA S582016817636715 CARD 6634</t>
  </si>
  <si>
    <t>NON-WF ATM WITHDRAWAL AUTHORIZED ON 01/16 3710 VOLTAIRE ST. STE 1 SAN DIEGO CA 582016595373620 ATM ID P459681 CARD 6634</t>
  </si>
  <si>
    <t>PURCHASE AUTHORIZED ON 01/15 BALLAST POINT LITT SAN DIEGO CA S302015831911176 CARD 6634</t>
  </si>
  <si>
    <t>Synchrony Bank CC PYMT JAN 13 601918368630042 SEAN LEWIS</t>
  </si>
  <si>
    <t>NON-WF ATM WITHDRAWAL AUTHORIZED ON 01/14 666 W E ST SAN DIEGO CA 382015019310845 ATM ID CA0961 CARD 6634</t>
  </si>
  <si>
    <t>DISCOVER E-PAYMENT 220113 4618 LEWIS SEAN</t>
  </si>
  <si>
    <t>Nationwide PAYROLL 01 HRP0007983168 Sean Lewis</t>
  </si>
  <si>
    <t>PURCHASE AUTHORIZED ON 01/10 CASH APP*CYANFACE 8774174551 CA S462010765413680 CARD 6634</t>
  </si>
  <si>
    <t>VENMO CASHOUT 220110 1017875354612 SEAN LEWIS</t>
  </si>
  <si>
    <t>VENMO CASHOUT 220110 1017874602288 SEAN LEWIS</t>
  </si>
  <si>
    <t>VENMO CASHOUT 220107 1017829933941 SEAN LEWIS</t>
  </si>
  <si>
    <t>LIFETIME FITNESS DIRECT DEP 220107 558079861456SHS LEWIS,SEAN</t>
  </si>
  <si>
    <t>DISCOVER E-PAYMENT 220102 4618 LEWIS SEAN</t>
  </si>
  <si>
    <t>BEST BUY PAYMENT 220102 610633785460241 SEAN LEWIS</t>
  </si>
  <si>
    <t>PAYPAL INST XFER 220101 LOUISCK SEAN LEWIS</t>
  </si>
  <si>
    <t>TRANSFER TO LEWIS SHARON ON 01/03 REF #PP0D9295LZ XXXXXXXXX5267</t>
  </si>
  <si>
    <t>RTP from VENMO on 01/03 Ref#20220103021000021P1BRJPM00530020747</t>
  </si>
  <si>
    <t>ATM CASH DEPOSIT ON 01/02 3002 N Central Ave Phoenix AZ 0003743 ATM ID 5449B CARD 6634</t>
  </si>
  <si>
    <t>Debit_Amount</t>
  </si>
  <si>
    <t>nationwide</t>
  </si>
  <si>
    <t>discover</t>
  </si>
  <si>
    <t>mom</t>
  </si>
  <si>
    <t>rent</t>
  </si>
  <si>
    <t>income</t>
  </si>
  <si>
    <t>Shevon</t>
  </si>
  <si>
    <t>Don</t>
  </si>
  <si>
    <t>Dorry</t>
  </si>
  <si>
    <t>Venmo</t>
  </si>
  <si>
    <t>best_buy</t>
  </si>
  <si>
    <t>credit</t>
  </si>
  <si>
    <t>Melanie</t>
  </si>
  <si>
    <t>Gambling</t>
  </si>
  <si>
    <t>Jayelin</t>
  </si>
  <si>
    <t>care_credit</t>
  </si>
  <si>
    <t>occulus</t>
  </si>
  <si>
    <t>Carmen</t>
  </si>
  <si>
    <t>jayelin</t>
  </si>
  <si>
    <t>Michael</t>
  </si>
  <si>
    <t>Vincent</t>
  </si>
  <si>
    <t>Nick</t>
  </si>
  <si>
    <t>Amanda</t>
  </si>
  <si>
    <t>Rajat</t>
  </si>
  <si>
    <t>Maricela</t>
  </si>
  <si>
    <t>Jon</t>
  </si>
  <si>
    <t>Kim</t>
  </si>
  <si>
    <t>Kabir</t>
  </si>
  <si>
    <t>Logan</t>
  </si>
  <si>
    <t>atm</t>
  </si>
  <si>
    <t>light_rail</t>
  </si>
  <si>
    <t>taxes</t>
  </si>
  <si>
    <t>td_ameritrade</t>
  </si>
  <si>
    <t>Debit Accounts</t>
  </si>
  <si>
    <t>Aldi</t>
  </si>
  <si>
    <t>Uber</t>
  </si>
  <si>
    <t>Hilton Shulas Resturant</t>
  </si>
  <si>
    <t>Amtrak Northeast Cafe</t>
  </si>
  <si>
    <t>Macdonalds</t>
  </si>
  <si>
    <t>Hilton</t>
  </si>
  <si>
    <t>Republic</t>
  </si>
  <si>
    <t>Trip Advisor (underground tour)</t>
  </si>
  <si>
    <t>Hurry Curry of Tokyo</t>
  </si>
  <si>
    <t>La Parisienne French Bakery</t>
  </si>
  <si>
    <t>UW food Services</t>
  </si>
  <si>
    <t>What the Pho Xpress</t>
  </si>
  <si>
    <t>Macy's (Luggage)</t>
  </si>
  <si>
    <t>Umi Sake House</t>
  </si>
  <si>
    <t>Pho Viet Anh</t>
  </si>
  <si>
    <t>Hyatt House Space Needle</t>
  </si>
  <si>
    <t>Traveluro - Hampton Inn</t>
  </si>
  <si>
    <t>Pitamore</t>
  </si>
  <si>
    <t>Ramen Utsuke</t>
  </si>
  <si>
    <t>CVS Pharmacy</t>
  </si>
  <si>
    <t>Uber Eats</t>
  </si>
  <si>
    <t>Hotel Tonight - Kimton Hotel Monaco Baltimore</t>
  </si>
  <si>
    <t>Corner Baker Inner Harbor</t>
  </si>
  <si>
    <t>Dalesios Restaurant of Little Italy</t>
  </si>
  <si>
    <t>Uber Eats - kumari restaurant</t>
  </si>
  <si>
    <t>Chipotle</t>
  </si>
  <si>
    <t>Kimpton Hotel (Mini Bar)</t>
  </si>
  <si>
    <t>Shared Amount</t>
  </si>
  <si>
    <t>Split Amount</t>
  </si>
  <si>
    <t>Individual Amount</t>
  </si>
  <si>
    <t>hotel</t>
  </si>
  <si>
    <t>ticket_sale</t>
  </si>
  <si>
    <t>luggage</t>
  </si>
  <si>
    <t>tour</t>
  </si>
  <si>
    <t>07/17/2022</t>
  </si>
  <si>
    <t>VHLV- LODGING 021770LAS VEGAS           NV</t>
  </si>
  <si>
    <t>Travel-Lodging</t>
  </si>
  <si>
    <t>07/16/2022</t>
  </si>
  <si>
    <t>HOTELTONIGHT*VIRGIN SAN FRANCISCO       CA</t>
  </si>
  <si>
    <t>Travel-Travel Agencies</t>
  </si>
  <si>
    <t>TI CIRQUE TICKET OFFLAS VEGAS           NV</t>
  </si>
  <si>
    <t>Entertainment-Other Entertainment</t>
  </si>
  <si>
    <t>06/20/2022</t>
  </si>
  <si>
    <t>UBER</t>
  </si>
  <si>
    <t>Transportation-Taxis &amp; Coach</t>
  </si>
  <si>
    <t>06/19/2022</t>
  </si>
  <si>
    <t>AMTRAK-NORTHEAST CAFWASHINGTON          DC</t>
  </si>
  <si>
    <t>Restaurant-Bar &amp; Café</t>
  </si>
  <si>
    <t>06/18/2022</t>
  </si>
  <si>
    <t>TOP GOLF RICHMOND 66RICHMOND            VA</t>
  </si>
  <si>
    <t>06/17/2022</t>
  </si>
  <si>
    <t>HILTON RESTAURANT  SRICHMOND            VA</t>
  </si>
  <si>
    <t>Restaurant-Restaurant</t>
  </si>
  <si>
    <t>06/15/2022</t>
  </si>
  <si>
    <t>06/13/2022</t>
  </si>
  <si>
    <t>ALDI 71022 000000000ESSEX               MD</t>
  </si>
  <si>
    <t>Merchandise &amp; Supplies-Groceries</t>
  </si>
  <si>
    <t>06/11/2022</t>
  </si>
  <si>
    <t>AMERICAN AIRLINES 05SAN FRANCISCO       CA</t>
  </si>
  <si>
    <t>Travel-Airline</t>
  </si>
  <si>
    <t>HUDSON NEWS ST852 CNDES PLAINES         IL</t>
  </si>
  <si>
    <t>Merchandise &amp; Supplies-Book Stores</t>
  </si>
  <si>
    <t>SKYLINE NEWS AND GIFSAN FRANCISCO       CA</t>
  </si>
  <si>
    <t>Merchandise &amp; Supplies-General Retail</t>
  </si>
  <si>
    <t>STARBIRD 00B6       SAN FRANCISCO       CA</t>
  </si>
  <si>
    <t>06/06/2022</t>
  </si>
  <si>
    <t>WILLIAMS SONOMA</t>
  </si>
  <si>
    <t>Merchandise &amp; Supplies-Internet Purchase</t>
  </si>
  <si>
    <t>05/28/2022</t>
  </si>
  <si>
    <t>MOLLIE STONES #6 000BURLINGAME          CA</t>
  </si>
  <si>
    <t>05/16/2022</t>
  </si>
  <si>
    <t>TSA Global Entry Fee Credit</t>
  </si>
  <si>
    <t>Other-Miscellaneous</t>
  </si>
  <si>
    <t>05/12/2022</t>
  </si>
  <si>
    <t>IDEMIA TSA PRECHECK PHOENIX             AZ</t>
  </si>
  <si>
    <t>04/17/2022</t>
  </si>
  <si>
    <t>AMERICAN AIRLINES   800-433-7300        TX</t>
  </si>
  <si>
    <t>04/14/2022</t>
  </si>
  <si>
    <t>HARKINS ESTRELLA FALGOODYEAR            AZ</t>
  </si>
  <si>
    <t>Entertainment-Theatrical Events</t>
  </si>
  <si>
    <t>03/27/2022</t>
  </si>
  <si>
    <t>AMC ARIZONA CTR 24  PHOENIX             AZ</t>
  </si>
  <si>
    <t>03/14/2022</t>
  </si>
  <si>
    <t>AMERICAN AIRLINES 45800-433-7300        TX</t>
  </si>
  <si>
    <t>03/12/2022</t>
  </si>
  <si>
    <t>INDIAN WELLS TENNIS INDIAN WELLS        CA</t>
  </si>
  <si>
    <t>Entertainment-General Events</t>
  </si>
  <si>
    <t>PROOF BREAD         MESA                AZ</t>
  </si>
  <si>
    <t>03/11/2022</t>
  </si>
  <si>
    <t>DESERT CHAMPIONS LLCIndian Wells        CA</t>
  </si>
  <si>
    <t>FLOR DE JALISCO 0000PALM DESERT         CA</t>
  </si>
  <si>
    <t>LEVY@2INDIAN WELLS 1INDIAN WELLS        CA</t>
  </si>
  <si>
    <t>Business Services-Other Services</t>
  </si>
  <si>
    <t>03/10/2022</t>
  </si>
  <si>
    <t>EL TOVAR DINING/BAR GRAND CANYON        AZ</t>
  </si>
  <si>
    <t>03/09/2022</t>
  </si>
  <si>
    <t>HK ARCADIA 00E9     PHOENIX             AZ</t>
  </si>
  <si>
    <t>03/06/2022</t>
  </si>
  <si>
    <t>ROCKY RD ICE CREAM CSedona              AZ</t>
  </si>
  <si>
    <t>SOSOBA 0911         PHOENIX             AZ</t>
  </si>
  <si>
    <t>UNITED AIRLINES     HOUSTON             TX</t>
  </si>
  <si>
    <t>WHOLE FOODS MARKET  PHOENIX             AZ</t>
  </si>
  <si>
    <t>03/05/2022</t>
  </si>
  <si>
    <t>02/20/2022</t>
  </si>
  <si>
    <t>JACK IN THE BOX 1599PHOENIX             AZ</t>
  </si>
  <si>
    <t>JIMMY JOHNS - 2500 0PHOENIX             AZ</t>
  </si>
  <si>
    <t>02/19/2022</t>
  </si>
  <si>
    <t>LIDO RESTAURANT 0217TEMPE               AZ</t>
  </si>
  <si>
    <t>02/18/2022</t>
  </si>
  <si>
    <t>BLISS REBAR 43684555PHOENIX             AZ</t>
  </si>
  <si>
    <t>NAMI                Phoenix             AZ</t>
  </si>
  <si>
    <t>02/17/2022</t>
  </si>
  <si>
    <t>02/16/2022</t>
  </si>
  <si>
    <t>FARISH HOUSE 9247516PHOENIX             AZ</t>
  </si>
  <si>
    <t>02/14/2022</t>
  </si>
  <si>
    <t>THE VAN BUREN THE VAPHOENIX             AZ</t>
  </si>
  <si>
    <t>02/12/2022</t>
  </si>
  <si>
    <t>TENNIS WAREHOUSE, RASAN LUIS OBIS       CA</t>
  </si>
  <si>
    <t>02/11/2022</t>
  </si>
  <si>
    <t>CHUBASCO TACOS      Phoenix             AZ</t>
  </si>
  <si>
    <t>CITY HARDWARE 0000  PHOENIX             AZ</t>
  </si>
  <si>
    <t>Merchandise &amp; Supplies-Hardware Supplies</t>
  </si>
  <si>
    <t>SAFEWAY #2651 2651  PHOENIX             AZ</t>
  </si>
  <si>
    <t>TACOS TIJUANA CENTRAPHOENIX             AZ</t>
  </si>
  <si>
    <t>URBAN COOKIES 0000  PHOENIX             AZ</t>
  </si>
  <si>
    <t>02/10/2022</t>
  </si>
  <si>
    <t>PHOENIX TENNIS CENTEPHOENIX             AZ</t>
  </si>
  <si>
    <t>TCKTWEB*CARIBOUWITHSSAN FRANCISCO       CA</t>
  </si>
  <si>
    <t>02/09/2022</t>
  </si>
  <si>
    <t>WALGREENS           PHOENIX             AZ</t>
  </si>
  <si>
    <t>Merchandise &amp; Supplies-Pharmacies</t>
  </si>
  <si>
    <t>02/08/2022</t>
  </si>
  <si>
    <t>TACOS HUICHO #2 0000PHOENIX             AZ</t>
  </si>
  <si>
    <t>02/06/2022</t>
  </si>
  <si>
    <t>BOSA DONUTS AHWATUKEPHOENIX             AZ</t>
  </si>
  <si>
    <t>TARGET PHOENIX SPECTPHOENIX             AZ</t>
  </si>
  <si>
    <t>Merchandise &amp; Supplies-Wholesale Stores</t>
  </si>
  <si>
    <t>TST* WOW WOW HAWAIIAPHOENIX             AZ</t>
  </si>
  <si>
    <t>UNION 76 09480716   PHOENIX             AZ</t>
  </si>
  <si>
    <t>Transportation-Fuel</t>
  </si>
  <si>
    <t>02/05/2022</t>
  </si>
  <si>
    <t>UNITED STATES PROFESORLANDO             FL</t>
  </si>
  <si>
    <t>Entertainment-Associations</t>
  </si>
  <si>
    <t>02/04/2022</t>
  </si>
  <si>
    <t>HACHI RAMEN 0000    TEMPE               AZ</t>
  </si>
  <si>
    <t>THE HOME DEPOT      TEMPE               AZ</t>
  </si>
  <si>
    <t>02/03/2022</t>
  </si>
  <si>
    <t>LIFE TIME CAFE 132Q3KATY                AZ</t>
  </si>
  <si>
    <t>Discover</t>
  </si>
  <si>
    <t>Care Credit</t>
  </si>
  <si>
    <t>Best Buy</t>
  </si>
  <si>
    <t>Amex</t>
  </si>
  <si>
    <t>Limit</t>
  </si>
  <si>
    <t>Available Credit</t>
  </si>
  <si>
    <t>Due Date</t>
  </si>
  <si>
    <t>deposit</t>
  </si>
  <si>
    <t>Monthly Payment</t>
  </si>
  <si>
    <t>Student Loan</t>
  </si>
  <si>
    <t>Vincent Debt</t>
  </si>
  <si>
    <t>All Accounts</t>
  </si>
  <si>
    <t>Est. Spending</t>
  </si>
  <si>
    <t>After Payment</t>
  </si>
  <si>
    <t>Starting Balance</t>
  </si>
  <si>
    <t>Ending Balance</t>
  </si>
  <si>
    <t>Discover Balance Watch</t>
  </si>
  <si>
    <t>Payments</t>
  </si>
  <si>
    <t>Income</t>
  </si>
  <si>
    <t>Nationwide</t>
  </si>
  <si>
    <t>surgery refund</t>
  </si>
  <si>
    <t>Vincet</t>
  </si>
  <si>
    <t>Spending</t>
  </si>
  <si>
    <t>Saving</t>
  </si>
  <si>
    <t>Today</t>
  </si>
  <si>
    <t>V. Payment</t>
  </si>
  <si>
    <t>D.Payment</t>
  </si>
  <si>
    <t>Rent</t>
  </si>
  <si>
    <t>Actual Payment</t>
  </si>
  <si>
    <t>Actual Savings</t>
  </si>
  <si>
    <t>Actual Spending</t>
  </si>
  <si>
    <t>Student Loans</t>
  </si>
  <si>
    <t>Cum. Leftover</t>
  </si>
  <si>
    <t>Acutal Leftover</t>
  </si>
  <si>
    <t>Actual WF BAL</t>
  </si>
  <si>
    <t>Actual Dis BAL</t>
  </si>
  <si>
    <t>01/01/2022</t>
  </si>
  <si>
    <t>CIRCLE K # 03447 PHOENIX AZ02293R</t>
  </si>
  <si>
    <t>TARGET 00032615091 PHOENIX AZAPPLE PAY ENDING IN 4775</t>
  </si>
  <si>
    <t>SIZZLE KOREAN BBQ PHOENIX AZ</t>
  </si>
  <si>
    <t>PIZZERIA BIANCO PHOENIX AZ</t>
  </si>
  <si>
    <t>AMAZON.COM*501C142X3 AMZN.COM/BILLWA2Y07L77CYUI</t>
  </si>
  <si>
    <t>CIRCLE K 00114 PHOENIX AZ02619R</t>
  </si>
  <si>
    <t>TST* FAIR TRADE CAFE PHOENIX AZ00010466007933128311AA</t>
  </si>
  <si>
    <t>OREGANOS 1028 SCOTTSDALE AZ</t>
  </si>
  <si>
    <t>APPLE.COM/BILL 866-712-7753 CAAPPLE PAY ENDING IN 4775MMWB0VJN33A0</t>
  </si>
  <si>
    <t>COBBLESTONE AUTO SPA 51 PHOENIX AZ</t>
  </si>
  <si>
    <t>CVS/PHARMACY #08366 PHOENIX AZAPPLE PAY ENDING IN 4775</t>
  </si>
  <si>
    <t>AKCHIN PAVILION AMPHI PHOENIX AZ</t>
  </si>
  <si>
    <t>TWO HIPPIES BEACH HOUSE PHOENIX AZ</t>
  </si>
  <si>
    <t>SHELL57441826203 PHOENIX AZ</t>
  </si>
  <si>
    <t>WALGREENS #3768 TEMPE AZ</t>
  </si>
  <si>
    <t>YAHOO *FINANCE PLUS 800-277-3818 VAITEM TRANSFERRED FROM PREV ACCOUNT</t>
  </si>
  <si>
    <t>IC* INSTACART 8882467822 CAAPPLE PAY ENDING IN 4775</t>
  </si>
  <si>
    <t>FRYS-FOOD-DRG #046 PHOENIX AZ</t>
  </si>
  <si>
    <t>08/2022</t>
  </si>
  <si>
    <t>SPOTIFY P1CE42EB67 8777781161 NYITEM TRANSFERRED FROM PREV ACCOUNT</t>
  </si>
  <si>
    <t>CLEAN FREAK - THOMAS PHOENIX AZ</t>
  </si>
  <si>
    <t>AMZN MKTP US*1U8XJ92X3 AMZN.COM/BILLWA4DQYL6QKEAP</t>
  </si>
  <si>
    <t>MICHAELS STORES 9848 PHOENIX AZ9848000422262208011154</t>
  </si>
  <si>
    <t>moving</t>
  </si>
  <si>
    <t>APPLE.COM/BILL 866-712-7753 CAAPPLE PAY ENDING IN 4775MMWB67D657A0</t>
  </si>
  <si>
    <t>TST* FAIR TRADE CAFE PHOENIX AZ00010466008161694633AA</t>
  </si>
  <si>
    <t>THE HOME DEPOT #0464 PHOENIX AZ</t>
  </si>
  <si>
    <t>SQ *PRESS SCOTTSDALE Q SCOTTSDALE AZ0001152921511777579737</t>
  </si>
  <si>
    <t>BONOBOS 1-877-294-7737 SCOTTSDALE AZ</t>
  </si>
  <si>
    <t>APPLE.COM/BILL 866-712-7753 CAAPPLE PAY ENDING IN 4775MMWB8FG64XA0</t>
  </si>
  <si>
    <t>GA TECH BUZZCARD WEB 385-1075 GA</t>
  </si>
  <si>
    <t>AMZN MKTP US*178R51N10 AMZN.COM/BILLWAGNNQQ6106KT</t>
  </si>
  <si>
    <t>CVS/PHARMACY #10920 PHOENIX AZ</t>
  </si>
  <si>
    <t>THE THEODORE PHOENIX AZ</t>
  </si>
  <si>
    <t>CRUJIENTE TACOS PHOENIX AZ</t>
  </si>
  <si>
    <t>CASH APP*CYANFACE 415-375-3176 CAITEM TRANSFERRED FROM PREV ACCOUNT</t>
  </si>
  <si>
    <t>HARVARD BUS EDUCATION 617-783-7600 MA3581364</t>
  </si>
  <si>
    <t>1XDATASPELL SAN MATEO CA</t>
  </si>
  <si>
    <t>TARGET 00009506091 PHOENIX AZ</t>
  </si>
  <si>
    <t>PAR*FOGO SCOTTSDALE SCOTTSDALE AZ</t>
  </si>
  <si>
    <t>GUANAQUITO RESTAURANT PHOENIX AZ</t>
  </si>
  <si>
    <t>SCOTTSDALE QTR CIN 292 SCOTTSDALE AZ</t>
  </si>
  <si>
    <t>TAKE 5 #667 PHOENIX AZ</t>
  </si>
  <si>
    <t>NATURAL GROCERS PI PHOENIX AZ</t>
  </si>
  <si>
    <t>Actual Income</t>
  </si>
  <si>
    <t>Row Labels</t>
  </si>
  <si>
    <t>Grand Total</t>
  </si>
  <si>
    <t>Column Labels</t>
  </si>
  <si>
    <t>Sum of Amount</t>
  </si>
  <si>
    <t>1/2022</t>
  </si>
  <si>
    <t>2/2022</t>
  </si>
  <si>
    <t>3/2022</t>
  </si>
  <si>
    <t>4/2022</t>
  </si>
  <si>
    <t>5/2022</t>
  </si>
  <si>
    <t>6/2022</t>
  </si>
  <si>
    <t>7/2022</t>
  </si>
  <si>
    <t>Sum of Debit_Amount</t>
  </si>
  <si>
    <t>TRANSFER FROM LEWIS SHARON ON 07/23 REF # PP0QL55Y4V</t>
  </si>
  <si>
    <t>VENMO PAYMENT 220728 1021468018631 SEAN LEWIS</t>
  </si>
  <si>
    <t>Nationwide PAYROLL 01 HRP0008521348 Sean Lewis</t>
  </si>
  <si>
    <t>DISCOVER E-PAYMENT 220729 4618 LEWIS SEAN</t>
  </si>
  <si>
    <t>MOBILE DEPOSIT : REF NUMBER :611310481603</t>
  </si>
  <si>
    <t>PURCHASE AUTHORIZED ON 08/02 TVM VAN BUREN / CENTRA PHOENIX AZ P000000782417102 CARD 6659</t>
  </si>
  <si>
    <t>DISCOVER E-PAYMENT 220803 4618 LEWIS SEAN</t>
  </si>
  <si>
    <t>GasBuddy GasBuddy I8K8B6G7G Sean Lewis</t>
  </si>
  <si>
    <t>RECURRING PAYMENT AUTHORIZED ON 08/06 Elsevier Inc. 188-89555291 PA S382218632793895 CARD 6659</t>
  </si>
  <si>
    <t>Nationwide PAYROLL 01 HRP0008565110 Sean Lewis</t>
  </si>
  <si>
    <t>DISCOVER E-PAYMENT 220814 4618 LEWIS SEAN</t>
  </si>
  <si>
    <t>PURCHASE AUTHORIZED ON 08/15 ARCO42283001 PHOENIX AZ P000000780771491 CARD 6659</t>
  </si>
  <si>
    <t>PLANET FIT CLUB FEES 2222803469119 623-439-5550</t>
  </si>
  <si>
    <t>MOBILE DEPOSIT : REF NUMBER :709170923332</t>
  </si>
  <si>
    <t>APS electric pmt PAYMENT 220818 5175354092 Autopay</t>
  </si>
  <si>
    <t>VENMO PAYMENT 220824 1021956726761 SEAN LEWIS</t>
  </si>
  <si>
    <t>VENMO CASHOUT 220825 1021970036297 SEAN LEWIS</t>
  </si>
  <si>
    <t>Nationwide PAYROLL 01 HRP0008593001 Sean Lewis</t>
  </si>
  <si>
    <t>VENMO PAYMENT 220826 1021987716250 SEAN LEWIS</t>
  </si>
  <si>
    <t>HEALTHEQUITY INC HealthEqui 25 Aug 22317048 Sean Lewis (22317048)</t>
  </si>
  <si>
    <t>8/2022</t>
  </si>
  <si>
    <t>01/03/2022</t>
  </si>
  <si>
    <t>01/02/2022</t>
  </si>
  <si>
    <t>Payment_and_Interest</t>
  </si>
  <si>
    <t>01/04/2022</t>
  </si>
  <si>
    <t>01/05/2022</t>
  </si>
  <si>
    <t>01/08/2022</t>
  </si>
  <si>
    <t>01/09/2022</t>
  </si>
  <si>
    <t>01/10/2022</t>
  </si>
  <si>
    <t>01/11/2022</t>
  </si>
  <si>
    <t>01/12/2022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</si>
  <si>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</si>
  <si>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</si>
  <si>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</si>
  <si>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</si>
  <si>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</si>
  <si>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</si>
  <si>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</si>
  <si>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</si>
  <si>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</si>
  <si>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</si>
  <si>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</si>
  <si>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01/25/2022</t>
  </si>
  <si>
    <t>01/26/2022</t>
  </si>
  <si>
    <t>01/28/2022</t>
  </si>
  <si>
    <t>01/29/2022</t>
  </si>
  <si>
    <t>01/30/2022</t>
  </si>
  <si>
    <t>01/31/2022</t>
  </si>
  <si>
    <t>02/01/2022</t>
  </si>
  <si>
    <t>02/02/2022</t>
  </si>
  <si>
    <t>02/07/2022</t>
  </si>
  <si>
    <t>02/13/2022</t>
  </si>
  <si>
    <t>02/15/2022</t>
  </si>
  <si>
    <t>02/21/2022</t>
  </si>
  <si>
    <t>02/23/2022</t>
  </si>
  <si>
    <t>02/24/2022</t>
  </si>
  <si>
    <t>02/25/2022</t>
  </si>
  <si>
    <t>02/26/2022</t>
  </si>
  <si>
    <t>02/27/2022</t>
  </si>
  <si>
    <t>03/01/2022</t>
  </si>
  <si>
    <t>03/03/2022</t>
  </si>
  <si>
    <t>03/02/2022</t>
  </si>
  <si>
    <t>03/04/2022</t>
  </si>
  <si>
    <t>03/07/2022</t>
  </si>
  <si>
    <t>03/08/2022</t>
  </si>
  <si>
    <t>03/13/2022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</si>
  <si>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</si>
  <si>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</si>
  <si>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</si>
  <si>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</si>
  <si>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</si>
  <si>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</si>
  <si>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</si>
  <si>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</si>
  <si>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</si>
  <si>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</si>
  <si>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</si>
  <si>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03/29/2022</t>
  </si>
  <si>
    <t>03/30/2022</t>
  </si>
  <si>
    <t>04/03/2022</t>
  </si>
  <si>
    <t>04/01/2022</t>
  </si>
  <si>
    <t>04/02/2022</t>
  </si>
  <si>
    <t>04/04/2022</t>
  </si>
  <si>
    <t>04/05/2022</t>
  </si>
  <si>
    <t>04/06/2022</t>
  </si>
  <si>
    <t>04/07/2022</t>
  </si>
  <si>
    <t>04/08/2022</t>
  </si>
  <si>
    <t>04/09/2022</t>
  </si>
  <si>
    <t>04/10/2022</t>
  </si>
  <si>
    <t>04/11/2022</t>
  </si>
  <si>
    <t>04/12/2022</t>
  </si>
  <si>
    <t>04/13/2022</t>
  </si>
  <si>
    <t>04/15/2022</t>
  </si>
  <si>
    <t>04/16/2022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</si>
  <si>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</si>
  <si>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</si>
  <si>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</si>
  <si>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</si>
  <si>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</si>
  <si>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</si>
  <si>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</si>
  <si>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</si>
  <si>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</si>
  <si>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</si>
  <si>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</si>
  <si>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</si>
  <si>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</si>
  <si>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t>05/01/2022</t>
  </si>
  <si>
    <t>05/03/2022</t>
  </si>
  <si>
    <t>05/02/2022</t>
  </si>
  <si>
    <t>05/04/2022</t>
  </si>
  <si>
    <t>05/05/2022</t>
  </si>
  <si>
    <t>05/06/2022</t>
  </si>
  <si>
    <t>05/07/2022</t>
  </si>
  <si>
    <t>05/08/2022</t>
  </si>
  <si>
    <t>05/09/2022</t>
  </si>
  <si>
    <t>05/10/2022</t>
  </si>
  <si>
    <t>05/11/2022</t>
  </si>
  <si>
    <t>05/14/2022</t>
  </si>
  <si>
    <t>05/15/2022</t>
  </si>
  <si>
    <t>05/17/2022</t>
  </si>
  <si>
    <t>05/18/2022</t>
  </si>
  <si>
    <t>05/19/2022</t>
  </si>
  <si>
    <t>05/20/2022</t>
  </si>
  <si>
    <t>05/22/2022</t>
  </si>
  <si>
    <t>05/25/2022</t>
  </si>
  <si>
    <t>05/26/2022</t>
  </si>
  <si>
    <t>05/27/2022</t>
  </si>
  <si>
    <t>05/29/2022</t>
  </si>
  <si>
    <t>05/30/2022</t>
  </si>
  <si>
    <t>05/31/2022</t>
  </si>
  <si>
    <t>06/01/2022</t>
  </si>
  <si>
    <t>06/03/2022</t>
  </si>
  <si>
    <t>06/02/2022</t>
  </si>
  <si>
    <t>06/04/2022</t>
  </si>
  <si>
    <t>06/05/2022</t>
  </si>
  <si>
    <t>06/08/2022</t>
  </si>
  <si>
    <t>06/09/2022</t>
  </si>
  <si>
    <t>06/10/2022</t>
  </si>
  <si>
    <t>06/12/2022</t>
  </si>
  <si>
    <t>06/14/2022</t>
  </si>
  <si>
    <t>06/16/2022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</si>
  <si>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</si>
  <si>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</si>
  <si>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</si>
  <si>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</si>
  <si>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</si>
  <si>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</si>
  <si>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</si>
  <si>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</si>
  <si>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06/30/2022</t>
  </si>
  <si>
    <t>07/01/2022</t>
  </si>
  <si>
    <t>07/03/2022</t>
  </si>
  <si>
    <t>07/02/2022</t>
  </si>
  <si>
    <t>07/04/2022</t>
  </si>
  <si>
    <t>07/05/2022</t>
  </si>
  <si>
    <t>07/06/2022</t>
  </si>
  <si>
    <t>07/07/2022</t>
  </si>
  <si>
    <t>07/10/2022</t>
  </si>
  <si>
    <t>07/08/2022</t>
  </si>
  <si>
    <t>07/09/2022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</si>
  <si>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</si>
  <si>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</si>
  <si>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</si>
  <si>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</si>
  <si>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</si>
  <si>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</si>
  <si>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</si>
  <si>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</si>
  <si>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</si>
  <si>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</si>
  <si>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</si>
  <si>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</si>
  <si>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</si>
  <si>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</si>
  <si>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</si>
  <si>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</si>
  <si>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</si>
  <si>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</si>
  <si>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</si>
  <si>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08/03/2022</t>
  </si>
  <si>
    <t>08/01/2022</t>
  </si>
  <si>
    <t>08/02/2022</t>
  </si>
  <si>
    <t>08/04/2022</t>
  </si>
  <si>
    <t>08/05/2022</t>
  </si>
  <si>
    <t>08/06/2022</t>
  </si>
  <si>
    <t>08/07/2022</t>
  </si>
  <si>
    <t>08/08/2022</t>
  </si>
  <si>
    <t>08/09/2022</t>
  </si>
  <si>
    <t>08/10/2022</t>
  </si>
  <si>
    <t>08/12/2022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</si>
  <si>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</si>
  <si>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</si>
  <si>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</si>
  <si>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</si>
  <si>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</si>
  <si>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</si>
  <si>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</si>
  <si>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</si>
  <si>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08/22/2022</t>
  </si>
  <si>
    <t>08/23/2022</t>
  </si>
  <si>
    <t>08/24/2022</t>
  </si>
  <si>
    <t>08/25/2022</t>
  </si>
  <si>
    <t>08/26/2022</t>
  </si>
  <si>
    <t>08/27/2022</t>
  </si>
  <si>
    <t>OLD SPAGHETTI FACTORY 69 PHOENIX AZ</t>
  </si>
  <si>
    <t>08/28/2022</t>
  </si>
  <si>
    <t>APPLE.COM/BILL 866-712-7753 CAAPPLE PAY ENDING IN 4775MMWBB7340VA0</t>
  </si>
  <si>
    <t>TST* PEDAL HAUS PHX PHOENIX AZ00003115008358483115AA</t>
  </si>
  <si>
    <t>08/29/2022</t>
  </si>
  <si>
    <t>FIVE BELOW 3008 PHOENIX AZ</t>
  </si>
  <si>
    <t>five_below</t>
  </si>
  <si>
    <t>MCDONALD'S F1092 PHOENIX AZ</t>
  </si>
  <si>
    <t>08/30/2022</t>
  </si>
  <si>
    <t>KFC D212044 PHOENIX AZ</t>
  </si>
  <si>
    <t>THE TACO SPOT TEMPE AZ</t>
  </si>
  <si>
    <t>08/31/2022</t>
  </si>
  <si>
    <t>09/03/2022</t>
  </si>
  <si>
    <t>09/01/2022</t>
  </si>
  <si>
    <t>OBSIDIAN.MD 2262203323 CAN</t>
  </si>
  <si>
    <t>09/2022</t>
  </si>
  <si>
    <t>SPOTIFY P1D808B0FE 8777781161 NYITEM TRANSFERRED FROM PREV ACCOUNT</t>
  </si>
  <si>
    <t>09/02/2022</t>
  </si>
  <si>
    <t>U-HAUL MOVING &amp; STORAGE PHOENIX AZ</t>
  </si>
  <si>
    <t>ARCO #42464 AMPM PHOENIX AZ</t>
  </si>
  <si>
    <t>ARCO #42266 AMPM TWENTYNINE PACA</t>
  </si>
  <si>
    <t>ROY'S CAFE BARSTOW CA</t>
  </si>
  <si>
    <t>SQ *OLDE TYME KETTLE K FRESNO CA0001152921511860596904</t>
  </si>
  <si>
    <t>TASKER ON TASKRABBIT 8443408275 CAAPPLE PAY ENDING IN 4775</t>
  </si>
  <si>
    <t>09/04/2022</t>
  </si>
  <si>
    <t>AUTOZONE #2834 TULARE CA</t>
  </si>
  <si>
    <t>DIMOND FOOD MART LLC TULARE CA</t>
  </si>
  <si>
    <t>EXTRA SPACE 1461 BURLINGAME CA</t>
  </si>
  <si>
    <t>storage</t>
  </si>
  <si>
    <t>SAFEWAY #0694 SAN MATEO CA</t>
  </si>
  <si>
    <t>TST* THE PLANING MILL PI VISALIA CA</t>
  </si>
  <si>
    <t>WAHLBURGERS BURLINGAME BURLINGAME CA</t>
  </si>
  <si>
    <t>09/05/2022</t>
  </si>
  <si>
    <t>USPS CHANGE OF ADDRESS 800-238-3150 TN</t>
  </si>
  <si>
    <t>ARCO#00725GAS RITE SAN MATEO CA</t>
  </si>
  <si>
    <t>EL GRULLENSE GRILL. REDWOOD CITY CA</t>
  </si>
  <si>
    <t>09/06/2022</t>
  </si>
  <si>
    <t>PAYPAL *EPIC GAMES 402-935-7733 CA</t>
  </si>
  <si>
    <t>09/07/2022</t>
  </si>
  <si>
    <t>PANDA EXPRESS #907 BURLINGAME CA</t>
  </si>
  <si>
    <t>09/08/2022</t>
  </si>
  <si>
    <t>JACK IN THE BOX 0495 SAN MATEO CA00861R</t>
  </si>
  <si>
    <t>SAFEWAY #2878 MILLBRAE CA</t>
  </si>
  <si>
    <t>09/09/2022</t>
  </si>
  <si>
    <t>FLIGHTS BURLINGAME CA</t>
  </si>
  <si>
    <t>GOOGLE *YOUTUBE TV G.CO/HELPPAY#CAP0LQEOLG</t>
  </si>
  <si>
    <t>09/10/2022</t>
  </si>
  <si>
    <t>STANFORDSTADIUMCONCESSIO STANFORD CA</t>
  </si>
  <si>
    <t>09/11/2022</t>
  </si>
  <si>
    <t>CKE*HOWIE'S ARTISAN PIZZ PALO ALTO CA</t>
  </si>
  <si>
    <t>ASIAN BOX BURLINGAME CA</t>
  </si>
  <si>
    <t>09/12/2022</t>
  </si>
  <si>
    <t>SQ *GELATAIO SAN CARLOS CA0002305843016282716659</t>
  </si>
  <si>
    <t>09/13/2022</t>
  </si>
  <si>
    <t>IN N OUT BURGER 190 MILLBRAE CA</t>
  </si>
  <si>
    <t>09/14/2022</t>
  </si>
  <si>
    <t>APPLE.COM/BILL 866-712-7753 CAAPPLE PAY ENDING IN 4775MMWBJQ7VGZA0</t>
  </si>
  <si>
    <t>TST* RISE PIZZERIA BURLINGAME CA00049860008560623466AA</t>
  </si>
  <si>
    <t>09/15/2022</t>
  </si>
  <si>
    <t>APPLE.COM/US 800-676-2775 CAW1217133334A263446652</t>
  </si>
  <si>
    <t>HAN SUNG BBQ SANTA CLARA CA</t>
  </si>
  <si>
    <t>09/16/2022</t>
  </si>
  <si>
    <t>09/17/2022</t>
  </si>
  <si>
    <t>TARGET 00011221091 SAN MATEO CA</t>
  </si>
  <si>
    <t>CKE*SOM TUM STATION SAN SAN MATEO CA</t>
  </si>
  <si>
    <t>AMZN MKTP US*1M04898F1 AMZN.COM/BILLWA4A83VGAFU9G</t>
  </si>
  <si>
    <t>09/18/2022</t>
  </si>
  <si>
    <t>DEAN'S PRODUCE. SAN MATEO CA</t>
  </si>
  <si>
    <t>WHOLEFDS SMT 10150 SAN MATEO CA</t>
  </si>
  <si>
    <t>09/19/2022</t>
  </si>
  <si>
    <t>AMZN MKTP US*1M1M978J0 AMZN.COM/BILLWA61WE70JX48J</t>
  </si>
  <si>
    <t>AMZN MKTP US*1M2YJ8EV2 AMZN.COM/BILLWA5D6111DW1IM</t>
  </si>
  <si>
    <t>09/21/2022</t>
  </si>
  <si>
    <t>09/23/2022</t>
  </si>
  <si>
    <t>MCDONALDS F380 BELMONT CA</t>
  </si>
  <si>
    <t>U-HAUL MOVING &amp; STORAGE 800-789-3638 CA</t>
  </si>
  <si>
    <t>09/24/2022</t>
  </si>
  <si>
    <t>SQ *PORTOLA FESTIVAL FRANKLIN TN0001152921511949836939</t>
  </si>
  <si>
    <t>TARGET 00032649091 SAN FRANCISCOCA</t>
  </si>
  <si>
    <t>09/25/2022</t>
  </si>
  <si>
    <t>SQ *ARIZMENDI BAKERY C SAN FRANCISCOCA0001152921511953014417</t>
  </si>
  <si>
    <t>PORTOLA FESTIVAL 6502396947 CA</t>
  </si>
  <si>
    <t>MED*BHSM REHABILITATIO 800-721-8202 PA89631057</t>
  </si>
  <si>
    <t>09/26/2022</t>
  </si>
  <si>
    <t>APPLE.COM/BILL 866-712-7753 CAAPPLE PAY ENDING IN 4775MMWBQ3HD78A0</t>
  </si>
  <si>
    <t>TARGET 00011221091 SAN MATEO CAAPPLE PAY ENDING IN 4775</t>
  </si>
  <si>
    <t>09/27/2022</t>
  </si>
  <si>
    <t>IMPARK00270051A SAN FRANCISCOCA02732R</t>
  </si>
  <si>
    <t>09/30/2022</t>
  </si>
  <si>
    <t>SQ *CHERIMOYA BURLINGAME CA0002305843016376183244</t>
  </si>
  <si>
    <t>10/01/2022</t>
  </si>
  <si>
    <t>10/2022</t>
  </si>
  <si>
    <t>SQ *FIERO CAFFE SAN MATEO CA0001152921511977165897</t>
  </si>
  <si>
    <t>10/03/2022</t>
  </si>
  <si>
    <t>SPOTIFY P1E188D261 8777781161 NYITEM TRANSFERRED FROM PREV ACCOUNT</t>
  </si>
  <si>
    <t>10/02/2022</t>
  </si>
  <si>
    <t>ALLIANZ TRAVEL INS 800-496-6593 VA</t>
  </si>
  <si>
    <t>ALASKA AIRLINES 2064333200 WA</t>
  </si>
  <si>
    <t>GOOGLE *YOUTUBE G.CO/HELPPAY#CAP0MNZN4J</t>
  </si>
  <si>
    <t>10/04/2022</t>
  </si>
  <si>
    <t>HONG KONG BANJUM PAIK'S SANTA CLARA CA</t>
  </si>
  <si>
    <t>10/05/2022</t>
  </si>
  <si>
    <t>APPLE.COM/BILL 866-712-7753 CAAPPLE PAY ENDING IN 4775MMWBSMLKDVA0</t>
  </si>
  <si>
    <t>BRUNDAVAN INDIAN CUISINE SANTA CLARA CA</t>
  </si>
  <si>
    <t>10/06/2022</t>
  </si>
  <si>
    <t>APPLE.COM/BILL 866-712-7753 CAMMWBSNX4S3A0</t>
  </si>
  <si>
    <t>10/07/2022</t>
  </si>
  <si>
    <t>APPLE.COM/US 800-676-2775 CAW1217133334A285573915</t>
  </si>
  <si>
    <t>10/08/2022</t>
  </si>
  <si>
    <t>CREPEVINE (BURLINGAME) BURLINGAME CA</t>
  </si>
  <si>
    <t>10/09/2022</t>
  </si>
  <si>
    <t>SQ *ROYAL DONUT BURLINGAME CA0001152921512011595126</t>
  </si>
  <si>
    <t>GOOGLE *YOUTUBE TV G.CO/HELPPAY#CAP0MWK7CI</t>
  </si>
  <si>
    <t>10/10/2022</t>
  </si>
  <si>
    <t>BEST BUY 00001404295 SAN CARLOS CA</t>
  </si>
  <si>
    <t>electronics</t>
  </si>
  <si>
    <t>IN N OUT BURGER 257 SAN CARLOS CA</t>
  </si>
  <si>
    <t>OFFICE DEPOT #558 SAN CARLOS CA</t>
  </si>
  <si>
    <t>10/11/2022</t>
  </si>
  <si>
    <t>APPLE.COM/BILL 866-712-7753 CAAPPLE PAY ENDING IN 4775MMWBSYVSW8A0</t>
  </si>
  <si>
    <t>CVS/PHARMACY #09940 SAN MATEO CA</t>
  </si>
  <si>
    <t>10/12/2022</t>
  </si>
  <si>
    <t>10/14/2022</t>
  </si>
  <si>
    <t>NEW ERITREA RESTAURANT SAN FRANCISCOCA</t>
  </si>
  <si>
    <t>10/15/2022</t>
  </si>
  <si>
    <t>EXXONMOBIL SAN MATEO CA</t>
  </si>
  <si>
    <t>LYFT *1 RIDE 10-13 855-865-9553 CAITEM TRANSFERRED FROM PREV ACCOUNT</t>
  </si>
  <si>
    <t>SPOTIFY P1E5A12A82 8777781161 NY</t>
  </si>
  <si>
    <t>WILEY 800-434-3433 NJ</t>
  </si>
  <si>
    <t>10/16/2022</t>
  </si>
  <si>
    <t>ONLYFANS.COM 8886880458 FL</t>
  </si>
  <si>
    <t>TST* ICICLES - MOUNTAIN MOUNTAIN VIEWCA</t>
  </si>
  <si>
    <t>10/17/2022</t>
  </si>
  <si>
    <t>SPORTSLINE 888-508-3055 CA</t>
  </si>
  <si>
    <t>sports_line</t>
  </si>
  <si>
    <t>UNIQLO HILLSDALE #37 SAN MATEO CA</t>
  </si>
  <si>
    <t>10/19/2022</t>
  </si>
  <si>
    <t>10/20/2022</t>
  </si>
  <si>
    <t>SAFEWAY #0970 SAN MATEO CA</t>
  </si>
  <si>
    <t>BIG 5 SPORTING GOODS 092 SAN MATEO CA</t>
  </si>
  <si>
    <t>big_5_sporting_goods</t>
  </si>
  <si>
    <t>10/21/2022</t>
  </si>
  <si>
    <t>SQ *OCEANIC FOOT SPA BURLINGAME CA0001152921512067404405</t>
  </si>
  <si>
    <t>10/22/2022</t>
  </si>
  <si>
    <t>SFO THE PLANT SAN FRANCISCOCA02257R</t>
  </si>
  <si>
    <t>SQ *GOTHAM ENTERPRISE SAN FRANCISCOCA0001152921512069619412</t>
  </si>
  <si>
    <t>10/23/2022</t>
  </si>
  <si>
    <t>TST* FOGON COCINA MEXI SEATTLE WA00043443009062371910AA</t>
  </si>
  <si>
    <t>UBER TRIP 866-576-1039 CAAPPLE PAY ENDING IN 1455</t>
  </si>
  <si>
    <t>GREEN TORTOISE HOSTEL SEATTLE WA</t>
  </si>
  <si>
    <t>hostel</t>
  </si>
  <si>
    <t>ATI5235-013224201 310-627-2866 CA</t>
  </si>
  <si>
    <t>AMC 0880 PACIFIC PLACE SEATTLE WA</t>
  </si>
  <si>
    <t>712 GARAGE LANES 8003425 SEATTLE WA</t>
  </si>
  <si>
    <t>bowling</t>
  </si>
  <si>
    <t>10/24/2022</t>
  </si>
  <si>
    <t>WWW.WEWORK.COM 6467604450 NY</t>
  </si>
  <si>
    <t>TARGET 00027862091 SEATTLE WA</t>
  </si>
  <si>
    <t>KJ'S BAR SEATTLE WA02402R</t>
  </si>
  <si>
    <t>CHUKAR CHERRY COMPANY SEATTLE WA</t>
  </si>
  <si>
    <t>AYTTHAYA THAI SEATTLE WA</t>
  </si>
  <si>
    <t>MOD PIZZA DWNT SEATTLE SEATTLE WA02433R</t>
  </si>
  <si>
    <t>10/25/2022</t>
  </si>
  <si>
    <t>URBAN MKT CONCOURSE D SEATTLE WA</t>
  </si>
  <si>
    <t>JACK'S FISH SPOT SEATTLE WA</t>
  </si>
  <si>
    <t>THE NEW STAND TN SEA SEATTLE WA</t>
  </si>
  <si>
    <t>INMOTION-814 SEATTLE WA02508R</t>
  </si>
  <si>
    <t>10/26/2022</t>
  </si>
  <si>
    <t>10/27/2022</t>
  </si>
  <si>
    <t>10/28/2022</t>
  </si>
  <si>
    <t>10/30/2022</t>
  </si>
  <si>
    <t>SQ *URBAN RITUAL SAN MATEO CA0001152921512104496355</t>
  </si>
  <si>
    <t>BED BATH &amp; BEYOND #539 REDWOOD CITY CA</t>
  </si>
  <si>
    <t>bed_bath_and_beyond</t>
  </si>
  <si>
    <t>SP DROP.COM 4153402999 CA</t>
  </si>
  <si>
    <t>AMZN MKTP US*H87H10YV2 AMZN.COM/BILLWA43PGLVJVN15</t>
  </si>
  <si>
    <t>ARCO#05369FD GAS FREMONT CA</t>
  </si>
  <si>
    <t>10/31/2022</t>
  </si>
  <si>
    <t>BED BATH &amp; BEYOND #315 DALY CITY CA</t>
  </si>
  <si>
    <t>PANDA EXPRESS #907 P 800-877-8988 CAAPPLE PAY ENDING IN 1455</t>
  </si>
  <si>
    <t>THE HOME DEPOT #0639 COLMA CA</t>
  </si>
  <si>
    <t>11/01/2022</t>
  </si>
  <si>
    <t>11/2022</t>
  </si>
  <si>
    <t>SQ *ROYAL DONUT BURLINGAME CA0001152921512111235259</t>
  </si>
  <si>
    <t>11/03/2022</t>
  </si>
  <si>
    <t>SPOTIFY P1EAE34282 8777781161 NYITEM TRANSFERRED FROM PREV ACCOUNT</t>
  </si>
  <si>
    <t>11/02/2022</t>
  </si>
  <si>
    <t>LEETCODE.COM 9167018853 CA</t>
  </si>
  <si>
    <t>leet_code</t>
  </si>
  <si>
    <t>FEDEX 940777260572 901-4348994 TN</t>
  </si>
  <si>
    <t>mailing</t>
  </si>
  <si>
    <t>GOOGLE *YT PRIMETIME G.CO/HELPPAY#CAP0N4NGAC</t>
  </si>
  <si>
    <t>youtube</t>
  </si>
  <si>
    <t>11/04/2022</t>
  </si>
  <si>
    <t>APPLE FRITTER SAN MATEO CA</t>
  </si>
  <si>
    <t>FEDEX 390206021513 901-4348994 TN</t>
  </si>
  <si>
    <t>LYFT *1 RIDE 11-02 855-865-9553 CAITEM TRANSFERRED FROM PREV ACCOUNT</t>
  </si>
  <si>
    <t>11/05/2022</t>
  </si>
  <si>
    <t>SQ *FRANK GRIZZLY?S SAN FRANCISCOCA0001152921512127443477</t>
  </si>
  <si>
    <t>ANCHOR PUBLIC TAPS SAN FRANCISCOCA</t>
  </si>
  <si>
    <t>11/06/2022</t>
  </si>
  <si>
    <t>APPLE.COM/BILL 866-712-7753 CAMMWBVG39H4A0</t>
  </si>
  <si>
    <t>11/07/2022</t>
  </si>
  <si>
    <t>HABIT SAN MATEO #50 SAN MATEO CA</t>
  </si>
  <si>
    <t>11/08/2022</t>
  </si>
  <si>
    <t>NBA*SACRAMENTO KINGS 916-928-3683 CAMICD58A500-ERBAN</t>
  </si>
  <si>
    <t>11/09/2022</t>
  </si>
  <si>
    <t>AMZN MKTP US*HB4TE31U0 AMZN.COM/BILLWA4JBTMKBCPJP</t>
  </si>
  <si>
    <t>ATI49980-11090430 310-627-2866 CAAPPLE PAY ENDING IN 1455</t>
  </si>
  <si>
    <t>BEST BUY 00008730295 COLMA CA</t>
  </si>
  <si>
    <t>FUEL 24 7 WESTBOROUGH SAN FRANCISCOCA</t>
  </si>
  <si>
    <t>GOOGLE *YOUTUBE TV G.CO/HELPPAY#CAP0NDWKX1</t>
  </si>
  <si>
    <t>11/10/2022</t>
  </si>
  <si>
    <t>11/11/2022</t>
  </si>
  <si>
    <t>MAIDO STATIONERY - SJ SAN JOSE CA</t>
  </si>
  <si>
    <t>SQ *SALT &amp; STRAW SAN JOSE CA0001152921512150964054</t>
  </si>
  <si>
    <t>COCOLA SAN JOSE CA</t>
  </si>
  <si>
    <t>APPLE.COM/BILL 866-712-7753 CAAPPLE PAY ENDING IN 1455MMWBVKBT8NA0</t>
  </si>
  <si>
    <t>APPLE.COM/BILL 866-712-7753 CAAPPLE PAY ENDING IN 1455MMWBVKWJ8QA0</t>
  </si>
  <si>
    <t>CINEPOLIS SAN MATEO SAN MATEO CA01177R</t>
  </si>
  <si>
    <t>11/12/2022</t>
  </si>
  <si>
    <t>AMZN MKTP US*HB60245D1 AMZN.COM/BILLWATZSMW0BB17N</t>
  </si>
  <si>
    <t>PAYPAL *COURSE HERO 402-935-7733 CA</t>
  </si>
  <si>
    <t>11/13/2022</t>
  </si>
  <si>
    <t>11/14/2022</t>
  </si>
  <si>
    <t>HYATT REG PHOENIX F&amp;B PHOENIX AZ</t>
  </si>
  <si>
    <t>SKYLINE NEWS AND GIFTS SAN FRANCISCOCA</t>
  </si>
  <si>
    <t>SOL SCOTTSDALE SCOTTSDALE AZ</t>
  </si>
  <si>
    <t>11/15/2022</t>
  </si>
  <si>
    <t>SPOTIFY P1EEF8D48A 8777781161 NY</t>
  </si>
  <si>
    <t>RASPADOS Y ANTOJITAS LA PHOENIX AZAPPLE PAY ENDING IN 1455</t>
  </si>
  <si>
    <t>11/16/2022</t>
  </si>
  <si>
    <t>APPLE.COM/BILL 111-111-1111 CAAPPLE PAY ENDING IN 1455</t>
  </si>
  <si>
    <t>11/17/2022</t>
  </si>
  <si>
    <t>ALHAMBRA IRISH HOUSE REDWOOD CITY CA</t>
  </si>
  <si>
    <t>11/18/2022</t>
  </si>
  <si>
    <t>APPLE.COM/BILL 866-712-7753 CAAPPLE PAY ENDING IN 1455MMWBW5H63FA0</t>
  </si>
  <si>
    <t>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</si>
</sst>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3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4" borderId="3" xfId="0" applyFill="1" applyBorder="1"/>
    <xf numFmtId="0" fontId="0" fillId="4" borderId="5" xfId="0" applyFill="1" applyBorder="1"/>
    <xf numFmtId="43" fontId="0" fillId="0" borderId="0" xfId="1" applyFont="1"/>
    <xf numFmtId="44" fontId="0" fillId="0" borderId="0" xfId="2" applyFont="1"/>
    <xf numFmtId="164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  <xf numFmtId="14" fontId="0" fillId="0" borderId="0" xfId="0" applyNumberFormat="1"/>
    <xf numFmtId="8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165" fontId="4" fillId="0" borderId="0" xfId="0" applyNumberFormat="1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8" xfId="0" applyFont="1" applyBorder="1"/>
    <xf numFmtId="0" fontId="5" fillId="0" borderId="9" xfId="0" applyFont="1" applyBorder="1"/>
    <xf numFmtId="8" fontId="0" fillId="4" borderId="3" xfId="0" applyNumberFormat="1" applyFill="1" applyBorder="1"/>
    <xf numFmtId="8" fontId="0" fillId="0" borderId="3" xfId="0" applyNumberFormat="1" applyBorder="1"/>
    <xf numFmtId="0" fontId="0" fillId="0" borderId="0" xfId="1" applyNumberFormat="1" applyFont="1"/>
    <xf numFmtId="0" fontId="4" fillId="0" borderId="0" xfId="0" applyFont="1"/>
    <xf numFmtId="165" fontId="0" fillId="5" borderId="0" xfId="0" applyNumberFormat="1" applyFill="1"/>
    <xf numFmtId="44" fontId="0" fillId="0" borderId="0" xfId="0" applyNumberFormat="1"/>
    <xf numFmtId="9" fontId="0" fillId="0" borderId="0" xfId="0" applyNumberFormat="1"/>
    <xf numFmtId="166" fontId="0" fillId="0" borderId="0" xfId="3" applyNumberFormat="1" applyFont="1"/>
    <xf numFmtId="44" fontId="1" fillId="0" borderId="2" xfId="2" applyFont="1" applyBorder="1" applyAlignment="1">
      <alignment horizontal="center" vertical="top"/>
    </xf>
    <xf numFmtId="0" fontId="6" fillId="6" borderId="10" xfId="0" applyFont="1" applyFill="1" applyBorder="1" applyAlignment="1">
      <alignment horizontal="center" wrapText="1"/>
    </xf>
    <xf numFmtId="0" fontId="0" fillId="7" borderId="11" xfId="0" applyFill="1" applyBorder="1" applyAlignment="1">
      <alignment horizontal="left" wrapText="1"/>
    </xf>
    <xf numFmtId="0" fontId="7" fillId="2" borderId="11" xfId="0" applyFont="1" applyFill="1" applyBorder="1" applyAlignment="1">
      <alignment horizontal="left" wrapText="1"/>
    </xf>
    <xf numFmtId="0" fontId="6" fillId="6" borderId="10" xfId="0" applyFont="1" applyFill="1" applyBorder="1" applyAlignment="1">
      <alignment horizontal="center"/>
    </xf>
    <xf numFmtId="0" fontId="0" fillId="7" borderId="11" xfId="0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44" fontId="6" fillId="6" borderId="10" xfId="2" applyFont="1" applyFill="1" applyBorder="1" applyAlignment="1">
      <alignment horizontal="center"/>
    </xf>
    <xf numFmtId="44" fontId="0" fillId="7" borderId="11" xfId="2" applyFont="1" applyFill="1" applyBorder="1" applyAlignment="1">
      <alignment horizontal="right"/>
    </xf>
    <xf numFmtId="44" fontId="7" fillId="2" borderId="11" xfId="2" applyFont="1" applyFill="1" applyBorder="1" applyAlignment="1">
      <alignment horizontal="right"/>
    </xf>
    <xf numFmtId="44" fontId="0" fillId="0" borderId="0" xfId="2" applyFont="1" applyAlignment="1"/>
    <xf numFmtId="0" fontId="7" fillId="5" borderId="11" xfId="0" applyFont="1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4" fontId="0" fillId="8" borderId="0" xfId="2" applyFont="1" applyFill="1"/>
    <xf numFmtId="164" fontId="0" fillId="0" borderId="0" xfId="0" applyNumberFormat="1"/>
    <xf numFmtId="44" fontId="0" fillId="0" borderId="12" xfId="2" applyFont="1" applyBorder="1"/>
    <xf numFmtId="44" fontId="0" fillId="0" borderId="13" xfId="2" applyFont="1" applyBorder="1"/>
    <xf numFmtId="44" fontId="0" fillId="0" borderId="14" xfId="2" applyFont="1" applyBorder="1"/>
    <xf numFmtId="44" fontId="0" fillId="0" borderId="15" xfId="2" applyFont="1" applyBorder="1"/>
    <xf numFmtId="44" fontId="0" fillId="0" borderId="0" xfId="2" applyFont="1" applyBorder="1"/>
    <xf numFmtId="44" fontId="0" fillId="0" borderId="16" xfId="2" applyFont="1" applyBorder="1"/>
    <xf numFmtId="44" fontId="0" fillId="0" borderId="17" xfId="2" applyFont="1" applyBorder="1"/>
    <xf numFmtId="44" fontId="0" fillId="0" borderId="18" xfId="2" applyFont="1" applyBorder="1"/>
    <xf numFmtId="44" fontId="0" fillId="0" borderId="19" xfId="2" applyFont="1" applyBorder="1"/>
    <xf numFmtId="44" fontId="4" fillId="0" borderId="0" xfId="0" applyNumberFormat="1" applyFont="1"/>
    <xf numFmtId="44" fontId="1" fillId="3" borderId="1" xfId="2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44" fontId="0" fillId="9" borderId="0" xfId="2" applyFont="1" applyFill="1"/>
    <xf numFmtId="0" fontId="0" fillId="10" borderId="0" xfId="0" applyFill="1"/>
    <xf numFmtId="44" fontId="0" fillId="5" borderId="0" xfId="2" applyFont="1" applyFill="1"/>
    <xf numFmtId="0" fontId="0" fillId="11" borderId="0" xfId="0" applyFill="1"/>
    <xf numFmtId="44" fontId="0" fillId="11" borderId="0" xfId="0" applyNumberFormat="1" applyFill="1"/>
    <xf numFmtId="44" fontId="0" fillId="10" borderId="0" xfId="2" applyFont="1" applyFill="1"/>
    <xf numFmtId="44" fontId="0" fillId="11" borderId="0" xfId="2" applyFont="1" applyFill="1"/>
    <xf numFmtId="44" fontId="0" fillId="10" borderId="0" xfId="0" applyNumberFormat="1" applyFill="1"/>
    <xf numFmtId="0" fontId="0" fillId="4" borderId="4" xfId="0" applyFill="1" applyBorder="1"/>
    <xf numFmtId="0" fontId="0" fillId="4" borderId="6" xfId="0" applyFill="1" applyBorder="1"/>
    <xf numFmtId="0" fontId="0" fillId="0" borderId="0" xfId="0" pivotButton="1"/>
    <xf numFmtId="0" fontId="0" fillId="0" borderId="0" xfId="0" applyAlignment="1">
      <alignment horizontal="left"/>
    </xf>
    <xf numFmtId="8" fontId="0" fillId="0" borderId="5" xfId="0" applyNumberFormat="1" applyBorder="1"/>
    <xf numFmtId="43" fontId="0" fillId="0" borderId="0" xfId="1" applyFont="1" applyBorder="1"/>
    <xf numFmtId="44" fontId="0" fillId="0" borderId="0" xfId="0" pivotButton="1" applyNumberFormat="1"/>
    <xf numFmtId="0" fontId="9" fillId="0" borderId="1" xfId="0" applyFont="1" applyBorder="1" applyAlignment="1">
      <alignment horizontal="center" vertical="top"/>
    </xf>
    <xf numFmtId="0" fontId="0" fillId="0" borderId="0" xfId="0" quotePrefix="1" applyNumberFormat="1"/>
    <xf numFmtId="0" fontId="0" fillId="0" borderId="0" xfId="0" quotePrefix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2" formatCode="&quot;$&quot;#,##0.00_);[Red]\(&quot;$&quot;#,##0.00\)"/>
    </dxf>
    <dxf>
      <numFmt numFmtId="19" formatCode="m/d/yyyy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'Discover Data'!$M$19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Data'!$N$19:$Y$19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'Discover Data'!$N$18:$Y$18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01E-4B68-AE6B-F7FA7B6E341C}"/>
            </c:ext>
          </c:extLst>
        </c:ser>
        <c:ser>
          <c:idx val="1"/>
          <c:order val="1"/>
          <c:tx>
            <c:strRef>
              <c:f>'Discover Data'!$M$20</c:f>
              <c:strCache>
                <c:ptCount val="1"/>
                <c:pt idx="0">
                  <c:v>Payments and Credits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Data'!$N$20:$Y$20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'Discover Data'!$N$18:$Y$18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01E-4B68-AE6B-F7FA7B6E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232127"/>
        <c:axId val="1019232959"/>
      </c:lineChart>
      <c:catAx>
        <c:axId val="10192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959"/>
        <c:crosses val="autoZero"/>
        <c:auto val="1"/>
        <c:lblAlgn val="ctr"/>
        <c:lblOffset val="100"/>
        <c:noMultiLvlLbl val="0"/>
      </c:catAx>
      <c:valAx>
        <c:axId val="10192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Discover balance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'Discover Account'!$B$1</c:f>
              <c:strCache>
                <c:ptCount val="1"/>
                <c:pt idx="0">
                  <c:v>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'Discover Account'!$A$2:$A$680</c:f>
              <c:strCache>
                <c:ptCount val="679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01/2022</c:v>
                </c:pt>
                <c:pt idx="68">
                  <c:v>02/2022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  <c:pt idx="588">
                  <c:v>07/2022</c:v>
                </c:pt>
                <c:pt idx="589">
                  <c:v>07/2022</c:v>
                </c:pt>
                <c:pt idx="590">
                  <c:v>07/2022</c:v>
                </c:pt>
                <c:pt idx="591">
                  <c:v>07/2022</c:v>
                </c:pt>
                <c:pt idx="592">
                  <c:v>07/2022</c:v>
                </c:pt>
                <c:pt idx="593">
                  <c:v>07/2022</c:v>
                </c:pt>
                <c:pt idx="594">
                  <c:v>07/2022</c:v>
                </c:pt>
                <c:pt idx="595">
                  <c:v>07/2022</c:v>
                </c:pt>
                <c:pt idx="596">
                  <c:v>07/2022</c:v>
                </c:pt>
                <c:pt idx="597">
                  <c:v>07/2022</c:v>
                </c:pt>
                <c:pt idx="598">
                  <c:v>07/2022</c:v>
                </c:pt>
                <c:pt idx="599">
                  <c:v>07/2022</c:v>
                </c:pt>
                <c:pt idx="600">
                  <c:v>07/2022</c:v>
                </c:pt>
                <c:pt idx="601">
                  <c:v>07/2022</c:v>
                </c:pt>
                <c:pt idx="602">
                  <c:v>07/2022</c:v>
                </c:pt>
                <c:pt idx="603">
                  <c:v>07/2022</c:v>
                </c:pt>
                <c:pt idx="604">
                  <c:v>07/2022</c:v>
                </c:pt>
                <c:pt idx="605">
                  <c:v>07/2022</c:v>
                </c:pt>
                <c:pt idx="606">
                  <c:v>07/2022</c:v>
                </c:pt>
                <c:pt idx="607">
                  <c:v>07/2022</c:v>
                </c:pt>
                <c:pt idx="608">
                  <c:v>07/2022</c:v>
                </c:pt>
                <c:pt idx="609">
                  <c:v>07/2022</c:v>
                </c:pt>
                <c:pt idx="610">
                  <c:v>07/2022</c:v>
                </c:pt>
                <c:pt idx="611">
                  <c:v>07/2022</c:v>
                </c:pt>
                <c:pt idx="612">
                  <c:v>07/2022</c:v>
                </c:pt>
                <c:pt idx="613">
                  <c:v>07/2022</c:v>
                </c:pt>
                <c:pt idx="614">
                  <c:v>07/2022</c:v>
                </c:pt>
                <c:pt idx="615">
                  <c:v>07/2022</c:v>
                </c:pt>
                <c:pt idx="616">
                  <c:v>07/2022</c:v>
                </c:pt>
                <c:pt idx="617">
                  <c:v>07/2022</c:v>
                </c:pt>
                <c:pt idx="618">
                  <c:v>07/2022</c:v>
                </c:pt>
                <c:pt idx="619">
                  <c:v>07/2022</c:v>
                </c:pt>
                <c:pt idx="620">
                  <c:v>07/2022</c:v>
                </c:pt>
                <c:pt idx="621">
                  <c:v>07/2022</c:v>
                </c:pt>
                <c:pt idx="622">
                  <c:v>07/2022</c:v>
                </c:pt>
                <c:pt idx="623">
                  <c:v>07/2022</c:v>
                </c:pt>
                <c:pt idx="624">
                  <c:v>07/2022</c:v>
                </c:pt>
                <c:pt idx="625">
                  <c:v>08/2022</c:v>
                </c:pt>
                <c:pt idx="626">
                  <c:v>08/2022</c:v>
                </c:pt>
                <c:pt idx="627">
                  <c:v>08/2022</c:v>
                </c:pt>
                <c:pt idx="628">
                  <c:v>08/2022</c:v>
                </c:pt>
                <c:pt idx="629">
                  <c:v>08/2022</c:v>
                </c:pt>
                <c:pt idx="630">
                  <c:v>08/2022</c:v>
                </c:pt>
                <c:pt idx="631">
                  <c:v>08/2022</c:v>
                </c:pt>
                <c:pt idx="632">
                  <c:v>08/2022</c:v>
                </c:pt>
                <c:pt idx="633">
                  <c:v>08/2022</c:v>
                </c:pt>
                <c:pt idx="634">
                  <c:v>08/2022</c:v>
                </c:pt>
                <c:pt idx="635">
                  <c:v>08/2022</c:v>
                </c:pt>
                <c:pt idx="636">
                  <c:v>08/2022</c:v>
                </c:pt>
                <c:pt idx="637">
                  <c:v>08/2022</c:v>
                </c:pt>
                <c:pt idx="638">
                  <c:v>08/2022</c:v>
                </c:pt>
                <c:pt idx="639">
                  <c:v>08/2022</c:v>
                </c:pt>
                <c:pt idx="640">
                  <c:v>08/2022</c:v>
                </c:pt>
                <c:pt idx="641">
                  <c:v>08/2022</c:v>
                </c:pt>
                <c:pt idx="642">
                  <c:v>08/2022</c:v>
                </c:pt>
                <c:pt idx="643">
                  <c:v>08/2022</c:v>
                </c:pt>
                <c:pt idx="644">
                  <c:v>08/2022</c:v>
                </c:pt>
                <c:pt idx="645">
                  <c:v>08/2022</c:v>
                </c:pt>
                <c:pt idx="646">
                  <c:v>08/2022</c:v>
                </c:pt>
                <c:pt idx="647">
                  <c:v>08/2022</c:v>
                </c:pt>
                <c:pt idx="648">
                  <c:v>08/2022</c:v>
                </c:pt>
                <c:pt idx="649">
                  <c:v>08/2022</c:v>
                </c:pt>
                <c:pt idx="650">
                  <c:v>08/2022</c:v>
                </c:pt>
                <c:pt idx="651">
                  <c:v>08/2022</c:v>
                </c:pt>
                <c:pt idx="652">
                  <c:v>08/2022</c:v>
                </c:pt>
                <c:pt idx="653">
                  <c:v>08/2022</c:v>
                </c:pt>
                <c:pt idx="654">
                  <c:v>08/2022</c:v>
                </c:pt>
                <c:pt idx="655">
                  <c:v>08/2022</c:v>
                </c:pt>
                <c:pt idx="656">
                  <c:v>08/2022</c:v>
                </c:pt>
                <c:pt idx="657">
                  <c:v>08/2022</c:v>
                </c:pt>
                <c:pt idx="658">
                  <c:v>08/2022</c:v>
                </c:pt>
                <c:pt idx="659">
                  <c:v>08/2022</c:v>
                </c:pt>
                <c:pt idx="660">
                  <c:v>08/2022</c:v>
                </c:pt>
                <c:pt idx="661">
                  <c:v>08/2022</c:v>
                </c:pt>
                <c:pt idx="662">
                  <c:v>08/2022</c:v>
                </c:pt>
                <c:pt idx="663">
                  <c:v>08/2022</c:v>
                </c:pt>
                <c:pt idx="664">
                  <c:v>08/2022</c:v>
                </c:pt>
                <c:pt idx="665">
                  <c:v>08/2022</c:v>
                </c:pt>
                <c:pt idx="666">
                  <c:v>08/2022</c:v>
                </c:pt>
                <c:pt idx="667">
                  <c:v>08/2022</c:v>
                </c:pt>
                <c:pt idx="668">
                  <c:v>08/2022</c:v>
                </c:pt>
                <c:pt idx="669">
                  <c:v>08/2022</c:v>
                </c:pt>
                <c:pt idx="670">
                  <c:v>08/2022</c:v>
                </c:pt>
                <c:pt idx="671">
                  <c:v>08/2022</c:v>
                </c:pt>
                <c:pt idx="672">
                  <c:v>08/2022</c:v>
                </c:pt>
                <c:pt idx="673">
                  <c:v>08/2022</c:v>
                </c:pt>
                <c:pt idx="674">
                  <c:v>08/2022</c:v>
                </c:pt>
                <c:pt idx="675">
                  <c:v>08/2022</c:v>
                </c:pt>
                <c:pt idx="676">
                  <c:v>08/2022</c:v>
                </c:pt>
                <c:pt idx="677">
                  <c:v>08/2022</c:v>
                </c:pt>
                <c:pt idx="678">
                  <c:v>08/2022</c:v>
                </c:pt>
              </c:strCache>
            </c:strRef>
          </c:cat>
          <c:val>
            <c:numRef>
              <c:f>'Discover Account'!$B$2:$B$680</c:f>
              <c:numCache>
                <c:formatCode>"$"#,##0.00_);[Red]\("$"#,##0.00\)</c:formatCode>
                <c:ptCount val="679"/>
                <c:pt idx="2">
                  <c:v>-1800</c:v>
                </c:pt>
                <c:pt idx="31">
                  <c:v>-1800.0000000000005</c:v>
                </c:pt>
                <c:pt idx="73">
                  <c:v>-1733.3299999999995</c:v>
                </c:pt>
                <c:pt idx="75">
                  <c:v>-5</c:v>
                </c:pt>
                <c:pt idx="86">
                  <c:v>-771.09999999999991</c:v>
                </c:pt>
                <c:pt idx="87">
                  <c:v>-29.29000000000002</c:v>
                </c:pt>
                <c:pt idx="118">
                  <c:v>-734.55</c:v>
                </c:pt>
                <c:pt idx="164">
                  <c:v>-734.55</c:v>
                </c:pt>
                <c:pt idx="169">
                  <c:v>-499.99999999999977</c:v>
                </c:pt>
                <c:pt idx="284">
                  <c:v>-934.85000000000036</c:v>
                </c:pt>
                <c:pt idx="285">
                  <c:v>-65.149999999999636</c:v>
                </c:pt>
                <c:pt idx="333">
                  <c:v>-41.229999999999563</c:v>
                </c:pt>
                <c:pt idx="334">
                  <c:v>-1000.0000000000005</c:v>
                </c:pt>
                <c:pt idx="384">
                  <c:v>-1000</c:v>
                </c:pt>
                <c:pt idx="433">
                  <c:v>-2000</c:v>
                </c:pt>
                <c:pt idx="451">
                  <c:v>-8</c:v>
                </c:pt>
                <c:pt idx="480">
                  <c:v>-1000</c:v>
                </c:pt>
                <c:pt idx="481">
                  <c:v>-1000</c:v>
                </c:pt>
                <c:pt idx="514">
                  <c:v>-2600</c:v>
                </c:pt>
                <c:pt idx="590">
                  <c:v>-1000</c:v>
                </c:pt>
                <c:pt idx="599">
                  <c:v>-81.420000000000073</c:v>
                </c:pt>
                <c:pt idx="600">
                  <c:v>-5258.68</c:v>
                </c:pt>
                <c:pt idx="617">
                  <c:v>-1</c:v>
                </c:pt>
                <c:pt idx="633">
                  <c:v>-3.7200000000000273</c:v>
                </c:pt>
                <c:pt idx="637">
                  <c:v>-962.04</c:v>
                </c:pt>
                <c:pt idx="641">
                  <c:v>-106.06999999999994</c:v>
                </c:pt>
                <c:pt idx="661">
                  <c:v>-53.05</c:v>
                </c:pt>
                <c:pt idx="663">
                  <c:v>-268.78999999999996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84655"/>
        <c:axId val="864178415"/>
      </c:barChart>
      <c:lineChart>
        <c:grouping val="standard"/>
        <c:varyColors val="0"/>
        <c:ser>
          <c:idx val="1"/>
          <c:order val="1"/>
          <c:tx>
            <c:strRef>
              <c:f>'Discover Account'!$C$1</c:f>
              <c:strCache>
                <c:ptCount val="1"/>
                <c:pt idx="0">
                  <c:v> CumAmount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'Discover Account'!$A$2:$A$680</c:f>
              <c:strCache>
                <c:ptCount val="679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01/2022</c:v>
                </c:pt>
                <c:pt idx="68">
                  <c:v>02/2022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  <c:pt idx="588">
                  <c:v>07/2022</c:v>
                </c:pt>
                <c:pt idx="589">
                  <c:v>07/2022</c:v>
                </c:pt>
                <c:pt idx="590">
                  <c:v>07/2022</c:v>
                </c:pt>
                <c:pt idx="591">
                  <c:v>07/2022</c:v>
                </c:pt>
                <c:pt idx="592">
                  <c:v>07/2022</c:v>
                </c:pt>
                <c:pt idx="593">
                  <c:v>07/2022</c:v>
                </c:pt>
                <c:pt idx="594">
                  <c:v>07/2022</c:v>
                </c:pt>
                <c:pt idx="595">
                  <c:v>07/2022</c:v>
                </c:pt>
                <c:pt idx="596">
                  <c:v>07/2022</c:v>
                </c:pt>
                <c:pt idx="597">
                  <c:v>07/2022</c:v>
                </c:pt>
                <c:pt idx="598">
                  <c:v>07/2022</c:v>
                </c:pt>
                <c:pt idx="599">
                  <c:v>07/2022</c:v>
                </c:pt>
                <c:pt idx="600">
                  <c:v>07/2022</c:v>
                </c:pt>
                <c:pt idx="601">
                  <c:v>07/2022</c:v>
                </c:pt>
                <c:pt idx="602">
                  <c:v>07/2022</c:v>
                </c:pt>
                <c:pt idx="603">
                  <c:v>07/2022</c:v>
                </c:pt>
                <c:pt idx="604">
                  <c:v>07/2022</c:v>
                </c:pt>
                <c:pt idx="605">
                  <c:v>07/2022</c:v>
                </c:pt>
                <c:pt idx="606">
                  <c:v>07/2022</c:v>
                </c:pt>
                <c:pt idx="607">
                  <c:v>07/2022</c:v>
                </c:pt>
                <c:pt idx="608">
                  <c:v>07/2022</c:v>
                </c:pt>
                <c:pt idx="609">
                  <c:v>07/2022</c:v>
                </c:pt>
                <c:pt idx="610">
                  <c:v>07/2022</c:v>
                </c:pt>
                <c:pt idx="611">
                  <c:v>07/2022</c:v>
                </c:pt>
                <c:pt idx="612">
                  <c:v>07/2022</c:v>
                </c:pt>
                <c:pt idx="613">
                  <c:v>07/2022</c:v>
                </c:pt>
                <c:pt idx="614">
                  <c:v>07/2022</c:v>
                </c:pt>
                <c:pt idx="615">
                  <c:v>07/2022</c:v>
                </c:pt>
                <c:pt idx="616">
                  <c:v>07/2022</c:v>
                </c:pt>
                <c:pt idx="617">
                  <c:v>07/2022</c:v>
                </c:pt>
                <c:pt idx="618">
                  <c:v>07/2022</c:v>
                </c:pt>
                <c:pt idx="619">
                  <c:v>07/2022</c:v>
                </c:pt>
                <c:pt idx="620">
                  <c:v>07/2022</c:v>
                </c:pt>
                <c:pt idx="621">
                  <c:v>07/2022</c:v>
                </c:pt>
                <c:pt idx="622">
                  <c:v>07/2022</c:v>
                </c:pt>
                <c:pt idx="623">
                  <c:v>07/2022</c:v>
                </c:pt>
                <c:pt idx="624">
                  <c:v>07/2022</c:v>
                </c:pt>
                <c:pt idx="625">
                  <c:v>08/2022</c:v>
                </c:pt>
                <c:pt idx="626">
                  <c:v>08/2022</c:v>
                </c:pt>
                <c:pt idx="627">
                  <c:v>08/2022</c:v>
                </c:pt>
                <c:pt idx="628">
                  <c:v>08/2022</c:v>
                </c:pt>
                <c:pt idx="629">
                  <c:v>08/2022</c:v>
                </c:pt>
                <c:pt idx="630">
                  <c:v>08/2022</c:v>
                </c:pt>
                <c:pt idx="631">
                  <c:v>08/2022</c:v>
                </c:pt>
                <c:pt idx="632">
                  <c:v>08/2022</c:v>
                </c:pt>
                <c:pt idx="633">
                  <c:v>08/2022</c:v>
                </c:pt>
                <c:pt idx="634">
                  <c:v>08/2022</c:v>
                </c:pt>
                <c:pt idx="635">
                  <c:v>08/2022</c:v>
                </c:pt>
                <c:pt idx="636">
                  <c:v>08/2022</c:v>
                </c:pt>
                <c:pt idx="637">
                  <c:v>08/2022</c:v>
                </c:pt>
                <c:pt idx="638">
                  <c:v>08/2022</c:v>
                </c:pt>
                <c:pt idx="639">
                  <c:v>08/2022</c:v>
                </c:pt>
                <c:pt idx="640">
                  <c:v>08/2022</c:v>
                </c:pt>
                <c:pt idx="641">
                  <c:v>08/2022</c:v>
                </c:pt>
                <c:pt idx="642">
                  <c:v>08/2022</c:v>
                </c:pt>
                <c:pt idx="643">
                  <c:v>08/2022</c:v>
                </c:pt>
                <c:pt idx="644">
                  <c:v>08/2022</c:v>
                </c:pt>
                <c:pt idx="645">
                  <c:v>08/2022</c:v>
                </c:pt>
                <c:pt idx="646">
                  <c:v>08/2022</c:v>
                </c:pt>
                <c:pt idx="647">
                  <c:v>08/2022</c:v>
                </c:pt>
                <c:pt idx="648">
                  <c:v>08/2022</c:v>
                </c:pt>
                <c:pt idx="649">
                  <c:v>08/2022</c:v>
                </c:pt>
                <c:pt idx="650">
                  <c:v>08/2022</c:v>
                </c:pt>
                <c:pt idx="651">
                  <c:v>08/2022</c:v>
                </c:pt>
                <c:pt idx="652">
                  <c:v>08/2022</c:v>
                </c:pt>
                <c:pt idx="653">
                  <c:v>08/2022</c:v>
                </c:pt>
                <c:pt idx="654">
                  <c:v>08/2022</c:v>
                </c:pt>
                <c:pt idx="655">
                  <c:v>08/2022</c:v>
                </c:pt>
                <c:pt idx="656">
                  <c:v>08/2022</c:v>
                </c:pt>
                <c:pt idx="657">
                  <c:v>08/2022</c:v>
                </c:pt>
                <c:pt idx="658">
                  <c:v>08/2022</c:v>
                </c:pt>
                <c:pt idx="659">
                  <c:v>08/2022</c:v>
                </c:pt>
                <c:pt idx="660">
                  <c:v>08/2022</c:v>
                </c:pt>
                <c:pt idx="661">
                  <c:v>08/2022</c:v>
                </c:pt>
                <c:pt idx="662">
                  <c:v>08/2022</c:v>
                </c:pt>
                <c:pt idx="663">
                  <c:v>08/2022</c:v>
                </c:pt>
                <c:pt idx="664">
                  <c:v>08/2022</c:v>
                </c:pt>
                <c:pt idx="665">
                  <c:v>08/2022</c:v>
                </c:pt>
                <c:pt idx="666">
                  <c:v>08/2022</c:v>
                </c:pt>
                <c:pt idx="667">
                  <c:v>08/2022</c:v>
                </c:pt>
                <c:pt idx="668">
                  <c:v>08/2022</c:v>
                </c:pt>
                <c:pt idx="669">
                  <c:v>08/2022</c:v>
                </c:pt>
                <c:pt idx="670">
                  <c:v>08/2022</c:v>
                </c:pt>
                <c:pt idx="671">
                  <c:v>08/2022</c:v>
                </c:pt>
                <c:pt idx="672">
                  <c:v>08/2022</c:v>
                </c:pt>
                <c:pt idx="673">
                  <c:v>08/2022</c:v>
                </c:pt>
                <c:pt idx="674">
                  <c:v>08/2022</c:v>
                </c:pt>
                <c:pt idx="675">
                  <c:v>08/2022</c:v>
                </c:pt>
                <c:pt idx="676">
                  <c:v>08/2022</c:v>
                </c:pt>
                <c:pt idx="677">
                  <c:v>08/2022</c:v>
                </c:pt>
                <c:pt idx="678">
                  <c:v>08/2022</c:v>
                </c:pt>
              </c:strCache>
            </c:strRef>
          </c:cat>
          <c:val>
            <c:numRef>
              <c:f>'Discover Account'!$C$2:$C$680</c:f>
              <c:numCache>
                <c:formatCode>General</c:formatCode>
                <c:ptCount val="679"/>
                <c:pt idx="0">
                  <c:v>3581.67</c:v>
                </c:pt>
                <c:pt idx="1">
                  <c:v>3599.69</c:v>
                </c:pt>
                <c:pt idx="2">
                  <c:v>3659.69</c:v>
                </c:pt>
                <c:pt idx="3">
                  <c:v>3674.52</c:v>
                </c:pt>
                <c:pt idx="4">
                  <c:v>3684.51</c:v>
                </c:pt>
                <c:pt idx="5">
                  <c:v>3694.6</c:v>
                </c:pt>
                <c:pt idx="6">
                  <c:v>3744.58</c:v>
                </c:pt>
                <c:pt idx="7">
                  <c:v>3954.58</c:v>
                </c:pt>
                <c:pt idx="8">
                  <c:v>3974.38</c:v>
                </c:pt>
                <c:pt idx="9">
                  <c:v>3989.48</c:v>
                </c:pt>
                <c:pt idx="10">
                  <c:v>1794.56</c:v>
                </c:pt>
                <c:pt idx="11">
                  <c:v>1825.45</c:v>
                </c:pt>
                <c:pt idx="12">
                  <c:v>1796.37</c:v>
                </c:pt>
                <c:pt idx="13">
                  <c:v>1856.37</c:v>
                </c:pt>
                <c:pt idx="14">
                  <c:v>1862.66</c:v>
                </c:pt>
                <c:pt idx="15">
                  <c:v>1878.55</c:v>
                </c:pt>
                <c:pt idx="16">
                  <c:v>1913.57</c:v>
                </c:pt>
                <c:pt idx="17">
                  <c:v>1935.06</c:v>
                </c:pt>
                <c:pt idx="18">
                  <c:v>1987.47</c:v>
                </c:pt>
                <c:pt idx="19">
                  <c:v>2013.96</c:v>
                </c:pt>
                <c:pt idx="20">
                  <c:v>2075.96</c:v>
                </c:pt>
                <c:pt idx="21">
                  <c:v>2078.9499999999998</c:v>
                </c:pt>
                <c:pt idx="22">
                  <c:v>2091.63</c:v>
                </c:pt>
                <c:pt idx="23">
                  <c:v>2115.7800000000002</c:v>
                </c:pt>
                <c:pt idx="24">
                  <c:v>2185.7800000000002</c:v>
                </c:pt>
                <c:pt idx="25">
                  <c:v>2191.0700000000002</c:v>
                </c:pt>
                <c:pt idx="26">
                  <c:v>2373.52</c:v>
                </c:pt>
                <c:pt idx="27">
                  <c:v>2527.4</c:v>
                </c:pt>
                <c:pt idx="28">
                  <c:v>2551.11</c:v>
                </c:pt>
                <c:pt idx="29">
                  <c:v>2563.73</c:v>
                </c:pt>
                <c:pt idx="30">
                  <c:v>2573.73</c:v>
                </c:pt>
                <c:pt idx="31">
                  <c:v>773.72999999999956</c:v>
                </c:pt>
                <c:pt idx="32">
                  <c:v>786.71999999999957</c:v>
                </c:pt>
                <c:pt idx="33">
                  <c:v>797.71999999999957</c:v>
                </c:pt>
                <c:pt idx="34">
                  <c:v>802.70999999999958</c:v>
                </c:pt>
                <c:pt idx="35">
                  <c:v>835.14999999999964</c:v>
                </c:pt>
                <c:pt idx="36">
                  <c:v>841.97999999999968</c:v>
                </c:pt>
                <c:pt idx="37">
                  <c:v>849.33999999999969</c:v>
                </c:pt>
                <c:pt idx="38">
                  <c:v>879.3299999999997</c:v>
                </c:pt>
                <c:pt idx="39">
                  <c:v>902.11999999999966</c:v>
                </c:pt>
                <c:pt idx="40">
                  <c:v>935.09999999999968</c:v>
                </c:pt>
                <c:pt idx="41">
                  <c:v>965.09999999999968</c:v>
                </c:pt>
                <c:pt idx="42">
                  <c:v>1044.0999999999999</c:v>
                </c:pt>
                <c:pt idx="43">
                  <c:v>1074.0999999999999</c:v>
                </c:pt>
                <c:pt idx="44">
                  <c:v>1284.0999999999999</c:v>
                </c:pt>
                <c:pt idx="45">
                  <c:v>1285.97</c:v>
                </c:pt>
                <c:pt idx="46">
                  <c:v>1288.1400000000001</c:v>
                </c:pt>
                <c:pt idx="47">
                  <c:v>1297.1400000000001</c:v>
                </c:pt>
                <c:pt idx="48">
                  <c:v>1304</c:v>
                </c:pt>
                <c:pt idx="49">
                  <c:v>1309.67</c:v>
                </c:pt>
                <c:pt idx="50">
                  <c:v>1313.82</c:v>
                </c:pt>
                <c:pt idx="51">
                  <c:v>1338.18</c:v>
                </c:pt>
                <c:pt idx="52">
                  <c:v>1345.01</c:v>
                </c:pt>
                <c:pt idx="53">
                  <c:v>1355.799999999999</c:v>
                </c:pt>
                <c:pt idx="54">
                  <c:v>1385.799999999999</c:v>
                </c:pt>
                <c:pt idx="55">
                  <c:v>1420.18</c:v>
                </c:pt>
                <c:pt idx="56">
                  <c:v>1433.17</c:v>
                </c:pt>
                <c:pt idx="57">
                  <c:v>1438.18</c:v>
                </c:pt>
                <c:pt idx="58">
                  <c:v>1448.49</c:v>
                </c:pt>
                <c:pt idx="59">
                  <c:v>1492.95</c:v>
                </c:pt>
                <c:pt idx="60">
                  <c:v>1572.329999999999</c:v>
                </c:pt>
                <c:pt idx="61">
                  <c:v>1614.6699999999989</c:v>
                </c:pt>
                <c:pt idx="62">
                  <c:v>1622.6699999999989</c:v>
                </c:pt>
                <c:pt idx="63">
                  <c:v>1627.6599999999989</c:v>
                </c:pt>
                <c:pt idx="64">
                  <c:v>1657.589999999999</c:v>
                </c:pt>
                <c:pt idx="65">
                  <c:v>1690.1699999999989</c:v>
                </c:pt>
                <c:pt idx="66">
                  <c:v>1710.1699999999989</c:v>
                </c:pt>
                <c:pt idx="67">
                  <c:v>1712.6599999999989</c:v>
                </c:pt>
                <c:pt idx="68">
                  <c:v>1749.379999999999</c:v>
                </c:pt>
                <c:pt idx="69">
                  <c:v>1793.329999999999</c:v>
                </c:pt>
                <c:pt idx="70">
                  <c:v>1808.1599999999989</c:v>
                </c:pt>
                <c:pt idx="71">
                  <c:v>1887.349999999999</c:v>
                </c:pt>
                <c:pt idx="72">
                  <c:v>1897.339999999999</c:v>
                </c:pt>
                <c:pt idx="73">
                  <c:v>164.00999999999951</c:v>
                </c:pt>
                <c:pt idx="74">
                  <c:v>179.89999999999949</c:v>
                </c:pt>
                <c:pt idx="75">
                  <c:v>174.89999999999949</c:v>
                </c:pt>
                <c:pt idx="76">
                  <c:v>184.09999999999951</c:v>
                </c:pt>
                <c:pt idx="77">
                  <c:v>204.09999999999951</c:v>
                </c:pt>
                <c:pt idx="78">
                  <c:v>218.2099999999995</c:v>
                </c:pt>
                <c:pt idx="79">
                  <c:v>233.19999999999951</c:v>
                </c:pt>
                <c:pt idx="80">
                  <c:v>259.78999999999951</c:v>
                </c:pt>
                <c:pt idx="81">
                  <c:v>308.78999999999951</c:v>
                </c:pt>
                <c:pt idx="82">
                  <c:v>320.78999999999951</c:v>
                </c:pt>
                <c:pt idx="83">
                  <c:v>390.78999999999951</c:v>
                </c:pt>
                <c:pt idx="84">
                  <c:v>396.07999999999947</c:v>
                </c:pt>
                <c:pt idx="85">
                  <c:v>406.07999999999947</c:v>
                </c:pt>
                <c:pt idx="86">
                  <c:v>-365.02000000000049</c:v>
                </c:pt>
                <c:pt idx="87">
                  <c:v>-394.31000000000051</c:v>
                </c:pt>
                <c:pt idx="88">
                  <c:v>-323.73000000000047</c:v>
                </c:pt>
                <c:pt idx="89">
                  <c:v>-312.73000000000047</c:v>
                </c:pt>
                <c:pt idx="90">
                  <c:v>-282.73000000000047</c:v>
                </c:pt>
                <c:pt idx="91">
                  <c:v>-268.5700000000005</c:v>
                </c:pt>
                <c:pt idx="92">
                  <c:v>-266.9500000000005</c:v>
                </c:pt>
                <c:pt idx="93">
                  <c:v>-140.25000000000051</c:v>
                </c:pt>
                <c:pt idx="94">
                  <c:v>-10.070000000000499</c:v>
                </c:pt>
                <c:pt idx="95">
                  <c:v>-0.75000000000050449</c:v>
                </c:pt>
                <c:pt idx="96">
                  <c:v>17.249999999999499</c:v>
                </c:pt>
                <c:pt idx="97">
                  <c:v>47.239999999999498</c:v>
                </c:pt>
                <c:pt idx="98">
                  <c:v>52.179999999999502</c:v>
                </c:pt>
                <c:pt idx="99">
                  <c:v>101.3099999999995</c:v>
                </c:pt>
                <c:pt idx="100">
                  <c:v>120.19999999999951</c:v>
                </c:pt>
                <c:pt idx="101">
                  <c:v>161.56999999999951</c:v>
                </c:pt>
                <c:pt idx="102">
                  <c:v>192.58999999999949</c:v>
                </c:pt>
                <c:pt idx="103">
                  <c:v>271.96999999999952</c:v>
                </c:pt>
                <c:pt idx="104">
                  <c:v>284.95999999999952</c:v>
                </c:pt>
                <c:pt idx="105">
                  <c:v>298.68999999999949</c:v>
                </c:pt>
                <c:pt idx="106">
                  <c:v>309.27999999999952</c:v>
                </c:pt>
                <c:pt idx="107">
                  <c:v>642.46999999999946</c:v>
                </c:pt>
                <c:pt idx="108">
                  <c:v>647.46999999999946</c:v>
                </c:pt>
                <c:pt idx="109">
                  <c:v>664.53999999999951</c:v>
                </c:pt>
                <c:pt idx="110">
                  <c:v>669.19999999999948</c:v>
                </c:pt>
                <c:pt idx="111">
                  <c:v>674.18999999999949</c:v>
                </c:pt>
                <c:pt idx="112">
                  <c:v>691.77999999999952</c:v>
                </c:pt>
                <c:pt idx="113">
                  <c:v>701.76999999999953</c:v>
                </c:pt>
                <c:pt idx="114">
                  <c:v>718.18999999999949</c:v>
                </c:pt>
                <c:pt idx="115">
                  <c:v>729.15999999999951</c:v>
                </c:pt>
                <c:pt idx="116">
                  <c:v>767.57999999999947</c:v>
                </c:pt>
                <c:pt idx="117">
                  <c:v>778.5499999999995</c:v>
                </c:pt>
                <c:pt idx="118">
                  <c:v>43.999999999999552</c:v>
                </c:pt>
                <c:pt idx="119">
                  <c:v>78.999999999999545</c:v>
                </c:pt>
                <c:pt idx="120">
                  <c:v>100.11999999999949</c:v>
                </c:pt>
                <c:pt idx="121">
                  <c:v>125.03999999999959</c:v>
                </c:pt>
                <c:pt idx="122">
                  <c:v>130.16999999999959</c:v>
                </c:pt>
                <c:pt idx="123">
                  <c:v>162.74999999999949</c:v>
                </c:pt>
                <c:pt idx="124">
                  <c:v>178.6399999999995</c:v>
                </c:pt>
                <c:pt idx="125">
                  <c:v>189.22999999999951</c:v>
                </c:pt>
                <c:pt idx="126">
                  <c:v>229.22999999999951</c:v>
                </c:pt>
                <c:pt idx="127">
                  <c:v>234.4199999999995</c:v>
                </c:pt>
                <c:pt idx="128">
                  <c:v>267.54999999999961</c:v>
                </c:pt>
                <c:pt idx="129">
                  <c:v>297.54999999999961</c:v>
                </c:pt>
                <c:pt idx="130">
                  <c:v>359.32999999999959</c:v>
                </c:pt>
                <c:pt idx="131">
                  <c:v>413.32999999999959</c:v>
                </c:pt>
                <c:pt idx="132">
                  <c:v>435.32999999999959</c:v>
                </c:pt>
                <c:pt idx="133">
                  <c:v>446.82999999999959</c:v>
                </c:pt>
                <c:pt idx="134">
                  <c:v>496.25999999999959</c:v>
                </c:pt>
                <c:pt idx="135">
                  <c:v>504.78999999999962</c:v>
                </c:pt>
                <c:pt idx="136">
                  <c:v>584.6899999999996</c:v>
                </c:pt>
                <c:pt idx="137">
                  <c:v>633.01999999999964</c:v>
                </c:pt>
                <c:pt idx="138">
                  <c:v>681.24999999999966</c:v>
                </c:pt>
                <c:pt idx="139">
                  <c:v>741.24999999999966</c:v>
                </c:pt>
                <c:pt idx="140">
                  <c:v>771.24999999999966</c:v>
                </c:pt>
                <c:pt idx="141">
                  <c:v>786.23999999999967</c:v>
                </c:pt>
                <c:pt idx="142">
                  <c:v>787.09999999999968</c:v>
                </c:pt>
                <c:pt idx="143">
                  <c:v>796.3299999999997</c:v>
                </c:pt>
                <c:pt idx="144">
                  <c:v>816.17999999999972</c:v>
                </c:pt>
                <c:pt idx="145">
                  <c:v>883.12999999999977</c:v>
                </c:pt>
                <c:pt idx="146">
                  <c:v>930.72999999999979</c:v>
                </c:pt>
                <c:pt idx="147">
                  <c:v>942.72999999999979</c:v>
                </c:pt>
                <c:pt idx="148">
                  <c:v>963.5899999999998</c:v>
                </c:pt>
                <c:pt idx="149">
                  <c:v>969.57999999999981</c:v>
                </c:pt>
                <c:pt idx="150">
                  <c:v>1039.58</c:v>
                </c:pt>
                <c:pt idx="151">
                  <c:v>1049.58</c:v>
                </c:pt>
                <c:pt idx="152">
                  <c:v>1175.78</c:v>
                </c:pt>
                <c:pt idx="153">
                  <c:v>1181.07</c:v>
                </c:pt>
                <c:pt idx="154">
                  <c:v>1238.97</c:v>
                </c:pt>
                <c:pt idx="155">
                  <c:v>1338.97</c:v>
                </c:pt>
                <c:pt idx="156">
                  <c:v>1353.17</c:v>
                </c:pt>
                <c:pt idx="157">
                  <c:v>1390.67</c:v>
                </c:pt>
                <c:pt idx="158">
                  <c:v>1400.67</c:v>
                </c:pt>
                <c:pt idx="159">
                  <c:v>1427.66</c:v>
                </c:pt>
                <c:pt idx="160">
                  <c:v>1467.82</c:v>
                </c:pt>
                <c:pt idx="161">
                  <c:v>1797.63</c:v>
                </c:pt>
                <c:pt idx="162">
                  <c:v>1851.92</c:v>
                </c:pt>
                <c:pt idx="163">
                  <c:v>1865.08</c:v>
                </c:pt>
                <c:pt idx="164">
                  <c:v>1130.53</c:v>
                </c:pt>
                <c:pt idx="165">
                  <c:v>1369.76</c:v>
                </c:pt>
                <c:pt idx="166">
                  <c:v>1401.29</c:v>
                </c:pt>
                <c:pt idx="167">
                  <c:v>1416.29</c:v>
                </c:pt>
                <c:pt idx="168">
                  <c:v>1426.7</c:v>
                </c:pt>
                <c:pt idx="169">
                  <c:v>926.70000000000027</c:v>
                </c:pt>
                <c:pt idx="170">
                  <c:v>1318.7</c:v>
                </c:pt>
                <c:pt idx="171">
                  <c:v>1337.82</c:v>
                </c:pt>
                <c:pt idx="172">
                  <c:v>1353.82</c:v>
                </c:pt>
                <c:pt idx="173">
                  <c:v>1365.82</c:v>
                </c:pt>
                <c:pt idx="174">
                  <c:v>1375.82</c:v>
                </c:pt>
                <c:pt idx="175">
                  <c:v>1420.02</c:v>
                </c:pt>
                <c:pt idx="176">
                  <c:v>1423.83</c:v>
                </c:pt>
                <c:pt idx="177">
                  <c:v>1448.4</c:v>
                </c:pt>
                <c:pt idx="178">
                  <c:v>1525.4</c:v>
                </c:pt>
                <c:pt idx="179">
                  <c:v>1567.21</c:v>
                </c:pt>
                <c:pt idx="180">
                  <c:v>1580.3</c:v>
                </c:pt>
                <c:pt idx="181">
                  <c:v>1617.87</c:v>
                </c:pt>
                <c:pt idx="182">
                  <c:v>1698.09</c:v>
                </c:pt>
                <c:pt idx="183">
                  <c:v>1711.08</c:v>
                </c:pt>
                <c:pt idx="184">
                  <c:v>1713.87</c:v>
                </c:pt>
                <c:pt idx="185">
                  <c:v>1723.35</c:v>
                </c:pt>
                <c:pt idx="186">
                  <c:v>1802.73</c:v>
                </c:pt>
                <c:pt idx="187">
                  <c:v>1882.72</c:v>
                </c:pt>
                <c:pt idx="188">
                  <c:v>1912.55</c:v>
                </c:pt>
                <c:pt idx="189">
                  <c:v>1924.49</c:v>
                </c:pt>
                <c:pt idx="190">
                  <c:v>1945.71</c:v>
                </c:pt>
                <c:pt idx="191">
                  <c:v>1970.71</c:v>
                </c:pt>
                <c:pt idx="192">
                  <c:v>2012.71</c:v>
                </c:pt>
                <c:pt idx="193">
                  <c:v>2018.73</c:v>
                </c:pt>
                <c:pt idx="194">
                  <c:v>2296.34</c:v>
                </c:pt>
                <c:pt idx="195">
                  <c:v>2343.85</c:v>
                </c:pt>
                <c:pt idx="196">
                  <c:v>2356.37</c:v>
                </c:pt>
                <c:pt idx="197">
                  <c:v>2361.36</c:v>
                </c:pt>
                <c:pt idx="198">
                  <c:v>2439.02</c:v>
                </c:pt>
                <c:pt idx="199">
                  <c:v>2519.66</c:v>
                </c:pt>
                <c:pt idx="200">
                  <c:v>2523.66</c:v>
                </c:pt>
                <c:pt idx="201">
                  <c:v>2575.46</c:v>
                </c:pt>
                <c:pt idx="202">
                  <c:v>2610.46</c:v>
                </c:pt>
                <c:pt idx="203">
                  <c:v>2626.88</c:v>
                </c:pt>
                <c:pt idx="204">
                  <c:v>2636.87</c:v>
                </c:pt>
                <c:pt idx="205">
                  <c:v>2649.77</c:v>
                </c:pt>
                <c:pt idx="206">
                  <c:v>2665.66</c:v>
                </c:pt>
                <c:pt idx="207">
                  <c:v>2675.65</c:v>
                </c:pt>
                <c:pt idx="208">
                  <c:v>2686.84</c:v>
                </c:pt>
                <c:pt idx="209">
                  <c:v>2691.84</c:v>
                </c:pt>
                <c:pt idx="210">
                  <c:v>2749.39</c:v>
                </c:pt>
                <c:pt idx="211">
                  <c:v>2757.39</c:v>
                </c:pt>
                <c:pt idx="212">
                  <c:v>2799.82</c:v>
                </c:pt>
                <c:pt idx="213">
                  <c:v>2814.68</c:v>
                </c:pt>
                <c:pt idx="214">
                  <c:v>2819.68</c:v>
                </c:pt>
                <c:pt idx="215">
                  <c:v>2835.57</c:v>
                </c:pt>
                <c:pt idx="216">
                  <c:v>2865.57</c:v>
                </c:pt>
                <c:pt idx="217">
                  <c:v>2929.23</c:v>
                </c:pt>
                <c:pt idx="218">
                  <c:v>2950.94</c:v>
                </c:pt>
                <c:pt idx="219">
                  <c:v>3002.25</c:v>
                </c:pt>
                <c:pt idx="220">
                  <c:v>3010.15</c:v>
                </c:pt>
                <c:pt idx="221">
                  <c:v>3039.329999999999</c:v>
                </c:pt>
                <c:pt idx="222">
                  <c:v>3071.119999999999</c:v>
                </c:pt>
                <c:pt idx="223">
                  <c:v>3089.5899999999988</c:v>
                </c:pt>
                <c:pt idx="224">
                  <c:v>3104.579999999999</c:v>
                </c:pt>
                <c:pt idx="225">
                  <c:v>3176.1299999999992</c:v>
                </c:pt>
                <c:pt idx="226">
                  <c:v>3246.1299999999992</c:v>
                </c:pt>
                <c:pt idx="227">
                  <c:v>3284.559999999999</c:v>
                </c:pt>
                <c:pt idx="228">
                  <c:v>3334.0399999999991</c:v>
                </c:pt>
                <c:pt idx="229">
                  <c:v>3338.2999999999988</c:v>
                </c:pt>
                <c:pt idx="230">
                  <c:v>3371.8599999999992</c:v>
                </c:pt>
                <c:pt idx="231">
                  <c:v>3377.0899999999988</c:v>
                </c:pt>
                <c:pt idx="232">
                  <c:v>3386.6899999999991</c:v>
                </c:pt>
                <c:pt idx="233">
                  <c:v>3412.8599999999992</c:v>
                </c:pt>
                <c:pt idx="234">
                  <c:v>3443.5699999999988</c:v>
                </c:pt>
                <c:pt idx="235">
                  <c:v>3448.1699999999992</c:v>
                </c:pt>
                <c:pt idx="236">
                  <c:v>3453.1999999999989</c:v>
                </c:pt>
                <c:pt idx="237">
                  <c:v>3488.4499999999989</c:v>
                </c:pt>
                <c:pt idx="238">
                  <c:v>3493.6699999999992</c:v>
                </c:pt>
                <c:pt idx="239">
                  <c:v>3523.6699999999992</c:v>
                </c:pt>
                <c:pt idx="240">
                  <c:v>3593.6699999999992</c:v>
                </c:pt>
                <c:pt idx="241">
                  <c:v>3693.6699999999992</c:v>
                </c:pt>
                <c:pt idx="242">
                  <c:v>3713.5299999999988</c:v>
                </c:pt>
                <c:pt idx="243">
                  <c:v>3723.5299999999988</c:v>
                </c:pt>
                <c:pt idx="244">
                  <c:v>3728.8199999999988</c:v>
                </c:pt>
                <c:pt idx="245">
                  <c:v>3776.1599999999989</c:v>
                </c:pt>
                <c:pt idx="246">
                  <c:v>3823.619999999999</c:v>
                </c:pt>
                <c:pt idx="247">
                  <c:v>3833.619999999999</c:v>
                </c:pt>
                <c:pt idx="248">
                  <c:v>3904.1999999999989</c:v>
                </c:pt>
                <c:pt idx="249">
                  <c:v>3955.4499999999989</c:v>
                </c:pt>
                <c:pt idx="250">
                  <c:v>3989</c:v>
                </c:pt>
                <c:pt idx="251">
                  <c:v>4008.26</c:v>
                </c:pt>
                <c:pt idx="252">
                  <c:v>4025.95</c:v>
                </c:pt>
                <c:pt idx="253">
                  <c:v>4033.95</c:v>
                </c:pt>
                <c:pt idx="254">
                  <c:v>4042.57</c:v>
                </c:pt>
                <c:pt idx="255">
                  <c:v>4053.19</c:v>
                </c:pt>
                <c:pt idx="256">
                  <c:v>4060.619999999999</c:v>
                </c:pt>
                <c:pt idx="257">
                  <c:v>4071.2399999999989</c:v>
                </c:pt>
                <c:pt idx="258">
                  <c:v>4091.829999999999</c:v>
                </c:pt>
                <c:pt idx="259">
                  <c:v>4124.3999999999996</c:v>
                </c:pt>
                <c:pt idx="260">
                  <c:v>4148.3999999999996</c:v>
                </c:pt>
                <c:pt idx="261">
                  <c:v>4160.9699999999993</c:v>
                </c:pt>
                <c:pt idx="262">
                  <c:v>4191.329999999999</c:v>
                </c:pt>
                <c:pt idx="263">
                  <c:v>4206.5199999999986</c:v>
                </c:pt>
                <c:pt idx="264">
                  <c:v>4210.1099999999988</c:v>
                </c:pt>
                <c:pt idx="265">
                  <c:v>4231.0699999999988</c:v>
                </c:pt>
                <c:pt idx="266">
                  <c:v>4237.2999999999984</c:v>
                </c:pt>
                <c:pt idx="267">
                  <c:v>4244.7299999999987</c:v>
                </c:pt>
                <c:pt idx="268">
                  <c:v>4272.5699999999988</c:v>
                </c:pt>
                <c:pt idx="269">
                  <c:v>4322.5699999999988</c:v>
                </c:pt>
                <c:pt idx="270">
                  <c:v>4352.5699999999988</c:v>
                </c:pt>
                <c:pt idx="271">
                  <c:v>4368.8499999999995</c:v>
                </c:pt>
                <c:pt idx="272">
                  <c:v>4437.8499999999995</c:v>
                </c:pt>
                <c:pt idx="273">
                  <c:v>4450.8399999999983</c:v>
                </c:pt>
                <c:pt idx="274">
                  <c:v>4494.2699999999986</c:v>
                </c:pt>
                <c:pt idx="275">
                  <c:v>4544.5899999999983</c:v>
                </c:pt>
                <c:pt idx="276">
                  <c:v>4562.2199999999984</c:v>
                </c:pt>
                <c:pt idx="277">
                  <c:v>4641.5999999999995</c:v>
                </c:pt>
                <c:pt idx="278">
                  <c:v>4685.5999999999995</c:v>
                </c:pt>
                <c:pt idx="279">
                  <c:v>4696.1899999999987</c:v>
                </c:pt>
                <c:pt idx="280">
                  <c:v>4700.9499999999989</c:v>
                </c:pt>
                <c:pt idx="281">
                  <c:v>4733.4999999999991</c:v>
                </c:pt>
                <c:pt idx="282">
                  <c:v>4744.6299999999992</c:v>
                </c:pt>
                <c:pt idx="283">
                  <c:v>4844.6299999999992</c:v>
                </c:pt>
                <c:pt idx="284">
                  <c:v>3909.7799999999988</c:v>
                </c:pt>
                <c:pt idx="285">
                  <c:v>3844.6299999999992</c:v>
                </c:pt>
                <c:pt idx="286">
                  <c:v>3894.6299999999992</c:v>
                </c:pt>
                <c:pt idx="287">
                  <c:v>3953.1499999999992</c:v>
                </c:pt>
                <c:pt idx="288">
                  <c:v>3958.139999999999</c:v>
                </c:pt>
                <c:pt idx="289">
                  <c:v>3981.4899999999989</c:v>
                </c:pt>
                <c:pt idx="290">
                  <c:v>3994.1299999999992</c:v>
                </c:pt>
                <c:pt idx="291">
                  <c:v>3999.6599999999989</c:v>
                </c:pt>
                <c:pt idx="292">
                  <c:v>4012.559999999999</c:v>
                </c:pt>
                <c:pt idx="293">
                  <c:v>4185.2299999999987</c:v>
                </c:pt>
                <c:pt idx="294">
                  <c:v>4200.7299999999987</c:v>
                </c:pt>
                <c:pt idx="295">
                  <c:v>4211.3199999999988</c:v>
                </c:pt>
                <c:pt idx="296">
                  <c:v>4221.3099999999986</c:v>
                </c:pt>
                <c:pt idx="297">
                  <c:v>4266.9799999999987</c:v>
                </c:pt>
                <c:pt idx="298">
                  <c:v>4287.7699999999986</c:v>
                </c:pt>
                <c:pt idx="299">
                  <c:v>4305.0999999999995</c:v>
                </c:pt>
                <c:pt idx="300">
                  <c:v>4344.2099999999982</c:v>
                </c:pt>
                <c:pt idx="301">
                  <c:v>4374.1899999999978</c:v>
                </c:pt>
                <c:pt idx="302">
                  <c:v>4384.8099999999977</c:v>
                </c:pt>
                <c:pt idx="303">
                  <c:v>4406.4799999999977</c:v>
                </c:pt>
                <c:pt idx="304">
                  <c:v>4443.9799999999977</c:v>
                </c:pt>
                <c:pt idx="305">
                  <c:v>4456.199999999998</c:v>
                </c:pt>
                <c:pt idx="306">
                  <c:v>4472.0899999999983</c:v>
                </c:pt>
                <c:pt idx="307">
                  <c:v>4478.6899999999987</c:v>
                </c:pt>
                <c:pt idx="308">
                  <c:v>4526.3899999999994</c:v>
                </c:pt>
                <c:pt idx="309">
                  <c:v>4531.3899999999994</c:v>
                </c:pt>
                <c:pt idx="310">
                  <c:v>4549.7099999999982</c:v>
                </c:pt>
                <c:pt idx="311">
                  <c:v>4577.8899999999994</c:v>
                </c:pt>
                <c:pt idx="312">
                  <c:v>4598.5899999999983</c:v>
                </c:pt>
                <c:pt idx="313">
                  <c:v>4628.5899999999983</c:v>
                </c:pt>
                <c:pt idx="314">
                  <c:v>4637.9999999999982</c:v>
                </c:pt>
                <c:pt idx="315">
                  <c:v>4647.9999999999982</c:v>
                </c:pt>
                <c:pt idx="316">
                  <c:v>4652.0799999999981</c:v>
                </c:pt>
                <c:pt idx="317">
                  <c:v>4659.5099999999984</c:v>
                </c:pt>
                <c:pt idx="318">
                  <c:v>4670.3599999999988</c:v>
                </c:pt>
                <c:pt idx="319">
                  <c:v>4743.7599999999984</c:v>
                </c:pt>
                <c:pt idx="320">
                  <c:v>4750.0199999999986</c:v>
                </c:pt>
                <c:pt idx="321">
                  <c:v>4758.5199999999986</c:v>
                </c:pt>
                <c:pt idx="322">
                  <c:v>4770.1699999999983</c:v>
                </c:pt>
                <c:pt idx="323">
                  <c:v>4773.1699999999983</c:v>
                </c:pt>
                <c:pt idx="324">
                  <c:v>4792.7299999999987</c:v>
                </c:pt>
                <c:pt idx="325">
                  <c:v>4862.7299999999987</c:v>
                </c:pt>
                <c:pt idx="326">
                  <c:v>4901.8199999999988</c:v>
                </c:pt>
                <c:pt idx="327">
                  <c:v>4920.1099999999988</c:v>
                </c:pt>
                <c:pt idx="328">
                  <c:v>4939.6799999999976</c:v>
                </c:pt>
                <c:pt idx="329">
                  <c:v>4962.9799999999987</c:v>
                </c:pt>
                <c:pt idx="330">
                  <c:v>5028.1599999999989</c:v>
                </c:pt>
                <c:pt idx="331">
                  <c:v>5059.0999999999995</c:v>
                </c:pt>
                <c:pt idx="332">
                  <c:v>5085.9499999999989</c:v>
                </c:pt>
                <c:pt idx="333">
                  <c:v>5044.7199999999993</c:v>
                </c:pt>
                <c:pt idx="334">
                  <c:v>4044.7199999999989</c:v>
                </c:pt>
                <c:pt idx="335">
                  <c:v>4055.3399999999988</c:v>
                </c:pt>
                <c:pt idx="336">
                  <c:v>4060.6299999999992</c:v>
                </c:pt>
                <c:pt idx="337">
                  <c:v>4098.1299999999992</c:v>
                </c:pt>
                <c:pt idx="338">
                  <c:v>4247.1299999999992</c:v>
                </c:pt>
                <c:pt idx="339">
                  <c:v>4257.1299999999992</c:v>
                </c:pt>
                <c:pt idx="340">
                  <c:v>4260.9199999999992</c:v>
                </c:pt>
                <c:pt idx="341">
                  <c:v>4261.9999999999991</c:v>
                </c:pt>
                <c:pt idx="342">
                  <c:v>4289.4099999999989</c:v>
                </c:pt>
                <c:pt idx="343">
                  <c:v>4370.0099999999993</c:v>
                </c:pt>
                <c:pt idx="344">
                  <c:v>4420.4899999999989</c:v>
                </c:pt>
                <c:pt idx="345">
                  <c:v>4468.5399999999991</c:v>
                </c:pt>
                <c:pt idx="346">
                  <c:v>4473.8399999999992</c:v>
                </c:pt>
                <c:pt idx="347">
                  <c:v>4500.8999999999996</c:v>
                </c:pt>
                <c:pt idx="348">
                  <c:v>4571.4799999999996</c:v>
                </c:pt>
                <c:pt idx="349">
                  <c:v>4578.6799999999994</c:v>
                </c:pt>
                <c:pt idx="350">
                  <c:v>4588.07</c:v>
                </c:pt>
                <c:pt idx="351">
                  <c:v>4600.67</c:v>
                </c:pt>
                <c:pt idx="352">
                  <c:v>4605.0200000000004</c:v>
                </c:pt>
                <c:pt idx="353">
                  <c:v>4635.1000000000004</c:v>
                </c:pt>
                <c:pt idx="354">
                  <c:v>4642.76</c:v>
                </c:pt>
                <c:pt idx="355">
                  <c:v>4652.45</c:v>
                </c:pt>
                <c:pt idx="356">
                  <c:v>4665.5999999999995</c:v>
                </c:pt>
                <c:pt idx="357">
                  <c:v>4674.99</c:v>
                </c:pt>
                <c:pt idx="358">
                  <c:v>4682.6499999999996</c:v>
                </c:pt>
                <c:pt idx="359">
                  <c:v>4686.21</c:v>
                </c:pt>
                <c:pt idx="360">
                  <c:v>4707.8599999999997</c:v>
                </c:pt>
                <c:pt idx="361">
                  <c:v>4717.6099999999997</c:v>
                </c:pt>
                <c:pt idx="362">
                  <c:v>4756.5999999999995</c:v>
                </c:pt>
                <c:pt idx="363">
                  <c:v>4759.7700000000004</c:v>
                </c:pt>
                <c:pt idx="364">
                  <c:v>4776.0499999999993</c:v>
                </c:pt>
                <c:pt idx="365">
                  <c:v>4925.0499999999993</c:v>
                </c:pt>
                <c:pt idx="366">
                  <c:v>5136.619999999999</c:v>
                </c:pt>
                <c:pt idx="367">
                  <c:v>5215.9999999999991</c:v>
                </c:pt>
                <c:pt idx="368">
                  <c:v>5223.9699999999993</c:v>
                </c:pt>
                <c:pt idx="369">
                  <c:v>5254.369999999999</c:v>
                </c:pt>
                <c:pt idx="370">
                  <c:v>5297.3499999999995</c:v>
                </c:pt>
                <c:pt idx="371">
                  <c:v>5340.7799999999988</c:v>
                </c:pt>
                <c:pt idx="372">
                  <c:v>5358.2999999999993</c:v>
                </c:pt>
                <c:pt idx="373">
                  <c:v>5390.44</c:v>
                </c:pt>
                <c:pt idx="374">
                  <c:v>5403.7999999999993</c:v>
                </c:pt>
                <c:pt idx="375">
                  <c:v>5409.2099999999991</c:v>
                </c:pt>
                <c:pt idx="376">
                  <c:v>5441.7799999999988</c:v>
                </c:pt>
                <c:pt idx="377">
                  <c:v>5548.1799999999976</c:v>
                </c:pt>
                <c:pt idx="378">
                  <c:v>5558.1799999999976</c:v>
                </c:pt>
                <c:pt idx="379">
                  <c:v>5590.7499999999982</c:v>
                </c:pt>
                <c:pt idx="380">
                  <c:v>5623.3199999999979</c:v>
                </c:pt>
                <c:pt idx="381">
                  <c:v>5640.1299999999983</c:v>
                </c:pt>
                <c:pt idx="382">
                  <c:v>5661.8399999999983</c:v>
                </c:pt>
                <c:pt idx="383">
                  <c:v>5675.0899999999983</c:v>
                </c:pt>
                <c:pt idx="384">
                  <c:v>4675.0899999999983</c:v>
                </c:pt>
                <c:pt idx="385">
                  <c:v>4703.0799999999981</c:v>
                </c:pt>
                <c:pt idx="386">
                  <c:v>4714.8799999999983</c:v>
                </c:pt>
                <c:pt idx="387">
                  <c:v>4719.8799999999983</c:v>
                </c:pt>
                <c:pt idx="388">
                  <c:v>4724.8799999999983</c:v>
                </c:pt>
                <c:pt idx="389">
                  <c:v>4771.6399999999994</c:v>
                </c:pt>
                <c:pt idx="390">
                  <c:v>4781.6299999999983</c:v>
                </c:pt>
                <c:pt idx="391">
                  <c:v>4789.5299999999979</c:v>
                </c:pt>
                <c:pt idx="392">
                  <c:v>4805.3899999999976</c:v>
                </c:pt>
                <c:pt idx="393">
                  <c:v>4810.3899999999976</c:v>
                </c:pt>
                <c:pt idx="394">
                  <c:v>4829.7999999999975</c:v>
                </c:pt>
                <c:pt idx="395">
                  <c:v>4866.1599999999971</c:v>
                </c:pt>
                <c:pt idx="396">
                  <c:v>4876.1599999999971</c:v>
                </c:pt>
                <c:pt idx="397">
                  <c:v>4924.8799999999974</c:v>
                </c:pt>
                <c:pt idx="398">
                  <c:v>5010.6399999999976</c:v>
                </c:pt>
                <c:pt idx="399">
                  <c:v>5072.6399999999976</c:v>
                </c:pt>
                <c:pt idx="400">
                  <c:v>5850.6399999999976</c:v>
                </c:pt>
                <c:pt idx="401">
                  <c:v>5912.2599999999966</c:v>
                </c:pt>
                <c:pt idx="402">
                  <c:v>5982.2599999999966</c:v>
                </c:pt>
                <c:pt idx="403">
                  <c:v>5987.2599999999966</c:v>
                </c:pt>
                <c:pt idx="404">
                  <c:v>6041.5399999999972</c:v>
                </c:pt>
                <c:pt idx="405">
                  <c:v>6055.1999999999971</c:v>
                </c:pt>
                <c:pt idx="406">
                  <c:v>6119.9299999999967</c:v>
                </c:pt>
                <c:pt idx="407">
                  <c:v>6126.3599999999969</c:v>
                </c:pt>
                <c:pt idx="408">
                  <c:v>6134.2599999999966</c:v>
                </c:pt>
                <c:pt idx="409">
                  <c:v>6147.1199999999963</c:v>
                </c:pt>
                <c:pt idx="410">
                  <c:v>6157.7099999999964</c:v>
                </c:pt>
                <c:pt idx="411">
                  <c:v>6167.6999999999962</c:v>
                </c:pt>
                <c:pt idx="412">
                  <c:v>6183.5899999999974</c:v>
                </c:pt>
                <c:pt idx="413">
                  <c:v>6192.0899999999974</c:v>
                </c:pt>
                <c:pt idx="414">
                  <c:v>6202.7099999999964</c:v>
                </c:pt>
                <c:pt idx="415">
                  <c:v>6246.9499999999962</c:v>
                </c:pt>
                <c:pt idx="416">
                  <c:v>6337.9499999999962</c:v>
                </c:pt>
                <c:pt idx="417">
                  <c:v>6492.189999999996</c:v>
                </c:pt>
                <c:pt idx="418">
                  <c:v>6520.1699999999964</c:v>
                </c:pt>
                <c:pt idx="419">
                  <c:v>6630.1699999999964</c:v>
                </c:pt>
                <c:pt idx="420">
                  <c:v>6655.1399999999958</c:v>
                </c:pt>
                <c:pt idx="421">
                  <c:v>6671.4199999999964</c:v>
                </c:pt>
                <c:pt idx="422">
                  <c:v>6683.3599999999951</c:v>
                </c:pt>
                <c:pt idx="423">
                  <c:v>6695.2999999999947</c:v>
                </c:pt>
                <c:pt idx="424">
                  <c:v>6711.5799999999936</c:v>
                </c:pt>
                <c:pt idx="425">
                  <c:v>6719.1699999999946</c:v>
                </c:pt>
                <c:pt idx="426">
                  <c:v>6734.3599999999942</c:v>
                </c:pt>
                <c:pt idx="427">
                  <c:v>6761.5399999999954</c:v>
                </c:pt>
                <c:pt idx="428">
                  <c:v>6765.3299999999936</c:v>
                </c:pt>
                <c:pt idx="429">
                  <c:v>6824.6499999999942</c:v>
                </c:pt>
                <c:pt idx="430">
                  <c:v>6835.4999999999955</c:v>
                </c:pt>
                <c:pt idx="431">
                  <c:v>6842.9299999999948</c:v>
                </c:pt>
                <c:pt idx="432">
                  <c:v>6880.9299999999948</c:v>
                </c:pt>
                <c:pt idx="433">
                  <c:v>4880.9299999999948</c:v>
                </c:pt>
                <c:pt idx="434">
                  <c:v>4889.4299999999948</c:v>
                </c:pt>
                <c:pt idx="435">
                  <c:v>4894.7199999999948</c:v>
                </c:pt>
                <c:pt idx="436">
                  <c:v>4898.979999999995</c:v>
                </c:pt>
                <c:pt idx="437">
                  <c:v>4968.979999999995</c:v>
                </c:pt>
                <c:pt idx="438">
                  <c:v>5061.9099999999953</c:v>
                </c:pt>
                <c:pt idx="439">
                  <c:v>5072.5299999999952</c:v>
                </c:pt>
                <c:pt idx="440">
                  <c:v>5171.769999999995</c:v>
                </c:pt>
                <c:pt idx="441">
                  <c:v>5181.769999999995</c:v>
                </c:pt>
                <c:pt idx="442">
                  <c:v>5190.1299999999947</c:v>
                </c:pt>
                <c:pt idx="443">
                  <c:v>5198.1299999999947</c:v>
                </c:pt>
                <c:pt idx="444">
                  <c:v>5206.1299999999947</c:v>
                </c:pt>
                <c:pt idx="445">
                  <c:v>5230.9099999999944</c:v>
                </c:pt>
                <c:pt idx="446">
                  <c:v>5331.6899999999941</c:v>
                </c:pt>
                <c:pt idx="447">
                  <c:v>5571.4199999999937</c:v>
                </c:pt>
                <c:pt idx="448">
                  <c:v>5594.4199999999937</c:v>
                </c:pt>
                <c:pt idx="449">
                  <c:v>5625.2899999999936</c:v>
                </c:pt>
                <c:pt idx="450">
                  <c:v>5639.3399999999938</c:v>
                </c:pt>
                <c:pt idx="451">
                  <c:v>5631.3399999999938</c:v>
                </c:pt>
                <c:pt idx="452">
                  <c:v>5676.5799999999936</c:v>
                </c:pt>
                <c:pt idx="453">
                  <c:v>5679.9299999999939</c:v>
                </c:pt>
                <c:pt idx="454">
                  <c:v>5799.6299999999937</c:v>
                </c:pt>
                <c:pt idx="455">
                  <c:v>6097.6299999999937</c:v>
                </c:pt>
                <c:pt idx="456">
                  <c:v>6129.5899999999938</c:v>
                </c:pt>
                <c:pt idx="457">
                  <c:v>6169.2799999999934</c:v>
                </c:pt>
                <c:pt idx="458">
                  <c:v>6276.7799999999934</c:v>
                </c:pt>
                <c:pt idx="459">
                  <c:v>6286.9799999999932</c:v>
                </c:pt>
                <c:pt idx="460">
                  <c:v>6300.0099999999929</c:v>
                </c:pt>
                <c:pt idx="461">
                  <c:v>6344.0099999999929</c:v>
                </c:pt>
                <c:pt idx="462">
                  <c:v>6365.2799999999934</c:v>
                </c:pt>
                <c:pt idx="463">
                  <c:v>6389.5399999999936</c:v>
                </c:pt>
                <c:pt idx="464">
                  <c:v>6425.4399999999932</c:v>
                </c:pt>
                <c:pt idx="465">
                  <c:v>6455.2899999999936</c:v>
                </c:pt>
                <c:pt idx="466">
                  <c:v>6483.2799999999934</c:v>
                </c:pt>
                <c:pt idx="467">
                  <c:v>6492.3699999999944</c:v>
                </c:pt>
                <c:pt idx="468">
                  <c:v>6575.3699999999944</c:v>
                </c:pt>
                <c:pt idx="469">
                  <c:v>6605.389999999994</c:v>
                </c:pt>
                <c:pt idx="470">
                  <c:v>6632.4499999999944</c:v>
                </c:pt>
                <c:pt idx="471">
                  <c:v>6646.349999999994</c:v>
                </c:pt>
                <c:pt idx="472">
                  <c:v>6671.349999999994</c:v>
                </c:pt>
                <c:pt idx="473">
                  <c:v>6685.059999999994</c:v>
                </c:pt>
                <c:pt idx="474">
                  <c:v>6693.7599999999939</c:v>
                </c:pt>
                <c:pt idx="475">
                  <c:v>6714.4899999999934</c:v>
                </c:pt>
                <c:pt idx="476">
                  <c:v>6734.8099999999931</c:v>
                </c:pt>
                <c:pt idx="477">
                  <c:v>6746.6099999999933</c:v>
                </c:pt>
                <c:pt idx="478">
                  <c:v>6749.7799999999934</c:v>
                </c:pt>
                <c:pt idx="479">
                  <c:v>6829.1599999999926</c:v>
                </c:pt>
                <c:pt idx="480">
                  <c:v>5829.1599999999926</c:v>
                </c:pt>
                <c:pt idx="481">
                  <c:v>4829.1599999999926</c:v>
                </c:pt>
                <c:pt idx="482">
                  <c:v>4850.3499999999931</c:v>
                </c:pt>
                <c:pt idx="483">
                  <c:v>4856.8499999999931</c:v>
                </c:pt>
                <c:pt idx="484">
                  <c:v>4866.1699999999928</c:v>
                </c:pt>
                <c:pt idx="485">
                  <c:v>4876.1599999999926</c:v>
                </c:pt>
                <c:pt idx="486">
                  <c:v>4882.5299999999916</c:v>
                </c:pt>
                <c:pt idx="487">
                  <c:v>4895.2799999999916</c:v>
                </c:pt>
                <c:pt idx="488">
                  <c:v>5329.2299999999923</c:v>
                </c:pt>
                <c:pt idx="489">
                  <c:v>5380.6399999999921</c:v>
                </c:pt>
                <c:pt idx="490">
                  <c:v>5388.5699999999924</c:v>
                </c:pt>
                <c:pt idx="491">
                  <c:v>5441.0199999999923</c:v>
                </c:pt>
                <c:pt idx="492">
                  <c:v>5454.3799999999919</c:v>
                </c:pt>
                <c:pt idx="493">
                  <c:v>5473.1799999999921</c:v>
                </c:pt>
                <c:pt idx="494">
                  <c:v>5483.7699999999923</c:v>
                </c:pt>
                <c:pt idx="495">
                  <c:v>5508.7699999999923</c:v>
                </c:pt>
                <c:pt idx="496">
                  <c:v>5518.759999999992</c:v>
                </c:pt>
                <c:pt idx="497">
                  <c:v>5524.0799999999917</c:v>
                </c:pt>
                <c:pt idx="498">
                  <c:v>5530.0299999999916</c:v>
                </c:pt>
                <c:pt idx="499">
                  <c:v>5586.0099999999911</c:v>
                </c:pt>
                <c:pt idx="500">
                  <c:v>5596.6399999999912</c:v>
                </c:pt>
                <c:pt idx="501">
                  <c:v>5666.3599999999906</c:v>
                </c:pt>
                <c:pt idx="502">
                  <c:v>5682.1299999999919</c:v>
                </c:pt>
                <c:pt idx="503">
                  <c:v>5701.4399999999923</c:v>
                </c:pt>
                <c:pt idx="504">
                  <c:v>5738.6699999999919</c:v>
                </c:pt>
                <c:pt idx="505">
                  <c:v>5798.9199999999919</c:v>
                </c:pt>
                <c:pt idx="506">
                  <c:v>5802.6399999999921</c:v>
                </c:pt>
                <c:pt idx="507">
                  <c:v>5806.8899999999921</c:v>
                </c:pt>
                <c:pt idx="508">
                  <c:v>5819.9699999999921</c:v>
                </c:pt>
                <c:pt idx="509">
                  <c:v>5841.4799999999923</c:v>
                </c:pt>
                <c:pt idx="510">
                  <c:v>5855.8499999999922</c:v>
                </c:pt>
                <c:pt idx="511">
                  <c:v>5859.0399999999918</c:v>
                </c:pt>
                <c:pt idx="512">
                  <c:v>5870.759999999992</c:v>
                </c:pt>
                <c:pt idx="513">
                  <c:v>5881.3899999999921</c:v>
                </c:pt>
                <c:pt idx="514">
                  <c:v>3281.3899999999921</c:v>
                </c:pt>
                <c:pt idx="515">
                  <c:v>3340.7399999999921</c:v>
                </c:pt>
                <c:pt idx="516">
                  <c:v>3356.6299999999919</c:v>
                </c:pt>
                <c:pt idx="517">
                  <c:v>3408.069999999992</c:v>
                </c:pt>
                <c:pt idx="518">
                  <c:v>3428.4499999999921</c:v>
                </c:pt>
                <c:pt idx="519">
                  <c:v>3439.0799999999922</c:v>
                </c:pt>
                <c:pt idx="520">
                  <c:v>3446.0599999999922</c:v>
                </c:pt>
                <c:pt idx="521">
                  <c:v>3456.0599999999922</c:v>
                </c:pt>
                <c:pt idx="522">
                  <c:v>3506.2899999999918</c:v>
                </c:pt>
                <c:pt idx="523">
                  <c:v>3548.9999999999918</c:v>
                </c:pt>
                <c:pt idx="524">
                  <c:v>3559.8499999999922</c:v>
                </c:pt>
                <c:pt idx="525">
                  <c:v>3599.8499999999922</c:v>
                </c:pt>
                <c:pt idx="526">
                  <c:v>3619.8499999999922</c:v>
                </c:pt>
                <c:pt idx="527">
                  <c:v>3630.4699999999921</c:v>
                </c:pt>
                <c:pt idx="528">
                  <c:v>3662.9699999999921</c:v>
                </c:pt>
                <c:pt idx="529">
                  <c:v>3680.5199999999918</c:v>
                </c:pt>
                <c:pt idx="530">
                  <c:v>3692.2899999999918</c:v>
                </c:pt>
                <c:pt idx="531">
                  <c:v>3720.4499999999921</c:v>
                </c:pt>
                <c:pt idx="532">
                  <c:v>3799.4499999999921</c:v>
                </c:pt>
                <c:pt idx="533">
                  <c:v>3800.799999999992</c:v>
                </c:pt>
                <c:pt idx="534">
                  <c:v>3870.799999999992</c:v>
                </c:pt>
                <c:pt idx="535">
                  <c:v>3881.4299999999921</c:v>
                </c:pt>
                <c:pt idx="536">
                  <c:v>3891.4299999999921</c:v>
                </c:pt>
                <c:pt idx="537">
                  <c:v>3921.4299999999921</c:v>
                </c:pt>
                <c:pt idx="538">
                  <c:v>3947.5799999999922</c:v>
                </c:pt>
                <c:pt idx="539">
                  <c:v>3952.9599999999919</c:v>
                </c:pt>
                <c:pt idx="540">
                  <c:v>3974.1799999999921</c:v>
                </c:pt>
                <c:pt idx="541">
                  <c:v>3992.4399999999919</c:v>
                </c:pt>
                <c:pt idx="542">
                  <c:v>3997.5399999999918</c:v>
                </c:pt>
                <c:pt idx="543">
                  <c:v>4412.5399999999918</c:v>
                </c:pt>
                <c:pt idx="544">
                  <c:v>4417.8299999999917</c:v>
                </c:pt>
                <c:pt idx="545">
                  <c:v>4434.6299999999919</c:v>
                </c:pt>
                <c:pt idx="546">
                  <c:v>4472.7299999999923</c:v>
                </c:pt>
                <c:pt idx="547">
                  <c:v>4477.9099999999926</c:v>
                </c:pt>
                <c:pt idx="548">
                  <c:v>4577.0999999999922</c:v>
                </c:pt>
                <c:pt idx="549">
                  <c:v>4587.0999999999922</c:v>
                </c:pt>
                <c:pt idx="550">
                  <c:v>4641.3799999999919</c:v>
                </c:pt>
                <c:pt idx="551">
                  <c:v>4657.3299999999917</c:v>
                </c:pt>
                <c:pt idx="552">
                  <c:v>4744.3299999999917</c:v>
                </c:pt>
                <c:pt idx="553">
                  <c:v>4758.9999999999918</c:v>
                </c:pt>
                <c:pt idx="554">
                  <c:v>4791.2099999999919</c:v>
                </c:pt>
                <c:pt idx="555">
                  <c:v>4802.2299999999923</c:v>
                </c:pt>
                <c:pt idx="556">
                  <c:v>4837.2299999999923</c:v>
                </c:pt>
                <c:pt idx="557">
                  <c:v>4869.2899999999927</c:v>
                </c:pt>
                <c:pt idx="558">
                  <c:v>4905.6099999999924</c:v>
                </c:pt>
                <c:pt idx="559">
                  <c:v>4985.6099999999924</c:v>
                </c:pt>
                <c:pt idx="560">
                  <c:v>4994.6099999999924</c:v>
                </c:pt>
                <c:pt idx="561">
                  <c:v>5000.0199999999923</c:v>
                </c:pt>
                <c:pt idx="562">
                  <c:v>5026.0199999999923</c:v>
                </c:pt>
                <c:pt idx="563">
                  <c:v>5031.1399999999921</c:v>
                </c:pt>
                <c:pt idx="564">
                  <c:v>5034.9799999999923</c:v>
                </c:pt>
                <c:pt idx="565">
                  <c:v>5043.9799999999923</c:v>
                </c:pt>
                <c:pt idx="566">
                  <c:v>5055.339999999992</c:v>
                </c:pt>
                <c:pt idx="567">
                  <c:v>5109.3499999999922</c:v>
                </c:pt>
                <c:pt idx="568">
                  <c:v>5249.3499999999922</c:v>
                </c:pt>
                <c:pt idx="569">
                  <c:v>5275.3499999999922</c:v>
                </c:pt>
                <c:pt idx="570">
                  <c:v>5285.9699999999921</c:v>
                </c:pt>
                <c:pt idx="571">
                  <c:v>5296.589999999992</c:v>
                </c:pt>
                <c:pt idx="572">
                  <c:v>5304.0199999999923</c:v>
                </c:pt>
                <c:pt idx="573">
                  <c:v>5350.089999999992</c:v>
                </c:pt>
                <c:pt idx="574">
                  <c:v>5368.049999999992</c:v>
                </c:pt>
                <c:pt idx="575">
                  <c:v>5378.6799999999921</c:v>
                </c:pt>
                <c:pt idx="576">
                  <c:v>5383.9799999999923</c:v>
                </c:pt>
                <c:pt idx="577">
                  <c:v>5398.1699999999919</c:v>
                </c:pt>
                <c:pt idx="578">
                  <c:v>5400.1699999999919</c:v>
                </c:pt>
                <c:pt idx="579">
                  <c:v>5416.1199999999917</c:v>
                </c:pt>
                <c:pt idx="580">
                  <c:v>5422.339999999992</c:v>
                </c:pt>
                <c:pt idx="581">
                  <c:v>5442.4799999999923</c:v>
                </c:pt>
                <c:pt idx="582">
                  <c:v>5448.8599999999924</c:v>
                </c:pt>
                <c:pt idx="583">
                  <c:v>5488.8599999999924</c:v>
                </c:pt>
                <c:pt idx="584">
                  <c:v>5492.0299999999916</c:v>
                </c:pt>
                <c:pt idx="585">
                  <c:v>5513.0299999999916</c:v>
                </c:pt>
                <c:pt idx="586">
                  <c:v>5530.1699999999928</c:v>
                </c:pt>
                <c:pt idx="587">
                  <c:v>5558.8299999999927</c:v>
                </c:pt>
                <c:pt idx="588">
                  <c:v>5586.7299999999923</c:v>
                </c:pt>
                <c:pt idx="589">
                  <c:v>5594.3299999999927</c:v>
                </c:pt>
                <c:pt idx="590">
                  <c:v>4594.3299999999927</c:v>
                </c:pt>
                <c:pt idx="591">
                  <c:v>4624.3299999999927</c:v>
                </c:pt>
                <c:pt idx="592">
                  <c:v>4636.3799999999928</c:v>
                </c:pt>
                <c:pt idx="593">
                  <c:v>4641.1399999999931</c:v>
                </c:pt>
                <c:pt idx="594">
                  <c:v>4650.3399999999929</c:v>
                </c:pt>
                <c:pt idx="595">
                  <c:v>4670.3399999999929</c:v>
                </c:pt>
                <c:pt idx="596">
                  <c:v>4711.0099999999929</c:v>
                </c:pt>
                <c:pt idx="597">
                  <c:v>4748.1099999999933</c:v>
                </c:pt>
                <c:pt idx="598">
                  <c:v>4760.1299999999937</c:v>
                </c:pt>
                <c:pt idx="599">
                  <c:v>4678.7099999999937</c:v>
                </c:pt>
                <c:pt idx="600">
                  <c:v>-579.97000000000662</c:v>
                </c:pt>
                <c:pt idx="601">
                  <c:v>-558.41000000000668</c:v>
                </c:pt>
                <c:pt idx="602">
                  <c:v>-545.79000000000667</c:v>
                </c:pt>
                <c:pt idx="603">
                  <c:v>-501.29000000000673</c:v>
                </c:pt>
                <c:pt idx="604">
                  <c:v>-482.75000000000671</c:v>
                </c:pt>
                <c:pt idx="605">
                  <c:v>-389.44000000000659</c:v>
                </c:pt>
                <c:pt idx="606">
                  <c:v>-379.45000000000658</c:v>
                </c:pt>
                <c:pt idx="607">
                  <c:v>-370.47000000000662</c:v>
                </c:pt>
                <c:pt idx="608">
                  <c:v>-345.48000000000661</c:v>
                </c:pt>
                <c:pt idx="609">
                  <c:v>-340.8100000000066</c:v>
                </c:pt>
                <c:pt idx="610">
                  <c:v>-335.72000000000662</c:v>
                </c:pt>
                <c:pt idx="611">
                  <c:v>-204.42000000000661</c:v>
                </c:pt>
                <c:pt idx="612">
                  <c:v>-192.28000000000659</c:v>
                </c:pt>
                <c:pt idx="613">
                  <c:v>-136.9300000000066</c:v>
                </c:pt>
                <c:pt idx="614">
                  <c:v>-32.930000000006629</c:v>
                </c:pt>
                <c:pt idx="615">
                  <c:v>46.729999999993368</c:v>
                </c:pt>
                <c:pt idx="616">
                  <c:v>47.729999999993368</c:v>
                </c:pt>
                <c:pt idx="617">
                  <c:v>46.729999999993368</c:v>
                </c:pt>
                <c:pt idx="618">
                  <c:v>52.149999999993369</c:v>
                </c:pt>
                <c:pt idx="619">
                  <c:v>76.029999999993365</c:v>
                </c:pt>
                <c:pt idx="620">
                  <c:v>96.029999999993365</c:v>
                </c:pt>
                <c:pt idx="621">
                  <c:v>104.52999999999339</c:v>
                </c:pt>
                <c:pt idx="622">
                  <c:v>156.02999999999341</c:v>
                </c:pt>
                <c:pt idx="623">
                  <c:v>161.3499999999934</c:v>
                </c:pt>
                <c:pt idx="624">
                  <c:v>174.6299999999934</c:v>
                </c:pt>
                <c:pt idx="625">
                  <c:v>252.6299999999934</c:v>
                </c:pt>
                <c:pt idx="626">
                  <c:v>277.6299999999934</c:v>
                </c:pt>
                <c:pt idx="627">
                  <c:v>287.61999999999341</c:v>
                </c:pt>
                <c:pt idx="628">
                  <c:v>298.20999999999339</c:v>
                </c:pt>
                <c:pt idx="629">
                  <c:v>318.20999999999339</c:v>
                </c:pt>
                <c:pt idx="630">
                  <c:v>337.74999999999341</c:v>
                </c:pt>
                <c:pt idx="631">
                  <c:v>377.53999999999343</c:v>
                </c:pt>
                <c:pt idx="632">
                  <c:v>393.42999999999341</c:v>
                </c:pt>
                <c:pt idx="633">
                  <c:v>389.70999999999339</c:v>
                </c:pt>
                <c:pt idx="634">
                  <c:v>410.08999999999338</c:v>
                </c:pt>
                <c:pt idx="635">
                  <c:v>430.98999999999342</c:v>
                </c:pt>
                <c:pt idx="636">
                  <c:v>476.78999999999343</c:v>
                </c:pt>
                <c:pt idx="637">
                  <c:v>-485.25000000000659</c:v>
                </c:pt>
                <c:pt idx="638">
                  <c:v>-475.50000000000659</c:v>
                </c:pt>
                <c:pt idx="639">
                  <c:v>-464.65000000000663</c:v>
                </c:pt>
                <c:pt idx="640">
                  <c:v>-448.52000000000658</c:v>
                </c:pt>
                <c:pt idx="641">
                  <c:v>-554.59000000000651</c:v>
                </c:pt>
                <c:pt idx="642">
                  <c:v>-549.30000000000655</c:v>
                </c:pt>
                <c:pt idx="643">
                  <c:v>-479.30000000000649</c:v>
                </c:pt>
                <c:pt idx="644">
                  <c:v>-469.39000000000652</c:v>
                </c:pt>
                <c:pt idx="645">
                  <c:v>-436.39000000000652</c:v>
                </c:pt>
                <c:pt idx="646">
                  <c:v>-410.20000000000653</c:v>
                </c:pt>
                <c:pt idx="647">
                  <c:v>-409.03000000000651</c:v>
                </c:pt>
                <c:pt idx="648">
                  <c:v>-347.34000000000651</c:v>
                </c:pt>
                <c:pt idx="649">
                  <c:v>-337.34000000000651</c:v>
                </c:pt>
                <c:pt idx="650">
                  <c:v>-304.78000000000651</c:v>
                </c:pt>
                <c:pt idx="651">
                  <c:v>-299.0400000000065</c:v>
                </c:pt>
                <c:pt idx="652">
                  <c:v>-241.9500000000065</c:v>
                </c:pt>
                <c:pt idx="653">
                  <c:v>-137.78000000000651</c:v>
                </c:pt>
                <c:pt idx="654">
                  <c:v>-112.0300000000065</c:v>
                </c:pt>
                <c:pt idx="655">
                  <c:v>-89.430000000006515</c:v>
                </c:pt>
                <c:pt idx="656">
                  <c:v>-53.310000000006518</c:v>
                </c:pt>
                <c:pt idx="657">
                  <c:v>-35.160000000006519</c:v>
                </c:pt>
                <c:pt idx="658">
                  <c:v>-32.990000000006518</c:v>
                </c:pt>
                <c:pt idx="659">
                  <c:v>-16.200000000006519</c:v>
                </c:pt>
                <c:pt idx="660">
                  <c:v>80.44999999999348</c:v>
                </c:pt>
                <c:pt idx="661">
                  <c:v>27.399999999993479</c:v>
                </c:pt>
                <c:pt idx="662">
                  <c:v>40.049999999993481</c:v>
                </c:pt>
                <c:pt idx="663">
                  <c:v>-228.74000000000649</c:v>
                </c:pt>
                <c:pt idx="664">
                  <c:v>-149.08000000000649</c:v>
                </c:pt>
                <c:pt idx="665">
                  <c:v>-134.12000000000651</c:v>
                </c:pt>
                <c:pt idx="666">
                  <c:v>-124.1300000000065</c:v>
                </c:pt>
                <c:pt idx="667">
                  <c:v>-95.920000000006553</c:v>
                </c:pt>
                <c:pt idx="668">
                  <c:v>-40.580000000006549</c:v>
                </c:pt>
                <c:pt idx="669">
                  <c:v>63.819999999993463</c:v>
                </c:pt>
                <c:pt idx="670">
                  <c:v>96.299999999993446</c:v>
                </c:pt>
                <c:pt idx="671">
                  <c:v>104.2999999999934</c:v>
                </c:pt>
                <c:pt idx="672">
                  <c:v>118.3499999999934</c:v>
                </c:pt>
                <c:pt idx="673">
                  <c:v>228.67999999999341</c:v>
                </c:pt>
                <c:pt idx="674">
                  <c:v>252.9399999999934</c:v>
                </c:pt>
                <c:pt idx="675">
                  <c:v>257.29999999999342</c:v>
                </c:pt>
                <c:pt idx="676">
                  <c:v>305.03999999999343</c:v>
                </c:pt>
                <c:pt idx="677">
                  <c:v>411.10999999999342</c:v>
                </c:pt>
                <c:pt idx="678">
                  <c:v>451.8799999999934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938783"/>
        <c:axId val="752591135"/>
      </c:lineChart>
      <c:dateAx>
        <c:axId val="8709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91135"/>
        <c:crosses val="autoZero"/>
        <c:auto val="0"/>
        <c:lblOffset val="100"/>
        <c:baseTimeUnit val="days"/>
      </c:dateAx>
      <c:valAx>
        <c:axId val="7525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38783"/>
        <c:crosses val="autoZero"/>
        <c:crossBetween val="between"/>
      </c:valAx>
      <c:valAx>
        <c:axId val="864178415"/>
        <c:scaling>
          <c:orientation val="minMax"/>
        </c:scaling>
        <c:delete val="1"/>
        <c:axPos val="r"/>
        <c:numFmt formatCode="&quot;$&quot;#,##0.00_);[Red]\(&quot;$&quot;#,##0.00\)" sourceLinked="1"/>
        <c:majorTickMark val="out"/>
        <c:minorTickMark val="none"/>
        <c:tickLblPos val="nextTo"/>
        <c:crossAx val="864184655"/>
        <c:crosses val="max"/>
        <c:crossBetween val="between"/>
      </c:valAx>
      <c:catAx>
        <c:axId val="864184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4178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Discretionary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'Category Summary'!$B$3</c:f>
              <c:strCache>
                <c:ptCount val="1"/>
                <c:pt idx="0">
                  <c:v>Food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Summary'!$C$3:$N$3</c:f>
              <c:numCache>
                <c:formatCode>_("$"* #,##0_);_("$"* \(#,##0\);_("$"* "-"??_);_(@_)</c:formatCode>
                <c:ptCount val="12"/>
                <c:pt idx="0">
                  <c:v>587.29</c:v>
                </c:pt>
                <c:pt idx="1">
                  <c:v>248.29</c:v>
                </c:pt>
                <c:pt idx="2">
                  <c:v>1231.2499999999998</c:v>
                </c:pt>
                <c:pt idx="3">
                  <c:v>945.31000000000029</c:v>
                </c:pt>
                <c:pt idx="4">
                  <c:v>766.29</c:v>
                </c:pt>
                <c:pt idx="5">
                  <c:v>945.77000000000021</c:v>
                </c:pt>
                <c:pt idx="6">
                  <c:v>1137.425</c:v>
                </c:pt>
                <c:pt idx="7">
                  <c:v>795.70999999999992</c:v>
                </c:pt>
                <c:pt idx="8">
                  <c:v>816.43000000000018</c:v>
                </c:pt>
                <c:pt idx="9">
                  <c:v>756.42000000000007</c:v>
                </c:pt>
                <c:pt idx="10">
                  <c:v>649.85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1-42AD-BB3C-1BD02ABC5353}"/>
            </c:ext>
          </c:extLst>
        </c:ser>
        <c:ser>
          <c:idx val="1"/>
          <c:order val="1"/>
          <c:tx>
            <c:strRef>
              <c:f>'Category Summary'!$B$4</c:f>
              <c:strCache>
                <c:ptCount val="1"/>
                <c:pt idx="0">
                  <c:v>Recreation_Entertainment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Summary'!$C$4:$N$4</c:f>
              <c:numCache>
                <c:formatCode>_("$"* #,##0_);_("$"* \(#,##0\);_("$"* "-"??_);_(@_)</c:formatCode>
                <c:ptCount val="12"/>
                <c:pt idx="0">
                  <c:v>849.09</c:v>
                </c:pt>
                <c:pt idx="1">
                  <c:v>528.66</c:v>
                </c:pt>
                <c:pt idx="2">
                  <c:v>887.46999999999991</c:v>
                </c:pt>
                <c:pt idx="3">
                  <c:v>695.0200000000001</c:v>
                </c:pt>
                <c:pt idx="4">
                  <c:v>2111.44</c:v>
                </c:pt>
                <c:pt idx="5">
                  <c:v>2665.9350000000004</c:v>
                </c:pt>
                <c:pt idx="6">
                  <c:v>879.95999999999992</c:v>
                </c:pt>
                <c:pt idx="7">
                  <c:v>91.710000000000008</c:v>
                </c:pt>
                <c:pt idx="8">
                  <c:v>310.69</c:v>
                </c:pt>
                <c:pt idx="9">
                  <c:v>896.55</c:v>
                </c:pt>
                <c:pt idx="10">
                  <c:v>205.88000000000002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1-42AD-BB3C-1BD02ABC5353}"/>
            </c:ext>
          </c:extLst>
        </c:ser>
        <c:ser>
          <c:idx val="2"/>
          <c:order val="2"/>
          <c:tx>
            <c:strRef>
              <c:f>'Category Summary'!$B$5</c:f>
              <c:strCache>
                <c:ptCount val="1"/>
                <c:pt idx="0">
                  <c:v>Personal_Spending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Summary'!$C$5:$N$5</c:f>
              <c:numCache>
                <c:formatCode>_("$"* #,##0_);_("$"* \(#,##0\);_("$"* "-"??_);_(@_)</c:formatCode>
                <c:ptCount val="12"/>
                <c:pt idx="0">
                  <c:v>962.43999999999994</c:v>
                </c:pt>
                <c:pt idx="1">
                  <c:v>360.01</c:v>
                </c:pt>
                <c:pt idx="2">
                  <c:v>748.11</c:v>
                </c:pt>
                <c:pt idx="3">
                  <c:v>463.83</c:v>
                </c:pt>
                <c:pt idx="4">
                  <c:v>1469.1099999999997</c:v>
                </c:pt>
                <c:pt idx="5">
                  <c:v>1447.6849999999999</c:v>
                </c:pt>
                <c:pt idx="6">
                  <c:v>660.28000000000009</c:v>
                </c:pt>
                <c:pt idx="7">
                  <c:v>516.82000000000005</c:v>
                </c:pt>
                <c:pt idx="8">
                  <c:v>414.19</c:v>
                </c:pt>
                <c:pt idx="9">
                  <c:v>728.90000000000009</c:v>
                </c:pt>
                <c:pt idx="10">
                  <c:v>465.35999999999996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1-42AD-BB3C-1BD02ABC5353}"/>
            </c:ext>
          </c:extLst>
        </c:ser>
        <c:ser>
          <c:idx val="3"/>
          <c:order val="3"/>
          <c:tx>
            <c:strRef>
              <c:f>'Category Summary'!$B$6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'Category Summary'!$C$2:$N$2</c:f>
              <c:strCache>
                <c:ptCount val="12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  <c:pt idx="7">
                  <c:v>08/2022</c:v>
                </c:pt>
                <c:pt idx="8">
                  <c:v>09/2022</c:v>
                </c:pt>
                <c:pt idx="9">
                  <c:v>10/2022</c:v>
                </c:pt>
                <c:pt idx="10">
                  <c:v>11/2022</c:v>
                </c:pt>
                <c:pt idx="11">
                  <c:v>12/2022</c:v>
                </c:pt>
              </c:strCache>
            </c:strRef>
          </c:cat>
          <c:val>
            <c:numRef>
              <c:f>'Category Summary'!$C$6:$N$6</c:f>
              <c:numCache>
                <c:formatCode>_("$"* #,##0_);_("$"* \(#,##0\);_("$"* "-"??_);_(@_)</c:formatCode>
                <c:ptCount val="12"/>
                <c:pt idx="0">
                  <c:v>145.57</c:v>
                </c:pt>
                <c:pt idx="1">
                  <c:v>333.19</c:v>
                </c:pt>
                <c:pt idx="2">
                  <c:v>307.96000000000004</c:v>
                </c:pt>
                <c:pt idx="3">
                  <c:v>316.07000000000005</c:v>
                </c:pt>
                <c:pt idx="4">
                  <c:v>682.91000000000008</c:v>
                </c:pt>
                <c:pt idx="5">
                  <c:v>511.8549999999999</c:v>
                </c:pt>
                <c:pt idx="6">
                  <c:v>869.13</c:v>
                </c:pt>
                <c:pt idx="7">
                  <c:v>32.040000000000006</c:v>
                </c:pt>
                <c:pt idx="8">
                  <c:v>384.20000000000005</c:v>
                </c:pt>
                <c:pt idx="9">
                  <c:v>565.63000000000011</c:v>
                </c:pt>
                <c:pt idx="10">
                  <c:v>67.899999999999991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1-42AD-BB3C-1BD02ABC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82431"/>
        <c:axId val="487383263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'Category Summary'!$B$7</c15:sqref>
                        </c15:formulaRef>
                      </c:ext>
                    </c:extLst>
                    <c:strCache>
                      <c:ptCount val="1"/>
                      <c:pt idx="0">
                        <c:v>Misc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'Category Summary'!$C$7:$N$7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36.489999999999995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16</c:v>
                      </c:pt>
                      <c:pt idx="4">
                        <c:v>9.75</c:v>
                      </c:pt>
                      <c:pt idx="5">
                        <c:v>83</c:v>
                      </c:pt>
                      <c:pt idx="6">
                        <c:v>5.0999999999999996</c:v>
                      </c:pt>
                      <c:pt idx="7">
                        <c:v>39.79</c:v>
                      </c:pt>
                      <c:pt idx="8">
                        <c:v>1203.4499999999998</c:v>
                      </c:pt>
                      <c:pt idx="9">
                        <c:v>0</c:v>
                      </c:pt>
                      <c:pt idx="10">
                        <c:v>51.11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CE1-42AD-BB3C-1BD02ABC53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Summary'!$B$8</c15:sqref>
                        </c15:formulaRef>
                      </c:ext>
                    </c:extLst>
                    <c:strCache>
                      <c:ptCount val="1"/>
                      <c:pt idx="0">
                        <c:v>Utilities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'Category Summary'!$C$8:$N$8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29.319999999999936</c:v>
                      </c:pt>
                      <c:pt idx="1">
                        <c:v>207.17000000000002</c:v>
                      </c:pt>
                      <c:pt idx="2">
                        <c:v>299.5</c:v>
                      </c:pt>
                      <c:pt idx="3">
                        <c:v>267.97000000000003</c:v>
                      </c:pt>
                      <c:pt idx="4">
                        <c:v>263.03999999999996</c:v>
                      </c:pt>
                      <c:pt idx="5">
                        <c:v>341.77</c:v>
                      </c:pt>
                      <c:pt idx="6">
                        <c:v>293.46000000000004</c:v>
                      </c:pt>
                      <c:pt idx="7">
                        <c:v>200.32999999999998</c:v>
                      </c:pt>
                      <c:pt idx="8">
                        <c:v>277.02999999999997</c:v>
                      </c:pt>
                      <c:pt idx="9">
                        <c:v>231.6</c:v>
                      </c:pt>
                      <c:pt idx="10">
                        <c:v>161.6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E1-42AD-BB3C-1BD02ABC535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Summary'!$B$9</c15:sqref>
                        </c15:formulaRef>
                      </c:ext>
                    </c:extLst>
                    <c:strCache>
                      <c:ptCount val="1"/>
                      <c:pt idx="0">
                        <c:v>Insurance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'Category Summary'!$C$9:$N$9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79.38</c:v>
                      </c:pt>
                      <c:pt idx="1">
                        <c:v>79.38</c:v>
                      </c:pt>
                      <c:pt idx="2">
                        <c:v>79.38</c:v>
                      </c:pt>
                      <c:pt idx="3">
                        <c:v>79.38</c:v>
                      </c:pt>
                      <c:pt idx="4">
                        <c:v>79.38</c:v>
                      </c:pt>
                      <c:pt idx="5">
                        <c:v>79.38</c:v>
                      </c:pt>
                      <c:pt idx="6">
                        <c:v>79.66</c:v>
                      </c:pt>
                      <c:pt idx="7">
                        <c:v>79.66</c:v>
                      </c:pt>
                      <c:pt idx="8">
                        <c:v>80.08</c:v>
                      </c:pt>
                      <c:pt idx="9">
                        <c:v>80.08</c:v>
                      </c:pt>
                      <c:pt idx="10">
                        <c:v>80.08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E1-42AD-BB3C-1BD02ABC535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Summary'!$B$10</c15:sqref>
                        </c15:formulaRef>
                      </c:ext>
                    </c:extLst>
                    <c:strCache>
                      <c:ptCount val="1"/>
                      <c:pt idx="0">
                        <c:v>People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'Category Summary'!$C$10:$N$10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256.76</c:v>
                      </c:pt>
                      <c:pt idx="1">
                        <c:v>2289.31</c:v>
                      </c:pt>
                      <c:pt idx="2">
                        <c:v>1552.29</c:v>
                      </c:pt>
                      <c:pt idx="3">
                        <c:v>668</c:v>
                      </c:pt>
                      <c:pt idx="4">
                        <c:v>468.47</c:v>
                      </c:pt>
                      <c:pt idx="5">
                        <c:v>66.069999999999993</c:v>
                      </c:pt>
                      <c:pt idx="6">
                        <c:v>51.5</c:v>
                      </c:pt>
                      <c:pt idx="7">
                        <c:v>25.75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103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E1-42AD-BB3C-1BD02ABC535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Summary'!$B$11</c15:sqref>
                        </c15:formulaRef>
                      </c:ext>
                    </c:extLst>
                    <c:strCache>
                      <c:ptCount val="1"/>
                      <c:pt idx="0">
                        <c:v>Medical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'Category Summary'!$C$11:$N$11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2286</c:v>
                      </c:pt>
                      <c:pt idx="1">
                        <c:v>21.35</c:v>
                      </c:pt>
                      <c:pt idx="2">
                        <c:v>2553.16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504.86</c:v>
                      </c:pt>
                      <c:pt idx="7">
                        <c:v>0</c:v>
                      </c:pt>
                      <c:pt idx="8">
                        <c:v>85.76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CE1-42AD-BB3C-1BD02ABC535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Summary'!$B$12</c15:sqref>
                        </c15:formulaRef>
                      </c:ext>
                    </c:extLst>
                    <c:strCache>
                      <c:ptCount val="1"/>
                      <c:pt idx="0">
                        <c:v>Housing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'Category Summary'!$C$2:$N$2</c15:sqref>
                        </c15:formulaRef>
                      </c:ext>
                    </c:extLst>
                    <c:strCache>
                      <c:ptCount val="12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  <c:pt idx="7">
                        <c:v>08/2022</c:v>
                      </c:pt>
                      <c:pt idx="8">
                        <c:v>09/2022</c:v>
                      </c:pt>
                      <c:pt idx="9">
                        <c:v>10/2022</c:v>
                      </c:pt>
                      <c:pt idx="10">
                        <c:v>11/2022</c:v>
                      </c:pt>
                      <c:pt idx="11">
                        <c:v>12/2022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'Category Summary'!$C$12:$N$12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933.34</c:v>
                      </c:pt>
                      <c:pt idx="1">
                        <c:v>1204.29</c:v>
                      </c:pt>
                      <c:pt idx="2">
                        <c:v>1400</c:v>
                      </c:pt>
                      <c:pt idx="3">
                        <c:v>1463.66</c:v>
                      </c:pt>
                      <c:pt idx="4">
                        <c:v>1400</c:v>
                      </c:pt>
                      <c:pt idx="5">
                        <c:v>1400</c:v>
                      </c:pt>
                      <c:pt idx="6">
                        <c:v>1449.46</c:v>
                      </c:pt>
                      <c:pt idx="7">
                        <c:v>197.48000000000002</c:v>
                      </c:pt>
                      <c:pt idx="8">
                        <c:v>0</c:v>
                      </c:pt>
                      <c:pt idx="9">
                        <c:v>210.25</c:v>
                      </c:pt>
                      <c:pt idx="10">
                        <c:v>37.119999999999997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CE1-42AD-BB3C-1BD02ABC5353}"/>
                  </c:ext>
                </c:extLst>
              </c15:ser>
            </c15:filteredLineSeries>
          </c:ext>
        </c:extLst>
      </c:lineChart>
      <c:catAx>
        <c:axId val="48738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3263"/>
        <c:crosses val="autoZero"/>
        <c:auto val="1"/>
        <c:lblAlgn val="ctr"/>
        <c:lblOffset val="100"/>
        <c:noMultiLvlLbl val="0"/>
      </c:catAx>
      <c:valAx>
        <c:axId val="487383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1568823</xdr:colOff>
      <xdr:row>22</xdr:row>
      <xdr:rowOff>29135</xdr:rowOff>
    </xdr:from>
    <xdr:to>
      <xdr:col>18</xdr:col>
      <xdr:colOff>661147</xdr:colOff>
      <xdr:row>36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9F6DB-E449-76C9-AB98-FB11420F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285750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C76163-7B87-4374-B5F8-B4B71921C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90487</xdr:colOff>
      <xdr:row>1</xdr:row>
      <xdr:rowOff>1</xdr:rowOff>
    </xdr:from>
    <xdr:to>
      <xdr:col>32</xdr:col>
      <xdr:colOff>514351</xdr:colOff>
      <xdr:row>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56B33-71C7-A63A-314F-55DF6DEB5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4800.86006284722" createdVersion="8" refreshedVersion="8" minRefreshableVersion="3" recordCount="181" xr:uid="{E29D3AF9-F677-4472-B0F5-9AD8B24D6A78}">
  <cacheSource type="worksheet">
    <worksheetSource name="wf_table"/>
  </cacheSource>
  <cacheFields count="7">
    <cacheField name="Trans Date" numFmtId="14">
      <sharedItems containsSemiMixedTypes="0" containsNonDate="0" containsDate="1" containsString="0" minDate="2022-01-03T00:00:00" maxDate="2022-08-27T00:00:00"/>
    </cacheField>
    <cacheField name="Debit_Amount" numFmtId="8">
      <sharedItems containsSemiMixedTypes="0" containsString="0" containsNumber="1" minValue="-2600" maxValue="3898.5"/>
    </cacheField>
    <cacheField name="Amount" numFmtId="8">
      <sharedItems containsSemiMixedTypes="0" containsString="0" containsNumber="1" minValue="2.5" maxValue="3898.5"/>
    </cacheField>
    <cacheField name="Description" numFmtId="0">
      <sharedItems/>
    </cacheField>
    <cacheField name="Short_Desc" numFmtId="0">
      <sharedItems containsBlank="1" count="44">
        <s v="discover"/>
        <s v="best_buy"/>
        <s v="comedy"/>
        <s v="atm"/>
        <s v="mom"/>
        <s v="Vincent"/>
        <s v="gym"/>
        <s v="Melanie"/>
        <s v="Kabir"/>
        <s v="Jayelin"/>
        <s v="nationwide"/>
        <s v="care_credit"/>
        <s v="fast_food"/>
        <s v="gas_station"/>
        <s v="zoo"/>
        <s v="restaurant"/>
        <s v="Logan"/>
        <s v="Jon"/>
        <s v="rent"/>
        <s v="Don"/>
        <s v="Nick"/>
        <s v="Kim"/>
        <s v="aps"/>
        <s v="taxes"/>
        <s v="td_ameritrade"/>
        <s v="Shevon"/>
        <s v="Michael"/>
        <s v="Venmo"/>
        <s v="Dorry"/>
        <s v="groceries"/>
        <s v="unsure"/>
        <s v="Carmen"/>
        <s v="ticket_sale"/>
        <s v="Maricela"/>
        <s v="occulus"/>
        <s v="movies"/>
        <s v="Rajat"/>
        <s v="Gambling"/>
        <s v="Amanda"/>
        <s v="refund"/>
        <s v="conv_store"/>
        <s v="light_rail"/>
        <m/>
        <s v="tahjei"/>
      </sharedItems>
    </cacheField>
    <cacheField name="Date" numFmtId="0">
      <sharedItems count="8">
        <s v="1/2022"/>
        <s v="2/2022"/>
        <s v="3/2022"/>
        <s v="4/2022"/>
        <s v="5/2022"/>
        <s v="6/2022"/>
        <s v="7/2022"/>
        <s v="8/2022"/>
      </sharedItems>
    </cacheField>
    <cacheField name="Category_2" numFmtId="0">
      <sharedItems containsBlank="1" containsMixedTypes="1" containsNumber="1" containsInteger="1" minValue="0" maxValue="0" count="12">
        <s v="credit"/>
        <n v="0"/>
        <s v="People"/>
        <s v="Utilities"/>
        <s v="Recreation_Entertainment"/>
        <s v="income"/>
        <s v="Misc"/>
        <s v="Personal_Spending"/>
        <s v="Food"/>
        <s v="Housing"/>
        <s v="Transportati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4884.642444328703" createdVersion="8" refreshedVersion="8" minRefreshableVersion="3" recordCount="913" xr:uid="{B239220F-05AB-467C-ABA1-C6AD2B9F5965}">
  <cacheSource type="worksheet">
    <worksheetSource name="dis_table"/>
  </cacheSource>
  <cacheFields count="10">
    <cacheField name="Trans. Date" numFmtId="0">
      <sharedItems/>
    </cacheField>
    <cacheField name="Post Date" numFmtId="0">
      <sharedItems/>
    </cacheField>
    <cacheField name="Description" numFmtId="0">
      <sharedItems/>
    </cacheField>
    <cacheField name="Amount" numFmtId="0">
      <sharedItems containsSemiMixedTypes="0" containsString="0" containsNumber="1" minValue="-5258.68" maxValue="3581.67"/>
    </cacheField>
    <cacheField name="Category" numFmtId="0">
      <sharedItems count="15">
        <s v="Balance"/>
        <s v="Restaurants"/>
        <s v="Merchandise"/>
        <s v="Payments and Credits"/>
        <s v="Services"/>
        <s v="Automotive"/>
        <s v="Supermarkets"/>
        <s v="Travel/ Entertainment"/>
        <s v="Awards and Rebate Credits"/>
        <s v="Gasoline"/>
        <s v="Medical Services"/>
        <s v="Government Services"/>
        <s v="Education"/>
        <s v="Interest"/>
        <s v="Home Improvement"/>
      </sharedItems>
    </cacheField>
    <cacheField name="Short_Desc" numFmtId="0">
      <sharedItems containsBlank="1" count="92">
        <s v="Balance"/>
        <s v="fast_food"/>
        <s v="restaurant"/>
        <s v="netflix"/>
        <s v="spotify"/>
        <s v="payment"/>
        <s v="breaking_points"/>
        <s v="hulu"/>
        <s v="car"/>
        <s v="state_farm"/>
        <s v="nvidia"/>
        <s v="groceries"/>
        <s v="pay_wall"/>
        <s v="amazon"/>
        <s v="gym"/>
        <s v="conv_store"/>
        <s v="cashback_bonus"/>
        <s v="gas_station"/>
        <s v="hbo"/>
        <s v="unsure"/>
        <s v="zoo"/>
        <s v="cell_phone"/>
        <s v="target"/>
        <s v="apple_tv"/>
        <s v="aps"/>
        <s v="ride_share"/>
        <s v="work_lunch"/>
        <s v="onlyfans"/>
        <s v="grammarly"/>
        <s v="stretch_zone"/>
        <s v="staples"/>
        <s v="learning"/>
        <s v="sport_stuff"/>
        <s v="air_travel"/>
        <s v="crunchy_roll"/>
        <s v="nba_league_pass"/>
        <s v="dad"/>
        <s v="youtube_tv"/>
        <s v="music_festival"/>
        <s v="walmart"/>
        <s v="movies"/>
        <s v="barbershop"/>
        <s v="live_event"/>
        <s v="clothing"/>
        <s v="hair_supplies"/>
        <s v="concerts"/>
        <s v="concert"/>
        <s v="parking"/>
        <s v="medical"/>
        <s v="museum"/>
        <s v="coffee"/>
        <s v="comedy"/>
        <s v="tahjei"/>
        <s v="clothes"/>
        <s v="disney"/>
        <s v="tennis"/>
        <s v="medium"/>
        <s v="home"/>
        <s v="blossom"/>
        <s v="live_baseball"/>
        <s v="professional"/>
        <s v="vr_arcade"/>
        <s v="oculus"/>
        <s v="interest"/>
        <s v="live_nba"/>
        <s v="video_games"/>
        <s v="viki"/>
        <s v="meal_lime"/>
        <s v="airport"/>
        <s v="bookstore"/>
        <s v="bus_fare"/>
        <s v="wallet"/>
        <s v="political_cause"/>
        <s v="fubo_tv"/>
        <s v="don"/>
        <s v="hoover_dam"/>
        <s v="vending"/>
        <s v="home_supplies"/>
        <s v="moving"/>
        <s v="Jayelin"/>
        <s v="five_below"/>
        <s v="storage"/>
        <m/>
        <s v="electronics"/>
        <s v="sports_line"/>
        <s v="big_5_sporting_goods"/>
        <s v="hostel"/>
        <s v="bowling"/>
        <s v="bed_bath_and_beyond"/>
        <s v="leet_code"/>
        <s v="mailing"/>
        <s v="youtube"/>
      </sharedItems>
    </cacheField>
    <cacheField name="Date" numFmtId="0">
      <sharedItems containsBlank="1" count="12">
        <m/>
        <s v="01/2022"/>
        <s v="02/2022"/>
        <s v="03/2022"/>
        <s v="04/2022"/>
        <s v="05/2022"/>
        <s v="06/2022"/>
        <s v="07/2022"/>
        <s v="08/2022"/>
        <s v="09/2022"/>
        <s v="10/2022"/>
        <s v="11/2022"/>
      </sharedItems>
    </cacheField>
    <cacheField name="Reoccurring_Flag" numFmtId="0">
      <sharedItems containsBlank="1" count="3">
        <m/>
        <s v="No"/>
        <s v="Yes"/>
      </sharedItems>
    </cacheField>
    <cacheField name="Category_2" numFmtId="0">
      <sharedItems containsBlank="1" count="12">
        <m/>
        <s v="Food"/>
        <s v="Recreation_Entertainment"/>
        <s v="Payment_and_Interest"/>
        <s v="Utilities"/>
        <s v="Insurance"/>
        <s v="Personal_Spending"/>
        <s v="Transportation"/>
        <s v="Misc"/>
        <s v="People"/>
        <s v="Medical"/>
        <s v="Housing"/>
      </sharedItems>
    </cacheField>
    <cacheField name="CumAmount" numFmtId="0">
      <sharedItems containsSemiMixedTypes="0" containsString="0" containsNumber="1" minValue="17.739999999996058" maxValue="6800.50999999999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d v="2022-01-03T00:00:00"/>
    <n v="-1800"/>
    <n v="1800"/>
    <s v="DISCOVER E-PAYMENT 220102 4618 LEWIS SEAN"/>
    <x v="0"/>
    <x v="0"/>
    <x v="0"/>
  </r>
  <r>
    <d v="2022-01-03T00:00:00"/>
    <n v="-241.99"/>
    <n v="241.99"/>
    <s v="BEST BUY PAYMENT 220102 610633785460241 SEAN LEWIS"/>
    <x v="1"/>
    <x v="0"/>
    <x v="0"/>
  </r>
  <r>
    <d v="2022-01-03T00:00:00"/>
    <n v="-10"/>
    <n v="10"/>
    <s v="PAYPAL INST XFER 220101 LOUISCK SEAN LEWIS"/>
    <x v="2"/>
    <x v="0"/>
    <x v="1"/>
  </r>
  <r>
    <d v="2022-01-03T00:00:00"/>
    <n v="194"/>
    <n v="194"/>
    <s v="ATM CASH DEPOSIT ON 01/02 3002 N Central Ave Phoenix AZ 0003743 ATM ID 5449B CARD 6634"/>
    <x v="3"/>
    <x v="0"/>
    <x v="1"/>
  </r>
  <r>
    <d v="2022-01-03T00:00:00"/>
    <n v="-485"/>
    <n v="485"/>
    <s v="TRANSFER TO LEWIS SHARON ON 01/03 REF #PP0D9295LZ XXXXXXXXX5267"/>
    <x v="4"/>
    <x v="0"/>
    <x v="2"/>
  </r>
  <r>
    <d v="2022-01-03T00:00:00"/>
    <n v="477.73"/>
    <n v="477.73"/>
    <s v="RTP from VENMO on 01/03 Ref#20220103021000021P1BRJPM00530020747"/>
    <x v="5"/>
    <x v="0"/>
    <x v="2"/>
  </r>
  <r>
    <d v="2022-01-07T00:00:00"/>
    <n v="30.89"/>
    <n v="30.89"/>
    <s v="VENMO CASHOUT 220107 1017829933941 SEAN LEWIS"/>
    <x v="5"/>
    <x v="0"/>
    <x v="3"/>
  </r>
  <r>
    <d v="2022-01-07T00:00:00"/>
    <n v="23.27"/>
    <n v="23.27"/>
    <s v="LIFETIME FITNESS DIRECT DEP 220107 558079861456SHS LEWIS,SEAN"/>
    <x v="6"/>
    <x v="0"/>
    <x v="1"/>
  </r>
  <r>
    <d v="2022-01-10T00:00:00"/>
    <n v="234.58"/>
    <n v="234.58"/>
    <s v="VENMO CASHOUT 220110 1017875354612 SEAN LEWIS"/>
    <x v="7"/>
    <x v="0"/>
    <x v="3"/>
  </r>
  <r>
    <d v="2022-01-10T00:00:00"/>
    <n v="50"/>
    <n v="50"/>
    <s v="VENMO CASHOUT 220110 1017874602288 SEAN LEWIS"/>
    <x v="8"/>
    <x v="0"/>
    <x v="4"/>
  </r>
  <r>
    <d v="2022-01-11T00:00:00"/>
    <n v="-100"/>
    <n v="100"/>
    <s v="PURCHASE AUTHORIZED ON 01/10 CASH APP*CYANFACE 8774174551 CA S462010765413680 CARD 6634"/>
    <x v="9"/>
    <x v="0"/>
    <x v="2"/>
  </r>
  <r>
    <d v="2022-01-13T00:00:00"/>
    <n v="-2194.92"/>
    <n v="2194.92"/>
    <s v="DISCOVER E-PAYMENT 220113 4618 LEWIS SEAN"/>
    <x v="0"/>
    <x v="0"/>
    <x v="0"/>
  </r>
  <r>
    <d v="2022-01-13T00:00:00"/>
    <n v="3898.5"/>
    <n v="3898.5"/>
    <s v="Nationwide PAYROLL 01 HRP0007983168 Sean Lewis"/>
    <x v="10"/>
    <x v="0"/>
    <x v="5"/>
  </r>
  <r>
    <d v="2022-01-14T00:00:00"/>
    <n v="-1000"/>
    <n v="1000"/>
    <s v="Synchrony Bank CC PYMT JAN 13 601918368630042 SEAN LEWIS"/>
    <x v="11"/>
    <x v="0"/>
    <x v="0"/>
  </r>
  <r>
    <d v="2022-01-14T00:00:00"/>
    <n v="-2.5"/>
    <n v="2.5"/>
    <s v="NON-WELLS FARGO ATM TRANSACTION FEE"/>
    <x v="3"/>
    <x v="0"/>
    <x v="1"/>
  </r>
  <r>
    <d v="2022-01-14T00:00:00"/>
    <n v="-103.5"/>
    <n v="103.5"/>
    <s v="NON-WF ATM WITHDRAWAL AUTHORIZED ON 01/14 666 W E ST SAN DIEGO CA 382015019310845 ATM ID CA0961 CARD 6634"/>
    <x v="3"/>
    <x v="0"/>
    <x v="1"/>
  </r>
  <r>
    <d v="2022-01-18T00:00:00"/>
    <n v="-48.5"/>
    <n v="48.5"/>
    <s v="NON-WF ATM WITHDRAWAL AUTHORIZED ON 01/16 4645 DE SOTO ST SAN DIEGO CA 582017109140029 ATM ID L631055 CARD 6634"/>
    <x v="3"/>
    <x v="0"/>
    <x v="1"/>
  </r>
  <r>
    <d v="2022-01-18T00:00:00"/>
    <n v="-2.5"/>
    <n v="2.5"/>
    <s v="NON-WELLS FARGO ATM TRANSACTION FEE"/>
    <x v="3"/>
    <x v="0"/>
    <x v="1"/>
  </r>
  <r>
    <d v="2022-01-18T00:00:00"/>
    <n v="-10"/>
    <n v="10"/>
    <s v="PURCHASE AUTHORIZED ON 01/16 CASH APP*VALLEY 8774174551 CA S382017149175934 CARD 6634"/>
    <x v="12"/>
    <x v="0"/>
    <x v="6"/>
  </r>
  <r>
    <d v="2022-01-18T00:00:00"/>
    <n v="-20"/>
    <n v="20"/>
    <s v="PURCHASE AUTHORIZED ON 01/16 CASH APP*DARIUS CA 8774174551 CA S382017148849842 CARD 6634"/>
    <x v="12"/>
    <x v="0"/>
    <x v="7"/>
  </r>
  <r>
    <d v="2022-01-18T00:00:00"/>
    <n v="-2.5"/>
    <n v="2.5"/>
    <s v="NON-WELLS FARGO ATM TRANSACTION FEE"/>
    <x v="3"/>
    <x v="0"/>
    <x v="2"/>
  </r>
  <r>
    <d v="2022-01-18T00:00:00"/>
    <n v="-54.04"/>
    <n v="54.04"/>
    <s v="PURCHASE AUTHORIZED ON 01/16 CHEVRON 0094991 SAN DIEGO CA S382017053945491 CARD 6634"/>
    <x v="13"/>
    <x v="0"/>
    <x v="1"/>
  </r>
  <r>
    <d v="2022-01-18T00:00:00"/>
    <n v="-21.54"/>
    <n v="21.54"/>
    <s v="PURCHASE AUTHORIZED ON 01/16 SD ZOO CINNAMON TR SAN DIEGO CA S382017034170694 CARD 6634"/>
    <x v="14"/>
    <x v="0"/>
    <x v="1"/>
  </r>
  <r>
    <d v="2022-01-18T00:00:00"/>
    <n v="-6.99"/>
    <n v="6.99"/>
    <s v="PURCHASE AUTHORIZED ON 01/16 SD ZOO CANYON CAFE SAN DIEGO CA S582016817636715 CARD 6634"/>
    <x v="14"/>
    <x v="0"/>
    <x v="2"/>
  </r>
  <r>
    <d v="2022-01-18T00:00:00"/>
    <n v="-42.75"/>
    <n v="42.75"/>
    <s v="NON-WF ATM WITHDRAWAL AUTHORIZED ON 01/16 3710 VOLTAIRE ST. STE 1 SAN DIEGO CA 582016595373620 ATM ID P459681 CARD 6634"/>
    <x v="3"/>
    <x v="0"/>
    <x v="1"/>
  </r>
  <r>
    <d v="2022-01-18T00:00:00"/>
    <n v="-40"/>
    <n v="40"/>
    <s v="PURCHASE AUTHORIZED ON 01/15 BALLAST POINT LITT SAN DIEGO CA S302015831911176 CARD 6634"/>
    <x v="15"/>
    <x v="0"/>
    <x v="8"/>
  </r>
  <r>
    <d v="2022-01-18T00:00:00"/>
    <n v="-576.01"/>
    <n v="576.01"/>
    <s v="VENMO PAYMENT 220117 1018001608819 SEAN LEWIS"/>
    <x v="8"/>
    <x v="0"/>
    <x v="4"/>
  </r>
  <r>
    <d v="2022-01-18T00:00:00"/>
    <n v="-68.33"/>
    <n v="68.33"/>
    <s v="VENMO PAYMENT 220117 1018001751483 SEAN LEWIS"/>
    <x v="16"/>
    <x v="0"/>
    <x v="4"/>
  </r>
  <r>
    <d v="2022-01-24T00:00:00"/>
    <n v="-70"/>
    <n v="70"/>
    <s v="VENMO PAYMENT 220122 1018085063025 SEAN LEWIS"/>
    <x v="17"/>
    <x v="0"/>
    <x v="7"/>
  </r>
  <r>
    <d v="2022-01-27T00:00:00"/>
    <n v="-1866.67"/>
    <n v="1866.67"/>
    <s v="VENMO PAYMENT 220127 1018168964129 SEAN LEWIS"/>
    <x v="18"/>
    <x v="0"/>
    <x v="9"/>
  </r>
  <r>
    <d v="2022-01-27T00:00:00"/>
    <n v="933.33"/>
    <n v="933.33"/>
    <s v="VENMO CASHOUT 220127 1018164349212 SEAN LEWIS"/>
    <x v="5"/>
    <x v="0"/>
    <x v="9"/>
  </r>
  <r>
    <d v="2022-01-27T00:00:00"/>
    <n v="1718.36"/>
    <n v="1718.36"/>
    <s v="Nationwide PAYROLL 01 HRP0008024211 Sean Lewis"/>
    <x v="10"/>
    <x v="0"/>
    <x v="5"/>
  </r>
  <r>
    <d v="2022-01-31T00:00:00"/>
    <n v="-120"/>
    <n v="120"/>
    <s v="TRANSFER TO LEWIS DON ON 01/31 REF #PP0Q7YVDF7 XXXXXX7932"/>
    <x v="19"/>
    <x v="0"/>
    <x v="2"/>
  </r>
  <r>
    <d v="2022-01-31T00:00:00"/>
    <n v="-20"/>
    <n v="20"/>
    <s v="TRANSFER TO LEWIS SHARON ON 01/31 REF #PP0Q7YX7VJ XXXXXXXXX5267"/>
    <x v="4"/>
    <x v="0"/>
    <x v="2"/>
  </r>
  <r>
    <d v="2022-01-31T00:00:00"/>
    <n v="-29"/>
    <n v="29"/>
    <s v="VENMO PAYMENT 220129 1018202156945 SEAN LEWIS"/>
    <x v="20"/>
    <x v="0"/>
    <x v="4"/>
  </r>
  <r>
    <d v="2022-02-07T00:00:00"/>
    <n v="120"/>
    <n v="120"/>
    <s v="ZELLE FROM LEWIS JUSTINA ON 02/05 REF # PP0Q8BDL92"/>
    <x v="19"/>
    <x v="1"/>
    <x v="2"/>
  </r>
  <r>
    <d v="2022-02-10T00:00:00"/>
    <n v="-1733.33"/>
    <n v="1733.33"/>
    <s v="DISCOVER E-PAYMENT 220210 4618 LEWIS SEAN"/>
    <x v="0"/>
    <x v="1"/>
    <x v="1"/>
  </r>
  <r>
    <d v="2022-02-10T00:00:00"/>
    <n v="-70"/>
    <n v="70"/>
    <s v="VENMO PAYMENT 220210 1018415472279 SEAN LEWIS"/>
    <x v="21"/>
    <x v="1"/>
    <x v="7"/>
  </r>
  <r>
    <d v="2022-02-10T00:00:00"/>
    <n v="662.38"/>
    <n v="662.38"/>
    <s v="VENMO CASHOUT 220210 1018420729744 SEAN LEWIS"/>
    <x v="5"/>
    <x v="1"/>
    <x v="9"/>
  </r>
  <r>
    <d v="2022-02-10T00:00:00"/>
    <n v="68.58"/>
    <n v="68.58"/>
    <s v="VENMO CASHOUT 220210 1018412598097 SEAN LEWIS"/>
    <x v="7"/>
    <x v="1"/>
    <x v="3"/>
  </r>
  <r>
    <d v="2022-02-10T00:00:00"/>
    <n v="1718.36"/>
    <n v="1718.36"/>
    <s v="Nationwide PAYROLL 01 HRP0008036323 Sean Lewis"/>
    <x v="10"/>
    <x v="1"/>
    <x v="5"/>
  </r>
  <r>
    <d v="2022-02-11T00:00:00"/>
    <n v="-70"/>
    <n v="70"/>
    <s v="VENMO PAYMENT 220211 1018433632129 SEAN LEWIS"/>
    <x v="17"/>
    <x v="1"/>
    <x v="7"/>
  </r>
  <r>
    <d v="2022-02-11T00:00:00"/>
    <n v="-307.35000000000002"/>
    <n v="307.35000000000002"/>
    <s v="Synchrony Bank CC PYMT FEB 10 601918368630042 SEAN LEWIS"/>
    <x v="11"/>
    <x v="1"/>
    <x v="0"/>
  </r>
  <r>
    <d v="2022-02-14T00:00:00"/>
    <n v="-100"/>
    <n v="100"/>
    <s v="ATM WITHDRAWAL AUTHORIZED ON 02/13 4402 E Thomas Rd Phoenix AZ 0008953 ATM ID 5743H CARD 6634"/>
    <x v="3"/>
    <x v="1"/>
    <x v="1"/>
  </r>
  <r>
    <d v="2022-02-18T00:00:00"/>
    <n v="-70"/>
    <n v="70"/>
    <s v="VENMO PAYMENT 220218 1018555740013 SEAN LEWIS"/>
    <x v="17"/>
    <x v="1"/>
    <x v="7"/>
  </r>
  <r>
    <d v="2022-02-22T00:00:00"/>
    <n v="-205.75"/>
    <n v="205.75"/>
    <s v="APS electric pmt PAYMENT 220217 5175354092 Autopay"/>
    <x v="22"/>
    <x v="1"/>
    <x v="3"/>
  </r>
  <r>
    <d v="2022-02-22T00:00:00"/>
    <n v="-1000"/>
    <n v="1000"/>
    <s v="Synchrony Bank CC PYMT FEB 19 601918368630042 SEAN LEWIS"/>
    <x v="11"/>
    <x v="1"/>
    <x v="0"/>
  </r>
  <r>
    <d v="2022-02-22T00:00:00"/>
    <n v="-771.1"/>
    <n v="771.1"/>
    <s v="DISCOVER E-PAYMENT 220220 4618 LEWIS SEAN"/>
    <x v="0"/>
    <x v="1"/>
    <x v="2"/>
  </r>
  <r>
    <d v="2022-02-22T00:00:00"/>
    <n v="520.85"/>
    <n v="520.85"/>
    <s v="TPG PRODUCTS SBTPG LLC 220218 ETRVW3GLLOEOPDY SEAN LEWIS"/>
    <x v="23"/>
    <x v="1"/>
    <x v="5"/>
  </r>
  <r>
    <d v="2022-02-22T00:00:00"/>
    <n v="1257"/>
    <n v="1257"/>
    <s v="AZ DEPT OF REV Tax Refund 220218 XXXXX0268 LEWIS SEAN"/>
    <x v="23"/>
    <x v="1"/>
    <x v="5"/>
  </r>
  <r>
    <d v="2022-02-22T00:00:00"/>
    <n v="-189.21"/>
    <n v="189.21"/>
    <s v="VENMO PAYMENT 220222 1018622300513 SEAN LEWIS"/>
    <x v="5"/>
    <x v="1"/>
    <x v="2"/>
  </r>
  <r>
    <d v="2022-02-24T00:00:00"/>
    <n v="2176.2199999999998"/>
    <n v="2176.2199999999998"/>
    <s v="Nationwide PAYROLL 01 HRP0008091792 Sean Lewis"/>
    <x v="10"/>
    <x v="1"/>
    <x v="5"/>
  </r>
  <r>
    <d v="2022-02-24T00:00:00"/>
    <n v="100"/>
    <n v="100"/>
    <s v="TD AMERITRADE ACH OUT a9KLOZ6PQR LEWIS SEAN"/>
    <x v="24"/>
    <x v="1"/>
    <x v="5"/>
  </r>
  <r>
    <d v="2022-02-25T00:00:00"/>
    <n v="1424"/>
    <n v="1424"/>
    <s v="VA DEPT TAXATION VASTTAXRFD 220217 XXXXX0268 LEWIS, SEAN E"/>
    <x v="23"/>
    <x v="1"/>
    <x v="5"/>
  </r>
  <r>
    <d v="2022-02-25T00:00:00"/>
    <n v="-1400"/>
    <n v="1400"/>
    <s v="VENMO PAYMENT 220225 1018674378710 SEAN LEWIS"/>
    <x v="5"/>
    <x v="1"/>
    <x v="2"/>
  </r>
  <r>
    <d v="2022-02-28T00:00:00"/>
    <n v="-1866.67"/>
    <n v="1866.67"/>
    <s v="VENMO PAYMENT 220226 1018692237447 SEAN LEWIS"/>
    <x v="18"/>
    <x v="1"/>
    <x v="9"/>
  </r>
  <r>
    <d v="2022-02-28T00:00:00"/>
    <n v="-2.5"/>
    <n v="2.5"/>
    <s v="NON-WELLS FARGO ATM TRANSACTION FEE"/>
    <x v="3"/>
    <x v="1"/>
    <x v="1"/>
  </r>
  <r>
    <d v="2022-02-28T00:00:00"/>
    <n v="-42"/>
    <n v="42"/>
    <s v="NON-WF ATM WITHDRAWAL AUTHORIZED ON 02/25 727 W CAMELBACK RD PHOENIX AZ 382057136740734 ATM ID P304339 CARD 6634"/>
    <x v="3"/>
    <x v="1"/>
    <x v="1"/>
  </r>
  <r>
    <d v="2022-02-28T00:00:00"/>
    <n v="485"/>
    <n v="485"/>
    <s v="TRANSFER FROM LEWIS SHARON ON 02/26 REF # PP0Q9F5QXB THANK YOU"/>
    <x v="4"/>
    <x v="1"/>
    <x v="2"/>
  </r>
  <r>
    <d v="2022-02-28T00:00:00"/>
    <n v="-485"/>
    <n v="485"/>
    <s v="VENMO PAYMENT 220226 1018692186925 SEAN LEWIS"/>
    <x v="5"/>
    <x v="1"/>
    <x v="2"/>
  </r>
  <r>
    <d v="2022-03-01T00:00:00"/>
    <n v="-62"/>
    <n v="62"/>
    <s v="VENMO PAYMENT 220301 1018758856961 SEAN LEWIS"/>
    <x v="5"/>
    <x v="2"/>
    <x v="3"/>
  </r>
  <r>
    <d v="2022-03-10T00:00:00"/>
    <n v="-734.55"/>
    <n v="734.55"/>
    <s v="DISCOVER E-PAYMENT 220310 4618 LEWIS SEAN"/>
    <x v="0"/>
    <x v="2"/>
    <x v="0"/>
  </r>
  <r>
    <d v="2022-03-10T00:00:00"/>
    <n v="2240.0700000000002"/>
    <n v="2240.0700000000002"/>
    <s v="Nationwide PAYROLL 01 HRP0008137116 Sean Lewis"/>
    <x v="10"/>
    <x v="2"/>
    <x v="5"/>
  </r>
  <r>
    <d v="2022-03-10T00:00:00"/>
    <n v="-1500"/>
    <n v="1500"/>
    <s v="VENMO PAYMENT 220310 1018915574100 SEAN LEWIS"/>
    <x v="5"/>
    <x v="2"/>
    <x v="2"/>
  </r>
  <r>
    <d v="2022-03-18T00:00:00"/>
    <n v="-60"/>
    <n v="60"/>
    <s v="PURCHASE AUTHORIZED ON 03/17 CASH APP*SHEVON LE 8774174551 CA S302076796250975 CARD 6634"/>
    <x v="25"/>
    <x v="2"/>
    <x v="2"/>
  </r>
  <r>
    <d v="2022-03-21T00:00:00"/>
    <n v="33"/>
    <n v="33"/>
    <s v="ZELLE FROM ERNEST NOCHE ON 03/20 REF # BACU6FMEIILK"/>
    <x v="26"/>
    <x v="2"/>
    <x v="8"/>
  </r>
  <r>
    <d v="2022-03-21T00:00:00"/>
    <n v="137.51"/>
    <n v="137.51"/>
    <s v="VENMO CASHOUT 220321 1019111739464 SEAN LEWIS"/>
    <x v="27"/>
    <x v="2"/>
    <x v="2"/>
  </r>
  <r>
    <d v="2022-03-22T00:00:00"/>
    <n v="-734.55"/>
    <n v="734.55"/>
    <s v="DISCOVER E-PAYMENT 220322 4618 LEWIS SEAN"/>
    <x v="0"/>
    <x v="2"/>
    <x v="0"/>
  </r>
  <r>
    <d v="2022-03-22T00:00:00"/>
    <n v="-146.16999999999999"/>
    <n v="146.16999999999999"/>
    <s v="APS electric pmt PAYMENT 220318 5175354092 Autopay"/>
    <x v="22"/>
    <x v="2"/>
    <x v="3"/>
  </r>
  <r>
    <d v="2022-03-22T00:00:00"/>
    <n v="-43.16"/>
    <n v="43.16"/>
    <s v="PURCHASE AUTHORIZED ON 03/22 SHELL SERVICE STATION PHOENIX AZ P302081522144554 CARD 6634"/>
    <x v="13"/>
    <x v="2"/>
    <x v="1"/>
  </r>
  <r>
    <d v="2022-03-22T00:00:00"/>
    <n v="66"/>
    <n v="66"/>
    <s v="VENMO CASHOUT 220322 1019125273986 SEAN LEWIS"/>
    <x v="5"/>
    <x v="2"/>
    <x v="2"/>
  </r>
  <r>
    <d v="2022-03-24T00:00:00"/>
    <n v="-1400"/>
    <n v="1400"/>
    <s v="VENMO PAYMENT 220324 1019164077845 SEAN LEWIS"/>
    <x v="18"/>
    <x v="2"/>
    <x v="9"/>
  </r>
  <r>
    <d v="2022-03-24T00:00:00"/>
    <n v="-500"/>
    <n v="500"/>
    <s v="DISCOVER E-PAYMENT 220324 4618 LEWIS SEAN"/>
    <x v="0"/>
    <x v="2"/>
    <x v="0"/>
  </r>
  <r>
    <d v="2022-03-24T00:00:00"/>
    <n v="2240.0700000000002"/>
    <n v="2240.0700000000002"/>
    <s v="Nationwide PAYROLL 01 HRP0008178715 Sean Lewis"/>
    <x v="10"/>
    <x v="2"/>
    <x v="5"/>
  </r>
  <r>
    <d v="2022-03-25T00:00:00"/>
    <n v="-52"/>
    <n v="52"/>
    <s v="VENMO PAYMENT 220325 1019189845192 SEAN LEWIS"/>
    <x v="20"/>
    <x v="2"/>
    <x v="4"/>
  </r>
  <r>
    <d v="2022-03-28T00:00:00"/>
    <n v="-5"/>
    <n v="5"/>
    <s v="PURCHASE AUTHORIZED ON 03/26 CASH APP*ENGAGETM 8774174551 CA S382085824280328 CARD 6634"/>
    <x v="28"/>
    <x v="2"/>
    <x v="2"/>
  </r>
  <r>
    <d v="2022-03-28T00:00:00"/>
    <n v="-100"/>
    <n v="100"/>
    <s v="PURCHASE AUTHORIZED ON 03/25 CASH APP*CYANFACE 8774174551 CA S302084480194424 CARD 6634"/>
    <x v="9"/>
    <x v="2"/>
    <x v="2"/>
  </r>
  <r>
    <d v="2022-03-29T00:00:00"/>
    <n v="-70.650000000000006"/>
    <n v="70.650000000000006"/>
    <s v="VENMO PAYMENT 220329 1019258605951 SEAN LEWIS"/>
    <x v="7"/>
    <x v="2"/>
    <x v="3"/>
  </r>
  <r>
    <d v="2022-03-29T00:00:00"/>
    <n v="49.32"/>
    <n v="49.32"/>
    <s v="VENMO CASHOUT 220329 1019258957091 SEAN LEWIS"/>
    <x v="7"/>
    <x v="2"/>
    <x v="3"/>
  </r>
  <r>
    <d v="2022-03-29T00:00:00"/>
    <n v="87.4"/>
    <n v="87.4"/>
    <s v="VENMO CASHOUT 220329 1019257034036 SEAN LEWIS"/>
    <x v="27"/>
    <x v="2"/>
    <x v="2"/>
  </r>
  <r>
    <d v="2022-03-31T00:00:00"/>
    <n v="-10"/>
    <n v="10"/>
    <s v="PURCHASE AUTHORIZED ON 03/30 CASH APP*CYANFACE 8774174551 CA S462090143040686 CARD 6634"/>
    <x v="9"/>
    <x v="2"/>
    <x v="2"/>
  </r>
  <r>
    <d v="2022-04-01T00:00:00"/>
    <n v="-45"/>
    <n v="45"/>
    <s v="PURCHASE AUTHORIZED ON 03/31 CASH APP*CYANFACE 8774174551 CA S582090834603593 CARD 6634"/>
    <x v="9"/>
    <x v="3"/>
    <x v="2"/>
  </r>
  <r>
    <d v="2022-04-04T00:00:00"/>
    <n v="-8"/>
    <n v="8"/>
    <s v="PURCHASE AUTHORIZED ON 04/01 CASH APP*CYANFACE 8774174551 CA S302091792116789 CARD 6634"/>
    <x v="9"/>
    <x v="3"/>
    <x v="2"/>
  </r>
  <r>
    <d v="2022-04-04T00:00:00"/>
    <n v="-38.71"/>
    <n v="38.71"/>
    <s v="PURCHASE AUTHORIZED ON 04/02 SAFEWAY #2651 PHOENIX AZ P462092686408975 CARD 6634"/>
    <x v="29"/>
    <x v="3"/>
    <x v="1"/>
  </r>
  <r>
    <d v="2022-04-04T00:00:00"/>
    <n v="-100"/>
    <n v="100"/>
    <s v="TRANSFER TO LEWIS SHARON ON 04/03 REF #PP0QCJCLVN XXXXXXXXX5267"/>
    <x v="4"/>
    <x v="3"/>
    <x v="2"/>
  </r>
  <r>
    <d v="2022-04-05T00:00:00"/>
    <n v="-5.41"/>
    <n v="5.41"/>
    <s v="PURCHASE AUTHORIZED ON 04/04 Whitepages 800-9529005 WA S382095014545576 CARD 6634"/>
    <x v="30"/>
    <x v="3"/>
    <x v="1"/>
  </r>
  <r>
    <d v="2022-04-05T00:00:00"/>
    <n v="-10.78"/>
    <n v="10.78"/>
    <s v="PURCHASE AUTHORIZED ON 04/04 Whitepages 800-9529005 WA S382095010925055 CARD 6634"/>
    <x v="30"/>
    <x v="3"/>
    <x v="1"/>
  </r>
  <r>
    <d v="2022-04-06T00:00:00"/>
    <n v="-40"/>
    <n v="40"/>
    <s v="PURCHASE AUTHORIZED ON 04/05 CASH APP*CYANFACE 8774174551 CA S382096070149787 CARD 6634"/>
    <x v="9"/>
    <x v="3"/>
    <x v="2"/>
  </r>
  <r>
    <d v="2022-04-07T00:00:00"/>
    <n v="-934.85"/>
    <n v="934.85"/>
    <s v="DISCOVER E-PAYMENT 220407 4618 LEWIS SEAN"/>
    <x v="0"/>
    <x v="3"/>
    <x v="0"/>
  </r>
  <r>
    <d v="2022-04-07T00:00:00"/>
    <n v="2240.08"/>
    <n v="2240.08"/>
    <s v="Nationwide PAYROLL 01 HRP0008210841 Sean Lewis"/>
    <x v="10"/>
    <x v="3"/>
    <x v="5"/>
  </r>
  <r>
    <d v="2022-04-08T00:00:00"/>
    <n v="-35"/>
    <n v="35"/>
    <s v="ZELLE TO ZAZUETA CARMEN ON 04/08 REF #PP0QCS8FDR"/>
    <x v="31"/>
    <x v="3"/>
    <x v="2"/>
  </r>
  <r>
    <d v="2022-04-08T00:00:00"/>
    <n v="-1000"/>
    <n v="1000"/>
    <s v="Synchrony Bank CC PYMT APR 07 601918368630042 SEAN LEWIS"/>
    <x v="11"/>
    <x v="3"/>
    <x v="0"/>
  </r>
  <r>
    <d v="2022-04-08T00:00:00"/>
    <n v="-200"/>
    <n v="200"/>
    <s v="TRANSFER TO LEWIS SHARON ON 04/08 REF #PP0QCT2JQH XXXXXXXXX5267"/>
    <x v="4"/>
    <x v="3"/>
    <x v="2"/>
  </r>
  <r>
    <d v="2022-04-15T00:00:00"/>
    <n v="-50"/>
    <n v="50"/>
    <s v="VENMO PAYMENT 220415 1019571055773 SEAN LEWIS"/>
    <x v="22"/>
    <x v="3"/>
    <x v="3"/>
  </r>
  <r>
    <d v="2022-04-15T00:00:00"/>
    <n v="63"/>
    <n v="63"/>
    <s v="TICKETMASTER RES 0414-TH002 200051625122116 SEAN LEWIS"/>
    <x v="32"/>
    <x v="3"/>
    <x v="5"/>
  </r>
  <r>
    <d v="2022-04-20T00:00:00"/>
    <n v="-147.97"/>
    <n v="147.97"/>
    <s v="APS electric pmt PAYMENT 220418 5175354092 Autopay"/>
    <x v="22"/>
    <x v="3"/>
    <x v="3"/>
  </r>
  <r>
    <d v="2022-04-21T00:00:00"/>
    <n v="-1400"/>
    <n v="1400"/>
    <s v="VENMO PAYMENT 220421 1019665215805 SEAN LEWIS"/>
    <x v="18"/>
    <x v="3"/>
    <x v="9"/>
  </r>
  <r>
    <d v="2022-04-21T00:00:00"/>
    <n v="2240.0700000000002"/>
    <n v="2240.0700000000002"/>
    <s v="Nationwide PAYROLL 01 HRP0008262709 Sean Lewis"/>
    <x v="10"/>
    <x v="3"/>
    <x v="5"/>
  </r>
  <r>
    <d v="2022-04-25T00:00:00"/>
    <n v="-59"/>
    <n v="59"/>
    <s v="VENMO PAYMENT 220425 1019749370210 SEAN LEWIS"/>
    <x v="33"/>
    <x v="3"/>
    <x v="4"/>
  </r>
  <r>
    <d v="2022-04-25T00:00:00"/>
    <n v="-130"/>
    <n v="130"/>
    <s v="TRANSFER TO LEWIS SHARON ON 04/24 REF #PP0QDPJBL5 XXXXXXXXX5267"/>
    <x v="4"/>
    <x v="3"/>
    <x v="2"/>
  </r>
  <r>
    <d v="2022-04-26T00:00:00"/>
    <n v="-50"/>
    <n v="50"/>
    <s v="PURCHASE AUTHORIZED ON 04/25 CASH APP*ENGAGETM 8774174551 CA S582115519772801 CARD 6634"/>
    <x v="28"/>
    <x v="3"/>
    <x v="2"/>
  </r>
  <r>
    <d v="2022-04-26T00:00:00"/>
    <n v="-50"/>
    <n v="50"/>
    <s v="PURCHASE AUTHORIZED ON 04/25 CASH APP*ENGAGETM 8774174551 CA S382115509672635 CARD 6634"/>
    <x v="28"/>
    <x v="3"/>
    <x v="2"/>
  </r>
  <r>
    <d v="2022-04-26T00:00:00"/>
    <n v="-5"/>
    <n v="5"/>
    <s v="PURCHASE AUTHORIZED ON 04/25 CASH APP*ENGAGETM 8774174551 CA S582115509564771 CARD 6634"/>
    <x v="28"/>
    <x v="3"/>
    <x v="2"/>
  </r>
  <r>
    <d v="2022-04-26T00:00:00"/>
    <n v="-5"/>
    <n v="5"/>
    <s v="PURCHASE AUTHORIZED ON 04/25 CASH APP*ENGAGETM 8774174551 CA S382115509436010 CARD 6634"/>
    <x v="28"/>
    <x v="3"/>
    <x v="2"/>
  </r>
  <r>
    <d v="2022-04-27T00:00:00"/>
    <n v="-139.77000000000001"/>
    <n v="139.77000000000001"/>
    <s v="Synchrony Bank CC PYMT APR 27 601918368630042 SEAN LEWIS"/>
    <x v="11"/>
    <x v="3"/>
    <x v="0"/>
  </r>
  <r>
    <d v="2022-05-02T00:00:00"/>
    <n v="-433.31"/>
    <n v="433.31"/>
    <s v="RECURRING PAYMENT AUTHORIZED ON 05/01 FBPAY * Meta Store 650-5434800 CA S462122141896482 CARD 6634"/>
    <x v="34"/>
    <x v="4"/>
    <x v="4"/>
  </r>
  <r>
    <d v="2022-05-02T00:00:00"/>
    <n v="88.42"/>
    <n v="88.42"/>
    <s v="MONEY TRANSFER AUTHORIZED ON 05/01 FROM Sean Lewis VA S302122142423810 CARD 6634"/>
    <x v="30"/>
    <x v="4"/>
    <x v="1"/>
  </r>
  <r>
    <d v="2022-05-02T00:00:00"/>
    <n v="66.010000000000005"/>
    <n v="66.010000000000005"/>
    <s v="RTP from VENMO on 05/01 Ref#20220501021000021P1BRJPM00020083532"/>
    <x v="27"/>
    <x v="4"/>
    <x v="2"/>
  </r>
  <r>
    <d v="2022-05-05T00:00:00"/>
    <n v="-1000"/>
    <n v="1000"/>
    <s v="DISCOVER E-PAYMENT 220505 4618 LEWIS SEAN"/>
    <x v="0"/>
    <x v="4"/>
    <x v="0"/>
  </r>
  <r>
    <d v="2022-05-05T00:00:00"/>
    <n v="-5.41"/>
    <n v="5.41"/>
    <s v="PURCHASE AUTHORIZED ON 05/04 Whitepages 800-9529005 WA S302124835848510 CARD 6634"/>
    <x v="30"/>
    <x v="4"/>
    <x v="1"/>
  </r>
  <r>
    <d v="2022-05-05T00:00:00"/>
    <n v="2482.89"/>
    <n v="2482.89"/>
    <s v="Nationwide PAYROLL 01 HRP0008291684 Sean Lewis"/>
    <x v="10"/>
    <x v="4"/>
    <x v="5"/>
  </r>
  <r>
    <d v="2022-05-06T00:00:00"/>
    <n v="-1000"/>
    <n v="1000"/>
    <s v="Synchrony Bank CC PYMT MAY 05 601918368630042 SEAN LEWIS"/>
    <x v="11"/>
    <x v="4"/>
    <x v="0"/>
  </r>
  <r>
    <d v="2022-05-09T00:00:00"/>
    <n v="-30"/>
    <n v="30"/>
    <s v="PURCHASE AUTHORIZED ON 05/07 CASH APP*CYANFACE 8774174551 CA S462127606388401 CARD 6634"/>
    <x v="9"/>
    <x v="4"/>
    <x v="2"/>
  </r>
  <r>
    <d v="2022-05-09T00:00:00"/>
    <n v="-10"/>
    <n v="10"/>
    <s v="PURCHASE AUTHORIZED ON 05/06 CASH APP*CYANFACE 8774174551 CA S582127150926322 CARD 6634"/>
    <x v="9"/>
    <x v="4"/>
    <x v="2"/>
  </r>
  <r>
    <d v="2022-05-09T00:00:00"/>
    <n v="-100"/>
    <n v="100"/>
    <s v="TRANSFER TO LEWIS SHARON ON 05/08 REF #PP0QFL5Y5L XXXXXXXXX5267"/>
    <x v="4"/>
    <x v="4"/>
    <x v="2"/>
  </r>
  <r>
    <d v="2022-05-09T00:00:00"/>
    <n v="-16"/>
    <n v="16"/>
    <s v="PURCHASE AUTHORIZED ON 05/05 HARKINS AZ MILLS TEMPE AZ S302126116385899 CARD 6634"/>
    <x v="35"/>
    <x v="4"/>
    <x v="1"/>
  </r>
  <r>
    <d v="2022-05-09T00:00:00"/>
    <n v="-75"/>
    <n v="75"/>
    <s v="VENMO PAYMENT 220509 1020011090331 SEAN LEWIS"/>
    <x v="36"/>
    <x v="4"/>
    <x v="4"/>
  </r>
  <r>
    <d v="2022-05-09T00:00:00"/>
    <n v="389"/>
    <n v="389"/>
    <s v="VENMO CASHOUT 220507 1019978241112 SEAN LEWIS"/>
    <x v="36"/>
    <x v="4"/>
    <x v="4"/>
  </r>
  <r>
    <d v="2022-05-11T00:00:00"/>
    <n v="-25"/>
    <n v="25"/>
    <s v="PURCHASE AUTHORIZED ON 05/10 FANDUEL SPORTSBOOK 9717083015 NJ S582131013680702 CARD 6634"/>
    <x v="37"/>
    <x v="4"/>
    <x v="4"/>
  </r>
  <r>
    <d v="2022-05-11T00:00:00"/>
    <n v="-25"/>
    <n v="25"/>
    <s v="PURCHASE AUTHORIZED ON 05/09 FANDUEL/STARDUST C JERSEY CITY NJ S462130048614183 CARD 6634"/>
    <x v="37"/>
    <x v="4"/>
    <x v="4"/>
  </r>
  <r>
    <d v="2022-05-11T00:00:00"/>
    <n v="-25"/>
    <n v="25"/>
    <s v="PURCHASE AUTHORIZED ON 05/09 FANDUEL/STARDUST C JERSEY CITY NJ S462130031365088 CARD 6634"/>
    <x v="37"/>
    <x v="4"/>
    <x v="4"/>
  </r>
  <r>
    <d v="2022-05-13T00:00:00"/>
    <n v="-77"/>
    <n v="77"/>
    <s v="VENMO PAYMENT 220513 1020093875157 SEAN LEWIS"/>
    <x v="38"/>
    <x v="4"/>
    <x v="2"/>
  </r>
  <r>
    <d v="2022-05-17T00:00:00"/>
    <n v="-50"/>
    <n v="50"/>
    <s v="PURCHASE AUTHORIZED ON 05/15 WGC*FOGODECHAO 888-288-4641 TX S382136093175836 CARD 6634"/>
    <x v="7"/>
    <x v="4"/>
    <x v="3"/>
  </r>
  <r>
    <d v="2022-05-19T00:00:00"/>
    <n v="-1400"/>
    <n v="1400"/>
    <s v="VENMO PAYMENT 220519 1020186945987 SEAN LEWIS"/>
    <x v="18"/>
    <x v="4"/>
    <x v="9"/>
  </r>
  <r>
    <d v="2022-05-19T00:00:00"/>
    <n v="-1000"/>
    <n v="1000"/>
    <s v="DISCOVER E-PAYMENT 220519 4618 LEWIS SEAN"/>
    <x v="0"/>
    <x v="4"/>
    <x v="0"/>
  </r>
  <r>
    <d v="2022-05-19T00:00:00"/>
    <n v="2482.9"/>
    <n v="2482.9"/>
    <s v="Nationwide PAYROLL 01 HRP0008329531 Sean Lewis"/>
    <x v="10"/>
    <x v="4"/>
    <x v="5"/>
  </r>
  <r>
    <d v="2022-05-20T00:00:00"/>
    <n v="-400"/>
    <n v="400"/>
    <s v="TRANSFER TO LEWIS SHARON ON 05/20 REF #PP0QG9RW9R XXXXXXXXX5267"/>
    <x v="4"/>
    <x v="4"/>
    <x v="2"/>
  </r>
  <r>
    <d v="2022-05-20T00:00:00"/>
    <n v="-143.04"/>
    <n v="143.04"/>
    <s v="APS electric pmt PAYMENT 220518 5175354092 Autopay"/>
    <x v="22"/>
    <x v="4"/>
    <x v="3"/>
  </r>
  <r>
    <d v="2022-05-23T00:00:00"/>
    <n v="-82.52"/>
    <n v="82.52"/>
    <s v="VENMO PAYMENT 220522 1020247831834 SEAN LEWIS"/>
    <x v="20"/>
    <x v="4"/>
    <x v="4"/>
  </r>
  <r>
    <d v="2022-05-23T00:00:00"/>
    <n v="-82.52"/>
    <n v="82.52"/>
    <s v="VENMO PAYMENT 220522 1020246831785 SEAN LEWIS"/>
    <x v="39"/>
    <x v="4"/>
    <x v="1"/>
  </r>
  <r>
    <d v="2022-05-23T00:00:00"/>
    <n v="82.52"/>
    <n v="82.52"/>
    <s v="VENMO REFUND 220522 1020247819317 SEAN LEWIS"/>
    <x v="39"/>
    <x v="4"/>
    <x v="2"/>
  </r>
  <r>
    <d v="2022-06-02T00:00:00"/>
    <n v="2482.9"/>
    <n v="2482.9"/>
    <s v="Nationwide PAYROLL 01 HRP0008356183 Sean Lewis"/>
    <x v="10"/>
    <x v="5"/>
    <x v="5"/>
  </r>
  <r>
    <d v="2022-06-03T00:00:00"/>
    <n v="-1000"/>
    <n v="1000"/>
    <s v="DISCOVER E-PAYMENT 220603 4618 LEWIS SEAN"/>
    <x v="0"/>
    <x v="5"/>
    <x v="0"/>
  </r>
  <r>
    <d v="2022-06-06T00:00:00"/>
    <n v="-200"/>
    <n v="200"/>
    <s v="TRANSFER TO LEWIS SHARON ON 06/06 REF #PP0QHBWMGF XXXXXXXXX5267"/>
    <x v="4"/>
    <x v="5"/>
    <x v="2"/>
  </r>
  <r>
    <d v="2022-06-06T00:00:00"/>
    <n v="-974.91"/>
    <n v="974.91"/>
    <s v="BEST BUY PAYMENT 220603 610764515124033 SEAN LEWIS"/>
    <x v="1"/>
    <x v="5"/>
    <x v="0"/>
  </r>
  <r>
    <d v="2022-06-06T00:00:00"/>
    <n v="-5.41"/>
    <n v="5.41"/>
    <s v="PURCHASE AUTHORIZED ON 06/04 Whitepages 800-9529005 WA S302155835572091 CARD 6634"/>
    <x v="30"/>
    <x v="5"/>
    <x v="1"/>
  </r>
  <r>
    <d v="2022-06-06T00:00:00"/>
    <n v="-67.45"/>
    <n v="67.45"/>
    <s v="PURCHASE WITH CASH BACK $ 5.00 AUTHORIZED ON 06/04 WALGREENS STORE 260 EL CA BURLINGAME CA P462155627233083 CARD 6634"/>
    <x v="40"/>
    <x v="5"/>
    <x v="1"/>
  </r>
  <r>
    <d v="2022-06-13T00:00:00"/>
    <n v="-60"/>
    <n v="60"/>
    <s v="PURCHASE AUTHORIZED ON 06/11 CASH APP*DON 8774174551 CA S582163074746371 CARD 6634"/>
    <x v="19"/>
    <x v="5"/>
    <x v="2"/>
  </r>
  <r>
    <d v="2022-06-13T00:00:00"/>
    <n v="-20"/>
    <n v="20"/>
    <s v="PURCHASE AUTHORIZED ON 06/12 CASH APP*ENGAGETM 8774174551 CA S382163744567563 CARD 6634"/>
    <x v="28"/>
    <x v="5"/>
    <x v="2"/>
  </r>
  <r>
    <d v="2022-06-13T00:00:00"/>
    <n v="50"/>
    <n v="50"/>
    <s v="TRANSFER FROM LEWIS SHARON ON 06/13 REF # PP0QHQ4TR4"/>
    <x v="4"/>
    <x v="5"/>
    <x v="2"/>
  </r>
  <r>
    <d v="2022-06-13T00:00:00"/>
    <n v="150"/>
    <n v="150"/>
    <s v="TRANSFER FROM LEWIS SHARON ON 06/12 REF # PP0QHNG9SZ"/>
    <x v="4"/>
    <x v="5"/>
    <x v="2"/>
  </r>
  <r>
    <d v="2022-06-15T00:00:00"/>
    <n v="-50"/>
    <n v="50"/>
    <s v="PURCHASE AUTHORIZED ON 06/14 CASH APP*DON LEWIS 8774174551 CA S582165498489582 CARD 6634"/>
    <x v="19"/>
    <x v="5"/>
    <x v="2"/>
  </r>
  <r>
    <d v="2022-06-15T00:00:00"/>
    <n v="-50"/>
    <n v="50"/>
    <s v="PURCHASE AUTHORIZED ON 06/14 CASH APP*POODIE 8774174551 CA S382165830962853 CARD 6634"/>
    <x v="25"/>
    <x v="5"/>
    <x v="2"/>
  </r>
  <r>
    <d v="2022-06-16T00:00:00"/>
    <n v="-2000"/>
    <n v="2000"/>
    <s v="DISCOVER E-PAYMENT 220616 4618 LEWIS SEAN"/>
    <x v="0"/>
    <x v="5"/>
    <x v="0"/>
  </r>
  <r>
    <d v="2022-06-16T00:00:00"/>
    <n v="2482.89"/>
    <n v="2482.89"/>
    <s v="Nationwide PAYROLL 01 HRP0008410541 Sean Lewis"/>
    <x v="10"/>
    <x v="5"/>
    <x v="5"/>
  </r>
  <r>
    <d v="2022-06-16T00:00:00"/>
    <n v="-186.07"/>
    <n v="186.07"/>
    <s v="VENMO PAYMENT 220616 1020720046155 SEAN LEWIS"/>
    <x v="5"/>
    <x v="5"/>
    <x v="2"/>
  </r>
  <r>
    <d v="2022-06-17T00:00:00"/>
    <n v="400"/>
    <n v="400"/>
    <s v="TRANSFER FROM LEWIS SHARON ON 06/17 REF # PP0QHXR59Y"/>
    <x v="4"/>
    <x v="5"/>
    <x v="2"/>
  </r>
  <r>
    <d v="2022-06-21T00:00:00"/>
    <n v="-100"/>
    <n v="100"/>
    <s v="PURCHASE AUTHORIZED ON 06/18 CASH APP*ENGAGETM 8774174551 CA S582169671615289 CARD 6634"/>
    <x v="28"/>
    <x v="5"/>
    <x v="2"/>
  </r>
  <r>
    <d v="2022-06-21T00:00:00"/>
    <n v="-238.5"/>
    <n v="238.5"/>
    <s v="APS electric pmt PAYMENT 220617 5175354092 Autopay"/>
    <x v="22"/>
    <x v="5"/>
    <x v="3"/>
  </r>
  <r>
    <d v="2022-06-21T00:00:00"/>
    <n v="-10"/>
    <n v="10"/>
    <s v="Cash eWithdrawal in Branch/Store 06/21/2022 10:33 AM 2800 3RD AVE SEATTLE WA 6659"/>
    <x v="3"/>
    <x v="5"/>
    <x v="1"/>
  </r>
  <r>
    <d v="2022-06-23T00:00:00"/>
    <n v="-33.270000000000003"/>
    <n v="33.270000000000003"/>
    <s v="VENMO PAYMENT 220623 1020831539453 SEAN LEWIS"/>
    <x v="7"/>
    <x v="5"/>
    <x v="3"/>
  </r>
  <r>
    <d v="2022-06-30T00:00:00"/>
    <n v="-1400"/>
    <n v="1400"/>
    <s v="VENMO PAYMENT 220630 1020962587938 SEAN LEWIS"/>
    <x v="18"/>
    <x v="5"/>
    <x v="9"/>
  </r>
  <r>
    <d v="2022-06-30T00:00:00"/>
    <n v="-1000"/>
    <n v="1000"/>
    <s v="DISCOVER E-PAYMENT 220630 4618 LEWIS SEAN"/>
    <x v="0"/>
    <x v="5"/>
    <x v="0"/>
  </r>
  <r>
    <d v="2022-06-30T00:00:00"/>
    <n v="2482.9"/>
    <n v="2482.9"/>
    <s v="Nationwide PAYROLL 01 HRP0008432957 Sean Lewis"/>
    <x v="10"/>
    <x v="5"/>
    <x v="5"/>
  </r>
  <r>
    <d v="2022-07-05T00:00:00"/>
    <n v="-100"/>
    <n v="100"/>
    <s v="TRANSFER TO LEWIS SHARON ON 07/02 REF #PP0QJVRTMH XXXXXXXXX5267"/>
    <x v="4"/>
    <x v="6"/>
    <x v="2"/>
  </r>
  <r>
    <d v="2022-07-13T00:00:00"/>
    <n v="-64"/>
    <n v="64"/>
    <s v="PURCHASE AUTHORIZED ON 07/13 TVM ROOSEVELT / CENTRA PHOENIX AZ P000000382476516 CARD 6659"/>
    <x v="41"/>
    <x v="6"/>
    <x v="10"/>
  </r>
  <r>
    <d v="2022-07-14T00:00:00"/>
    <n v="-2600"/>
    <n v="2600"/>
    <s v="DISCOVER E-PAYMENT 220714 4618 LEWIS SEAN"/>
    <x v="0"/>
    <x v="6"/>
    <x v="0"/>
  </r>
  <r>
    <d v="2022-07-14T00:00:00"/>
    <n v="2482.89"/>
    <n v="2482.89"/>
    <s v="Nationwide PAYROLL 01 HRP0008481840 Sean Lewis"/>
    <x v="10"/>
    <x v="6"/>
    <x v="5"/>
  </r>
  <r>
    <d v="2022-07-18T00:00:00"/>
    <n v="-25.48"/>
    <n v="25.48"/>
    <s v="PLANET FIT CLUB FEES 2219604520647 623-439-5550"/>
    <x v="6"/>
    <x v="6"/>
    <x v="4"/>
  </r>
  <r>
    <d v="2022-07-20T00:00:00"/>
    <n v="-44.33"/>
    <n v="44.33"/>
    <s v="PURCHASE AUTHORIZED ON 07/20 CIRCLE K # 03461 2840 PHOENIX AZ P000000286605087 CARD 6659"/>
    <x v="13"/>
    <x v="6"/>
    <x v="1"/>
  </r>
  <r>
    <d v="2022-07-21T00:00:00"/>
    <n v="-202.46"/>
    <n v="202.46"/>
    <s v="APS electric pmt PAYMENT 220719 5175354092 Autopay"/>
    <x v="22"/>
    <x v="6"/>
    <x v="3"/>
  </r>
  <r>
    <d v="2022-07-25T00:00:00"/>
    <n v="100"/>
    <n v="100"/>
    <s v="TRANSFER FROM LEWIS SHARON ON 07/23 REF # PP0QL55Y4V"/>
    <x v="4"/>
    <x v="6"/>
    <x v="2"/>
  </r>
  <r>
    <d v="2022-07-28T00:00:00"/>
    <n v="-1400"/>
    <n v="1400"/>
    <s v="VENMO PAYMENT 220728 1021468018631 SEAN LEWIS"/>
    <x v="18"/>
    <x v="6"/>
    <x v="9"/>
  </r>
  <r>
    <d v="2022-07-28T00:00:00"/>
    <n v="2482.9"/>
    <n v="2482.9"/>
    <s v="Nationwide PAYROLL 01 HRP0008521348 Sean Lewis"/>
    <x v="10"/>
    <x v="6"/>
    <x v="5"/>
  </r>
  <r>
    <d v="2022-07-29T00:00:00"/>
    <n v="-1000"/>
    <n v="1000"/>
    <s v="DISCOVER E-PAYMENT 220729 4618 LEWIS SEAN"/>
    <x v="0"/>
    <x v="6"/>
    <x v="0"/>
  </r>
  <r>
    <d v="2022-08-01T00:00:00"/>
    <n v="504.86"/>
    <n v="504.86"/>
    <s v="MOBILE DEPOSIT : REF NUMBER :611310481603"/>
    <x v="42"/>
    <x v="7"/>
    <x v="11"/>
  </r>
  <r>
    <d v="2022-08-02T00:00:00"/>
    <n v="-33"/>
    <n v="33"/>
    <s v="PURCHASE AUTHORIZED ON 08/02 TVM VAN BUREN / CENTRA PHOENIX AZ P000000782417102 CARD 6659"/>
    <x v="42"/>
    <x v="7"/>
    <x v="11"/>
  </r>
  <r>
    <d v="2022-08-03T00:00:00"/>
    <n v="-268.79000000000002"/>
    <n v="268.79000000000002"/>
    <s v="DISCOVER E-PAYMENT 220803 4618 LEWIS SEAN"/>
    <x v="0"/>
    <x v="7"/>
    <x v="0"/>
  </r>
  <r>
    <d v="2022-08-08T00:00:00"/>
    <n v="-36.06"/>
    <n v="36.06"/>
    <s v="GasBuddy GasBuddy I8K8B6G7G Sean Lewis"/>
    <x v="42"/>
    <x v="7"/>
    <x v="11"/>
  </r>
  <r>
    <d v="2022-08-08T00:00:00"/>
    <n v="-24.95"/>
    <n v="24.95"/>
    <s v="RECURRING PAYMENT AUTHORIZED ON 08/06 Elsevier Inc. 188-89555291 PA S382218632793895 CARD 6659"/>
    <x v="42"/>
    <x v="7"/>
    <x v="11"/>
  </r>
  <r>
    <d v="2022-08-11T00:00:00"/>
    <n v="2482.9"/>
    <n v="2482.9"/>
    <s v="Nationwide PAYROLL 01 HRP0008565110 Sean Lewis"/>
    <x v="10"/>
    <x v="7"/>
    <x v="5"/>
  </r>
  <r>
    <d v="2022-08-15T00:00:00"/>
    <n v="-962.04"/>
    <n v="962.04"/>
    <s v="DISCOVER E-PAYMENT 220814 4618 LEWIS SEAN"/>
    <x v="0"/>
    <x v="7"/>
    <x v="0"/>
  </r>
  <r>
    <d v="2022-08-15T00:00:00"/>
    <n v="-39.520000000000003"/>
    <n v="39.520000000000003"/>
    <s v="PURCHASE AUTHORIZED ON 08/15 ARCO42283001 PHOENIX AZ P000000780771491 CARD 6659"/>
    <x v="42"/>
    <x v="7"/>
    <x v="11"/>
  </r>
  <r>
    <d v="2022-08-17T00:00:00"/>
    <n v="-25.48"/>
    <n v="25.48"/>
    <s v="PLANET FIT CLUB FEES 2222803469119 623-439-5550"/>
    <x v="6"/>
    <x v="7"/>
    <x v="4"/>
  </r>
  <r>
    <d v="2022-08-17T00:00:00"/>
    <n v="100"/>
    <n v="100"/>
    <s v="MOBILE DEPOSIT : REF NUMBER :709170923332"/>
    <x v="42"/>
    <x v="7"/>
    <x v="11"/>
  </r>
  <r>
    <d v="2022-08-22T00:00:00"/>
    <n v="-278.58999999999997"/>
    <n v="278.58999999999997"/>
    <s v="APS electric pmt PAYMENT 220818 5175354092 Autopay"/>
    <x v="22"/>
    <x v="7"/>
    <x v="3"/>
  </r>
  <r>
    <d v="2022-08-24T00:00:00"/>
    <n v="-1000"/>
    <n v="1000"/>
    <s v="VENMO PAYMENT 220824 1021956726761 SEAN LEWIS"/>
    <x v="43"/>
    <x v="7"/>
    <x v="2"/>
  </r>
  <r>
    <d v="2022-08-25T00:00:00"/>
    <n v="99.74"/>
    <n v="99.74"/>
    <s v="VENMO CASHOUT 220825 1021970036297 SEAN LEWIS"/>
    <x v="42"/>
    <x v="7"/>
    <x v="11"/>
  </r>
  <r>
    <d v="2022-08-25T00:00:00"/>
    <n v="1952.12"/>
    <n v="1952.12"/>
    <s v="Nationwide PAYROLL 01 HRP0008593001 Sean Lewis"/>
    <x v="10"/>
    <x v="7"/>
    <x v="5"/>
  </r>
  <r>
    <d v="2022-08-26T00:00:00"/>
    <n v="-1073.3399999999999"/>
    <n v="1073.3399999999999"/>
    <s v="VENMO PAYMENT 220826 1021987716250 SEAN LEWIS"/>
    <x v="18"/>
    <x v="7"/>
    <x v="9"/>
  </r>
  <r>
    <d v="2022-08-26T00:00:00"/>
    <n v="200"/>
    <n v="200"/>
    <s v="HEALTHEQUITY INC HealthEqui 25 Aug 22317048 Sean Lewis (22317048)"/>
    <x v="42"/>
    <x v="7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01/01/2022"/>
    <s v="01/01/2022"/>
    <s v="Balance"/>
    <n v="3581.67"/>
    <x v="0"/>
    <x v="0"/>
    <x v="0"/>
    <x v="0"/>
    <x v="0"/>
    <n v="3581.67"/>
  </r>
  <r>
    <s v="01/01/2022"/>
    <s v="01/01/2022"/>
    <s v="JIMMY JOHNS - 2500 PHOENIX AZ"/>
    <n v="18.02"/>
    <x v="1"/>
    <x v="1"/>
    <x v="1"/>
    <x v="1"/>
    <x v="1"/>
    <n v="3599.69"/>
  </r>
  <r>
    <s v="01/01/2022"/>
    <s v="01/01/2022"/>
    <s v="OLIVE GARDE00064212140 PHOENIX AZ"/>
    <n v="60"/>
    <x v="1"/>
    <x v="2"/>
    <x v="1"/>
    <x v="1"/>
    <x v="1"/>
    <n v="3659.69"/>
  </r>
  <r>
    <s v="01/01/2022"/>
    <s v="01/03/2022"/>
    <s v="NETFLIX.COM NETFLIX.COM CAITEM TRANSFERRED FROM PREV ACCOUNT"/>
    <n v="14.83"/>
    <x v="2"/>
    <x v="3"/>
    <x v="1"/>
    <x v="2"/>
    <x v="2"/>
    <n v="3674.52"/>
  </r>
  <r>
    <s v="01/01/2022"/>
    <s v="01/03/2022"/>
    <s v="SPOTIFY P18D298A28 8777781161 NYITEM TRANSFERRED FROM PREV ACCOUNT"/>
    <n v="9.99"/>
    <x v="2"/>
    <x v="4"/>
    <x v="1"/>
    <x v="2"/>
    <x v="2"/>
    <n v="3684.51"/>
  </r>
  <r>
    <s v="01/02/2022"/>
    <s v="01/02/2022"/>
    <s v="INTERNET PAYMENT - THANK YOU"/>
    <n v="-1800"/>
    <x v="3"/>
    <x v="5"/>
    <x v="1"/>
    <x v="1"/>
    <x v="3"/>
    <n v="1884.51"/>
  </r>
  <r>
    <s v="01/02/2022"/>
    <s v="01/03/2022"/>
    <s v="KRYSTAL AND SAAGAR 2025317527 DCITEM TRANSFERRED FROM PREV ACCOUNT"/>
    <n v="10"/>
    <x v="2"/>
    <x v="6"/>
    <x v="1"/>
    <x v="2"/>
    <x v="2"/>
    <n v="1894.51"/>
  </r>
  <r>
    <s v="01/03/2022"/>
    <s v="01/03/2022"/>
    <s v="PAYPAL *HULU 402-935-7733 CA"/>
    <n v="12.99"/>
    <x v="4"/>
    <x v="7"/>
    <x v="1"/>
    <x v="2"/>
    <x v="2"/>
    <n v="1907.5"/>
  </r>
  <r>
    <s v="01/04/2022"/>
    <s v="01/04/2022"/>
    <s v="AUTOZONE #2768 PHOENIX AZ"/>
    <n v="42.34"/>
    <x v="5"/>
    <x v="8"/>
    <x v="1"/>
    <x v="1"/>
    <x v="4"/>
    <n v="1949.84"/>
  </r>
  <r>
    <s v="01/04/2022"/>
    <s v="01/04/2022"/>
    <s v="STATE FARM INSURANCE 800-956-6310 ILITEM TRANSFERRED FROM PREV ACCOUNT"/>
    <n v="79.38"/>
    <x v="2"/>
    <x v="9"/>
    <x v="1"/>
    <x v="2"/>
    <x v="5"/>
    <n v="2029.22"/>
  </r>
  <r>
    <s v="01/05/2022"/>
    <s v="01/05/2022"/>
    <s v="MCDONALD'S F20697 PHOENIX AZAPPLE PAY ENDING IN 4775"/>
    <n v="8"/>
    <x v="1"/>
    <x v="1"/>
    <x v="1"/>
    <x v="1"/>
    <x v="1"/>
    <n v="2037.22"/>
  </r>
  <r>
    <s v="01/08/2022"/>
    <s v="01/08/2022"/>
    <s v="3856 EL POLLO LOCO PHOENIX AZ"/>
    <n v="29.93"/>
    <x v="1"/>
    <x v="1"/>
    <x v="1"/>
    <x v="1"/>
    <x v="1"/>
    <n v="2067.15"/>
  </r>
  <r>
    <s v="01/08/2022"/>
    <s v="01/08/2022"/>
    <s v="DRI*NVIDIA STORE NVIDIA.COM MNITEM TRANSFERRED FROM PREV ACCOUNT"/>
    <n v="4.99"/>
    <x v="2"/>
    <x v="10"/>
    <x v="1"/>
    <x v="2"/>
    <x v="2"/>
    <n v="2072.139999999999"/>
  </r>
  <r>
    <s v="01/09/2022"/>
    <s v="01/09/2022"/>
    <s v="SAFEWAY #2651 PHOENIX AZ"/>
    <n v="36.72"/>
    <x v="6"/>
    <x v="11"/>
    <x v="1"/>
    <x v="1"/>
    <x v="1"/>
    <n v="2108.8599999999992"/>
  </r>
  <r>
    <s v="01/09/2022"/>
    <s v="01/09/2022"/>
    <s v="SAFEWAY #2651 PHOENIX AZ"/>
    <n v="32.58"/>
    <x v="6"/>
    <x v="11"/>
    <x v="1"/>
    <x v="1"/>
    <x v="1"/>
    <n v="2141.4399999999991"/>
  </r>
  <r>
    <s v="01/09/2022"/>
    <s v="01/09/2022"/>
    <s v="PAYPAL *HEARSTMAGAZ 402-935-7733 CA"/>
    <n v="20"/>
    <x v="2"/>
    <x v="12"/>
    <x v="1"/>
    <x v="2"/>
    <x v="2"/>
    <n v="2161.4399999999991"/>
  </r>
  <r>
    <s v="01/09/2022"/>
    <s v="01/09/2022"/>
    <s v="SAFEWAY #2651 PHOENIX AZ"/>
    <n v="2.4900000000000002"/>
    <x v="6"/>
    <x v="11"/>
    <x v="1"/>
    <x v="1"/>
    <x v="1"/>
    <n v="2163.9299999999989"/>
  </r>
  <r>
    <s v="01/10/2022"/>
    <s v="01/10/2022"/>
    <s v="AMZN MKTP US*BP5036MA3 AMZN.COM/BILLWAITEM TRANSFERRED FROM PREV ACCOUNT"/>
    <n v="49.98"/>
    <x v="2"/>
    <x v="13"/>
    <x v="1"/>
    <x v="1"/>
    <x v="6"/>
    <n v="2213.9099999999989"/>
  </r>
  <r>
    <s v="01/10/2022"/>
    <s v="01/10/2022"/>
    <s v="MCDONALD'S F20697 PHOENIX AZ"/>
    <n v="10.09"/>
    <x v="1"/>
    <x v="1"/>
    <x v="1"/>
    <x v="1"/>
    <x v="1"/>
    <n v="2223.9999999999991"/>
  </r>
  <r>
    <s v="01/11/2022"/>
    <s v="01/11/2022"/>
    <s v="LIFE TIME ATHLETIC 279 PHOENIX AZ01118R"/>
    <n v="210"/>
    <x v="7"/>
    <x v="14"/>
    <x v="1"/>
    <x v="1"/>
    <x v="6"/>
    <n v="2433.9999999999991"/>
  </r>
  <r>
    <s v="01/12/2022"/>
    <s v="01/12/2022"/>
    <s v="CAFE RIO 0084 SCOTTSDALE SCOTTSDALE AZ"/>
    <n v="15.1"/>
    <x v="1"/>
    <x v="1"/>
    <x v="1"/>
    <x v="1"/>
    <x v="1"/>
    <n v="2449.099999999999"/>
  </r>
  <r>
    <s v="01/12/2022"/>
    <s v="01/12/2022"/>
    <s v="CVS/PHARMACY #09252 SCOTTSDALE AZAPPLE PAY ENDING IN 4775"/>
    <n v="19.8"/>
    <x v="2"/>
    <x v="15"/>
    <x v="1"/>
    <x v="1"/>
    <x v="6"/>
    <n v="2468.8999999999992"/>
  </r>
  <r>
    <s v="01/13/2022"/>
    <s v="01/13/2022"/>
    <s v="INTERNET PAYMENT - THANK YOU"/>
    <n v="-2194.92"/>
    <x v="3"/>
    <x v="5"/>
    <x v="1"/>
    <x v="1"/>
    <x v="3"/>
    <n v="273.97999999999911"/>
  </r>
  <r>
    <s v="01/13/2022"/>
    <s v="01/13/2022"/>
    <s v="CASHBACK BONUS REDEMPTION PYMT/STMT CRDT"/>
    <n v="-29.08"/>
    <x v="8"/>
    <x v="16"/>
    <x v="1"/>
    <x v="1"/>
    <x v="3"/>
    <n v="244.8999999999991"/>
  </r>
  <r>
    <s v="01/13/2022"/>
    <s v="01/13/2022"/>
    <s v="CIRCLE K 01930 YUMA AZ01374R"/>
    <n v="30.89"/>
    <x v="9"/>
    <x v="17"/>
    <x v="1"/>
    <x v="1"/>
    <x v="7"/>
    <n v="275.78999999999911"/>
  </r>
  <r>
    <s v="01/14/2022"/>
    <s v="01/14/2022"/>
    <s v="MCDONALDS 20697 PHOENIX AZ"/>
    <n v="6.29"/>
    <x v="1"/>
    <x v="1"/>
    <x v="1"/>
    <x v="1"/>
    <x v="1"/>
    <n v="282.07999999999907"/>
  </r>
  <r>
    <s v="01/14/2022"/>
    <s v="02/03/2022"/>
    <s v="SEVEN MILE CASINO RESTAU CHULA VISTA CA"/>
    <n v="60"/>
    <x v="1"/>
    <x v="2"/>
    <x v="1"/>
    <x v="1"/>
    <x v="1"/>
    <n v="342.07999999999907"/>
  </r>
  <r>
    <s v="01/14/2022"/>
    <s v="01/14/2022"/>
    <s v="APPLE.COM/BILL 866-712-7753 CAAPPLE PAY ENDING IN 4775MMW7SF5QV8A0"/>
    <n v="15.89"/>
    <x v="2"/>
    <x v="18"/>
    <x v="1"/>
    <x v="2"/>
    <x v="2"/>
    <n v="357.96999999999912"/>
  </r>
  <r>
    <s v="01/15/2022"/>
    <s v="01/15/2022"/>
    <s v="RALPHS # 0212 SAN DIEGO CA"/>
    <n v="35.020000000000003"/>
    <x v="6"/>
    <x v="11"/>
    <x v="1"/>
    <x v="1"/>
    <x v="1"/>
    <n v="392.9899999999991"/>
  </r>
  <r>
    <s v="01/15/2022"/>
    <s v="01/15/2022"/>
    <s v="TACOS EL GORDO - CHULA V CHULA VISTA CA"/>
    <n v="21.49"/>
    <x v="1"/>
    <x v="1"/>
    <x v="1"/>
    <x v="1"/>
    <x v="1"/>
    <n v="414.47999999999911"/>
  </r>
  <r>
    <s v="01/15/2022"/>
    <s v="01/15/2022"/>
    <s v="THE CRACK SHACK LITTLE I SAN DIEGO CA"/>
    <n v="52.41"/>
    <x v="1"/>
    <x v="2"/>
    <x v="1"/>
    <x v="1"/>
    <x v="1"/>
    <n v="466.88999999999908"/>
  </r>
  <r>
    <s v="01/16/2022"/>
    <s v="01/16/2022"/>
    <s v="APPLE.COM/BILL 111-111-1111 CAAPPLE PAY ENDING IN 4775"/>
    <n v="26.49"/>
    <x v="2"/>
    <x v="19"/>
    <x v="1"/>
    <x v="1"/>
    <x v="8"/>
    <n v="493.37999999999909"/>
  </r>
  <r>
    <s v="01/16/2022"/>
    <s v="01/16/2022"/>
    <s v="ZOO TICKETS AND TOURS SAN DIEGO CA0001000185182201161649"/>
    <n v="62"/>
    <x v="4"/>
    <x v="20"/>
    <x v="1"/>
    <x v="1"/>
    <x v="2"/>
    <n v="555.37999999999909"/>
  </r>
  <r>
    <s v="01/17/2022"/>
    <s v="01/17/2022"/>
    <s v="7-ELEVEN 21028 EL CENTRO CAAPPLE PAY ENDING IN 4775"/>
    <n v="2.99"/>
    <x v="9"/>
    <x v="15"/>
    <x v="1"/>
    <x v="1"/>
    <x v="6"/>
    <n v="558.3699999999991"/>
  </r>
  <r>
    <s v="01/17/2022"/>
    <s v="01/17/2022"/>
    <s v="BURGER KING #25911 YUMA AZ"/>
    <n v="12.68"/>
    <x v="1"/>
    <x v="1"/>
    <x v="1"/>
    <x v="1"/>
    <x v="1"/>
    <n v="571.04999999999905"/>
  </r>
  <r>
    <s v="01/17/2022"/>
    <s v="01/17/2022"/>
    <s v="CHEVRON 0207812 YUMA AZ00207812 1200537 R"/>
    <n v="24.15"/>
    <x v="9"/>
    <x v="17"/>
    <x v="1"/>
    <x v="1"/>
    <x v="7"/>
    <n v="595.19999999999902"/>
  </r>
  <r>
    <s v="01/17/2022"/>
    <s v="01/17/2022"/>
    <s v="TMOBILE*AUTO PAY 800-937-8997 WAITEM TRANSFERRED FROM PREV ACCOUNT"/>
    <n v="70"/>
    <x v="2"/>
    <x v="21"/>
    <x v="1"/>
    <x v="1"/>
    <x v="4"/>
    <n v="665.19999999999902"/>
  </r>
  <r>
    <s v="01/18/2022"/>
    <s v="01/18/2022"/>
    <s v="TARGET PHOENIX AZ"/>
    <n v="153.88"/>
    <x v="2"/>
    <x v="22"/>
    <x v="1"/>
    <x v="1"/>
    <x v="6"/>
    <n v="819.07999999999902"/>
  </r>
  <r>
    <s v="01/18/2022"/>
    <s v="01/18/2022"/>
    <s v="APPLE.COM/BILL 866-712-7753 CAAPPLE PAY ENDING IN 4775MMW7VVNMDVA0"/>
    <n v="5.29"/>
    <x v="2"/>
    <x v="23"/>
    <x v="1"/>
    <x v="2"/>
    <x v="2"/>
    <n v="824.36999999999898"/>
  </r>
  <r>
    <s v="01/18/2022"/>
    <s v="01/18/2022"/>
    <s v="PAYPAL *ARIZONAPUBL 402-935-7733 CA"/>
    <n v="182.45"/>
    <x v="4"/>
    <x v="24"/>
    <x v="1"/>
    <x v="1"/>
    <x v="4"/>
    <n v="1006.819999999999"/>
  </r>
  <r>
    <s v="01/19/2022"/>
    <s v="01/19/2022"/>
    <s v="LYFT *2 RIDES 01-18 855-865-9553 CAITEM TRANSFERRED FROM PREV ACCOUNT"/>
    <n v="23.71"/>
    <x v="2"/>
    <x v="25"/>
    <x v="1"/>
    <x v="1"/>
    <x v="7"/>
    <n v="1030.5299999999991"/>
  </r>
  <r>
    <s v="01/19/2022"/>
    <s v="01/19/2022"/>
    <s v="CAVASSON EASTSIDE CAFE SCOTTSDALE AZ"/>
    <n v="12.62"/>
    <x v="1"/>
    <x v="26"/>
    <x v="1"/>
    <x v="1"/>
    <x v="1"/>
    <n v="1043.149999999999"/>
  </r>
  <r>
    <s v="01/20/2022"/>
    <s v="01/20/2022"/>
    <s v="CCBILL.COM 888-5969279 AZITEM TRANSFERRED FROM PREV ACCOUNT"/>
    <n v="12.99"/>
    <x v="2"/>
    <x v="27"/>
    <x v="1"/>
    <x v="1"/>
    <x v="2"/>
    <n v="1056.139999999999"/>
  </r>
  <r>
    <s v="01/21/2022"/>
    <s v="01/21/2022"/>
    <s v="CCBILL.COM 888-5969279 AZITEM TRANSFERRED FROM PREV ACCOUNT"/>
    <n v="4.99"/>
    <x v="2"/>
    <x v="27"/>
    <x v="1"/>
    <x v="1"/>
    <x v="2"/>
    <n v="1061.129999999999"/>
  </r>
  <r>
    <s v="01/21/2022"/>
    <s v="01/21/2022"/>
    <s v="CCBILL.COM 888-5969279 AZITEM TRANSFERRED FROM PREV ACCOUNT"/>
    <n v="11"/>
    <x v="2"/>
    <x v="27"/>
    <x v="1"/>
    <x v="1"/>
    <x v="2"/>
    <n v="1072.129999999999"/>
  </r>
  <r>
    <s v="01/21/2022"/>
    <s v="01/21/2022"/>
    <s v="LYFT *2 RIDES 01-20 855-865-9553 CAITEM TRANSFERRED FROM PREV ACCOUNT"/>
    <n v="32.44"/>
    <x v="2"/>
    <x v="25"/>
    <x v="1"/>
    <x v="1"/>
    <x v="7"/>
    <n v="1104.569999999999"/>
  </r>
  <r>
    <s v="01/21/2022"/>
    <s v="01/21/2022"/>
    <s v="MCDONALD'S F20697 PHOENIX AZAPPLE PAY ENDING IN 4775"/>
    <n v="6.83"/>
    <x v="1"/>
    <x v="1"/>
    <x v="1"/>
    <x v="1"/>
    <x v="1"/>
    <n v="1111.399999999999"/>
  </r>
  <r>
    <s v="01/22/2022"/>
    <s v="01/22/2022"/>
    <s v="AMZN MKTP US*FL5G52C63 AMZN.COM/BILLWAITEM TRANSFERRED FROM PREV ACCOUNT"/>
    <n v="32.979999999999997"/>
    <x v="2"/>
    <x v="13"/>
    <x v="1"/>
    <x v="1"/>
    <x v="6"/>
    <n v="1144.379999999999"/>
  </r>
  <r>
    <s v="01/22/2022"/>
    <s v="01/22/2022"/>
    <s v="AMZN MKTP US*VD9Y872T3 AMZN.COM/BILLWAITEM TRANSFERRED FROM PREV ACCOUNT"/>
    <n v="29.99"/>
    <x v="2"/>
    <x v="13"/>
    <x v="1"/>
    <x v="1"/>
    <x v="6"/>
    <n v="1174.369999999999"/>
  </r>
  <r>
    <s v="01/22/2022"/>
    <s v="01/22/2022"/>
    <s v="AMZN MKTP US*YX9X26H73 AMZN.COM/BILLWAITEM TRANSFERRED FROM PREV ACCOUNT"/>
    <n v="22.79"/>
    <x v="2"/>
    <x v="13"/>
    <x v="1"/>
    <x v="1"/>
    <x v="6"/>
    <n v="1197.1599999999989"/>
  </r>
  <r>
    <s v="01/22/2022"/>
    <s v="01/22/2022"/>
    <s v="OCOTILLO VILLAGE HEALTH CHANDLER AZ"/>
    <n v="7.36"/>
    <x v="7"/>
    <x v="1"/>
    <x v="1"/>
    <x v="1"/>
    <x v="1"/>
    <n v="1204.5199999999991"/>
  </r>
  <r>
    <s v="01/23/2022"/>
    <s v="01/23/2022"/>
    <s v="PAYPAL *GRAMMARLY ZDYBC 402-935-7733 CA"/>
    <n v="30"/>
    <x v="2"/>
    <x v="28"/>
    <x v="1"/>
    <x v="2"/>
    <x v="2"/>
    <n v="1234.5199999999991"/>
  </r>
  <r>
    <s v="01/25/2022"/>
    <s v="01/25/2022"/>
    <s v="CLR*STRETCHZONE480687187 480-687-1874 TITEM TRANSFERRED FROM PREV ACCOUNT"/>
    <n v="79"/>
    <x v="2"/>
    <x v="29"/>
    <x v="1"/>
    <x v="1"/>
    <x v="6"/>
    <n v="1313.5199999999991"/>
  </r>
  <r>
    <s v="01/26/2022"/>
    <s v="01/26/2022"/>
    <s v="STAPLES 00103929105 PHOENIX AZ"/>
    <n v="1.87"/>
    <x v="2"/>
    <x v="30"/>
    <x v="1"/>
    <x v="1"/>
    <x v="6"/>
    <n v="1315.389999999999"/>
  </r>
  <r>
    <s v="01/26/2022"/>
    <s v="01/26/2022"/>
    <s v="PAYPAL *INTERACTIVE 402-935-7733 CA"/>
    <n v="210"/>
    <x v="4"/>
    <x v="31"/>
    <x v="1"/>
    <x v="1"/>
    <x v="6"/>
    <n v="1525.389999999999"/>
  </r>
  <r>
    <s v="01/26/2022"/>
    <s v="01/26/2022"/>
    <s v="STAPLES 00103929105 PHOENIX AZ"/>
    <n v="2.17"/>
    <x v="2"/>
    <x v="30"/>
    <x v="1"/>
    <x v="1"/>
    <x v="6"/>
    <n v="1527.559999999999"/>
  </r>
  <r>
    <s v="01/26/2022"/>
    <s v="01/26/2022"/>
    <s v="MCDONALD'S F20697 PHOENIX AZ"/>
    <n v="9"/>
    <x v="1"/>
    <x v="1"/>
    <x v="1"/>
    <x v="1"/>
    <x v="1"/>
    <n v="1536.559999999999"/>
  </r>
  <r>
    <s v="01/26/2022"/>
    <s v="01/26/2022"/>
    <s v="PAYPAL *INTERACTIVE 402-935-7733 CA"/>
    <n v="30"/>
    <x v="4"/>
    <x v="31"/>
    <x v="1"/>
    <x v="1"/>
    <x v="6"/>
    <n v="1566.559999999999"/>
  </r>
  <r>
    <s v="01/28/2022"/>
    <s v="01/28/2022"/>
    <s v="MCDONALD'S F20697 PHOENIX AZ"/>
    <n v="6.83"/>
    <x v="1"/>
    <x v="1"/>
    <x v="1"/>
    <x v="1"/>
    <x v="1"/>
    <n v="1573.389999999999"/>
  </r>
  <r>
    <s v="01/28/2022"/>
    <s v="01/28/2022"/>
    <s v="SQ *NORA ASIAN FRESH PHOENIX AZ0002305843015128013485"/>
    <n v="24.36"/>
    <x v="1"/>
    <x v="1"/>
    <x v="1"/>
    <x v="1"/>
    <x v="1"/>
    <n v="1597.7499999999991"/>
  </r>
  <r>
    <s v="01/28/2022"/>
    <s v="01/28/2022"/>
    <s v="STAPLES 00103929105 PHOENIX AZ"/>
    <n v="4.1500000000000004"/>
    <x v="2"/>
    <x v="30"/>
    <x v="1"/>
    <x v="1"/>
    <x v="6"/>
    <n v="1601.899999999999"/>
  </r>
  <r>
    <s v="01/28/2022"/>
    <s v="01/28/2022"/>
    <s v="STAPLES 00103929105 PHOENIX AZ"/>
    <n v="5.67"/>
    <x v="2"/>
    <x v="30"/>
    <x v="1"/>
    <x v="1"/>
    <x v="6"/>
    <n v="1607.569999999999"/>
  </r>
  <r>
    <s v="01/28/2022"/>
    <s v="01/28/2022"/>
    <s v="STAPLES 00103929105 PHOENIX AZ"/>
    <n v="6.86"/>
    <x v="2"/>
    <x v="30"/>
    <x v="1"/>
    <x v="1"/>
    <x v="6"/>
    <n v="1614.4299999999989"/>
  </r>
  <r>
    <s v="01/29/2022"/>
    <s v="01/29/2022"/>
    <s v="CIRCLE K # 03447 PHOENIX AZ02978R"/>
    <n v="34.380000000000003"/>
    <x v="9"/>
    <x v="17"/>
    <x v="1"/>
    <x v="1"/>
    <x v="7"/>
    <n v="1648.809999999999"/>
  </r>
  <r>
    <s v="01/29/2022"/>
    <s v="01/29/2022"/>
    <s v="DICKS SPORTING GOODS#362 TEMPE AZ"/>
    <n v="10.79"/>
    <x v="2"/>
    <x v="32"/>
    <x v="1"/>
    <x v="1"/>
    <x v="2"/>
    <n v="1659.599999999999"/>
  </r>
  <r>
    <s v="01/29/2022"/>
    <s v="01/29/2022"/>
    <s v="TST* BBQ TRAPP HAUS - PHOENIX AZ00003553005946884140AA"/>
    <n v="30"/>
    <x v="1"/>
    <x v="2"/>
    <x v="1"/>
    <x v="1"/>
    <x v="1"/>
    <n v="1689.599999999999"/>
  </r>
  <r>
    <s v="01/30/2022"/>
    <s v="01/30/2022"/>
    <s v="TST* WOW WOW HAWAIIAN LE PHOENIX AZ"/>
    <n v="5.01"/>
    <x v="1"/>
    <x v="1"/>
    <x v="1"/>
    <x v="1"/>
    <x v="1"/>
    <n v="1694.609999999999"/>
  </r>
  <r>
    <s v="01/30/2022"/>
    <s v="01/30/2022"/>
    <s v="WALGREENS #3464 PHOENIX AZ"/>
    <n v="10.31"/>
    <x v="2"/>
    <x v="15"/>
    <x v="1"/>
    <x v="1"/>
    <x v="6"/>
    <n v="1704.9199999999989"/>
  </r>
  <r>
    <s v="01/31/2022"/>
    <s v="01/31/2022"/>
    <s v="SAFEWAY #2651 PHOENIX AZ"/>
    <n v="44.46"/>
    <x v="6"/>
    <x v="11"/>
    <x v="1"/>
    <x v="1"/>
    <x v="1"/>
    <n v="1749.379999999999"/>
  </r>
  <r>
    <s v="02/01/2022"/>
    <s v="02/03/2022"/>
    <s v="SPOTIFY P19967769F 8777781161 NYITEM TRANSFERRED FROM PREV ACCOUNT"/>
    <n v="9.99"/>
    <x v="2"/>
    <x v="4"/>
    <x v="2"/>
    <x v="2"/>
    <x v="2"/>
    <n v="1759.369999999999"/>
  </r>
  <r>
    <s v="02/01/2022"/>
    <s v="02/03/2022"/>
    <s v="SAFEWAY #1549 SCOTTSDALE AZ"/>
    <n v="79.19"/>
    <x v="6"/>
    <x v="11"/>
    <x v="2"/>
    <x v="1"/>
    <x v="1"/>
    <n v="1838.559999999999"/>
  </r>
  <r>
    <s v="02/01/2022"/>
    <s v="02/03/2022"/>
    <s v="NETFLIX.COM NETFLIX.COM CAITEM TRANSFERRED FROM PREV ACCOUNT"/>
    <n v="14.83"/>
    <x v="2"/>
    <x v="3"/>
    <x v="2"/>
    <x v="2"/>
    <x v="2"/>
    <n v="1853.389999999999"/>
  </r>
  <r>
    <s v="02/01/2022"/>
    <s v="02/01/2022"/>
    <s v="FRYS-FOOD-DRG #006 GLENDALE AZ"/>
    <n v="43.95"/>
    <x v="6"/>
    <x v="11"/>
    <x v="2"/>
    <x v="1"/>
    <x v="1"/>
    <n v="1897.339999999999"/>
  </r>
  <r>
    <s v="02/02/2022"/>
    <s v="02/03/2022"/>
    <s v="KRYSTAL AND SAAGAR 2025317527 DCITEM TRANSFERRED FROM PREV ACCOUNT"/>
    <n v="10"/>
    <x v="2"/>
    <x v="6"/>
    <x v="2"/>
    <x v="2"/>
    <x v="2"/>
    <n v="1907.339999999999"/>
  </r>
  <r>
    <s v="02/03/2022"/>
    <s v="02/03/2022"/>
    <s v="DUNKIN #350872 PHOENIX AZ"/>
    <n v="13.73"/>
    <x v="1"/>
    <x v="1"/>
    <x v="2"/>
    <x v="1"/>
    <x v="1"/>
    <n v="1921.069999999999"/>
  </r>
  <r>
    <s v="02/03/2022"/>
    <s v="02/03/2022"/>
    <s v="PAYPAL *HULU 402-935-7733 CA"/>
    <n v="12.99"/>
    <x v="4"/>
    <x v="7"/>
    <x v="2"/>
    <x v="2"/>
    <x v="2"/>
    <n v="1934.059999999999"/>
  </r>
  <r>
    <s v="02/03/2022"/>
    <s v="02/03/2022"/>
    <s v="STATE FARM INSURANCE 800-956-6310 ILITEM TRANSFERRED FROM PREV ACCOUNT"/>
    <n v="79.38"/>
    <x v="2"/>
    <x v="9"/>
    <x v="2"/>
    <x v="2"/>
    <x v="5"/>
    <n v="2013.4399999999989"/>
  </r>
  <r>
    <s v="02/07/2022"/>
    <s v="02/07/2022"/>
    <s v="AMERICAN AIRLINES FT WORTH TX"/>
    <n v="333.19"/>
    <x v="7"/>
    <x v="33"/>
    <x v="2"/>
    <x v="1"/>
    <x v="7"/>
    <n v="2346.6299999999992"/>
  </r>
  <r>
    <s v="02/07/2022"/>
    <s v="02/07/2022"/>
    <s v="APPLE.COM/BILL 111-111-1111 CAAPPLE PAY ENDING IN 4775"/>
    <n v="10.59"/>
    <x v="2"/>
    <x v="34"/>
    <x v="2"/>
    <x v="2"/>
    <x v="2"/>
    <n v="2357.2199999999989"/>
  </r>
  <r>
    <s v="02/08/2022"/>
    <s v="02/08/2022"/>
    <s v="CAFE RIO 0084 SCOTTSDALE SCOTTSDALE AZ"/>
    <n v="17.07"/>
    <x v="1"/>
    <x v="1"/>
    <x v="2"/>
    <x v="1"/>
    <x v="1"/>
    <n v="2374.2899999999991"/>
  </r>
  <r>
    <s v="02/08/2022"/>
    <s v="02/08/2022"/>
    <s v="CLR*STRETCHZONE480687187 480-687-1874 TITEM TRANSFERRED FROM PREV ACCOUNT"/>
    <n v="5"/>
    <x v="2"/>
    <x v="29"/>
    <x v="2"/>
    <x v="1"/>
    <x v="6"/>
    <n v="2379.2899999999991"/>
  </r>
  <r>
    <s v="02/08/2022"/>
    <s v="02/08/2022"/>
    <s v="DRI*NVIDIA STORE NVIDIA.COM MNITEM TRANSFERRED FROM PREV ACCOUNT"/>
    <n v="4.99"/>
    <x v="2"/>
    <x v="10"/>
    <x v="2"/>
    <x v="2"/>
    <x v="2"/>
    <n v="2384.2799999999988"/>
  </r>
  <r>
    <s v="02/08/2022"/>
    <s v="02/08/2022"/>
    <s v="JIMMY JOHNS - 2500 - ECO PHOENIX AZAPPLE PAY ENDING IN 4775"/>
    <n v="4.66"/>
    <x v="1"/>
    <x v="1"/>
    <x v="2"/>
    <x v="1"/>
    <x v="1"/>
    <n v="2388.9399999999991"/>
  </r>
  <r>
    <s v="02/10/2022"/>
    <s v="02/10/2022"/>
    <s v="APPLE.COM/BILL 866-712-7753 CAAPPLE PAY ENDING IN 4775MMW8436DXMA0"/>
    <n v="15.89"/>
    <x v="2"/>
    <x v="18"/>
    <x v="2"/>
    <x v="2"/>
    <x v="2"/>
    <n v="2404.829999999999"/>
  </r>
  <r>
    <s v="02/10/2022"/>
    <s v="02/10/2022"/>
    <s v="INTERNET PAYMENT - THANK YOU"/>
    <n v="-1733.33"/>
    <x v="3"/>
    <x v="5"/>
    <x v="2"/>
    <x v="1"/>
    <x v="3"/>
    <n v="671.49999999999864"/>
  </r>
  <r>
    <s v="02/11/2022"/>
    <s v="02/11/2022"/>
    <s v="CLR*STRETCHZONE480687187 480-687-1874 TITEM TRANSFERRED FROM PREV ACCOUNT"/>
    <n v="-5"/>
    <x v="3"/>
    <x v="29"/>
    <x v="2"/>
    <x v="1"/>
    <x v="6"/>
    <n v="666.49999999999864"/>
  </r>
  <r>
    <s v="02/12/2022"/>
    <s v="02/12/2022"/>
    <s v="AMZN MKTP US*9T8VU3NC3 AMZN.COM/BILLWAITEM TRANSFERRED FROM PREV ACCOUNT"/>
    <n v="9.1999999999999993"/>
    <x v="2"/>
    <x v="13"/>
    <x v="2"/>
    <x v="1"/>
    <x v="6"/>
    <n v="675.69999999999868"/>
  </r>
  <r>
    <s v="02/13/2022"/>
    <s v="02/13/2022"/>
    <s v="AMZN MKTP US*RX32S1F23 AMZN.COM/BILLWAITEM TRANSFERRED FROM PREV ACCOUNT"/>
    <n v="14.11"/>
    <x v="2"/>
    <x v="13"/>
    <x v="2"/>
    <x v="1"/>
    <x v="6"/>
    <n v="689.80999999999869"/>
  </r>
  <r>
    <s v="02/13/2022"/>
    <s v="02/13/2022"/>
    <s v="APPLE.COM/BILL 111-111-1111 CAAPPLE PAY ENDING IN 4775"/>
    <n v="14.99"/>
    <x v="2"/>
    <x v="35"/>
    <x v="2"/>
    <x v="2"/>
    <x v="2"/>
    <n v="704.7999999999987"/>
  </r>
  <r>
    <s v="02/13/2022"/>
    <s v="02/13/2022"/>
    <s v="JIMMY JOHNS - 2500 - ECO PHOENIX AZAPPLE PAY ENDING IN 4775"/>
    <n v="20"/>
    <x v="1"/>
    <x v="1"/>
    <x v="2"/>
    <x v="1"/>
    <x v="1"/>
    <n v="724.7999999999987"/>
  </r>
  <r>
    <s v="02/14/2022"/>
    <s v="02/14/2022"/>
    <s v="JIMMY JOHNS - 2500 - ECO PHOENIX AZAPPLE PAY ENDING IN 4775"/>
    <n v="26.59"/>
    <x v="1"/>
    <x v="1"/>
    <x v="2"/>
    <x v="1"/>
    <x v="1"/>
    <n v="751.38999999999874"/>
  </r>
  <r>
    <s v="02/15/2022"/>
    <s v="02/15/2022"/>
    <s v="AF*REAL PROPERTY MANA. 866-648-1536 CA"/>
    <n v="49"/>
    <x v="4"/>
    <x v="36"/>
    <x v="2"/>
    <x v="1"/>
    <x v="9"/>
    <n v="800.38999999999874"/>
  </r>
  <r>
    <s v="02/16/2022"/>
    <s v="02/16/2022"/>
    <s v="CCBILL.COM 888-5969279 AZITEM TRANSFERRED FROM PREV ACCOUNT"/>
    <n v="12"/>
    <x v="2"/>
    <x v="27"/>
    <x v="2"/>
    <x v="1"/>
    <x v="2"/>
    <n v="812.38999999999874"/>
  </r>
  <r>
    <s v="02/17/2022"/>
    <s v="02/17/2022"/>
    <s v="TMOBILE*AUTO PAY 800-937-8997 WAITEM TRANSFERRED FROM PREV ACCOUNT"/>
    <n v="70"/>
    <x v="2"/>
    <x v="21"/>
    <x v="2"/>
    <x v="1"/>
    <x v="4"/>
    <n v="882.38999999999874"/>
  </r>
  <r>
    <s v="02/19/2022"/>
    <s v="02/19/2022"/>
    <s v="APPLE.COM/BILL 866-712-7753 CAAPPLE PAY ENDING IN 4775MMW86H07HVA0"/>
    <n v="5.29"/>
    <x v="2"/>
    <x v="23"/>
    <x v="2"/>
    <x v="2"/>
    <x v="2"/>
    <n v="887.6799999999987"/>
  </r>
  <r>
    <s v="02/20/2022"/>
    <s v="02/20/2022"/>
    <s v="CASHBACK BONUS REDEMPTION PYMT/STMT CRDT"/>
    <n v="-29.29"/>
    <x v="8"/>
    <x v="16"/>
    <x v="2"/>
    <x v="1"/>
    <x v="3"/>
    <n v="858.38999999999874"/>
  </r>
  <r>
    <s v="02/20/2022"/>
    <s v="02/20/2022"/>
    <s v="GOOGLE *YOUTUBE TV G.CO/HELPPAY#CAP0HR9LUQ"/>
    <n v="70.58"/>
    <x v="4"/>
    <x v="37"/>
    <x v="2"/>
    <x v="2"/>
    <x v="2"/>
    <n v="928.96999999999878"/>
  </r>
  <r>
    <s v="02/20/2022"/>
    <s v="02/20/2022"/>
    <s v="INTERNET PAYMENT - THANK YOU"/>
    <n v="-771.1"/>
    <x v="3"/>
    <x v="5"/>
    <x v="2"/>
    <x v="1"/>
    <x v="3"/>
    <n v="157.86999999999881"/>
  </r>
  <r>
    <s v="02/21/2022"/>
    <s v="02/21/2022"/>
    <s v="CCBILL.COM 888-5969279 AZITEM TRANSFERRED FROM PREV ACCOUNT"/>
    <n v="11"/>
    <x v="2"/>
    <x v="27"/>
    <x v="2"/>
    <x v="1"/>
    <x v="2"/>
    <n v="168.86999999999881"/>
  </r>
  <r>
    <s v="02/23/2022"/>
    <s v="02/23/2022"/>
    <s v="PAYPAL *GRAMMARLY A0Q7H 402-935-7733 CA"/>
    <n v="30"/>
    <x v="2"/>
    <x v="28"/>
    <x v="2"/>
    <x v="2"/>
    <x v="2"/>
    <n v="198.86999999999881"/>
  </r>
  <r>
    <s v="02/24/2022"/>
    <s v="02/24/2022"/>
    <s v="CAVASSON EASTSIDE CAFE SCOTTSDALE AZ"/>
    <n v="14.16"/>
    <x v="1"/>
    <x v="26"/>
    <x v="2"/>
    <x v="1"/>
    <x v="1"/>
    <n v="213.02999999999881"/>
  </r>
  <r>
    <s v="02/24/2022"/>
    <s v="02/24/2022"/>
    <s v="CAVASSON EASTSIDE CAFE SCOTTSDALE AZ"/>
    <n v="1.62"/>
    <x v="1"/>
    <x v="26"/>
    <x v="2"/>
    <x v="1"/>
    <x v="1"/>
    <n v="214.64999999999881"/>
  </r>
  <r>
    <s v="02/25/2022"/>
    <s v="02/25/2022"/>
    <s v="ALBERTSONS #0966 SCOTTSDALE AZ"/>
    <n v="9.32"/>
    <x v="6"/>
    <x v="11"/>
    <x v="2"/>
    <x v="1"/>
    <x v="1"/>
    <n v="223.96999999999869"/>
  </r>
  <r>
    <s v="02/25/2022"/>
    <s v="02/25/2022"/>
    <s v="PAYPAL *FRONTGATETX INN 402-935-7733 CA"/>
    <n v="130.18"/>
    <x v="7"/>
    <x v="38"/>
    <x v="2"/>
    <x v="1"/>
    <x v="2"/>
    <n v="354.14999999999873"/>
  </r>
  <r>
    <s v="02/25/2022"/>
    <s v="02/25/2022"/>
    <s v="WALMART SC 04232 PHOENIX AZ"/>
    <n v="126.7"/>
    <x v="2"/>
    <x v="39"/>
    <x v="2"/>
    <x v="1"/>
    <x v="6"/>
    <n v="480.84999999999872"/>
  </r>
  <r>
    <s v="02/26/2022"/>
    <s v="02/26/2022"/>
    <s v="CHARLIE'S PHOENIX PHOENIX AZ"/>
    <n v="18"/>
    <x v="1"/>
    <x v="2"/>
    <x v="2"/>
    <x v="1"/>
    <x v="1"/>
    <n v="498.84999999999872"/>
  </r>
  <r>
    <s v="02/26/2022"/>
    <s v="02/26/2022"/>
    <s v="PAYPAL *SPORTPLANLT 402-935-7733 CA"/>
    <n v="29.99"/>
    <x v="2"/>
    <x v="12"/>
    <x v="2"/>
    <x v="2"/>
    <x v="2"/>
    <n v="528.83999999999867"/>
  </r>
  <r>
    <s v="02/27/2022"/>
    <s v="02/27/2022"/>
    <s v="BR: INNINGS FEST AUSTIN TX"/>
    <n v="4.9400000000000004"/>
    <x v="7"/>
    <x v="38"/>
    <x v="2"/>
    <x v="1"/>
    <x v="2"/>
    <n v="533.77999999999872"/>
  </r>
  <r>
    <s v="02/27/2022"/>
    <s v="02/27/2022"/>
    <s v="BR: INNINGS FEST AUSTIN TX"/>
    <n v="18.89"/>
    <x v="7"/>
    <x v="38"/>
    <x v="2"/>
    <x v="1"/>
    <x v="2"/>
    <n v="552.66999999999871"/>
  </r>
  <r>
    <s v="02/27/2022"/>
    <s v="02/27/2022"/>
    <s v="BR: INNINGS FEST AUSTIN TX"/>
    <n v="31.02"/>
    <x v="7"/>
    <x v="38"/>
    <x v="2"/>
    <x v="1"/>
    <x v="2"/>
    <n v="583.68999999999869"/>
  </r>
  <r>
    <s v="02/27/2022"/>
    <s v="02/27/2022"/>
    <s v="BR: INNINGS FEST AUSTIN TX"/>
    <n v="41.37"/>
    <x v="7"/>
    <x v="38"/>
    <x v="2"/>
    <x v="1"/>
    <x v="2"/>
    <n v="625.05999999999869"/>
  </r>
  <r>
    <s v="02/27/2022"/>
    <s v="02/27/2022"/>
    <s v="BR: INNINGS FEST AUSTIN TX"/>
    <n v="49.13"/>
    <x v="7"/>
    <x v="38"/>
    <x v="2"/>
    <x v="1"/>
    <x v="2"/>
    <n v="674.18999999999869"/>
  </r>
  <r>
    <s v="03/01/2022"/>
    <s v="03/03/2022"/>
    <s v="STAPLES PROMO 800-848-8028 KS"/>
    <n v="17.59"/>
    <x v="2"/>
    <x v="30"/>
    <x v="3"/>
    <x v="1"/>
    <x v="6"/>
    <n v="691.77999999999872"/>
  </r>
  <r>
    <s v="03/01/2022"/>
    <s v="03/03/2022"/>
    <s v="SPOTIFY P1A17D18DB 8777781161 NYITEM TRANSFERRED FROM PREV ACCOUNT"/>
    <n v="9.99"/>
    <x v="2"/>
    <x v="4"/>
    <x v="3"/>
    <x v="2"/>
    <x v="2"/>
    <n v="701.76999999999873"/>
  </r>
  <r>
    <s v="03/01/2022"/>
    <s v="03/03/2022"/>
    <s v="NETFLIX.COM NETFLIX.COM CAITEM TRANSFERRED FROM PREV ACCOUNT"/>
    <n v="16.420000000000002"/>
    <x v="2"/>
    <x v="3"/>
    <x v="3"/>
    <x v="2"/>
    <x v="2"/>
    <n v="718.18999999999869"/>
  </r>
  <r>
    <s v="03/01/2022"/>
    <s v="03/01/2022"/>
    <s v="PANDA EXPRESS 1185 SCOTTSDALE AZ"/>
    <n v="10.97"/>
    <x v="1"/>
    <x v="1"/>
    <x v="3"/>
    <x v="1"/>
    <x v="1"/>
    <n v="729.15999999999872"/>
  </r>
  <r>
    <s v="03/01/2022"/>
    <s v="03/01/2022"/>
    <s v="PANDA EXPRESS 1185 SCOTTSDALE AZ"/>
    <n v="10.97"/>
    <x v="1"/>
    <x v="1"/>
    <x v="3"/>
    <x v="1"/>
    <x v="1"/>
    <n v="740.12999999999874"/>
  </r>
  <r>
    <s v="03/01/2022"/>
    <s v="03/01/2022"/>
    <s v="FANDANGO 866-857-5191 CAAPPLE PAY ENDING IN 4775"/>
    <n v="38.42"/>
    <x v="7"/>
    <x v="40"/>
    <x v="3"/>
    <x v="1"/>
    <x v="2"/>
    <n v="778.5499999999987"/>
  </r>
  <r>
    <s v="03/02/2022"/>
    <s v="03/03/2022"/>
    <s v="KRYSTAL AND SAAGAR 2025317527 DCITEM TRANSFERRED FROM PREV ACCOUNT"/>
    <n v="10"/>
    <x v="2"/>
    <x v="6"/>
    <x v="3"/>
    <x v="2"/>
    <x v="2"/>
    <n v="788.5499999999987"/>
  </r>
  <r>
    <s v="03/02/2022"/>
    <s v="03/03/2022"/>
    <s v="SQ *POKITRITION - SUSH PHOENIX AZ0001152921511129126725"/>
    <n v="26.99"/>
    <x v="1"/>
    <x v="1"/>
    <x v="3"/>
    <x v="1"/>
    <x v="1"/>
    <n v="815.53999999999871"/>
  </r>
  <r>
    <s v="03/02/2022"/>
    <s v="03/03/2022"/>
    <s v="WALGREENS #5453 SCOTTSDALE AZ"/>
    <n v="40.159999999999997"/>
    <x v="2"/>
    <x v="15"/>
    <x v="3"/>
    <x v="1"/>
    <x v="6"/>
    <n v="855.69999999999868"/>
  </r>
  <r>
    <s v="03/03/2022"/>
    <s v="03/03/2022"/>
    <s v="AMC 2679 WESTGATE 20 GLENDALE AZ"/>
    <n v="13.09"/>
    <x v="7"/>
    <x v="40"/>
    <x v="3"/>
    <x v="1"/>
    <x v="2"/>
    <n v="868.78999999999871"/>
  </r>
  <r>
    <s v="03/03/2022"/>
    <s v="03/03/2022"/>
    <s v="ARCO #42283 AMPM PHOENIX AZ"/>
    <n v="37.57"/>
    <x v="9"/>
    <x v="17"/>
    <x v="3"/>
    <x v="1"/>
    <x v="7"/>
    <n v="906.35999999999876"/>
  </r>
  <r>
    <s v="03/03/2022"/>
    <s v="03/03/2022"/>
    <s v="EDGE BARBER SPA PHOENIX AZ"/>
    <n v="80.22"/>
    <x v="4"/>
    <x v="41"/>
    <x v="3"/>
    <x v="1"/>
    <x v="6"/>
    <n v="986.57999999999879"/>
  </r>
  <r>
    <s v="03/03/2022"/>
    <s v="03/03/2022"/>
    <s v="PAYPAL *HULU 402-935-7733 CA"/>
    <n v="12.99"/>
    <x v="4"/>
    <x v="7"/>
    <x v="3"/>
    <x v="2"/>
    <x v="2"/>
    <n v="999.5699999999988"/>
  </r>
  <r>
    <s v="03/03/2022"/>
    <s v="03/03/2022"/>
    <s v="SAFEWAY #2651 PHOENIX AZ"/>
    <n v="2.79"/>
    <x v="6"/>
    <x v="11"/>
    <x v="3"/>
    <x v="1"/>
    <x v="1"/>
    <n v="1002.359999999999"/>
  </r>
  <r>
    <s v="03/03/2022"/>
    <s v="03/03/2022"/>
    <s v="SAFEWAY #2651 PHOENIX AZ"/>
    <n v="9.48"/>
    <x v="6"/>
    <x v="11"/>
    <x v="3"/>
    <x v="1"/>
    <x v="1"/>
    <n v="1011.839999999999"/>
  </r>
  <r>
    <s v="03/03/2022"/>
    <s v="03/03/2022"/>
    <s v="STATE FARM INSURANCE 800-956-6310 ILITEM TRANSFERRED FROM PREV ACCOUNT"/>
    <n v="79.38"/>
    <x v="2"/>
    <x v="9"/>
    <x v="3"/>
    <x v="2"/>
    <x v="5"/>
    <n v="1091.2199999999989"/>
  </r>
  <r>
    <s v="03/04/2022"/>
    <s v="03/04/2022"/>
    <s v="SHOWTIME 888-965-7469 NY"/>
    <n v="11.94"/>
    <x v="2"/>
    <x v="42"/>
    <x v="3"/>
    <x v="1"/>
    <x v="2"/>
    <n v="1103.1599999999989"/>
  </r>
  <r>
    <s v="03/05/2022"/>
    <s v="03/05/2022"/>
    <s v="AMZN MKTP US*1W4E475R0 AMZN.COM/BILLWAITEM TRANSFERRED FROM PREV ACCOUNT"/>
    <n v="21.22"/>
    <x v="2"/>
    <x v="13"/>
    <x v="3"/>
    <x v="1"/>
    <x v="6"/>
    <n v="1124.379999999999"/>
  </r>
  <r>
    <s v="03/06/2022"/>
    <s v="03/06/2022"/>
    <s v="TST* WOW WOW HAWAIIAN LE PHOENIX AZ"/>
    <n v="6.02"/>
    <x v="1"/>
    <x v="1"/>
    <x v="3"/>
    <x v="1"/>
    <x v="1"/>
    <n v="1130.399999999999"/>
  </r>
  <r>
    <s v="03/06/2022"/>
    <s v="03/06/2022"/>
    <s v="ST JOHN VIANNEY GIFT SHO SEDONA AZ"/>
    <n v="42"/>
    <x v="2"/>
    <x v="36"/>
    <x v="3"/>
    <x v="1"/>
    <x v="9"/>
    <n v="1172.399999999999"/>
  </r>
  <r>
    <s v="03/06/2022"/>
    <s v="03/06/2022"/>
    <s v="ROTTEN JOHNNY S SEDONA AZ"/>
    <n v="25"/>
    <x v="1"/>
    <x v="2"/>
    <x v="3"/>
    <x v="1"/>
    <x v="1"/>
    <n v="1197.399999999999"/>
  </r>
  <r>
    <s v="03/06/2022"/>
    <s v="03/06/2022"/>
    <s v="REI #56 PARADISE VAL PHOENIX AZ0927610560271410"/>
    <n v="277.61"/>
    <x v="2"/>
    <x v="43"/>
    <x v="3"/>
    <x v="1"/>
    <x v="6"/>
    <n v="1475.0099999999991"/>
  </r>
  <r>
    <s v="03/07/2022"/>
    <s v="03/07/2022"/>
    <s v="WABA HAIR SUPPLY #5 PHOENIX AZ"/>
    <n v="47.51"/>
    <x v="2"/>
    <x v="44"/>
    <x v="3"/>
    <x v="1"/>
    <x v="6"/>
    <n v="1522.5199999999991"/>
  </r>
  <r>
    <s v="03/07/2022"/>
    <s v="03/07/2022"/>
    <s v="WHATABURGER 1223 TEMPE AZ51"/>
    <n v="12.52"/>
    <x v="1"/>
    <x v="1"/>
    <x v="3"/>
    <x v="1"/>
    <x v="1"/>
    <n v="1535.0399999999991"/>
  </r>
  <r>
    <s v="03/08/2022"/>
    <s v="03/08/2022"/>
    <s v="DRI*NVIDIA STORE NVIDIA.COM MNITEM TRANSFERRED FROM PREV ACCOUNT"/>
    <n v="4.99"/>
    <x v="2"/>
    <x v="10"/>
    <x v="3"/>
    <x v="2"/>
    <x v="2"/>
    <n v="1540.0299999999991"/>
  </r>
  <r>
    <s v="03/08/2022"/>
    <s v="03/08/2022"/>
    <s v="SEE TICKETS *BAHAMAS - G 323-908-0607 CASEE TICKETS *BAHAMAS - G"/>
    <n v="77.66"/>
    <x v="7"/>
    <x v="45"/>
    <x v="3"/>
    <x v="1"/>
    <x v="2"/>
    <n v="1617.6899999999989"/>
  </r>
  <r>
    <s v="03/08/2022"/>
    <s v="03/08/2022"/>
    <s v="SEE TICKETS *RITT MOMNEY 323-908-0607 CASEE TICKETS *RITT MOMNEY"/>
    <n v="80.64"/>
    <x v="7"/>
    <x v="46"/>
    <x v="3"/>
    <x v="1"/>
    <x v="2"/>
    <n v="1698.329999999999"/>
  </r>
  <r>
    <s v="03/08/2022"/>
    <s v="03/08/2022"/>
    <s v="SKYHARBORPARKINGTERM3 PHOENIX AZ00899R"/>
    <n v="4"/>
    <x v="4"/>
    <x v="47"/>
    <x v="3"/>
    <x v="1"/>
    <x v="7"/>
    <n v="1702.329999999999"/>
  </r>
  <r>
    <s v="03/09/2022"/>
    <s v="03/09/2022"/>
    <s v="PIER 54 TEMPE AZ"/>
    <n v="35"/>
    <x v="1"/>
    <x v="2"/>
    <x v="3"/>
    <x v="1"/>
    <x v="1"/>
    <n v="1737.329999999999"/>
  </r>
  <r>
    <s v="03/09/2022"/>
    <s v="03/09/2022"/>
    <s v="TACOS HUICHO #3 PHOENIX AZ"/>
    <n v="51.8"/>
    <x v="1"/>
    <x v="1"/>
    <x v="3"/>
    <x v="1"/>
    <x v="1"/>
    <n v="1789.129999999999"/>
  </r>
  <r>
    <s v="03/10/2022"/>
    <s v="03/10/2022"/>
    <s v="TOCA BANNER 6868100020 PHOENIX AZ"/>
    <n v="40"/>
    <x v="10"/>
    <x v="48"/>
    <x v="3"/>
    <x v="1"/>
    <x v="10"/>
    <n v="1829.129999999999"/>
  </r>
  <r>
    <s v="03/10/2022"/>
    <s v="03/10/2022"/>
    <s v="LOVE'S TRAVEL STOPS #7 MAYER AZ"/>
    <n v="5.19"/>
    <x v="9"/>
    <x v="17"/>
    <x v="3"/>
    <x v="1"/>
    <x v="7"/>
    <n v="1834.319999999999"/>
  </r>
  <r>
    <s v="03/10/2022"/>
    <s v="03/10/2022"/>
    <s v="INTERNET PAYMENT - THANK YOU"/>
    <n v="-734.55"/>
    <x v="3"/>
    <x v="5"/>
    <x v="3"/>
    <x v="1"/>
    <x v="3"/>
    <n v="1099.7699999999991"/>
  </r>
  <r>
    <s v="03/10/2022"/>
    <s v="03/10/2022"/>
    <s v="GRAND CYN NP-NGVC FLAGSTAFF AZ"/>
    <n v="35"/>
    <x v="11"/>
    <x v="49"/>
    <x v="3"/>
    <x v="1"/>
    <x v="2"/>
    <n v="1134.7699999999991"/>
  </r>
  <r>
    <s v="03/10/2022"/>
    <s v="03/10/2022"/>
    <s v="DUNKIN #346591 PHOENIX AZ"/>
    <n v="21.12"/>
    <x v="1"/>
    <x v="1"/>
    <x v="3"/>
    <x v="1"/>
    <x v="1"/>
    <n v="1155.889999999999"/>
  </r>
  <r>
    <s v="03/10/2022"/>
    <s v="03/10/2022"/>
    <s v="ARCO #42554 AMPM PHOENIX AZ"/>
    <n v="32.58"/>
    <x v="9"/>
    <x v="17"/>
    <x v="3"/>
    <x v="1"/>
    <x v="7"/>
    <n v="1188.4699999999989"/>
  </r>
  <r>
    <s v="03/10/2022"/>
    <s v="03/10/2022"/>
    <s v="CHEVRON 0208757 WILLIAMS AZ00208757 5782659 I"/>
    <n v="5.13"/>
    <x v="9"/>
    <x v="17"/>
    <x v="3"/>
    <x v="1"/>
    <x v="7"/>
    <n v="1193.599999999999"/>
  </r>
  <r>
    <s v="03/10/2022"/>
    <s v="03/10/2022"/>
    <s v="CHEVRON 0208757 WILLIAMS AZ00208757 5782658 I"/>
    <n v="24.92"/>
    <x v="9"/>
    <x v="17"/>
    <x v="3"/>
    <x v="1"/>
    <x v="7"/>
    <n v="1218.5199999999991"/>
  </r>
  <r>
    <s v="03/10/2022"/>
    <s v="03/10/2022"/>
    <s v="APPLE.COM/BILL 866-712-7753 CAAPPLE PAY ENDING IN 4775MMW8GV5L2GA0"/>
    <n v="15.89"/>
    <x v="2"/>
    <x v="18"/>
    <x v="3"/>
    <x v="2"/>
    <x v="2"/>
    <n v="1234.4099999999989"/>
  </r>
  <r>
    <s v="03/10/2022"/>
    <s v="03/10/2022"/>
    <s v="APPLE.COM/BILL 866-712-7753 CAAPPLE PAY ENDING IN 4775MMW8FFM12TA0"/>
    <n v="10.59"/>
    <x v="2"/>
    <x v="34"/>
    <x v="3"/>
    <x v="2"/>
    <x v="2"/>
    <n v="1244.9999999999991"/>
  </r>
  <r>
    <s v="03/11/2022"/>
    <s v="03/11/2022"/>
    <s v="ARCO #42533 AMPM PHOENIX AZ"/>
    <n v="30"/>
    <x v="9"/>
    <x v="17"/>
    <x v="3"/>
    <x v="1"/>
    <x v="7"/>
    <n v="1274.9999999999991"/>
  </r>
  <r>
    <s v="03/11/2022"/>
    <s v="03/11/2022"/>
    <s v="CARLS JR 1101366 COACHELLA CA"/>
    <n v="33.130000000000003"/>
    <x v="1"/>
    <x v="1"/>
    <x v="3"/>
    <x v="1"/>
    <x v="1"/>
    <n v="1308.129999999999"/>
  </r>
  <r>
    <s v="03/11/2022"/>
    <s v="03/11/2022"/>
    <s v="LOVE'S COUNTRY STORE # COACHELLA CA"/>
    <n v="61.78"/>
    <x v="9"/>
    <x v="17"/>
    <x v="3"/>
    <x v="1"/>
    <x v="7"/>
    <n v="1369.9099999999989"/>
  </r>
  <r>
    <s v="03/12/2022"/>
    <s v="03/12/2022"/>
    <s v="SQ *EIS CAFE PHOENIX AZ0002305843015308289306"/>
    <n v="8.5299999999999994"/>
    <x v="1"/>
    <x v="1"/>
    <x v="3"/>
    <x v="1"/>
    <x v="1"/>
    <n v="1378.4399999999989"/>
  </r>
  <r>
    <s v="03/12/2022"/>
    <s v="03/12/2022"/>
    <s v="SQ *DESERT BOTANICAL G PHOENIX AZ0001152921511167811108"/>
    <n v="79.900000000000006"/>
    <x v="4"/>
    <x v="49"/>
    <x v="3"/>
    <x v="1"/>
    <x v="2"/>
    <n v="1458.339999999999"/>
  </r>
  <r>
    <s v="03/12/2022"/>
    <s v="03/12/2022"/>
    <s v="UNION 76 PHOENIX AZ"/>
    <n v="49.43"/>
    <x v="9"/>
    <x v="2"/>
    <x v="3"/>
    <x v="1"/>
    <x v="1"/>
    <n v="1507.7699999999991"/>
  </r>
  <r>
    <s v="03/12/2022"/>
    <s v="03/12/2022"/>
    <s v="RITT MOMNEY 6502396947 NY"/>
    <n v="22"/>
    <x v="2"/>
    <x v="46"/>
    <x v="3"/>
    <x v="1"/>
    <x v="2"/>
    <n v="1529.7699999999991"/>
  </r>
  <r>
    <s v="03/12/2022"/>
    <s v="03/12/2022"/>
    <s v="MUSICAL INSTRUMENT MUSEU PHOENIX AZ"/>
    <n v="54"/>
    <x v="4"/>
    <x v="49"/>
    <x v="3"/>
    <x v="1"/>
    <x v="2"/>
    <n v="1583.7699999999991"/>
  </r>
  <r>
    <s v="03/12/2022"/>
    <s v="03/12/2022"/>
    <s v="SQ *DESERT BOTANICAL G PHOENIX AZ0001152921511168063764"/>
    <n v="11.5"/>
    <x v="4"/>
    <x v="49"/>
    <x v="3"/>
    <x v="1"/>
    <x v="2"/>
    <n v="1595.2699999999991"/>
  </r>
  <r>
    <s v="03/13/2022"/>
    <s v="03/13/2022"/>
    <s v="CHEVRON 0208757 WILLIAMS AZ00208757 5784292 I"/>
    <n v="48.33"/>
    <x v="9"/>
    <x v="17"/>
    <x v="3"/>
    <x v="1"/>
    <x v="7"/>
    <n v="1643.599999999999"/>
  </r>
  <r>
    <s v="03/13/2022"/>
    <s v="03/13/2022"/>
    <s v="OLLIE VAUGHN S PHOENIX AZ"/>
    <n v="48.23"/>
    <x v="1"/>
    <x v="2"/>
    <x v="3"/>
    <x v="1"/>
    <x v="1"/>
    <n v="1691.829999999999"/>
  </r>
  <r>
    <s v="03/13/2022"/>
    <s v="03/13/2022"/>
    <s v="TST* VALLEY BAR PHOENIX AZ"/>
    <n v="30"/>
    <x v="1"/>
    <x v="2"/>
    <x v="3"/>
    <x v="1"/>
    <x v="1"/>
    <n v="1721.829999999999"/>
  </r>
  <r>
    <s v="03/13/2022"/>
    <s v="03/13/2022"/>
    <s v="TST* VALLEY BAR PHOENIX AZ"/>
    <n v="60"/>
    <x v="1"/>
    <x v="2"/>
    <x v="3"/>
    <x v="1"/>
    <x v="1"/>
    <n v="1781.829999999999"/>
  </r>
  <r>
    <s v="03/14/2022"/>
    <s v="03/14/2022"/>
    <s v="APPLE.COM/BILL 866-712-7753 CAAPPLE PAY ENDING IN 4775MMW8HX69MJA0"/>
    <n v="14.99"/>
    <x v="2"/>
    <x v="35"/>
    <x v="3"/>
    <x v="2"/>
    <x v="2"/>
    <n v="1796.819999999999"/>
  </r>
  <r>
    <s v="03/14/2022"/>
    <s v="03/14/2022"/>
    <s v="CIRCLE K # 03447 PHOENIX AZ20220315"/>
    <n v="0.86"/>
    <x v="2"/>
    <x v="17"/>
    <x v="3"/>
    <x v="1"/>
    <x v="7"/>
    <n v="1797.6799999999989"/>
  </r>
  <r>
    <s v="03/14/2022"/>
    <s v="03/14/2022"/>
    <s v="IN N OUT BURGER 317 PHOENIX AZ"/>
    <n v="9.23"/>
    <x v="1"/>
    <x v="1"/>
    <x v="3"/>
    <x v="1"/>
    <x v="1"/>
    <n v="1806.9099999999989"/>
  </r>
  <r>
    <s v="03/14/2022"/>
    <s v="03/14/2022"/>
    <s v="TACOS CALAFIA PHOENIX AZ"/>
    <n v="19.850000000000001"/>
    <x v="1"/>
    <x v="1"/>
    <x v="3"/>
    <x v="1"/>
    <x v="1"/>
    <n v="1826.7599999999991"/>
  </r>
  <r>
    <s v="03/14/2022"/>
    <s v="03/14/2022"/>
    <s v="WE COOK PIZZA AND PASTA TUSAYAN AZ"/>
    <n v="66.95"/>
    <x v="1"/>
    <x v="1"/>
    <x v="3"/>
    <x v="1"/>
    <x v="1"/>
    <n v="1893.7099999999989"/>
  </r>
  <r>
    <s v="03/16/2022"/>
    <s v="03/16/2022"/>
    <s v="CCBILL.COM 888-5969279 AZITEM TRANSFERRED FROM PREV ACCOUNT"/>
    <n v="12"/>
    <x v="2"/>
    <x v="27"/>
    <x v="3"/>
    <x v="1"/>
    <x v="2"/>
    <n v="1905.7099999999989"/>
  </r>
  <r>
    <s v="03/16/2022"/>
    <s v="03/16/2022"/>
    <s v="ARCO #42530 PHOENIX AZ"/>
    <n v="47.6"/>
    <x v="9"/>
    <x v="17"/>
    <x v="3"/>
    <x v="1"/>
    <x v="7"/>
    <n v="1953.309999999999"/>
  </r>
  <r>
    <s v="03/17/2022"/>
    <s v="03/17/2022"/>
    <s v="TMOBILE*AUTO PAY 800-937-8997 WAITEM TRANSFERRED FROM PREV ACCOUNT"/>
    <n v="70"/>
    <x v="2"/>
    <x v="21"/>
    <x v="3"/>
    <x v="1"/>
    <x v="4"/>
    <n v="2023.309999999999"/>
  </r>
  <r>
    <s v="03/17/2022"/>
    <s v="03/17/2022"/>
    <s v="CAFE RIO 0084 SCOTTSDALE SCOTTSDALE AZ"/>
    <n v="20.86"/>
    <x v="1"/>
    <x v="1"/>
    <x v="3"/>
    <x v="1"/>
    <x v="1"/>
    <n v="2044.1699999999989"/>
  </r>
  <r>
    <s v="03/17/2022"/>
    <s v="03/17/2022"/>
    <s v="CCBILL.COM 888-5969279 AZITEM TRANSFERRED FROM PREV ACCOUNT"/>
    <n v="5.99"/>
    <x v="2"/>
    <x v="27"/>
    <x v="3"/>
    <x v="1"/>
    <x v="2"/>
    <n v="2050.1599999999989"/>
  </r>
  <r>
    <s v="03/18/2022"/>
    <s v="03/18/2022"/>
    <s v="APPLE.COM/BILL 866-712-7753 CAAPPLE PAY ENDING IN 4775MMW8K9WZ9NA0"/>
    <n v="5.29"/>
    <x v="2"/>
    <x v="23"/>
    <x v="3"/>
    <x v="2"/>
    <x v="2"/>
    <n v="2055.4499999999989"/>
  </r>
  <r>
    <s v="03/18/2022"/>
    <s v="03/18/2022"/>
    <s v="JOBOT COFFEE PHOENIX AZ"/>
    <n v="10"/>
    <x v="1"/>
    <x v="50"/>
    <x v="3"/>
    <x v="1"/>
    <x v="1"/>
    <n v="2065.4499999999989"/>
  </r>
  <r>
    <s v="03/18/2022"/>
    <s v="03/18/2022"/>
    <s v="STAND UP LIVE TICKETS 480-7196100 AZ"/>
    <n v="57.9"/>
    <x v="7"/>
    <x v="51"/>
    <x v="3"/>
    <x v="1"/>
    <x v="2"/>
    <n v="2123.349999999999"/>
  </r>
  <r>
    <s v="03/18/2022"/>
    <s v="03/18/2022"/>
    <s v="THE UPS STORE 6120 PHOENIX AZ"/>
    <n v="126.2"/>
    <x v="4"/>
    <x v="52"/>
    <x v="3"/>
    <x v="1"/>
    <x v="9"/>
    <n v="2249.5499999999988"/>
  </r>
  <r>
    <s v="03/19/2022"/>
    <s v="03/19/2022"/>
    <s v="STAND UP LIVE F&amp;B PHOENIX AZ"/>
    <n v="100"/>
    <x v="7"/>
    <x v="51"/>
    <x v="3"/>
    <x v="1"/>
    <x v="2"/>
    <n v="2349.5499999999988"/>
  </r>
  <r>
    <s v="03/19/2022"/>
    <s v="03/19/2022"/>
    <s v="TOUS LES JOURS MESA AZ"/>
    <n v="14.2"/>
    <x v="2"/>
    <x v="1"/>
    <x v="3"/>
    <x v="1"/>
    <x v="1"/>
    <n v="2363.7499999999991"/>
  </r>
  <r>
    <s v="03/19/2022"/>
    <s v="03/19/2022"/>
    <s v="TOUS LES JOURS MESA AZ"/>
    <n v="37.5"/>
    <x v="2"/>
    <x v="1"/>
    <x v="3"/>
    <x v="1"/>
    <x v="1"/>
    <n v="2401.2499999999991"/>
  </r>
  <r>
    <s v="03/20/2022"/>
    <s v="03/20/2022"/>
    <s v="GOOGLE *YOUTUBE TV G.CO/HELPPAY#CAP0I657PY"/>
    <n v="54.29"/>
    <x v="7"/>
    <x v="37"/>
    <x v="3"/>
    <x v="2"/>
    <x v="2"/>
    <n v="2455.5399999999991"/>
  </r>
  <r>
    <s v="03/20/2022"/>
    <s v="03/20/2022"/>
    <s v="MEKONG PALACE MESA AZ"/>
    <n v="329.81"/>
    <x v="1"/>
    <x v="2"/>
    <x v="3"/>
    <x v="1"/>
    <x v="1"/>
    <n v="2785.349999999999"/>
  </r>
  <r>
    <s v="03/21/2022"/>
    <s v="03/21/2022"/>
    <s v="CAVASSON EASTSIDE CAFE SCOTTSDALE AZ"/>
    <n v="13.16"/>
    <x v="1"/>
    <x v="26"/>
    <x v="3"/>
    <x v="1"/>
    <x v="1"/>
    <n v="2798.5099999999979"/>
  </r>
  <r>
    <s v="03/22/2022"/>
    <s v="03/22/2022"/>
    <s v="INTERNET PAYMENT - THANK YOU"/>
    <n v="-734.55"/>
    <x v="3"/>
    <x v="5"/>
    <x v="3"/>
    <x v="1"/>
    <x v="3"/>
    <n v="2063.9599999999982"/>
  </r>
  <r>
    <s v="03/23/2022"/>
    <s v="03/23/2022"/>
    <s v="TST* CRESCENT BALLROOM PHOENIX AZ00035514006464508949AA"/>
    <n v="15"/>
    <x v="1"/>
    <x v="2"/>
    <x v="3"/>
    <x v="1"/>
    <x v="1"/>
    <n v="2078.9599999999982"/>
  </r>
  <r>
    <s v="03/23/2022"/>
    <s v="03/23/2022"/>
    <s v="TST* BOP &amp; ROLL PHOENIX AZ"/>
    <n v="31.53"/>
    <x v="1"/>
    <x v="2"/>
    <x v="3"/>
    <x v="1"/>
    <x v="1"/>
    <n v="2110.489999999998"/>
  </r>
  <r>
    <s v="03/23/2022"/>
    <s v="03/23/2022"/>
    <s v="MENS WEARHOUSE #2503 PHOENIX AZ"/>
    <n v="239.23"/>
    <x v="2"/>
    <x v="53"/>
    <x v="3"/>
    <x v="1"/>
    <x v="6"/>
    <n v="2349.719999999998"/>
  </r>
  <r>
    <s v="03/23/2022"/>
    <s v="03/23/2022"/>
    <s v="JIMMY JOHNS - 2500 - ECO PHOENIX AZAPPLE PAY ENDING IN 4775"/>
    <n v="10.41"/>
    <x v="1"/>
    <x v="1"/>
    <x v="3"/>
    <x v="1"/>
    <x v="1"/>
    <n v="2360.1299999999978"/>
  </r>
  <r>
    <s v="03/24/2022"/>
    <s v="03/24/2022"/>
    <s v="INTERNET PAYMENT - THANK YOU"/>
    <n v="-500"/>
    <x v="3"/>
    <x v="5"/>
    <x v="3"/>
    <x v="1"/>
    <x v="3"/>
    <n v="1860.1299999999981"/>
  </r>
  <r>
    <s v="03/25/2022"/>
    <s v="03/25/2022"/>
    <s v="TOCA BANNER 6868100020 888-2642127 AZ"/>
    <n v="392"/>
    <x v="10"/>
    <x v="48"/>
    <x v="3"/>
    <x v="1"/>
    <x v="10"/>
    <n v="2252.1299999999978"/>
  </r>
  <r>
    <s v="03/26/2022"/>
    <s v="03/26/2022"/>
    <s v="DNCSS MARYVALE BB CON PHOENIX AZ02670R"/>
    <n v="44.2"/>
    <x v="1"/>
    <x v="2"/>
    <x v="3"/>
    <x v="1"/>
    <x v="1"/>
    <n v="2296.3299999999981"/>
  </r>
  <r>
    <s v="03/26/2022"/>
    <s v="03/26/2022"/>
    <s v="PARKJOCKEY MIAMI FL"/>
    <n v="10"/>
    <x v="4"/>
    <x v="47"/>
    <x v="3"/>
    <x v="1"/>
    <x v="7"/>
    <n v="2306.3299999999981"/>
  </r>
  <r>
    <s v="03/26/2022"/>
    <s v="03/26/2022"/>
    <s v="SQ *HAPPY ZACH'S FUN F PHOENIX AZ0002305843015381111051"/>
    <n v="12"/>
    <x v="1"/>
    <x v="2"/>
    <x v="3"/>
    <x v="1"/>
    <x v="1"/>
    <n v="2318.3299999999981"/>
  </r>
  <r>
    <s v="03/26/2022"/>
    <s v="03/26/2022"/>
    <s v="SQ *HAPPY ZACH'S FUN F PHOENIX AZ0002305843015381595274"/>
    <n v="16"/>
    <x v="1"/>
    <x v="2"/>
    <x v="3"/>
    <x v="1"/>
    <x v="1"/>
    <n v="2334.3299999999981"/>
  </r>
  <r>
    <s v="03/26/2022"/>
    <s v="03/26/2022"/>
    <s v="SQ *LA PARRILLA DEL GO PHOENIX AZAPPLE PAY ENDING IN 47750001152921511217585389"/>
    <n v="3.81"/>
    <x v="1"/>
    <x v="2"/>
    <x v="3"/>
    <x v="1"/>
    <x v="1"/>
    <n v="2338.1399999999981"/>
  </r>
  <r>
    <s v="03/26/2022"/>
    <s v="03/26/2022"/>
    <s v="SQ *LA PARRILLA DEL GO PHOENIX AZAPPLE PAY ENDING IN 47750002305843015383152546"/>
    <n v="19.12"/>
    <x v="1"/>
    <x v="2"/>
    <x v="3"/>
    <x v="1"/>
    <x v="1"/>
    <n v="2357.2599999999979"/>
  </r>
  <r>
    <s v="03/27/2022"/>
    <s v="03/27/2022"/>
    <s v="WALGREENS #5893 PHOENIX AZAPPLE PAY ENDING IN 4775"/>
    <n v="24.57"/>
    <x v="2"/>
    <x v="15"/>
    <x v="3"/>
    <x v="1"/>
    <x v="6"/>
    <n v="2381.8299999999981"/>
  </r>
  <r>
    <s v="03/29/2022"/>
    <s v="03/29/2022"/>
    <s v="DOORDASH*IL BOSCO PIZZ 6506819470 CAAPPLE PAY ENDING IN 4775"/>
    <n v="41.81"/>
    <x v="1"/>
    <x v="1"/>
    <x v="3"/>
    <x v="1"/>
    <x v="1"/>
    <n v="2423.6399999999981"/>
  </r>
  <r>
    <s v="03/29/2022"/>
    <s v="03/29/2022"/>
    <s v="TCKTWEB*JACOBCOLLIERDJ 800-965-4827 CAITEM TRANSFERRED FROM PREV ACCOUNT"/>
    <n v="77"/>
    <x v="2"/>
    <x v="2"/>
    <x v="3"/>
    <x v="1"/>
    <x v="1"/>
    <n v="2500.6399999999981"/>
  </r>
  <r>
    <s v="03/30/2022"/>
    <s v="04/03/2022"/>
    <s v="DISNEYPLUS 888-905-7888 CAITEM TRANSFERRED FROM PREV ACCOUNT"/>
    <n v="79.989999999999995"/>
    <x v="2"/>
    <x v="54"/>
    <x v="3"/>
    <x v="2"/>
    <x v="2"/>
    <n v="2580.6299999999978"/>
  </r>
  <r>
    <s v="03/30/2022"/>
    <s v="03/30/2022"/>
    <s v="JIMMY JOHNS - 2500 - ECO PHOENIX AZAPPLE PAY ENDING IN 4775"/>
    <n v="29.83"/>
    <x v="1"/>
    <x v="1"/>
    <x v="3"/>
    <x v="1"/>
    <x v="1"/>
    <n v="2610.4599999999982"/>
  </r>
  <r>
    <s v="04/01/2022"/>
    <s v="04/03/2022"/>
    <s v="NETFLIX.COM NETFLIX.COM CAITEM TRANSFERRED FROM PREV ACCOUNT"/>
    <n v="16.420000000000002"/>
    <x v="2"/>
    <x v="3"/>
    <x v="4"/>
    <x v="2"/>
    <x v="2"/>
    <n v="2626.8799999999978"/>
  </r>
  <r>
    <s v="04/01/2022"/>
    <s v="04/03/2022"/>
    <s v="SPOTIFY P1AA95185E 8777781161 NYITEM TRANSFERRED FROM PREV ACCOUNT"/>
    <n v="9.99"/>
    <x v="2"/>
    <x v="4"/>
    <x v="4"/>
    <x v="2"/>
    <x v="2"/>
    <n v="2636.8699999999981"/>
  </r>
  <r>
    <s v="04/02/2022"/>
    <s v="04/03/2022"/>
    <s v="KRYSTAL AND SAAGAR 2025317527 DCITEM TRANSFERRED FROM PREV ACCOUNT"/>
    <n v="10"/>
    <x v="2"/>
    <x v="6"/>
    <x v="4"/>
    <x v="2"/>
    <x v="2"/>
    <n v="2646.8699999999981"/>
  </r>
  <r>
    <s v="04/03/2022"/>
    <s v="04/03/2022"/>
    <s v="PAYPAL *HULU 402-935-7733 CA"/>
    <n v="12.99"/>
    <x v="4"/>
    <x v="7"/>
    <x v="4"/>
    <x v="2"/>
    <x v="2"/>
    <n v="2659.8599999999969"/>
  </r>
  <r>
    <s v="04/04/2022"/>
    <s v="04/04/2022"/>
    <s v="AMZN MKTP US*169FP2UB2 AMZN.COM/BILLWAITEM TRANSFERRED FROM PREV ACCOUNT"/>
    <n v="17.63"/>
    <x v="2"/>
    <x v="13"/>
    <x v="4"/>
    <x v="1"/>
    <x v="6"/>
    <n v="2677.489999999998"/>
  </r>
  <r>
    <s v="04/04/2022"/>
    <s v="04/04/2022"/>
    <s v="SAFEWAY #2651 PHOENIX AZ"/>
    <n v="50.32"/>
    <x v="6"/>
    <x v="11"/>
    <x v="4"/>
    <x v="1"/>
    <x v="1"/>
    <n v="2727.8099999999981"/>
  </r>
  <r>
    <s v="04/05/2022"/>
    <s v="04/05/2022"/>
    <s v="STATE FARM INSURANCE 800-956-6310 ILITEM TRANSFERRED FROM PREV ACCOUNT"/>
    <n v="79.38"/>
    <x v="2"/>
    <x v="9"/>
    <x v="4"/>
    <x v="2"/>
    <x v="5"/>
    <n v="2807.1899999999978"/>
  </r>
  <r>
    <s v="04/06/2022"/>
    <s v="04/06/2022"/>
    <s v="APPLE.COM/BILL 866-712-7753 CAAPPLE PAY ENDING IN 4775MMW8V590N4A0"/>
    <n v="10.59"/>
    <x v="2"/>
    <x v="34"/>
    <x v="4"/>
    <x v="2"/>
    <x v="2"/>
    <n v="2817.7799999999979"/>
  </r>
  <r>
    <s v="04/06/2022"/>
    <s v="04/06/2022"/>
    <s v="UST*USTA MEMBERSHIP 800-990-8782 NYITEM TRANSFERRED FROM PREV ACCOUNT"/>
    <n v="44"/>
    <x v="2"/>
    <x v="55"/>
    <x v="4"/>
    <x v="1"/>
    <x v="2"/>
    <n v="2861.7799999999979"/>
  </r>
  <r>
    <s v="04/07/2022"/>
    <s v="04/07/2022"/>
    <s v="WALGREENS #5893 PHOENIX AZ"/>
    <n v="4.76"/>
    <x v="2"/>
    <x v="15"/>
    <x v="4"/>
    <x v="1"/>
    <x v="6"/>
    <n v="2866.5399999999981"/>
  </r>
  <r>
    <s v="04/07/2022"/>
    <s v="04/07/2022"/>
    <s v="UBER TRIP 866-576-1039 CA"/>
    <n v="32.549999999999997"/>
    <x v="7"/>
    <x v="25"/>
    <x v="4"/>
    <x v="1"/>
    <x v="7"/>
    <n v="2899.0899999999979"/>
  </r>
  <r>
    <s v="04/07/2022"/>
    <s v="04/07/2022"/>
    <s v="UBER TRIP 866-576-1039 CA"/>
    <n v="11.13"/>
    <x v="7"/>
    <x v="25"/>
    <x v="4"/>
    <x v="1"/>
    <x v="7"/>
    <n v="2910.219999999998"/>
  </r>
  <r>
    <s v="04/07/2022"/>
    <s v="04/07/2022"/>
    <s v="SOSOBA PHOENIX AZ"/>
    <n v="100"/>
    <x v="1"/>
    <x v="1"/>
    <x v="4"/>
    <x v="1"/>
    <x v="1"/>
    <n v="3010.219999999998"/>
  </r>
  <r>
    <s v="04/07/2022"/>
    <s v="04/07/2022"/>
    <s v="INTERNET PAYMENT - THANK YOU"/>
    <n v="-934.85"/>
    <x v="3"/>
    <x v="5"/>
    <x v="4"/>
    <x v="1"/>
    <x v="3"/>
    <n v="2075.369999999999"/>
  </r>
  <r>
    <s v="04/07/2022"/>
    <s v="04/07/2022"/>
    <s v="CASHBACK BONUS REDEMPTION PYMT/STMT CRDT"/>
    <n v="-65.150000000000006"/>
    <x v="8"/>
    <x v="16"/>
    <x v="4"/>
    <x v="1"/>
    <x v="3"/>
    <n v="2010.219999999998"/>
  </r>
  <r>
    <s v="04/07/2022"/>
    <s v="04/07/2022"/>
    <s v="A MEDIUM CORPORATION 415-508-5008 CA"/>
    <n v="50"/>
    <x v="4"/>
    <x v="56"/>
    <x v="4"/>
    <x v="2"/>
    <x v="2"/>
    <n v="2060.219999999998"/>
  </r>
  <r>
    <s v="04/07/2022"/>
    <s v="04/07/2022"/>
    <s v="SAFEWAY #2651 PHOENIX AZ"/>
    <n v="58.52"/>
    <x v="6"/>
    <x v="11"/>
    <x v="4"/>
    <x v="1"/>
    <x v="1"/>
    <n v="2118.739999999998"/>
  </r>
  <r>
    <s v="04/08/2022"/>
    <s v="04/08/2022"/>
    <s v="DRI*NVIDIA STORE NVIDIA.COM MNITEM TRANSFERRED FROM PREV ACCOUNT"/>
    <n v="4.99"/>
    <x v="2"/>
    <x v="10"/>
    <x v="4"/>
    <x v="2"/>
    <x v="2"/>
    <n v="2123.7299999999982"/>
  </r>
  <r>
    <s v="04/09/2022"/>
    <s v="04/09/2022"/>
    <s v="JERSEY MIKES 9069 PHOENIX AZ"/>
    <n v="23.35"/>
    <x v="1"/>
    <x v="1"/>
    <x v="4"/>
    <x v="1"/>
    <x v="1"/>
    <n v="2147.0799999999981"/>
  </r>
  <r>
    <s v="04/09/2022"/>
    <s v="04/09/2022"/>
    <s v="AMC 0127 ARIZONA CTR 2 PHOENIX AZ"/>
    <n v="5.53"/>
    <x v="7"/>
    <x v="40"/>
    <x v="4"/>
    <x v="1"/>
    <x v="2"/>
    <n v="2152.6099999999979"/>
  </r>
  <r>
    <s v="04/09/2022"/>
    <s v="04/09/2022"/>
    <s v="AMC 0127 ARIZONA CTR 2 PHOENIX AZ"/>
    <n v="12.9"/>
    <x v="7"/>
    <x v="40"/>
    <x v="4"/>
    <x v="1"/>
    <x v="2"/>
    <n v="2165.5099999999979"/>
  </r>
  <r>
    <s v="04/09/2022"/>
    <s v="04/09/2022"/>
    <s v="AMZN MKTP US*1H3DX4US0 AMZN.COM/BILLWAITEM TRANSFERRED FROM PREV ACCOUNT"/>
    <n v="172.67"/>
    <x v="2"/>
    <x v="13"/>
    <x v="4"/>
    <x v="1"/>
    <x v="6"/>
    <n v="2338.179999999998"/>
  </r>
  <r>
    <s v="04/09/2022"/>
    <s v="04/09/2022"/>
    <s v="FANDANGO 866-857-5191 CA"/>
    <n v="15.5"/>
    <x v="7"/>
    <x v="40"/>
    <x v="4"/>
    <x v="1"/>
    <x v="2"/>
    <n v="2353.679999999998"/>
  </r>
  <r>
    <s v="04/09/2022"/>
    <s v="04/09/2022"/>
    <s v="UBER TRIP 866-576-1039 CA"/>
    <n v="12.64"/>
    <x v="7"/>
    <x v="25"/>
    <x v="4"/>
    <x v="1"/>
    <x v="7"/>
    <n v="2366.3199999999979"/>
  </r>
  <r>
    <s v="04/10/2022"/>
    <s v="04/10/2022"/>
    <s v="UBER TRIP HELP.UBER.CO SAN FRANCISCOCA"/>
    <n v="5"/>
    <x v="7"/>
    <x v="25"/>
    <x v="4"/>
    <x v="1"/>
    <x v="7"/>
    <n v="2371.3199999999979"/>
  </r>
  <r>
    <s v="04/10/2022"/>
    <s v="04/10/2022"/>
    <s v="UBER PENDING SAN FRANCISCOCA"/>
    <n v="11.19"/>
    <x v="7"/>
    <x v="25"/>
    <x v="4"/>
    <x v="1"/>
    <x v="7"/>
    <n v="2382.5099999999979"/>
  </r>
  <r>
    <s v="04/10/2022"/>
    <s v="04/10/2022"/>
    <s v="CCBILL.COM 888-5969279 AZITEM TRANSFERRED FROM PREV ACCOUNT"/>
    <n v="9.99"/>
    <x v="2"/>
    <x v="27"/>
    <x v="4"/>
    <x v="1"/>
    <x v="2"/>
    <n v="2392.4999999999982"/>
  </r>
  <r>
    <s v="04/10/2022"/>
    <s v="04/10/2022"/>
    <s v="APPLE.COM/BILL 866-712-7753 CAAPPLE PAY ENDING IN 4775MMW8WNNX9GA0"/>
    <n v="15.89"/>
    <x v="2"/>
    <x v="18"/>
    <x v="4"/>
    <x v="2"/>
    <x v="2"/>
    <n v="2408.3899999999981"/>
  </r>
  <r>
    <s v="04/10/2022"/>
    <s v="04/10/2022"/>
    <s v="AMC 0127 ARIZONA CTR 2 PHOENIX AZ"/>
    <n v="12.9"/>
    <x v="7"/>
    <x v="40"/>
    <x v="4"/>
    <x v="1"/>
    <x v="2"/>
    <n v="2421.2899999999981"/>
  </r>
  <r>
    <s v="04/11/2022"/>
    <s v="04/11/2022"/>
    <s v="AMZN MKTP US*1H0DF7SN2 AMZN.COM/BILLWAITEM TRANSFERRED FROM PREV ACCOUNT"/>
    <n v="57.55"/>
    <x v="2"/>
    <x v="13"/>
    <x v="4"/>
    <x v="1"/>
    <x v="6"/>
    <n v="2478.8399999999979"/>
  </r>
  <r>
    <s v="04/11/2022"/>
    <s v="04/11/2022"/>
    <s v="ATI3997-040168136 310-627-2866 CAAPPLE PAY ENDING IN 4775"/>
    <n v="8"/>
    <x v="7"/>
    <x v="19"/>
    <x v="4"/>
    <x v="1"/>
    <x v="8"/>
    <n v="2486.8399999999979"/>
  </r>
  <r>
    <s v="04/11/2022"/>
    <s v="04/11/2022"/>
    <s v="CHEBA HUT - PHOENIX AZ PHOENIX AZ"/>
    <n v="42.43"/>
    <x v="1"/>
    <x v="1"/>
    <x v="4"/>
    <x v="1"/>
    <x v="1"/>
    <n v="2529.2699999999982"/>
  </r>
  <r>
    <s v="04/11/2022"/>
    <s v="04/11/2022"/>
    <s v="GOOGLE *YOUTUBE G.CO/HELPPAY#CAP0IZVTPS"/>
    <n v="15.89"/>
    <x v="4"/>
    <x v="37"/>
    <x v="4"/>
    <x v="2"/>
    <x v="2"/>
    <n v="2545.159999999998"/>
  </r>
  <r>
    <s v="04/11/2022"/>
    <s v="04/11/2022"/>
    <s v="UBER PENDING SAN FRANCISCOCA"/>
    <n v="14.86"/>
    <x v="7"/>
    <x v="25"/>
    <x v="4"/>
    <x v="1"/>
    <x v="7"/>
    <n v="2560.0199999999982"/>
  </r>
  <r>
    <s v="04/11/2022"/>
    <s v="04/11/2022"/>
    <s v="UBER TRIP HELP.UBER.CO SAN FRANCISCOCA"/>
    <n v="5"/>
    <x v="7"/>
    <x v="25"/>
    <x v="4"/>
    <x v="1"/>
    <x v="7"/>
    <n v="2565.0199999999982"/>
  </r>
  <r>
    <s v="04/12/2022"/>
    <s v="04/12/2022"/>
    <s v="AMAZON.COM*1A9W099W1 AMZN.COM/BILLWAITEM TRANSFERRED FROM PREV ACCOUNT"/>
    <n v="30"/>
    <x v="2"/>
    <x v="13"/>
    <x v="4"/>
    <x v="1"/>
    <x v="6"/>
    <n v="2595.0199999999982"/>
  </r>
  <r>
    <s v="04/12/2022"/>
    <s v="04/12/2022"/>
    <s v="CASPER SLEEP INC. 888-498-0003 NY"/>
    <n v="63.66"/>
    <x v="2"/>
    <x v="57"/>
    <x v="4"/>
    <x v="1"/>
    <x v="11"/>
    <n v="2658.679999999998"/>
  </r>
  <r>
    <s v="04/13/2022"/>
    <s v="04/13/2022"/>
    <s v="CCBILL.COM 888-5969279 AZITEM TRANSFERRED FROM PREV ACCOUNT"/>
    <n v="7.9"/>
    <x v="2"/>
    <x v="27"/>
    <x v="4"/>
    <x v="1"/>
    <x v="2"/>
    <n v="2666.5799999999981"/>
  </r>
  <r>
    <s v="04/13/2022"/>
    <s v="04/13/2022"/>
    <s v="SAFEWAY.COM #2651 877-505-4040 AZ42064559"/>
    <n v="51.31"/>
    <x v="6"/>
    <x v="11"/>
    <x v="4"/>
    <x v="1"/>
    <x v="1"/>
    <n v="2717.8899999999981"/>
  </r>
  <r>
    <s v="04/13/2022"/>
    <s v="04/13/2022"/>
    <s v="UDEMY: ONLINE COURSES 8888385432 CA"/>
    <n v="21.71"/>
    <x v="12"/>
    <x v="31"/>
    <x v="4"/>
    <x v="1"/>
    <x v="6"/>
    <n v="2739.5999999999981"/>
  </r>
  <r>
    <s v="04/14/2022"/>
    <s v="04/14/2022"/>
    <s v="TST* POSTINO - ANNEX TEMPE AZ"/>
    <n v="71.55"/>
    <x v="1"/>
    <x v="2"/>
    <x v="4"/>
    <x v="1"/>
    <x v="1"/>
    <n v="2811.1499999999978"/>
  </r>
  <r>
    <s v="04/14/2022"/>
    <s v="04/14/2022"/>
    <s v="SAFEWAY #2651 PHOENIX AZ"/>
    <n v="18.47"/>
    <x v="6"/>
    <x v="11"/>
    <x v="4"/>
    <x v="1"/>
    <x v="1"/>
    <n v="2829.6199999999981"/>
  </r>
  <r>
    <s v="04/14/2022"/>
    <s v="04/14/2022"/>
    <s v="JIMMY JOHNS - 2500 - ECO PHOENIX AZAPPLE PAY ENDING IN 4775"/>
    <n v="29.18"/>
    <x v="1"/>
    <x v="1"/>
    <x v="4"/>
    <x v="1"/>
    <x v="1"/>
    <n v="2858.7999999999979"/>
  </r>
  <r>
    <s v="04/14/2022"/>
    <s v="04/14/2022"/>
    <s v="APPLE.COM/BILL 866-712-7753 CAAPPLE PAY ENDING IN 4775MMW8X809J8A0"/>
    <n v="31.79"/>
    <x v="2"/>
    <x v="58"/>
    <x v="4"/>
    <x v="2"/>
    <x v="2"/>
    <n v="2890.5899999999979"/>
  </r>
  <r>
    <s v="04/14/2022"/>
    <s v="04/14/2022"/>
    <s v="APPLE.COM/BILL 111-111-1111 CAAPPLE PAY ENDING IN 4775"/>
    <n v="14.99"/>
    <x v="2"/>
    <x v="35"/>
    <x v="4"/>
    <x v="2"/>
    <x v="2"/>
    <n v="2905.5799999999981"/>
  </r>
  <r>
    <s v="04/15/2022"/>
    <s v="04/15/2022"/>
    <s v="ENDGAME BAR MESA AZ"/>
    <n v="70"/>
    <x v="1"/>
    <x v="2"/>
    <x v="4"/>
    <x v="1"/>
    <x v="1"/>
    <n v="2975.5799999999981"/>
  </r>
  <r>
    <s v="04/16/2022"/>
    <s v="04/16/2022"/>
    <s v="GDP*VIMRAJ GLOBAL LLC CHANDLER AZ"/>
    <n v="49.48"/>
    <x v="6"/>
    <x v="43"/>
    <x v="4"/>
    <x v="1"/>
    <x v="6"/>
    <n v="3025.0599999999981"/>
  </r>
  <r>
    <s v="04/16/2022"/>
    <s v="04/16/2022"/>
    <s v="ONLYFANS.COM 8886880458 IL"/>
    <n v="4.26"/>
    <x v="2"/>
    <x v="27"/>
    <x v="4"/>
    <x v="1"/>
    <x v="2"/>
    <n v="3029.3199999999979"/>
  </r>
  <r>
    <s v="04/16/2022"/>
    <s v="04/16/2022"/>
    <s v="UBER PENDING SAN FRANCISCOCA"/>
    <n v="33.56"/>
    <x v="7"/>
    <x v="25"/>
    <x v="4"/>
    <x v="1"/>
    <x v="7"/>
    <n v="3062.8799999999978"/>
  </r>
  <r>
    <s v="04/16/2022"/>
    <s v="04/16/2022"/>
    <s v="UBER TRIP 866-576-1039 CA"/>
    <n v="5.23"/>
    <x v="7"/>
    <x v="25"/>
    <x v="4"/>
    <x v="1"/>
    <x v="7"/>
    <n v="3068.1099999999979"/>
  </r>
  <r>
    <s v="04/16/2022"/>
    <s v="04/16/2022"/>
    <s v="UBER TRIP 866-576-1039 CA"/>
    <n v="9.6"/>
    <x v="7"/>
    <x v="25"/>
    <x v="4"/>
    <x v="1"/>
    <x v="7"/>
    <n v="3077.7099999999982"/>
  </r>
  <r>
    <s v="04/16/2022"/>
    <s v="04/16/2022"/>
    <s v="UBER TRIP 866-576-1039 CA"/>
    <n v="26.17"/>
    <x v="7"/>
    <x v="25"/>
    <x v="4"/>
    <x v="1"/>
    <x v="7"/>
    <n v="3103.8799999999978"/>
  </r>
  <r>
    <s v="04/16/2022"/>
    <s v="04/16/2022"/>
    <s v="UBER TRIP 866-576-1039 CA"/>
    <n v="30.71"/>
    <x v="7"/>
    <x v="25"/>
    <x v="4"/>
    <x v="1"/>
    <x v="7"/>
    <n v="3134.5899999999979"/>
  </r>
  <r>
    <s v="04/16/2022"/>
    <s v="04/16/2022"/>
    <s v="UBER TRIP 866-576-1039 CA"/>
    <n v="38.43"/>
    <x v="7"/>
    <x v="25"/>
    <x v="4"/>
    <x v="1"/>
    <x v="7"/>
    <n v="3173.0199999999982"/>
  </r>
  <r>
    <s v="04/16/2022"/>
    <s v="04/16/2022"/>
    <s v="UBER TRIP HELP.UBER.CO SAN FRANCISCOCA"/>
    <n v="4.5999999999999996"/>
    <x v="7"/>
    <x v="25"/>
    <x v="4"/>
    <x v="1"/>
    <x v="7"/>
    <n v="3177.6199999999981"/>
  </r>
  <r>
    <s v="04/17/2022"/>
    <s v="04/17/2022"/>
    <s v="ZIGGYS PIZZA AND STARDUS PHOENIX AZ"/>
    <n v="30"/>
    <x v="1"/>
    <x v="1"/>
    <x v="4"/>
    <x v="1"/>
    <x v="1"/>
    <n v="3207.6199999999981"/>
  </r>
  <r>
    <s v="04/17/2022"/>
    <s v="04/17/2022"/>
    <s v="UBER TRIP 866-576-1039 CA"/>
    <n v="5.03"/>
    <x v="7"/>
    <x v="25"/>
    <x v="4"/>
    <x v="1"/>
    <x v="7"/>
    <n v="3212.6499999999978"/>
  </r>
  <r>
    <s v="04/17/2022"/>
    <s v="04/17/2022"/>
    <s v="UBER EATS 866-576-1039 CA"/>
    <n v="35.25"/>
    <x v="1"/>
    <x v="25"/>
    <x v="4"/>
    <x v="1"/>
    <x v="7"/>
    <n v="3247.8999999999978"/>
  </r>
  <r>
    <s v="04/17/2022"/>
    <s v="04/17/2022"/>
    <s v="UBER EATS 866-576-1039 CA"/>
    <n v="5.22"/>
    <x v="1"/>
    <x v="25"/>
    <x v="4"/>
    <x v="1"/>
    <x v="7"/>
    <n v="3253.1199999999981"/>
  </r>
  <r>
    <s v="04/17/2022"/>
    <s v="04/17/2022"/>
    <s v="JACOB COLLIER 6502396947 AZ"/>
    <n v="100"/>
    <x v="2"/>
    <x v="45"/>
    <x v="4"/>
    <x v="1"/>
    <x v="2"/>
    <n v="3353.1199999999981"/>
  </r>
  <r>
    <s v="04/17/2022"/>
    <s v="04/17/2022"/>
    <s v="TMOBILE*AUTO PAY 800-937-8997 WAITEM TRANSFERRED FROM PREV ACCOUNT"/>
    <n v="70"/>
    <x v="2"/>
    <x v="21"/>
    <x v="4"/>
    <x v="1"/>
    <x v="4"/>
    <n v="3423.1199999999981"/>
  </r>
  <r>
    <s v="04/17/2022"/>
    <s v="04/17/2022"/>
    <s v="TIP JACOB COLLIER 6502396947 AZ"/>
    <n v="10"/>
    <x v="2"/>
    <x v="45"/>
    <x v="4"/>
    <x v="1"/>
    <x v="2"/>
    <n v="3433.1199999999981"/>
  </r>
  <r>
    <s v="04/17/2022"/>
    <s v="04/17/2022"/>
    <s v="TST* IL BOSCO PIZZA - 602-616-2556 AZ00040336006740827703AA"/>
    <n v="19.86"/>
    <x v="1"/>
    <x v="1"/>
    <x v="4"/>
    <x v="1"/>
    <x v="1"/>
    <n v="3452.9799999999982"/>
  </r>
  <r>
    <s v="04/18/2022"/>
    <s v="04/18/2022"/>
    <s v="APPLE.COM/BILL 866-712-7753 CAAPPLE PAY ENDING IN 4775MMW8YJVBLNA0"/>
    <n v="5.29"/>
    <x v="2"/>
    <x v="23"/>
    <x v="4"/>
    <x v="2"/>
    <x v="2"/>
    <n v="3458.2699999999982"/>
  </r>
  <r>
    <s v="04/18/2022"/>
    <s v="04/18/2022"/>
    <s v="TARGET.COM * 800-591-3869 MN"/>
    <n v="47.34"/>
    <x v="2"/>
    <x v="22"/>
    <x v="4"/>
    <x v="1"/>
    <x v="6"/>
    <n v="3505.6099999999979"/>
  </r>
  <r>
    <s v="04/19/2022"/>
    <s v="04/19/2022"/>
    <s v="SAFEWAY.COM #2651 877-505-4040 AZ42329306"/>
    <n v="47.46"/>
    <x v="6"/>
    <x v="11"/>
    <x v="4"/>
    <x v="1"/>
    <x v="1"/>
    <n v="3553.0699999999979"/>
  </r>
  <r>
    <s v="04/20/2022"/>
    <s v="04/20/2022"/>
    <s v="GOOGLE *YOUTUBE TV G.CO/HELPPAY#CAP0ILMSKP"/>
    <n v="70.58"/>
    <x v="2"/>
    <x v="37"/>
    <x v="4"/>
    <x v="2"/>
    <x v="2"/>
    <n v="3623.6499999999978"/>
  </r>
  <r>
    <s v="04/21/2022"/>
    <s v="04/21/2022"/>
    <s v="SAFEWAY #2651 PHOENIX AZ"/>
    <n v="51.25"/>
    <x v="6"/>
    <x v="11"/>
    <x v="4"/>
    <x v="1"/>
    <x v="1"/>
    <n v="3674.8999999999978"/>
  </r>
  <r>
    <s v="04/22/2022"/>
    <s v="04/22/2022"/>
    <s v="SAFEWAY #2651 PHOENIX AZ"/>
    <n v="33.549999999999997"/>
    <x v="6"/>
    <x v="11"/>
    <x v="4"/>
    <x v="1"/>
    <x v="1"/>
    <n v="3708.449999999998"/>
  </r>
  <r>
    <s v="04/22/2022"/>
    <s v="04/22/2022"/>
    <s v="WALGREENS #5893 PHOENIX AZ"/>
    <n v="19.260000000000002"/>
    <x v="2"/>
    <x v="15"/>
    <x v="4"/>
    <x v="1"/>
    <x v="6"/>
    <n v="3727.7099999999982"/>
  </r>
  <r>
    <s v="04/23/2022"/>
    <s v="04/23/2022"/>
    <s v="UBER TRIP 866-576-1039 CA"/>
    <n v="17.690000000000001"/>
    <x v="7"/>
    <x v="25"/>
    <x v="4"/>
    <x v="1"/>
    <x v="7"/>
    <n v="3745.3999999999978"/>
  </r>
  <r>
    <s v="04/23/2022"/>
    <s v="04/23/2022"/>
    <s v="UBER PENDING SAN FRANCISCOCA"/>
    <n v="8.6199999999999992"/>
    <x v="7"/>
    <x v="25"/>
    <x v="4"/>
    <x v="1"/>
    <x v="7"/>
    <n v="3754.0199999999982"/>
  </r>
  <r>
    <s v="04/23/2022"/>
    <s v="04/23/2022"/>
    <s v="ATI3997-042289030 310-627-2866 CAAPPLE PAY ENDING IN 4775"/>
    <n v="8"/>
    <x v="7"/>
    <x v="19"/>
    <x v="4"/>
    <x v="1"/>
    <x v="8"/>
    <n v="3762.0199999999982"/>
  </r>
  <r>
    <s v="04/24/2022"/>
    <s v="04/24/2022"/>
    <s v="ONLYFANS 8886880458 FL"/>
    <n v="10.62"/>
    <x v="2"/>
    <x v="27"/>
    <x v="4"/>
    <x v="1"/>
    <x v="2"/>
    <n v="3772.6399999999981"/>
  </r>
  <r>
    <s v="04/24/2022"/>
    <s v="04/24/2022"/>
    <s v="ONLYFANS.COM 8886880458 IL"/>
    <n v="7.43"/>
    <x v="2"/>
    <x v="27"/>
    <x v="4"/>
    <x v="1"/>
    <x v="2"/>
    <n v="3780.0699999999979"/>
  </r>
  <r>
    <s v="04/24/2022"/>
    <s v="04/24/2022"/>
    <s v="ONLYFANS.COM 8886880458 IL"/>
    <n v="10.62"/>
    <x v="2"/>
    <x v="27"/>
    <x v="4"/>
    <x v="1"/>
    <x v="2"/>
    <n v="3790.6899999999978"/>
  </r>
  <r>
    <s v="04/25/2022"/>
    <s v="04/25/2022"/>
    <s v="2LEVY@BANK1 PHOENIX AZ"/>
    <n v="15.19"/>
    <x v="1"/>
    <x v="2"/>
    <x v="4"/>
    <x v="1"/>
    <x v="1"/>
    <n v="3805.8799999999978"/>
  </r>
  <r>
    <s v="04/25/2022"/>
    <s v="04/25/2022"/>
    <s v="2LEVY@BANK1 PHOENIX AZ"/>
    <n v="20.59"/>
    <x v="1"/>
    <x v="2"/>
    <x v="4"/>
    <x v="1"/>
    <x v="1"/>
    <n v="3826.469999999998"/>
  </r>
  <r>
    <s v="04/25/2022"/>
    <s v="04/25/2022"/>
    <s v="8AZ DIAMOND11875804307 PHOENIX AZ"/>
    <n v="32.57"/>
    <x v="2"/>
    <x v="59"/>
    <x v="4"/>
    <x v="1"/>
    <x v="2"/>
    <n v="3859.0399999999981"/>
  </r>
  <r>
    <s v="04/25/2022"/>
    <s v="04/25/2022"/>
    <s v="ARIZONA DIAMONDBACKS PHOENIX AZ02548R"/>
    <n v="24"/>
    <x v="7"/>
    <x v="59"/>
    <x v="4"/>
    <x v="1"/>
    <x v="2"/>
    <n v="3883.0399999999981"/>
  </r>
  <r>
    <s v="04/25/2022"/>
    <s v="04/25/2022"/>
    <s v="JIMMY JOHNS - 2500 PHOENIX AZ"/>
    <n v="12.57"/>
    <x v="1"/>
    <x v="1"/>
    <x v="4"/>
    <x v="1"/>
    <x v="1"/>
    <n v="3895.6099999999979"/>
  </r>
  <r>
    <s v="04/25/2022"/>
    <s v="04/25/2022"/>
    <s v="SAFEWAY #2651 PHOENIX AZ"/>
    <n v="30.36"/>
    <x v="6"/>
    <x v="11"/>
    <x v="4"/>
    <x v="1"/>
    <x v="1"/>
    <n v="3925.969999999998"/>
  </r>
  <r>
    <s v="04/26/2022"/>
    <s v="04/26/2022"/>
    <s v="TACOS CALAFIA PHOENIX AZ"/>
    <n v="6.23"/>
    <x v="1"/>
    <x v="1"/>
    <x v="4"/>
    <x v="1"/>
    <x v="1"/>
    <n v="3932.199999999998"/>
  </r>
  <r>
    <s v="04/26/2022"/>
    <s v="04/26/2022"/>
    <s v="STAND UP LIVE TICKETS 480-7196100 AZ"/>
    <n v="20.96"/>
    <x v="7"/>
    <x v="51"/>
    <x v="4"/>
    <x v="1"/>
    <x v="2"/>
    <n v="3953.159999999998"/>
  </r>
  <r>
    <s v="04/26/2022"/>
    <s v="04/26/2022"/>
    <s v="ONLYFANS 8886880458 FL"/>
    <n v="7.43"/>
    <x v="2"/>
    <x v="27"/>
    <x v="4"/>
    <x v="1"/>
    <x v="2"/>
    <n v="3960.5899999999979"/>
  </r>
  <r>
    <s v="04/26/2022"/>
    <s v="04/26/2022"/>
    <s v="CIRCLE K # 03447 PHOENIX AZ02652R"/>
    <n v="3.59"/>
    <x v="9"/>
    <x v="17"/>
    <x v="4"/>
    <x v="1"/>
    <x v="7"/>
    <n v="3964.179999999998"/>
  </r>
  <r>
    <s v="04/27/2022"/>
    <s v="04/27/2022"/>
    <s v="JIMMY JOHNS - 2500 - ECO PHOENIX AZAPPLE PAY ENDING IN 4775"/>
    <n v="27.84"/>
    <x v="1"/>
    <x v="1"/>
    <x v="4"/>
    <x v="1"/>
    <x v="1"/>
    <n v="3992.0199999999991"/>
  </r>
  <r>
    <s v="04/27/2022"/>
    <s v="04/27/2022"/>
    <s v="RAMEN KAGAWA PHOENIX AZ02701R"/>
    <n v="50"/>
    <x v="1"/>
    <x v="2"/>
    <x v="4"/>
    <x v="1"/>
    <x v="1"/>
    <n v="4042.0199999999991"/>
  </r>
  <r>
    <s v="04/27/2022"/>
    <s v="04/27/2022"/>
    <s v="STAND UP LIVE F&amp;B PHOENIX AZ"/>
    <n v="30"/>
    <x v="7"/>
    <x v="51"/>
    <x v="4"/>
    <x v="1"/>
    <x v="2"/>
    <n v="4072.0199999999991"/>
  </r>
  <r>
    <s v="04/28/2022"/>
    <s v="04/28/2022"/>
    <s v="TST* BBQ TRAPP HAUS - PHOENIX AZ00003553006868170442AA"/>
    <n v="16.28"/>
    <x v="1"/>
    <x v="2"/>
    <x v="4"/>
    <x v="1"/>
    <x v="1"/>
    <n v="4088.2999999999988"/>
  </r>
  <r>
    <s v="04/29/2022"/>
    <s v="04/29/2022"/>
    <s v="SAFEWAY #2651 PHOENIX AZ"/>
    <n v="69"/>
    <x v="6"/>
    <x v="11"/>
    <x v="4"/>
    <x v="1"/>
    <x v="1"/>
    <n v="4157.2999999999993"/>
  </r>
  <r>
    <s v="04/30/2022"/>
    <s v="04/30/2022"/>
    <s v="LINKEDIN-781*2612004 LNKD.IN/BILL CA2212131974-7812612004"/>
    <n v="43.43"/>
    <x v="2"/>
    <x v="60"/>
    <x v="4"/>
    <x v="1"/>
    <x v="6"/>
    <n v="4200.7299999999996"/>
  </r>
  <r>
    <s v="05/01/2022"/>
    <s v="05/01/2022"/>
    <s v="R U 4 REAL AVONDALE AZ"/>
    <n v="45.67"/>
    <x v="7"/>
    <x v="61"/>
    <x v="5"/>
    <x v="1"/>
    <x v="2"/>
    <n v="4246.3999999999996"/>
  </r>
  <r>
    <s v="05/01/2022"/>
    <s v="05/01/2022"/>
    <s v="THE CEREAL KILLERZ AZ GOODYEAR AZ"/>
    <n v="20.79"/>
    <x v="1"/>
    <x v="1"/>
    <x v="5"/>
    <x v="1"/>
    <x v="1"/>
    <n v="4267.1899999999996"/>
  </r>
  <r>
    <s v="05/01/2022"/>
    <s v="05/03/2022"/>
    <s v="NETFLIX.COM NETFLIX.COM CAITEM TRANSFERRED FROM PREV ACCOUNT"/>
    <n v="10.59"/>
    <x v="2"/>
    <x v="3"/>
    <x v="5"/>
    <x v="2"/>
    <x v="2"/>
    <n v="4277.78"/>
  </r>
  <r>
    <s v="05/01/2022"/>
    <s v="05/03/2022"/>
    <s v="SPOTIFY P1B3856632 8777781161 NYITEM TRANSFERRED FROM PREV ACCOUNT"/>
    <n v="9.99"/>
    <x v="2"/>
    <x v="4"/>
    <x v="5"/>
    <x v="2"/>
    <x v="2"/>
    <n v="4287.7700000000004"/>
  </r>
  <r>
    <s v="05/02/2022"/>
    <s v="05/03/2022"/>
    <s v="ROOSEVELT BARBER SHOP PHOENIX AZ"/>
    <n v="80.599999999999994"/>
    <x v="4"/>
    <x v="41"/>
    <x v="5"/>
    <x v="1"/>
    <x v="6"/>
    <n v="4368.37"/>
  </r>
  <r>
    <s v="05/02/2022"/>
    <s v="05/03/2022"/>
    <s v="PAYPAL *WIDMO 402-935-7733 CA"/>
    <n v="149"/>
    <x v="2"/>
    <x v="62"/>
    <x v="5"/>
    <x v="1"/>
    <x v="2"/>
    <n v="4517.37"/>
  </r>
  <r>
    <s v="05/02/2022"/>
    <s v="05/03/2022"/>
    <s v="PAYPAL *GAUSS LABS 888-221-1161 CA"/>
    <n v="37.5"/>
    <x v="10"/>
    <x v="62"/>
    <x v="5"/>
    <x v="1"/>
    <x v="2"/>
    <n v="4554.87"/>
  </r>
  <r>
    <s v="05/02/2022"/>
    <s v="05/03/2022"/>
    <s v="KRYSTAL AND SAAGAR 2025317527 DCITEM TRANSFERRED FROM PREV ACCOUNT"/>
    <n v="10"/>
    <x v="2"/>
    <x v="6"/>
    <x v="5"/>
    <x v="2"/>
    <x v="2"/>
    <n v="4564.87"/>
  </r>
  <r>
    <s v="05/02/2022"/>
    <s v="05/03/2022"/>
    <s v="CIRCLE K # 03447 PHOENIX AZ00249R"/>
    <n v="1.08"/>
    <x v="9"/>
    <x v="17"/>
    <x v="5"/>
    <x v="1"/>
    <x v="7"/>
    <n v="4565.95"/>
  </r>
  <r>
    <s v="05/02/2022"/>
    <s v="05/03/2022"/>
    <s v="CAFE RIO 0150 GOODYEAR GOODYEAR AZ"/>
    <n v="27.41"/>
    <x v="1"/>
    <x v="1"/>
    <x v="5"/>
    <x v="1"/>
    <x v="1"/>
    <n v="4593.3599999999997"/>
  </r>
  <r>
    <s v="05/02/2022"/>
    <s v="05/02/2022"/>
    <s v="INTEREST CHARGE ON PURCHASES"/>
    <n v="50.48"/>
    <x v="13"/>
    <x v="63"/>
    <x v="5"/>
    <x v="1"/>
    <x v="3"/>
    <n v="4643.8399999999992"/>
  </r>
  <r>
    <s v="05/02/2022"/>
    <s v="05/03/2022"/>
    <s v="CIRCLE K # 03447 PHOENIX AZ00201R"/>
    <n v="3.79"/>
    <x v="9"/>
    <x v="17"/>
    <x v="5"/>
    <x v="1"/>
    <x v="7"/>
    <n v="4647.6299999999992"/>
  </r>
  <r>
    <s v="05/03/2022"/>
    <s v="05/03/2022"/>
    <s v="AMZN MKTP US*134QM7QQ1 AMZN.COM/BILLWAITEM TRANSFERRED FROM PREV ACCOUNT"/>
    <n v="42.98"/>
    <x v="2"/>
    <x v="13"/>
    <x v="5"/>
    <x v="1"/>
    <x v="6"/>
    <n v="4690.6099999999988"/>
  </r>
  <r>
    <s v="05/03/2022"/>
    <s v="05/03/2022"/>
    <s v="AMZN MKTP US*1Q1802SF0 AMZN.COM/BILLWAITEM TRANSFERRED FROM PREV ACCOUNT"/>
    <n v="30.4"/>
    <x v="2"/>
    <x v="13"/>
    <x v="5"/>
    <x v="1"/>
    <x v="6"/>
    <n v="4721.0099999999984"/>
  </r>
  <r>
    <s v="05/03/2022"/>
    <s v="05/03/2022"/>
    <s v="CIRCLE K # 03447 PHOENIX AZ00375R"/>
    <n v="7.97"/>
    <x v="9"/>
    <x v="17"/>
    <x v="5"/>
    <x v="1"/>
    <x v="7"/>
    <n v="4728.9799999999987"/>
  </r>
  <r>
    <s v="05/03/2022"/>
    <s v="05/03/2022"/>
    <s v="STATE FARM INSURANCE 800-956-6310 ILITEM TRANSFERRED FROM PREV ACCOUNT"/>
    <n v="79.38"/>
    <x v="2"/>
    <x v="9"/>
    <x v="5"/>
    <x v="2"/>
    <x v="5"/>
    <n v="4808.3599999999988"/>
  </r>
  <r>
    <s v="05/03/2022"/>
    <s v="05/03/2022"/>
    <s v="TARGET 00032615091 PHOENIX AZ"/>
    <n v="211.57"/>
    <x v="2"/>
    <x v="22"/>
    <x v="5"/>
    <x v="1"/>
    <x v="6"/>
    <n v="5019.9299999999976"/>
  </r>
  <r>
    <s v="05/03/2022"/>
    <s v="05/03/2022"/>
    <s v="UNITED AIRLINES 18004214655 TX"/>
    <n v="149"/>
    <x v="7"/>
    <x v="33"/>
    <x v="5"/>
    <x v="1"/>
    <x v="7"/>
    <n v="5168.9299999999976"/>
  </r>
  <r>
    <s v="05/04/2022"/>
    <s v="05/04/2022"/>
    <s v="OCULUS *F7H6KBKD92 OCULUS.COM CAP4745779898867181"/>
    <n v="32.57"/>
    <x v="2"/>
    <x v="62"/>
    <x v="5"/>
    <x v="1"/>
    <x v="2"/>
    <n v="5201.4999999999982"/>
  </r>
  <r>
    <s v="05/04/2022"/>
    <s v="05/04/2022"/>
    <s v="UBER PENDING SAN FRANCISCOCA"/>
    <n v="16.809999999999999"/>
    <x v="7"/>
    <x v="25"/>
    <x v="5"/>
    <x v="1"/>
    <x v="7"/>
    <n v="5218.3099999999986"/>
  </r>
  <r>
    <s v="05/04/2022"/>
    <s v="05/04/2022"/>
    <s v="OCULUS *EE2H7BTD92 OCULUS.COM CAP4704987899613050"/>
    <n v="21.71"/>
    <x v="2"/>
    <x v="62"/>
    <x v="5"/>
    <x v="1"/>
    <x v="2"/>
    <n v="5240.0199999999986"/>
  </r>
  <r>
    <s v="05/04/2022"/>
    <s v="05/04/2022"/>
    <s v="OCULUS *8H3HJBKD92 OCULUS.COM CAP4743439395767898"/>
    <n v="32.57"/>
    <x v="2"/>
    <x v="62"/>
    <x v="5"/>
    <x v="1"/>
    <x v="2"/>
    <n v="5272.5899999999983"/>
  </r>
  <r>
    <s v="05/04/2022"/>
    <s v="05/04/2022"/>
    <s v="COLLEGE TRANSCRIPT 703-742-4200 VA"/>
    <n v="10"/>
    <x v="4"/>
    <x v="31"/>
    <x v="5"/>
    <x v="1"/>
    <x v="6"/>
    <n v="5282.5899999999983"/>
  </r>
  <r>
    <s v="05/04/2022"/>
    <s v="05/04/2022"/>
    <s v="AMZN MKTP US*1Q4BA6I50 AMZN.COM/BILLWAITEM TRANSFERRED FROM PREV ACCOUNT"/>
    <n v="106.4"/>
    <x v="2"/>
    <x v="13"/>
    <x v="5"/>
    <x v="1"/>
    <x v="6"/>
    <n v="5388.989999999998"/>
  </r>
  <r>
    <s v="05/04/2022"/>
    <s v="05/04/2022"/>
    <s v="OCULUS *DPZG7BTD92 OCULUS.COM CAP4704985442946629"/>
    <n v="32.57"/>
    <x v="2"/>
    <x v="62"/>
    <x v="5"/>
    <x v="1"/>
    <x v="2"/>
    <n v="5421.5599999999977"/>
  </r>
  <r>
    <s v="05/05/2022"/>
    <s v="05/05/2022"/>
    <s v="AMAZON.COM*1Q9E85YR0 AMZN.COM/BILLWAITEM TRANSFERRED FROM PREV ACCOUNT"/>
    <n v="46.76"/>
    <x v="2"/>
    <x v="13"/>
    <x v="5"/>
    <x v="1"/>
    <x v="6"/>
    <n v="5468.3199999999979"/>
  </r>
  <r>
    <s v="05/05/2022"/>
    <s v="05/05/2022"/>
    <s v="INTERNET PAYMENT - THANK YOU"/>
    <n v="-1000"/>
    <x v="3"/>
    <x v="5"/>
    <x v="5"/>
    <x v="1"/>
    <x v="3"/>
    <n v="4468.3199999999979"/>
  </r>
  <r>
    <s v="05/05/2022"/>
    <s v="05/05/2022"/>
    <s v="LYFT *1 RIDE 05-04 855-865-9553 CAITEM TRANSFERRED FROM PREV ACCOUNT"/>
    <n v="27.99"/>
    <x v="2"/>
    <x v="25"/>
    <x v="5"/>
    <x v="1"/>
    <x v="7"/>
    <n v="4496.3099999999977"/>
  </r>
  <r>
    <s v="05/05/2022"/>
    <s v="05/05/2022"/>
    <s v="UBER PENDING SAN FRANCISCOCA"/>
    <n v="11.8"/>
    <x v="7"/>
    <x v="25"/>
    <x v="5"/>
    <x v="1"/>
    <x v="7"/>
    <n v="4508.1099999999979"/>
  </r>
  <r>
    <s v="05/05/2022"/>
    <s v="05/05/2022"/>
    <s v="UBER PENDING SAN FRANCISCOCA"/>
    <n v="13.25"/>
    <x v="7"/>
    <x v="25"/>
    <x v="5"/>
    <x v="1"/>
    <x v="7"/>
    <n v="4521.3599999999979"/>
  </r>
  <r>
    <s v="05/05/2022"/>
    <s v="05/05/2022"/>
    <s v="UBER TRIP 866-576-1039 CA"/>
    <n v="5"/>
    <x v="7"/>
    <x v="25"/>
    <x v="5"/>
    <x v="1"/>
    <x v="7"/>
    <n v="4526.3599999999979"/>
  </r>
  <r>
    <s v="05/05/2022"/>
    <s v="05/05/2022"/>
    <s v="UBER TRIP HELP.UBER.CO SAN FRANCISCOCA"/>
    <n v="5"/>
    <x v="7"/>
    <x v="25"/>
    <x v="5"/>
    <x v="1"/>
    <x v="7"/>
    <n v="4531.3599999999979"/>
  </r>
  <r>
    <s v="05/06/2022"/>
    <s v="05/06/2022"/>
    <s v="UBER TRIP 866-576-1039 CA"/>
    <n v="15.86"/>
    <x v="7"/>
    <x v="25"/>
    <x v="5"/>
    <x v="1"/>
    <x v="7"/>
    <n v="4547.2199999999984"/>
  </r>
  <r>
    <s v="05/06/2022"/>
    <s v="05/06/2022"/>
    <s v="UBER TRIP HELP.UBER.CO SAN FRANCISCOCA"/>
    <n v="5"/>
    <x v="7"/>
    <x v="25"/>
    <x v="5"/>
    <x v="1"/>
    <x v="7"/>
    <n v="4552.2199999999984"/>
  </r>
  <r>
    <s v="05/06/2022"/>
    <s v="05/06/2022"/>
    <s v="UBER TRIP 866-576-1039 CA"/>
    <n v="7.9"/>
    <x v="7"/>
    <x v="25"/>
    <x v="5"/>
    <x v="1"/>
    <x v="7"/>
    <n v="4560.1199999999972"/>
  </r>
  <r>
    <s v="05/06/2022"/>
    <s v="05/06/2022"/>
    <s v="UBER PASS 866-576-1039 CA"/>
    <n v="9.99"/>
    <x v="7"/>
    <x v="25"/>
    <x v="5"/>
    <x v="1"/>
    <x v="7"/>
    <n v="4570.1099999999969"/>
  </r>
  <r>
    <s v="05/07/2022"/>
    <s v="05/07/2022"/>
    <s v="UBER CORNERSHOP 866-576-1039 CA"/>
    <n v="36.36"/>
    <x v="6"/>
    <x v="25"/>
    <x v="5"/>
    <x v="1"/>
    <x v="7"/>
    <n v="4606.4699999999966"/>
  </r>
  <r>
    <s v="05/07/2022"/>
    <s v="05/07/2022"/>
    <s v="UBER TRIP 866-576-1039 CA"/>
    <n v="19.41"/>
    <x v="7"/>
    <x v="25"/>
    <x v="5"/>
    <x v="1"/>
    <x v="7"/>
    <n v="4625.8799999999956"/>
  </r>
  <r>
    <s v="05/08/2022"/>
    <s v="05/08/2022"/>
    <s v="AMAZON.COM*1L5GU1AB1 AMZN.COM/BILLWAITEM TRANSFERRED FROM PREV ACCOUNT"/>
    <n v="85.76"/>
    <x v="2"/>
    <x v="13"/>
    <x v="5"/>
    <x v="1"/>
    <x v="6"/>
    <n v="4711.6399999999967"/>
  </r>
  <r>
    <s v="05/08/2022"/>
    <s v="05/08/2022"/>
    <s v="CIRCLE K 01667 PHOENIX AZ00874R"/>
    <n v="48.72"/>
    <x v="9"/>
    <x v="17"/>
    <x v="5"/>
    <x v="1"/>
    <x v="7"/>
    <n v="4760.3599999999969"/>
  </r>
  <r>
    <s v="05/08/2022"/>
    <s v="05/08/2022"/>
    <s v="FIRST WATCH - 041 PHOENIX AZ"/>
    <n v="62"/>
    <x v="1"/>
    <x v="2"/>
    <x v="5"/>
    <x v="1"/>
    <x v="1"/>
    <n v="4822.3599999999969"/>
  </r>
  <r>
    <s v="05/08/2022"/>
    <s v="05/08/2022"/>
    <s v="PHOENIX SUNS 602-514-5444 AZMIC3DF7800-5JSUJ"/>
    <n v="778"/>
    <x v="7"/>
    <x v="64"/>
    <x v="5"/>
    <x v="1"/>
    <x v="2"/>
    <n v="5600.3599999999969"/>
  </r>
  <r>
    <s v="05/08/2022"/>
    <s v="05/08/2022"/>
    <s v="SLICE*VIADELLASLICESHO 8889749928 NYAPPLE PAY ENDING IN 4775"/>
    <n v="61.62"/>
    <x v="1"/>
    <x v="2"/>
    <x v="5"/>
    <x v="1"/>
    <x v="1"/>
    <n v="5661.9799999999968"/>
  </r>
  <r>
    <s v="05/08/2022"/>
    <s v="05/08/2022"/>
    <s v="TST* PEDAL HAUS PHX PHOENIX AZ00003115006991738555AA"/>
    <n v="70"/>
    <x v="1"/>
    <x v="2"/>
    <x v="5"/>
    <x v="1"/>
    <x v="1"/>
    <n v="5731.9799999999968"/>
  </r>
  <r>
    <s v="05/08/2022"/>
    <s v="05/08/2022"/>
    <s v="UBER CORNERSHOP 866-576-1039 CA"/>
    <n v="10"/>
    <x v="6"/>
    <x v="25"/>
    <x v="5"/>
    <x v="1"/>
    <x v="7"/>
    <n v="5741.9799999999968"/>
  </r>
  <r>
    <s v="05/09/2022"/>
    <s v="05/09/2022"/>
    <s v="UBER TRIP HELP.UBER.CO SAN FRANCISCOCA"/>
    <n v="5"/>
    <x v="7"/>
    <x v="25"/>
    <x v="5"/>
    <x v="1"/>
    <x v="7"/>
    <n v="5746.9799999999968"/>
  </r>
  <r>
    <s v="05/09/2022"/>
    <s v="05/09/2022"/>
    <s v="UBER TRIP HELP.UBER.CO SAN FRANCISCOCA"/>
    <n v="12.86"/>
    <x v="7"/>
    <x v="25"/>
    <x v="5"/>
    <x v="1"/>
    <x v="7"/>
    <n v="5759.8399999999974"/>
  </r>
  <r>
    <s v="05/09/2022"/>
    <s v="05/09/2022"/>
    <s v="UBER PENDING SAN FRANCISCOCA"/>
    <n v="7.9"/>
    <x v="7"/>
    <x v="25"/>
    <x v="5"/>
    <x v="1"/>
    <x v="7"/>
    <n v="5767.7399999999961"/>
  </r>
  <r>
    <s v="05/09/2022"/>
    <s v="05/09/2022"/>
    <s v="UBER PENDING SAN FRANCISCOCA"/>
    <n v="6.43"/>
    <x v="7"/>
    <x v="25"/>
    <x v="5"/>
    <x v="1"/>
    <x v="7"/>
    <n v="5774.1699999999964"/>
  </r>
  <r>
    <s v="05/09/2022"/>
    <s v="05/09/2022"/>
    <s v="STEAM PURCHASE 425-952-2985 WA"/>
    <n v="64.73"/>
    <x v="7"/>
    <x v="65"/>
    <x v="5"/>
    <x v="1"/>
    <x v="2"/>
    <n v="5838.899999999996"/>
  </r>
  <r>
    <s v="05/09/2022"/>
    <s v="05/09/2022"/>
    <s v="MCDONALD'S F20697 PHOENIX AZ"/>
    <n v="13.66"/>
    <x v="1"/>
    <x v="1"/>
    <x v="5"/>
    <x v="1"/>
    <x v="1"/>
    <n v="5852.5599999999959"/>
  </r>
  <r>
    <s v="05/09/2022"/>
    <s v="05/09/2022"/>
    <s v="AMZN MKTP US*1L9WG0X11 AMZN.COM/BILLWAITEM TRANSFERRED FROM PREV ACCOUNT"/>
    <n v="54.28"/>
    <x v="2"/>
    <x v="13"/>
    <x v="5"/>
    <x v="1"/>
    <x v="6"/>
    <n v="5906.8399999999956"/>
  </r>
  <r>
    <s v="05/10/2022"/>
    <s v="05/10/2022"/>
    <s v="AMZN MKTP US*133PF08Z2 AMZN.COM/BILLWAITEM TRANSFERRED FROM PREV ACCOUNT"/>
    <n v="21.67"/>
    <x v="2"/>
    <x v="13"/>
    <x v="5"/>
    <x v="1"/>
    <x v="6"/>
    <n v="5928.5099999999957"/>
  </r>
  <r>
    <s v="05/10/2022"/>
    <s v="05/10/2022"/>
    <s v="ONLYFANS 8886880458 FL"/>
    <n v="10.62"/>
    <x v="2"/>
    <x v="27"/>
    <x v="5"/>
    <x v="1"/>
    <x v="2"/>
    <n v="5939.1299999999956"/>
  </r>
  <r>
    <s v="05/10/2022"/>
    <s v="05/10/2022"/>
    <s v="PHOENIX SUNS CONCESSIONS PHOENIX AZ"/>
    <n v="29.98"/>
    <x v="1"/>
    <x v="64"/>
    <x v="5"/>
    <x v="1"/>
    <x v="2"/>
    <n v="5969.1099999999951"/>
  </r>
  <r>
    <s v="05/10/2022"/>
    <s v="05/10/2022"/>
    <s v="PHOENIX SUNS CONCESSIONS PHOENIX AZ"/>
    <n v="39.11"/>
    <x v="1"/>
    <x v="64"/>
    <x v="5"/>
    <x v="1"/>
    <x v="2"/>
    <n v="6008.2199999999948"/>
  </r>
  <r>
    <s v="05/10/2022"/>
    <s v="05/10/2022"/>
    <s v="SQ *THE WHINING PIG DO TEMPE AZ0001152921511383260366"/>
    <n v="17.329999999999998"/>
    <x v="1"/>
    <x v="2"/>
    <x v="5"/>
    <x v="1"/>
    <x v="1"/>
    <n v="6025.5499999999947"/>
  </r>
  <r>
    <s v="05/11/2022"/>
    <s v="05/11/2022"/>
    <s v="APPLE.COM/BILL 866-712-7753 CAAPPLE PAY ENDING IN 4775MMW961WYX0A0"/>
    <n v="15.89"/>
    <x v="2"/>
    <x v="18"/>
    <x v="5"/>
    <x v="2"/>
    <x v="2"/>
    <n v="6041.4399999999951"/>
  </r>
  <r>
    <s v="05/11/2022"/>
    <s v="05/11/2022"/>
    <s v="JIMMY JOHNS - 2500 - ECO PHOENIX AZAPPLE PAY ENDING IN 4775"/>
    <n v="6.6"/>
    <x v="1"/>
    <x v="1"/>
    <x v="5"/>
    <x v="1"/>
    <x v="1"/>
    <n v="6048.0399999999954"/>
  </r>
  <r>
    <s v="05/11/2022"/>
    <s v="05/11/2022"/>
    <s v="SQ *BIG PAPA HPT (JAY) PHOENIX AZ0002305843015618183201"/>
    <n v="37.5"/>
    <x v="4"/>
    <x v="1"/>
    <x v="5"/>
    <x v="1"/>
    <x v="1"/>
    <n v="6085.5399999999954"/>
  </r>
  <r>
    <s v="05/11/2022"/>
    <s v="05/11/2022"/>
    <s v="UBER PENDING SAN FRANCISCOCA"/>
    <n v="12.22"/>
    <x v="7"/>
    <x v="25"/>
    <x v="5"/>
    <x v="1"/>
    <x v="7"/>
    <n v="6097.7599999999957"/>
  </r>
  <r>
    <s v="05/12/2022"/>
    <s v="05/12/2022"/>
    <s v="UBER TRIP 866-576-1039 CA"/>
    <n v="18.32"/>
    <x v="7"/>
    <x v="25"/>
    <x v="5"/>
    <x v="1"/>
    <x v="7"/>
    <n v="6116.0799999999954"/>
  </r>
  <r>
    <s v="05/12/2022"/>
    <s v="05/12/2022"/>
    <s v="UBER TRIP 866-576-1039 CA"/>
    <n v="5"/>
    <x v="7"/>
    <x v="25"/>
    <x v="5"/>
    <x v="1"/>
    <x v="7"/>
    <n v="6121.0799999999954"/>
  </r>
  <r>
    <s v="05/12/2022"/>
    <s v="05/12/2022"/>
    <s v="FIVE GUYS 4053 QSR GLENDALE AZ"/>
    <n v="47.7"/>
    <x v="1"/>
    <x v="1"/>
    <x v="5"/>
    <x v="1"/>
    <x v="1"/>
    <n v="6168.7799999999952"/>
  </r>
  <r>
    <s v="05/12/2022"/>
    <s v="05/12/2022"/>
    <s v="UBER PENDING SAN FRANCISCOCA"/>
    <n v="28.18"/>
    <x v="7"/>
    <x v="25"/>
    <x v="5"/>
    <x v="1"/>
    <x v="7"/>
    <n v="6196.9599999999946"/>
  </r>
  <r>
    <s v="05/14/2022"/>
    <s v="05/14/2022"/>
    <s v="SQ *PHOENIX PERFORMING PHOENIX AZ0002305843015646210851"/>
    <n v="20.7"/>
    <x v="7"/>
    <x v="46"/>
    <x v="5"/>
    <x v="1"/>
    <x v="2"/>
    <n v="6217.6599999999953"/>
  </r>
  <r>
    <s v="05/14/2022"/>
    <s v="05/14/2022"/>
    <s v="THAI BASIL SIGNATURE DOW PHOENIX AZ"/>
    <n v="30"/>
    <x v="1"/>
    <x v="2"/>
    <x v="5"/>
    <x v="1"/>
    <x v="1"/>
    <n v="6247.6599999999953"/>
  </r>
  <r>
    <s v="05/14/2022"/>
    <s v="05/14/2022"/>
    <s v="UBER PENDING SAN FRANCISCOCA"/>
    <n v="9.41"/>
    <x v="7"/>
    <x v="25"/>
    <x v="5"/>
    <x v="1"/>
    <x v="7"/>
    <n v="6257.0699999999952"/>
  </r>
  <r>
    <s v="05/14/2022"/>
    <s v="05/14/2022"/>
    <s v="UBER TRIP 866-576-1039 CA"/>
    <n v="10"/>
    <x v="7"/>
    <x v="25"/>
    <x v="5"/>
    <x v="1"/>
    <x v="7"/>
    <n v="6267.0699999999952"/>
  </r>
  <r>
    <s v="05/15/2022"/>
    <s v="05/15/2022"/>
    <s v="TST* BREAKFAST BITCH 2 PHOENIX AZ00007311007075213638AA"/>
    <n v="73.400000000000006"/>
    <x v="1"/>
    <x v="2"/>
    <x v="5"/>
    <x v="1"/>
    <x v="1"/>
    <n v="6340.4699999999948"/>
  </r>
  <r>
    <s v="05/15/2022"/>
    <s v="05/15/2022"/>
    <s v="CIRCLE K # 03447 PHOENIX AZ20220515"/>
    <n v="4.08"/>
    <x v="2"/>
    <x v="17"/>
    <x v="5"/>
    <x v="1"/>
    <x v="7"/>
    <n v="6344.5499999999947"/>
  </r>
  <r>
    <s v="05/15/2022"/>
    <s v="05/15/2022"/>
    <s v="ONLYFANS 8886880458 FL"/>
    <n v="7.43"/>
    <x v="2"/>
    <x v="27"/>
    <x v="5"/>
    <x v="1"/>
    <x v="2"/>
    <n v="6351.979999999995"/>
  </r>
  <r>
    <s v="05/15/2022"/>
    <s v="05/15/2022"/>
    <s v="ROKU FOR VIKI INC 8162728107 DE"/>
    <n v="10.85"/>
    <x v="4"/>
    <x v="66"/>
    <x v="5"/>
    <x v="2"/>
    <x v="2"/>
    <n v="6362.8299999999954"/>
  </r>
  <r>
    <s v="05/15/2022"/>
    <s v="05/15/2022"/>
    <s v="UBER TRIP 866-576-1039 CA"/>
    <n v="6.26"/>
    <x v="7"/>
    <x v="25"/>
    <x v="5"/>
    <x v="1"/>
    <x v="7"/>
    <n v="6369.0899999999956"/>
  </r>
  <r>
    <s v="05/16/2022"/>
    <s v="05/16/2022"/>
    <s v="ONLYFANS.COM 8886880458 IL"/>
    <n v="8.5"/>
    <x v="2"/>
    <x v="27"/>
    <x v="5"/>
    <x v="1"/>
    <x v="2"/>
    <n v="6377.5899999999956"/>
  </r>
  <r>
    <s v="05/16/2022"/>
    <s v="05/16/2022"/>
    <s v="CIRCLE K # 03447 PHOENIX AZ01631R"/>
    <n v="11.65"/>
    <x v="9"/>
    <x v="17"/>
    <x v="5"/>
    <x v="1"/>
    <x v="7"/>
    <n v="6389.2399999999952"/>
  </r>
  <r>
    <s v="05/17/2022"/>
    <s v="05/17/2022"/>
    <s v="AMZN MKTP US*1L5EH1PW0 AMZN.COM/BILLWAITEM TRANSFERRED FROM PREV ACCOUNT"/>
    <n v="39.090000000000003"/>
    <x v="2"/>
    <x v="13"/>
    <x v="5"/>
    <x v="1"/>
    <x v="6"/>
    <n v="6428.3299999999954"/>
  </r>
  <r>
    <s v="05/17/2022"/>
    <s v="05/17/2022"/>
    <s v="TMOBILE*AUTO PAY 800-937-8997 WAITEM TRANSFERRED FROM PREV ACCOUNT"/>
    <n v="70"/>
    <x v="2"/>
    <x v="21"/>
    <x v="5"/>
    <x v="1"/>
    <x v="4"/>
    <n v="6498.3299999999954"/>
  </r>
  <r>
    <s v="05/17/2022"/>
    <s v="05/17/2022"/>
    <s v="UBER EATS 866-576-1039 CA"/>
    <n v="3"/>
    <x v="1"/>
    <x v="25"/>
    <x v="5"/>
    <x v="1"/>
    <x v="7"/>
    <n v="6501.3299999999954"/>
  </r>
  <r>
    <s v="05/17/2022"/>
    <s v="05/17/2022"/>
    <s v="UBER EATS 866-576-1039 CA"/>
    <n v="19.559999999999999"/>
    <x v="1"/>
    <x v="25"/>
    <x v="5"/>
    <x v="1"/>
    <x v="7"/>
    <n v="6520.8899999999958"/>
  </r>
  <r>
    <s v="05/18/2022"/>
    <s v="05/18/2022"/>
    <s v="AMZN MKTP US*1L95D1QX2 AMZN.COM/BILLWAITEM TRANSFERRED FROM PREV ACCOUNT"/>
    <n v="30.94"/>
    <x v="2"/>
    <x v="13"/>
    <x v="5"/>
    <x v="1"/>
    <x v="6"/>
    <n v="6551.8299999999954"/>
  </r>
  <r>
    <s v="05/18/2022"/>
    <s v="05/18/2022"/>
    <s v="CKE*IKES LOVE AND SANDWI PHOENIX AZ"/>
    <n v="23.3"/>
    <x v="1"/>
    <x v="1"/>
    <x v="5"/>
    <x v="1"/>
    <x v="1"/>
    <n v="6575.1299999999956"/>
  </r>
  <r>
    <s v="05/18/2022"/>
    <s v="05/18/2022"/>
    <s v="FATTY DADDYS ICE CREAM PHOENIX AZ"/>
    <n v="18.29"/>
    <x v="1"/>
    <x v="1"/>
    <x v="5"/>
    <x v="1"/>
    <x v="1"/>
    <n v="6593.4199999999964"/>
  </r>
  <r>
    <s v="05/18/2022"/>
    <s v="05/18/2022"/>
    <s v="SP STRAW AND WOOL 6028884761 AZ"/>
    <n v="65.180000000000007"/>
    <x v="2"/>
    <x v="43"/>
    <x v="5"/>
    <x v="1"/>
    <x v="6"/>
    <n v="6658.5999999999958"/>
  </r>
  <r>
    <s v="05/18/2022"/>
    <s v="05/18/2022"/>
    <s v="UBER PENDING SAN FRANCISCOCA"/>
    <n v="26.85"/>
    <x v="7"/>
    <x v="25"/>
    <x v="5"/>
    <x v="1"/>
    <x v="7"/>
    <n v="6685.4499999999962"/>
  </r>
  <r>
    <s v="05/18/2022"/>
    <s v="05/18/2022"/>
    <s v="UBER TRIP 866-576-1039 CA"/>
    <n v="19.57"/>
    <x v="7"/>
    <x v="25"/>
    <x v="5"/>
    <x v="1"/>
    <x v="7"/>
    <n v="6705.0199999999959"/>
  </r>
  <r>
    <s v="05/19/2022"/>
    <s v="05/19/2022"/>
    <s v="INTERNET PAYMENT - THANK YOU"/>
    <n v="-1000"/>
    <x v="3"/>
    <x v="5"/>
    <x v="5"/>
    <x v="1"/>
    <x v="3"/>
    <n v="5705.0199999999959"/>
  </r>
  <r>
    <s v="05/19/2022"/>
    <s v="05/19/2022"/>
    <s v="ONLYFANS 8886880458 FL"/>
    <n v="10.62"/>
    <x v="2"/>
    <x v="27"/>
    <x v="5"/>
    <x v="1"/>
    <x v="2"/>
    <n v="5715.6399999999958"/>
  </r>
  <r>
    <s v="05/19/2022"/>
    <s v="05/19/2022"/>
    <s v="CASHBACK BONUS REDEMPTION PYMT/STMT CRDT"/>
    <n v="-41.23"/>
    <x v="8"/>
    <x v="16"/>
    <x v="5"/>
    <x v="1"/>
    <x v="3"/>
    <n v="5674.4099999999962"/>
  </r>
  <r>
    <s v="05/19/2022"/>
    <s v="05/19/2022"/>
    <s v="APPLE.COM/BILL 866-712-7753 CAAPPLE PAY ENDING IN 4775MMW987JN2BA0"/>
    <n v="5.29"/>
    <x v="2"/>
    <x v="23"/>
    <x v="5"/>
    <x v="2"/>
    <x v="2"/>
    <n v="5679.6999999999962"/>
  </r>
  <r>
    <s v="05/20/2022"/>
    <s v="05/20/2022"/>
    <s v="BEACH LIQUORS INC SANTA CRUZ CAAPPLE PAY ENDING IN 4775"/>
    <n v="5.3"/>
    <x v="2"/>
    <x v="1"/>
    <x v="5"/>
    <x v="1"/>
    <x v="1"/>
    <n v="5684.9999999999964"/>
  </r>
  <r>
    <s v="05/20/2022"/>
    <s v="05/20/2022"/>
    <s v="CKE*IKE S - BURLINGA 140 BURLINGAME CAAPPLE PAY ENDING IN 4775"/>
    <n v="27.06"/>
    <x v="1"/>
    <x v="1"/>
    <x v="5"/>
    <x v="1"/>
    <x v="1"/>
    <n v="5712.0599999999968"/>
  </r>
  <r>
    <s v="05/20/2022"/>
    <s v="05/20/2022"/>
    <s v="GOOGLE *YOUTUBE TV G.CO/HELPPAY#CAP0JOYEQS"/>
    <n v="70.58"/>
    <x v="7"/>
    <x v="37"/>
    <x v="5"/>
    <x v="2"/>
    <x v="2"/>
    <n v="5782.6399999999967"/>
  </r>
  <r>
    <s v="05/20/2022"/>
    <s v="05/20/2022"/>
    <s v="UBER TRIP 866-576-1039 CA"/>
    <n v="7.2"/>
    <x v="7"/>
    <x v="25"/>
    <x v="5"/>
    <x v="1"/>
    <x v="7"/>
    <n v="5789.8399999999974"/>
  </r>
  <r>
    <s v="05/20/2022"/>
    <s v="05/20/2022"/>
    <s v="UBER TRIP 866-576-1039 CA"/>
    <n v="48.05"/>
    <x v="7"/>
    <x v="25"/>
    <x v="5"/>
    <x v="1"/>
    <x v="7"/>
    <n v="5837.8899999999967"/>
  </r>
  <r>
    <s v="05/22/2022"/>
    <s v="05/22/2022"/>
    <s v="UBER TRIP 866-576-1039 CA"/>
    <n v="9.39"/>
    <x v="7"/>
    <x v="25"/>
    <x v="5"/>
    <x v="1"/>
    <x v="7"/>
    <n v="5847.279999999997"/>
  </r>
  <r>
    <s v="05/25/2022"/>
    <s v="05/25/2022"/>
    <s v="CAFFE CENTRAL BURLINGAME CA"/>
    <n v="30.08"/>
    <x v="1"/>
    <x v="50"/>
    <x v="5"/>
    <x v="1"/>
    <x v="1"/>
    <n v="5877.3599999999969"/>
  </r>
  <r>
    <s v="05/25/2022"/>
    <s v="05/25/2022"/>
    <s v="PEET'S #01802 BURLINGAME CA02559R"/>
    <n v="4.3499999999999996"/>
    <x v="1"/>
    <x v="50"/>
    <x v="5"/>
    <x v="1"/>
    <x v="1"/>
    <n v="5881.7099999999973"/>
  </r>
  <r>
    <s v="05/25/2022"/>
    <s v="05/25/2022"/>
    <s v="PEET'S #01802 BURLINGAME CA02563R"/>
    <n v="12.6"/>
    <x v="1"/>
    <x v="50"/>
    <x v="5"/>
    <x v="1"/>
    <x v="1"/>
    <n v="5894.3099999999977"/>
  </r>
  <r>
    <s v="05/25/2022"/>
    <s v="05/25/2022"/>
    <s v="TEASPOON- BURLINGAME BURLINGAME CA"/>
    <n v="9.69"/>
    <x v="1"/>
    <x v="2"/>
    <x v="5"/>
    <x v="1"/>
    <x v="1"/>
    <n v="5903.9999999999973"/>
  </r>
  <r>
    <s v="05/25/2022"/>
    <s v="05/25/2022"/>
    <s v="UBER TRIP 866-576-1039 CA"/>
    <n v="7.66"/>
    <x v="7"/>
    <x v="25"/>
    <x v="5"/>
    <x v="1"/>
    <x v="7"/>
    <n v="5911.6599999999971"/>
  </r>
  <r>
    <s v="05/26/2022"/>
    <s v="05/26/2022"/>
    <s v="SQ *FIERO CAFFE SAN MATEO CA0001152921511436857844"/>
    <n v="21.65"/>
    <x v="1"/>
    <x v="50"/>
    <x v="5"/>
    <x v="1"/>
    <x v="1"/>
    <n v="5933.3099999999968"/>
  </r>
  <r>
    <s v="05/26/2022"/>
    <s v="05/26/2022"/>
    <s v="SQ *FIERO CAFFE SAN MATEO CA0001152921511437662356"/>
    <n v="3.56"/>
    <x v="1"/>
    <x v="50"/>
    <x v="5"/>
    <x v="1"/>
    <x v="1"/>
    <n v="5936.8699999999972"/>
  </r>
  <r>
    <s v="05/26/2022"/>
    <s v="05/26/2022"/>
    <s v="UBER PENDING SAN FRANCISCOCA"/>
    <n v="9.39"/>
    <x v="7"/>
    <x v="25"/>
    <x v="5"/>
    <x v="1"/>
    <x v="7"/>
    <n v="5946.2599999999966"/>
  </r>
  <r>
    <s v="05/26/2022"/>
    <s v="05/26/2022"/>
    <s v="CENTURY THEATRES 485 REDWOOD CITY CA04850096154E"/>
    <n v="13.15"/>
    <x v="7"/>
    <x v="40"/>
    <x v="5"/>
    <x v="1"/>
    <x v="2"/>
    <n v="5959.4099999999971"/>
  </r>
  <r>
    <s v="05/26/2022"/>
    <s v="05/26/2022"/>
    <s v="SQ *BLUE BOTTLE COFFEE SAN MATEO CA0002305843015706658666"/>
    <n v="7.66"/>
    <x v="1"/>
    <x v="50"/>
    <x v="5"/>
    <x v="1"/>
    <x v="1"/>
    <n v="5967.069999999997"/>
  </r>
  <r>
    <s v="05/27/2022"/>
    <s v="05/27/2022"/>
    <s v="ATI10113-05720079 310-627-2866 CAAPPLE PAY ENDING IN 4775"/>
    <n v="9.75"/>
    <x v="7"/>
    <x v="19"/>
    <x v="5"/>
    <x v="1"/>
    <x v="8"/>
    <n v="5976.819999999997"/>
  </r>
  <r>
    <s v="05/28/2022"/>
    <s v="05/28/2022"/>
    <s v="CAFFE CENTRAL BURLINGAME CA"/>
    <n v="38.99"/>
    <x v="1"/>
    <x v="50"/>
    <x v="5"/>
    <x v="1"/>
    <x v="1"/>
    <n v="6015.8099999999968"/>
  </r>
  <r>
    <s v="05/29/2022"/>
    <s v="05/29/2022"/>
    <s v="APPLE.COM/BILL 866-712-7753 CAAPPLE PAY ENDING IN 4775MMW9B3SSZMA0"/>
    <n v="3.17"/>
    <x v="2"/>
    <x v="67"/>
    <x v="5"/>
    <x v="2"/>
    <x v="2"/>
    <n v="6018.9799999999968"/>
  </r>
  <r>
    <s v="05/29/2022"/>
    <s v="05/29/2022"/>
    <s v="OCULUS *YAMLBDPD92 OCULUS.COM CAP4943057269139443"/>
    <n v="16.28"/>
    <x v="2"/>
    <x v="62"/>
    <x v="5"/>
    <x v="1"/>
    <x v="2"/>
    <n v="6035.2599999999966"/>
  </r>
  <r>
    <s v="05/30/2022"/>
    <s v="05/30/2022"/>
    <s v="LINKEDIN-698*8895866 LNKD.IN/BILL CA1863218766-6988895866"/>
    <n v="43.43"/>
    <x v="2"/>
    <x v="60"/>
    <x v="5"/>
    <x v="1"/>
    <x v="6"/>
    <n v="6078.6899999999969"/>
  </r>
  <r>
    <s v="05/31/2022"/>
    <s v="05/31/2022"/>
    <s v="CAFFE CENTRAL BURLINGAME CA"/>
    <n v="5.41"/>
    <x v="1"/>
    <x v="50"/>
    <x v="5"/>
    <x v="1"/>
    <x v="1"/>
    <n v="6084.0999999999967"/>
  </r>
  <r>
    <s v="05/31/2022"/>
    <s v="05/31/2022"/>
    <s v="CAFFE CENTRAL BURLINGAME CA"/>
    <n v="13.36"/>
    <x v="1"/>
    <x v="50"/>
    <x v="5"/>
    <x v="1"/>
    <x v="1"/>
    <n v="6097.4599999999964"/>
  </r>
  <r>
    <s v="05/31/2022"/>
    <s v="05/31/2022"/>
    <s v="CAFFE CENTRAL BURLINGAME CA"/>
    <n v="32.14"/>
    <x v="1"/>
    <x v="50"/>
    <x v="5"/>
    <x v="1"/>
    <x v="1"/>
    <n v="6129.5999999999967"/>
  </r>
  <r>
    <s v="05/31/2022"/>
    <s v="05/31/2022"/>
    <s v="WALGREENS #12257 BURLINGAME CA"/>
    <n v="17.52"/>
    <x v="2"/>
    <x v="15"/>
    <x v="5"/>
    <x v="1"/>
    <x v="6"/>
    <n v="6147.1199999999972"/>
  </r>
  <r>
    <s v="06/01/2022"/>
    <s v="06/03/2022"/>
    <s v="NETFLIX.COM NETFLIX.COM CAITEM TRANSFERRED FROM PREV ACCOUNT"/>
    <n v="10.59"/>
    <x v="2"/>
    <x v="3"/>
    <x v="6"/>
    <x v="2"/>
    <x v="2"/>
    <n v="6157.7099999999973"/>
  </r>
  <r>
    <s v="06/01/2022"/>
    <s v="06/03/2022"/>
    <s v="SPOTIFY P1BC6CEF8D 8777781161 NYITEM TRANSFERRED FROM PREV ACCOUNT"/>
    <n v="9.99"/>
    <x v="2"/>
    <x v="4"/>
    <x v="6"/>
    <x v="2"/>
    <x v="2"/>
    <n v="6167.6999999999971"/>
  </r>
  <r>
    <s v="06/02/2022"/>
    <s v="06/03/2022"/>
    <s v="KRYSTAL AND SAAGAR 2025317527 DCITEM TRANSFERRED FROM PREV ACCOUNT"/>
    <n v="10"/>
    <x v="2"/>
    <x v="6"/>
    <x v="6"/>
    <x v="2"/>
    <x v="2"/>
    <n v="6177.6999999999971"/>
  </r>
  <r>
    <s v="06/02/2022"/>
    <s v="06/02/2022"/>
    <s v="INTEREST CHARGE ON PURCHASES"/>
    <n v="99.24"/>
    <x v="13"/>
    <x v="63"/>
    <x v="6"/>
    <x v="1"/>
    <x v="3"/>
    <n v="6276.9399999999969"/>
  </r>
  <r>
    <s v="06/03/2022"/>
    <s v="06/03/2022"/>
    <s v="STATE FARM INSURANCE 800-956-6310 ILITEM TRANSFERRED FROM PREV ACCOUNT"/>
    <n v="79.38"/>
    <x v="2"/>
    <x v="9"/>
    <x v="6"/>
    <x v="2"/>
    <x v="5"/>
    <n v="6356.319999999997"/>
  </r>
  <r>
    <s v="06/03/2022"/>
    <s v="06/03/2022"/>
    <s v="INTERNET PAYMENT - THANK YOU"/>
    <n v="-1000"/>
    <x v="3"/>
    <x v="5"/>
    <x v="6"/>
    <x v="1"/>
    <x v="3"/>
    <n v="5356.319999999997"/>
  </r>
  <r>
    <s v="06/04/2022"/>
    <s v="06/04/2022"/>
    <s v="SAFEWAY #1547 BURLINGAME CA"/>
    <n v="9.32"/>
    <x v="6"/>
    <x v="11"/>
    <x v="6"/>
    <x v="1"/>
    <x v="1"/>
    <n v="5365.6399999999967"/>
  </r>
  <r>
    <s v="06/04/2022"/>
    <s v="06/04/2022"/>
    <s v="SQ *TPUMPS BURLINGAME BURLINGAME CA0001152921511466194853"/>
    <n v="6.5"/>
    <x v="6"/>
    <x v="1"/>
    <x v="6"/>
    <x v="1"/>
    <x v="1"/>
    <n v="5372.1399999999967"/>
  </r>
  <r>
    <s v="06/04/2022"/>
    <s v="06/04/2022"/>
    <s v="TST* BLUE LINE PIZZA - 650-375-1700 CAAPPLE PAY ENDING IN 477500020155007293490897AA"/>
    <n v="21.19"/>
    <x v="1"/>
    <x v="1"/>
    <x v="6"/>
    <x v="1"/>
    <x v="1"/>
    <n v="5393.3299999999963"/>
  </r>
  <r>
    <s v="06/05/2022"/>
    <s v="06/05/2022"/>
    <s v="AXS.COM*FESTIVAL GV R 888-929-7849 CA3166625"/>
    <n v="433.95"/>
    <x v="7"/>
    <x v="38"/>
    <x v="6"/>
    <x v="1"/>
    <x v="2"/>
    <n v="5827.2799999999961"/>
  </r>
  <r>
    <s v="06/05/2022"/>
    <s v="06/05/2022"/>
    <s v="ONLYFANS 8886880458 FL"/>
    <n v="12.75"/>
    <x v="2"/>
    <x v="27"/>
    <x v="6"/>
    <x v="1"/>
    <x v="2"/>
    <n v="5840.0299999999961"/>
  </r>
  <r>
    <s v="06/05/2022"/>
    <s v="06/05/2022"/>
    <s v="ONLYFANS.COM 8886880458 IL"/>
    <n v="6.37"/>
    <x v="2"/>
    <x v="27"/>
    <x v="6"/>
    <x v="1"/>
    <x v="2"/>
    <n v="5846.399999999996"/>
  </r>
  <r>
    <s v="06/05/2022"/>
    <s v="06/05/2022"/>
    <s v="UBER PENDING SAN FRANCISCOCA"/>
    <n v="9.99"/>
    <x v="7"/>
    <x v="25"/>
    <x v="6"/>
    <x v="1"/>
    <x v="7"/>
    <n v="5856.3899999999958"/>
  </r>
  <r>
    <s v="06/06/2022"/>
    <s v="06/06/2022"/>
    <s v="UBER EATS 866-576-1039 CA"/>
    <n v="7.93"/>
    <x v="1"/>
    <x v="25"/>
    <x v="6"/>
    <x v="1"/>
    <x v="7"/>
    <n v="5864.3199999999961"/>
  </r>
  <r>
    <s v="06/06/2022"/>
    <s v="06/06/2022"/>
    <s v="UBER EATS 866-576-1039 CA"/>
    <n v="51.41"/>
    <x v="1"/>
    <x v="25"/>
    <x v="6"/>
    <x v="1"/>
    <x v="7"/>
    <n v="5915.7299999999959"/>
  </r>
  <r>
    <s v="06/08/2022"/>
    <s v="06/08/2022"/>
    <s v="CAFFE CENTRAL BURLINGAME CA"/>
    <n v="13.36"/>
    <x v="1"/>
    <x v="50"/>
    <x v="6"/>
    <x v="1"/>
    <x v="1"/>
    <n v="5929.0899999999956"/>
  </r>
  <r>
    <s v="06/08/2022"/>
    <s v="06/08/2022"/>
    <s v="STORE*TEA PLUS NOODLES 6506819470 CA"/>
    <n v="52.45"/>
    <x v="1"/>
    <x v="2"/>
    <x v="6"/>
    <x v="1"/>
    <x v="1"/>
    <n v="5981.5399999999954"/>
  </r>
  <r>
    <s v="06/09/2022"/>
    <s v="06/09/2022"/>
    <s v="COPENHAGEN BAKERY &amp; CAFE BURLINGAME CA"/>
    <n v="18.8"/>
    <x v="2"/>
    <x v="1"/>
    <x v="6"/>
    <x v="1"/>
    <x v="1"/>
    <n v="6000.3399999999956"/>
  </r>
  <r>
    <s v="06/10/2022"/>
    <s v="06/10/2022"/>
    <s v="ONLYFANS.COM 8886880458 IL"/>
    <n v="8.5"/>
    <x v="2"/>
    <x v="27"/>
    <x v="6"/>
    <x v="1"/>
    <x v="2"/>
    <n v="6008.8399999999956"/>
  </r>
  <r>
    <s v="06/10/2022"/>
    <s v="06/10/2022"/>
    <s v="APPLE.COM/BILL 866-712-7753 CAAPPLE PAY ENDING IN 4775MMW9JHZN12A0"/>
    <n v="15.89"/>
    <x v="2"/>
    <x v="18"/>
    <x v="6"/>
    <x v="2"/>
    <x v="2"/>
    <n v="6024.7299999999959"/>
  </r>
  <r>
    <s v="06/10/2022"/>
    <s v="06/10/2022"/>
    <s v="ONLYFANS 8886880458 FL"/>
    <n v="10.62"/>
    <x v="2"/>
    <x v="27"/>
    <x v="6"/>
    <x v="1"/>
    <x v="2"/>
    <n v="6035.3499999999958"/>
  </r>
  <r>
    <s v="06/11/2022"/>
    <s v="06/11/2022"/>
    <s v="BOB &amp; EDITH'S DINER ARLINGTON VA"/>
    <n v="91"/>
    <x v="1"/>
    <x v="2"/>
    <x v="6"/>
    <x v="1"/>
    <x v="1"/>
    <n v="6126.3499999999958"/>
  </r>
  <r>
    <s v="06/11/2022"/>
    <s v="06/11/2022"/>
    <s v="UBER TRIP 866-576-1039 CA"/>
    <n v="44.24"/>
    <x v="7"/>
    <x v="25"/>
    <x v="6"/>
    <x v="1"/>
    <x v="7"/>
    <n v="6170.5899999999956"/>
  </r>
  <r>
    <s v="06/12/2022"/>
    <s v="06/12/2022"/>
    <s v="GIANT 0774 ARLINGTON VA01266R"/>
    <n v="154.24"/>
    <x v="6"/>
    <x v="11"/>
    <x v="6"/>
    <x v="1"/>
    <x v="1"/>
    <n v="6324.8299999999954"/>
  </r>
  <r>
    <s v="06/13/2022"/>
    <s v="06/13/2022"/>
    <s v="AMZN MKTP US*2825U43J3 AMZN.COM/BILLWAITEM TRANSFERRED FROM PREV ACCOUNT"/>
    <n v="27.98"/>
    <x v="2"/>
    <x v="13"/>
    <x v="6"/>
    <x v="1"/>
    <x v="6"/>
    <n v="6352.8099999999949"/>
  </r>
  <r>
    <s v="06/13/2022"/>
    <s v="06/13/2022"/>
    <s v="OCULUS *DJER8CTD92 OCULUS.COM CAP4821246444653861"/>
    <n v="16.28"/>
    <x v="2"/>
    <x v="62"/>
    <x v="6"/>
    <x v="1"/>
    <x v="2"/>
    <n v="6369.0899999999947"/>
  </r>
  <r>
    <s v="06/13/2022"/>
    <s v="06/13/2022"/>
    <s v="OCULUS *H6P4WD3E92 OCULUS.COM CAP5007725799339259"/>
    <n v="24.97"/>
    <x v="2"/>
    <x v="62"/>
    <x v="6"/>
    <x v="1"/>
    <x v="2"/>
    <n v="6394.0599999999949"/>
  </r>
  <r>
    <s v="06/13/2022"/>
    <s v="06/13/2022"/>
    <s v="TST* TWO GUYS GRILL &amp; BALTIMORE MD00020841007416396344AA"/>
    <n v="110"/>
    <x v="1"/>
    <x v="2"/>
    <x v="6"/>
    <x v="1"/>
    <x v="1"/>
    <n v="6504.0599999999949"/>
  </r>
  <r>
    <s v="06/14/2022"/>
    <s v="06/14/2022"/>
    <s v="OCULUS *Y69PWD3E92 OCULUS.COM CAP5009753369136502"/>
    <n v="11.94"/>
    <x v="2"/>
    <x v="62"/>
    <x v="6"/>
    <x v="1"/>
    <x v="2"/>
    <n v="6515.9999999999955"/>
  </r>
  <r>
    <s v="06/14/2022"/>
    <s v="06/14/2022"/>
    <s v="OCULUS *G8SVQDPD92 OCULUS.COM CAP4989495397828963"/>
    <n v="16.28"/>
    <x v="2"/>
    <x v="62"/>
    <x v="6"/>
    <x v="1"/>
    <x v="2"/>
    <n v="6532.2799999999943"/>
  </r>
  <r>
    <s v="06/14/2022"/>
    <s v="06/14/2022"/>
    <s v="OCULUS *NN9PWD3E92 OCULUS.COM CAP5009755042469668"/>
    <n v="11.94"/>
    <x v="2"/>
    <x v="62"/>
    <x v="6"/>
    <x v="1"/>
    <x v="2"/>
    <n v="6544.2199999999939"/>
  </r>
  <r>
    <s v="06/14/2022"/>
    <s v="06/14/2022"/>
    <s v="OCULUS *5CDH6CBD92 OCULUS.COM CAP4813378045440697"/>
    <n v="15.19"/>
    <x v="2"/>
    <x v="62"/>
    <x v="6"/>
    <x v="1"/>
    <x v="2"/>
    <n v="6559.4099999999926"/>
  </r>
  <r>
    <s v="06/14/2022"/>
    <s v="06/14/2022"/>
    <s v="AMZN MKTP US*BO0JH2WA3 AMZN.COM/BILLWAITEM TRANSFERRED FROM PREV ACCOUNT"/>
    <n v="27.18"/>
    <x v="2"/>
    <x v="13"/>
    <x v="6"/>
    <x v="1"/>
    <x v="6"/>
    <n v="6586.5899999999938"/>
  </r>
  <r>
    <s v="06/14/2022"/>
    <s v="06/14/2022"/>
    <s v="OCULUS *68RVQDPD92 OCULUS.COM CAP4989491951162641"/>
    <n v="7.59"/>
    <x v="2"/>
    <x v="62"/>
    <x v="6"/>
    <x v="1"/>
    <x v="2"/>
    <n v="6594.1799999999939"/>
  </r>
  <r>
    <s v="06/15/2022"/>
    <s v="06/15/2022"/>
    <s v="CCBILL.COM 888-5969279 AZ"/>
    <n v="7.43"/>
    <x v="2"/>
    <x v="27"/>
    <x v="6"/>
    <x v="1"/>
    <x v="2"/>
    <n v="6601.6099999999942"/>
  </r>
  <r>
    <s v="06/15/2022"/>
    <s v="06/15/2022"/>
    <s v="DUNKIN DONUTSBALTIMORE BALTIMORE MD"/>
    <n v="3.79"/>
    <x v="1"/>
    <x v="1"/>
    <x v="6"/>
    <x v="1"/>
    <x v="1"/>
    <n v="6605.3999999999942"/>
  </r>
  <r>
    <s v="06/15/2022"/>
    <s v="06/15/2022"/>
    <s v="FABER NEWS #1211 BALTIMORE MD"/>
    <n v="59.32"/>
    <x v="2"/>
    <x v="68"/>
    <x v="6"/>
    <x v="1"/>
    <x v="7"/>
    <n v="6664.7199999999939"/>
  </r>
  <r>
    <s v="06/15/2022"/>
    <s v="06/15/2022"/>
    <s v="ROKU FOR VIKI INC 8162728107 DE"/>
    <n v="10.85"/>
    <x v="4"/>
    <x v="66"/>
    <x v="6"/>
    <x v="2"/>
    <x v="2"/>
    <n v="6675.5699999999943"/>
  </r>
  <r>
    <s v="06/16/2022"/>
    <s v="06/16/2022"/>
    <s v="CCBILL.COM 888-5969279 AZ"/>
    <n v="8.5"/>
    <x v="2"/>
    <x v="27"/>
    <x v="6"/>
    <x v="1"/>
    <x v="2"/>
    <n v="6684.0699999999943"/>
  </r>
  <r>
    <s v="06/16/2022"/>
    <s v="06/16/2022"/>
    <s v="HILTON RESTAURANT SHRT RICHMOND VA"/>
    <n v="38"/>
    <x v="1"/>
    <x v="1"/>
    <x v="6"/>
    <x v="1"/>
    <x v="1"/>
    <n v="6722.0699999999943"/>
  </r>
  <r>
    <s v="06/16/2022"/>
    <s v="06/16/2022"/>
    <s v="INTERNET PAYMENT - THANK YOU"/>
    <n v="-2000"/>
    <x v="3"/>
    <x v="5"/>
    <x v="6"/>
    <x v="1"/>
    <x v="3"/>
    <n v="4722.0699999999943"/>
  </r>
  <r>
    <s v="06/17/2022"/>
    <s v="06/17/2022"/>
    <s v="APPLE.COM/BILL 111-111-1111 CAAPPLE PAY ENDING IN 4775"/>
    <n v="5.29"/>
    <x v="2"/>
    <x v="23"/>
    <x v="6"/>
    <x v="2"/>
    <x v="2"/>
    <n v="4727.3599999999942"/>
  </r>
  <r>
    <s v="06/17/2022"/>
    <s v="06/17/2022"/>
    <s v="CCBILL.COM 888-5969279 AZ"/>
    <n v="4.26"/>
    <x v="2"/>
    <x v="27"/>
    <x v="6"/>
    <x v="1"/>
    <x v="2"/>
    <n v="4731.6199999999944"/>
  </r>
  <r>
    <s v="06/17/2022"/>
    <s v="06/17/2022"/>
    <s v="TMOBILE*AUTO PAY 800-937-8997 WAITEM TRANSFERRED FROM PREV ACCOUNT"/>
    <n v="70"/>
    <x v="2"/>
    <x v="21"/>
    <x v="6"/>
    <x v="1"/>
    <x v="4"/>
    <n v="4801.6199999999944"/>
  </r>
  <r>
    <s v="06/19/2022"/>
    <s v="06/19/2022"/>
    <s v="CCBILL.COM 888-5969279 AZ"/>
    <n v="10.62"/>
    <x v="2"/>
    <x v="27"/>
    <x v="6"/>
    <x v="1"/>
    <x v="2"/>
    <n v="4812.2399999999943"/>
  </r>
  <r>
    <s v="06/19/2022"/>
    <s v="06/19/2022"/>
    <s v="HBOOKSELLER ST625 BALTIMORE MD"/>
    <n v="92.93"/>
    <x v="2"/>
    <x v="69"/>
    <x v="6"/>
    <x v="1"/>
    <x v="6"/>
    <n v="4905.1699999999946"/>
  </r>
  <r>
    <s v="06/20/2022"/>
    <s v="06/20/2022"/>
    <s v="WALGREENS #11856 SEATTLE WA"/>
    <n v="24.78"/>
    <x v="2"/>
    <x v="15"/>
    <x v="6"/>
    <x v="1"/>
    <x v="6"/>
    <n v="4929.9499999999944"/>
  </r>
  <r>
    <s v="06/20/2022"/>
    <s v="06/20/2022"/>
    <s v="HIMALAYAN JAVA COFFEE LYNNWOOD WA"/>
    <n v="8.36"/>
    <x v="6"/>
    <x v="50"/>
    <x v="6"/>
    <x v="1"/>
    <x v="1"/>
    <n v="4938.309999999994"/>
  </r>
  <r>
    <s v="06/20/2022"/>
    <s v="06/20/2022"/>
    <s v="ALASKA WIFI BY GOGO 877-350-0038 IL373866605SSAS"/>
    <n v="8"/>
    <x v="4"/>
    <x v="33"/>
    <x v="6"/>
    <x v="1"/>
    <x v="7"/>
    <n v="4946.309999999994"/>
  </r>
  <r>
    <s v="06/20/2022"/>
    <s v="06/20/2022"/>
    <s v="ALASKA WIFI BY GOGO 877-350-0038 IL373866613SSAS"/>
    <n v="8"/>
    <x v="4"/>
    <x v="33"/>
    <x v="6"/>
    <x v="1"/>
    <x v="7"/>
    <n v="4954.309999999994"/>
  </r>
  <r>
    <s v="06/20/2022"/>
    <s v="06/20/2022"/>
    <s v="CVS/PHARMACY #11076 SEATTLE WA"/>
    <n v="100.78"/>
    <x v="2"/>
    <x v="15"/>
    <x v="6"/>
    <x v="1"/>
    <x v="6"/>
    <n v="5055.0899999999938"/>
  </r>
  <r>
    <s v="06/21/2022"/>
    <s v="06/21/2022"/>
    <s v="HYATT HOUSE SPACE NEEDLE SEATTLE WA"/>
    <n v="239.73"/>
    <x v="7"/>
    <x v="49"/>
    <x v="6"/>
    <x v="1"/>
    <x v="2"/>
    <n v="5294.8199999999933"/>
  </r>
  <r>
    <s v="06/21/2022"/>
    <s v="06/21/2022"/>
    <s v="ORCA SEATTLE WA"/>
    <n v="23"/>
    <x v="7"/>
    <x v="70"/>
    <x v="6"/>
    <x v="1"/>
    <x v="7"/>
    <n v="5317.8199999999933"/>
  </r>
  <r>
    <s v="06/21/2022"/>
    <s v="06/21/2022"/>
    <s v="SAVEWAY MARKET SEATTLE WA"/>
    <n v="3.35"/>
    <x v="6"/>
    <x v="11"/>
    <x v="6"/>
    <x v="1"/>
    <x v="1"/>
    <n v="5321.1699999999937"/>
  </r>
  <r>
    <s v="06/21/2022"/>
    <s v="06/21/2022"/>
    <s v="SQ *SIMPLY SEATTLE SEATTLE WA0002305843015849359620"/>
    <n v="30.87"/>
    <x v="2"/>
    <x v="43"/>
    <x v="6"/>
    <x v="1"/>
    <x v="6"/>
    <n v="5352.0399999999936"/>
  </r>
  <r>
    <s v="06/21/2022"/>
    <s v="06/21/2022"/>
    <s v="TST* PREMIER MEAT PIES SEATTLE WA00029314007510745100AA"/>
    <n v="45.24"/>
    <x v="1"/>
    <x v="2"/>
    <x v="6"/>
    <x v="1"/>
    <x v="1"/>
    <n v="5397.2799999999934"/>
  </r>
  <r>
    <s v="06/21/2022"/>
    <s v="06/21/2022"/>
    <s v="UBER TRIP 866-576-1039 CAAPPLE PAY ENDING IN 4775"/>
    <n v="14.05"/>
    <x v="7"/>
    <x v="25"/>
    <x v="6"/>
    <x v="1"/>
    <x v="7"/>
    <n v="5411.3299999999936"/>
  </r>
  <r>
    <s v="06/21/2022"/>
    <s v="06/22/2022"/>
    <s v="ALASKA WIFI BY GOGO 877-350-0038 IL373866605SSAS"/>
    <n v="-8"/>
    <x v="3"/>
    <x v="33"/>
    <x v="6"/>
    <x v="1"/>
    <x v="7"/>
    <n v="5403.3299999999936"/>
  </r>
  <r>
    <s v="06/22/2022"/>
    <s v="06/22/2022"/>
    <s v="UBER TRIP 866-576-1039 CAAPPLE PAY ENDING IN 4775"/>
    <n v="13.03"/>
    <x v="7"/>
    <x v="25"/>
    <x v="6"/>
    <x v="1"/>
    <x v="7"/>
    <n v="5416.3599999999933"/>
  </r>
  <r>
    <s v="06/22/2022"/>
    <s v="06/22/2022"/>
    <s v="UBER TRIP 866-576-1039 CAAPPLE PAY ENDING IN 4775"/>
    <n v="10.199999999999999"/>
    <x v="7"/>
    <x v="25"/>
    <x v="6"/>
    <x v="1"/>
    <x v="7"/>
    <n v="5426.5599999999931"/>
  </r>
  <r>
    <s v="06/22/2022"/>
    <s v="06/22/2022"/>
    <s v="TM *FLEET FOXES 800-653-8000 CAAPPLE PAY ENDING IN 4775SEA/31-18312"/>
    <n v="107.5"/>
    <x v="7"/>
    <x v="46"/>
    <x v="6"/>
    <x v="1"/>
    <x v="2"/>
    <n v="5534.0599999999931"/>
  </r>
  <r>
    <s v="06/22/2022"/>
    <s v="06/22/2022"/>
    <s v="THE BOOKSTORE SEATTLE WA02223R"/>
    <n v="39.69"/>
    <x v="2"/>
    <x v="69"/>
    <x v="6"/>
    <x v="1"/>
    <x v="6"/>
    <n v="5573.7499999999927"/>
  </r>
  <r>
    <s v="06/22/2022"/>
    <s v="06/22/2022"/>
    <s v="SPACE NEEDLE GIFT SHOP SEATTLE WA02267R"/>
    <n v="31.96"/>
    <x v="2"/>
    <x v="49"/>
    <x v="6"/>
    <x v="1"/>
    <x v="2"/>
    <n v="5605.7099999999928"/>
  </r>
  <r>
    <s v="06/22/2022"/>
    <s v="06/22/2022"/>
    <s v="PAYPAL *DATACAMPINC 402-935-7733 CA"/>
    <n v="298"/>
    <x v="12"/>
    <x v="31"/>
    <x v="6"/>
    <x v="1"/>
    <x v="6"/>
    <n v="5903.7099999999928"/>
  </r>
  <r>
    <s v="06/22/2022"/>
    <s v="06/22/2022"/>
    <s v="CHIHULY G&amp;G TICKETS SEATTLE WATICKET-ORDER-"/>
    <n v="119.7"/>
    <x v="7"/>
    <x v="49"/>
    <x v="6"/>
    <x v="1"/>
    <x v="2"/>
    <n v="6023.4099999999926"/>
  </r>
  <r>
    <s v="06/23/2022"/>
    <s v="06/23/2022"/>
    <s v="MOORE THEATER 6502396947 WA"/>
    <n v="44"/>
    <x v="2"/>
    <x v="46"/>
    <x v="6"/>
    <x v="1"/>
    <x v="2"/>
    <n v="6067.4099999999926"/>
  </r>
  <r>
    <s v="06/23/2022"/>
    <s v="06/23/2022"/>
    <s v="SQ *MINTER GOODS SEATTLE WA0001152921511547542984"/>
    <n v="24.26"/>
    <x v="2"/>
    <x v="71"/>
    <x v="6"/>
    <x v="1"/>
    <x v="6"/>
    <n v="6091.6699999999928"/>
  </r>
  <r>
    <s v="06/23/2022"/>
    <s v="06/23/2022"/>
    <s v="TST* TOM DOUGLAS - THE SEATTLE WA00000344007535312151AA"/>
    <n v="21.27"/>
    <x v="1"/>
    <x v="2"/>
    <x v="6"/>
    <x v="1"/>
    <x v="1"/>
    <n v="6112.9399999999932"/>
  </r>
  <r>
    <s v="06/24/2022"/>
    <s v="06/24/2022"/>
    <s v="UBER TRIP 866-576-1039 CAAPPLE PAY ENDING IN 4775"/>
    <n v="29.85"/>
    <x v="7"/>
    <x v="25"/>
    <x v="6"/>
    <x v="1"/>
    <x v="7"/>
    <n v="6142.7899999999936"/>
  </r>
  <r>
    <s v="06/24/2022"/>
    <s v="06/24/2022"/>
    <s v="UBER TRIP 866-576-1039 CAAPPLE PAY ENDING IN 4775"/>
    <n v="35.9"/>
    <x v="7"/>
    <x v="25"/>
    <x v="6"/>
    <x v="1"/>
    <x v="7"/>
    <n v="6178.6899999999932"/>
  </r>
  <r>
    <s v="06/25/2022"/>
    <s v="06/25/2022"/>
    <s v="PP*TONY 402-935-2244 CA"/>
    <n v="83"/>
    <x v="4"/>
    <x v="19"/>
    <x v="6"/>
    <x v="1"/>
    <x v="8"/>
    <n v="6261.6899999999932"/>
  </r>
  <r>
    <s v="06/25/2022"/>
    <s v="06/25/2022"/>
    <s v="UBER TRIP 866-576-1039 CAAPPLE PAY ENDING IN 4775"/>
    <n v="9.09"/>
    <x v="7"/>
    <x v="25"/>
    <x v="6"/>
    <x v="1"/>
    <x v="7"/>
    <n v="6270.7799999999934"/>
  </r>
  <r>
    <s v="06/25/2022"/>
    <s v="06/25/2022"/>
    <s v="UBER TRIP 866-576-1039 CAAPPLE PAY ENDING IN 4775"/>
    <n v="27.99"/>
    <x v="7"/>
    <x v="25"/>
    <x v="6"/>
    <x v="1"/>
    <x v="7"/>
    <n v="6298.7699999999932"/>
  </r>
  <r>
    <s v="06/26/2022"/>
    <s v="06/26/2022"/>
    <s v="UBER TRIP 866-576-1039 CAAPPLE PAY ENDING IN 4775"/>
    <n v="27.06"/>
    <x v="7"/>
    <x v="25"/>
    <x v="6"/>
    <x v="1"/>
    <x v="7"/>
    <n v="6325.8299999999936"/>
  </r>
  <r>
    <s v="06/26/2022"/>
    <s v="06/26/2022"/>
    <s v="UBER TRIP 866-576-1039 CAAPPLE PAY ENDING IN 4775"/>
    <n v="30.02"/>
    <x v="7"/>
    <x v="25"/>
    <x v="6"/>
    <x v="1"/>
    <x v="7"/>
    <n v="6355.849999999994"/>
  </r>
  <r>
    <s v="06/26/2022"/>
    <s v="06/26/2022"/>
    <s v="PLANNED PARENTHOOD ACTIO NEW YORK NY"/>
    <n v="25"/>
    <x v="4"/>
    <x v="72"/>
    <x v="6"/>
    <x v="2"/>
    <x v="6"/>
    <n v="6380.849999999994"/>
  </r>
  <r>
    <s v="06/26/2022"/>
    <s v="06/26/2022"/>
    <s v="SQ *GLOW TEA SEATTLE WA0001152921511560224750"/>
    <n v="13.9"/>
    <x v="1"/>
    <x v="1"/>
    <x v="6"/>
    <x v="1"/>
    <x v="1"/>
    <n v="6394.7499999999936"/>
  </r>
  <r>
    <s v="06/27/2022"/>
    <s v="06/27/2022"/>
    <s v="STARBUCKS STORE 16798 BALTIMORE MD393FDE634DB7663671"/>
    <n v="8.6999999999999993"/>
    <x v="1"/>
    <x v="50"/>
    <x v="6"/>
    <x v="1"/>
    <x v="1"/>
    <n v="6403.4499999999935"/>
  </r>
  <r>
    <s v="06/27/2022"/>
    <s v="06/27/2022"/>
    <s v="UBER TRIP 866-576-1039 CAAPPLE PAY ENDING IN 4775"/>
    <n v="13.71"/>
    <x v="7"/>
    <x v="25"/>
    <x v="6"/>
    <x v="1"/>
    <x v="7"/>
    <n v="6417.1599999999926"/>
  </r>
  <r>
    <s v="06/27/2022"/>
    <s v="06/27/2022"/>
    <s v="UBER TRIP 866-576-1039 CAAPPLE PAY ENDING IN 4775"/>
    <n v="20.32"/>
    <x v="7"/>
    <x v="25"/>
    <x v="6"/>
    <x v="1"/>
    <x v="7"/>
    <n v="6437.4799999999932"/>
  </r>
  <r>
    <s v="06/27/2022"/>
    <s v="06/27/2022"/>
    <s v="UBER TRIP 866-576-1039 CAAPPLE PAY ENDING IN 4775"/>
    <n v="20.73"/>
    <x v="7"/>
    <x v="25"/>
    <x v="6"/>
    <x v="1"/>
    <x v="7"/>
    <n v="6458.2099999999928"/>
  </r>
  <r>
    <s v="06/28/2022"/>
    <s v="06/28/2022"/>
    <s v="7-ELEVEN 39655 BALTIMORE MD"/>
    <n v="11.8"/>
    <x v="9"/>
    <x v="15"/>
    <x v="6"/>
    <x v="1"/>
    <x v="6"/>
    <n v="6470.0099999999929"/>
  </r>
  <r>
    <s v="06/28/2022"/>
    <s v="06/28/2022"/>
    <s v="APPLE.COM/BILL 866-712-7753 CAAPPLE PAY ENDING IN 4775MMW9NHTJYHA0"/>
    <n v="3.17"/>
    <x v="2"/>
    <x v="67"/>
    <x v="6"/>
    <x v="2"/>
    <x v="2"/>
    <n v="6473.179999999993"/>
  </r>
  <r>
    <s v="06/30/2022"/>
    <s v="06/30/2022"/>
    <s v="INTERNET PAYMENT - THANK YOU"/>
    <n v="-1000"/>
    <x v="3"/>
    <x v="5"/>
    <x v="6"/>
    <x v="1"/>
    <x v="3"/>
    <n v="5473.179999999993"/>
  </r>
  <r>
    <s v="07/01/2022"/>
    <s v="07/03/2022"/>
    <s v="NETFLIX.COM NETFLIX.COM CAITEM TRANSFERRED FROM PREV ACCOUNT"/>
    <n v="10.59"/>
    <x v="2"/>
    <x v="3"/>
    <x v="7"/>
    <x v="2"/>
    <x v="2"/>
    <n v="5483.7699999999932"/>
  </r>
  <r>
    <s v="07/01/2022"/>
    <s v="07/03/2022"/>
    <s v="PLANNED PARENTHOOD ACTIO NEW YORK NY"/>
    <n v="25"/>
    <x v="4"/>
    <x v="72"/>
    <x v="7"/>
    <x v="2"/>
    <x v="6"/>
    <n v="5508.7699999999932"/>
  </r>
  <r>
    <s v="07/01/2022"/>
    <s v="07/03/2022"/>
    <s v="SPOTIFY P1C5133410 8777781161 NYITEM TRANSFERRED FROM PREV ACCOUNT"/>
    <n v="9.99"/>
    <x v="2"/>
    <x v="4"/>
    <x v="7"/>
    <x v="2"/>
    <x v="2"/>
    <n v="5518.7599999999929"/>
  </r>
  <r>
    <s v="07/02/2022"/>
    <s v="07/02/2022"/>
    <s v="INTEREST CHARGE ON PURCHASES"/>
    <n v="99.19"/>
    <x v="13"/>
    <x v="63"/>
    <x v="7"/>
    <x v="1"/>
    <x v="3"/>
    <n v="5617.9499999999935"/>
  </r>
  <r>
    <s v="07/02/2022"/>
    <s v="07/03/2022"/>
    <s v="KRYSTAL AND SAAGAR 2025317527 DCITEM TRANSFERRED FROM PREV ACCOUNT"/>
    <n v="10"/>
    <x v="2"/>
    <x v="6"/>
    <x v="7"/>
    <x v="2"/>
    <x v="2"/>
    <n v="5627.9499999999935"/>
  </r>
  <r>
    <s v="07/03/2022"/>
    <s v="07/03/2022"/>
    <s v="LEBANESE TAVERNA EXPRESS CHICAGO IL"/>
    <n v="12.05"/>
    <x v="1"/>
    <x v="2"/>
    <x v="7"/>
    <x v="1"/>
    <x v="1"/>
    <n v="5639.9999999999927"/>
  </r>
  <r>
    <s v="07/03/2022"/>
    <s v="07/03/2022"/>
    <s v="DCA WASHINGTONIAN SHOP ARLINGTON VA00314R"/>
    <n v="9.1999999999999993"/>
    <x v="2"/>
    <x v="68"/>
    <x v="7"/>
    <x v="1"/>
    <x v="7"/>
    <n v="5649.1999999999935"/>
  </r>
  <r>
    <s v="07/03/2022"/>
    <s v="07/03/2022"/>
    <s v="AMERICANAIR0010268379855 DALLAS TX"/>
    <n v="30"/>
    <x v="7"/>
    <x v="33"/>
    <x v="7"/>
    <x v="1"/>
    <x v="7"/>
    <n v="5679.1999999999935"/>
  </r>
  <r>
    <s v="07/03/2022"/>
    <s v="07/03/2022"/>
    <s v="DCA FORBES SPACE #23 ARLINGTON VA00359R"/>
    <n v="4.76"/>
    <x v="2"/>
    <x v="68"/>
    <x v="7"/>
    <x v="1"/>
    <x v="7"/>
    <n v="5683.9599999999928"/>
  </r>
  <r>
    <s v="07/04/2022"/>
    <s v="07/04/2022"/>
    <s v="UBER TRIP 866-576-1039 CAAPPLE PAY ENDING IN 4775"/>
    <n v="18.54"/>
    <x v="7"/>
    <x v="25"/>
    <x v="7"/>
    <x v="1"/>
    <x v="7"/>
    <n v="5702.4999999999927"/>
  </r>
  <r>
    <s v="07/04/2022"/>
    <s v="07/04/2022"/>
    <s v="WHOLEFDS CMA #10476 PHOENIX AZ"/>
    <n v="93.31"/>
    <x v="6"/>
    <x v="11"/>
    <x v="7"/>
    <x v="1"/>
    <x v="1"/>
    <n v="5795.8099999999931"/>
  </r>
  <r>
    <s v="07/05/2022"/>
    <s v="07/05/2022"/>
    <s v="UBER PASS 866-576-1039 CA"/>
    <n v="9.99"/>
    <x v="7"/>
    <x v="25"/>
    <x v="7"/>
    <x v="1"/>
    <x v="7"/>
    <n v="5805.7999999999929"/>
  </r>
  <r>
    <s v="07/05/2022"/>
    <s v="07/05/2022"/>
    <s v="AMAZON.COM*E55349263 AMZN.COM/BILLWA3QF0NLW9MGA"/>
    <n v="8.98"/>
    <x v="2"/>
    <x v="13"/>
    <x v="7"/>
    <x v="1"/>
    <x v="6"/>
    <n v="5814.7799999999916"/>
  </r>
  <r>
    <s v="07/05/2022"/>
    <s v="07/05/2022"/>
    <s v="AMZN MKTP US*1D8YY1K91 AMZN.COM/BILLWASJBSB0433W4"/>
    <n v="24.99"/>
    <x v="2"/>
    <x v="13"/>
    <x v="7"/>
    <x v="1"/>
    <x v="6"/>
    <n v="5839.7699999999923"/>
  </r>
  <r>
    <s v="07/05/2022"/>
    <s v="07/05/2022"/>
    <s v="RAZOR RIDE* OFJTXBLGKP 8335278645 CAAPPLE PAY ENDING IN 4775"/>
    <n v="4.67"/>
    <x v="7"/>
    <x v="25"/>
    <x v="7"/>
    <x v="1"/>
    <x v="7"/>
    <n v="5844.4399999999923"/>
  </r>
  <r>
    <s v="07/05/2022"/>
    <s v="07/05/2022"/>
    <s v="RAZOR RIDE* UGBXHAJAUK 8335278645 CAAPPLE PAY ENDING IN 4775"/>
    <n v="5.09"/>
    <x v="7"/>
    <x v="25"/>
    <x v="7"/>
    <x v="1"/>
    <x v="7"/>
    <n v="5849.5299999999916"/>
  </r>
  <r>
    <s v="07/05/2022"/>
    <s v="07/05/2022"/>
    <s v="SAFEWAY.COM #2651 877-505-4040 AZ45965020"/>
    <n v="131.30000000000001"/>
    <x v="6"/>
    <x v="11"/>
    <x v="7"/>
    <x v="1"/>
    <x v="1"/>
    <n v="5980.8299999999927"/>
  </r>
  <r>
    <s v="07/05/2022"/>
    <s v="07/05/2022"/>
    <s v="TACO BELL #32737 PHOENIX AZ"/>
    <n v="12.14"/>
    <x v="1"/>
    <x v="1"/>
    <x v="7"/>
    <x v="1"/>
    <x v="1"/>
    <n v="5992.969999999993"/>
  </r>
  <r>
    <s v="07/05/2022"/>
    <s v="07/05/2022"/>
    <s v="TM *CORINNE BAILEY RAE 800-653-8000 CAARZ/29-16353"/>
    <n v="104"/>
    <x v="7"/>
    <x v="46"/>
    <x v="7"/>
    <x v="1"/>
    <x v="2"/>
    <n v="6096.969999999993"/>
  </r>
  <r>
    <s v="07/05/2022"/>
    <s v="07/05/2022"/>
    <s v="WALGREENS #5893 PHOENIX AZ"/>
    <n v="55.35"/>
    <x v="2"/>
    <x v="15"/>
    <x v="7"/>
    <x v="1"/>
    <x v="6"/>
    <n v="6152.3199999999933"/>
  </r>
  <r>
    <s v="07/06/2022"/>
    <s v="07/06/2022"/>
    <s v="STATE FARM INSURANCE 800-956-6310 ILITEM TRANSFERRED FROM PREV ACCOUNT"/>
    <n v="79.66"/>
    <x v="2"/>
    <x v="9"/>
    <x v="7"/>
    <x v="2"/>
    <x v="5"/>
    <n v="6231.9799999999932"/>
  </r>
  <r>
    <s v="07/07/2022"/>
    <s v="07/07/2022"/>
    <s v="FUBOTV INC NEW YORK NY"/>
    <n v="1"/>
    <x v="4"/>
    <x v="73"/>
    <x v="7"/>
    <x v="2"/>
    <x v="2"/>
    <n v="6232.9799999999932"/>
  </r>
  <r>
    <s v="07/07/2022"/>
    <s v="07/10/2022"/>
    <s v="FUBOTV INC NEW YORK NY"/>
    <n v="-1"/>
    <x v="3"/>
    <x v="73"/>
    <x v="7"/>
    <x v="2"/>
    <x v="2"/>
    <n v="6231.9799999999932"/>
  </r>
  <r>
    <s v="07/08/2022"/>
    <s v="07/08/2022"/>
    <s v="A-Z TENNIS LLC SCOTTSDALE AZ"/>
    <n v="20"/>
    <x v="2"/>
    <x v="55"/>
    <x v="7"/>
    <x v="1"/>
    <x v="2"/>
    <n v="6251.9799999999932"/>
  </r>
  <r>
    <s v="07/08/2022"/>
    <s v="07/08/2022"/>
    <s v="CCBILL.COM 888-5969279 AZ"/>
    <n v="5.42"/>
    <x v="2"/>
    <x v="27"/>
    <x v="7"/>
    <x v="1"/>
    <x v="2"/>
    <n v="6257.3999999999933"/>
  </r>
  <r>
    <s v="07/08/2022"/>
    <s v="07/08/2022"/>
    <s v="TARGET 00032615091 PHOENIX AZ"/>
    <n v="23.88"/>
    <x v="2"/>
    <x v="22"/>
    <x v="7"/>
    <x v="1"/>
    <x v="6"/>
    <n v="6281.2799999999934"/>
  </r>
  <r>
    <s v="07/09/2022"/>
    <s v="07/09/2022"/>
    <s v="CASH APP*JUSTINA LE 415-375-3176 CAITEM TRANSFERRED FROM PREV ACCOUNT"/>
    <n v="51.5"/>
    <x v="2"/>
    <x v="74"/>
    <x v="7"/>
    <x v="1"/>
    <x v="9"/>
    <n v="6332.7799999999934"/>
  </r>
  <r>
    <s v="07/09/2022"/>
    <s v="07/09/2022"/>
    <s v="CCBILL.COM 888-5969279 AZ"/>
    <n v="8.5"/>
    <x v="2"/>
    <x v="27"/>
    <x v="7"/>
    <x v="1"/>
    <x v="2"/>
    <n v="6341.2799999999934"/>
  </r>
  <r>
    <s v="07/09/2022"/>
    <s v="07/09/2022"/>
    <s v="ONLYFANS 8886880458 FL"/>
    <n v="5.32"/>
    <x v="2"/>
    <x v="27"/>
    <x v="7"/>
    <x v="1"/>
    <x v="2"/>
    <n v="6346.5999999999931"/>
  </r>
  <r>
    <s v="07/09/2022"/>
    <s v="07/09/2022"/>
    <s v="SWEETS 4 TREATS AZ MILLS TEMPE AZ"/>
    <n v="13.28"/>
    <x v="2"/>
    <x v="1"/>
    <x v="7"/>
    <x v="1"/>
    <x v="1"/>
    <n v="6359.8799999999928"/>
  </r>
  <r>
    <s v="07/09/2022"/>
    <s v="07/09/2022"/>
    <s v="TST* THE HUB BAR &amp; GRILL PHOENIX AZ"/>
    <n v="78"/>
    <x v="1"/>
    <x v="2"/>
    <x v="7"/>
    <x v="1"/>
    <x v="1"/>
    <n v="6437.8799999999928"/>
  </r>
  <r>
    <s v="07/10/2022"/>
    <s v="07/10/2022"/>
    <s v="TST* POSTINO - KIERLAN SCOTTSDALE AZ00051712007732140803AA"/>
    <n v="69.72"/>
    <x v="1"/>
    <x v="2"/>
    <x v="7"/>
    <x v="1"/>
    <x v="1"/>
    <n v="6507.5999999999931"/>
  </r>
  <r>
    <s v="07/10/2022"/>
    <s v="07/10/2022"/>
    <s v="SPROUTS FARMERS MARKET SCOTTSDALE AZ"/>
    <n v="10.63"/>
    <x v="6"/>
    <x v="11"/>
    <x v="7"/>
    <x v="1"/>
    <x v="1"/>
    <n v="6518.2299999999932"/>
  </r>
  <r>
    <s v="07/10/2022"/>
    <s v="07/10/2022"/>
    <s v="QT 410 SURPRISE AZ0041001MUT3898H"/>
    <n v="55.98"/>
    <x v="9"/>
    <x v="17"/>
    <x v="7"/>
    <x v="1"/>
    <x v="7"/>
    <n v="6574.2099999999928"/>
  </r>
  <r>
    <s v="07/10/2022"/>
    <s v="07/10/2022"/>
    <s v="CCBILL.COM 888-5969279 AZ"/>
    <n v="5.32"/>
    <x v="2"/>
    <x v="27"/>
    <x v="7"/>
    <x v="1"/>
    <x v="2"/>
    <n v="6579.5299999999916"/>
  </r>
  <r>
    <s v="07/10/2022"/>
    <s v="07/10/2022"/>
    <s v="0113 PLANET FITNESS PHOENIX AZ"/>
    <n v="15.77"/>
    <x v="7"/>
    <x v="14"/>
    <x v="7"/>
    <x v="1"/>
    <x v="6"/>
    <n v="6595.2999999999929"/>
  </r>
  <r>
    <s v="07/10/2022"/>
    <s v="07/10/2022"/>
    <s v="CCBILL.COM 888-5969279 AZ"/>
    <n v="5.95"/>
    <x v="2"/>
    <x v="27"/>
    <x v="7"/>
    <x v="1"/>
    <x v="2"/>
    <n v="6601.2499999999927"/>
  </r>
  <r>
    <s v="07/11/2022"/>
    <s v="07/11/2022"/>
    <s v="AMZN MKTP US*C410V0IJ3 AMZN.COM/BILLWA58J4D8LYVDM"/>
    <n v="37.229999999999997"/>
    <x v="2"/>
    <x v="13"/>
    <x v="7"/>
    <x v="1"/>
    <x v="6"/>
    <n v="6638.4799999999923"/>
  </r>
  <r>
    <s v="07/11/2022"/>
    <s v="07/11/2022"/>
    <s v="ATL WINGS AZ330 PHOENIX AZ"/>
    <n v="19.309999999999999"/>
    <x v="1"/>
    <x v="1"/>
    <x v="7"/>
    <x v="1"/>
    <x v="1"/>
    <n v="6657.7899999999927"/>
  </r>
  <r>
    <s v="07/11/2022"/>
    <s v="07/11/2022"/>
    <s v="CCBILL.COM 888-5969279 AZ"/>
    <n v="3.72"/>
    <x v="2"/>
    <x v="27"/>
    <x v="7"/>
    <x v="1"/>
    <x v="2"/>
    <n v="6661.5099999999929"/>
  </r>
  <r>
    <s v="07/11/2022"/>
    <s v="07/11/2022"/>
    <s v="CCBILL.COM 888-5969279 AZ"/>
    <n v="4.25"/>
    <x v="2"/>
    <x v="27"/>
    <x v="7"/>
    <x v="1"/>
    <x v="2"/>
    <n v="6665.7599999999929"/>
  </r>
  <r>
    <s v="07/11/2022"/>
    <s v="07/11/2022"/>
    <s v="UNLV WEB TIX/FOUNDATION 702-774-9800 NV"/>
    <n v="60.25"/>
    <x v="12"/>
    <x v="64"/>
    <x v="7"/>
    <x v="1"/>
    <x v="2"/>
    <n v="6726.0099999999929"/>
  </r>
  <r>
    <s v="07/12/2022"/>
    <s v="07/12/2022"/>
    <s v="CAVASSON EASTSIDE CAFE SCOTTSDALE AZ"/>
    <n v="13.08"/>
    <x v="1"/>
    <x v="26"/>
    <x v="7"/>
    <x v="1"/>
    <x v="1"/>
    <n v="6739.0899999999929"/>
  </r>
  <r>
    <s v="07/12/2022"/>
    <s v="07/12/2022"/>
    <s v="ONLYFANS.COM 8886880458 IL"/>
    <n v="3.19"/>
    <x v="2"/>
    <x v="27"/>
    <x v="7"/>
    <x v="1"/>
    <x v="2"/>
    <n v="6742.2799999999916"/>
  </r>
  <r>
    <s v="07/12/2022"/>
    <s v="07/12/2022"/>
    <s v="OSCARS TACO SHOP SCOTTSDALE AZ"/>
    <n v="14.37"/>
    <x v="1"/>
    <x v="1"/>
    <x v="7"/>
    <x v="1"/>
    <x v="1"/>
    <n v="6756.6499999999924"/>
  </r>
  <r>
    <s v="07/12/2022"/>
    <s v="07/12/2022"/>
    <s v="SAFEWAY #2651 PHOENIX AZ"/>
    <n v="21.51"/>
    <x v="6"/>
    <x v="11"/>
    <x v="7"/>
    <x v="1"/>
    <x v="1"/>
    <n v="6778.1599999999926"/>
  </r>
  <r>
    <s v="07/13/2022"/>
    <s v="07/13/2022"/>
    <s v="CAVASSON EASTSIDE CAFE SCOTTSDALE AZ"/>
    <n v="11.72"/>
    <x v="1"/>
    <x v="26"/>
    <x v="7"/>
    <x v="1"/>
    <x v="1"/>
    <n v="6789.8799999999928"/>
  </r>
  <r>
    <s v="07/13/2022"/>
    <s v="07/13/2022"/>
    <s v="CCBILL.COM 888-5969279 AZ"/>
    <n v="10.63"/>
    <x v="2"/>
    <x v="27"/>
    <x v="7"/>
    <x v="1"/>
    <x v="2"/>
    <n v="6800.5099999999929"/>
  </r>
  <r>
    <s v="07/14/2022"/>
    <s v="07/14/2022"/>
    <s v="INTERNET PAYMENT - THANK YOU"/>
    <n v="-2600"/>
    <x v="3"/>
    <x v="5"/>
    <x v="7"/>
    <x v="1"/>
    <x v="3"/>
    <n v="4200.5099999999929"/>
  </r>
  <r>
    <s v="07/15/2022"/>
    <s v="07/15/2022"/>
    <s v="APPLE.COM/BILL 866-712-7753 CAAPPLE PAY ENDING IN 4775MMW9WSH40FA0"/>
    <n v="15.89"/>
    <x v="2"/>
    <x v="18"/>
    <x v="7"/>
    <x v="2"/>
    <x v="2"/>
    <n v="4216.3999999999933"/>
  </r>
  <r>
    <s v="07/15/2022"/>
    <s v="07/15/2022"/>
    <s v="ARCO #42370 AMPM LAS VEGAS NV"/>
    <n v="51.44"/>
    <x v="9"/>
    <x v="17"/>
    <x v="7"/>
    <x v="1"/>
    <x v="7"/>
    <n v="4267.8399999999929"/>
  </r>
  <r>
    <s v="07/15/2022"/>
    <s v="07/15/2022"/>
    <s v="ATL WINGS AZ330 PHOENIX AZ"/>
    <n v="20.38"/>
    <x v="1"/>
    <x v="1"/>
    <x v="7"/>
    <x v="1"/>
    <x v="1"/>
    <n v="4288.219999999993"/>
  </r>
  <r>
    <s v="07/15/2022"/>
    <s v="07/15/2022"/>
    <s v="CCBILL.COM 888-5969279 AZ"/>
    <n v="10.63"/>
    <x v="2"/>
    <x v="27"/>
    <x v="7"/>
    <x v="1"/>
    <x v="2"/>
    <n v="4298.8499999999931"/>
  </r>
  <r>
    <s v="07/15/2022"/>
    <s v="07/15/2022"/>
    <s v="EXXONMOBIL WIKIEUP AZ"/>
    <n v="6.98"/>
    <x v="9"/>
    <x v="17"/>
    <x v="7"/>
    <x v="1"/>
    <x v="7"/>
    <n v="4305.8299999999927"/>
  </r>
  <r>
    <s v="07/15/2022"/>
    <s v="07/15/2022"/>
    <s v="EXXONMOBIL WIKIEUP AZ"/>
    <n v="10"/>
    <x v="9"/>
    <x v="17"/>
    <x v="7"/>
    <x v="1"/>
    <x v="7"/>
    <n v="4315.8299999999927"/>
  </r>
  <r>
    <s v="07/15/2022"/>
    <s v="07/15/2022"/>
    <s v="GOOGLE *PLAY G.CO/HELPPAY#CAP0KBBJXS"/>
    <n v="50.23"/>
    <x v="4"/>
    <x v="31"/>
    <x v="7"/>
    <x v="1"/>
    <x v="6"/>
    <n v="4366.0599999999922"/>
  </r>
  <r>
    <s v="07/15/2022"/>
    <s v="07/15/2022"/>
    <s v="GOOGLE *PLAY G.CO/HELPPAY#CAP0KBD5U1"/>
    <n v="59.35"/>
    <x v="4"/>
    <x v="31"/>
    <x v="7"/>
    <x v="1"/>
    <x v="6"/>
    <n v="4425.4099999999926"/>
  </r>
  <r>
    <s v="07/15/2022"/>
    <s v="07/15/2022"/>
    <s v="QT 468 YOUNGTOWN AZ0046801HXZ25Q9H"/>
    <n v="42.71"/>
    <x v="9"/>
    <x v="17"/>
    <x v="7"/>
    <x v="1"/>
    <x v="7"/>
    <n v="4468.1199999999926"/>
  </r>
  <r>
    <s v="07/15/2022"/>
    <s v="07/15/2022"/>
    <s v="ROKU FOR VIKI INC 8162728107 DE"/>
    <n v="10.85"/>
    <x v="4"/>
    <x v="66"/>
    <x v="7"/>
    <x v="2"/>
    <x v="2"/>
    <n v="4478.969999999993"/>
  </r>
  <r>
    <s v="07/16/2022"/>
    <s v="07/16/2022"/>
    <s v="UNLV TMC MERCHANDISE LAS VEGAS NV"/>
    <n v="40"/>
    <x v="12"/>
    <x v="43"/>
    <x v="7"/>
    <x v="1"/>
    <x v="6"/>
    <n v="4518.969999999993"/>
  </r>
  <r>
    <s v="07/16/2022"/>
    <s v="07/16/2022"/>
    <s v="ROSS STORES #1341 LAS VEGAS NV"/>
    <n v="28.16"/>
    <x v="2"/>
    <x v="43"/>
    <x v="7"/>
    <x v="1"/>
    <x v="6"/>
    <n v="4547.1299999999928"/>
  </r>
  <r>
    <s v="07/16/2022"/>
    <s v="07/16/2022"/>
    <s v="QUINTEVENTS 7049262700 NC"/>
    <n v="79"/>
    <x v="4"/>
    <x v="64"/>
    <x v="7"/>
    <x v="1"/>
    <x v="2"/>
    <n v="4626.1299999999928"/>
  </r>
  <r>
    <s v="07/16/2022"/>
    <s v="07/16/2022"/>
    <s v="PARKINGCOM 8444727577 IL"/>
    <n v="1.35"/>
    <x v="4"/>
    <x v="47"/>
    <x v="7"/>
    <x v="1"/>
    <x v="7"/>
    <n v="4627.4799999999932"/>
  </r>
  <r>
    <s v="07/16/2022"/>
    <s v="07/16/2022"/>
    <s v="H&amp;M0143 LAS VEGAS NV"/>
    <n v="17.55"/>
    <x v="2"/>
    <x v="43"/>
    <x v="7"/>
    <x v="1"/>
    <x v="6"/>
    <n v="4645.0299999999934"/>
  </r>
  <r>
    <s v="07/16/2022"/>
    <s v="07/16/2022"/>
    <s v="FOOT LOCKER - 08804 LAS VEGAS NV"/>
    <n v="32.5"/>
    <x v="2"/>
    <x v="43"/>
    <x v="7"/>
    <x v="1"/>
    <x v="6"/>
    <n v="4677.5299999999934"/>
  </r>
  <r>
    <s v="07/16/2022"/>
    <s v="07/16/2022"/>
    <s v="CCBILL.COM 888-5969279 AZ"/>
    <n v="10.62"/>
    <x v="2"/>
    <x v="27"/>
    <x v="7"/>
    <x v="1"/>
    <x v="2"/>
    <n v="4688.1499999999933"/>
  </r>
  <r>
    <s v="07/16/2022"/>
    <s v="07/16/2022"/>
    <s v="06654 - SHOWCASE MALL G LAS VEGAS NV"/>
    <n v="20"/>
    <x v="4"/>
    <x v="47"/>
    <x v="7"/>
    <x v="1"/>
    <x v="7"/>
    <n v="4708.1499999999933"/>
  </r>
  <r>
    <s v="07/16/2022"/>
    <s v="07/16/2022"/>
    <s v="HUDSON-DUNKIN ST1599 LAS VEGAS NV"/>
    <n v="11.77"/>
    <x v="2"/>
    <x v="1"/>
    <x v="7"/>
    <x v="1"/>
    <x v="1"/>
    <n v="4719.9199999999937"/>
  </r>
  <r>
    <s v="07/17/2022"/>
    <s v="07/17/2022"/>
    <s v="SHELL12675958008 WHITE HILLS AZ"/>
    <n v="26.15"/>
    <x v="9"/>
    <x v="17"/>
    <x v="7"/>
    <x v="1"/>
    <x v="7"/>
    <n v="4746.0699999999933"/>
  </r>
  <r>
    <s v="07/17/2022"/>
    <s v="07/17/2022"/>
    <s v="CCBILL.COM 888-5969279 AZ"/>
    <n v="10.63"/>
    <x v="2"/>
    <x v="27"/>
    <x v="7"/>
    <x v="1"/>
    <x v="2"/>
    <n v="4756.6999999999935"/>
  </r>
  <r>
    <s v="07/17/2022"/>
    <s v="07/17/2022"/>
    <s v="HOOVER DAM 7024942517 NV"/>
    <n v="10"/>
    <x v="7"/>
    <x v="75"/>
    <x v="7"/>
    <x v="1"/>
    <x v="2"/>
    <n v="4766.6999999999935"/>
  </r>
  <r>
    <s v="07/17/2022"/>
    <s v="07/17/2022"/>
    <s v="HOOVER DAM 7024942517 NV"/>
    <n v="30"/>
    <x v="7"/>
    <x v="75"/>
    <x v="7"/>
    <x v="1"/>
    <x v="2"/>
    <n v="4796.6999999999935"/>
  </r>
  <r>
    <s v="07/17/2022"/>
    <s v="07/17/2022"/>
    <s v="HOOVER DAM CAFE BOULDER CITY NV"/>
    <n v="21.22"/>
    <x v="1"/>
    <x v="75"/>
    <x v="7"/>
    <x v="1"/>
    <x v="2"/>
    <n v="4817.9199999999937"/>
  </r>
  <r>
    <s v="07/17/2022"/>
    <s v="07/17/2022"/>
    <s v="NAYAX VENDING 14 HUNT VALLEY MD"/>
    <n v="5.0999999999999996"/>
    <x v="1"/>
    <x v="76"/>
    <x v="7"/>
    <x v="1"/>
    <x v="8"/>
    <n v="4823.0199999999941"/>
  </r>
  <r>
    <s v="07/17/2022"/>
    <s v="07/17/2022"/>
    <s v="PIZZA FORTE LAS VEGAS NV"/>
    <n v="18.260000000000002"/>
    <x v="1"/>
    <x v="1"/>
    <x v="7"/>
    <x v="1"/>
    <x v="1"/>
    <n v="4841.2799999999943"/>
  </r>
  <r>
    <s v="07/17/2022"/>
    <s v="07/17/2022"/>
    <s v="SHELL12675958008 WHITE HILLS AZ"/>
    <n v="5.38"/>
    <x v="9"/>
    <x v="17"/>
    <x v="7"/>
    <x v="1"/>
    <x v="7"/>
    <n v="4846.6599999999944"/>
  </r>
  <r>
    <s v="07/17/2022"/>
    <s v="07/17/2022"/>
    <s v="TMOBILE*AUTO PAY 800-937-8997 WAITEM TRANSFERRED FROM PREV ACCOUNT"/>
    <n v="70"/>
    <x v="2"/>
    <x v="21"/>
    <x v="7"/>
    <x v="1"/>
    <x v="4"/>
    <n v="4916.6599999999944"/>
  </r>
  <r>
    <s v="07/18/2022"/>
    <s v="07/18/2022"/>
    <s v="WARBY PARKER 8884927297 NYITEM TRANSFERRED FROM PREV ACCOUNT"/>
    <n v="415"/>
    <x v="2"/>
    <x v="47"/>
    <x v="7"/>
    <x v="1"/>
    <x v="7"/>
    <n v="5331.6599999999944"/>
  </r>
  <r>
    <s v="07/18/2022"/>
    <s v="07/18/2022"/>
    <s v="APPLE.COM/BILL 111-111-1111 CAAPPLE PAY ENDING IN 4775"/>
    <n v="5.29"/>
    <x v="2"/>
    <x v="23"/>
    <x v="7"/>
    <x v="2"/>
    <x v="2"/>
    <n v="5336.9499999999944"/>
  </r>
  <r>
    <s v="07/19/2022"/>
    <s v="07/19/2022"/>
    <s v="5GUYS 0567 QSR PHOENIX AZ"/>
    <n v="16.8"/>
    <x v="1"/>
    <x v="1"/>
    <x v="7"/>
    <x v="1"/>
    <x v="1"/>
    <n v="5353.7499999999955"/>
  </r>
  <r>
    <s v="07/19/2022"/>
    <s v="07/19/2022"/>
    <s v="TARGET 00009506091 PHOENIX AZAPPLE PAY ENDING IN 4775"/>
    <n v="5.18"/>
    <x v="6"/>
    <x v="22"/>
    <x v="7"/>
    <x v="1"/>
    <x v="6"/>
    <n v="5358.9299999999948"/>
  </r>
  <r>
    <s v="07/19/2022"/>
    <s v="07/19/2022"/>
    <s v="THE HOME DEPOT #0477 PHOENIX AZ"/>
    <n v="38.1"/>
    <x v="14"/>
    <x v="77"/>
    <x v="7"/>
    <x v="1"/>
    <x v="11"/>
    <n v="5397.0299999999952"/>
  </r>
  <r>
    <s v="07/20/2022"/>
    <s v="07/20/2022"/>
    <s v="AMC 0190 DESERT RIDGE PHOENIX AZ"/>
    <n v="14.67"/>
    <x v="7"/>
    <x v="40"/>
    <x v="7"/>
    <x v="1"/>
    <x v="2"/>
    <n v="5411.6999999999953"/>
  </r>
  <r>
    <s v="07/20/2022"/>
    <s v="07/20/2022"/>
    <s v="ARIZONA DIAMONDBACKS PHOENIX AZ02099R"/>
    <n v="87"/>
    <x v="7"/>
    <x v="59"/>
    <x v="7"/>
    <x v="1"/>
    <x v="2"/>
    <n v="5498.6999999999953"/>
  </r>
  <r>
    <s v="07/20/2022"/>
    <s v="07/20/2022"/>
    <s v="CCBILL.COM 888-5969279 AZ"/>
    <n v="15.95"/>
    <x v="2"/>
    <x v="27"/>
    <x v="7"/>
    <x v="1"/>
    <x v="2"/>
    <n v="5514.6499999999951"/>
  </r>
  <r>
    <s v="07/20/2022"/>
    <s v="07/20/2022"/>
    <s v="FAMOUS FOOTWEAR #3150 PHOENIX AZ"/>
    <n v="54.28"/>
    <x v="2"/>
    <x v="43"/>
    <x v="7"/>
    <x v="1"/>
    <x v="6"/>
    <n v="5568.9299999999948"/>
  </r>
  <r>
    <s v="07/20/2022"/>
    <s v="07/20/2022"/>
    <s v="FOOD CITY #140 PHOENIX AZ"/>
    <n v="32.21"/>
    <x v="6"/>
    <x v="11"/>
    <x v="7"/>
    <x v="1"/>
    <x v="1"/>
    <n v="5601.1399999999949"/>
  </r>
  <r>
    <s v="07/20/2022"/>
    <s v="07/20/2022"/>
    <s v="SQ *BOSA DONUTS PHOENIX AZ0001152921511664935285"/>
    <n v="11.02"/>
    <x v="2"/>
    <x v="1"/>
    <x v="7"/>
    <x v="1"/>
    <x v="1"/>
    <n v="5612.1599999999953"/>
  </r>
  <r>
    <s v="07/20/2022"/>
    <s v="07/20/2022"/>
    <s v="THE VAN BUREN PHOENIX AZ"/>
    <n v="35"/>
    <x v="1"/>
    <x v="46"/>
    <x v="7"/>
    <x v="1"/>
    <x v="2"/>
    <n v="5647.1599999999953"/>
  </r>
  <r>
    <s v="07/20/2022"/>
    <s v="07/20/2022"/>
    <s v="TST* SUPERSTITION MEADER PHOENIX AZ"/>
    <n v="32.06"/>
    <x v="1"/>
    <x v="2"/>
    <x v="7"/>
    <x v="1"/>
    <x v="1"/>
    <n v="5679.2199999999957"/>
  </r>
  <r>
    <s v="07/21/2022"/>
    <s v="07/21/2022"/>
    <s v="THE VAN BUREN PHOENIX AZ"/>
    <n v="26"/>
    <x v="1"/>
    <x v="46"/>
    <x v="7"/>
    <x v="1"/>
    <x v="2"/>
    <n v="5705.2199999999957"/>
  </r>
  <r>
    <s v="07/21/2022"/>
    <s v="07/21/2022"/>
    <s v="THE VAN BUREN 602-253-0370 AZARZB507F35-32881"/>
    <n v="80"/>
    <x v="7"/>
    <x v="46"/>
    <x v="7"/>
    <x v="1"/>
    <x v="2"/>
    <n v="5785.2199999999957"/>
  </r>
  <r>
    <s v="07/21/2022"/>
    <s v="07/21/2022"/>
    <s v="TACO BELL #32737 PHOENIX AZ"/>
    <n v="9"/>
    <x v="1"/>
    <x v="1"/>
    <x v="7"/>
    <x v="1"/>
    <x v="1"/>
    <n v="5794.2199999999957"/>
  </r>
  <r>
    <s v="07/21/2022"/>
    <s v="07/21/2022"/>
    <s v="AMZN MKTP US*SL3O72I03 AMZN.COM/BILLWA4ULJ8ELKYZT"/>
    <n v="5.41"/>
    <x v="2"/>
    <x v="13"/>
    <x v="7"/>
    <x v="1"/>
    <x v="6"/>
    <n v="5799.6299999999956"/>
  </r>
  <r>
    <s v="07/21/2022"/>
    <s v="07/21/2022"/>
    <s v="SPIN MOBILITY SPIN.APP CAAPPLE PAY ENDING IN 4775"/>
    <n v="5.12"/>
    <x v="7"/>
    <x v="25"/>
    <x v="7"/>
    <x v="1"/>
    <x v="7"/>
    <n v="5804.7499999999955"/>
  </r>
  <r>
    <s v="07/21/2022"/>
    <s v="07/21/2022"/>
    <s v="SPIN MOBILITY SPIN.APP CAAPPLE PAY ENDING IN 4775"/>
    <n v="3.84"/>
    <x v="7"/>
    <x v="25"/>
    <x v="7"/>
    <x v="1"/>
    <x v="7"/>
    <n v="5808.5899999999956"/>
  </r>
  <r>
    <s v="07/21/2022"/>
    <s v="07/21/2022"/>
    <s v="SQ *POKITRITION - SUSH PHOENIX AZ0002305843015997224135"/>
    <n v="36.32"/>
    <x v="1"/>
    <x v="1"/>
    <x v="7"/>
    <x v="1"/>
    <x v="1"/>
    <n v="5844.9099999999953"/>
  </r>
  <r>
    <s v="07/22/2022"/>
    <s v="07/22/2022"/>
    <s v="CIRCLE K # 03447 PHOENIX AZ02293R"/>
    <n v="9"/>
    <x v="9"/>
    <x v="17"/>
    <x v="7"/>
    <x v="1"/>
    <x v="7"/>
    <n v="5853.9099999999953"/>
  </r>
  <r>
    <s v="07/22/2022"/>
    <s v="07/22/2022"/>
    <s v="SIZZLE KOREAN BBQ PHOENIX AZ"/>
    <n v="140"/>
    <x v="1"/>
    <x v="2"/>
    <x v="7"/>
    <x v="1"/>
    <x v="1"/>
    <n v="5993.9099999999953"/>
  </r>
  <r>
    <s v="07/22/2022"/>
    <s v="07/22/2022"/>
    <s v="TARGET 00032615091 PHOENIX AZAPPLE PAY ENDING IN 4775"/>
    <n v="54.01"/>
    <x v="2"/>
    <x v="22"/>
    <x v="7"/>
    <x v="1"/>
    <x v="6"/>
    <n v="6047.9199999999964"/>
  </r>
  <r>
    <s v="07/22/2022"/>
    <s v="07/22/2022"/>
    <s v="THE HOME DEPOT #0477 PHOENIX AZ"/>
    <n v="11.36"/>
    <x v="14"/>
    <x v="77"/>
    <x v="7"/>
    <x v="1"/>
    <x v="11"/>
    <n v="6059.2799999999952"/>
  </r>
  <r>
    <s v="07/23/2022"/>
    <s v="07/23/2022"/>
    <s v="PIZZERIA BIANCO PHOENIX AZ"/>
    <n v="26"/>
    <x v="1"/>
    <x v="2"/>
    <x v="7"/>
    <x v="1"/>
    <x v="1"/>
    <n v="6085.2799999999952"/>
  </r>
  <r>
    <s v="07/23/2022"/>
    <s v="07/23/2022"/>
    <s v="CCBILL.COM 888-5969279 AZ"/>
    <n v="10.62"/>
    <x v="2"/>
    <x v="27"/>
    <x v="7"/>
    <x v="1"/>
    <x v="2"/>
    <n v="6095.8999999999951"/>
  </r>
  <r>
    <s v="07/23/2022"/>
    <s v="07/23/2022"/>
    <s v="PIZZERIA BIANCO PHOENIX AZ"/>
    <n v="46.07"/>
    <x v="1"/>
    <x v="2"/>
    <x v="7"/>
    <x v="1"/>
    <x v="1"/>
    <n v="6141.9699999999948"/>
  </r>
  <r>
    <s v="07/23/2022"/>
    <s v="07/23/2022"/>
    <s v="CCBILL.COM 888-5969279 AZ"/>
    <n v="7.43"/>
    <x v="2"/>
    <x v="27"/>
    <x v="7"/>
    <x v="1"/>
    <x v="2"/>
    <n v="6149.3999999999951"/>
  </r>
  <r>
    <s v="07/23/2022"/>
    <s v="07/23/2022"/>
    <s v="AMAZON.COM*501C142X3 AMZN.COM/BILLWA2Y07L77CYUI"/>
    <n v="17.96"/>
    <x v="2"/>
    <x v="13"/>
    <x v="7"/>
    <x v="1"/>
    <x v="6"/>
    <n v="6167.3599999999951"/>
  </r>
  <r>
    <s v="07/23/2022"/>
    <s v="07/23/2022"/>
    <s v="CCBILL.COM 888-5969279 AZ"/>
    <n v="10.62"/>
    <x v="2"/>
    <x v="27"/>
    <x v="7"/>
    <x v="1"/>
    <x v="2"/>
    <n v="6177.979999999995"/>
  </r>
  <r>
    <s v="07/24/2022"/>
    <s v="07/24/2022"/>
    <s v="CCBILL.COM 888-5969279 AZ"/>
    <n v="5.3"/>
    <x v="2"/>
    <x v="27"/>
    <x v="7"/>
    <x v="1"/>
    <x v="2"/>
    <n v="6183.2799999999952"/>
  </r>
  <r>
    <s v="07/24/2022"/>
    <s v="07/24/2022"/>
    <s v="CCBILL.COM 888-5969279 AZ"/>
    <n v="10.63"/>
    <x v="2"/>
    <x v="27"/>
    <x v="7"/>
    <x v="1"/>
    <x v="2"/>
    <n v="6193.9099999999953"/>
  </r>
  <r>
    <s v="07/25/2022"/>
    <s v="07/25/2022"/>
    <s v="JIMMY JOHNS - 2500 PHOENIX AZ"/>
    <n v="14.19"/>
    <x v="1"/>
    <x v="1"/>
    <x v="7"/>
    <x v="1"/>
    <x v="1"/>
    <n v="6208.0999999999949"/>
  </r>
  <r>
    <s v="07/26/2022"/>
    <s v="07/26/2022"/>
    <s v="CCBILL.COM 888-5969279 AZ"/>
    <n v="6.22"/>
    <x v="2"/>
    <x v="27"/>
    <x v="7"/>
    <x v="1"/>
    <x v="2"/>
    <n v="6214.3199999999952"/>
  </r>
  <r>
    <s v="07/26/2022"/>
    <s v="07/26/2022"/>
    <s v="CCBILL.COM 888-5969279 AZ"/>
    <n v="6.38"/>
    <x v="2"/>
    <x v="27"/>
    <x v="7"/>
    <x v="1"/>
    <x v="2"/>
    <n v="6220.6999999999953"/>
  </r>
  <r>
    <s v="07/26/2022"/>
    <s v="07/26/2022"/>
    <s v="CCBILL.COM 888-5969279 AZ"/>
    <n v="15.95"/>
    <x v="2"/>
    <x v="27"/>
    <x v="7"/>
    <x v="1"/>
    <x v="2"/>
    <n v="6236.6499999999951"/>
  </r>
  <r>
    <s v="07/26/2022"/>
    <s v="07/26/2022"/>
    <s v="CIRCLE K 00114 PHOENIX AZ02619R"/>
    <n v="2"/>
    <x v="9"/>
    <x v="17"/>
    <x v="7"/>
    <x v="1"/>
    <x v="7"/>
    <n v="6238.6499999999951"/>
  </r>
  <r>
    <s v="07/26/2022"/>
    <s v="07/26/2022"/>
    <s v="OREGANOS 1028 SCOTTSDALE AZ"/>
    <n v="40"/>
    <x v="1"/>
    <x v="2"/>
    <x v="7"/>
    <x v="1"/>
    <x v="1"/>
    <n v="6278.6499999999951"/>
  </r>
  <r>
    <s v="07/26/2022"/>
    <s v="07/26/2022"/>
    <s v="TST* FAIR TRADE CAFE PHOENIX AZ00010466007933128311AA"/>
    <n v="20.14"/>
    <x v="1"/>
    <x v="1"/>
    <x v="7"/>
    <x v="1"/>
    <x v="1"/>
    <n v="6298.7899999999954"/>
  </r>
  <r>
    <s v="07/27/2022"/>
    <s v="07/27/2022"/>
    <s v="APPLE.COM/BILL 866-712-7753 CAAPPLE PAY ENDING IN 4775MMWB0VJN33A0"/>
    <n v="3.17"/>
    <x v="2"/>
    <x v="67"/>
    <x v="7"/>
    <x v="2"/>
    <x v="2"/>
    <n v="6301.9599999999946"/>
  </r>
  <r>
    <s v="07/27/2022"/>
    <s v="07/27/2022"/>
    <s v="COBBLESTONE AUTO SPA 51 PHOENIX AZ"/>
    <n v="21"/>
    <x v="5"/>
    <x v="8"/>
    <x v="7"/>
    <x v="1"/>
    <x v="4"/>
    <n v="6322.9599999999946"/>
  </r>
  <r>
    <s v="07/27/2022"/>
    <s v="07/27/2022"/>
    <s v="CVS/PHARMACY #08366 PHOENIX AZAPPLE PAY ENDING IN 4775"/>
    <n v="17.14"/>
    <x v="2"/>
    <x v="15"/>
    <x v="7"/>
    <x v="1"/>
    <x v="6"/>
    <n v="6340.0999999999958"/>
  </r>
  <r>
    <s v="07/28/2022"/>
    <s v="07/28/2022"/>
    <s v="AKCHIN PAVILION AMPHI PHOENIX AZ"/>
    <n v="28.66"/>
    <x v="1"/>
    <x v="46"/>
    <x v="7"/>
    <x v="1"/>
    <x v="2"/>
    <n v="6368.7599999999957"/>
  </r>
  <r>
    <s v="07/29/2022"/>
    <s v="07/29/2022"/>
    <s v="AKCHIN PAVILION AMPHI PHOENIX AZ"/>
    <n v="7.6"/>
    <x v="1"/>
    <x v="46"/>
    <x v="7"/>
    <x v="1"/>
    <x v="2"/>
    <n v="6376.359999999996"/>
  </r>
  <r>
    <s v="07/29/2022"/>
    <s v="07/29/2022"/>
    <s v="INTERNET PAYMENT - THANK YOU"/>
    <n v="-1000"/>
    <x v="3"/>
    <x v="5"/>
    <x v="7"/>
    <x v="1"/>
    <x v="3"/>
    <n v="5376.359999999996"/>
  </r>
  <r>
    <s v="07/29/2022"/>
    <s v="07/29/2022"/>
    <s v="TWO HIPPIES BEACH HOUSE PHOENIX AZ"/>
    <n v="27.9"/>
    <x v="1"/>
    <x v="1"/>
    <x v="7"/>
    <x v="1"/>
    <x v="1"/>
    <n v="5404.2599999999957"/>
  </r>
  <r>
    <s v="07/30/2022"/>
    <s v="07/30/2022"/>
    <s v="SHELL57441826203 PHOENIX AZ"/>
    <n v="20"/>
    <x v="9"/>
    <x v="17"/>
    <x v="7"/>
    <x v="1"/>
    <x v="7"/>
    <n v="5424.2599999999957"/>
  </r>
  <r>
    <s v="07/30/2022"/>
    <s v="07/30/2022"/>
    <s v="WALGREENS #3768 TEMPE AZ"/>
    <n v="40.67"/>
    <x v="2"/>
    <x v="15"/>
    <x v="7"/>
    <x v="1"/>
    <x v="6"/>
    <n v="5464.9299999999957"/>
  </r>
  <r>
    <s v="07/30/2022"/>
    <s v="07/30/2022"/>
    <s v="YAHOO *FINANCE PLUS 800-277-3818 VAITEM TRANSFERRED FROM PREV ACCOUNT"/>
    <n v="37.1"/>
    <x v="2"/>
    <x v="60"/>
    <x v="7"/>
    <x v="1"/>
    <x v="6"/>
    <n v="5502.0299999999961"/>
  </r>
  <r>
    <s v="07/31/2022"/>
    <s v="07/31/2022"/>
    <s v="CASHBACK BONUS REDEMPTION PYMT/STMT CRDT"/>
    <n v="-81.42"/>
    <x v="8"/>
    <x v="16"/>
    <x v="7"/>
    <x v="1"/>
    <x v="3"/>
    <n v="5420.609999999996"/>
  </r>
  <r>
    <s v="07/31/2022"/>
    <s v="07/31/2022"/>
    <s v="FRYS-FOOD-DRG #046 PHOENIX AZ"/>
    <n v="12.62"/>
    <x v="6"/>
    <x v="11"/>
    <x v="7"/>
    <x v="1"/>
    <x v="1"/>
    <n v="5433.2299999999959"/>
  </r>
  <r>
    <s v="07/31/2022"/>
    <s v="07/31/2022"/>
    <s v="IC* INSTACART 8882467822 CAAPPLE PAY ENDING IN 4775"/>
    <n v="21.56"/>
    <x v="6"/>
    <x v="11"/>
    <x v="7"/>
    <x v="1"/>
    <x v="1"/>
    <n v="5454.7899999999963"/>
  </r>
  <r>
    <s v="07/31/2022"/>
    <s v="07/31/2022"/>
    <s v="INTERNET PAYMENT - THANK YOU"/>
    <n v="-5258.68"/>
    <x v="3"/>
    <x v="5"/>
    <x v="7"/>
    <x v="1"/>
    <x v="3"/>
    <n v="196.10999999999601"/>
  </r>
  <r>
    <s v="07/31/2022"/>
    <s v="07/31/2022"/>
    <s v="SAFEWAY #2651 PHOENIX AZ"/>
    <n v="44.5"/>
    <x v="6"/>
    <x v="11"/>
    <x v="7"/>
    <x v="1"/>
    <x v="1"/>
    <n v="240.60999999999601"/>
  </r>
  <r>
    <s v="07/31/2022"/>
    <s v="08/03/2022"/>
    <s v="CCBILL.COM 888-5969279 AZ"/>
    <n v="12.02"/>
    <x v="2"/>
    <x v="27"/>
    <x v="7"/>
    <x v="1"/>
    <x v="2"/>
    <n v="252.62999999999599"/>
  </r>
  <r>
    <s v="08/01/2022"/>
    <s v="08/03/2022"/>
    <s v="SPOTIFY P1CE42EB67 8777781161 NYITEM TRANSFERRED FROM PREV ACCOUNT"/>
    <n v="9.99"/>
    <x v="2"/>
    <x v="4"/>
    <x v="8"/>
    <x v="2"/>
    <x v="2"/>
    <n v="262.61999999999603"/>
  </r>
  <r>
    <s v="08/01/2022"/>
    <s v="08/03/2022"/>
    <s v="PLANNED PARENTHOOD ACTIO NEW YORK NY"/>
    <n v="25"/>
    <x v="4"/>
    <x v="72"/>
    <x v="8"/>
    <x v="2"/>
    <x v="6"/>
    <n v="287.61999999999603"/>
  </r>
  <r>
    <s v="08/01/2022"/>
    <s v="08/03/2022"/>
    <s v="NETFLIX.COM NETFLIX.COM CAITEM TRANSFERRED FROM PREV ACCOUNT"/>
    <n v="10.59"/>
    <x v="2"/>
    <x v="3"/>
    <x v="8"/>
    <x v="2"/>
    <x v="2"/>
    <n v="298.209999999996"/>
  </r>
  <r>
    <s v="08/01/2022"/>
    <s v="08/03/2022"/>
    <s v="MICHAELS STORES 9848 PHOENIX AZ9848000422262208011154"/>
    <n v="39.79"/>
    <x v="2"/>
    <x v="78"/>
    <x v="8"/>
    <x v="1"/>
    <x v="8"/>
    <n v="337.99999999999602"/>
  </r>
  <r>
    <s v="08/01/2022"/>
    <s v="08/03/2022"/>
    <s v="CLEAN FREAK - THOMAS PHOENIX AZ"/>
    <n v="20"/>
    <x v="5"/>
    <x v="8"/>
    <x v="8"/>
    <x v="1"/>
    <x v="4"/>
    <n v="357.99999999999602"/>
  </r>
  <r>
    <s v="08/01/2022"/>
    <s v="08/01/2022"/>
    <s v="AMZN MKTP US*1U8XJ92X3 AMZN.COM/BILLWA4DQYL6QKEAP"/>
    <n v="19.54"/>
    <x v="2"/>
    <x v="13"/>
    <x v="8"/>
    <x v="1"/>
    <x v="6"/>
    <n v="377.53999999999598"/>
  </r>
  <r>
    <s v="08/02/2022"/>
    <s v="08/02/2022"/>
    <s v="INTEREST CHARGE ON PURCHASES"/>
    <n v="61.69"/>
    <x v="13"/>
    <x v="63"/>
    <x v="8"/>
    <x v="1"/>
    <x v="3"/>
    <n v="439.22999999999598"/>
  </r>
  <r>
    <s v="08/02/2022"/>
    <s v="08/03/2022"/>
    <s v="AMZN MKTP US*178R51N10 AMZN.COM/BILLWAGNNQQ6106KT"/>
    <n v="32.56"/>
    <x v="2"/>
    <x v="13"/>
    <x v="8"/>
    <x v="1"/>
    <x v="6"/>
    <n v="471.78999999999598"/>
  </r>
  <r>
    <s v="08/02/2022"/>
    <s v="08/03/2022"/>
    <s v="KRYSTAL AND SAAGAR 2025317527 DCITEM TRANSFERRED FROM PREV ACCOUNT"/>
    <n v="10"/>
    <x v="2"/>
    <x v="6"/>
    <x v="8"/>
    <x v="2"/>
    <x v="2"/>
    <n v="481.78999999999598"/>
  </r>
  <r>
    <s v="08/03/2022"/>
    <s v="08/03/2022"/>
    <s v="1XDATASPELL SAN MATEO CA"/>
    <n v="96.65"/>
    <x v="2"/>
    <x v="60"/>
    <x v="8"/>
    <x v="1"/>
    <x v="6"/>
    <n v="578.43999999999608"/>
  </r>
  <r>
    <s v="08/03/2022"/>
    <s v="08/03/2022"/>
    <s v="CASHBACK BONUS REDEMPTION PYMT/STMT CRDT"/>
    <n v="-53.05"/>
    <x v="8"/>
    <x v="16"/>
    <x v="8"/>
    <x v="1"/>
    <x v="3"/>
    <n v="525.38999999999612"/>
  </r>
  <r>
    <s v="08/03/2022"/>
    <s v="08/03/2022"/>
    <s v="CCBILL.COM 888-5969279 AZ"/>
    <n v="12.65"/>
    <x v="2"/>
    <x v="27"/>
    <x v="8"/>
    <x v="1"/>
    <x v="2"/>
    <n v="538.0399999999961"/>
  </r>
  <r>
    <s v="08/03/2022"/>
    <s v="08/03/2022"/>
    <s v="INTERNET PAYMENT - THANK YOU"/>
    <n v="-268.79000000000002"/>
    <x v="3"/>
    <x v="5"/>
    <x v="8"/>
    <x v="1"/>
    <x v="3"/>
    <n v="269.24999999999608"/>
  </r>
  <r>
    <s v="08/03/2022"/>
    <s v="08/03/2022"/>
    <s v="STATE FARM INSURANCE 800-956-6310 ILITEM TRANSFERRED FROM PREV ACCOUNT"/>
    <n v="79.66"/>
    <x v="2"/>
    <x v="9"/>
    <x v="8"/>
    <x v="2"/>
    <x v="5"/>
    <n v="348.9099999999961"/>
  </r>
  <r>
    <s v="08/04/2022"/>
    <s v="08/04/2022"/>
    <s v="TARGET 00009506091 PHOENIX AZ"/>
    <n v="14.96"/>
    <x v="6"/>
    <x v="22"/>
    <x v="8"/>
    <x v="1"/>
    <x v="6"/>
    <n v="363.86999999999608"/>
  </r>
  <r>
    <s v="08/05/2022"/>
    <s v="08/05/2022"/>
    <s v="TARGET 00032615091 PHOENIX AZ"/>
    <n v="55.34"/>
    <x v="2"/>
    <x v="22"/>
    <x v="8"/>
    <x v="1"/>
    <x v="6"/>
    <n v="419.20999999999611"/>
  </r>
  <r>
    <s v="08/05/2022"/>
    <s v="08/05/2022"/>
    <s v="UBER PASS 866-576-1039 CA"/>
    <n v="9.99"/>
    <x v="7"/>
    <x v="25"/>
    <x v="8"/>
    <x v="1"/>
    <x v="7"/>
    <n v="429.19999999999612"/>
  </r>
  <r>
    <s v="08/05/2022"/>
    <s v="08/05/2022"/>
    <s v="SAFEWAY #2651 PHOENIX AZ"/>
    <n v="28.21"/>
    <x v="6"/>
    <x v="11"/>
    <x v="8"/>
    <x v="1"/>
    <x v="1"/>
    <n v="457.40999999999599"/>
  </r>
  <r>
    <s v="08/06/2022"/>
    <s v="08/06/2022"/>
    <s v="PAR*FOGO SCOTTSDALE SCOTTSDALE AZ"/>
    <n v="104.4"/>
    <x v="1"/>
    <x v="2"/>
    <x v="8"/>
    <x v="1"/>
    <x v="1"/>
    <n v="561.80999999999608"/>
  </r>
  <r>
    <s v="08/07/2022"/>
    <s v="08/07/2022"/>
    <s v="GUANAQUITO RESTAURANT PHOENIX AZ"/>
    <n v="32.479999999999997"/>
    <x v="1"/>
    <x v="1"/>
    <x v="8"/>
    <x v="1"/>
    <x v="1"/>
    <n v="594.2899999999961"/>
  </r>
  <r>
    <s v="08/08/2022"/>
    <s v="08/08/2022"/>
    <s v="SCOTTSDALE QTR CIN 292 SCOTTSDALE AZ"/>
    <n v="8"/>
    <x v="7"/>
    <x v="17"/>
    <x v="8"/>
    <x v="1"/>
    <x v="7"/>
    <n v="602.2899999999961"/>
  </r>
  <r>
    <s v="08/08/2022"/>
    <s v="08/08/2022"/>
    <s v="SCOTTSDALE QTR CIN 292 SCOTTSDALE AZ"/>
    <n v="14.05"/>
    <x v="7"/>
    <x v="17"/>
    <x v="8"/>
    <x v="1"/>
    <x v="7"/>
    <n v="616.33999999999605"/>
  </r>
  <r>
    <s v="08/08/2022"/>
    <s v="08/08/2022"/>
    <s v="TAKE 5 #667 PHOENIX AZ"/>
    <n v="110.33"/>
    <x v="5"/>
    <x v="8"/>
    <x v="8"/>
    <x v="1"/>
    <x v="4"/>
    <n v="726.66999999999609"/>
  </r>
  <r>
    <s v="08/08/2022"/>
    <s v="08/08/2022"/>
    <s v="TWO HIPPIES BEACH HOUSE PHOENIX AZ"/>
    <n v="24.26"/>
    <x v="1"/>
    <x v="1"/>
    <x v="8"/>
    <x v="1"/>
    <x v="1"/>
    <n v="750.92999999999608"/>
  </r>
  <r>
    <s v="08/08/2022"/>
    <s v="08/08/2022"/>
    <s v="WALGREENS #5893 PHOENIX AZ"/>
    <n v="4.3600000000000003"/>
    <x v="2"/>
    <x v="15"/>
    <x v="8"/>
    <x v="1"/>
    <x v="6"/>
    <n v="755.2899999999961"/>
  </r>
  <r>
    <s v="08/09/2022"/>
    <s v="08/09/2022"/>
    <s v="BONOBOS 1-877-294-7737 SCOTTSDALE AZ"/>
    <n v="106.07"/>
    <x v="2"/>
    <x v="43"/>
    <x v="8"/>
    <x v="1"/>
    <x v="6"/>
    <n v="861.35999999999603"/>
  </r>
  <r>
    <s v="08/09/2022"/>
    <s v="08/09/2022"/>
    <s v="NATURAL GROCERS PI PHOENIX AZ"/>
    <n v="40.770000000000003"/>
    <x v="6"/>
    <x v="11"/>
    <x v="8"/>
    <x v="1"/>
    <x v="1"/>
    <n v="902.12999999999602"/>
  </r>
  <r>
    <s v="08/09/2022"/>
    <s v="08/09/2022"/>
    <s v="THE HOME DEPOT #0477 PHOENIX AZ"/>
    <n v="47.74"/>
    <x v="14"/>
    <x v="77"/>
    <x v="8"/>
    <x v="1"/>
    <x v="11"/>
    <n v="949.86999999999603"/>
  </r>
  <r>
    <s v="08/10/2022"/>
    <s v="08/10/2022"/>
    <s v="APPLE.COM/BILL 866-712-7753 CAAPPLE PAY ENDING IN 4775MMWB67D657A0"/>
    <n v="15.89"/>
    <x v="2"/>
    <x v="18"/>
    <x v="8"/>
    <x v="2"/>
    <x v="2"/>
    <n v="965.75999999999601"/>
  </r>
  <r>
    <s v="08/10/2022"/>
    <s v="08/12/2022"/>
    <s v="CCBILL.COM 888-5969279 AZ"/>
    <n v="-3.72"/>
    <x v="3"/>
    <x v="27"/>
    <x v="8"/>
    <x v="1"/>
    <x v="2"/>
    <n v="962.03999999999598"/>
  </r>
  <r>
    <s v="08/12/2022"/>
    <s v="08/12/2022"/>
    <s v="ATL WINGS AZ330 PHOENIX AZ"/>
    <n v="20.38"/>
    <x v="1"/>
    <x v="1"/>
    <x v="8"/>
    <x v="1"/>
    <x v="1"/>
    <n v="982.41999999999598"/>
  </r>
  <r>
    <s v="08/13/2022"/>
    <s v="08/13/2022"/>
    <s v="TST* FAIR TRADE CAFE PHOENIX AZ00010466008161694633AA"/>
    <n v="20.9"/>
    <x v="1"/>
    <x v="1"/>
    <x v="8"/>
    <x v="1"/>
    <x v="1"/>
    <n v="1003.319999999996"/>
  </r>
  <r>
    <s v="08/13/2022"/>
    <s v="08/13/2022"/>
    <s v="SAFEWAY #2651 PHOENIX AZ"/>
    <n v="45.8"/>
    <x v="6"/>
    <x v="11"/>
    <x v="8"/>
    <x v="1"/>
    <x v="1"/>
    <n v="1049.119999999996"/>
  </r>
  <r>
    <s v="08/14/2022"/>
    <s v="08/14/2022"/>
    <s v="INTERNET PAYMENT - THANK YOU"/>
    <n v="-962.04"/>
    <x v="3"/>
    <x v="5"/>
    <x v="8"/>
    <x v="1"/>
    <x v="3"/>
    <n v="87.079999999996062"/>
  </r>
  <r>
    <s v="08/14/2022"/>
    <s v="08/14/2022"/>
    <s v="THE HOME DEPOT #0464 PHOENIX AZ"/>
    <n v="9.75"/>
    <x v="14"/>
    <x v="77"/>
    <x v="8"/>
    <x v="1"/>
    <x v="11"/>
    <n v="96.829999999996062"/>
  </r>
  <r>
    <s v="08/15/2022"/>
    <s v="08/15/2022"/>
    <s v="ROKU FOR VIKI INC 8162728107 DE"/>
    <n v="10.85"/>
    <x v="4"/>
    <x v="66"/>
    <x v="8"/>
    <x v="2"/>
    <x v="2"/>
    <n v="107.6799999999961"/>
  </r>
  <r>
    <s v="08/15/2022"/>
    <s v="08/15/2022"/>
    <s v="SQ *PRESS SCOTTSDALE Q SCOTTSDALE AZ0001152921511777579737"/>
    <n v="16.13"/>
    <x v="1"/>
    <x v="50"/>
    <x v="8"/>
    <x v="1"/>
    <x v="1"/>
    <n v="123.80999999999609"/>
  </r>
  <r>
    <s v="08/15/2022"/>
    <s v="08/16/2022"/>
    <s v="BONOBOS 1-877-294-7737 SCOTTSDALE AZ"/>
    <n v="-106.07"/>
    <x v="3"/>
    <x v="43"/>
    <x v="8"/>
    <x v="1"/>
    <x v="6"/>
    <n v="17.739999999996058"/>
  </r>
  <r>
    <s v="08/17/2022"/>
    <s v="08/17/2022"/>
    <s v="APPLE.COM/BILL 866-712-7753 CAAPPLE PAY ENDING IN 4775MMWB8FG64XA0"/>
    <n v="5.29"/>
    <x v="2"/>
    <x v="23"/>
    <x v="8"/>
    <x v="2"/>
    <x v="2"/>
    <n v="23.029999999996061"/>
  </r>
  <r>
    <s v="08/17/2022"/>
    <s v="08/17/2022"/>
    <s v="SAFEWAY #2651 PHOENIX AZ"/>
    <n v="9.91"/>
    <x v="6"/>
    <x v="11"/>
    <x v="8"/>
    <x v="1"/>
    <x v="1"/>
    <n v="32.939999999996061"/>
  </r>
  <r>
    <s v="08/17/2022"/>
    <s v="08/17/2022"/>
    <s v="TMOBILE*AUTO PAY 800-937-8997 WAITEM TRANSFERRED FROM PREV ACCOUNT"/>
    <n v="70"/>
    <x v="2"/>
    <x v="21"/>
    <x v="8"/>
    <x v="1"/>
    <x v="4"/>
    <n v="102.9399999999961"/>
  </r>
  <r>
    <s v="08/18/2022"/>
    <s v="08/18/2022"/>
    <s v="GA TECH BUZZCARD WEB 385-1075 GA"/>
    <n v="33"/>
    <x v="12"/>
    <x v="31"/>
    <x v="8"/>
    <x v="1"/>
    <x v="6"/>
    <n v="135.9399999999961"/>
  </r>
  <r>
    <s v="08/19/2022"/>
    <s v="08/19/2022"/>
    <s v="SAFEWAY #2651 PHOENIX AZ"/>
    <n v="1.17"/>
    <x v="6"/>
    <x v="11"/>
    <x v="8"/>
    <x v="1"/>
    <x v="1"/>
    <n v="137.10999999999609"/>
  </r>
  <r>
    <s v="08/19/2022"/>
    <s v="08/19/2022"/>
    <s v="SAFEWAY #2651 PHOENIX AZ"/>
    <n v="26.19"/>
    <x v="6"/>
    <x v="11"/>
    <x v="8"/>
    <x v="1"/>
    <x v="1"/>
    <n v="163.29999999999609"/>
  </r>
  <r>
    <s v="08/20/2022"/>
    <s v="08/20/2022"/>
    <s v="THE THEODORE PHOENIX AZ"/>
    <n v="57.09"/>
    <x v="1"/>
    <x v="2"/>
    <x v="8"/>
    <x v="1"/>
    <x v="1"/>
    <n v="220.38999999999609"/>
  </r>
  <r>
    <s v="08/20/2022"/>
    <s v="08/20/2022"/>
    <s v="CVS/PHARMACY #10920 PHOENIX AZ"/>
    <n v="5.74"/>
    <x v="2"/>
    <x v="15"/>
    <x v="8"/>
    <x v="1"/>
    <x v="6"/>
    <n v="226.1299999999961"/>
  </r>
  <r>
    <s v="08/20/2022"/>
    <s v="08/20/2022"/>
    <s v="CRUJIENTE TACOS PHOENIX AZ"/>
    <n v="104.17"/>
    <x v="1"/>
    <x v="1"/>
    <x v="8"/>
    <x v="1"/>
    <x v="1"/>
    <n v="330.29999999999609"/>
  </r>
  <r>
    <s v="08/22/2022"/>
    <s v="08/22/2022"/>
    <s v="CASH APP*CYANFACE 415-375-3176 CAITEM TRANSFERRED FROM PREV ACCOUNT"/>
    <n v="25.75"/>
    <x v="2"/>
    <x v="79"/>
    <x v="8"/>
    <x v="1"/>
    <x v="9"/>
    <n v="356.04999999999609"/>
  </r>
  <r>
    <s v="08/23/2022"/>
    <s v="08/23/2022"/>
    <s v="CHEBA HUT - PHOENIX AZ PHOENIX AZ"/>
    <n v="22.6"/>
    <x v="1"/>
    <x v="1"/>
    <x v="8"/>
    <x v="1"/>
    <x v="1"/>
    <n v="378.64999999999611"/>
  </r>
  <r>
    <s v="08/23/2022"/>
    <s v="08/23/2022"/>
    <s v="HARVARD BUS EDUCATION 617-783-7600 MA3581364"/>
    <n v="36.119999999999997"/>
    <x v="2"/>
    <x v="60"/>
    <x v="8"/>
    <x v="1"/>
    <x v="6"/>
    <n v="414.76999999999612"/>
  </r>
  <r>
    <s v="08/24/2022"/>
    <s v="08/24/2022"/>
    <s v="CAFE RIO 0084 SCOTTSDALE SCOTTSDALE AZ"/>
    <n v="18.149999999999999"/>
    <x v="1"/>
    <x v="1"/>
    <x v="8"/>
    <x v="1"/>
    <x v="1"/>
    <n v="432.91999999999609"/>
  </r>
  <r>
    <s v="08/25/2022"/>
    <s v="08/25/2022"/>
    <s v="CKE*IKES LOVE AND SANDWI PHOENIX AZ"/>
    <n v="2.17"/>
    <x v="1"/>
    <x v="1"/>
    <x v="8"/>
    <x v="1"/>
    <x v="1"/>
    <n v="435.08999999999611"/>
  </r>
  <r>
    <s v="08/25/2022"/>
    <s v="08/25/2022"/>
    <s v="CKE*IKES LOVE AND SANDWI PHOENIX AZ"/>
    <n v="16.79"/>
    <x v="1"/>
    <x v="1"/>
    <x v="8"/>
    <x v="1"/>
    <x v="1"/>
    <n v="451.87999999999607"/>
  </r>
  <r>
    <s v="08/25/2022"/>
    <s v="08/25/2022"/>
    <s v="WALGREENS #5893 PHOENIX AZ"/>
    <n v="34.79"/>
    <x v="2"/>
    <x v="15"/>
    <x v="8"/>
    <x v="1"/>
    <x v="6"/>
    <n v="486.66999999999621"/>
  </r>
  <r>
    <s v="08/26/2022"/>
    <s v="08/26/2022"/>
    <s v="TACO BELL #32737 PHOENIX AZ"/>
    <n v="14.85"/>
    <x v="1"/>
    <x v="1"/>
    <x v="8"/>
    <x v="1"/>
    <x v="1"/>
    <n v="501.51999999999617"/>
  </r>
  <r>
    <s v="08/27/2022"/>
    <s v="08/27/2022"/>
    <s v="OLD SPAGHETTI FACTORY 69 PHOENIX AZ"/>
    <n v="82.34"/>
    <x v="1"/>
    <x v="2"/>
    <x v="8"/>
    <x v="1"/>
    <x v="1"/>
    <n v="583.85999999999615"/>
  </r>
  <r>
    <s v="08/28/2022"/>
    <s v="08/28/2022"/>
    <s v="APPLE.COM/BILL 866-712-7753 CAAPPLE PAY ENDING IN 4775MMWBB7340VA0"/>
    <n v="3.17"/>
    <x v="2"/>
    <x v="67"/>
    <x v="8"/>
    <x v="2"/>
    <x v="2"/>
    <n v="587.02999999999611"/>
  </r>
  <r>
    <s v="08/28/2022"/>
    <s v="08/28/2022"/>
    <s v="INTERNET PAYMENT - THANK YOU"/>
    <n v="-451.88"/>
    <x v="3"/>
    <x v="5"/>
    <x v="8"/>
    <x v="1"/>
    <x v="3"/>
    <n v="135.14999999999611"/>
  </r>
  <r>
    <s v="08/28/2022"/>
    <s v="08/28/2022"/>
    <s v="TST* PEDAL HAUS PHX PHOENIX AZ00003115008358483115AA"/>
    <n v="35.520000000000003"/>
    <x v="1"/>
    <x v="2"/>
    <x v="8"/>
    <x v="1"/>
    <x v="1"/>
    <n v="170.66999999999609"/>
  </r>
  <r>
    <s v="08/29/2022"/>
    <s v="08/29/2022"/>
    <s v="THE HOME DEPOT #0477 PHOENIX AZ"/>
    <n v="139.99"/>
    <x v="14"/>
    <x v="77"/>
    <x v="8"/>
    <x v="1"/>
    <x v="11"/>
    <n v="310.6599999999961"/>
  </r>
  <r>
    <s v="08/29/2022"/>
    <s v="08/29/2022"/>
    <s v="TARGET 00009506091 PHOENIX AZ"/>
    <n v="53.26"/>
    <x v="6"/>
    <x v="22"/>
    <x v="8"/>
    <x v="1"/>
    <x v="6"/>
    <n v="363.91999999999609"/>
  </r>
  <r>
    <s v="08/29/2022"/>
    <s v="08/29/2022"/>
    <s v="FIVE BELOW 3008 PHOENIX AZ"/>
    <n v="21.29"/>
    <x v="2"/>
    <x v="80"/>
    <x v="8"/>
    <x v="1"/>
    <x v="6"/>
    <n v="385.20999999999611"/>
  </r>
  <r>
    <s v="08/29/2022"/>
    <s v="08/29/2022"/>
    <s v="MCDONALD'S F1092 PHOENIX AZ"/>
    <n v="18.43"/>
    <x v="1"/>
    <x v="1"/>
    <x v="8"/>
    <x v="1"/>
    <x v="1"/>
    <n v="403.63999999999612"/>
  </r>
  <r>
    <s v="08/30/2022"/>
    <s v="08/30/2022"/>
    <s v="KFC D212044 PHOENIX AZ"/>
    <n v="18.43"/>
    <x v="1"/>
    <x v="1"/>
    <x v="8"/>
    <x v="1"/>
    <x v="1"/>
    <n v="422.06999999999613"/>
  </r>
  <r>
    <s v="08/30/2022"/>
    <s v="08/30/2022"/>
    <s v="THE TACO SPOT TEMPE AZ"/>
    <n v="34.57"/>
    <x v="1"/>
    <x v="1"/>
    <x v="8"/>
    <x v="1"/>
    <x v="1"/>
    <n v="456.63999999999612"/>
  </r>
  <r>
    <s v="08/30/2022"/>
    <s v="08/30/2022"/>
    <s v="WALGREENS #5893 PHOENIX AZ"/>
    <n v="84.21"/>
    <x v="2"/>
    <x v="15"/>
    <x v="8"/>
    <x v="1"/>
    <x v="6"/>
    <n v="540.84999999999616"/>
  </r>
  <r>
    <s v="08/31/2022"/>
    <s v="09/03/2022"/>
    <s v="CCBILL.COM 888-5969279 AZ"/>
    <n v="17"/>
    <x v="2"/>
    <x v="27"/>
    <x v="8"/>
    <x v="1"/>
    <x v="2"/>
    <n v="557.84999999999616"/>
  </r>
  <r>
    <s v="09/01/2022"/>
    <s v="09/01/2022"/>
    <s v="OBSIDIAN.MD 2262203323 CAN"/>
    <n v="10"/>
    <x v="2"/>
    <x v="31"/>
    <x v="9"/>
    <x v="1"/>
    <x v="6"/>
    <n v="567.84999999999616"/>
  </r>
  <r>
    <s v="09/01/2022"/>
    <s v="09/03/2022"/>
    <s v="NETFLIX.COM NETFLIX.COM CAITEM TRANSFERRED FROM PREV ACCOUNT"/>
    <n v="10.59"/>
    <x v="2"/>
    <x v="3"/>
    <x v="9"/>
    <x v="2"/>
    <x v="2"/>
    <n v="578.43999999999619"/>
  </r>
  <r>
    <s v="09/01/2022"/>
    <s v="09/03/2022"/>
    <s v="PLANNED PARENTHOOD ACTIO NEW YORK NY"/>
    <n v="25"/>
    <x v="4"/>
    <x v="72"/>
    <x v="9"/>
    <x v="2"/>
    <x v="6"/>
    <n v="603.43999999999619"/>
  </r>
  <r>
    <s v="09/01/2022"/>
    <s v="09/03/2022"/>
    <s v="SPOTIFY P1D808B0FE 8777781161 NYITEM TRANSFERRED FROM PREV ACCOUNT"/>
    <n v="9.99"/>
    <x v="2"/>
    <x v="4"/>
    <x v="9"/>
    <x v="2"/>
    <x v="2"/>
    <n v="613.4299999999962"/>
  </r>
  <r>
    <s v="09/02/2022"/>
    <s v="09/03/2022"/>
    <s v="U-HAUL MOVING &amp; STORAGE PHOENIX AZ"/>
    <n v="568.73"/>
    <x v="7"/>
    <x v="78"/>
    <x v="9"/>
    <x v="1"/>
    <x v="8"/>
    <n v="1182.159999999996"/>
  </r>
  <r>
    <s v="09/02/2022"/>
    <s v="09/03/2022"/>
    <s v="TARGET 00032615091 PHOENIX AZ"/>
    <n v="7.95"/>
    <x v="2"/>
    <x v="22"/>
    <x v="9"/>
    <x v="1"/>
    <x v="6"/>
    <n v="1190.109999999996"/>
  </r>
  <r>
    <s v="09/02/2022"/>
    <s v="09/03/2022"/>
    <s v="KRYSTAL AND SAAGAR 2025317527 DCITEM TRANSFERRED FROM PREV ACCOUNT"/>
    <n v="10"/>
    <x v="2"/>
    <x v="6"/>
    <x v="9"/>
    <x v="2"/>
    <x v="2"/>
    <n v="1200.109999999996"/>
  </r>
  <r>
    <s v="09/02/2022"/>
    <s v="09/03/2022"/>
    <s v="U-HAUL MOVING &amp; STORAGE PHOENIX AZ"/>
    <n v="322.52"/>
    <x v="7"/>
    <x v="78"/>
    <x v="9"/>
    <x v="1"/>
    <x v="8"/>
    <n v="1522.629999999996"/>
  </r>
  <r>
    <s v="09/02/2022"/>
    <s v="09/03/2022"/>
    <s v="ARCO #42464 AMPM PHOENIX AZ"/>
    <n v="14.86"/>
    <x v="9"/>
    <x v="17"/>
    <x v="9"/>
    <x v="1"/>
    <x v="7"/>
    <n v="1537.4899999999959"/>
  </r>
  <r>
    <s v="09/02/2022"/>
    <s v="09/03/2022"/>
    <s v="ARCO #42266 AMPM TWENTYNINE PACA"/>
    <n v="114.84"/>
    <x v="9"/>
    <x v="17"/>
    <x v="9"/>
    <x v="1"/>
    <x v="7"/>
    <n v="1652.3299999999961"/>
  </r>
  <r>
    <s v="09/02/2022"/>
    <s v="09/03/2022"/>
    <s v="ARCO #42464 AMPM PHOENIX AZ"/>
    <n v="64.8"/>
    <x v="9"/>
    <x v="17"/>
    <x v="9"/>
    <x v="1"/>
    <x v="7"/>
    <n v="1717.129999999996"/>
  </r>
  <r>
    <s v="09/03/2022"/>
    <s v="09/03/2022"/>
    <s v="ROY'S CAFE BARSTOW CA"/>
    <n v="46.99"/>
    <x v="1"/>
    <x v="1"/>
    <x v="9"/>
    <x v="1"/>
    <x v="1"/>
    <n v="1764.119999999996"/>
  </r>
  <r>
    <s v="09/03/2022"/>
    <s v="09/03/2022"/>
    <s v="SQ *OLDE TYME KETTLE K FRESNO CA0001152921511860596904"/>
    <n v="7.5"/>
    <x v="1"/>
    <x v="2"/>
    <x v="9"/>
    <x v="1"/>
    <x v="1"/>
    <n v="1771.619999999996"/>
  </r>
  <r>
    <s v="09/03/2022"/>
    <s v="09/03/2022"/>
    <s v="STATE FARM INSURANCE 800-956-6310 ILITEM TRANSFERRED FROM PREV ACCOUNT"/>
    <n v="80.08"/>
    <x v="2"/>
    <x v="9"/>
    <x v="9"/>
    <x v="2"/>
    <x v="5"/>
    <n v="1851.699999999996"/>
  </r>
  <r>
    <s v="09/03/2022"/>
    <s v="09/03/2022"/>
    <s v="TASKER ON TASKRABBIT 8443408275 CAAPPLE PAY ENDING IN 4775"/>
    <n v="141.28"/>
    <x v="4"/>
    <x v="78"/>
    <x v="9"/>
    <x v="1"/>
    <x v="8"/>
    <n v="1992.9799999999959"/>
  </r>
  <r>
    <s v="09/04/2022"/>
    <s v="09/04/2022"/>
    <s v="AUTOZONE #2834 TULARE CA"/>
    <n v="13.52"/>
    <x v="5"/>
    <x v="8"/>
    <x v="9"/>
    <x v="1"/>
    <x v="4"/>
    <n v="2006.4999999999959"/>
  </r>
  <r>
    <s v="09/04/2022"/>
    <s v="09/04/2022"/>
    <s v="DIMOND FOOD MART LLC TULARE CA"/>
    <n v="53.8"/>
    <x v="9"/>
    <x v="17"/>
    <x v="9"/>
    <x v="1"/>
    <x v="7"/>
    <n v="2060.2999999999961"/>
  </r>
  <r>
    <s v="09/04/2022"/>
    <s v="09/04/2022"/>
    <s v="EXTRA SPACE 1461 BURLINGAME CA"/>
    <n v="193.51"/>
    <x v="4"/>
    <x v="81"/>
    <x v="9"/>
    <x v="1"/>
    <x v="4"/>
    <n v="2253.8099999999959"/>
  </r>
  <r>
    <s v="09/04/2022"/>
    <s v="09/04/2022"/>
    <s v="SAFEWAY #0694 SAN MATEO CA"/>
    <n v="25.4"/>
    <x v="6"/>
    <x v="11"/>
    <x v="9"/>
    <x v="1"/>
    <x v="1"/>
    <n v="2279.2099999999959"/>
  </r>
  <r>
    <s v="09/04/2022"/>
    <s v="09/04/2022"/>
    <s v="TST* THE PLANING MILL PI VISALIA CA"/>
    <n v="36.020000000000003"/>
    <x v="1"/>
    <x v="2"/>
    <x v="9"/>
    <x v="1"/>
    <x v="1"/>
    <n v="2315.2299999999959"/>
  </r>
  <r>
    <s v="09/04/2022"/>
    <s v="09/04/2022"/>
    <s v="TST* THE PLANING MILL PI VISALIA CA"/>
    <n v="44.94"/>
    <x v="1"/>
    <x v="2"/>
    <x v="9"/>
    <x v="1"/>
    <x v="1"/>
    <n v="2360.169999999996"/>
  </r>
  <r>
    <s v="09/04/2022"/>
    <s v="09/04/2022"/>
    <s v="WAHLBURGERS BURLINGAME BURLINGAME CA"/>
    <n v="48.53"/>
    <x v="1"/>
    <x v="2"/>
    <x v="9"/>
    <x v="1"/>
    <x v="1"/>
    <n v="2408.6999999999962"/>
  </r>
  <r>
    <s v="09/05/2022"/>
    <s v="09/05/2022"/>
    <s v="USPS CHANGE OF ADDRESS 800-238-3150 TN"/>
    <n v="1.1000000000000001"/>
    <x v="11"/>
    <x v="78"/>
    <x v="9"/>
    <x v="1"/>
    <x v="8"/>
    <n v="2409.7999999999961"/>
  </r>
  <r>
    <s v="09/05/2022"/>
    <s v="09/05/2022"/>
    <s v="UBER TRIP 866-576-1039 CAAPPLE PAY ENDING IN 4775"/>
    <n v="22.01"/>
    <x v="7"/>
    <x v="25"/>
    <x v="9"/>
    <x v="1"/>
    <x v="7"/>
    <n v="2431.8099999999959"/>
  </r>
  <r>
    <s v="09/05/2022"/>
    <s v="09/05/2022"/>
    <s v="ARCO#00725GAS RITE SAN MATEO CA"/>
    <n v="83.92"/>
    <x v="9"/>
    <x v="17"/>
    <x v="9"/>
    <x v="1"/>
    <x v="7"/>
    <n v="2515.7299999999959"/>
  </r>
  <r>
    <s v="09/05/2022"/>
    <s v="09/05/2022"/>
    <s v="EL GRULLENSE GRILL. REDWOOD CITY CA"/>
    <n v="31.85"/>
    <x v="1"/>
    <x v="2"/>
    <x v="9"/>
    <x v="1"/>
    <x v="1"/>
    <n v="2547.5799999999958"/>
  </r>
  <r>
    <s v="09/06/2022"/>
    <s v="09/06/2022"/>
    <s v="CAFFE CENTRAL BURLINGAME CA"/>
    <n v="8.1999999999999993"/>
    <x v="1"/>
    <x v="50"/>
    <x v="9"/>
    <x v="1"/>
    <x v="1"/>
    <n v="2555.7799999999961"/>
  </r>
  <r>
    <s v="09/06/2022"/>
    <s v="09/06/2022"/>
    <s v="PAYPAL *EPIC GAMES 402-935-7733 CA"/>
    <n v="43.43"/>
    <x v="2"/>
    <x v="65"/>
    <x v="9"/>
    <x v="1"/>
    <x v="2"/>
    <n v="2599.2099999999959"/>
  </r>
  <r>
    <s v="09/06/2022"/>
    <s v="09/06/2022"/>
    <s v="TASKER ON TASKRABBIT 8443408275 CAAPPLE PAY ENDING IN 4775"/>
    <n v="85.56"/>
    <x v="4"/>
    <x v="78"/>
    <x v="9"/>
    <x v="1"/>
    <x v="8"/>
    <n v="2684.7699999999959"/>
  </r>
  <r>
    <s v="09/06/2022"/>
    <s v="09/06/2022"/>
    <s v="UBER TRIP 866-576-1039 CA"/>
    <n v="21.97"/>
    <x v="7"/>
    <x v="25"/>
    <x v="9"/>
    <x v="1"/>
    <x v="7"/>
    <n v="2706.7399999999961"/>
  </r>
  <r>
    <s v="09/07/2022"/>
    <s v="09/07/2022"/>
    <s v="INTERNET PAYMENT - THANK YOU"/>
    <n v="-2485.63"/>
    <x v="3"/>
    <x v="5"/>
    <x v="9"/>
    <x v="1"/>
    <x v="3"/>
    <n v="221.10999999999561"/>
  </r>
  <r>
    <s v="09/07/2022"/>
    <s v="09/07/2022"/>
    <s v="PANDA EXPRESS #907 BURLINGAME CA"/>
    <n v="16.170000000000002"/>
    <x v="1"/>
    <x v="1"/>
    <x v="9"/>
    <x v="1"/>
    <x v="1"/>
    <n v="237.2799999999956"/>
  </r>
  <r>
    <s v="09/08/2022"/>
    <s v="09/08/2022"/>
    <s v="JACK IN THE BOX 0495 SAN MATEO CA00861R"/>
    <n v="11.72"/>
    <x v="1"/>
    <x v="1"/>
    <x v="9"/>
    <x v="1"/>
    <x v="1"/>
    <n v="248.99999999999559"/>
  </r>
  <r>
    <s v="09/08/2022"/>
    <s v="09/08/2022"/>
    <s v="SAFEWAY #2878 MILLBRAE CA"/>
    <n v="62.16"/>
    <x v="6"/>
    <x v="11"/>
    <x v="9"/>
    <x v="1"/>
    <x v="1"/>
    <n v="311.15999999999559"/>
  </r>
  <r>
    <s v="09/09/2022"/>
    <s v="09/09/2022"/>
    <s v="FLIGHTS BURLINGAME CA"/>
    <n v="75.2"/>
    <x v="1"/>
    <x v="2"/>
    <x v="9"/>
    <x v="1"/>
    <x v="1"/>
    <n v="386.35999999999558"/>
  </r>
  <r>
    <s v="09/09/2022"/>
    <s v="09/09/2022"/>
    <s v="GOOGLE *YOUTUBE TV G.CO/HELPPAY#CAP0LQEOLG"/>
    <n v="64.989999999999995"/>
    <x v="4"/>
    <x v="37"/>
    <x v="9"/>
    <x v="2"/>
    <x v="2"/>
    <n v="451.34999999999559"/>
  </r>
  <r>
    <s v="09/10/2022"/>
    <s v="09/10/2022"/>
    <s v="STANFORDSTADIUMCONCESSIO STANFORD CA"/>
    <n v="12.17"/>
    <x v="1"/>
    <x v="1"/>
    <x v="9"/>
    <x v="1"/>
    <x v="1"/>
    <n v="463.5199999999956"/>
  </r>
  <r>
    <s v="09/11/2022"/>
    <s v="09/11/2022"/>
    <s v="CKE*HOWIE'S ARTISAN PIZZ PALO ALTO CA"/>
    <n v="27.6"/>
    <x v="1"/>
    <x v="2"/>
    <x v="9"/>
    <x v="1"/>
    <x v="1"/>
    <n v="491.11999999999563"/>
  </r>
  <r>
    <s v="09/11/2022"/>
    <s v="09/11/2022"/>
    <s v="ASIAN BOX BURLINGAME CA"/>
    <n v="18.760000000000002"/>
    <x v="1"/>
    <x v="2"/>
    <x v="9"/>
    <x v="1"/>
    <x v="1"/>
    <n v="509.87999999999562"/>
  </r>
  <r>
    <s v="09/12/2022"/>
    <s v="09/12/2022"/>
    <s v="SQ *GELATAIO SAN CARLOS CA0002305843016282716659"/>
    <n v="14.95"/>
    <x v="6"/>
    <x v="2"/>
    <x v="9"/>
    <x v="1"/>
    <x v="1"/>
    <n v="524.82999999999561"/>
  </r>
  <r>
    <s v="09/12/2022"/>
    <s v="09/12/2022"/>
    <s v="STEAM PURCHASE 425-952-2985 WA"/>
    <n v="59.99"/>
    <x v="7"/>
    <x v="65"/>
    <x v="9"/>
    <x v="1"/>
    <x v="2"/>
    <n v="584.81999999999562"/>
  </r>
  <r>
    <s v="09/13/2022"/>
    <s v="09/13/2022"/>
    <s v="IN N OUT BURGER 190 MILLBRAE CA"/>
    <n v="8.64"/>
    <x v="1"/>
    <x v="1"/>
    <x v="9"/>
    <x v="1"/>
    <x v="1"/>
    <n v="593.4599999999956"/>
  </r>
  <r>
    <s v="09/14/2022"/>
    <s v="09/14/2022"/>
    <s v="APPLE.COM/BILL 866-712-7753 CAAPPLE PAY ENDING IN 4775MMWBJQ7VGZA0"/>
    <n v="15.89"/>
    <x v="2"/>
    <x v="18"/>
    <x v="9"/>
    <x v="2"/>
    <x v="2"/>
    <n v="609.34999999999559"/>
  </r>
  <r>
    <s v="09/14/2022"/>
    <s v="09/14/2022"/>
    <s v="SAFEWAY #0694 SAN MATEO CA"/>
    <n v="21.7"/>
    <x v="6"/>
    <x v="11"/>
    <x v="9"/>
    <x v="1"/>
    <x v="1"/>
    <n v="631.04999999999563"/>
  </r>
  <r>
    <s v="09/14/2022"/>
    <s v="09/14/2022"/>
    <s v="TST* RISE PIZZERIA BURLINGAME CA00049860008560623466AA"/>
    <n v="37"/>
    <x v="1"/>
    <x v="2"/>
    <x v="9"/>
    <x v="1"/>
    <x v="1"/>
    <n v="668.04999999999563"/>
  </r>
  <r>
    <s v="09/15/2022"/>
    <s v="09/15/2022"/>
    <s v="APPLE.COM/US 800-676-2775 CAW1217133334A263446652"/>
    <n v="53.72"/>
    <x v="2"/>
    <x v="82"/>
    <x v="9"/>
    <x v="1"/>
    <x v="0"/>
    <n v="721.76999999999566"/>
  </r>
  <r>
    <s v="09/15/2022"/>
    <s v="09/15/2022"/>
    <s v="HAN SUNG BBQ SANTA CLARA CA"/>
    <n v="42"/>
    <x v="1"/>
    <x v="2"/>
    <x v="9"/>
    <x v="1"/>
    <x v="1"/>
    <n v="763.76999999999566"/>
  </r>
  <r>
    <s v="09/16/2022"/>
    <s v="09/16/2022"/>
    <s v="FLIGHTS BURLINGAME CA"/>
    <n v="102.7"/>
    <x v="1"/>
    <x v="2"/>
    <x v="9"/>
    <x v="1"/>
    <x v="1"/>
    <n v="866.46999999999571"/>
  </r>
  <r>
    <s v="09/17/2022"/>
    <s v="09/17/2022"/>
    <s v="TMOBILE*AUTO PAY 800-937-8997 WAITEM TRANSFERRED FROM PREV ACCOUNT"/>
    <n v="70"/>
    <x v="2"/>
    <x v="21"/>
    <x v="9"/>
    <x v="1"/>
    <x v="4"/>
    <n v="936.46999999999571"/>
  </r>
  <r>
    <s v="09/17/2022"/>
    <s v="09/17/2022"/>
    <s v="TARGET 00011221091 SAN MATEO CA"/>
    <n v="27.89"/>
    <x v="6"/>
    <x v="22"/>
    <x v="9"/>
    <x v="1"/>
    <x v="6"/>
    <n v="964.35999999999569"/>
  </r>
  <r>
    <s v="09/17/2022"/>
    <s v="09/17/2022"/>
    <s v="CKE*SOM TUM STATION SAN SAN MATEO CA"/>
    <n v="14.83"/>
    <x v="1"/>
    <x v="2"/>
    <x v="9"/>
    <x v="1"/>
    <x v="1"/>
    <n v="979.18999999999573"/>
  </r>
  <r>
    <s v="09/17/2022"/>
    <s v="09/17/2022"/>
    <s v="APPLE.COM/BILL 111-111-1111 CAAPPLE PAY ENDING IN 4775"/>
    <n v="5.29"/>
    <x v="2"/>
    <x v="23"/>
    <x v="9"/>
    <x v="2"/>
    <x v="2"/>
    <n v="984.4799999999957"/>
  </r>
  <r>
    <s v="09/17/2022"/>
    <s v="09/17/2022"/>
    <s v="AMZN MKTP US*1M04898F1 AMZN.COM/BILLWA4A83VGAFU9G"/>
    <n v="110.21"/>
    <x v="2"/>
    <x v="13"/>
    <x v="9"/>
    <x v="1"/>
    <x v="6"/>
    <n v="1094.689999999996"/>
  </r>
  <r>
    <s v="09/18/2022"/>
    <s v="09/18/2022"/>
    <s v="DEAN'S PRODUCE. SAN MATEO CA"/>
    <n v="34.520000000000003"/>
    <x v="6"/>
    <x v="11"/>
    <x v="9"/>
    <x v="1"/>
    <x v="1"/>
    <n v="1129.2099999999959"/>
  </r>
  <r>
    <s v="09/18/2022"/>
    <s v="09/18/2022"/>
    <s v="INTERNET PAYMENT - THANK YOU"/>
    <n v="-763.77"/>
    <x v="3"/>
    <x v="5"/>
    <x v="9"/>
    <x v="1"/>
    <x v="3"/>
    <n v="365.43999999999568"/>
  </r>
  <r>
    <s v="09/18/2022"/>
    <s v="09/18/2022"/>
    <s v="WHOLEFDS SMT 10150 SAN MATEO CA"/>
    <n v="15.59"/>
    <x v="6"/>
    <x v="11"/>
    <x v="9"/>
    <x v="1"/>
    <x v="1"/>
    <n v="381.02999999999571"/>
  </r>
  <r>
    <s v="09/19/2022"/>
    <s v="09/19/2022"/>
    <s v="AMZN MKTP US*1M1M978J0 AMZN.COM/BILLWA61WE70JX48J"/>
    <n v="21.48"/>
    <x v="2"/>
    <x v="13"/>
    <x v="9"/>
    <x v="1"/>
    <x v="6"/>
    <n v="402.50999999999573"/>
  </r>
  <r>
    <s v="09/19/2022"/>
    <s v="09/19/2022"/>
    <s v="AMZN MKTP US*1M2YJ8EV2 AMZN.COM/BILLWA5D6111DW1IM"/>
    <n v="58.12"/>
    <x v="2"/>
    <x v="13"/>
    <x v="9"/>
    <x v="1"/>
    <x v="6"/>
    <n v="460.62999999999568"/>
  </r>
  <r>
    <s v="09/21/2022"/>
    <s v="09/21/2022"/>
    <s v="CCBILL.COM 888-5969279 AZ"/>
    <n v="7.13"/>
    <x v="2"/>
    <x v="27"/>
    <x v="9"/>
    <x v="1"/>
    <x v="2"/>
    <n v="467.75999999999573"/>
  </r>
  <r>
    <s v="09/23/2022"/>
    <s v="09/23/2022"/>
    <s v="MCDONALDS F380 BELMONT CA"/>
    <n v="13.6"/>
    <x v="1"/>
    <x v="1"/>
    <x v="9"/>
    <x v="1"/>
    <x v="1"/>
    <n v="481.35999999999581"/>
  </r>
  <r>
    <s v="09/23/2022"/>
    <s v="09/23/2022"/>
    <s v="U-HAUL MOVING &amp; STORAGE 800-789-3638 CA"/>
    <n v="84.26"/>
    <x v="7"/>
    <x v="78"/>
    <x v="9"/>
    <x v="1"/>
    <x v="8"/>
    <n v="565.6199999999958"/>
  </r>
  <r>
    <s v="09/24/2022"/>
    <s v="09/24/2022"/>
    <s v="SQ *PORTOLA FESTIVAL FRANKLIN TN0001152921511949836939"/>
    <n v="36.5"/>
    <x v="7"/>
    <x v="38"/>
    <x v="9"/>
    <x v="1"/>
    <x v="2"/>
    <n v="602.1199999999958"/>
  </r>
  <r>
    <s v="09/24/2022"/>
    <s v="09/24/2022"/>
    <s v="TARGET 00032649091 SAN FRANCISCOCA"/>
    <n v="67.33"/>
    <x v="2"/>
    <x v="22"/>
    <x v="9"/>
    <x v="1"/>
    <x v="6"/>
    <n v="669.44999999999584"/>
  </r>
  <r>
    <s v="09/25/2022"/>
    <s v="09/25/2022"/>
    <s v="SQ *ARIZMENDI BAKERY C SAN FRANCISCOCA0001152921511953014417"/>
    <n v="13.75"/>
    <x v="1"/>
    <x v="2"/>
    <x v="9"/>
    <x v="1"/>
    <x v="1"/>
    <n v="683.19999999999584"/>
  </r>
  <r>
    <s v="09/25/2022"/>
    <s v="09/25/2022"/>
    <s v="PORTOLA FESTIVAL 6502396947 CA"/>
    <n v="43.72"/>
    <x v="2"/>
    <x v="38"/>
    <x v="9"/>
    <x v="1"/>
    <x v="2"/>
    <n v="726.91999999999587"/>
  </r>
  <r>
    <s v="09/25/2022"/>
    <s v="09/25/2022"/>
    <s v="MED*BHSM REHABILITATIO 800-721-8202 PA89631057"/>
    <n v="85.76"/>
    <x v="10"/>
    <x v="48"/>
    <x v="9"/>
    <x v="1"/>
    <x v="10"/>
    <n v="812.67999999999586"/>
  </r>
  <r>
    <s v="09/26/2022"/>
    <s v="09/26/2022"/>
    <s v="APPLE.COM/BILL 866-712-7753 CAAPPLE PAY ENDING IN 4775MMWBQ3HD78A0"/>
    <n v="3.17"/>
    <x v="2"/>
    <x v="67"/>
    <x v="9"/>
    <x v="2"/>
    <x v="2"/>
    <n v="815.84999999999582"/>
  </r>
  <r>
    <s v="09/26/2022"/>
    <s v="09/26/2022"/>
    <s v="TARGET 00011221091 SAN MATEO CAAPPLE PAY ENDING IN 4775"/>
    <n v="5.91"/>
    <x v="6"/>
    <x v="22"/>
    <x v="9"/>
    <x v="1"/>
    <x v="6"/>
    <n v="821.75999999999578"/>
  </r>
  <r>
    <s v="09/26/2022"/>
    <s v="09/26/2022"/>
    <s v="TARGET 00011221091 SAN MATEO CA"/>
    <n v="80.3"/>
    <x v="6"/>
    <x v="22"/>
    <x v="9"/>
    <x v="1"/>
    <x v="6"/>
    <n v="902.05999999999574"/>
  </r>
  <r>
    <s v="09/27/2022"/>
    <s v="09/27/2022"/>
    <s v="IMPARK00270051A SAN FRANCISCOCA02732R"/>
    <n v="8"/>
    <x v="4"/>
    <x v="47"/>
    <x v="9"/>
    <x v="1"/>
    <x v="7"/>
    <n v="910.05999999999574"/>
  </r>
  <r>
    <s v="09/27/2022"/>
    <s v="09/27/2022"/>
    <s v="INTERNET PAYMENT - THANK YOU"/>
    <n v="-815.85"/>
    <x v="3"/>
    <x v="5"/>
    <x v="9"/>
    <x v="1"/>
    <x v="3"/>
    <n v="94.209999999995716"/>
  </r>
  <r>
    <s v="09/30/2022"/>
    <s v="09/30/2022"/>
    <s v="SQ *CHERIMOYA BURLINGAME CA0002305843016376183244"/>
    <n v="23.94"/>
    <x v="1"/>
    <x v="2"/>
    <x v="9"/>
    <x v="1"/>
    <x v="1"/>
    <n v="118.1499999999957"/>
  </r>
  <r>
    <s v="10/01/2022"/>
    <s v="10/01/2022"/>
    <s v="OBSIDIAN.MD 2262203323 CAN"/>
    <n v="10"/>
    <x v="2"/>
    <x v="31"/>
    <x v="10"/>
    <x v="1"/>
    <x v="6"/>
    <n v="128.14999999999571"/>
  </r>
  <r>
    <s v="10/01/2022"/>
    <s v="10/01/2022"/>
    <s v="SQ *FIERO CAFFE SAN MATEO CA0001152921511977165897"/>
    <n v="39.74"/>
    <x v="1"/>
    <x v="50"/>
    <x v="10"/>
    <x v="1"/>
    <x v="1"/>
    <n v="167.88999999999569"/>
  </r>
  <r>
    <s v="10/01/2022"/>
    <s v="10/03/2022"/>
    <s v="NETFLIX.COM NETFLIX.COM CAITEM TRANSFERRED FROM PREV ACCOUNT"/>
    <n v="10.59"/>
    <x v="2"/>
    <x v="3"/>
    <x v="10"/>
    <x v="2"/>
    <x v="2"/>
    <n v="178.4799999999957"/>
  </r>
  <r>
    <s v="10/01/2022"/>
    <s v="10/03/2022"/>
    <s v="PLANNED PARENTHOOD ACTIO NEW YORK NY"/>
    <n v="25"/>
    <x v="4"/>
    <x v="72"/>
    <x v="10"/>
    <x v="2"/>
    <x v="6"/>
    <n v="203.4799999999957"/>
  </r>
  <r>
    <s v="10/01/2022"/>
    <s v="10/03/2022"/>
    <s v="SPOTIFY P1E188D261 8777781161 NYITEM TRANSFERRED FROM PREV ACCOUNT"/>
    <n v="9.99"/>
    <x v="2"/>
    <x v="4"/>
    <x v="10"/>
    <x v="2"/>
    <x v="2"/>
    <n v="213.46999999999571"/>
  </r>
  <r>
    <s v="10/02/2022"/>
    <s v="10/03/2022"/>
    <s v="KRYSTAL AND SAAGAR 2025317527 DCITEM TRANSFERRED FROM PREV ACCOUNT"/>
    <n v="10"/>
    <x v="2"/>
    <x v="6"/>
    <x v="10"/>
    <x v="2"/>
    <x v="2"/>
    <n v="223.46999999999571"/>
  </r>
  <r>
    <s v="10/02/2022"/>
    <s v="10/03/2022"/>
    <s v="ALLIANZ TRAVEL INS 800-496-6593 VA"/>
    <n v="21.88"/>
    <x v="4"/>
    <x v="33"/>
    <x v="10"/>
    <x v="1"/>
    <x v="7"/>
    <n v="245.3499999999957"/>
  </r>
  <r>
    <s v="10/02/2022"/>
    <s v="10/03/2022"/>
    <s v="ALASKA AIRLINES 2064333200 WA"/>
    <n v="133.19999999999999"/>
    <x v="7"/>
    <x v="33"/>
    <x v="10"/>
    <x v="1"/>
    <x v="7"/>
    <n v="378.54999999999569"/>
  </r>
  <r>
    <s v="10/03/2022"/>
    <s v="10/03/2022"/>
    <s v="GOOGLE *YOUTUBE G.CO/HELPPAY#CAP0MNZN4J"/>
    <n v="15.89"/>
    <x v="4"/>
    <x v="37"/>
    <x v="10"/>
    <x v="2"/>
    <x v="2"/>
    <n v="394.43999999999568"/>
  </r>
  <r>
    <s v="10/04/2022"/>
    <s v="10/04/2022"/>
    <s v="EXTRA SPACE 1461 BURLINGAME CA"/>
    <n v="161.6"/>
    <x v="4"/>
    <x v="81"/>
    <x v="10"/>
    <x v="1"/>
    <x v="4"/>
    <n v="556.03999999999576"/>
  </r>
  <r>
    <s v="10/04/2022"/>
    <s v="10/04/2022"/>
    <s v="HONG KONG BANJUM PAIK'S SANTA CLARA CA"/>
    <n v="22.19"/>
    <x v="1"/>
    <x v="2"/>
    <x v="10"/>
    <x v="1"/>
    <x v="1"/>
    <n v="578.22999999999581"/>
  </r>
  <r>
    <s v="10/04/2022"/>
    <s v="10/04/2022"/>
    <s v="STATE FARM INSURANCE 800-956-6310 ILITEM TRANSFERRED FROM PREV ACCOUNT"/>
    <n v="80.08"/>
    <x v="2"/>
    <x v="9"/>
    <x v="10"/>
    <x v="2"/>
    <x v="5"/>
    <n v="658.30999999999585"/>
  </r>
  <r>
    <s v="10/05/2022"/>
    <s v="10/05/2022"/>
    <s v="APPLE.COM/BILL 866-712-7753 CAAPPLE PAY ENDING IN 4775MMWBSMLKDVA0"/>
    <n v="76.31"/>
    <x v="2"/>
    <x v="82"/>
    <x v="10"/>
    <x v="1"/>
    <x v="0"/>
    <n v="734.6199999999958"/>
  </r>
  <r>
    <s v="10/05/2022"/>
    <s v="10/05/2022"/>
    <s v="BRUNDAVAN INDIAN CUISINE SANTA CLARA CA"/>
    <n v="41.86"/>
    <x v="1"/>
    <x v="2"/>
    <x v="10"/>
    <x v="1"/>
    <x v="1"/>
    <n v="776.47999999999581"/>
  </r>
  <r>
    <s v="10/06/2022"/>
    <s v="10/06/2022"/>
    <s v="APPLE.COM/BILL 866-712-7753 CAMMWBSNX4S3A0"/>
    <n v="9.99"/>
    <x v="2"/>
    <x v="82"/>
    <x v="10"/>
    <x v="1"/>
    <x v="0"/>
    <n v="786.46999999999582"/>
  </r>
  <r>
    <s v="10/07/2022"/>
    <s v="10/07/2022"/>
    <s v="APPLE.COM/US 800-676-2775 CAW1217133334A285573915"/>
    <n v="553.89"/>
    <x v="2"/>
    <x v="82"/>
    <x v="10"/>
    <x v="1"/>
    <x v="0"/>
    <n v="1340.359999999996"/>
  </r>
  <r>
    <s v="10/07/2022"/>
    <s v="10/07/2022"/>
    <s v="CCBILL.COM 888-5969279 AZ"/>
    <n v="6.37"/>
    <x v="2"/>
    <x v="27"/>
    <x v="10"/>
    <x v="1"/>
    <x v="2"/>
    <n v="1346.7299999999959"/>
  </r>
  <r>
    <s v="10/08/2022"/>
    <s v="10/08/2022"/>
    <s v="CREPEVINE (BURLINGAME) BURLINGAME CA"/>
    <n v="12.52"/>
    <x v="1"/>
    <x v="2"/>
    <x v="10"/>
    <x v="1"/>
    <x v="1"/>
    <n v="1359.2499999999959"/>
  </r>
  <r>
    <s v="10/08/2022"/>
    <s v="10/08/2022"/>
    <s v="INTERNET PAYMENT - THANK YOU"/>
    <n v="-1340.36"/>
    <x v="3"/>
    <x v="5"/>
    <x v="10"/>
    <x v="1"/>
    <x v="3"/>
    <n v="18.88999999999578"/>
  </r>
  <r>
    <s v="10/09/2022"/>
    <s v="10/09/2022"/>
    <s v="SQ *ROYAL DONUT BURLINGAME CA0001152921512011595126"/>
    <n v="17.100000000000001"/>
    <x v="1"/>
    <x v="2"/>
    <x v="10"/>
    <x v="1"/>
    <x v="1"/>
    <n v="35.989999999995781"/>
  </r>
  <r>
    <s v="10/09/2022"/>
    <s v="10/09/2022"/>
    <s v="PANDA EXPRESS #907 BURLINGAME CA"/>
    <n v="11"/>
    <x v="1"/>
    <x v="1"/>
    <x v="10"/>
    <x v="1"/>
    <x v="1"/>
    <n v="46.989999999995781"/>
  </r>
  <r>
    <s v="10/09/2022"/>
    <s v="10/09/2022"/>
    <s v="GOOGLE *YOUTUBE TV G.CO/HELPPAY#CAP0MWK7CI"/>
    <n v="64.989999999999995"/>
    <x v="4"/>
    <x v="37"/>
    <x v="10"/>
    <x v="2"/>
    <x v="2"/>
    <n v="111.9799999999958"/>
  </r>
  <r>
    <s v="10/10/2022"/>
    <s v="10/10/2022"/>
    <s v="BEST BUY 00001404295 SAN CARLOS CA"/>
    <n v="255.92"/>
    <x v="2"/>
    <x v="83"/>
    <x v="10"/>
    <x v="1"/>
    <x v="2"/>
    <n v="367.89999999999583"/>
  </r>
  <r>
    <s v="10/10/2022"/>
    <s v="10/10/2022"/>
    <s v="IN N OUT BURGER 257 SAN CARLOS CA"/>
    <n v="8.64"/>
    <x v="1"/>
    <x v="1"/>
    <x v="10"/>
    <x v="1"/>
    <x v="1"/>
    <n v="376.53999999999581"/>
  </r>
  <r>
    <s v="10/10/2022"/>
    <s v="10/10/2022"/>
    <s v="OFFICE DEPOT #558 SAN CARLOS CA"/>
    <n v="64.52"/>
    <x v="2"/>
    <x v="77"/>
    <x v="10"/>
    <x v="1"/>
    <x v="11"/>
    <n v="441.05999999999568"/>
  </r>
  <r>
    <s v="10/11/2022"/>
    <s v="10/11/2022"/>
    <s v="APPLE.COM/BILL 866-712-7753 CAAPPLE PAY ENDING IN 4775MMWBSYVSW8A0"/>
    <n v="15.89"/>
    <x v="2"/>
    <x v="18"/>
    <x v="10"/>
    <x v="2"/>
    <x v="2"/>
    <n v="456.94999999999573"/>
  </r>
  <r>
    <s v="10/11/2022"/>
    <s v="10/11/2022"/>
    <s v="BEST BUY 00001404295 SAN CARLOS CA"/>
    <n v="114.8"/>
    <x v="2"/>
    <x v="83"/>
    <x v="10"/>
    <x v="1"/>
    <x v="2"/>
    <n v="571.74999999999568"/>
  </r>
  <r>
    <s v="10/11/2022"/>
    <s v="10/11/2022"/>
    <s v="CVS/PHARMACY #09940 SAN MATEO CA"/>
    <n v="27.17"/>
    <x v="2"/>
    <x v="15"/>
    <x v="10"/>
    <x v="1"/>
    <x v="6"/>
    <n v="598.91999999999564"/>
  </r>
  <r>
    <s v="10/12/2022"/>
    <s v="10/12/2022"/>
    <s v="PANDA EXPRESS #907 BURLINGAME CA"/>
    <n v="11.78"/>
    <x v="1"/>
    <x v="1"/>
    <x v="10"/>
    <x v="1"/>
    <x v="1"/>
    <n v="610.69999999999561"/>
  </r>
  <r>
    <s v="10/14/2022"/>
    <s v="10/14/2022"/>
    <s v="NEW ERITREA RESTAURANT SAN FRANCISCOCA"/>
    <n v="55.84"/>
    <x v="1"/>
    <x v="1"/>
    <x v="10"/>
    <x v="1"/>
    <x v="1"/>
    <n v="666.53999999999564"/>
  </r>
  <r>
    <s v="10/15/2022"/>
    <s v="10/15/2022"/>
    <s v="EXXONMOBIL SAN MATEO CA"/>
    <n v="60.05"/>
    <x v="9"/>
    <x v="17"/>
    <x v="10"/>
    <x v="1"/>
    <x v="7"/>
    <n v="726.5899999999956"/>
  </r>
  <r>
    <s v="10/15/2022"/>
    <s v="10/15/2022"/>
    <s v="LYFT *1 RIDE 10-13 855-865-9553 CAITEM TRANSFERRED FROM PREV ACCOUNT"/>
    <n v="18.27"/>
    <x v="2"/>
    <x v="25"/>
    <x v="10"/>
    <x v="1"/>
    <x v="7"/>
    <n v="744.85999999999558"/>
  </r>
  <r>
    <s v="10/15/2022"/>
    <s v="10/15/2022"/>
    <s v="SPOTIFY P1E5A12A82 8777781161 NY"/>
    <n v="4.99"/>
    <x v="2"/>
    <x v="4"/>
    <x v="10"/>
    <x v="2"/>
    <x v="2"/>
    <n v="749.84999999999559"/>
  </r>
  <r>
    <s v="10/15/2022"/>
    <s v="10/15/2022"/>
    <s v="WILEY 800-434-3433 NJ"/>
    <n v="109"/>
    <x v="2"/>
    <x v="31"/>
    <x v="10"/>
    <x v="1"/>
    <x v="6"/>
    <n v="858.84999999999559"/>
  </r>
  <r>
    <s v="10/16/2022"/>
    <s v="10/16/2022"/>
    <s v="ONLYFANS.COM 8886880458 FL"/>
    <n v="5.3"/>
    <x v="2"/>
    <x v="27"/>
    <x v="10"/>
    <x v="1"/>
    <x v="2"/>
    <n v="864.14999999999554"/>
  </r>
  <r>
    <s v="10/16/2022"/>
    <s v="10/16/2022"/>
    <s v="TST* ICICLES - MOUNTAIN MOUNTAIN VIEWCA"/>
    <n v="15"/>
    <x v="1"/>
    <x v="2"/>
    <x v="10"/>
    <x v="1"/>
    <x v="1"/>
    <n v="879.14999999999554"/>
  </r>
  <r>
    <s v="10/16/2022"/>
    <s v="10/16/2022"/>
    <s v="ONLYFANS.COM 8886880458 FL"/>
    <n v="10.52"/>
    <x v="2"/>
    <x v="27"/>
    <x v="10"/>
    <x v="1"/>
    <x v="2"/>
    <n v="889.66999999999553"/>
  </r>
  <r>
    <s v="10/16/2022"/>
    <s v="10/16/2022"/>
    <s v="CCBILL.COM 888-5969279 AZ"/>
    <n v="6.37"/>
    <x v="2"/>
    <x v="27"/>
    <x v="10"/>
    <x v="1"/>
    <x v="2"/>
    <n v="896.03999999999553"/>
  </r>
  <r>
    <s v="10/16/2022"/>
    <s v="10/16/2022"/>
    <s v="ONLYFANS.COM 8886880458 FL"/>
    <n v="7.97"/>
    <x v="2"/>
    <x v="27"/>
    <x v="10"/>
    <x v="1"/>
    <x v="2"/>
    <n v="904.00999999999556"/>
  </r>
  <r>
    <s v="10/16/2022"/>
    <s v="10/16/2022"/>
    <s v="ONLYFANS.COM 8886880458 FL"/>
    <n v="9.56"/>
    <x v="2"/>
    <x v="27"/>
    <x v="10"/>
    <x v="1"/>
    <x v="2"/>
    <n v="913.5699999999955"/>
  </r>
  <r>
    <s v="10/17/2022"/>
    <s v="10/17/2022"/>
    <s v="APPLE.COM/BILL 111-111-1111 CAAPPLE PAY ENDING IN 4775"/>
    <n v="5.29"/>
    <x v="2"/>
    <x v="23"/>
    <x v="10"/>
    <x v="2"/>
    <x v="2"/>
    <n v="918.85999999999547"/>
  </r>
  <r>
    <s v="10/17/2022"/>
    <s v="10/17/2022"/>
    <s v="SPORTSLINE 888-508-3055 CA"/>
    <n v="24.99"/>
    <x v="2"/>
    <x v="84"/>
    <x v="10"/>
    <x v="1"/>
    <x v="6"/>
    <n v="943.84999999999548"/>
  </r>
  <r>
    <s v="10/17/2022"/>
    <s v="10/17/2022"/>
    <s v="TARGET 00011221091 SAN MATEO CA"/>
    <n v="13.36"/>
    <x v="6"/>
    <x v="22"/>
    <x v="10"/>
    <x v="1"/>
    <x v="6"/>
    <n v="957.20999999999549"/>
  </r>
  <r>
    <s v="10/17/2022"/>
    <s v="10/17/2022"/>
    <s v="TMOBILE*AUTO PAY 800-937-8997 WAITEM TRANSFERRED FROM PREV ACCOUNT"/>
    <n v="70"/>
    <x v="2"/>
    <x v="21"/>
    <x v="10"/>
    <x v="1"/>
    <x v="4"/>
    <n v="1027.209999999995"/>
  </r>
  <r>
    <s v="10/17/2022"/>
    <s v="10/17/2022"/>
    <s v="UNIQLO HILLSDALE #37 SAN MATEO CA"/>
    <n v="164.1"/>
    <x v="2"/>
    <x v="43"/>
    <x v="10"/>
    <x v="1"/>
    <x v="6"/>
    <n v="1191.3099999999949"/>
  </r>
  <r>
    <s v="10/19/2022"/>
    <s v="10/19/2022"/>
    <s v="STORE*TEA PLUS NOODLES 6506819470 CA"/>
    <n v="23.26"/>
    <x v="1"/>
    <x v="2"/>
    <x v="10"/>
    <x v="1"/>
    <x v="1"/>
    <n v="1214.5699999999949"/>
  </r>
  <r>
    <s v="10/20/2022"/>
    <s v="10/20/2022"/>
    <s v="SAFEWAY #0970 SAN MATEO CA"/>
    <n v="22.58"/>
    <x v="6"/>
    <x v="11"/>
    <x v="10"/>
    <x v="1"/>
    <x v="1"/>
    <n v="1237.1499999999951"/>
  </r>
  <r>
    <s v="10/20/2022"/>
    <s v="10/20/2022"/>
    <s v="BIG 5 SPORTING GOODS 092 SAN MATEO CA"/>
    <n v="13.13"/>
    <x v="2"/>
    <x v="85"/>
    <x v="10"/>
    <x v="1"/>
    <x v="6"/>
    <n v="1250.279999999995"/>
  </r>
  <r>
    <s v="10/21/2022"/>
    <s v="10/21/2022"/>
    <s v="SQ *OCEANIC FOOT SPA BURLINGAME CA0001152921512067404405"/>
    <n v="45"/>
    <x v="4"/>
    <x v="2"/>
    <x v="10"/>
    <x v="1"/>
    <x v="1"/>
    <n v="1295.279999999995"/>
  </r>
  <r>
    <s v="10/22/2022"/>
    <s v="10/22/2022"/>
    <s v="INTERNET PAYMENT - THANK YOU"/>
    <n v="-1227.7"/>
    <x v="3"/>
    <x v="5"/>
    <x v="10"/>
    <x v="1"/>
    <x v="3"/>
    <n v="67.57999999999538"/>
  </r>
  <r>
    <s v="10/22/2022"/>
    <s v="10/22/2022"/>
    <s v="SFO THE PLANT SAN FRANCISCOCA02257R"/>
    <n v="21.09"/>
    <x v="1"/>
    <x v="2"/>
    <x v="10"/>
    <x v="1"/>
    <x v="1"/>
    <n v="88.669999999995383"/>
  </r>
  <r>
    <s v="10/22/2022"/>
    <s v="10/22/2022"/>
    <s v="SQ *GOTHAM ENTERPRISE SAN FRANCISCOCA0001152921512069619412"/>
    <n v="9.91"/>
    <x v="1"/>
    <x v="2"/>
    <x v="10"/>
    <x v="1"/>
    <x v="1"/>
    <n v="98.57999999999538"/>
  </r>
  <r>
    <s v="10/23/2022"/>
    <s v="10/23/2022"/>
    <s v="UBER TRIP 866-576-1039 CA"/>
    <n v="5"/>
    <x v="7"/>
    <x v="25"/>
    <x v="10"/>
    <x v="1"/>
    <x v="7"/>
    <n v="103.57999999999539"/>
  </r>
  <r>
    <s v="10/23/2022"/>
    <s v="10/23/2022"/>
    <s v="UBER TRIP 866-576-1039 CA"/>
    <n v="19.96"/>
    <x v="7"/>
    <x v="25"/>
    <x v="10"/>
    <x v="1"/>
    <x v="7"/>
    <n v="123.5399999999954"/>
  </r>
  <r>
    <s v="10/23/2022"/>
    <s v="10/23/2022"/>
    <s v="UBER TRIP 866-576-1039 CA"/>
    <n v="15.91"/>
    <x v="7"/>
    <x v="25"/>
    <x v="10"/>
    <x v="1"/>
    <x v="7"/>
    <n v="139.44999999999541"/>
  </r>
  <r>
    <s v="10/23/2022"/>
    <s v="10/23/2022"/>
    <s v="UBER TRIP 866-576-1039 CA"/>
    <n v="5"/>
    <x v="7"/>
    <x v="25"/>
    <x v="10"/>
    <x v="1"/>
    <x v="7"/>
    <n v="144.44999999999541"/>
  </r>
  <r>
    <s v="10/23/2022"/>
    <s v="10/23/2022"/>
    <s v="TST* FOGON COCINA MEXI SEATTLE WA00043443009062371910AA"/>
    <n v="120.11"/>
    <x v="1"/>
    <x v="2"/>
    <x v="10"/>
    <x v="1"/>
    <x v="1"/>
    <n v="264.5599999999954"/>
  </r>
  <r>
    <s v="10/23/2022"/>
    <s v="10/23/2022"/>
    <s v="UBER TRIP 866-576-1039 CAAPPLE PAY ENDING IN 1455"/>
    <n v="23.9"/>
    <x v="7"/>
    <x v="25"/>
    <x v="10"/>
    <x v="1"/>
    <x v="7"/>
    <n v="288.45999999999538"/>
  </r>
  <r>
    <s v="10/23/2022"/>
    <s v="10/23/2022"/>
    <s v="GREEN TORTOISE HOSTEL SEATTLE WA"/>
    <n v="138.53"/>
    <x v="7"/>
    <x v="86"/>
    <x v="10"/>
    <x v="1"/>
    <x v="11"/>
    <n v="426.98999999999529"/>
  </r>
  <r>
    <s v="10/23/2022"/>
    <s v="10/23/2022"/>
    <s v="ATI5235-013224201 310-627-2866 CA"/>
    <n v="54.45"/>
    <x v="7"/>
    <x v="82"/>
    <x v="10"/>
    <x v="1"/>
    <x v="0"/>
    <n v="481.43999999999528"/>
  </r>
  <r>
    <s v="10/23/2022"/>
    <s v="10/23/2022"/>
    <s v="AMC 0880 PACIFIC PLACE SEATTLE WA"/>
    <n v="19.72"/>
    <x v="7"/>
    <x v="40"/>
    <x v="10"/>
    <x v="1"/>
    <x v="2"/>
    <n v="501.15999999999531"/>
  </r>
  <r>
    <s v="10/23/2022"/>
    <s v="10/23/2022"/>
    <s v="712 GARAGE LANES 8003425 SEATTLE WA"/>
    <n v="120.27"/>
    <x v="7"/>
    <x v="87"/>
    <x v="10"/>
    <x v="1"/>
    <x v="2"/>
    <n v="621.42999999999529"/>
  </r>
  <r>
    <s v="10/23/2022"/>
    <s v="10/23/2022"/>
    <s v="712 GARAGE LANES 8003425 SEATTLE WA"/>
    <n v="46.46"/>
    <x v="7"/>
    <x v="87"/>
    <x v="10"/>
    <x v="1"/>
    <x v="2"/>
    <n v="667.88999999999533"/>
  </r>
  <r>
    <s v="10/23/2022"/>
    <s v="10/23/2022"/>
    <s v="ORCA SEATTLE WA"/>
    <n v="69"/>
    <x v="7"/>
    <x v="70"/>
    <x v="10"/>
    <x v="1"/>
    <x v="7"/>
    <n v="736.88999999999533"/>
  </r>
  <r>
    <s v="10/24/2022"/>
    <s v="10/24/2022"/>
    <s v="WWW.WEWORK.COM 6467604450 NY"/>
    <n v="29"/>
    <x v="4"/>
    <x v="60"/>
    <x v="10"/>
    <x v="1"/>
    <x v="6"/>
    <n v="765.88999999999533"/>
  </r>
  <r>
    <s v="10/24/2022"/>
    <s v="10/24/2022"/>
    <s v="UBER TRIP 866-576-1039 CAAPPLE PAY ENDING IN 1455"/>
    <n v="21.99"/>
    <x v="7"/>
    <x v="25"/>
    <x v="10"/>
    <x v="1"/>
    <x v="7"/>
    <n v="787.87999999999533"/>
  </r>
  <r>
    <s v="10/24/2022"/>
    <s v="10/24/2022"/>
    <s v="UBER TRIP 866-576-1039 CAAPPLE PAY ENDING IN 1455"/>
    <n v="15.9"/>
    <x v="7"/>
    <x v="25"/>
    <x v="10"/>
    <x v="1"/>
    <x v="7"/>
    <n v="803.77999999999531"/>
  </r>
  <r>
    <s v="10/24/2022"/>
    <s v="10/24/2022"/>
    <s v="TARGET 00027862091 SEATTLE WA"/>
    <n v="7.93"/>
    <x v="6"/>
    <x v="22"/>
    <x v="10"/>
    <x v="1"/>
    <x v="6"/>
    <n v="811.70999999999526"/>
  </r>
  <r>
    <s v="10/24/2022"/>
    <s v="10/24/2022"/>
    <s v="KJ'S BAR SEATTLE WA02402R"/>
    <n v="11.04"/>
    <x v="1"/>
    <x v="2"/>
    <x v="10"/>
    <x v="1"/>
    <x v="1"/>
    <n v="822.74999999999523"/>
  </r>
  <r>
    <s v="10/24/2022"/>
    <s v="10/24/2022"/>
    <s v="CHUKAR CHERRY COMPANY SEATTLE WA"/>
    <n v="13.5"/>
    <x v="2"/>
    <x v="2"/>
    <x v="10"/>
    <x v="1"/>
    <x v="1"/>
    <n v="836.24999999999523"/>
  </r>
  <r>
    <s v="10/24/2022"/>
    <s v="10/24/2022"/>
    <s v="AYTTHAYA THAI SEATTLE WA"/>
    <n v="55.75"/>
    <x v="1"/>
    <x v="2"/>
    <x v="10"/>
    <x v="1"/>
    <x v="1"/>
    <n v="891.99999999999523"/>
  </r>
  <r>
    <s v="10/24/2022"/>
    <s v="10/24/2022"/>
    <s v="MOD PIZZA DWNT SEATTLE SEATTLE WA02433R"/>
    <n v="32.700000000000003"/>
    <x v="1"/>
    <x v="1"/>
    <x v="10"/>
    <x v="1"/>
    <x v="1"/>
    <n v="924.69999999999527"/>
  </r>
  <r>
    <s v="10/25/2022"/>
    <s v="10/25/2022"/>
    <s v="URBAN MKT CONCOURSE D SEATTLE WA"/>
    <n v="9.44"/>
    <x v="2"/>
    <x v="2"/>
    <x v="10"/>
    <x v="1"/>
    <x v="1"/>
    <n v="934.13999999999533"/>
  </r>
  <r>
    <s v="10/25/2022"/>
    <s v="10/25/2022"/>
    <s v="WWW.WEWORK.COM 6467604450 NY"/>
    <n v="29"/>
    <x v="4"/>
    <x v="60"/>
    <x v="10"/>
    <x v="1"/>
    <x v="6"/>
    <n v="963.13999999999533"/>
  </r>
  <r>
    <s v="10/25/2022"/>
    <s v="10/25/2022"/>
    <s v="WWW.WEWORK.COM 6467604450 NY"/>
    <n v="29"/>
    <x v="4"/>
    <x v="60"/>
    <x v="10"/>
    <x v="1"/>
    <x v="6"/>
    <n v="992.13999999999533"/>
  </r>
  <r>
    <s v="10/25/2022"/>
    <s v="10/25/2022"/>
    <s v="UBER TRIP 866-576-1039 CAAPPLE PAY ENDING IN 1455"/>
    <n v="25.11"/>
    <x v="7"/>
    <x v="25"/>
    <x v="10"/>
    <x v="1"/>
    <x v="7"/>
    <n v="1017.249999999995"/>
  </r>
  <r>
    <s v="10/25/2022"/>
    <s v="10/25/2022"/>
    <s v="JACK'S FISH SPOT SEATTLE WA"/>
    <n v="33.799999999999997"/>
    <x v="1"/>
    <x v="2"/>
    <x v="10"/>
    <x v="1"/>
    <x v="1"/>
    <n v="1051.049999999995"/>
  </r>
  <r>
    <s v="10/25/2022"/>
    <s v="10/25/2022"/>
    <s v="UBER TRIP 866-576-1039 CAAPPLE PAY ENDING IN 1455"/>
    <n v="3"/>
    <x v="7"/>
    <x v="25"/>
    <x v="10"/>
    <x v="1"/>
    <x v="7"/>
    <n v="1054.049999999995"/>
  </r>
  <r>
    <s v="10/25/2022"/>
    <s v="10/25/2022"/>
    <s v="THE NEW STAND TN SEA SEATTLE WA"/>
    <n v="10.98"/>
    <x v="2"/>
    <x v="2"/>
    <x v="10"/>
    <x v="1"/>
    <x v="1"/>
    <n v="1065.029999999995"/>
  </r>
  <r>
    <s v="10/25/2022"/>
    <s v="10/25/2022"/>
    <s v="INMOTION-814 SEATTLE WA02508R"/>
    <n v="44.03"/>
    <x v="2"/>
    <x v="2"/>
    <x v="10"/>
    <x v="1"/>
    <x v="1"/>
    <n v="1109.0599999999949"/>
  </r>
  <r>
    <s v="10/25/2022"/>
    <s v="10/25/2022"/>
    <s v="UBER TRIP 866-576-1039 CAAPPLE PAY ENDING IN 1455"/>
    <n v="16.98"/>
    <x v="7"/>
    <x v="25"/>
    <x v="10"/>
    <x v="1"/>
    <x v="7"/>
    <n v="1126.039999999995"/>
  </r>
  <r>
    <s v="10/26/2022"/>
    <s v="10/26/2022"/>
    <s v="CCBILL.COM 888-5969279 AZ"/>
    <n v="10.62"/>
    <x v="2"/>
    <x v="27"/>
    <x v="10"/>
    <x v="1"/>
    <x v="2"/>
    <n v="1136.6599999999951"/>
  </r>
  <r>
    <s v="10/26/2022"/>
    <s v="10/26/2022"/>
    <s v="UBER TRIP 866-576-1039 CAAPPLE PAY ENDING IN 1455"/>
    <n v="58.54"/>
    <x v="7"/>
    <x v="25"/>
    <x v="10"/>
    <x v="1"/>
    <x v="7"/>
    <n v="1195.199999999995"/>
  </r>
  <r>
    <s v="10/27/2022"/>
    <s v="10/27/2022"/>
    <s v="APPLE.COM/BILL 111-111-1111 CAAPPLE PAY ENDING IN 4775"/>
    <n v="3.17"/>
    <x v="2"/>
    <x v="67"/>
    <x v="10"/>
    <x v="2"/>
    <x v="2"/>
    <n v="1198.3699999999949"/>
  </r>
  <r>
    <s v="10/27/2022"/>
    <s v="10/27/2022"/>
    <s v="PANDA EXPRESS #907 BURLINGAME CA"/>
    <n v="15.62"/>
    <x v="1"/>
    <x v="1"/>
    <x v="10"/>
    <x v="1"/>
    <x v="1"/>
    <n v="1213.989999999995"/>
  </r>
  <r>
    <s v="10/28/2022"/>
    <s v="10/28/2022"/>
    <s v="PANDA EXPRESS #907 BURLINGAME CA"/>
    <n v="12.06"/>
    <x v="1"/>
    <x v="1"/>
    <x v="10"/>
    <x v="1"/>
    <x v="1"/>
    <n v="1226.049999999995"/>
  </r>
  <r>
    <s v="10/28/2022"/>
    <s v="10/28/2022"/>
    <s v="SAFEWAY #1547 BURLINGAME CA"/>
    <n v="18.23"/>
    <x v="6"/>
    <x v="11"/>
    <x v="10"/>
    <x v="1"/>
    <x v="1"/>
    <n v="1244.279999999995"/>
  </r>
  <r>
    <s v="10/28/2022"/>
    <s v="10/28/2022"/>
    <s v="TARGET 00011221091 SAN MATEO CA"/>
    <n v="83.77"/>
    <x v="6"/>
    <x v="22"/>
    <x v="10"/>
    <x v="1"/>
    <x v="6"/>
    <n v="1328.049999999995"/>
  </r>
  <r>
    <s v="10/30/2022"/>
    <s v="10/30/2022"/>
    <s v="SQ *URBAN RITUAL SAN MATEO CA0001152921512104496355"/>
    <n v="7.4"/>
    <x v="1"/>
    <x v="2"/>
    <x v="10"/>
    <x v="1"/>
    <x v="1"/>
    <n v="1335.449999999995"/>
  </r>
  <r>
    <s v="10/30/2022"/>
    <s v="10/30/2022"/>
    <s v="BED BATH &amp; BEYOND #539 REDWOOD CITY CA"/>
    <n v="42.83"/>
    <x v="2"/>
    <x v="88"/>
    <x v="10"/>
    <x v="1"/>
    <x v="6"/>
    <n v="1378.279999999995"/>
  </r>
  <r>
    <s v="10/30/2022"/>
    <s v="10/30/2022"/>
    <s v="SP DROP.COM 4153402999 CA"/>
    <n v="141.87"/>
    <x v="2"/>
    <x v="83"/>
    <x v="10"/>
    <x v="1"/>
    <x v="2"/>
    <n v="1520.1499999999951"/>
  </r>
  <r>
    <s v="10/30/2022"/>
    <s v="10/30/2022"/>
    <s v="AMZN MKTP US*H87H10YV2 AMZN.COM/BILLWA43PGLVJVN15"/>
    <n v="25.04"/>
    <x v="2"/>
    <x v="13"/>
    <x v="10"/>
    <x v="1"/>
    <x v="6"/>
    <n v="1545.1899999999951"/>
  </r>
  <r>
    <s v="10/30/2022"/>
    <s v="10/30/2022"/>
    <s v="ARCO#05369FD GAS FREMONT CA"/>
    <n v="51.94"/>
    <x v="9"/>
    <x v="17"/>
    <x v="10"/>
    <x v="1"/>
    <x v="7"/>
    <n v="1597.1299999999951"/>
  </r>
  <r>
    <s v="10/31/2022"/>
    <s v="10/31/2022"/>
    <s v="BED BATH &amp; BEYOND #315 DALY CITY CA"/>
    <n v="95.58"/>
    <x v="2"/>
    <x v="88"/>
    <x v="10"/>
    <x v="1"/>
    <x v="6"/>
    <n v="1692.709999999995"/>
  </r>
  <r>
    <s v="10/31/2022"/>
    <s v="10/31/2022"/>
    <s v="PANDA EXPRESS #907 P 800-877-8988 CAAPPLE PAY ENDING IN 1455"/>
    <n v="14.25"/>
    <x v="1"/>
    <x v="1"/>
    <x v="10"/>
    <x v="1"/>
    <x v="1"/>
    <n v="1706.959999999995"/>
  </r>
  <r>
    <s v="10/31/2022"/>
    <s v="10/31/2022"/>
    <s v="THE HOME DEPOT #0639 COLMA CA"/>
    <n v="7.2"/>
    <x v="14"/>
    <x v="77"/>
    <x v="10"/>
    <x v="1"/>
    <x v="11"/>
    <n v="1714.1599999999951"/>
  </r>
  <r>
    <s v="11/01/2022"/>
    <s v="11/01/2022"/>
    <s v="OBSIDIAN.MD 2262203323 CAN"/>
    <n v="10"/>
    <x v="2"/>
    <x v="31"/>
    <x v="11"/>
    <x v="1"/>
    <x v="6"/>
    <n v="1724.1599999999951"/>
  </r>
  <r>
    <s v="11/01/2022"/>
    <s v="11/01/2022"/>
    <s v="PANDA EXPRESS #907 P 800-877-8988 CAAPPLE PAY ENDING IN 1455"/>
    <n v="12.61"/>
    <x v="1"/>
    <x v="1"/>
    <x v="11"/>
    <x v="1"/>
    <x v="1"/>
    <n v="1736.769999999995"/>
  </r>
  <r>
    <s v="11/01/2022"/>
    <s v="11/01/2022"/>
    <s v="SQ *ROYAL DONUT BURLINGAME CA0001152921512111235259"/>
    <n v="12.84"/>
    <x v="1"/>
    <x v="2"/>
    <x v="11"/>
    <x v="1"/>
    <x v="1"/>
    <n v="1749.6099999999949"/>
  </r>
  <r>
    <s v="11/01/2022"/>
    <s v="11/03/2022"/>
    <s v="NETFLIX.COM NETFLIX.COM CAITEM TRANSFERRED FROM PREV ACCOUNT"/>
    <n v="10.59"/>
    <x v="2"/>
    <x v="3"/>
    <x v="11"/>
    <x v="2"/>
    <x v="2"/>
    <n v="1760.199999999995"/>
  </r>
  <r>
    <s v="11/01/2022"/>
    <s v="11/03/2022"/>
    <s v="PLANNED PARENTHOOD ACTIO NEW YORK NY"/>
    <n v="25"/>
    <x v="4"/>
    <x v="72"/>
    <x v="11"/>
    <x v="2"/>
    <x v="6"/>
    <n v="1785.199999999995"/>
  </r>
  <r>
    <s v="11/01/2022"/>
    <s v="11/03/2022"/>
    <s v="SPOTIFY P1EAE34282 8777781161 NYITEM TRANSFERRED FROM PREV ACCOUNT"/>
    <n v="9.99"/>
    <x v="2"/>
    <x v="4"/>
    <x v="11"/>
    <x v="2"/>
    <x v="2"/>
    <n v="1795.1899999999951"/>
  </r>
  <r>
    <s v="11/02/2022"/>
    <s v="11/03/2022"/>
    <s v="KRYSTAL AND SAAGAR 2025317527 DCITEM TRANSFERRED FROM PREV ACCOUNT"/>
    <n v="10"/>
    <x v="2"/>
    <x v="6"/>
    <x v="11"/>
    <x v="2"/>
    <x v="2"/>
    <n v="1805.1899999999951"/>
  </r>
  <r>
    <s v="11/03/2022"/>
    <s v="11/03/2022"/>
    <s v="STATE FARM INSURANCE 800-956-6310 ILITEM TRANSFERRED FROM PREV ACCOUNT"/>
    <n v="80.08"/>
    <x v="2"/>
    <x v="9"/>
    <x v="11"/>
    <x v="2"/>
    <x v="5"/>
    <n v="1885.269999999995"/>
  </r>
  <r>
    <s v="11/03/2022"/>
    <s v="11/03/2022"/>
    <s v="PANDA EXPRESS #907 P 800-877-8988 CAAPPLE PAY ENDING IN 1455"/>
    <n v="14.25"/>
    <x v="1"/>
    <x v="1"/>
    <x v="11"/>
    <x v="1"/>
    <x v="1"/>
    <n v="1899.519999999995"/>
  </r>
  <r>
    <s v="11/03/2022"/>
    <s v="11/03/2022"/>
    <s v="LEETCODE.COM 9167018853 CA"/>
    <n v="35"/>
    <x v="2"/>
    <x v="89"/>
    <x v="11"/>
    <x v="1"/>
    <x v="6"/>
    <n v="1934.519999999995"/>
  </r>
  <r>
    <s v="11/03/2022"/>
    <s v="11/03/2022"/>
    <s v="FEDEX 940777260572 901-4348994 TN"/>
    <n v="4.37"/>
    <x v="4"/>
    <x v="90"/>
    <x v="11"/>
    <x v="1"/>
    <x v="8"/>
    <n v="1938.8899999999951"/>
  </r>
  <r>
    <s v="11/03/2022"/>
    <s v="11/03/2022"/>
    <s v="GOOGLE *YT PRIMETIME G.CO/HELPPAY#CAP0N4NGAC"/>
    <n v="15.89"/>
    <x v="4"/>
    <x v="91"/>
    <x v="11"/>
    <x v="1"/>
    <x v="2"/>
    <n v="1954.779999999995"/>
  </r>
  <r>
    <s v="11/03/2022"/>
    <s v="11/03/2022"/>
    <s v="INTERNET PAYMENT - THANK YOU"/>
    <n v="-1749.61"/>
    <x v="3"/>
    <x v="5"/>
    <x v="11"/>
    <x v="1"/>
    <x v="3"/>
    <n v="205.16999999999479"/>
  </r>
  <r>
    <s v="11/04/2022"/>
    <s v="11/04/2022"/>
    <s v="APPLE FRITTER SAN MATEO CA"/>
    <n v="23.94"/>
    <x v="1"/>
    <x v="2"/>
    <x v="11"/>
    <x v="1"/>
    <x v="1"/>
    <n v="229.10999999999481"/>
  </r>
  <r>
    <s v="11/04/2022"/>
    <s v="11/04/2022"/>
    <s v="EXTRA SPACE 1461 BURLINGAME CA"/>
    <n v="161.6"/>
    <x v="4"/>
    <x v="81"/>
    <x v="11"/>
    <x v="1"/>
    <x v="4"/>
    <n v="390.70999999999481"/>
  </r>
  <r>
    <s v="11/04/2022"/>
    <s v="11/04/2022"/>
    <s v="FEDEX 390206021513 901-4348994 TN"/>
    <n v="20.25"/>
    <x v="4"/>
    <x v="90"/>
    <x v="11"/>
    <x v="1"/>
    <x v="8"/>
    <n v="410.95999999999481"/>
  </r>
  <r>
    <s v="11/04/2022"/>
    <s v="11/04/2022"/>
    <s v="LYFT *1 RIDE 11-02 855-865-9553 CAITEM TRANSFERRED FROM PREV ACCOUNT"/>
    <n v="10.9"/>
    <x v="2"/>
    <x v="25"/>
    <x v="11"/>
    <x v="1"/>
    <x v="7"/>
    <n v="421.85999999999478"/>
  </r>
  <r>
    <s v="11/04/2022"/>
    <s v="11/04/2022"/>
    <s v="WWW.WEWORK.COM 6467604450 NY"/>
    <n v="29"/>
    <x v="4"/>
    <x v="60"/>
    <x v="11"/>
    <x v="1"/>
    <x v="6"/>
    <n v="450.85999999999478"/>
  </r>
  <r>
    <s v="11/05/2022"/>
    <s v="11/05/2022"/>
    <s v="SQ *FRANK GRIZZLY?S SAN FRANCISCOCA0001152921512127443477"/>
    <n v="97.45"/>
    <x v="1"/>
    <x v="2"/>
    <x v="11"/>
    <x v="1"/>
    <x v="1"/>
    <n v="548.30999999999483"/>
  </r>
  <r>
    <s v="11/05/2022"/>
    <s v="11/05/2022"/>
    <s v="ANCHOR PUBLIC TAPS SAN FRANCISCOCA"/>
    <n v="8.4"/>
    <x v="1"/>
    <x v="2"/>
    <x v="11"/>
    <x v="1"/>
    <x v="1"/>
    <n v="556.70999999999481"/>
  </r>
  <r>
    <s v="11/06/2022"/>
    <s v="11/06/2022"/>
    <s v="APPLE.COM/BILL 866-712-7753 CAMMWBVG39H4A0"/>
    <n v="9.99"/>
    <x v="2"/>
    <x v="82"/>
    <x v="11"/>
    <x v="1"/>
    <x v="0"/>
    <n v="566.69999999999482"/>
  </r>
  <r>
    <s v="11/07/2022"/>
    <s v="11/07/2022"/>
    <s v="WHOLEFDS SMT 10150 SAN MATEO CA"/>
    <n v="16.59"/>
    <x v="6"/>
    <x v="11"/>
    <x v="11"/>
    <x v="1"/>
    <x v="1"/>
    <n v="583.28999999999485"/>
  </r>
  <r>
    <s v="11/07/2022"/>
    <s v="11/07/2022"/>
    <s v="HABIT SAN MATEO #50 SAN MATEO CA"/>
    <n v="15.67"/>
    <x v="1"/>
    <x v="2"/>
    <x v="11"/>
    <x v="1"/>
    <x v="1"/>
    <n v="598.95999999999481"/>
  </r>
  <r>
    <s v="11/08/2022"/>
    <s v="11/08/2022"/>
    <s v="NBA*SACRAMENTO KINGS 916-928-3683 CAMICD58A500-ERBAN"/>
    <n v="158"/>
    <x v="7"/>
    <x v="2"/>
    <x v="11"/>
    <x v="1"/>
    <x v="1"/>
    <n v="756.95999999999481"/>
  </r>
  <r>
    <s v="11/09/2022"/>
    <s v="11/09/2022"/>
    <s v="AMZN MKTP US*HB4TE31U0 AMZN.COM/BILLWA4JBTMKBCPJP"/>
    <n v="117.27"/>
    <x v="2"/>
    <x v="13"/>
    <x v="11"/>
    <x v="1"/>
    <x v="6"/>
    <n v="874.22999999999479"/>
  </r>
  <r>
    <s v="11/09/2022"/>
    <s v="11/09/2022"/>
    <s v="ATI49980-11090430 310-627-2866 CAAPPLE PAY ENDING IN 1455"/>
    <n v="71.67"/>
    <x v="7"/>
    <x v="82"/>
    <x v="11"/>
    <x v="1"/>
    <x v="0"/>
    <n v="945.89999999999475"/>
  </r>
  <r>
    <s v="11/09/2022"/>
    <s v="11/09/2022"/>
    <s v="BEST BUY 00008730295 COLMA CA"/>
    <n v="36.46"/>
    <x v="2"/>
    <x v="83"/>
    <x v="11"/>
    <x v="1"/>
    <x v="2"/>
    <n v="982.35999999999478"/>
  </r>
  <r>
    <s v="11/09/2022"/>
    <s v="11/09/2022"/>
    <s v="FUEL 24 7 WESTBOROUGH SAN FRANCISCOCA"/>
    <n v="48.65"/>
    <x v="9"/>
    <x v="17"/>
    <x v="11"/>
    <x v="1"/>
    <x v="7"/>
    <n v="1031.009999999995"/>
  </r>
  <r>
    <s v="11/09/2022"/>
    <s v="11/09/2022"/>
    <s v="GOOGLE *YOUTUBE TV G.CO/HELPPAY#CAP0NDWKX1"/>
    <n v="64.989999999999995"/>
    <x v="4"/>
    <x v="37"/>
    <x v="11"/>
    <x v="2"/>
    <x v="2"/>
    <n v="1095.999999999995"/>
  </r>
  <r>
    <s v="11/09/2022"/>
    <s v="11/09/2022"/>
    <s v="STORE*TEA PLUS NOODLES 6506819470 CA"/>
    <n v="16.75"/>
    <x v="1"/>
    <x v="2"/>
    <x v="11"/>
    <x v="1"/>
    <x v="1"/>
    <n v="1112.749999999995"/>
  </r>
  <r>
    <s v="11/10/2022"/>
    <s v="11/10/2022"/>
    <s v="WALGREENS #12257 BURLINGAME CA"/>
    <n v="30.28"/>
    <x v="2"/>
    <x v="15"/>
    <x v="11"/>
    <x v="1"/>
    <x v="6"/>
    <n v="1143.029999999995"/>
  </r>
  <r>
    <s v="11/11/2022"/>
    <s v="11/11/2022"/>
    <s v="MAIDO STATIONERY - SJ SAN JOSE CA"/>
    <n v="37.119999999999997"/>
    <x v="2"/>
    <x v="77"/>
    <x v="11"/>
    <x v="1"/>
    <x v="11"/>
    <n v="1180.1499999999951"/>
  </r>
  <r>
    <s v="11/11/2022"/>
    <s v="11/11/2022"/>
    <s v="SQ *SALT &amp; STRAW SAN JOSE CA0001152921512150964054"/>
    <n v="7.74"/>
    <x v="1"/>
    <x v="2"/>
    <x v="11"/>
    <x v="1"/>
    <x v="1"/>
    <n v="1187.8899999999951"/>
  </r>
  <r>
    <s v="11/11/2022"/>
    <s v="11/11/2022"/>
    <s v="COCOLA SAN JOSE CA"/>
    <n v="6.12"/>
    <x v="1"/>
    <x v="2"/>
    <x v="11"/>
    <x v="1"/>
    <x v="1"/>
    <n v="1194.009999999995"/>
  </r>
  <r>
    <s v="11/11/2022"/>
    <s v="11/11/2022"/>
    <s v="APPLE.COM/BILL 866-712-7753 CAAPPLE PAY ENDING IN 1455MMWBVKBT8NA0"/>
    <n v="37.090000000000003"/>
    <x v="2"/>
    <x v="82"/>
    <x v="11"/>
    <x v="1"/>
    <x v="0"/>
    <n v="1231.099999999994"/>
  </r>
  <r>
    <s v="11/11/2022"/>
    <s v="11/11/2022"/>
    <s v="APPLE.COM/BILL 866-712-7753 CAAPPLE PAY ENDING IN 1455MMWBVKWJ8QA0"/>
    <n v="26.49"/>
    <x v="2"/>
    <x v="19"/>
    <x v="11"/>
    <x v="1"/>
    <x v="8"/>
    <n v="1257.589999999994"/>
  </r>
  <r>
    <s v="11/11/2022"/>
    <s v="11/11/2022"/>
    <s v="CINEPOLIS SAN MATEO SAN MATEO CA01177R"/>
    <n v="31.79"/>
    <x v="1"/>
    <x v="40"/>
    <x v="11"/>
    <x v="1"/>
    <x v="2"/>
    <n v="1289.379999999994"/>
  </r>
  <r>
    <s v="11/12/2022"/>
    <s v="11/12/2022"/>
    <s v="AMZN MKTP US*HB60245D1 AMZN.COM/BILLWATZSMW0BB17N"/>
    <n v="29.59"/>
    <x v="2"/>
    <x v="13"/>
    <x v="11"/>
    <x v="1"/>
    <x v="6"/>
    <n v="1318.9699999999939"/>
  </r>
  <r>
    <s v="11/12/2022"/>
    <s v="11/12/2022"/>
    <s v="PAYPAL *COURSE HERO 402-935-7733 CA"/>
    <n v="119.4"/>
    <x v="4"/>
    <x v="31"/>
    <x v="11"/>
    <x v="1"/>
    <x v="6"/>
    <n v="1438.369999999994"/>
  </r>
  <r>
    <s v="11/13/2022"/>
    <s v="11/13/2022"/>
    <s v="PANDA EXPRESS #907 P 800-877-8988 CAAPPLE PAY ENDING IN 1455"/>
    <n v="11.78"/>
    <x v="1"/>
    <x v="1"/>
    <x v="11"/>
    <x v="1"/>
    <x v="1"/>
    <n v="1450.149999999994"/>
  </r>
  <r>
    <s v="11/14/2022"/>
    <s v="11/14/2022"/>
    <s v="HYATT REG PHOENIX F&amp;B PHOENIX AZ"/>
    <n v="15.37"/>
    <x v="1"/>
    <x v="2"/>
    <x v="11"/>
    <x v="1"/>
    <x v="1"/>
    <n v="1465.5199999999941"/>
  </r>
  <r>
    <s v="11/14/2022"/>
    <s v="11/14/2022"/>
    <s v="SKYLINE NEWS AND GIFTS SAN FRANCISCOCA"/>
    <n v="8.35"/>
    <x v="2"/>
    <x v="68"/>
    <x v="11"/>
    <x v="1"/>
    <x v="7"/>
    <n v="1473.869999999994"/>
  </r>
  <r>
    <s v="11/14/2022"/>
    <s v="11/14/2022"/>
    <s v="SOL SCOTTSDALE SCOTTSDALE AZ"/>
    <n v="150.34"/>
    <x v="1"/>
    <x v="2"/>
    <x v="11"/>
    <x v="1"/>
    <x v="1"/>
    <n v="1624.2099999999939"/>
  </r>
  <r>
    <s v="11/14/2022"/>
    <s v="11/14/2022"/>
    <s v="WALGREENS #5893 PHOENIX AZ"/>
    <n v="30.82"/>
    <x v="2"/>
    <x v="15"/>
    <x v="11"/>
    <x v="1"/>
    <x v="6"/>
    <n v="1655.0299999999941"/>
  </r>
  <r>
    <s v="11/15/2022"/>
    <s v="11/15/2022"/>
    <s v="SPOTIFY P1EEF8D48A 8777781161 NY"/>
    <n v="4.99"/>
    <x v="2"/>
    <x v="4"/>
    <x v="11"/>
    <x v="2"/>
    <x v="2"/>
    <n v="1660.0199999999941"/>
  </r>
  <r>
    <s v="11/15/2022"/>
    <s v="11/15/2022"/>
    <s v="CASH APP*CYANFACE 415-375-3176 CAITEM TRANSFERRED FROM PREV ACCOUNT"/>
    <n v="103"/>
    <x v="2"/>
    <x v="79"/>
    <x v="11"/>
    <x v="1"/>
    <x v="9"/>
    <n v="1763.0199999999941"/>
  </r>
  <r>
    <s v="11/15/2022"/>
    <s v="11/15/2022"/>
    <s v="RASPADOS Y ANTOJITAS LA PHOENIX AZAPPLE PAY ENDING IN 1455"/>
    <n v="8.15"/>
    <x v="1"/>
    <x v="2"/>
    <x v="11"/>
    <x v="1"/>
    <x v="1"/>
    <n v="1771.1699999999939"/>
  </r>
  <r>
    <s v="11/16/2022"/>
    <s v="11/16/2022"/>
    <s v="APPLE.COM/BILL 111-111-1111 CAAPPLE PAY ENDING IN 1455"/>
    <n v="15.89"/>
    <x v="2"/>
    <x v="18"/>
    <x v="11"/>
    <x v="2"/>
    <x v="2"/>
    <n v="1787.059999999994"/>
  </r>
  <r>
    <s v="11/17/2022"/>
    <s v="11/17/2022"/>
    <s v="ALHAMBRA IRISH HOUSE REDWOOD CITY CA"/>
    <n v="73.849999999999994"/>
    <x v="1"/>
    <x v="2"/>
    <x v="11"/>
    <x v="1"/>
    <x v="1"/>
    <n v="1860.9099999999939"/>
  </r>
  <r>
    <s v="11/17/2022"/>
    <s v="11/17/2022"/>
    <s v="WWW.WEWORK.COM 6467604450 NY"/>
    <n v="39"/>
    <x v="4"/>
    <x v="60"/>
    <x v="11"/>
    <x v="1"/>
    <x v="6"/>
    <n v="1899.9099999999939"/>
  </r>
  <r>
    <s v="11/18/2022"/>
    <s v="11/18/2022"/>
    <s v="APPLE.COM/BILL 866-712-7753 CAAPPLE PAY ENDING IN 1455MMWBW5H63FA0"/>
    <n v="5.29"/>
    <x v="2"/>
    <x v="23"/>
    <x v="11"/>
    <x v="2"/>
    <x v="2"/>
    <n v="1905.1999999999939"/>
  </r>
  <r>
    <s v="11/18/2022"/>
    <s v="11/18/2022"/>
    <s v="INTERNET PAYMENT - THANK YOU"/>
    <n v="-1787.06"/>
    <x v="3"/>
    <x v="5"/>
    <x v="11"/>
    <x v="1"/>
    <x v="3"/>
    <n v="118.13999999999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3AFA1-9AAF-46EF-B17D-CB5921628E0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5" firstHeaderRow="1" firstDataRow="2" firstDataCol="1"/>
  <pivotFields count="10"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1"/>
        <item x="2"/>
        <item x="3"/>
        <item x="4"/>
        <item x="5"/>
        <item x="6"/>
        <item x="7"/>
        <item x="8"/>
        <item x="0"/>
        <item x="9"/>
        <item x="10"/>
        <item x="11"/>
        <item t="default"/>
      </items>
    </pivotField>
    <pivotField showAll="0"/>
    <pivotField axis="axisRow" showAll="0" sortType="ascending">
      <items count="13">
        <item x="1"/>
        <item x="11"/>
        <item x="5"/>
        <item x="10"/>
        <item x="8"/>
        <item h="1" x="3"/>
        <item x="9"/>
        <item x="6"/>
        <item x="2"/>
        <item x="7"/>
        <item x="4"/>
        <item h="1" x="0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dataFields count="1">
    <dataField name="Sum of Amount" fld="3" baseField="0" baseItem="0" numFmtId="165"/>
  </dataFields>
  <formats count="1">
    <format dxfId="8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60E0-3A5B-468B-AFD6-3BAFAC25A10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J33" firstHeaderRow="1" firstDataRow="2" firstDataCol="1"/>
  <pivotFields count="7">
    <pivotField numFmtId="14" showAll="0"/>
    <pivotField dataField="1" numFmtId="8" showAll="0"/>
    <pivotField numFmtId="8"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3">
        <item h="1" x="1"/>
        <item x="0"/>
        <item x="8"/>
        <item x="9"/>
        <item x="5"/>
        <item x="6"/>
        <item x="2"/>
        <item x="7"/>
        <item x="4"/>
        <item x="10"/>
        <item x="3"/>
        <item h="1" x="11"/>
        <item t="default"/>
      </items>
    </pivotField>
  </pivotFields>
  <rowFields count="1"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Debit_Amount" fld="1" baseField="0" baseItem="0" numFmtId="44"/>
  </dataFields>
  <formats count="1">
    <format dxfId="9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62C7F-E8E3-4A72-9479-9B7321CB6A77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9" firstHeaderRow="1" firstDataRow="2" firstDataCol="1" rowPageCount="1" colPageCount="1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">
        <item x="33"/>
        <item x="68"/>
        <item x="13"/>
        <item x="23"/>
        <item x="24"/>
        <item x="0"/>
        <item x="41"/>
        <item x="58"/>
        <item x="69"/>
        <item x="6"/>
        <item x="70"/>
        <item x="8"/>
        <item x="16"/>
        <item x="21"/>
        <item x="53"/>
        <item x="43"/>
        <item x="50"/>
        <item x="51"/>
        <item x="46"/>
        <item x="45"/>
        <item x="15"/>
        <item x="34"/>
        <item x="36"/>
        <item x="54"/>
        <item x="74"/>
        <item x="1"/>
        <item x="73"/>
        <item x="17"/>
        <item x="28"/>
        <item x="11"/>
        <item x="14"/>
        <item x="44"/>
        <item x="18"/>
        <item x="57"/>
        <item x="77"/>
        <item x="75"/>
        <item x="7"/>
        <item x="63"/>
        <item x="79"/>
        <item x="31"/>
        <item x="59"/>
        <item x="42"/>
        <item x="64"/>
        <item x="67"/>
        <item x="48"/>
        <item x="56"/>
        <item x="40"/>
        <item x="78"/>
        <item x="49"/>
        <item x="38"/>
        <item x="35"/>
        <item x="3"/>
        <item x="10"/>
        <item x="62"/>
        <item x="27"/>
        <item x="47"/>
        <item x="12"/>
        <item x="5"/>
        <item x="72"/>
        <item x="60"/>
        <item x="2"/>
        <item x="25"/>
        <item x="32"/>
        <item x="4"/>
        <item x="30"/>
        <item x="9"/>
        <item x="29"/>
        <item x="52"/>
        <item x="22"/>
        <item x="55"/>
        <item x="19"/>
        <item x="76"/>
        <item x="65"/>
        <item x="66"/>
        <item x="61"/>
        <item x="71"/>
        <item x="39"/>
        <item x="26"/>
        <item x="37"/>
        <item x="20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x="0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h="1" x="1"/>
        <item h="1" x="11"/>
        <item h="1" x="5"/>
        <item h="1" x="10"/>
        <item h="1" x="8"/>
        <item x="9"/>
        <item h="1" x="6"/>
        <item h="1" x="2"/>
        <item h="1" x="7"/>
        <item h="1" x="4"/>
        <item h="1" x="0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 v="22"/>
    </i>
    <i>
      <x v="24"/>
    </i>
    <i>
      <x v="38"/>
    </i>
    <i>
      <x v="67"/>
    </i>
    <i t="grand">
      <x/>
    </i>
  </rowItems>
  <colFields count="1">
    <field x="6"/>
  </colFields>
  <colItems count="6">
    <i>
      <x v="1"/>
    </i>
    <i>
      <x v="2"/>
    </i>
    <i>
      <x v="6"/>
    </i>
    <i>
      <x v="7"/>
    </i>
    <i>
      <x v="11"/>
    </i>
    <i t="grand">
      <x/>
    </i>
  </colItems>
  <pageFields count="1">
    <pageField fld="8" hier="-1"/>
  </pageFields>
  <dataFields count="1">
    <dataField name="Sum of Amount" fld="3" baseField="0" baseItem="0" numFmtId="44"/>
  </dataFields>
  <formats count="1">
    <format dxfId="6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C8598-240D-4F70-B3CB-CAE11998151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J33" firstHeaderRow="1" firstDataRow="2" firstDataCol="1" rowPageCount="1" colPageCount="1"/>
  <pivotFields count="7">
    <pivotField numFmtId="14" showAll="0"/>
    <pivotField numFmtId="8" showAll="0"/>
    <pivotField dataField="1" numFmtId="8" showAll="0"/>
    <pivotField showAll="0"/>
    <pivotField axis="axisRow" showAll="0">
      <items count="45">
        <item x="38"/>
        <item x="22"/>
        <item x="3"/>
        <item x="1"/>
        <item x="11"/>
        <item x="31"/>
        <item x="2"/>
        <item x="40"/>
        <item x="0"/>
        <item x="19"/>
        <item x="28"/>
        <item x="12"/>
        <item x="37"/>
        <item x="13"/>
        <item x="29"/>
        <item x="6"/>
        <item x="9"/>
        <item x="17"/>
        <item x="8"/>
        <item x="21"/>
        <item x="41"/>
        <item x="16"/>
        <item x="33"/>
        <item x="7"/>
        <item x="26"/>
        <item x="4"/>
        <item x="35"/>
        <item x="10"/>
        <item x="20"/>
        <item x="34"/>
        <item x="36"/>
        <item x="39"/>
        <item x="18"/>
        <item x="15"/>
        <item x="25"/>
        <item x="23"/>
        <item x="24"/>
        <item x="32"/>
        <item x="30"/>
        <item x="27"/>
        <item x="5"/>
        <item x="14"/>
        <item x="42"/>
        <item x="43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13">
        <item x="1"/>
        <item x="0"/>
        <item x="8"/>
        <item x="9"/>
        <item x="5"/>
        <item x="6"/>
        <item x="2"/>
        <item x="7"/>
        <item x="4"/>
        <item x="10"/>
        <item x="3"/>
        <item x="11"/>
        <item t="default"/>
      </items>
    </pivotField>
  </pivotFields>
  <rowFields count="1">
    <field x="4"/>
  </rowFields>
  <rowItems count="15">
    <i>
      <x/>
    </i>
    <i>
      <x v="2"/>
    </i>
    <i>
      <x v="5"/>
    </i>
    <i>
      <x v="8"/>
    </i>
    <i>
      <x v="9"/>
    </i>
    <i>
      <x v="10"/>
    </i>
    <i>
      <x v="16"/>
    </i>
    <i>
      <x v="25"/>
    </i>
    <i>
      <x v="31"/>
    </i>
    <i>
      <x v="34"/>
    </i>
    <i>
      <x v="39"/>
    </i>
    <i>
      <x v="40"/>
    </i>
    <i>
      <x v="41"/>
    </i>
    <i>
      <x v="43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6" item="6" hier="-1"/>
  </pageFields>
  <dataFields count="1">
    <dataField name="Sum of Amount" fld="2" baseField="0" baseItem="0" numFmtId="44"/>
  </dataFields>
  <formats count="1">
    <format dxfId="7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7916E-D406-4FFD-9032-8E0A663797A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135" firstHeaderRow="1" firstDataRow="2" firstDataCol="3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5"/>
        <item x="8"/>
        <item x="0"/>
        <item x="12"/>
        <item x="9"/>
        <item x="11"/>
        <item x="14"/>
        <item x="13"/>
        <item x="10"/>
        <item x="2"/>
        <item x="3"/>
        <item x="1"/>
        <item x="4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">
        <item x="33"/>
        <item x="68"/>
        <item x="13"/>
        <item x="23"/>
        <item x="24"/>
        <item x="0"/>
        <item x="41"/>
        <item x="58"/>
        <item x="69"/>
        <item x="6"/>
        <item x="70"/>
        <item x="8"/>
        <item h="1" x="16"/>
        <item x="21"/>
        <item x="53"/>
        <item x="43"/>
        <item x="50"/>
        <item x="51"/>
        <item x="46"/>
        <item x="45"/>
        <item x="15"/>
        <item x="34"/>
        <item x="36"/>
        <item x="54"/>
        <item x="74"/>
        <item x="1"/>
        <item x="73"/>
        <item x="17"/>
        <item x="28"/>
        <item x="11"/>
        <item x="14"/>
        <item x="44"/>
        <item x="18"/>
        <item x="57"/>
        <item x="77"/>
        <item x="75"/>
        <item x="7"/>
        <item x="63"/>
        <item x="79"/>
        <item x="31"/>
        <item x="59"/>
        <item x="42"/>
        <item x="64"/>
        <item x="67"/>
        <item x="48"/>
        <item x="56"/>
        <item x="40"/>
        <item x="78"/>
        <item x="49"/>
        <item x="38"/>
        <item x="35"/>
        <item x="3"/>
        <item x="10"/>
        <item x="62"/>
        <item x="27"/>
        <item x="47"/>
        <item x="12"/>
        <item h="1" x="5"/>
        <item x="72"/>
        <item x="60"/>
        <item x="2"/>
        <item x="25"/>
        <item x="32"/>
        <item x="4"/>
        <item x="30"/>
        <item x="9"/>
        <item x="29"/>
        <item x="52"/>
        <item x="22"/>
        <item x="55"/>
        <item x="19"/>
        <item x="76"/>
        <item x="65"/>
        <item x="66"/>
        <item x="61"/>
        <item x="71"/>
        <item x="39"/>
        <item x="26"/>
        <item x="37"/>
        <item x="20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h="1" x="0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7"/>
  </rowFields>
  <rowItems count="131">
    <i>
      <x/>
      <x v="11"/>
      <x/>
    </i>
    <i>
      <x v="3"/>
      <x v="15"/>
      <x/>
    </i>
    <i r="1">
      <x v="39"/>
      <x/>
    </i>
    <i r="1">
      <x v="42"/>
      <x/>
    </i>
    <i>
      <x v="4"/>
      <x v="20"/>
      <x/>
    </i>
    <i r="1">
      <x v="27"/>
      <x/>
    </i>
    <i r="1">
      <x v="60"/>
      <x/>
    </i>
    <i>
      <x v="5"/>
      <x v="47"/>
      <x/>
    </i>
    <i r="1">
      <x v="48"/>
      <x/>
    </i>
    <i>
      <x v="6"/>
      <x v="34"/>
      <x/>
    </i>
    <i>
      <x v="7"/>
      <x v="37"/>
      <x/>
    </i>
    <i>
      <x v="8"/>
      <x v="44"/>
      <x/>
    </i>
    <i r="1">
      <x v="53"/>
      <x/>
    </i>
    <i>
      <x v="9"/>
      <x v="1"/>
      <x/>
    </i>
    <i r="1">
      <x v="2"/>
      <x/>
    </i>
    <i r="1">
      <x v="3"/>
      <x v="1"/>
    </i>
    <i r="1">
      <x v="7"/>
      <x v="1"/>
    </i>
    <i r="1">
      <x v="8"/>
      <x/>
    </i>
    <i r="1">
      <x v="9"/>
      <x v="1"/>
    </i>
    <i r="1">
      <x v="13"/>
      <x/>
    </i>
    <i r="1">
      <x v="14"/>
      <x/>
    </i>
    <i r="1">
      <x v="15"/>
      <x/>
    </i>
    <i r="1">
      <x v="18"/>
      <x/>
    </i>
    <i r="1">
      <x v="19"/>
      <x/>
    </i>
    <i r="1">
      <x v="20"/>
      <x/>
    </i>
    <i r="1">
      <x v="21"/>
      <x v="1"/>
    </i>
    <i r="1">
      <x v="22"/>
      <x/>
    </i>
    <i r="1">
      <x v="23"/>
      <x v="1"/>
    </i>
    <i r="1">
      <x v="24"/>
      <x/>
    </i>
    <i r="1">
      <x v="25"/>
      <x/>
    </i>
    <i r="1">
      <x v="27"/>
      <x/>
    </i>
    <i r="1">
      <x v="28"/>
      <x v="1"/>
    </i>
    <i r="1">
      <x v="31"/>
      <x/>
    </i>
    <i r="1">
      <x v="32"/>
      <x v="1"/>
    </i>
    <i r="1">
      <x v="33"/>
      <x/>
    </i>
    <i r="1">
      <x v="34"/>
      <x/>
    </i>
    <i r="1">
      <x v="38"/>
      <x/>
    </i>
    <i r="1">
      <x v="39"/>
      <x/>
    </i>
    <i r="1">
      <x v="40"/>
      <x/>
    </i>
    <i r="1">
      <x v="41"/>
      <x/>
    </i>
    <i r="1">
      <x v="43"/>
      <x v="1"/>
    </i>
    <i r="1">
      <x v="47"/>
      <x/>
    </i>
    <i r="1">
      <x v="48"/>
      <x/>
    </i>
    <i r="1">
      <x v="49"/>
      <x/>
    </i>
    <i r="1">
      <x v="50"/>
      <x v="1"/>
    </i>
    <i r="1">
      <x v="51"/>
      <x v="1"/>
    </i>
    <i r="1">
      <x v="52"/>
      <x v="1"/>
    </i>
    <i r="1">
      <x v="53"/>
      <x/>
    </i>
    <i r="1">
      <x v="54"/>
      <x/>
    </i>
    <i r="1">
      <x v="55"/>
      <x/>
    </i>
    <i r="1">
      <x v="56"/>
      <x v="1"/>
    </i>
    <i r="1">
      <x v="59"/>
      <x/>
    </i>
    <i r="1">
      <x v="60"/>
      <x/>
    </i>
    <i r="1">
      <x v="61"/>
      <x/>
    </i>
    <i r="1">
      <x v="62"/>
      <x/>
    </i>
    <i r="1">
      <x v="63"/>
      <x v="1"/>
    </i>
    <i r="1">
      <x v="64"/>
      <x/>
    </i>
    <i r="1">
      <x v="65"/>
      <x v="1"/>
    </i>
    <i r="1">
      <x v="66"/>
      <x/>
    </i>
    <i r="1">
      <x v="68"/>
      <x/>
    </i>
    <i r="1">
      <x v="69"/>
      <x/>
    </i>
    <i r="1">
      <x v="70"/>
      <x/>
    </i>
    <i r="1">
      <x v="72"/>
      <x/>
    </i>
    <i r="1">
      <x v="75"/>
      <x/>
    </i>
    <i r="1">
      <x v="76"/>
      <x/>
    </i>
    <i r="1">
      <x v="78"/>
      <x v="1"/>
    </i>
    <i>
      <x v="10"/>
      <x/>
      <x/>
    </i>
    <i r="1">
      <x v="15"/>
      <x/>
    </i>
    <i r="1">
      <x v="26"/>
      <x v="1"/>
    </i>
    <i r="1">
      <x v="54"/>
      <x/>
    </i>
    <i r="1">
      <x v="66"/>
      <x/>
    </i>
    <i>
      <x v="11"/>
      <x v="16"/>
      <x/>
    </i>
    <i r="1">
      <x v="18"/>
      <x/>
    </i>
    <i r="1">
      <x v="25"/>
      <x/>
    </i>
    <i r="1">
      <x v="35"/>
      <x/>
    </i>
    <i r="1">
      <x v="42"/>
      <x/>
    </i>
    <i r="1">
      <x v="46"/>
      <x/>
    </i>
    <i r="1">
      <x v="60"/>
      <x/>
    </i>
    <i r="1">
      <x v="61"/>
      <x/>
    </i>
    <i r="1">
      <x v="71"/>
      <x/>
    </i>
    <i r="1">
      <x v="77"/>
      <x/>
    </i>
    <i>
      <x v="12"/>
      <x/>
      <x/>
    </i>
    <i r="1">
      <x v="4"/>
      <x/>
    </i>
    <i r="1">
      <x v="6"/>
      <x/>
    </i>
    <i r="1">
      <x v="22"/>
      <x/>
    </i>
    <i r="1">
      <x v="25"/>
      <x/>
    </i>
    <i r="1">
      <x v="26"/>
      <x v="1"/>
    </i>
    <i r="1">
      <x v="36"/>
      <x v="1"/>
    </i>
    <i r="1">
      <x v="39"/>
      <x/>
    </i>
    <i r="1">
      <x v="42"/>
      <x/>
    </i>
    <i r="1">
      <x v="45"/>
      <x v="1"/>
    </i>
    <i r="1">
      <x v="47"/>
      <x/>
    </i>
    <i r="1">
      <x v="48"/>
      <x/>
    </i>
    <i r="1">
      <x v="55"/>
      <x/>
    </i>
    <i r="1">
      <x v="58"/>
      <x v="1"/>
    </i>
    <i r="1">
      <x v="59"/>
      <x/>
    </i>
    <i r="1">
      <x v="60"/>
      <x/>
    </i>
    <i r="1">
      <x v="67"/>
      <x/>
    </i>
    <i r="1">
      <x v="70"/>
      <x/>
    </i>
    <i r="1">
      <x v="73"/>
      <x v="1"/>
    </i>
    <i r="1">
      <x v="78"/>
      <x v="1"/>
    </i>
    <i r="1">
      <x v="79"/>
      <x/>
    </i>
    <i>
      <x v="13"/>
      <x v="15"/>
      <x/>
    </i>
    <i r="1">
      <x v="16"/>
      <x/>
    </i>
    <i r="1">
      <x v="25"/>
      <x/>
    </i>
    <i r="1">
      <x v="29"/>
      <x/>
    </i>
    <i r="1">
      <x v="60"/>
      <x/>
    </i>
    <i r="1">
      <x v="61"/>
      <x/>
    </i>
    <i r="1">
      <x v="68"/>
      <x/>
    </i>
    <i>
      <x v="14"/>
      <x/>
      <x/>
    </i>
    <i r="1">
      <x v="10"/>
      <x/>
    </i>
    <i r="1">
      <x v="17"/>
      <x/>
    </i>
    <i r="1">
      <x v="18"/>
      <x/>
    </i>
    <i r="1">
      <x v="19"/>
      <x/>
    </i>
    <i r="1">
      <x v="25"/>
      <x/>
    </i>
    <i r="1">
      <x v="27"/>
      <x/>
    </i>
    <i r="1">
      <x v="30"/>
      <x/>
    </i>
    <i r="1">
      <x v="35"/>
      <x/>
    </i>
    <i r="1">
      <x v="40"/>
      <x/>
    </i>
    <i r="1">
      <x v="42"/>
      <x/>
    </i>
    <i r="1">
      <x v="46"/>
      <x/>
    </i>
    <i r="1">
      <x v="47"/>
      <x/>
    </i>
    <i r="1">
      <x v="48"/>
      <x/>
    </i>
    <i r="1">
      <x v="49"/>
      <x/>
    </i>
    <i r="1">
      <x v="60"/>
      <x/>
    </i>
    <i r="1">
      <x v="61"/>
      <x/>
    </i>
    <i r="1">
      <x v="70"/>
      <x/>
    </i>
    <i r="1">
      <x v="72"/>
      <x/>
    </i>
    <i r="1">
      <x v="74"/>
      <x/>
    </i>
    <i r="1">
      <x v="78"/>
      <x v="1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dataFields count="1">
    <dataField name="Sum of Amount" fld="3" baseField="0" baseItem="0" numFmtId="44"/>
  </dataFields>
  <formats count="4">
    <format dxfId="0">
      <pivotArea outline="0" collapsedLevelsAreSubtotals="1" fieldPosition="0"/>
    </format>
    <format dxfId="1">
      <pivotArea field="6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outline="0" fieldPosition="0">
        <references count="1">
          <reference field="6" count="0"/>
        </references>
      </pivotArea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D725-0EAF-4589-921A-3F3CD0FD0AA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N25" firstHeaderRow="1" firstDataRow="2" firstDataCol="2" rowPageCount="1" colPageCount="1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93">
        <item x="33"/>
        <item x="68"/>
        <item x="13"/>
        <item x="23"/>
        <item x="24"/>
        <item x="0"/>
        <item x="41"/>
        <item x="88"/>
        <item x="85"/>
        <item x="58"/>
        <item x="69"/>
        <item x="87"/>
        <item x="6"/>
        <item x="70"/>
        <item x="8"/>
        <item x="16"/>
        <item x="21"/>
        <item x="53"/>
        <item x="43"/>
        <item x="50"/>
        <item x="51"/>
        <item x="46"/>
        <item x="45"/>
        <item x="15"/>
        <item x="34"/>
        <item x="36"/>
        <item x="54"/>
        <item x="74"/>
        <item x="83"/>
        <item x="1"/>
        <item x="80"/>
        <item x="73"/>
        <item x="17"/>
        <item x="28"/>
        <item x="11"/>
        <item x="14"/>
        <item x="44"/>
        <item x="18"/>
        <item x="57"/>
        <item x="77"/>
        <item x="75"/>
        <item x="86"/>
        <item x="7"/>
        <item x="63"/>
        <item x="79"/>
        <item x="31"/>
        <item x="89"/>
        <item x="59"/>
        <item x="42"/>
        <item x="64"/>
        <item x="90"/>
        <item x="67"/>
        <item x="48"/>
        <item x="56"/>
        <item x="40"/>
        <item x="78"/>
        <item x="49"/>
        <item x="38"/>
        <item x="35"/>
        <item x="3"/>
        <item x="10"/>
        <item x="62"/>
        <item x="27"/>
        <item x="47"/>
        <item x="12"/>
        <item x="5"/>
        <item x="72"/>
        <item x="60"/>
        <item x="2"/>
        <item x="25"/>
        <item x="32"/>
        <item x="84"/>
        <item x="4"/>
        <item x="30"/>
        <item x="9"/>
        <item x="81"/>
        <item x="29"/>
        <item x="52"/>
        <item x="22"/>
        <item x="55"/>
        <item x="19"/>
        <item x="76"/>
        <item x="65"/>
        <item x="66"/>
        <item x="61"/>
        <item x="71"/>
        <item x="39"/>
        <item x="26"/>
        <item x="91"/>
        <item x="37"/>
        <item x="20"/>
        <item x="8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x="0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"/>
        <item x="11"/>
        <item x="5"/>
        <item x="10"/>
        <item x="8"/>
        <item x="9"/>
        <item x="6"/>
        <item x="2"/>
        <item x="7"/>
        <item x="4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5"/>
  </rowFields>
  <rowItems count="21">
    <i>
      <x v="2"/>
      <x v="74"/>
    </i>
    <i>
      <x v="6"/>
      <x v="66"/>
    </i>
    <i>
      <x v="7"/>
      <x v="3"/>
    </i>
    <i r="1">
      <x v="9"/>
    </i>
    <i r="1">
      <x v="12"/>
    </i>
    <i r="1">
      <x v="24"/>
    </i>
    <i r="1">
      <x v="26"/>
    </i>
    <i r="1">
      <x v="31"/>
    </i>
    <i r="1">
      <x v="33"/>
    </i>
    <i r="1">
      <x v="37"/>
    </i>
    <i r="1">
      <x v="42"/>
    </i>
    <i r="1">
      <x v="51"/>
    </i>
    <i r="1">
      <x v="53"/>
    </i>
    <i r="1">
      <x v="58"/>
    </i>
    <i r="1">
      <x v="59"/>
    </i>
    <i r="1">
      <x v="60"/>
    </i>
    <i r="1">
      <x v="64"/>
    </i>
    <i r="1">
      <x v="72"/>
    </i>
    <i r="1">
      <x v="83"/>
    </i>
    <i r="1">
      <x v="89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pageFields count="1">
    <pageField fld="7" item="1" hier="-1"/>
  </pageFields>
  <dataFields count="1">
    <dataField name="Sum of Amount" fld="3" baseField="0" baseItem="0" numFmtId="44"/>
  </dataFields>
  <formats count="2">
    <format dxfId="5">
      <pivotArea collapsedLevelsAreSubtotals="1" fieldPosition="0">
        <references count="1">
          <reference field="5" count="19">
            <x v="3"/>
            <x v="9"/>
            <x v="12"/>
            <x v="24"/>
            <x v="26"/>
            <x v="31"/>
            <x v="33"/>
            <x v="37"/>
            <x v="42"/>
            <x v="51"/>
            <x v="53"/>
            <x v="58"/>
            <x v="59"/>
            <x v="60"/>
            <x v="64"/>
            <x v="66"/>
            <x v="72"/>
            <x v="83"/>
            <x v="89"/>
          </reference>
        </references>
      </pivotArea>
    </format>
    <format dxfId="4">
      <pivotArea outline="0" collapsedLevelsAreSubtotals="1" fieldPosition="0"/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41C36-5124-4F06-8E81-52BCD193207D}" name="dis_table" displayName="dis_table" ref="B1:K914" totalsRowShown="0" headerRowDxfId="44" headerRowBorderDxfId="43" tableBorderDxfId="42">
  <autoFilter ref="B1:K914" xr:uid="{BBF41C36-5124-4F06-8E81-52BCD193207D}">
    <filterColumn colId="5">
      <filters>
        <filter val="spotify"/>
      </filters>
    </filterColumn>
  </autoFilter>
  <sortState xmlns:xlrd2="http://schemas.microsoft.com/office/spreadsheetml/2017/richdata2" ref="B2:K590">
    <sortCondition ref="C1:C590"/>
  </sortState>
  <tableColumns count="10">
    <tableColumn id="1" xr3:uid="{0D277BE0-23D0-474E-ACC5-697F2175577A}" name="Trans. Date" dataDxfId="41"/>
    <tableColumn id="2" xr3:uid="{DB68AC99-9CD0-40F7-8F4F-B991E75AE730}" name="Post Date" dataDxfId="40"/>
    <tableColumn id="3" xr3:uid="{FB171790-0178-4B86-B334-029ADE774B80}" name="Description"/>
    <tableColumn id="4" xr3:uid="{DF441ADF-CE81-4786-8938-29E7E46FE503}" name="Amount"/>
    <tableColumn id="5" xr3:uid="{67013741-ABC5-4AB8-85B7-633B7E791A91}" name="Category"/>
    <tableColumn id="6" xr3:uid="{6E9A903E-DEED-4F9B-A3B7-5B43C1C10CCC}" name="Short_Desc"/>
    <tableColumn id="7" xr3:uid="{9B80C242-E815-4718-A3B9-5F2AEE72C89A}" name="Date"/>
    <tableColumn id="8" xr3:uid="{CBBBB029-710B-481E-B726-B9ACB715F6EF}" name="Reoccurring_Flag"/>
    <tableColumn id="9" xr3:uid="{596930F0-2495-4826-9083-0BF28BD2ED7C}" name="Category_2"/>
    <tableColumn id="10" xr3:uid="{06BCEAB6-6F3B-4FFF-803B-2FA95A7404AE}" name="CumAmount" dataCellStyle="Currency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EBEC1-4610-4BAA-A6CC-3BB5034E2FF8}" name="cc_table" displayName="cc_table" ref="A1:G13" totalsRowShown="0">
  <autoFilter ref="A1:G13" xr:uid="{B20EBEC1-4610-4BAA-A6CC-3BB5034E2FF8}"/>
  <tableColumns count="7">
    <tableColumn id="1" xr3:uid="{AA42D5B6-58CE-40D5-9029-ACB8593FB1C1}" name="Transaction Date" dataDxfId="39"/>
    <tableColumn id="2" xr3:uid="{A5D735EB-D726-4F86-909B-5B865C725066}" name="Post Date" dataDxfId="38"/>
    <tableColumn id="3" xr3:uid="{8BC2161C-A474-4B1B-8431-1A3C79AAAD23}" name="Description"/>
    <tableColumn id="4" xr3:uid="{B77A98FE-AFB8-456E-8F89-BAC0310B2982}" name="Amount" dataDxfId="37"/>
    <tableColumn id="5" xr3:uid="{FA17B279-D478-4177-85F0-DA73099C77C4}" name="Short_Desc"/>
    <tableColumn id="6" xr3:uid="{734B4D86-D463-4C19-80CD-E6414213EF61}" name="Date" dataDxfId="36">
      <calculatedColumnFormula>MONTH(A2)&amp;"/"&amp;YEAR(A2)</calculatedColumnFormula>
    </tableColumn>
    <tableColumn id="7" xr3:uid="{75B1EA01-0829-4F90-B5EE-7D3B6BC9C6E9}" name="Category_2"/>
  </tableColumns>
  <tableStyleInfo name="TableStyleMedium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0B25F-EAC2-44ED-A8CF-8BA7CC785569}" name="bb_table" displayName="bb_table" ref="A1:G9" totalsRowShown="0" headerRowDxfId="35" headerRowBorderDxfId="34">
  <autoFilter ref="A1:G9" xr:uid="{1DD0B25F-EAC2-44ED-A8CF-8BA7CC785569}"/>
  <tableColumns count="7">
    <tableColumn id="1" xr3:uid="{4654C6E3-D1DC-4996-A1F2-75AF377C4849}" name="Transaction Date" dataDxfId="33"/>
    <tableColumn id="2" xr3:uid="{82F7183B-590B-4B56-9DAB-EFBD7B6D89E9}" name="Amount" dataDxfId="32"/>
    <tableColumn id="3" xr3:uid="{978A4CDD-8F8B-4873-9546-4176E11ABEFA}" name="Description"/>
    <tableColumn id="4" xr3:uid="{A37FE632-42BA-4F00-AF12-BE650EB85F9A}" name="Category"/>
    <tableColumn id="5" xr3:uid="{D78DD74D-FCE9-4474-9CE0-BE65D4A2877A}" name="Short_Desc"/>
    <tableColumn id="6" xr3:uid="{8E26E237-8B17-4C25-844A-115CF5F69CF3}" name="Date">
      <calculatedColumnFormula>MONTH(A2)&amp;"/"&amp;YEAR(A2)</calculatedColumnFormula>
    </tableColumn>
    <tableColumn id="7" xr3:uid="{5F8576FF-BB4B-4C76-BAD4-08915E4C6FEC}" name="Category_2"/>
  </tableColumns>
  <tableStyleInfo name="TableStyleMedium1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AB234-8A7B-4E5A-BCFE-809F6E10F2CC}" name="wf_table" displayName="wf_table" ref="A1:G182" totalsRowShown="0" headerRowDxfId="31">
  <autoFilter ref="A1:G182" xr:uid="{92EDD8DA-BD4A-4F52-9B6E-4A14DEE43F64}"/>
  <sortState xmlns:xlrd2="http://schemas.microsoft.com/office/spreadsheetml/2017/richdata2" ref="A2:G162">
    <sortCondition ref="A1:A162"/>
  </sortState>
  <tableColumns count="7">
    <tableColumn id="1" xr3:uid="{2C8F8988-DDFD-45DD-8A6C-FD066DD8FF47}" name="Trans Date" dataDxfId="30"/>
    <tableColumn id="2" xr3:uid="{36BC0F10-B61E-4AB9-9F86-859513D36D54}" name="Debit_Amount" dataDxfId="29"/>
    <tableColumn id="3" xr3:uid="{2D538665-C72F-461F-B65B-F47D51F8360F}" name="Amount" dataDxfId="28">
      <calculatedColumnFormula>IF(SIGN(B2)=-1, B2*-1, B2)</calculatedColumnFormula>
    </tableColumn>
    <tableColumn id="4" xr3:uid="{1D85BA33-5CC6-4397-8164-F679157AF079}" name="Description"/>
    <tableColumn id="5" xr3:uid="{AA0A1F6A-8241-4E18-BA95-9BABCBBDB330}" name="Short_Desc"/>
    <tableColumn id="6" xr3:uid="{DC265512-EFA3-4E85-A7D1-BBB86C4BFBA7}" name="Date">
      <calculatedColumnFormula>MONTH(A2)&amp;"/"&amp;YEAR(A2)</calculatedColumnFormula>
    </tableColumn>
    <tableColumn id="7" xr3:uid="{073A50E8-ADF2-49A0-8719-407479E6E59E}" name="Category_2" dataDxfId="27" dataCellStyle="Comma"/>
  </tableColumns>
  <tableStyleInfo name="TableStyleMedium7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1FF6FE-F37D-4884-8636-89D14097981D}" name="Table5" displayName="Table5" ref="A1:I34" totalsRowCount="1" dataDxfId="26" dataCellStyle="Currency">
  <autoFilter ref="A1:I33" xr:uid="{F81FF6FE-F37D-4884-8636-89D14097981D}"/>
  <tableColumns count="9">
    <tableColumn id="1" xr3:uid="{8915C04F-46A3-4859-9123-D0EC3455F560}" name="Trans Date" dataDxfId="25" totalsRowDxfId="24"/>
    <tableColumn id="2" xr3:uid="{D96EC323-75CA-40E3-AD14-D44E071BBF2F}" name="Description"/>
    <tableColumn id="3" xr3:uid="{9A4E2B2C-B143-42FC-9524-6D2E060CAB74}" name="Individual Amount" dataDxfId="23" totalsRowDxfId="22" dataCellStyle="Currency" totalsRowCellStyle="Currency"/>
    <tableColumn id="4" xr3:uid="{3E129379-E767-4E37-8C33-297376D51F80}" name="Shared Amount" dataDxfId="21" totalsRowDxfId="20" dataCellStyle="Currency" totalsRowCellStyle="Currency"/>
    <tableColumn id="5" xr3:uid="{471DF2F4-B7BF-408F-B634-5A36F9CE55FD}" name="Split Amount" dataDxfId="19" totalsRowDxfId="18" dataCellStyle="Currency" totalsRowCellStyle="Currency"/>
    <tableColumn id="6" xr3:uid="{460670DE-9C81-4EB8-867F-D3726750DF91}" name="Amount" totalsRowFunction="sum" dataDxfId="17" totalsRowDxfId="16" dataCellStyle="Currency" totalsRowCellStyle="Currency">
      <calculatedColumnFormula>E2+C2</calculatedColumnFormula>
    </tableColumn>
    <tableColumn id="7" xr3:uid="{CB11D421-E6B1-4F25-99C8-FD5261EC535F}" name="Date" dataDxfId="15" totalsRowDxfId="14" dataCellStyle="Currency" totalsRowCellStyle="Currency">
      <calculatedColumnFormula>MONTH(A2)&amp;"/"&amp;YEAR(A2)</calculatedColumnFormula>
    </tableColumn>
    <tableColumn id="10" xr3:uid="{6183C576-6467-4F00-BD12-12E4C528BF08}" name="Short_Desc" dataDxfId="13" totalsRowDxfId="12" dataCellStyle="Currency" totalsRowCellStyle="Currency"/>
    <tableColumn id="11" xr3:uid="{93497B3B-E1D5-4FE3-AA64-4CC896B533AC}" name="Category_2" dataDxfId="11" totalsRowDxfId="10" dataCellStyle="Currency" totalsRowCellStyle="Currency">
      <calculatedColumnFormula>VLOOKUP(Table5[[#This Row],[Short_Desc]],dis_table[[#All],[Short_Desc]:[CumAmount]],4,0)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Y914"/>
  <sheetViews>
    <sheetView zoomScale="85" zoomScaleNormal="85" workbookViewId="0">
      <selection activeCell="E771" sqref="E771"/>
    </sheetView>
  </sheetViews>
  <sheetFormatPr defaultRowHeight="15" x14ac:dyDescent="0.25"/>
  <cols>
    <col min="1" max="1" width="4" bestFit="1" customWidth="1"/>
    <col min="2" max="2" width="13" customWidth="1"/>
    <col min="3" max="3" width="11.5703125" customWidth="1"/>
    <col min="4" max="4" width="84.28515625" bestFit="1" customWidth="1"/>
    <col min="5" max="5" width="10.28515625" customWidth="1"/>
    <col min="6" max="6" width="25.140625" bestFit="1" customWidth="1"/>
    <col min="7" max="7" width="16.28515625" bestFit="1" customWidth="1"/>
    <col min="8" max="8" width="7.85546875" bestFit="1" customWidth="1"/>
    <col min="9" max="9" width="18.140625" customWidth="1"/>
    <col min="10" max="10" width="24.85546875" bestFit="1" customWidth="1"/>
    <col min="11" max="11" width="14.28515625" style="5" customWidth="1"/>
    <col min="13" max="13" width="26.5703125" bestFit="1" customWidth="1"/>
    <col min="14" max="16" width="11.28515625" bestFit="1" customWidth="1"/>
    <col min="17" max="17" width="10.5703125" bestFit="1" customWidth="1"/>
    <col min="18" max="24" width="11.28515625" bestFit="1" customWidth="1"/>
    <col min="25" max="25" width="8" bestFit="1" customWidth="1"/>
  </cols>
  <sheetData>
    <row r="1" spans="1:2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6" t="s">
        <v>9</v>
      </c>
      <c r="N1" t="s">
        <v>14</v>
      </c>
      <c r="O1" t="s">
        <v>117</v>
      </c>
      <c r="P1" t="s">
        <v>145</v>
      </c>
      <c r="Q1" t="s">
        <v>233</v>
      </c>
      <c r="R1" t="s">
        <v>290</v>
      </c>
      <c r="S1" t="s">
        <v>364</v>
      </c>
      <c r="T1" t="s">
        <v>420</v>
      </c>
      <c r="U1" s="71" t="s">
        <v>911</v>
      </c>
      <c r="V1" s="72" t="s">
        <v>1170</v>
      </c>
      <c r="W1" s="72" t="s">
        <v>1246</v>
      </c>
      <c r="X1" s="72" t="s">
        <v>1337</v>
      </c>
      <c r="Y1" s="72" t="s">
        <v>1392</v>
      </c>
    </row>
    <row r="2" spans="1:25" hidden="1" x14ac:dyDescent="0.25">
      <c r="A2" s="70">
        <v>0</v>
      </c>
      <c r="B2" t="s">
        <v>892</v>
      </c>
      <c r="C2" t="s">
        <v>892</v>
      </c>
      <c r="D2" t="s">
        <v>10</v>
      </c>
      <c r="E2">
        <v>3581.67</v>
      </c>
      <c r="F2" t="s">
        <v>10</v>
      </c>
      <c r="G2" t="s">
        <v>10</v>
      </c>
      <c r="K2">
        <v>3581.67</v>
      </c>
      <c r="M2" t="s">
        <v>106</v>
      </c>
      <c r="N2" s="5">
        <f>SUMIFS(dis_table[Amount],dis_table[Category],$M2,dis_table[Date],N$1)</f>
        <v>42.34</v>
      </c>
      <c r="O2" s="5">
        <f>SUMIFS(dis_table[Amount],dis_table[Category],$M2,dis_table[Date],O$1)</f>
        <v>0</v>
      </c>
      <c r="P2" s="5">
        <f>SUMIFS(dis_table[Amount],dis_table[Category],$M2,dis_table[Date],P$1)</f>
        <v>0</v>
      </c>
      <c r="Q2" s="5">
        <f>SUMIFS(dis_table[Amount],dis_table[Category],$M2,dis_table[Date],Q$1)</f>
        <v>0</v>
      </c>
      <c r="R2" s="5">
        <f>SUMIFS(dis_table[Amount],dis_table[Category],$M2,dis_table[Date],R$1)</f>
        <v>0</v>
      </c>
      <c r="S2" s="5">
        <f>SUMIFS(dis_table[Amount],dis_table[Category],$M2,dis_table[Date],S$1)</f>
        <v>0</v>
      </c>
      <c r="T2" s="5">
        <f>SUMIFS(dis_table[Amount],dis_table[Category],$M2,dis_table[Date],T$1)</f>
        <v>21</v>
      </c>
      <c r="U2" s="5">
        <f>SUMIFS(dis_table[Amount],dis_table[Category],$M2,dis_table[Date],U$1)</f>
        <v>130.32999999999998</v>
      </c>
      <c r="V2" s="5">
        <f>SUMIFS(dis_table[Amount],dis_table[Category],$M2,dis_table[Date],V$1)</f>
        <v>13.52</v>
      </c>
      <c r="W2" s="5">
        <f>SUMIFS(dis_table[Amount],dis_table[Category],$M2,dis_table[Date],W$1)</f>
        <v>0</v>
      </c>
      <c r="X2" s="5">
        <f>SUMIFS(dis_table[Amount],dis_table[Category],$M2,dis_table[Date],X$1)</f>
        <v>0</v>
      </c>
      <c r="Y2" s="5">
        <f>SUMIFS(dis_table[Amount],dis_table[Category],$M2,dis_table[Date],Y$1)</f>
        <v>0</v>
      </c>
    </row>
    <row r="3" spans="1:25" hidden="1" x14ac:dyDescent="0.25">
      <c r="A3" s="70">
        <v>1</v>
      </c>
      <c r="B3" t="s">
        <v>892</v>
      </c>
      <c r="C3" t="s">
        <v>892</v>
      </c>
      <c r="D3" t="s">
        <v>11</v>
      </c>
      <c r="E3">
        <v>18.02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>
        <v>3599.69</v>
      </c>
      <c r="M3" t="s">
        <v>248</v>
      </c>
      <c r="N3" s="5">
        <f>SUMIFS(dis_table[Amount],dis_table[Category],$M3,dis_table[Date],N$1)</f>
        <v>0</v>
      </c>
      <c r="O3" s="5">
        <f>SUMIFS(dis_table[Amount],dis_table[Category],$M3,dis_table[Date],O$1)</f>
        <v>0</v>
      </c>
      <c r="P3" s="5">
        <f>SUMIFS(dis_table[Amount],dis_table[Category],$M3,dis_table[Date],P$1)</f>
        <v>0</v>
      </c>
      <c r="Q3" s="5">
        <f>SUMIFS(dis_table[Amount],dis_table[Category],$M3,dis_table[Date],Q$1)</f>
        <v>21.71</v>
      </c>
      <c r="R3" s="5">
        <f>SUMIFS(dis_table[Amount],dis_table[Category],$M3,dis_table[Date],R$1)</f>
        <v>0</v>
      </c>
      <c r="S3" s="5">
        <f>SUMIFS(dis_table[Amount],dis_table[Category],$M3,dis_table[Date],S$1)</f>
        <v>298</v>
      </c>
      <c r="T3" s="5">
        <f>SUMIFS(dis_table[Amount],dis_table[Category],$M3,dis_table[Date],T$1)</f>
        <v>100.25</v>
      </c>
      <c r="U3" s="5">
        <f>SUMIFS(dis_table[Amount],dis_table[Category],$M3,dis_table[Date],U$1)</f>
        <v>33</v>
      </c>
      <c r="V3" s="5">
        <f>SUMIFS(dis_table[Amount],dis_table[Category],$M3,dis_table[Date],V$1)</f>
        <v>0</v>
      </c>
      <c r="W3" s="5">
        <f>SUMIFS(dis_table[Amount],dis_table[Category],$M3,dis_table[Date],W$1)</f>
        <v>0</v>
      </c>
      <c r="X3" s="5">
        <f>SUMIFS(dis_table[Amount],dis_table[Category],$M3,dis_table[Date],X$1)</f>
        <v>0</v>
      </c>
      <c r="Y3" s="5">
        <f>SUMIFS(dis_table[Amount],dis_table[Category],$M3,dis_table[Date],Y$1)</f>
        <v>0</v>
      </c>
    </row>
    <row r="4" spans="1:25" hidden="1" x14ac:dyDescent="0.25">
      <c r="A4" s="70">
        <v>2</v>
      </c>
      <c r="B4" t="s">
        <v>892</v>
      </c>
      <c r="C4" t="s">
        <v>892</v>
      </c>
      <c r="D4" t="s">
        <v>17</v>
      </c>
      <c r="E4">
        <v>60</v>
      </c>
      <c r="F4" t="s">
        <v>12</v>
      </c>
      <c r="G4" t="s">
        <v>18</v>
      </c>
      <c r="H4" t="s">
        <v>14</v>
      </c>
      <c r="I4" t="s">
        <v>15</v>
      </c>
      <c r="J4" t="s">
        <v>16</v>
      </c>
      <c r="K4">
        <v>3659.69</v>
      </c>
      <c r="M4" t="s">
        <v>40</v>
      </c>
      <c r="N4" s="5">
        <f>SUMIFS(dis_table[Amount],dis_table[Category],$M4,dis_table[Date],N$1)</f>
        <v>92.41</v>
      </c>
      <c r="O4" s="5">
        <f>SUMIFS(dis_table[Amount],dis_table[Category],$M4,dis_table[Date],O$1)</f>
        <v>0</v>
      </c>
      <c r="P4" s="5">
        <f>SUMIFS(dis_table[Amount],dis_table[Category],$M4,dis_table[Date],P$1)</f>
        <v>342.53000000000003</v>
      </c>
      <c r="Q4" s="5">
        <f>SUMIFS(dis_table[Amount],dis_table[Category],$M4,dis_table[Date],Q$1)</f>
        <v>3.59</v>
      </c>
      <c r="R4" s="5">
        <f>SUMIFS(dis_table[Amount],dis_table[Category],$M4,dis_table[Date],R$1)</f>
        <v>73.210000000000008</v>
      </c>
      <c r="S4" s="5">
        <f>SUMIFS(dis_table[Amount],dis_table[Category],$M4,dis_table[Date],S$1)</f>
        <v>11.8</v>
      </c>
      <c r="T4" s="5">
        <f>SUMIFS(dis_table[Amount],dis_table[Category],$M4,dis_table[Date],T$1)</f>
        <v>229.64</v>
      </c>
      <c r="U4" s="5">
        <f>SUMIFS(dis_table[Amount],dis_table[Category],$M4,dis_table[Date],U$1)</f>
        <v>0</v>
      </c>
      <c r="V4" s="5">
        <f>SUMIFS(dis_table[Amount],dis_table[Category],$M4,dis_table[Date],V$1)</f>
        <v>332.22</v>
      </c>
      <c r="W4" s="5">
        <f>SUMIFS(dis_table[Amount],dis_table[Category],$M4,dis_table[Date],W$1)</f>
        <v>111.99</v>
      </c>
      <c r="X4" s="5">
        <f>SUMIFS(dis_table[Amount],dis_table[Category],$M4,dis_table[Date],X$1)</f>
        <v>48.65</v>
      </c>
      <c r="Y4" s="5">
        <f>SUMIFS(dis_table[Amount],dis_table[Category],$M4,dis_table[Date],Y$1)</f>
        <v>0</v>
      </c>
    </row>
    <row r="5" spans="1:25" hidden="1" x14ac:dyDescent="0.25">
      <c r="A5" s="70">
        <v>3</v>
      </c>
      <c r="B5" t="s">
        <v>892</v>
      </c>
      <c r="C5" t="s">
        <v>971</v>
      </c>
      <c r="D5" t="s">
        <v>19</v>
      </c>
      <c r="E5">
        <v>14.83</v>
      </c>
      <c r="F5" t="s">
        <v>20</v>
      </c>
      <c r="G5" t="s">
        <v>21</v>
      </c>
      <c r="H5" t="s">
        <v>14</v>
      </c>
      <c r="I5" t="s">
        <v>22</v>
      </c>
      <c r="J5" t="s">
        <v>23</v>
      </c>
      <c r="K5">
        <v>3674.52</v>
      </c>
      <c r="M5" t="s">
        <v>158</v>
      </c>
      <c r="N5" s="5">
        <f>SUMIFS(dis_table[Amount],dis_table[Category],$M5,dis_table[Date],N$1)</f>
        <v>0</v>
      </c>
      <c r="O5" s="5">
        <f>SUMIFS(dis_table[Amount],dis_table[Category],$M5,dis_table[Date],O$1)</f>
        <v>0</v>
      </c>
      <c r="P5" s="5">
        <f>SUMIFS(dis_table[Amount],dis_table[Category],$M5,dis_table[Date],P$1)</f>
        <v>35</v>
      </c>
      <c r="Q5" s="5">
        <f>SUMIFS(dis_table[Amount],dis_table[Category],$M5,dis_table[Date],Q$1)</f>
        <v>0</v>
      </c>
      <c r="R5" s="5">
        <f>SUMIFS(dis_table[Amount],dis_table[Category],$M5,dis_table[Date],R$1)</f>
        <v>0</v>
      </c>
      <c r="S5" s="5">
        <f>SUMIFS(dis_table[Amount],dis_table[Category],$M5,dis_table[Date],S$1)</f>
        <v>0</v>
      </c>
      <c r="T5" s="5">
        <f>SUMIFS(dis_table[Amount],dis_table[Category],$M5,dis_table[Date],T$1)</f>
        <v>0</v>
      </c>
      <c r="U5" s="5">
        <f>SUMIFS(dis_table[Amount],dis_table[Category],$M5,dis_table[Date],U$1)</f>
        <v>0</v>
      </c>
      <c r="V5" s="5">
        <f>SUMIFS(dis_table[Amount],dis_table[Category],$M5,dis_table[Date],V$1)</f>
        <v>1.1000000000000001</v>
      </c>
      <c r="W5" s="5">
        <f>SUMIFS(dis_table[Amount],dis_table[Category],$M5,dis_table[Date],W$1)</f>
        <v>0</v>
      </c>
      <c r="X5" s="5">
        <f>SUMIFS(dis_table[Amount],dis_table[Category],$M5,dis_table[Date],X$1)</f>
        <v>0</v>
      </c>
      <c r="Y5" s="5">
        <f>SUMIFS(dis_table[Amount],dis_table[Category],$M5,dis_table[Date],Y$1)</f>
        <v>0</v>
      </c>
    </row>
    <row r="6" spans="1:25" x14ac:dyDescent="0.25">
      <c r="A6" s="70">
        <v>4</v>
      </c>
      <c r="B6" t="s">
        <v>892</v>
      </c>
      <c r="C6" t="s">
        <v>971</v>
      </c>
      <c r="D6" t="s">
        <v>24</v>
      </c>
      <c r="E6">
        <v>9.99</v>
      </c>
      <c r="F6" t="s">
        <v>20</v>
      </c>
      <c r="G6" t="s">
        <v>25</v>
      </c>
      <c r="H6" t="s">
        <v>14</v>
      </c>
      <c r="I6" t="s">
        <v>22</v>
      </c>
      <c r="J6" t="s">
        <v>23</v>
      </c>
      <c r="K6">
        <v>3684.51</v>
      </c>
      <c r="M6" t="s">
        <v>455</v>
      </c>
      <c r="N6" s="5">
        <f>SUMIFS(dis_table[Amount],dis_table[Category],$M6,dis_table[Date],N$1)</f>
        <v>0</v>
      </c>
      <c r="O6" s="5">
        <f>SUMIFS(dis_table[Amount],dis_table[Category],$M6,dis_table[Date],O$1)</f>
        <v>0</v>
      </c>
      <c r="P6" s="5">
        <f>SUMIFS(dis_table[Amount],dis_table[Category],$M6,dis_table[Date],P$1)</f>
        <v>0</v>
      </c>
      <c r="Q6" s="5">
        <f>SUMIFS(dis_table[Amount],dis_table[Category],$M6,dis_table[Date],Q$1)</f>
        <v>0</v>
      </c>
      <c r="R6" s="5">
        <f>SUMIFS(dis_table[Amount],dis_table[Category],$M6,dis_table[Date],R$1)</f>
        <v>0</v>
      </c>
      <c r="S6" s="5">
        <f>SUMIFS(dis_table[Amount],dis_table[Category],$M6,dis_table[Date],S$1)</f>
        <v>0</v>
      </c>
      <c r="T6" s="5">
        <f>SUMIFS(dis_table[Amount],dis_table[Category],$M6,dis_table[Date],T$1)</f>
        <v>49.46</v>
      </c>
      <c r="U6" s="5">
        <f>SUMIFS(dis_table[Amount],dis_table[Category],$M6,dis_table[Date],U$1)</f>
        <v>197.48000000000002</v>
      </c>
      <c r="V6" s="5">
        <f>SUMIFS(dis_table[Amount],dis_table[Category],$M6,dis_table[Date],V$1)</f>
        <v>0</v>
      </c>
      <c r="W6" s="5">
        <f>SUMIFS(dis_table[Amount],dis_table[Category],$M6,dis_table[Date],W$1)</f>
        <v>7.2</v>
      </c>
      <c r="X6" s="5">
        <f>SUMIFS(dis_table[Amount],dis_table[Category],$M6,dis_table[Date],X$1)</f>
        <v>0</v>
      </c>
      <c r="Y6" s="5">
        <f>SUMIFS(dis_table[Amount],dis_table[Category],$M6,dis_table[Date],Y$1)</f>
        <v>0</v>
      </c>
    </row>
    <row r="7" spans="1:25" hidden="1" x14ac:dyDescent="0.25">
      <c r="A7" s="70">
        <v>5</v>
      </c>
      <c r="B7" t="s">
        <v>972</v>
      </c>
      <c r="C7" t="s">
        <v>972</v>
      </c>
      <c r="D7" t="s">
        <v>36</v>
      </c>
      <c r="E7">
        <v>-1800</v>
      </c>
      <c r="F7" t="s">
        <v>37</v>
      </c>
      <c r="G7" t="s">
        <v>38</v>
      </c>
      <c r="H7" t="s">
        <v>14</v>
      </c>
      <c r="I7" t="s">
        <v>15</v>
      </c>
      <c r="J7" t="s">
        <v>973</v>
      </c>
      <c r="K7">
        <v>1884.51</v>
      </c>
      <c r="M7" t="s">
        <v>320</v>
      </c>
      <c r="N7" s="5">
        <f>SUMIFS(dis_table[Amount],dis_table[Category],$M7,dis_table[Date],N$1)</f>
        <v>0</v>
      </c>
      <c r="O7" s="5">
        <f>SUMIFS(dis_table[Amount],dis_table[Category],$M7,dis_table[Date],O$1)</f>
        <v>0</v>
      </c>
      <c r="P7" s="5">
        <f>SUMIFS(dis_table[Amount],dis_table[Category],$M7,dis_table[Date],P$1)</f>
        <v>0</v>
      </c>
      <c r="Q7" s="5">
        <f>SUMIFS(dis_table[Amount],dis_table[Category],$M7,dis_table[Date],Q$1)</f>
        <v>0</v>
      </c>
      <c r="R7" s="5">
        <f>SUMIFS(dis_table[Amount],dis_table[Category],$M7,dis_table[Date],R$1)</f>
        <v>50.48</v>
      </c>
      <c r="S7" s="5">
        <f>SUMIFS(dis_table[Amount],dis_table[Category],$M7,dis_table[Date],S$1)</f>
        <v>99.24</v>
      </c>
      <c r="T7" s="5">
        <f>SUMIFS(dis_table[Amount],dis_table[Category],$M7,dis_table[Date],T$1)</f>
        <v>99.19</v>
      </c>
      <c r="U7" s="5">
        <f>SUMIFS(dis_table[Amount],dis_table[Category],$M7,dis_table[Date],U$1)</f>
        <v>61.69</v>
      </c>
      <c r="V7" s="5">
        <f>SUMIFS(dis_table[Amount],dis_table[Category],$M7,dis_table[Date],V$1)</f>
        <v>0</v>
      </c>
      <c r="W7" s="5">
        <f>SUMIFS(dis_table[Amount],dis_table[Category],$M7,dis_table[Date],W$1)</f>
        <v>0</v>
      </c>
      <c r="X7" s="5">
        <f>SUMIFS(dis_table[Amount],dis_table[Category],$M7,dis_table[Date],X$1)</f>
        <v>0</v>
      </c>
      <c r="Y7" s="5">
        <f>SUMIFS(dis_table[Amount],dis_table[Category],$M7,dis_table[Date],Y$1)</f>
        <v>0</v>
      </c>
    </row>
    <row r="8" spans="1:25" hidden="1" x14ac:dyDescent="0.25">
      <c r="A8" s="70">
        <v>6</v>
      </c>
      <c r="B8" t="s">
        <v>972</v>
      </c>
      <c r="C8" t="s">
        <v>971</v>
      </c>
      <c r="D8" t="s">
        <v>77</v>
      </c>
      <c r="E8">
        <v>10</v>
      </c>
      <c r="F8" t="s">
        <v>20</v>
      </c>
      <c r="G8" t="s">
        <v>78</v>
      </c>
      <c r="H8" t="s">
        <v>14</v>
      </c>
      <c r="I8" t="s">
        <v>22</v>
      </c>
      <c r="J8" t="s">
        <v>23</v>
      </c>
      <c r="K8">
        <v>1894.51</v>
      </c>
      <c r="M8" t="s">
        <v>154</v>
      </c>
      <c r="N8" s="5">
        <f>SUMIFS(dis_table[Amount],dis_table[Category],$M8,dis_table[Date],N$1)</f>
        <v>0</v>
      </c>
      <c r="O8" s="5">
        <f>SUMIFS(dis_table[Amount],dis_table[Category],$M8,dis_table[Date],O$1)</f>
        <v>0</v>
      </c>
      <c r="P8" s="5">
        <f>SUMIFS(dis_table[Amount],dis_table[Category],$M8,dis_table[Date],P$1)</f>
        <v>432</v>
      </c>
      <c r="Q8" s="5">
        <f>SUMIFS(dis_table[Amount],dis_table[Category],$M8,dis_table[Date],Q$1)</f>
        <v>0</v>
      </c>
      <c r="R8" s="5">
        <f>SUMIFS(dis_table[Amount],dis_table[Category],$M8,dis_table[Date],R$1)</f>
        <v>37.5</v>
      </c>
      <c r="S8" s="5">
        <f>SUMIFS(dis_table[Amount],dis_table[Category],$M8,dis_table[Date],S$1)</f>
        <v>0</v>
      </c>
      <c r="T8" s="5">
        <f>SUMIFS(dis_table[Amount],dis_table[Category],$M8,dis_table[Date],T$1)</f>
        <v>0</v>
      </c>
      <c r="U8" s="5">
        <f>SUMIFS(dis_table[Amount],dis_table[Category],$M8,dis_table[Date],U$1)</f>
        <v>0</v>
      </c>
      <c r="V8" s="5">
        <f>SUMIFS(dis_table[Amount],dis_table[Category],$M8,dis_table[Date],V$1)</f>
        <v>85.76</v>
      </c>
      <c r="W8" s="5">
        <f>SUMIFS(dis_table[Amount],dis_table[Category],$M8,dis_table[Date],W$1)</f>
        <v>0</v>
      </c>
      <c r="X8" s="5">
        <f>SUMIFS(dis_table[Amount],dis_table[Category],$M8,dis_table[Date],X$1)</f>
        <v>0</v>
      </c>
      <c r="Y8" s="5">
        <f>SUMIFS(dis_table[Amount],dis_table[Category],$M8,dis_table[Date],Y$1)</f>
        <v>0</v>
      </c>
    </row>
    <row r="9" spans="1:25" hidden="1" x14ac:dyDescent="0.25">
      <c r="A9" s="70">
        <v>7</v>
      </c>
      <c r="B9" t="s">
        <v>971</v>
      </c>
      <c r="C9" t="s">
        <v>971</v>
      </c>
      <c r="D9" t="s">
        <v>100</v>
      </c>
      <c r="E9">
        <v>12.99</v>
      </c>
      <c r="F9" t="s">
        <v>56</v>
      </c>
      <c r="G9" t="s">
        <v>101</v>
      </c>
      <c r="H9" t="s">
        <v>14</v>
      </c>
      <c r="I9" t="s">
        <v>22</v>
      </c>
      <c r="J9" t="s">
        <v>23</v>
      </c>
      <c r="K9">
        <v>1907.5</v>
      </c>
      <c r="M9" t="s">
        <v>20</v>
      </c>
      <c r="N9" s="5">
        <f>SUMIFS(dis_table[Amount],dis_table[Category],$M9,dis_table[Date],N$1)</f>
        <v>802.2299999999999</v>
      </c>
      <c r="O9" s="5">
        <f>SUMIFS(dis_table[Amount],dis_table[Category],$M9,dis_table[Date],O$1)</f>
        <v>473.95000000000005</v>
      </c>
      <c r="P9" s="5">
        <f>SUMIFS(dis_table[Amount],dis_table[Category],$M9,dis_table[Date],P$1)</f>
        <v>1208.9099999999999</v>
      </c>
      <c r="Q9" s="5">
        <f>SUMIFS(dis_table[Amount],dis_table[Category],$M9,dis_table[Date],Q$1)</f>
        <v>1041.03</v>
      </c>
      <c r="R9" s="5">
        <f>SUMIFS(dis_table[Amount],dis_table[Category],$M9,dis_table[Date],R$1)</f>
        <v>1359.53</v>
      </c>
      <c r="S9" s="5">
        <f>SUMIFS(dis_table[Amount],dis_table[Category],$M9,dis_table[Date],S$1)</f>
        <v>900.1</v>
      </c>
      <c r="T9" s="5">
        <f>SUMIFS(dis_table[Amount],dis_table[Category],$M9,dis_table[Date],T$1)</f>
        <v>1381.6300000000003</v>
      </c>
      <c r="U9" s="5">
        <f>SUMIFS(dis_table[Amount],dis_table[Category],$M9,dis_table[Date],U$1)</f>
        <v>796.44999999999993</v>
      </c>
      <c r="V9" s="5">
        <f>SUMIFS(dis_table[Amount],dis_table[Category],$M9,dis_table[Date],V$1)</f>
        <v>628.1</v>
      </c>
      <c r="W9" s="5">
        <f>SUMIFS(dis_table[Amount],dis_table[Category],$M9,dis_table[Date],W$1)</f>
        <v>2092.0699999999997</v>
      </c>
      <c r="X9" s="5">
        <f>SUMIFS(dis_table[Amount],dis_table[Category],$M9,dis_table[Date],X$1)</f>
        <v>659.18999999999994</v>
      </c>
      <c r="Y9" s="5">
        <f>SUMIFS(dis_table[Amount],dis_table[Category],$M9,dis_table[Date],Y$1)</f>
        <v>0</v>
      </c>
    </row>
    <row r="10" spans="1:25" hidden="1" x14ac:dyDescent="0.25">
      <c r="A10" s="70">
        <v>8</v>
      </c>
      <c r="B10" t="s">
        <v>974</v>
      </c>
      <c r="C10" t="s">
        <v>974</v>
      </c>
      <c r="D10" t="s">
        <v>105</v>
      </c>
      <c r="E10">
        <v>42.34</v>
      </c>
      <c r="F10" t="s">
        <v>106</v>
      </c>
      <c r="G10" t="s">
        <v>107</v>
      </c>
      <c r="H10" t="s">
        <v>14</v>
      </c>
      <c r="I10" t="s">
        <v>15</v>
      </c>
      <c r="J10" t="s">
        <v>66</v>
      </c>
      <c r="K10">
        <v>1949.84</v>
      </c>
      <c r="M10" t="s">
        <v>12</v>
      </c>
      <c r="N10" s="5">
        <f>SUMIFS(dis_table[Amount],dis_table[Category],$M10,dis_table[Date],N$1)</f>
        <v>388.65999999999997</v>
      </c>
      <c r="O10" s="5">
        <f>SUMIFS(dis_table[Amount],dis_table[Category],$M10,dis_table[Date],O$1)</f>
        <v>115.83</v>
      </c>
      <c r="P10" s="5">
        <f>SUMIFS(dis_table[Amount],dis_table[Category],$M10,dis_table[Date],P$1)</f>
        <v>1073.8499999999999</v>
      </c>
      <c r="Q10" s="5">
        <f>SUMIFS(dis_table[Amount],dis_table[Category],$M10,dis_table[Date],Q$1)</f>
        <v>575.54</v>
      </c>
      <c r="R10" s="5">
        <f>SUMIFS(dis_table[Amount],dis_table[Category],$M10,dis_table[Date],R$1)</f>
        <v>770.29999999999984</v>
      </c>
      <c r="S10" s="5">
        <f>SUMIFS(dis_table[Amount],dis_table[Category],$M10,dis_table[Date],S$1)</f>
        <v>478.24</v>
      </c>
      <c r="T10" s="5">
        <f>SUMIFS(dis_table[Amount],dis_table[Category],$M10,dis_table[Date],T$1)</f>
        <v>801.09</v>
      </c>
      <c r="U10" s="5">
        <f>SUMIFS(dis_table[Amount],dis_table[Category],$M10,dis_table[Date],U$1)</f>
        <v>643.66</v>
      </c>
      <c r="V10" s="5">
        <f>SUMIFS(dis_table[Amount],dis_table[Category],$M10,dis_table[Date],V$1)</f>
        <v>642.11000000000013</v>
      </c>
      <c r="W10" s="5">
        <f>SUMIFS(dis_table[Amount],dis_table[Category],$M10,dis_table[Date],W$1)</f>
        <v>592.66</v>
      </c>
      <c r="X10" s="5">
        <f>SUMIFS(dis_table[Amount],dis_table[Category],$M10,dis_table[Date],X$1)</f>
        <v>507.04999999999995</v>
      </c>
      <c r="Y10" s="5">
        <f>SUMIFS(dis_table[Amount],dis_table[Category],$M10,dis_table[Date],Y$1)</f>
        <v>0</v>
      </c>
    </row>
    <row r="11" spans="1:25" hidden="1" x14ac:dyDescent="0.25">
      <c r="A11" s="70">
        <v>9</v>
      </c>
      <c r="B11" t="s">
        <v>974</v>
      </c>
      <c r="C11" t="s">
        <v>974</v>
      </c>
      <c r="D11" t="s">
        <v>108</v>
      </c>
      <c r="E11">
        <v>79.38</v>
      </c>
      <c r="F11" t="s">
        <v>20</v>
      </c>
      <c r="G11" t="s">
        <v>109</v>
      </c>
      <c r="H11" t="s">
        <v>14</v>
      </c>
      <c r="I11" t="s">
        <v>22</v>
      </c>
      <c r="J11" t="s">
        <v>110</v>
      </c>
      <c r="K11">
        <v>2029.22</v>
      </c>
      <c r="M11" t="s">
        <v>56</v>
      </c>
      <c r="N11" s="5">
        <f>SUMIFS(dis_table[Amount],dis_table[Category],$M11,dis_table[Date],N$1)</f>
        <v>497.44</v>
      </c>
      <c r="O11" s="5">
        <f>SUMIFS(dis_table[Amount],dis_table[Category],$M11,dis_table[Date],O$1)</f>
        <v>132.57</v>
      </c>
      <c r="P11" s="5">
        <f>SUMIFS(dis_table[Amount],dis_table[Category],$M11,dis_table[Date],P$1)</f>
        <v>378.81</v>
      </c>
      <c r="Q11" s="5">
        <f>SUMIFS(dis_table[Amount],dis_table[Category],$M11,dis_table[Date],Q$1)</f>
        <v>78.88</v>
      </c>
      <c r="R11" s="5">
        <f>SUMIFS(dis_table[Amount],dis_table[Category],$M11,dis_table[Date],R$1)</f>
        <v>138.94999999999999</v>
      </c>
      <c r="S11" s="5">
        <f>SUMIFS(dis_table[Amount],dis_table[Category],$M11,dis_table[Date],S$1)</f>
        <v>134.85</v>
      </c>
      <c r="T11" s="5">
        <f>SUMIFS(dis_table[Amount],dis_table[Category],$M11,dis_table[Date],T$1)</f>
        <v>246.77999999999997</v>
      </c>
      <c r="U11" s="5">
        <f>SUMIFS(dis_table[Amount],dis_table[Category],$M11,dis_table[Date],U$1)</f>
        <v>35.85</v>
      </c>
      <c r="V11" s="5">
        <f>SUMIFS(dis_table[Amount],dis_table[Category],$M11,dis_table[Date],V$1)</f>
        <v>518.33999999999992</v>
      </c>
      <c r="W11" s="5">
        <f>SUMIFS(dis_table[Amount],dis_table[Category],$M11,dis_table[Date],W$1)</f>
        <v>421.36</v>
      </c>
      <c r="X11" s="5">
        <f>SUMIFS(dis_table[Amount],dis_table[Category],$M11,dis_table[Date],X$1)</f>
        <v>479.5</v>
      </c>
      <c r="Y11" s="5">
        <f>SUMIFS(dis_table[Amount],dis_table[Category],$M11,dis_table[Date],Y$1)</f>
        <v>0</v>
      </c>
    </row>
    <row r="12" spans="1:25" hidden="1" x14ac:dyDescent="0.25">
      <c r="A12" s="70">
        <v>10</v>
      </c>
      <c r="B12" t="s">
        <v>975</v>
      </c>
      <c r="C12" t="s">
        <v>975</v>
      </c>
      <c r="D12" t="s">
        <v>82</v>
      </c>
      <c r="E12">
        <v>8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>
        <v>2037.22</v>
      </c>
      <c r="M12" t="s">
        <v>53</v>
      </c>
      <c r="N12" s="5">
        <f>SUMIFS(dis_table[Amount],dis_table[Category],$M12,dis_table[Date],N$1)</f>
        <v>151.27000000000001</v>
      </c>
      <c r="O12" s="5">
        <f>SUMIFS(dis_table[Amount],dis_table[Category],$M12,dis_table[Date],O$1)</f>
        <v>132.46</v>
      </c>
      <c r="P12" s="5">
        <f>SUMIFS(dis_table[Amount],dis_table[Category],$M12,dis_table[Date],P$1)</f>
        <v>12.27</v>
      </c>
      <c r="Q12" s="5">
        <f>SUMIFS(dis_table[Amount],dis_table[Category],$M12,dis_table[Date],Q$1)</f>
        <v>459.72</v>
      </c>
      <c r="R12" s="5">
        <f>SUMIFS(dis_table[Amount],dis_table[Category],$M12,dis_table[Date],R$1)</f>
        <v>46.36</v>
      </c>
      <c r="S12" s="5">
        <f>SUMIFS(dis_table[Amount],dis_table[Category],$M12,dis_table[Date],S$1)</f>
        <v>181.77</v>
      </c>
      <c r="T12" s="5">
        <f>SUMIFS(dis_table[Amount],dis_table[Category],$M12,dis_table[Date],T$1)</f>
        <v>372.82</v>
      </c>
      <c r="U12" s="5">
        <f>SUMIFS(dis_table[Amount],dis_table[Category],$M12,dis_table[Date],U$1)</f>
        <v>220.26999999999998</v>
      </c>
      <c r="V12" s="5">
        <f>SUMIFS(dis_table[Amount],dis_table[Category],$M12,dis_table[Date],V$1)</f>
        <v>288.42</v>
      </c>
      <c r="W12" s="5">
        <f>SUMIFS(dis_table[Amount],dis_table[Category],$M12,dis_table[Date],W$1)</f>
        <v>145.87</v>
      </c>
      <c r="X12" s="5">
        <f>SUMIFS(dis_table[Amount],dis_table[Category],$M12,dis_table[Date],X$1)</f>
        <v>16.59</v>
      </c>
      <c r="Y12" s="5">
        <f>SUMIFS(dis_table[Amount],dis_table[Category],$M12,dis_table[Date],Y$1)</f>
        <v>0</v>
      </c>
    </row>
    <row r="13" spans="1:25" hidden="1" x14ac:dyDescent="0.25">
      <c r="A13" s="70">
        <v>11</v>
      </c>
      <c r="B13" t="s">
        <v>976</v>
      </c>
      <c r="C13" t="s">
        <v>976</v>
      </c>
      <c r="D13" t="s">
        <v>111</v>
      </c>
      <c r="E13">
        <v>29.93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>
        <v>2067.15</v>
      </c>
      <c r="M13" t="s">
        <v>30</v>
      </c>
      <c r="N13" s="5">
        <f>SUMIFS(dis_table[Amount],dis_table[Category],$M13,dis_table[Date],N$1)</f>
        <v>217.36</v>
      </c>
      <c r="O13" s="5">
        <f>SUMIFS(dis_table[Amount],dis_table[Category],$M13,dis_table[Date],O$1)</f>
        <v>608.72</v>
      </c>
      <c r="P13" s="5">
        <f>SUMIFS(dis_table[Amount],dis_table[Category],$M13,dis_table[Date],P$1)</f>
        <v>422</v>
      </c>
      <c r="Q13" s="5">
        <f>SUMIFS(dis_table[Amount],dis_table[Category],$M13,dis_table[Date],Q$1)</f>
        <v>409.79999999999995</v>
      </c>
      <c r="R13" s="5">
        <f>SUMIFS(dis_table[Amount],dis_table[Category],$M13,dis_table[Date],R$1)</f>
        <v>1511.2900000000004</v>
      </c>
      <c r="S13" s="5">
        <f>SUMIFS(dis_table[Amount],dis_table[Category],$M13,dis_table[Date],S$1)</f>
        <v>1230.06</v>
      </c>
      <c r="T13" s="5">
        <f>SUMIFS(dis_table[Amount],dis_table[Category],$M13,dis_table[Date],T$1)</f>
        <v>418.69</v>
      </c>
      <c r="U13" s="5">
        <f>SUMIFS(dis_table[Amount],dis_table[Category],$M13,dis_table[Date],U$1)</f>
        <v>32.040000000000006</v>
      </c>
      <c r="V13" s="5">
        <f>SUMIFS(dis_table[Amount],dis_table[Category],$M13,dis_table[Date],V$1)</f>
        <v>1115.98</v>
      </c>
      <c r="W13" s="5">
        <f>SUMIFS(dis_table[Amount],dis_table[Category],$M13,dis_table[Date],W$1)</f>
        <v>792.92</v>
      </c>
      <c r="X13" s="5">
        <f>SUMIFS(dis_table[Amount],dis_table[Category],$M13,dis_table[Date],X$1)</f>
        <v>229.67000000000002</v>
      </c>
      <c r="Y13" s="5">
        <f>SUMIFS(dis_table[Amount],dis_table[Category],$M13,dis_table[Date],Y$1)</f>
        <v>0</v>
      </c>
    </row>
    <row r="14" spans="1:25" hidden="1" x14ac:dyDescent="0.25">
      <c r="A14" s="70">
        <v>12</v>
      </c>
      <c r="B14" t="s">
        <v>976</v>
      </c>
      <c r="C14" t="s">
        <v>976</v>
      </c>
      <c r="D14" t="s">
        <v>112</v>
      </c>
      <c r="E14">
        <v>4.99</v>
      </c>
      <c r="F14" t="s">
        <v>20</v>
      </c>
      <c r="G14" t="s">
        <v>113</v>
      </c>
      <c r="H14" t="s">
        <v>14</v>
      </c>
      <c r="I14" t="s">
        <v>22</v>
      </c>
      <c r="J14" t="s">
        <v>23</v>
      </c>
      <c r="K14">
        <v>2072.139999999999</v>
      </c>
      <c r="M14" t="s">
        <v>10</v>
      </c>
      <c r="N14" s="52">
        <f t="shared" ref="N14:Y14" si="0">SUM(N2:N13)</f>
        <v>2191.71</v>
      </c>
      <c r="O14" s="52">
        <f t="shared" si="0"/>
        <v>1463.5300000000002</v>
      </c>
      <c r="P14" s="52">
        <f t="shared" si="0"/>
        <v>3905.37</v>
      </c>
      <c r="Q14" s="52">
        <f t="shared" si="0"/>
        <v>2590.2700000000004</v>
      </c>
      <c r="R14" s="52">
        <f t="shared" si="0"/>
        <v>3987.6200000000003</v>
      </c>
      <c r="S14" s="52">
        <f>SUM(S2:S13)</f>
        <v>3334.06</v>
      </c>
      <c r="T14" s="52">
        <f t="shared" si="0"/>
        <v>3720.55</v>
      </c>
      <c r="U14" s="52">
        <f t="shared" si="0"/>
        <v>2150.7699999999995</v>
      </c>
      <c r="V14" s="52">
        <f t="shared" si="0"/>
        <v>3625.55</v>
      </c>
      <c r="W14" s="52">
        <f t="shared" si="0"/>
        <v>4164.07</v>
      </c>
      <c r="X14" s="52">
        <f t="shared" si="0"/>
        <v>1940.6499999999999</v>
      </c>
      <c r="Y14" s="52">
        <f t="shared" si="0"/>
        <v>0</v>
      </c>
    </row>
    <row r="15" spans="1:25" hidden="1" x14ac:dyDescent="0.25">
      <c r="A15" s="70">
        <v>13</v>
      </c>
      <c r="B15" t="s">
        <v>977</v>
      </c>
      <c r="C15" t="s">
        <v>977</v>
      </c>
      <c r="D15" t="s">
        <v>104</v>
      </c>
      <c r="E15">
        <v>36.72</v>
      </c>
      <c r="F15" t="s">
        <v>53</v>
      </c>
      <c r="G15" t="s">
        <v>54</v>
      </c>
      <c r="H15" t="s">
        <v>14</v>
      </c>
      <c r="I15" t="s">
        <v>15</v>
      </c>
      <c r="J15" t="s">
        <v>16</v>
      </c>
      <c r="K15">
        <v>2108.8599999999992</v>
      </c>
      <c r="M15" t="s">
        <v>37</v>
      </c>
      <c r="N15" s="5">
        <f>SUMIFS(dis_table[Amount],dis_table[Category],$M15,dis_table[Date],N$1)</f>
        <v>-3994.92</v>
      </c>
      <c r="O15" s="5">
        <f>SUMIFS(dis_table[Amount],dis_table[Category],$M15,dis_table[Date],O$1)</f>
        <v>-2509.4299999999998</v>
      </c>
      <c r="P15" s="5">
        <f>SUMIFS(dis_table[Amount],dis_table[Category],$M15,dis_table[Date],P$1)</f>
        <v>-1969.1</v>
      </c>
      <c r="Q15" s="5">
        <f>SUMIFS(dis_table[Amount],dis_table[Category],$M15,dis_table[Date],Q$1)</f>
        <v>-934.85</v>
      </c>
      <c r="R15" s="5">
        <f>SUMIFS(dis_table[Amount],dis_table[Category],$M15,dis_table[Date],R$1)</f>
        <v>-2000</v>
      </c>
      <c r="S15" s="5">
        <f>SUMIFS(dis_table[Amount],dis_table[Category],$M15,dis_table[Date],S$1)</f>
        <v>-4008</v>
      </c>
      <c r="T15" s="5">
        <f>SUMIFS(dis_table[Amount],dis_table[Category],$M15,dis_table[Date],T$1)</f>
        <v>-8859.68</v>
      </c>
      <c r="U15" s="5">
        <f>SUMIFS(dis_table[Amount],dis_table[Category],$M15,dis_table[Date],U$1)</f>
        <v>-1792.5</v>
      </c>
      <c r="V15" s="5">
        <f>SUMIFS(dis_table[Amount],dis_table[Category],$M15,dis_table[Date],V$1)</f>
        <v>-4065.25</v>
      </c>
      <c r="W15" s="5">
        <f>SUMIFS(dis_table[Amount],dis_table[Category],$M15,dis_table[Date],W$1)</f>
        <v>-2568.06</v>
      </c>
      <c r="X15" s="5">
        <f>SUMIFS(dis_table[Amount],dis_table[Category],$M15,dis_table[Date],X$1)</f>
        <v>-3536.67</v>
      </c>
      <c r="Y15" s="5">
        <f>SUMIFS(dis_table[Amount],dis_table[Category],$M15,dis_table[Date],Y$1)</f>
        <v>0</v>
      </c>
    </row>
    <row r="16" spans="1:25" hidden="1" x14ac:dyDescent="0.25">
      <c r="A16" s="70">
        <v>14</v>
      </c>
      <c r="B16" t="s">
        <v>977</v>
      </c>
      <c r="C16" t="s">
        <v>977</v>
      </c>
      <c r="D16" t="s">
        <v>104</v>
      </c>
      <c r="E16">
        <v>32.58</v>
      </c>
      <c r="F16" t="s">
        <v>53</v>
      </c>
      <c r="G16" t="s">
        <v>54</v>
      </c>
      <c r="H16" t="s">
        <v>14</v>
      </c>
      <c r="I16" t="s">
        <v>15</v>
      </c>
      <c r="J16" t="s">
        <v>16</v>
      </c>
      <c r="K16">
        <v>2141.4399999999991</v>
      </c>
      <c r="M16" t="s">
        <v>44</v>
      </c>
      <c r="N16" s="5">
        <f>SUMIFS(dis_table[Amount],dis_table[Category],$M16,dis_table[Date],N$1)</f>
        <v>-29.08</v>
      </c>
      <c r="O16" s="5">
        <f>SUMIFS(dis_table[Amount],dis_table[Category],$M16,dis_table[Date],O$1)</f>
        <v>-29.29</v>
      </c>
      <c r="P16" s="5">
        <f>SUMIFS(dis_table[Amount],dis_table[Category],$M16,dis_table[Date],P$1)</f>
        <v>0</v>
      </c>
      <c r="Q16" s="5">
        <f>SUMIFS(dis_table[Amount],dis_table[Category],$M16,dis_table[Date],Q$1)</f>
        <v>-65.150000000000006</v>
      </c>
      <c r="R16" s="5">
        <f>SUMIFS(dis_table[Amount],dis_table[Category],$M16,dis_table[Date],R$1)</f>
        <v>-41.23</v>
      </c>
      <c r="S16" s="5">
        <f>SUMIFS(dis_table[Amount],dis_table[Category],$M16,dis_table[Date],S$1)</f>
        <v>0</v>
      </c>
      <c r="T16" s="5">
        <f>SUMIFS(dis_table[Amount],dis_table[Category],$M16,dis_table[Date],T$1)</f>
        <v>-81.42</v>
      </c>
      <c r="U16" s="5">
        <f>SUMIFS(dis_table[Amount],dis_table[Category],$M16,dis_table[Date],U$1)</f>
        <v>-53.05</v>
      </c>
      <c r="V16" s="5">
        <f>SUMIFS(dis_table[Amount],dis_table[Category],$M16,dis_table[Date],V$1)</f>
        <v>0</v>
      </c>
      <c r="W16" s="5">
        <f>SUMIFS(dis_table[Amount],dis_table[Category],$M16,dis_table[Date],W$1)</f>
        <v>0</v>
      </c>
      <c r="X16" s="5">
        <f>SUMIFS(dis_table[Amount],dis_table[Category],$M16,dis_table[Date],X$1)</f>
        <v>0</v>
      </c>
      <c r="Y16" s="5">
        <f>SUMIFS(dis_table[Amount],dis_table[Category],$M16,dis_table[Date],Y$1)</f>
        <v>0</v>
      </c>
    </row>
    <row r="17" spans="1:25" hidden="1" x14ac:dyDescent="0.25">
      <c r="A17" s="70">
        <v>15</v>
      </c>
      <c r="B17" t="s">
        <v>977</v>
      </c>
      <c r="C17" t="s">
        <v>977</v>
      </c>
      <c r="D17" t="s">
        <v>114</v>
      </c>
      <c r="E17">
        <v>20</v>
      </c>
      <c r="F17" t="s">
        <v>20</v>
      </c>
      <c r="G17" t="s">
        <v>115</v>
      </c>
      <c r="H17" t="s">
        <v>14</v>
      </c>
      <c r="I17" t="s">
        <v>22</v>
      </c>
      <c r="J17" t="s">
        <v>23</v>
      </c>
      <c r="K17">
        <v>2161.4399999999991</v>
      </c>
    </row>
    <row r="18" spans="1:25" hidden="1" x14ac:dyDescent="0.25">
      <c r="A18" s="70">
        <v>16</v>
      </c>
      <c r="B18" t="s">
        <v>977</v>
      </c>
      <c r="C18" t="s">
        <v>977</v>
      </c>
      <c r="D18" t="s">
        <v>104</v>
      </c>
      <c r="E18">
        <v>2.4900000000000002</v>
      </c>
      <c r="F18" t="s">
        <v>53</v>
      </c>
      <c r="G18" t="s">
        <v>54</v>
      </c>
      <c r="H18" t="s">
        <v>14</v>
      </c>
      <c r="I18" t="s">
        <v>15</v>
      </c>
      <c r="J18" t="s">
        <v>16</v>
      </c>
      <c r="K18">
        <v>2163.9299999999989</v>
      </c>
      <c r="N18" t="s">
        <v>14</v>
      </c>
      <c r="O18" t="s">
        <v>117</v>
      </c>
      <c r="P18" t="s">
        <v>145</v>
      </c>
      <c r="Q18" t="s">
        <v>233</v>
      </c>
      <c r="R18" t="s">
        <v>290</v>
      </c>
      <c r="S18" t="s">
        <v>364</v>
      </c>
      <c r="T18" t="s">
        <v>420</v>
      </c>
      <c r="U18" s="71" t="s">
        <v>911</v>
      </c>
      <c r="V18" s="72" t="s">
        <v>1170</v>
      </c>
      <c r="W18" s="72" t="s">
        <v>1246</v>
      </c>
      <c r="X18" s="72" t="s">
        <v>1337</v>
      </c>
      <c r="Y18" s="72" t="s">
        <v>1392</v>
      </c>
    </row>
    <row r="19" spans="1:25" hidden="1" x14ac:dyDescent="0.25">
      <c r="A19" s="70">
        <v>17</v>
      </c>
      <c r="B19" t="s">
        <v>978</v>
      </c>
      <c r="C19" t="s">
        <v>978</v>
      </c>
      <c r="D19" t="s">
        <v>26</v>
      </c>
      <c r="E19">
        <v>49.98</v>
      </c>
      <c r="F19" t="s">
        <v>20</v>
      </c>
      <c r="G19" t="s">
        <v>27</v>
      </c>
      <c r="H19" t="s">
        <v>14</v>
      </c>
      <c r="I19" t="s">
        <v>15</v>
      </c>
      <c r="J19" t="s">
        <v>32</v>
      </c>
      <c r="K19">
        <v>2213.9099999999989</v>
      </c>
      <c r="M19" t="str">
        <f>M14</f>
        <v>Balance</v>
      </c>
      <c r="N19" s="5">
        <v>3659.69</v>
      </c>
      <c r="O19" s="5">
        <f t="shared" ref="O19:T19" si="1">O14</f>
        <v>1463.5300000000002</v>
      </c>
      <c r="P19" s="5">
        <f t="shared" si="1"/>
        <v>3905.37</v>
      </c>
      <c r="Q19" s="5">
        <f t="shared" si="1"/>
        <v>2590.2700000000004</v>
      </c>
      <c r="R19" s="5">
        <f t="shared" si="1"/>
        <v>3987.6200000000003</v>
      </c>
      <c r="S19" s="5">
        <f>S14</f>
        <v>3334.06</v>
      </c>
      <c r="T19" s="5">
        <f t="shared" si="1"/>
        <v>3720.55</v>
      </c>
      <c r="U19" s="5">
        <f>U14</f>
        <v>2150.7699999999995</v>
      </c>
      <c r="V19" s="5">
        <f t="shared" ref="U19:Y19" si="2">V14</f>
        <v>3625.55</v>
      </c>
      <c r="W19" s="5">
        <f t="shared" si="2"/>
        <v>4164.07</v>
      </c>
      <c r="X19" s="5">
        <f t="shared" si="2"/>
        <v>1940.6499999999999</v>
      </c>
      <c r="Y19" s="5">
        <f t="shared" si="2"/>
        <v>0</v>
      </c>
    </row>
    <row r="20" spans="1:25" hidden="1" x14ac:dyDescent="0.25">
      <c r="A20" s="70">
        <v>18</v>
      </c>
      <c r="B20" t="s">
        <v>978</v>
      </c>
      <c r="C20" t="s">
        <v>978</v>
      </c>
      <c r="D20" t="s">
        <v>28</v>
      </c>
      <c r="E20">
        <v>10.09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  <c r="K20">
        <v>2223.9999999999991</v>
      </c>
      <c r="M20" t="str">
        <f>M15</f>
        <v>Payments and Credits</v>
      </c>
      <c r="N20" s="23">
        <f>N15*-1</f>
        <v>3994.92</v>
      </c>
      <c r="O20" s="23">
        <f t="shared" ref="O20:T20" si="3">O15*-1</f>
        <v>2509.4299999999998</v>
      </c>
      <c r="P20" s="23">
        <f t="shared" si="3"/>
        <v>1969.1</v>
      </c>
      <c r="Q20" s="23">
        <f t="shared" si="3"/>
        <v>934.85</v>
      </c>
      <c r="R20" s="23">
        <f t="shared" si="3"/>
        <v>2000</v>
      </c>
      <c r="S20" s="23">
        <f t="shared" si="3"/>
        <v>4008</v>
      </c>
      <c r="T20" s="23">
        <f t="shared" si="3"/>
        <v>8859.68</v>
      </c>
      <c r="U20" s="23">
        <f t="shared" ref="U20:Y20" si="4">U15*-1</f>
        <v>1792.5</v>
      </c>
      <c r="V20" s="23">
        <f t="shared" si="4"/>
        <v>4065.25</v>
      </c>
      <c r="W20" s="23">
        <f t="shared" si="4"/>
        <v>2568.06</v>
      </c>
      <c r="X20" s="23">
        <f t="shared" si="4"/>
        <v>3536.67</v>
      </c>
      <c r="Y20" s="23">
        <f t="shared" si="4"/>
        <v>0</v>
      </c>
    </row>
    <row r="21" spans="1:25" hidden="1" x14ac:dyDescent="0.25">
      <c r="A21" s="70">
        <v>19</v>
      </c>
      <c r="B21" t="s">
        <v>979</v>
      </c>
      <c r="C21" t="s">
        <v>979</v>
      </c>
      <c r="D21" t="s">
        <v>29</v>
      </c>
      <c r="E21">
        <v>210</v>
      </c>
      <c r="F21" t="s">
        <v>30</v>
      </c>
      <c r="G21" t="s">
        <v>31</v>
      </c>
      <c r="H21" t="s">
        <v>14</v>
      </c>
      <c r="I21" t="s">
        <v>15</v>
      </c>
      <c r="J21" t="s">
        <v>32</v>
      </c>
      <c r="K21">
        <v>2433.9999999999991</v>
      </c>
    </row>
    <row r="22" spans="1:25" hidden="1" x14ac:dyDescent="0.25">
      <c r="A22" s="70">
        <v>20</v>
      </c>
      <c r="B22" t="s">
        <v>980</v>
      </c>
      <c r="C22" t="s">
        <v>980</v>
      </c>
      <c r="D22" t="s">
        <v>35</v>
      </c>
      <c r="E22">
        <v>15.1</v>
      </c>
      <c r="F22" t="s">
        <v>12</v>
      </c>
      <c r="G22" t="s">
        <v>13</v>
      </c>
      <c r="H22" t="s">
        <v>14</v>
      </c>
      <c r="I22" t="s">
        <v>15</v>
      </c>
      <c r="J22" t="s">
        <v>16</v>
      </c>
      <c r="K22">
        <v>2449.099999999999</v>
      </c>
    </row>
    <row r="23" spans="1:25" hidden="1" x14ac:dyDescent="0.25">
      <c r="A23" s="70">
        <v>21</v>
      </c>
      <c r="B23" t="s">
        <v>980</v>
      </c>
      <c r="C23" t="s">
        <v>980</v>
      </c>
      <c r="D23" t="s">
        <v>33</v>
      </c>
      <c r="E23">
        <v>19.8</v>
      </c>
      <c r="F23" t="s">
        <v>20</v>
      </c>
      <c r="G23" t="s">
        <v>34</v>
      </c>
      <c r="H23" t="s">
        <v>14</v>
      </c>
      <c r="I23" t="s">
        <v>15</v>
      </c>
      <c r="J23" t="s">
        <v>32</v>
      </c>
      <c r="K23">
        <v>2468.8999999999992</v>
      </c>
    </row>
    <row r="24" spans="1:25" hidden="1" x14ac:dyDescent="0.25">
      <c r="A24" s="70">
        <v>22</v>
      </c>
      <c r="B24" t="s">
        <v>981</v>
      </c>
      <c r="C24" t="s">
        <v>981</v>
      </c>
      <c r="D24" t="s">
        <v>36</v>
      </c>
      <c r="E24">
        <v>-2194.92</v>
      </c>
      <c r="F24" t="s">
        <v>37</v>
      </c>
      <c r="G24" t="s">
        <v>38</v>
      </c>
      <c r="H24" t="s">
        <v>14</v>
      </c>
      <c r="I24" t="s">
        <v>15</v>
      </c>
      <c r="J24" t="s">
        <v>973</v>
      </c>
      <c r="K24">
        <v>273.97999999999911</v>
      </c>
    </row>
    <row r="25" spans="1:25" hidden="1" x14ac:dyDescent="0.25">
      <c r="A25" s="70">
        <v>23</v>
      </c>
      <c r="B25" t="s">
        <v>981</v>
      </c>
      <c r="C25" t="s">
        <v>981</v>
      </c>
      <c r="D25" t="s">
        <v>43</v>
      </c>
      <c r="E25">
        <v>-29.08</v>
      </c>
      <c r="F25" t="s">
        <v>44</v>
      </c>
      <c r="G25" t="s">
        <v>45</v>
      </c>
      <c r="H25" t="s">
        <v>14</v>
      </c>
      <c r="I25" t="s">
        <v>15</v>
      </c>
      <c r="J25" t="s">
        <v>973</v>
      </c>
      <c r="K25">
        <v>244.8999999999991</v>
      </c>
    </row>
    <row r="26" spans="1:25" hidden="1" x14ac:dyDescent="0.25">
      <c r="A26" s="70">
        <v>24</v>
      </c>
      <c r="B26" t="s">
        <v>981</v>
      </c>
      <c r="C26" t="s">
        <v>981</v>
      </c>
      <c r="D26" t="s">
        <v>39</v>
      </c>
      <c r="E26">
        <v>30.89</v>
      </c>
      <c r="F26" t="s">
        <v>40</v>
      </c>
      <c r="G26" t="s">
        <v>41</v>
      </c>
      <c r="H26" t="s">
        <v>14</v>
      </c>
      <c r="I26" t="s">
        <v>15</v>
      </c>
      <c r="J26" t="s">
        <v>42</v>
      </c>
      <c r="K26">
        <v>275.78999999999911</v>
      </c>
    </row>
    <row r="27" spans="1:25" hidden="1" x14ac:dyDescent="0.25">
      <c r="A27" s="70">
        <v>25</v>
      </c>
      <c r="B27" t="s">
        <v>982</v>
      </c>
      <c r="C27" t="s">
        <v>982</v>
      </c>
      <c r="D27" t="s">
        <v>47</v>
      </c>
      <c r="E27">
        <v>6.29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  <c r="K27">
        <v>282.07999999999907</v>
      </c>
    </row>
    <row r="28" spans="1:25" hidden="1" x14ac:dyDescent="0.25">
      <c r="A28" s="70">
        <v>26</v>
      </c>
      <c r="B28" t="s">
        <v>982</v>
      </c>
      <c r="C28" t="s">
        <v>854</v>
      </c>
      <c r="D28" t="s">
        <v>46</v>
      </c>
      <c r="E28">
        <v>60</v>
      </c>
      <c r="F28" t="s">
        <v>12</v>
      </c>
      <c r="G28" t="s">
        <v>18</v>
      </c>
      <c r="H28" t="s">
        <v>14</v>
      </c>
      <c r="I28" t="s">
        <v>15</v>
      </c>
      <c r="J28" t="s">
        <v>16</v>
      </c>
      <c r="K28">
        <v>342.07999999999907</v>
      </c>
    </row>
    <row r="29" spans="1:25" hidden="1" x14ac:dyDescent="0.25">
      <c r="A29" s="70">
        <v>27</v>
      </c>
      <c r="B29" t="s">
        <v>982</v>
      </c>
      <c r="C29" t="s">
        <v>982</v>
      </c>
      <c r="D29" t="s">
        <v>48</v>
      </c>
      <c r="E29">
        <v>15.89</v>
      </c>
      <c r="F29" t="s">
        <v>20</v>
      </c>
      <c r="G29" t="s">
        <v>49</v>
      </c>
      <c r="H29" t="s">
        <v>14</v>
      </c>
      <c r="I29" t="s">
        <v>22</v>
      </c>
      <c r="J29" t="s">
        <v>23</v>
      </c>
      <c r="K29">
        <v>357.96999999999912</v>
      </c>
    </row>
    <row r="30" spans="1:25" hidden="1" x14ac:dyDescent="0.25">
      <c r="A30" s="70">
        <v>28</v>
      </c>
      <c r="B30" t="s">
        <v>983</v>
      </c>
      <c r="C30" t="s">
        <v>983</v>
      </c>
      <c r="D30" t="s">
        <v>52</v>
      </c>
      <c r="E30">
        <v>35.020000000000003</v>
      </c>
      <c r="F30" t="s">
        <v>53</v>
      </c>
      <c r="G30" t="s">
        <v>54</v>
      </c>
      <c r="H30" t="s">
        <v>14</v>
      </c>
      <c r="I30" t="s">
        <v>15</v>
      </c>
      <c r="J30" t="s">
        <v>16</v>
      </c>
      <c r="K30">
        <v>392.9899999999991</v>
      </c>
    </row>
    <row r="31" spans="1:25" hidden="1" x14ac:dyDescent="0.25">
      <c r="A31" s="70">
        <v>29</v>
      </c>
      <c r="B31" t="s">
        <v>983</v>
      </c>
      <c r="C31" t="s">
        <v>983</v>
      </c>
      <c r="D31" t="s">
        <v>51</v>
      </c>
      <c r="E31">
        <v>21.49</v>
      </c>
      <c r="F31" t="s">
        <v>12</v>
      </c>
      <c r="G31" t="s">
        <v>13</v>
      </c>
      <c r="H31" t="s">
        <v>14</v>
      </c>
      <c r="I31" t="s">
        <v>15</v>
      </c>
      <c r="J31" t="s">
        <v>16</v>
      </c>
      <c r="K31">
        <v>414.47999999999911</v>
      </c>
    </row>
    <row r="32" spans="1:25" hidden="1" x14ac:dyDescent="0.25">
      <c r="A32" s="70">
        <v>30</v>
      </c>
      <c r="B32" t="s">
        <v>983</v>
      </c>
      <c r="C32" t="s">
        <v>983</v>
      </c>
      <c r="D32" t="s">
        <v>50</v>
      </c>
      <c r="E32">
        <v>52.41</v>
      </c>
      <c r="F32" t="s">
        <v>12</v>
      </c>
      <c r="G32" t="s">
        <v>18</v>
      </c>
      <c r="H32" t="s">
        <v>14</v>
      </c>
      <c r="I32" t="s">
        <v>15</v>
      </c>
      <c r="J32" t="s">
        <v>16</v>
      </c>
      <c r="K32">
        <v>466.88999999999908</v>
      </c>
    </row>
    <row r="33" spans="1:11" hidden="1" x14ac:dyDescent="0.25">
      <c r="A33" s="70">
        <v>31</v>
      </c>
      <c r="B33" t="s">
        <v>984</v>
      </c>
      <c r="C33" t="s">
        <v>984</v>
      </c>
      <c r="D33" t="s">
        <v>58</v>
      </c>
      <c r="E33">
        <v>26.49</v>
      </c>
      <c r="F33" t="s">
        <v>20</v>
      </c>
      <c r="G33" t="s">
        <v>59</v>
      </c>
      <c r="H33" t="s">
        <v>14</v>
      </c>
      <c r="I33" t="s">
        <v>15</v>
      </c>
      <c r="J33" t="s">
        <v>60</v>
      </c>
      <c r="K33">
        <v>493.37999999999909</v>
      </c>
    </row>
    <row r="34" spans="1:11" hidden="1" x14ac:dyDescent="0.25">
      <c r="A34" s="70">
        <v>32</v>
      </c>
      <c r="B34" t="s">
        <v>984</v>
      </c>
      <c r="C34" t="s">
        <v>984</v>
      </c>
      <c r="D34" t="s">
        <v>55</v>
      </c>
      <c r="E34">
        <v>62</v>
      </c>
      <c r="F34" t="s">
        <v>56</v>
      </c>
      <c r="G34" t="s">
        <v>57</v>
      </c>
      <c r="H34" t="s">
        <v>14</v>
      </c>
      <c r="I34" t="s">
        <v>15</v>
      </c>
      <c r="J34" t="s">
        <v>23</v>
      </c>
      <c r="K34">
        <v>555.37999999999909</v>
      </c>
    </row>
    <row r="35" spans="1:11" hidden="1" x14ac:dyDescent="0.25">
      <c r="A35" s="70">
        <v>33</v>
      </c>
      <c r="B35" t="s">
        <v>985</v>
      </c>
      <c r="C35" t="s">
        <v>985</v>
      </c>
      <c r="D35" t="s">
        <v>61</v>
      </c>
      <c r="E35">
        <v>2.99</v>
      </c>
      <c r="F35" t="s">
        <v>40</v>
      </c>
      <c r="G35" t="s">
        <v>34</v>
      </c>
      <c r="H35" t="s">
        <v>14</v>
      </c>
      <c r="I35" t="s">
        <v>15</v>
      </c>
      <c r="J35" t="s">
        <v>32</v>
      </c>
      <c r="K35">
        <v>558.3699999999991</v>
      </c>
    </row>
    <row r="36" spans="1:11" hidden="1" x14ac:dyDescent="0.25">
      <c r="A36" s="70">
        <v>34</v>
      </c>
      <c r="B36" t="s">
        <v>985</v>
      </c>
      <c r="C36" t="s">
        <v>985</v>
      </c>
      <c r="D36" t="s">
        <v>63</v>
      </c>
      <c r="E36">
        <v>12.68</v>
      </c>
      <c r="F36" t="s">
        <v>12</v>
      </c>
      <c r="G36" t="s">
        <v>13</v>
      </c>
      <c r="H36" t="s">
        <v>14</v>
      </c>
      <c r="I36" t="s">
        <v>15</v>
      </c>
      <c r="J36" t="s">
        <v>16</v>
      </c>
      <c r="K36">
        <v>571.04999999999905</v>
      </c>
    </row>
    <row r="37" spans="1:11" hidden="1" x14ac:dyDescent="0.25">
      <c r="A37" s="70">
        <v>35</v>
      </c>
      <c r="B37" t="s">
        <v>985</v>
      </c>
      <c r="C37" t="s">
        <v>985</v>
      </c>
      <c r="D37" t="s">
        <v>62</v>
      </c>
      <c r="E37">
        <v>24.15</v>
      </c>
      <c r="F37" t="s">
        <v>40</v>
      </c>
      <c r="G37" t="s">
        <v>41</v>
      </c>
      <c r="H37" t="s">
        <v>14</v>
      </c>
      <c r="I37" t="s">
        <v>15</v>
      </c>
      <c r="J37" t="s">
        <v>42</v>
      </c>
      <c r="K37">
        <v>595.19999999999902</v>
      </c>
    </row>
    <row r="38" spans="1:11" hidden="1" x14ac:dyDescent="0.25">
      <c r="A38" s="70">
        <v>36</v>
      </c>
      <c r="B38" t="s">
        <v>985</v>
      </c>
      <c r="C38" t="s">
        <v>985</v>
      </c>
      <c r="D38" t="s">
        <v>64</v>
      </c>
      <c r="E38">
        <v>70</v>
      </c>
      <c r="F38" t="s">
        <v>20</v>
      </c>
      <c r="G38" t="s">
        <v>65</v>
      </c>
      <c r="H38" t="s">
        <v>14</v>
      </c>
      <c r="I38" t="s">
        <v>15</v>
      </c>
      <c r="J38" t="s">
        <v>66</v>
      </c>
      <c r="K38">
        <v>665.19999999999902</v>
      </c>
    </row>
    <row r="39" spans="1:11" hidden="1" x14ac:dyDescent="0.25">
      <c r="A39" s="70">
        <v>37</v>
      </c>
      <c r="B39" t="s">
        <v>986</v>
      </c>
      <c r="C39" t="s">
        <v>986</v>
      </c>
      <c r="D39" t="s">
        <v>71</v>
      </c>
      <c r="E39">
        <v>153.88</v>
      </c>
      <c r="F39" t="s">
        <v>20</v>
      </c>
      <c r="G39" t="s">
        <v>72</v>
      </c>
      <c r="H39" t="s">
        <v>14</v>
      </c>
      <c r="I39" t="s">
        <v>15</v>
      </c>
      <c r="J39" t="s">
        <v>32</v>
      </c>
      <c r="K39">
        <v>819.07999999999902</v>
      </c>
    </row>
    <row r="40" spans="1:11" hidden="1" x14ac:dyDescent="0.25">
      <c r="A40" s="70">
        <v>38</v>
      </c>
      <c r="B40" t="s">
        <v>986</v>
      </c>
      <c r="C40" t="s">
        <v>986</v>
      </c>
      <c r="D40" t="s">
        <v>67</v>
      </c>
      <c r="E40">
        <v>5.29</v>
      </c>
      <c r="F40" t="s">
        <v>20</v>
      </c>
      <c r="G40" t="s">
        <v>68</v>
      </c>
      <c r="H40" t="s">
        <v>14</v>
      </c>
      <c r="I40" t="s">
        <v>22</v>
      </c>
      <c r="J40" t="s">
        <v>23</v>
      </c>
      <c r="K40">
        <v>824.36999999999898</v>
      </c>
    </row>
    <row r="41" spans="1:11" hidden="1" x14ac:dyDescent="0.25">
      <c r="A41" s="70">
        <v>39</v>
      </c>
      <c r="B41" t="s">
        <v>986</v>
      </c>
      <c r="C41" t="s">
        <v>986</v>
      </c>
      <c r="D41" t="s">
        <v>69</v>
      </c>
      <c r="E41">
        <v>182.45</v>
      </c>
      <c r="F41" t="s">
        <v>56</v>
      </c>
      <c r="G41" t="s">
        <v>70</v>
      </c>
      <c r="H41" t="s">
        <v>14</v>
      </c>
      <c r="I41" t="s">
        <v>15</v>
      </c>
      <c r="J41" t="s">
        <v>66</v>
      </c>
      <c r="K41">
        <v>1006.819999999999</v>
      </c>
    </row>
    <row r="42" spans="1:11" hidden="1" x14ac:dyDescent="0.25">
      <c r="A42" s="70">
        <v>40</v>
      </c>
      <c r="B42" t="s">
        <v>987</v>
      </c>
      <c r="C42" t="s">
        <v>987</v>
      </c>
      <c r="D42" t="s">
        <v>75</v>
      </c>
      <c r="E42">
        <v>23.71</v>
      </c>
      <c r="F42" t="s">
        <v>20</v>
      </c>
      <c r="G42" t="s">
        <v>76</v>
      </c>
      <c r="H42" t="s">
        <v>14</v>
      </c>
      <c r="I42" t="s">
        <v>15</v>
      </c>
      <c r="J42" t="s">
        <v>42</v>
      </c>
      <c r="K42">
        <v>1030.5299999999991</v>
      </c>
    </row>
    <row r="43" spans="1:11" hidden="1" x14ac:dyDescent="0.25">
      <c r="A43" s="70">
        <v>41</v>
      </c>
      <c r="B43" t="s">
        <v>987</v>
      </c>
      <c r="C43" t="s">
        <v>987</v>
      </c>
      <c r="D43" t="s">
        <v>73</v>
      </c>
      <c r="E43">
        <v>12.62</v>
      </c>
      <c r="F43" t="s">
        <v>12</v>
      </c>
      <c r="G43" t="s">
        <v>74</v>
      </c>
      <c r="H43" t="s">
        <v>14</v>
      </c>
      <c r="I43" t="s">
        <v>15</v>
      </c>
      <c r="J43" t="s">
        <v>16</v>
      </c>
      <c r="K43">
        <v>1043.149999999999</v>
      </c>
    </row>
    <row r="44" spans="1:11" hidden="1" x14ac:dyDescent="0.25">
      <c r="A44" s="70">
        <v>42</v>
      </c>
      <c r="B44" t="s">
        <v>988</v>
      </c>
      <c r="C44" t="s">
        <v>988</v>
      </c>
      <c r="D44" t="s">
        <v>79</v>
      </c>
      <c r="E44">
        <v>12.99</v>
      </c>
      <c r="F44" t="s">
        <v>20</v>
      </c>
      <c r="G44" t="s">
        <v>80</v>
      </c>
      <c r="H44" t="s">
        <v>14</v>
      </c>
      <c r="I44" t="s">
        <v>15</v>
      </c>
      <c r="J44" t="s">
        <v>23</v>
      </c>
      <c r="K44">
        <v>1056.139999999999</v>
      </c>
    </row>
    <row r="45" spans="1:11" hidden="1" x14ac:dyDescent="0.25">
      <c r="A45" s="70">
        <v>43</v>
      </c>
      <c r="B45" t="s">
        <v>989</v>
      </c>
      <c r="C45" t="s">
        <v>989</v>
      </c>
      <c r="D45" t="s">
        <v>79</v>
      </c>
      <c r="E45">
        <v>4.99</v>
      </c>
      <c r="F45" t="s">
        <v>20</v>
      </c>
      <c r="G45" t="s">
        <v>80</v>
      </c>
      <c r="H45" t="s">
        <v>14</v>
      </c>
      <c r="I45" t="s">
        <v>15</v>
      </c>
      <c r="J45" t="s">
        <v>23</v>
      </c>
      <c r="K45">
        <v>1061.129999999999</v>
      </c>
    </row>
    <row r="46" spans="1:11" hidden="1" x14ac:dyDescent="0.25">
      <c r="A46" s="70">
        <v>44</v>
      </c>
      <c r="B46" t="s">
        <v>989</v>
      </c>
      <c r="C46" t="s">
        <v>989</v>
      </c>
      <c r="D46" t="s">
        <v>79</v>
      </c>
      <c r="E46">
        <v>11</v>
      </c>
      <c r="F46" t="s">
        <v>20</v>
      </c>
      <c r="G46" t="s">
        <v>80</v>
      </c>
      <c r="H46" t="s">
        <v>14</v>
      </c>
      <c r="I46" t="s">
        <v>15</v>
      </c>
      <c r="J46" t="s">
        <v>23</v>
      </c>
      <c r="K46">
        <v>1072.129999999999</v>
      </c>
    </row>
    <row r="47" spans="1:11" hidden="1" x14ac:dyDescent="0.25">
      <c r="A47" s="70">
        <v>45</v>
      </c>
      <c r="B47" t="s">
        <v>989</v>
      </c>
      <c r="C47" t="s">
        <v>989</v>
      </c>
      <c r="D47" t="s">
        <v>81</v>
      </c>
      <c r="E47">
        <v>32.44</v>
      </c>
      <c r="F47" t="s">
        <v>20</v>
      </c>
      <c r="G47" t="s">
        <v>76</v>
      </c>
      <c r="H47" t="s">
        <v>14</v>
      </c>
      <c r="I47" t="s">
        <v>15</v>
      </c>
      <c r="J47" t="s">
        <v>42</v>
      </c>
      <c r="K47">
        <v>1104.569999999999</v>
      </c>
    </row>
    <row r="48" spans="1:11" hidden="1" x14ac:dyDescent="0.25">
      <c r="A48" s="70">
        <v>46</v>
      </c>
      <c r="B48" t="s">
        <v>989</v>
      </c>
      <c r="C48" t="s">
        <v>989</v>
      </c>
      <c r="D48" t="s">
        <v>82</v>
      </c>
      <c r="E48">
        <v>6.83</v>
      </c>
      <c r="F48" t="s">
        <v>12</v>
      </c>
      <c r="G48" t="s">
        <v>13</v>
      </c>
      <c r="H48" t="s">
        <v>14</v>
      </c>
      <c r="I48" t="s">
        <v>15</v>
      </c>
      <c r="J48" t="s">
        <v>16</v>
      </c>
      <c r="K48">
        <v>1111.399999999999</v>
      </c>
    </row>
    <row r="49" spans="1:11" hidden="1" x14ac:dyDescent="0.25">
      <c r="A49" s="70">
        <v>47</v>
      </c>
      <c r="B49" t="s">
        <v>990</v>
      </c>
      <c r="C49" t="s">
        <v>990</v>
      </c>
      <c r="D49" t="s">
        <v>84</v>
      </c>
      <c r="E49">
        <v>32.979999999999997</v>
      </c>
      <c r="F49" t="s">
        <v>20</v>
      </c>
      <c r="G49" t="s">
        <v>27</v>
      </c>
      <c r="H49" t="s">
        <v>14</v>
      </c>
      <c r="I49" t="s">
        <v>15</v>
      </c>
      <c r="J49" t="s">
        <v>32</v>
      </c>
      <c r="K49">
        <v>1144.379999999999</v>
      </c>
    </row>
    <row r="50" spans="1:11" hidden="1" x14ac:dyDescent="0.25">
      <c r="A50" s="70">
        <v>48</v>
      </c>
      <c r="B50" t="s">
        <v>990</v>
      </c>
      <c r="C50" t="s">
        <v>990</v>
      </c>
      <c r="D50" t="s">
        <v>85</v>
      </c>
      <c r="E50">
        <v>29.99</v>
      </c>
      <c r="F50" t="s">
        <v>20</v>
      </c>
      <c r="G50" t="s">
        <v>27</v>
      </c>
      <c r="H50" t="s">
        <v>14</v>
      </c>
      <c r="I50" t="s">
        <v>15</v>
      </c>
      <c r="J50" t="s">
        <v>32</v>
      </c>
      <c r="K50">
        <v>1174.369999999999</v>
      </c>
    </row>
    <row r="51" spans="1:11" hidden="1" x14ac:dyDescent="0.25">
      <c r="A51" s="70">
        <v>49</v>
      </c>
      <c r="B51" t="s">
        <v>990</v>
      </c>
      <c r="C51" t="s">
        <v>990</v>
      </c>
      <c r="D51" t="s">
        <v>86</v>
      </c>
      <c r="E51">
        <v>22.79</v>
      </c>
      <c r="F51" t="s">
        <v>20</v>
      </c>
      <c r="G51" t="s">
        <v>27</v>
      </c>
      <c r="H51" t="s">
        <v>14</v>
      </c>
      <c r="I51" t="s">
        <v>15</v>
      </c>
      <c r="J51" t="s">
        <v>32</v>
      </c>
      <c r="K51">
        <v>1197.1599999999989</v>
      </c>
    </row>
    <row r="52" spans="1:11" hidden="1" x14ac:dyDescent="0.25">
      <c r="A52" s="70">
        <v>50</v>
      </c>
      <c r="B52" t="s">
        <v>990</v>
      </c>
      <c r="C52" t="s">
        <v>990</v>
      </c>
      <c r="D52" t="s">
        <v>83</v>
      </c>
      <c r="E52">
        <v>7.36</v>
      </c>
      <c r="F52" t="s">
        <v>30</v>
      </c>
      <c r="G52" t="s">
        <v>13</v>
      </c>
      <c r="H52" t="s">
        <v>14</v>
      </c>
      <c r="I52" t="s">
        <v>15</v>
      </c>
      <c r="J52" t="s">
        <v>16</v>
      </c>
      <c r="K52">
        <v>1204.5199999999991</v>
      </c>
    </row>
    <row r="53" spans="1:11" hidden="1" x14ac:dyDescent="0.25">
      <c r="A53" s="70">
        <v>51</v>
      </c>
      <c r="B53" t="s">
        <v>991</v>
      </c>
      <c r="C53" t="s">
        <v>991</v>
      </c>
      <c r="D53" t="s">
        <v>87</v>
      </c>
      <c r="E53">
        <v>30</v>
      </c>
      <c r="F53" t="s">
        <v>20</v>
      </c>
      <c r="G53" t="s">
        <v>88</v>
      </c>
      <c r="H53" t="s">
        <v>14</v>
      </c>
      <c r="I53" t="s">
        <v>22</v>
      </c>
      <c r="J53" t="s">
        <v>23</v>
      </c>
      <c r="K53">
        <v>1234.5199999999991</v>
      </c>
    </row>
    <row r="54" spans="1:11" hidden="1" x14ac:dyDescent="0.25">
      <c r="A54" s="70">
        <v>52</v>
      </c>
      <c r="B54" t="s">
        <v>992</v>
      </c>
      <c r="C54" t="s">
        <v>992</v>
      </c>
      <c r="D54" t="s">
        <v>89</v>
      </c>
      <c r="E54">
        <v>79</v>
      </c>
      <c r="F54" t="s">
        <v>20</v>
      </c>
      <c r="G54" t="s">
        <v>90</v>
      </c>
      <c r="H54" t="s">
        <v>14</v>
      </c>
      <c r="I54" t="s">
        <v>15</v>
      </c>
      <c r="J54" t="s">
        <v>32</v>
      </c>
      <c r="K54">
        <v>1313.5199999999991</v>
      </c>
    </row>
    <row r="55" spans="1:11" hidden="1" x14ac:dyDescent="0.25">
      <c r="A55" s="70">
        <v>53</v>
      </c>
      <c r="B55" t="s">
        <v>993</v>
      </c>
      <c r="C55" t="s">
        <v>993</v>
      </c>
      <c r="D55" t="s">
        <v>91</v>
      </c>
      <c r="E55">
        <v>1.87</v>
      </c>
      <c r="F55" t="s">
        <v>20</v>
      </c>
      <c r="G55" t="s">
        <v>92</v>
      </c>
      <c r="H55" t="s">
        <v>14</v>
      </c>
      <c r="I55" t="s">
        <v>15</v>
      </c>
      <c r="J55" t="s">
        <v>32</v>
      </c>
      <c r="K55">
        <v>1315.389999999999</v>
      </c>
    </row>
    <row r="56" spans="1:11" hidden="1" x14ac:dyDescent="0.25">
      <c r="A56" s="70">
        <v>54</v>
      </c>
      <c r="B56" t="s">
        <v>993</v>
      </c>
      <c r="C56" t="s">
        <v>993</v>
      </c>
      <c r="D56" t="s">
        <v>93</v>
      </c>
      <c r="E56">
        <v>210</v>
      </c>
      <c r="F56" t="s">
        <v>56</v>
      </c>
      <c r="G56" t="s">
        <v>94</v>
      </c>
      <c r="H56" t="s">
        <v>14</v>
      </c>
      <c r="I56" t="s">
        <v>15</v>
      </c>
      <c r="J56" t="s">
        <v>32</v>
      </c>
      <c r="K56">
        <v>1525.389999999999</v>
      </c>
    </row>
    <row r="57" spans="1:11" hidden="1" x14ac:dyDescent="0.25">
      <c r="A57" s="70">
        <v>55</v>
      </c>
      <c r="B57" t="s">
        <v>993</v>
      </c>
      <c r="C57" t="s">
        <v>993</v>
      </c>
      <c r="D57" t="s">
        <v>91</v>
      </c>
      <c r="E57">
        <v>2.17</v>
      </c>
      <c r="F57" t="s">
        <v>20</v>
      </c>
      <c r="G57" t="s">
        <v>92</v>
      </c>
      <c r="H57" t="s">
        <v>14</v>
      </c>
      <c r="I57" t="s">
        <v>15</v>
      </c>
      <c r="J57" t="s">
        <v>32</v>
      </c>
      <c r="K57">
        <v>1527.559999999999</v>
      </c>
    </row>
    <row r="58" spans="1:11" hidden="1" x14ac:dyDescent="0.25">
      <c r="A58" s="70">
        <v>56</v>
      </c>
      <c r="B58" t="s">
        <v>993</v>
      </c>
      <c r="C58" t="s">
        <v>993</v>
      </c>
      <c r="D58" t="s">
        <v>28</v>
      </c>
      <c r="E58">
        <v>9</v>
      </c>
      <c r="F58" t="s">
        <v>12</v>
      </c>
      <c r="G58" t="s">
        <v>13</v>
      </c>
      <c r="H58" t="s">
        <v>14</v>
      </c>
      <c r="I58" t="s">
        <v>15</v>
      </c>
      <c r="J58" t="s">
        <v>16</v>
      </c>
      <c r="K58">
        <v>1536.559999999999</v>
      </c>
    </row>
    <row r="59" spans="1:11" hidden="1" x14ac:dyDescent="0.25">
      <c r="A59" s="70">
        <v>57</v>
      </c>
      <c r="B59" t="s">
        <v>993</v>
      </c>
      <c r="C59" t="s">
        <v>993</v>
      </c>
      <c r="D59" t="s">
        <v>93</v>
      </c>
      <c r="E59">
        <v>30</v>
      </c>
      <c r="F59" t="s">
        <v>56</v>
      </c>
      <c r="G59" t="s">
        <v>94</v>
      </c>
      <c r="H59" t="s">
        <v>14</v>
      </c>
      <c r="I59" t="s">
        <v>15</v>
      </c>
      <c r="J59" t="s">
        <v>32</v>
      </c>
      <c r="K59">
        <v>1566.559999999999</v>
      </c>
    </row>
    <row r="60" spans="1:11" hidden="1" x14ac:dyDescent="0.25">
      <c r="A60" s="70">
        <v>58</v>
      </c>
      <c r="B60" t="s">
        <v>994</v>
      </c>
      <c r="C60" t="s">
        <v>994</v>
      </c>
      <c r="D60" t="s">
        <v>28</v>
      </c>
      <c r="E60">
        <v>6.83</v>
      </c>
      <c r="F60" t="s">
        <v>12</v>
      </c>
      <c r="G60" t="s">
        <v>13</v>
      </c>
      <c r="H60" t="s">
        <v>14</v>
      </c>
      <c r="I60" t="s">
        <v>15</v>
      </c>
      <c r="J60" t="s">
        <v>16</v>
      </c>
      <c r="K60">
        <v>1573.389999999999</v>
      </c>
    </row>
    <row r="61" spans="1:11" hidden="1" x14ac:dyDescent="0.25">
      <c r="A61" s="70">
        <v>59</v>
      </c>
      <c r="B61" t="s">
        <v>994</v>
      </c>
      <c r="C61" t="s">
        <v>994</v>
      </c>
      <c r="D61" t="s">
        <v>95</v>
      </c>
      <c r="E61">
        <v>24.36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  <c r="K61">
        <v>1597.7499999999991</v>
      </c>
    </row>
    <row r="62" spans="1:11" hidden="1" x14ac:dyDescent="0.25">
      <c r="A62" s="70">
        <v>60</v>
      </c>
      <c r="B62" t="s">
        <v>994</v>
      </c>
      <c r="C62" t="s">
        <v>994</v>
      </c>
      <c r="D62" t="s">
        <v>91</v>
      </c>
      <c r="E62">
        <v>4.1500000000000004</v>
      </c>
      <c r="F62" t="s">
        <v>20</v>
      </c>
      <c r="G62" t="s">
        <v>92</v>
      </c>
      <c r="H62" t="s">
        <v>14</v>
      </c>
      <c r="I62" t="s">
        <v>15</v>
      </c>
      <c r="J62" t="s">
        <v>32</v>
      </c>
      <c r="K62">
        <v>1601.899999999999</v>
      </c>
    </row>
    <row r="63" spans="1:11" hidden="1" x14ac:dyDescent="0.25">
      <c r="A63" s="70">
        <v>61</v>
      </c>
      <c r="B63" t="s">
        <v>994</v>
      </c>
      <c r="C63" t="s">
        <v>994</v>
      </c>
      <c r="D63" t="s">
        <v>91</v>
      </c>
      <c r="E63">
        <v>5.67</v>
      </c>
      <c r="F63" t="s">
        <v>20</v>
      </c>
      <c r="G63" t="s">
        <v>92</v>
      </c>
      <c r="H63" t="s">
        <v>14</v>
      </c>
      <c r="I63" t="s">
        <v>15</v>
      </c>
      <c r="J63" t="s">
        <v>32</v>
      </c>
      <c r="K63">
        <v>1607.569999999999</v>
      </c>
    </row>
    <row r="64" spans="1:11" hidden="1" x14ac:dyDescent="0.25">
      <c r="A64" s="70">
        <v>62</v>
      </c>
      <c r="B64" t="s">
        <v>994</v>
      </c>
      <c r="C64" t="s">
        <v>994</v>
      </c>
      <c r="D64" t="s">
        <v>91</v>
      </c>
      <c r="E64">
        <v>6.86</v>
      </c>
      <c r="F64" t="s">
        <v>20</v>
      </c>
      <c r="G64" t="s">
        <v>92</v>
      </c>
      <c r="H64" t="s">
        <v>14</v>
      </c>
      <c r="I64" t="s">
        <v>15</v>
      </c>
      <c r="J64" t="s">
        <v>32</v>
      </c>
      <c r="K64">
        <v>1614.4299999999989</v>
      </c>
    </row>
    <row r="65" spans="1:11" hidden="1" x14ac:dyDescent="0.25">
      <c r="A65" s="70">
        <v>63</v>
      </c>
      <c r="B65" t="s">
        <v>995</v>
      </c>
      <c r="C65" t="s">
        <v>995</v>
      </c>
      <c r="D65" t="s">
        <v>97</v>
      </c>
      <c r="E65">
        <v>34.380000000000003</v>
      </c>
      <c r="F65" t="s">
        <v>40</v>
      </c>
      <c r="G65" t="s">
        <v>41</v>
      </c>
      <c r="H65" t="s">
        <v>14</v>
      </c>
      <c r="I65" t="s">
        <v>15</v>
      </c>
      <c r="J65" t="s">
        <v>42</v>
      </c>
      <c r="K65">
        <v>1648.809999999999</v>
      </c>
    </row>
    <row r="66" spans="1:11" hidden="1" x14ac:dyDescent="0.25">
      <c r="A66" s="70">
        <v>64</v>
      </c>
      <c r="B66" t="s">
        <v>995</v>
      </c>
      <c r="C66" t="s">
        <v>995</v>
      </c>
      <c r="D66" t="s">
        <v>98</v>
      </c>
      <c r="E66">
        <v>10.79</v>
      </c>
      <c r="F66" t="s">
        <v>20</v>
      </c>
      <c r="G66" t="s">
        <v>99</v>
      </c>
      <c r="H66" t="s">
        <v>14</v>
      </c>
      <c r="I66" t="s">
        <v>15</v>
      </c>
      <c r="J66" t="s">
        <v>23</v>
      </c>
      <c r="K66">
        <v>1659.599999999999</v>
      </c>
    </row>
    <row r="67" spans="1:11" hidden="1" x14ac:dyDescent="0.25">
      <c r="A67" s="70">
        <v>65</v>
      </c>
      <c r="B67" t="s">
        <v>995</v>
      </c>
      <c r="C67" t="s">
        <v>995</v>
      </c>
      <c r="D67" t="s">
        <v>96</v>
      </c>
      <c r="E67">
        <v>30</v>
      </c>
      <c r="F67" t="s">
        <v>12</v>
      </c>
      <c r="G67" t="s">
        <v>18</v>
      </c>
      <c r="H67" t="s">
        <v>14</v>
      </c>
      <c r="I67" t="s">
        <v>15</v>
      </c>
      <c r="J67" t="s">
        <v>16</v>
      </c>
      <c r="K67">
        <v>1689.599999999999</v>
      </c>
    </row>
    <row r="68" spans="1:11" hidden="1" x14ac:dyDescent="0.25">
      <c r="A68" s="70">
        <v>66</v>
      </c>
      <c r="B68" t="s">
        <v>996</v>
      </c>
      <c r="C68" t="s">
        <v>996</v>
      </c>
      <c r="D68" t="s">
        <v>102</v>
      </c>
      <c r="E68">
        <v>5.01</v>
      </c>
      <c r="F68" t="s">
        <v>12</v>
      </c>
      <c r="G68" t="s">
        <v>13</v>
      </c>
      <c r="H68" t="s">
        <v>14</v>
      </c>
      <c r="I68" t="s">
        <v>15</v>
      </c>
      <c r="J68" t="s">
        <v>16</v>
      </c>
      <c r="K68">
        <v>1694.609999999999</v>
      </c>
    </row>
    <row r="69" spans="1:11" hidden="1" x14ac:dyDescent="0.25">
      <c r="A69" s="70">
        <v>67</v>
      </c>
      <c r="B69" t="s">
        <v>996</v>
      </c>
      <c r="C69" t="s">
        <v>996</v>
      </c>
      <c r="D69" t="s">
        <v>103</v>
      </c>
      <c r="E69">
        <v>10.31</v>
      </c>
      <c r="F69" t="s">
        <v>20</v>
      </c>
      <c r="G69" t="s">
        <v>34</v>
      </c>
      <c r="H69" t="s">
        <v>14</v>
      </c>
      <c r="I69" t="s">
        <v>15</v>
      </c>
      <c r="J69" t="s">
        <v>32</v>
      </c>
      <c r="K69">
        <v>1704.9199999999989</v>
      </c>
    </row>
    <row r="70" spans="1:11" hidden="1" x14ac:dyDescent="0.25">
      <c r="A70" s="70">
        <v>68</v>
      </c>
      <c r="B70" t="s">
        <v>997</v>
      </c>
      <c r="C70" t="s">
        <v>997</v>
      </c>
      <c r="D70" t="s">
        <v>104</v>
      </c>
      <c r="E70">
        <v>44.46</v>
      </c>
      <c r="F70" t="s">
        <v>53</v>
      </c>
      <c r="G70" t="s">
        <v>54</v>
      </c>
      <c r="H70" t="s">
        <v>14</v>
      </c>
      <c r="I70" t="s">
        <v>15</v>
      </c>
      <c r="J70" t="s">
        <v>16</v>
      </c>
      <c r="K70">
        <v>1749.379999999999</v>
      </c>
    </row>
    <row r="71" spans="1:11" x14ac:dyDescent="0.25">
      <c r="A71" s="70">
        <v>69</v>
      </c>
      <c r="B71" t="s">
        <v>998</v>
      </c>
      <c r="C71" t="s">
        <v>854</v>
      </c>
      <c r="D71" t="s">
        <v>119</v>
      </c>
      <c r="E71">
        <v>9.99</v>
      </c>
      <c r="F71" t="s">
        <v>20</v>
      </c>
      <c r="G71" t="s">
        <v>25</v>
      </c>
      <c r="H71" t="s">
        <v>117</v>
      </c>
      <c r="I71" t="s">
        <v>22</v>
      </c>
      <c r="J71" t="s">
        <v>23</v>
      </c>
      <c r="K71">
        <v>1759.369999999999</v>
      </c>
    </row>
    <row r="72" spans="1:11" hidden="1" x14ac:dyDescent="0.25">
      <c r="A72" s="70">
        <v>70</v>
      </c>
      <c r="B72" t="s">
        <v>998</v>
      </c>
      <c r="C72" t="s">
        <v>854</v>
      </c>
      <c r="D72" t="s">
        <v>118</v>
      </c>
      <c r="E72">
        <v>79.19</v>
      </c>
      <c r="F72" t="s">
        <v>53</v>
      </c>
      <c r="G72" t="s">
        <v>54</v>
      </c>
      <c r="H72" t="s">
        <v>117</v>
      </c>
      <c r="I72" t="s">
        <v>15</v>
      </c>
      <c r="J72" t="s">
        <v>16</v>
      </c>
      <c r="K72">
        <v>1838.559999999999</v>
      </c>
    </row>
    <row r="73" spans="1:11" hidden="1" x14ac:dyDescent="0.25">
      <c r="A73" s="70">
        <v>71</v>
      </c>
      <c r="B73" t="s">
        <v>998</v>
      </c>
      <c r="C73" t="s">
        <v>854</v>
      </c>
      <c r="D73" t="s">
        <v>19</v>
      </c>
      <c r="E73">
        <v>14.83</v>
      </c>
      <c r="F73" t="s">
        <v>20</v>
      </c>
      <c r="G73" t="s">
        <v>21</v>
      </c>
      <c r="H73" t="s">
        <v>117</v>
      </c>
      <c r="I73" t="s">
        <v>22</v>
      </c>
      <c r="J73" t="s">
        <v>23</v>
      </c>
      <c r="K73">
        <v>1853.389999999999</v>
      </c>
    </row>
    <row r="74" spans="1:11" hidden="1" x14ac:dyDescent="0.25">
      <c r="A74" s="70">
        <v>72</v>
      </c>
      <c r="B74" t="s">
        <v>998</v>
      </c>
      <c r="C74" t="s">
        <v>998</v>
      </c>
      <c r="D74" t="s">
        <v>116</v>
      </c>
      <c r="E74">
        <v>43.95</v>
      </c>
      <c r="F74" t="s">
        <v>53</v>
      </c>
      <c r="G74" t="s">
        <v>54</v>
      </c>
      <c r="H74" t="s">
        <v>117</v>
      </c>
      <c r="I74" t="s">
        <v>15</v>
      </c>
      <c r="J74" t="s">
        <v>16</v>
      </c>
      <c r="K74">
        <v>1897.339999999999</v>
      </c>
    </row>
    <row r="75" spans="1:11" hidden="1" x14ac:dyDescent="0.25">
      <c r="A75" s="70">
        <v>73</v>
      </c>
      <c r="B75" t="s">
        <v>999</v>
      </c>
      <c r="C75" t="s">
        <v>854</v>
      </c>
      <c r="D75" t="s">
        <v>77</v>
      </c>
      <c r="E75">
        <v>10</v>
      </c>
      <c r="F75" t="s">
        <v>20</v>
      </c>
      <c r="G75" t="s">
        <v>78</v>
      </c>
      <c r="H75" t="s">
        <v>117</v>
      </c>
      <c r="I75" t="s">
        <v>22</v>
      </c>
      <c r="J75" t="s">
        <v>23</v>
      </c>
      <c r="K75">
        <v>1907.339999999999</v>
      </c>
    </row>
    <row r="76" spans="1:11" hidden="1" x14ac:dyDescent="0.25">
      <c r="A76" s="70">
        <v>74</v>
      </c>
      <c r="B76" t="s">
        <v>854</v>
      </c>
      <c r="C76" t="s">
        <v>854</v>
      </c>
      <c r="D76" t="s">
        <v>140</v>
      </c>
      <c r="E76">
        <v>13.73</v>
      </c>
      <c r="F76" t="s">
        <v>12</v>
      </c>
      <c r="G76" t="s">
        <v>13</v>
      </c>
      <c r="H76" t="s">
        <v>117</v>
      </c>
      <c r="I76" t="s">
        <v>15</v>
      </c>
      <c r="J76" t="s">
        <v>16</v>
      </c>
      <c r="K76">
        <v>1921.069999999999</v>
      </c>
    </row>
    <row r="77" spans="1:11" hidden="1" x14ac:dyDescent="0.25">
      <c r="A77" s="70">
        <v>75</v>
      </c>
      <c r="B77" t="s">
        <v>854</v>
      </c>
      <c r="C77" t="s">
        <v>854</v>
      </c>
      <c r="D77" t="s">
        <v>100</v>
      </c>
      <c r="E77">
        <v>12.99</v>
      </c>
      <c r="F77" t="s">
        <v>56</v>
      </c>
      <c r="G77" t="s">
        <v>101</v>
      </c>
      <c r="H77" t="s">
        <v>117</v>
      </c>
      <c r="I77" t="s">
        <v>22</v>
      </c>
      <c r="J77" t="s">
        <v>23</v>
      </c>
      <c r="K77">
        <v>1934.059999999999</v>
      </c>
    </row>
    <row r="78" spans="1:11" hidden="1" x14ac:dyDescent="0.25">
      <c r="A78" s="70">
        <v>76</v>
      </c>
      <c r="B78" t="s">
        <v>854</v>
      </c>
      <c r="C78" t="s">
        <v>854</v>
      </c>
      <c r="D78" t="s">
        <v>108</v>
      </c>
      <c r="E78">
        <v>79.38</v>
      </c>
      <c r="F78" t="s">
        <v>20</v>
      </c>
      <c r="G78" t="s">
        <v>109</v>
      </c>
      <c r="H78" t="s">
        <v>117</v>
      </c>
      <c r="I78" t="s">
        <v>22</v>
      </c>
      <c r="J78" t="s">
        <v>110</v>
      </c>
      <c r="K78">
        <v>2013.4399999999989</v>
      </c>
    </row>
    <row r="79" spans="1:11" hidden="1" x14ac:dyDescent="0.25">
      <c r="A79" s="70">
        <v>77</v>
      </c>
      <c r="B79" t="s">
        <v>1000</v>
      </c>
      <c r="C79" t="s">
        <v>1000</v>
      </c>
      <c r="D79" t="s">
        <v>141</v>
      </c>
      <c r="E79">
        <v>333.19</v>
      </c>
      <c r="F79" t="s">
        <v>30</v>
      </c>
      <c r="G79" t="s">
        <v>142</v>
      </c>
      <c r="H79" t="s">
        <v>117</v>
      </c>
      <c r="I79" t="s">
        <v>15</v>
      </c>
      <c r="J79" t="s">
        <v>42</v>
      </c>
      <c r="K79">
        <v>2346.6299999999992</v>
      </c>
    </row>
    <row r="80" spans="1:11" hidden="1" x14ac:dyDescent="0.25">
      <c r="A80" s="70">
        <v>78</v>
      </c>
      <c r="B80" t="s">
        <v>1000</v>
      </c>
      <c r="C80" t="s">
        <v>1000</v>
      </c>
      <c r="D80" t="s">
        <v>58</v>
      </c>
      <c r="E80">
        <v>10.59</v>
      </c>
      <c r="F80" t="s">
        <v>20</v>
      </c>
      <c r="G80" t="s">
        <v>143</v>
      </c>
      <c r="H80" t="s">
        <v>117</v>
      </c>
      <c r="I80" t="s">
        <v>22</v>
      </c>
      <c r="J80" t="s">
        <v>23</v>
      </c>
      <c r="K80">
        <v>2357.2199999999989</v>
      </c>
    </row>
    <row r="81" spans="1:11" hidden="1" x14ac:dyDescent="0.25">
      <c r="A81" s="70">
        <v>79</v>
      </c>
      <c r="B81" t="s">
        <v>839</v>
      </c>
      <c r="C81" t="s">
        <v>839</v>
      </c>
      <c r="D81" t="s">
        <v>35</v>
      </c>
      <c r="E81">
        <v>17.07</v>
      </c>
      <c r="F81" t="s">
        <v>12</v>
      </c>
      <c r="G81" t="s">
        <v>13</v>
      </c>
      <c r="H81" t="s">
        <v>117</v>
      </c>
      <c r="I81" t="s">
        <v>15</v>
      </c>
      <c r="J81" t="s">
        <v>16</v>
      </c>
      <c r="K81">
        <v>2374.2899999999991</v>
      </c>
    </row>
    <row r="82" spans="1:11" hidden="1" x14ac:dyDescent="0.25">
      <c r="A82" s="70">
        <v>80</v>
      </c>
      <c r="B82" t="s">
        <v>839</v>
      </c>
      <c r="C82" t="s">
        <v>839</v>
      </c>
      <c r="D82" t="s">
        <v>89</v>
      </c>
      <c r="E82">
        <v>5</v>
      </c>
      <c r="F82" t="s">
        <v>20</v>
      </c>
      <c r="G82" t="s">
        <v>90</v>
      </c>
      <c r="H82" t="s">
        <v>117</v>
      </c>
      <c r="I82" t="s">
        <v>15</v>
      </c>
      <c r="J82" t="s">
        <v>32</v>
      </c>
      <c r="K82">
        <v>2379.2899999999991</v>
      </c>
    </row>
    <row r="83" spans="1:11" hidden="1" x14ac:dyDescent="0.25">
      <c r="A83" s="70">
        <v>81</v>
      </c>
      <c r="B83" t="s">
        <v>839</v>
      </c>
      <c r="C83" t="s">
        <v>839</v>
      </c>
      <c r="D83" t="s">
        <v>112</v>
      </c>
      <c r="E83">
        <v>4.99</v>
      </c>
      <c r="F83" t="s">
        <v>20</v>
      </c>
      <c r="G83" t="s">
        <v>113</v>
      </c>
      <c r="H83" t="s">
        <v>117</v>
      </c>
      <c r="I83" t="s">
        <v>22</v>
      </c>
      <c r="J83" t="s">
        <v>23</v>
      </c>
      <c r="K83">
        <v>2384.2799999999988</v>
      </c>
    </row>
    <row r="84" spans="1:11" hidden="1" x14ac:dyDescent="0.25">
      <c r="A84" s="70">
        <v>82</v>
      </c>
      <c r="B84" t="s">
        <v>839</v>
      </c>
      <c r="C84" t="s">
        <v>839</v>
      </c>
      <c r="D84" t="s">
        <v>123</v>
      </c>
      <c r="E84">
        <v>4.66</v>
      </c>
      <c r="F84" t="s">
        <v>12</v>
      </c>
      <c r="G84" t="s">
        <v>13</v>
      </c>
      <c r="H84" t="s">
        <v>117</v>
      </c>
      <c r="I84" t="s">
        <v>15</v>
      </c>
      <c r="J84" t="s">
        <v>16</v>
      </c>
      <c r="K84">
        <v>2388.9399999999991</v>
      </c>
    </row>
    <row r="85" spans="1:11" hidden="1" x14ac:dyDescent="0.25">
      <c r="A85" s="70">
        <v>83</v>
      </c>
      <c r="B85" t="s">
        <v>833</v>
      </c>
      <c r="C85" t="s">
        <v>833</v>
      </c>
      <c r="D85" t="s">
        <v>120</v>
      </c>
      <c r="E85">
        <v>15.89</v>
      </c>
      <c r="F85" t="s">
        <v>20</v>
      </c>
      <c r="G85" t="s">
        <v>49</v>
      </c>
      <c r="H85" t="s">
        <v>117</v>
      </c>
      <c r="I85" t="s">
        <v>22</v>
      </c>
      <c r="J85" t="s">
        <v>23</v>
      </c>
      <c r="K85">
        <v>2404.829999999999</v>
      </c>
    </row>
    <row r="86" spans="1:11" hidden="1" x14ac:dyDescent="0.25">
      <c r="A86" s="70">
        <v>84</v>
      </c>
      <c r="B86" t="s">
        <v>833</v>
      </c>
      <c r="C86" t="s">
        <v>833</v>
      </c>
      <c r="D86" t="s">
        <v>36</v>
      </c>
      <c r="E86">
        <v>-1733.33</v>
      </c>
      <c r="F86" t="s">
        <v>37</v>
      </c>
      <c r="G86" t="s">
        <v>38</v>
      </c>
      <c r="H86" t="s">
        <v>117</v>
      </c>
      <c r="I86" t="s">
        <v>15</v>
      </c>
      <c r="J86" t="s">
        <v>973</v>
      </c>
      <c r="K86">
        <v>671.49999999999864</v>
      </c>
    </row>
    <row r="87" spans="1:11" hidden="1" x14ac:dyDescent="0.25">
      <c r="A87" s="70">
        <v>85</v>
      </c>
      <c r="B87" t="s">
        <v>826</v>
      </c>
      <c r="C87" t="s">
        <v>826</v>
      </c>
      <c r="D87" t="s">
        <v>89</v>
      </c>
      <c r="E87">
        <v>-5</v>
      </c>
      <c r="F87" t="s">
        <v>37</v>
      </c>
      <c r="G87" t="s">
        <v>90</v>
      </c>
      <c r="H87" t="s">
        <v>117</v>
      </c>
      <c r="I87" t="s">
        <v>15</v>
      </c>
      <c r="J87" t="s">
        <v>32</v>
      </c>
      <c r="K87">
        <v>666.49999999999864</v>
      </c>
    </row>
    <row r="88" spans="1:11" hidden="1" x14ac:dyDescent="0.25">
      <c r="A88" s="70">
        <v>86</v>
      </c>
      <c r="B88" t="s">
        <v>824</v>
      </c>
      <c r="C88" t="s">
        <v>824</v>
      </c>
      <c r="D88" t="s">
        <v>121</v>
      </c>
      <c r="E88">
        <v>9.1999999999999993</v>
      </c>
      <c r="F88" t="s">
        <v>20</v>
      </c>
      <c r="G88" t="s">
        <v>27</v>
      </c>
      <c r="H88" t="s">
        <v>117</v>
      </c>
      <c r="I88" t="s">
        <v>15</v>
      </c>
      <c r="J88" t="s">
        <v>32</v>
      </c>
      <c r="K88">
        <v>675.69999999999868</v>
      </c>
    </row>
    <row r="89" spans="1:11" hidden="1" x14ac:dyDescent="0.25">
      <c r="A89" s="70">
        <v>87</v>
      </c>
      <c r="B89" t="s">
        <v>1001</v>
      </c>
      <c r="C89" t="s">
        <v>1001</v>
      </c>
      <c r="D89" t="s">
        <v>122</v>
      </c>
      <c r="E89">
        <v>14.11</v>
      </c>
      <c r="F89" t="s">
        <v>20</v>
      </c>
      <c r="G89" t="s">
        <v>27</v>
      </c>
      <c r="H89" t="s">
        <v>117</v>
      </c>
      <c r="I89" t="s">
        <v>15</v>
      </c>
      <c r="J89" t="s">
        <v>32</v>
      </c>
      <c r="K89">
        <v>689.80999999999869</v>
      </c>
    </row>
    <row r="90" spans="1:11" hidden="1" x14ac:dyDescent="0.25">
      <c r="A90" s="70">
        <v>88</v>
      </c>
      <c r="B90" t="s">
        <v>1001</v>
      </c>
      <c r="C90" t="s">
        <v>1001</v>
      </c>
      <c r="D90" t="s">
        <v>58</v>
      </c>
      <c r="E90">
        <v>14.99</v>
      </c>
      <c r="F90" t="s">
        <v>20</v>
      </c>
      <c r="G90" t="s">
        <v>124</v>
      </c>
      <c r="H90" t="s">
        <v>117</v>
      </c>
      <c r="I90" t="s">
        <v>22</v>
      </c>
      <c r="J90" t="s">
        <v>23</v>
      </c>
      <c r="K90">
        <v>704.7999999999987</v>
      </c>
    </row>
    <row r="91" spans="1:11" hidden="1" x14ac:dyDescent="0.25">
      <c r="A91" s="70">
        <v>89</v>
      </c>
      <c r="B91" t="s">
        <v>1001</v>
      </c>
      <c r="C91" t="s">
        <v>1001</v>
      </c>
      <c r="D91" t="s">
        <v>123</v>
      </c>
      <c r="E91">
        <v>20</v>
      </c>
      <c r="F91" t="s">
        <v>12</v>
      </c>
      <c r="G91" t="s">
        <v>13</v>
      </c>
      <c r="H91" t="s">
        <v>117</v>
      </c>
      <c r="I91" t="s">
        <v>15</v>
      </c>
      <c r="J91" t="s">
        <v>16</v>
      </c>
      <c r="K91">
        <v>724.7999999999987</v>
      </c>
    </row>
    <row r="92" spans="1:11" hidden="1" x14ac:dyDescent="0.25">
      <c r="A92" s="70">
        <v>90</v>
      </c>
      <c r="B92" t="s">
        <v>822</v>
      </c>
      <c r="C92" t="s">
        <v>822</v>
      </c>
      <c r="D92" t="s">
        <v>123</v>
      </c>
      <c r="E92">
        <v>26.59</v>
      </c>
      <c r="F92" t="s">
        <v>12</v>
      </c>
      <c r="G92" t="s">
        <v>13</v>
      </c>
      <c r="H92" t="s">
        <v>117</v>
      </c>
      <c r="I92" t="s">
        <v>15</v>
      </c>
      <c r="J92" t="s">
        <v>16</v>
      </c>
      <c r="K92">
        <v>751.38999999999874</v>
      </c>
    </row>
    <row r="93" spans="1:11" hidden="1" x14ac:dyDescent="0.25">
      <c r="A93" s="70">
        <v>91</v>
      </c>
      <c r="B93" t="s">
        <v>1002</v>
      </c>
      <c r="C93" t="s">
        <v>1002</v>
      </c>
      <c r="D93" t="s">
        <v>125</v>
      </c>
      <c r="E93">
        <v>49</v>
      </c>
      <c r="F93" t="s">
        <v>56</v>
      </c>
      <c r="G93" t="s">
        <v>126</v>
      </c>
      <c r="H93" t="s">
        <v>117</v>
      </c>
      <c r="I93" t="s">
        <v>15</v>
      </c>
      <c r="J93" t="s">
        <v>127</v>
      </c>
      <c r="K93">
        <v>800.38999999999874</v>
      </c>
    </row>
    <row r="94" spans="1:11" hidden="1" x14ac:dyDescent="0.25">
      <c r="A94" s="70">
        <v>92</v>
      </c>
      <c r="B94" t="s">
        <v>820</v>
      </c>
      <c r="C94" t="s">
        <v>820</v>
      </c>
      <c r="D94" t="s">
        <v>79</v>
      </c>
      <c r="E94">
        <v>12</v>
      </c>
      <c r="F94" t="s">
        <v>20</v>
      </c>
      <c r="G94" t="s">
        <v>80</v>
      </c>
      <c r="H94" t="s">
        <v>117</v>
      </c>
      <c r="I94" t="s">
        <v>15</v>
      </c>
      <c r="J94" t="s">
        <v>23</v>
      </c>
      <c r="K94">
        <v>812.38999999999874</v>
      </c>
    </row>
    <row r="95" spans="1:11" hidden="1" x14ac:dyDescent="0.25">
      <c r="A95" s="70">
        <v>93</v>
      </c>
      <c r="B95" t="s">
        <v>819</v>
      </c>
      <c r="C95" t="s">
        <v>819</v>
      </c>
      <c r="D95" t="s">
        <v>64</v>
      </c>
      <c r="E95">
        <v>70</v>
      </c>
      <c r="F95" t="s">
        <v>20</v>
      </c>
      <c r="G95" t="s">
        <v>65</v>
      </c>
      <c r="H95" t="s">
        <v>117</v>
      </c>
      <c r="I95" t="s">
        <v>15</v>
      </c>
      <c r="J95" t="s">
        <v>66</v>
      </c>
      <c r="K95">
        <v>882.38999999999874</v>
      </c>
    </row>
    <row r="96" spans="1:11" hidden="1" x14ac:dyDescent="0.25">
      <c r="A96" s="70">
        <v>94</v>
      </c>
      <c r="B96" t="s">
        <v>814</v>
      </c>
      <c r="C96" t="s">
        <v>814</v>
      </c>
      <c r="D96" t="s">
        <v>128</v>
      </c>
      <c r="E96">
        <v>5.29</v>
      </c>
      <c r="F96" t="s">
        <v>20</v>
      </c>
      <c r="G96" t="s">
        <v>68</v>
      </c>
      <c r="H96" t="s">
        <v>117</v>
      </c>
      <c r="I96" t="s">
        <v>22</v>
      </c>
      <c r="J96" t="s">
        <v>23</v>
      </c>
      <c r="K96">
        <v>887.6799999999987</v>
      </c>
    </row>
    <row r="97" spans="1:11" hidden="1" x14ac:dyDescent="0.25">
      <c r="A97" s="70">
        <v>95</v>
      </c>
      <c r="B97" t="s">
        <v>811</v>
      </c>
      <c r="C97" t="s">
        <v>811</v>
      </c>
      <c r="D97" t="s">
        <v>43</v>
      </c>
      <c r="E97">
        <v>-29.29</v>
      </c>
      <c r="F97" t="s">
        <v>44</v>
      </c>
      <c r="G97" t="s">
        <v>45</v>
      </c>
      <c r="H97" t="s">
        <v>117</v>
      </c>
      <c r="I97" t="s">
        <v>15</v>
      </c>
      <c r="J97" t="s">
        <v>973</v>
      </c>
      <c r="K97">
        <v>858.38999999999874</v>
      </c>
    </row>
    <row r="98" spans="1:11" hidden="1" x14ac:dyDescent="0.25">
      <c r="A98" s="70">
        <v>96</v>
      </c>
      <c r="B98" t="s">
        <v>811</v>
      </c>
      <c r="C98" t="s">
        <v>811</v>
      </c>
      <c r="D98" t="s">
        <v>129</v>
      </c>
      <c r="E98">
        <v>70.58</v>
      </c>
      <c r="F98" t="s">
        <v>56</v>
      </c>
      <c r="G98" t="s">
        <v>130</v>
      </c>
      <c r="H98" t="s">
        <v>117</v>
      </c>
      <c r="I98" t="s">
        <v>22</v>
      </c>
      <c r="J98" t="s">
        <v>23</v>
      </c>
      <c r="K98">
        <v>928.96999999999878</v>
      </c>
    </row>
    <row r="99" spans="1:11" hidden="1" x14ac:dyDescent="0.25">
      <c r="A99" s="70">
        <v>97</v>
      </c>
      <c r="B99" t="s">
        <v>811</v>
      </c>
      <c r="C99" t="s">
        <v>811</v>
      </c>
      <c r="D99" t="s">
        <v>36</v>
      </c>
      <c r="E99">
        <v>-771.1</v>
      </c>
      <c r="F99" t="s">
        <v>37</v>
      </c>
      <c r="G99" t="s">
        <v>38</v>
      </c>
      <c r="H99" t="s">
        <v>117</v>
      </c>
      <c r="I99" t="s">
        <v>15</v>
      </c>
      <c r="J99" t="s">
        <v>973</v>
      </c>
      <c r="K99">
        <v>157.86999999999881</v>
      </c>
    </row>
    <row r="100" spans="1:11" hidden="1" x14ac:dyDescent="0.25">
      <c r="A100" s="70">
        <v>98</v>
      </c>
      <c r="B100" t="s">
        <v>1003</v>
      </c>
      <c r="C100" t="s">
        <v>1003</v>
      </c>
      <c r="D100" t="s">
        <v>79</v>
      </c>
      <c r="E100">
        <v>11</v>
      </c>
      <c r="F100" t="s">
        <v>20</v>
      </c>
      <c r="G100" t="s">
        <v>80</v>
      </c>
      <c r="H100" t="s">
        <v>117</v>
      </c>
      <c r="I100" t="s">
        <v>15</v>
      </c>
      <c r="J100" t="s">
        <v>23</v>
      </c>
      <c r="K100">
        <v>168.86999999999881</v>
      </c>
    </row>
    <row r="101" spans="1:11" hidden="1" x14ac:dyDescent="0.25">
      <c r="A101" s="70">
        <v>99</v>
      </c>
      <c r="B101" t="s">
        <v>1004</v>
      </c>
      <c r="C101" t="s">
        <v>1004</v>
      </c>
      <c r="D101" t="s">
        <v>131</v>
      </c>
      <c r="E101">
        <v>30</v>
      </c>
      <c r="F101" t="s">
        <v>20</v>
      </c>
      <c r="G101" t="s">
        <v>88</v>
      </c>
      <c r="H101" t="s">
        <v>117</v>
      </c>
      <c r="I101" t="s">
        <v>22</v>
      </c>
      <c r="J101" t="s">
        <v>23</v>
      </c>
      <c r="K101">
        <v>198.86999999999881</v>
      </c>
    </row>
    <row r="102" spans="1:11" hidden="1" x14ac:dyDescent="0.25">
      <c r="A102" s="70">
        <v>100</v>
      </c>
      <c r="B102" t="s">
        <v>1005</v>
      </c>
      <c r="C102" t="s">
        <v>1005</v>
      </c>
      <c r="D102" t="s">
        <v>73</v>
      </c>
      <c r="E102">
        <v>14.16</v>
      </c>
      <c r="F102" t="s">
        <v>12</v>
      </c>
      <c r="G102" t="s">
        <v>74</v>
      </c>
      <c r="H102" t="s">
        <v>117</v>
      </c>
      <c r="I102" t="s">
        <v>15</v>
      </c>
      <c r="J102" t="s">
        <v>16</v>
      </c>
      <c r="K102">
        <v>213.02999999999881</v>
      </c>
    </row>
    <row r="103" spans="1:11" hidden="1" x14ac:dyDescent="0.25">
      <c r="A103" s="70">
        <v>101</v>
      </c>
      <c r="B103" t="s">
        <v>1005</v>
      </c>
      <c r="C103" t="s">
        <v>1005</v>
      </c>
      <c r="D103" t="s">
        <v>73</v>
      </c>
      <c r="E103">
        <v>1.62</v>
      </c>
      <c r="F103" t="s">
        <v>12</v>
      </c>
      <c r="G103" t="s">
        <v>74</v>
      </c>
      <c r="H103" t="s">
        <v>117</v>
      </c>
      <c r="I103" t="s">
        <v>15</v>
      </c>
      <c r="J103" t="s">
        <v>16</v>
      </c>
      <c r="K103">
        <v>214.64999999999881</v>
      </c>
    </row>
    <row r="104" spans="1:11" hidden="1" x14ac:dyDescent="0.25">
      <c r="A104" s="70">
        <v>102</v>
      </c>
      <c r="B104" t="s">
        <v>1006</v>
      </c>
      <c r="C104" t="s">
        <v>1006</v>
      </c>
      <c r="D104" t="s">
        <v>136</v>
      </c>
      <c r="E104">
        <v>9.32</v>
      </c>
      <c r="F104" t="s">
        <v>53</v>
      </c>
      <c r="G104" t="s">
        <v>54</v>
      </c>
      <c r="H104" t="s">
        <v>117</v>
      </c>
      <c r="I104" t="s">
        <v>15</v>
      </c>
      <c r="J104" t="s">
        <v>16</v>
      </c>
      <c r="K104">
        <v>223.96999999999869</v>
      </c>
    </row>
    <row r="105" spans="1:11" hidden="1" x14ac:dyDescent="0.25">
      <c r="A105" s="70">
        <v>103</v>
      </c>
      <c r="B105" t="s">
        <v>1006</v>
      </c>
      <c r="C105" t="s">
        <v>1006</v>
      </c>
      <c r="D105" t="s">
        <v>134</v>
      </c>
      <c r="E105">
        <v>130.18</v>
      </c>
      <c r="F105" t="s">
        <v>30</v>
      </c>
      <c r="G105" t="s">
        <v>135</v>
      </c>
      <c r="H105" t="s">
        <v>117</v>
      </c>
      <c r="I105" t="s">
        <v>15</v>
      </c>
      <c r="J105" t="s">
        <v>23</v>
      </c>
      <c r="K105">
        <v>354.14999999999873</v>
      </c>
    </row>
    <row r="106" spans="1:11" hidden="1" x14ac:dyDescent="0.25">
      <c r="A106" s="70">
        <v>104</v>
      </c>
      <c r="B106" t="s">
        <v>1006</v>
      </c>
      <c r="C106" t="s">
        <v>1006</v>
      </c>
      <c r="D106" t="s">
        <v>132</v>
      </c>
      <c r="E106">
        <v>126.7</v>
      </c>
      <c r="F106" t="s">
        <v>20</v>
      </c>
      <c r="G106" t="s">
        <v>133</v>
      </c>
      <c r="H106" t="s">
        <v>117</v>
      </c>
      <c r="I106" t="s">
        <v>15</v>
      </c>
      <c r="J106" t="s">
        <v>32</v>
      </c>
      <c r="K106">
        <v>480.84999999999872</v>
      </c>
    </row>
    <row r="107" spans="1:11" hidden="1" x14ac:dyDescent="0.25">
      <c r="A107" s="70">
        <v>105</v>
      </c>
      <c r="B107" t="s">
        <v>1007</v>
      </c>
      <c r="C107" t="s">
        <v>1007</v>
      </c>
      <c r="D107" t="s">
        <v>137</v>
      </c>
      <c r="E107">
        <v>18</v>
      </c>
      <c r="F107" t="s">
        <v>12</v>
      </c>
      <c r="G107" t="s">
        <v>18</v>
      </c>
      <c r="H107" t="s">
        <v>117</v>
      </c>
      <c r="I107" t="s">
        <v>15</v>
      </c>
      <c r="J107" t="s">
        <v>16</v>
      </c>
      <c r="K107">
        <v>498.84999999999872</v>
      </c>
    </row>
    <row r="108" spans="1:11" hidden="1" x14ac:dyDescent="0.25">
      <c r="A108" s="70">
        <v>106</v>
      </c>
      <c r="B108" t="s">
        <v>1007</v>
      </c>
      <c r="C108" t="s">
        <v>1007</v>
      </c>
      <c r="D108" t="s">
        <v>138</v>
      </c>
      <c r="E108">
        <v>29.99</v>
      </c>
      <c r="F108" t="s">
        <v>20</v>
      </c>
      <c r="G108" t="s">
        <v>115</v>
      </c>
      <c r="H108" t="s">
        <v>117</v>
      </c>
      <c r="I108" t="s">
        <v>22</v>
      </c>
      <c r="J108" t="s">
        <v>23</v>
      </c>
      <c r="K108">
        <v>528.83999999999867</v>
      </c>
    </row>
    <row r="109" spans="1:11" hidden="1" x14ac:dyDescent="0.25">
      <c r="A109" s="70">
        <v>107</v>
      </c>
      <c r="B109" t="s">
        <v>1008</v>
      </c>
      <c r="C109" t="s">
        <v>1008</v>
      </c>
      <c r="D109" t="s">
        <v>139</v>
      </c>
      <c r="E109">
        <v>4.9400000000000004</v>
      </c>
      <c r="F109" t="s">
        <v>30</v>
      </c>
      <c r="G109" t="s">
        <v>135</v>
      </c>
      <c r="H109" t="s">
        <v>117</v>
      </c>
      <c r="I109" t="s">
        <v>15</v>
      </c>
      <c r="J109" t="s">
        <v>23</v>
      </c>
      <c r="K109">
        <v>533.77999999999872</v>
      </c>
    </row>
    <row r="110" spans="1:11" hidden="1" x14ac:dyDescent="0.25">
      <c r="A110" s="70">
        <v>108</v>
      </c>
      <c r="B110" t="s">
        <v>1008</v>
      </c>
      <c r="C110" t="s">
        <v>1008</v>
      </c>
      <c r="D110" t="s">
        <v>139</v>
      </c>
      <c r="E110">
        <v>18.89</v>
      </c>
      <c r="F110" t="s">
        <v>30</v>
      </c>
      <c r="G110" t="s">
        <v>135</v>
      </c>
      <c r="H110" t="s">
        <v>117</v>
      </c>
      <c r="I110" t="s">
        <v>15</v>
      </c>
      <c r="J110" t="s">
        <v>23</v>
      </c>
      <c r="K110">
        <v>552.66999999999871</v>
      </c>
    </row>
    <row r="111" spans="1:11" hidden="1" x14ac:dyDescent="0.25">
      <c r="A111" s="70">
        <v>109</v>
      </c>
      <c r="B111" t="s">
        <v>1008</v>
      </c>
      <c r="C111" t="s">
        <v>1008</v>
      </c>
      <c r="D111" t="s">
        <v>139</v>
      </c>
      <c r="E111">
        <v>31.02</v>
      </c>
      <c r="F111" t="s">
        <v>30</v>
      </c>
      <c r="G111" t="s">
        <v>135</v>
      </c>
      <c r="H111" t="s">
        <v>117</v>
      </c>
      <c r="I111" t="s">
        <v>15</v>
      </c>
      <c r="J111" t="s">
        <v>23</v>
      </c>
      <c r="K111">
        <v>583.68999999999869</v>
      </c>
    </row>
    <row r="112" spans="1:11" hidden="1" x14ac:dyDescent="0.25">
      <c r="A112" s="70">
        <v>110</v>
      </c>
      <c r="B112" t="s">
        <v>1008</v>
      </c>
      <c r="C112" t="s">
        <v>1008</v>
      </c>
      <c r="D112" t="s">
        <v>139</v>
      </c>
      <c r="E112">
        <v>41.37</v>
      </c>
      <c r="F112" t="s">
        <v>30</v>
      </c>
      <c r="G112" t="s">
        <v>135</v>
      </c>
      <c r="H112" t="s">
        <v>117</v>
      </c>
      <c r="I112" t="s">
        <v>15</v>
      </c>
      <c r="J112" t="s">
        <v>23</v>
      </c>
      <c r="K112">
        <v>625.05999999999869</v>
      </c>
    </row>
    <row r="113" spans="1:11" hidden="1" x14ac:dyDescent="0.25">
      <c r="A113" s="70">
        <v>111</v>
      </c>
      <c r="B113" t="s">
        <v>1008</v>
      </c>
      <c r="C113" t="s">
        <v>1008</v>
      </c>
      <c r="D113" t="s">
        <v>139</v>
      </c>
      <c r="E113">
        <v>49.13</v>
      </c>
      <c r="F113" t="s">
        <v>30</v>
      </c>
      <c r="G113" t="s">
        <v>135</v>
      </c>
      <c r="H113" t="s">
        <v>117</v>
      </c>
      <c r="I113" t="s">
        <v>15</v>
      </c>
      <c r="J113" t="s">
        <v>23</v>
      </c>
      <c r="K113">
        <v>674.18999999999869</v>
      </c>
    </row>
    <row r="114" spans="1:11" hidden="1" x14ac:dyDescent="0.25">
      <c r="A114" s="70">
        <v>112</v>
      </c>
      <c r="B114" t="s">
        <v>1009</v>
      </c>
      <c r="C114" t="s">
        <v>1010</v>
      </c>
      <c r="D114" t="s">
        <v>144</v>
      </c>
      <c r="E114">
        <v>17.59</v>
      </c>
      <c r="F114" t="s">
        <v>20</v>
      </c>
      <c r="G114" t="s">
        <v>92</v>
      </c>
      <c r="H114" t="s">
        <v>145</v>
      </c>
      <c r="I114" t="s">
        <v>15</v>
      </c>
      <c r="J114" t="s">
        <v>32</v>
      </c>
      <c r="K114">
        <v>691.77999999999872</v>
      </c>
    </row>
    <row r="115" spans="1:11" x14ac:dyDescent="0.25">
      <c r="A115" s="70">
        <v>113</v>
      </c>
      <c r="B115" t="s">
        <v>1009</v>
      </c>
      <c r="C115" t="s">
        <v>1010</v>
      </c>
      <c r="D115" t="s">
        <v>149</v>
      </c>
      <c r="E115">
        <v>9.99</v>
      </c>
      <c r="F115" t="s">
        <v>20</v>
      </c>
      <c r="G115" t="s">
        <v>25</v>
      </c>
      <c r="H115" t="s">
        <v>145</v>
      </c>
      <c r="I115" t="s">
        <v>22</v>
      </c>
      <c r="J115" t="s">
        <v>23</v>
      </c>
      <c r="K115">
        <v>701.76999999999873</v>
      </c>
    </row>
    <row r="116" spans="1:11" hidden="1" x14ac:dyDescent="0.25">
      <c r="A116" s="70">
        <v>114</v>
      </c>
      <c r="B116" t="s">
        <v>1009</v>
      </c>
      <c r="C116" t="s">
        <v>1010</v>
      </c>
      <c r="D116" t="s">
        <v>19</v>
      </c>
      <c r="E116">
        <v>16.420000000000002</v>
      </c>
      <c r="F116" t="s">
        <v>20</v>
      </c>
      <c r="G116" t="s">
        <v>21</v>
      </c>
      <c r="H116" t="s">
        <v>145</v>
      </c>
      <c r="I116" t="s">
        <v>22</v>
      </c>
      <c r="J116" t="s">
        <v>23</v>
      </c>
      <c r="K116">
        <v>718.18999999999869</v>
      </c>
    </row>
    <row r="117" spans="1:11" hidden="1" x14ac:dyDescent="0.25">
      <c r="A117" s="70">
        <v>115</v>
      </c>
      <c r="B117" t="s">
        <v>1009</v>
      </c>
      <c r="C117" t="s">
        <v>1009</v>
      </c>
      <c r="D117" t="s">
        <v>148</v>
      </c>
      <c r="E117">
        <v>10.97</v>
      </c>
      <c r="F117" t="s">
        <v>12</v>
      </c>
      <c r="G117" t="s">
        <v>13</v>
      </c>
      <c r="H117" t="s">
        <v>145</v>
      </c>
      <c r="I117" t="s">
        <v>15</v>
      </c>
      <c r="J117" t="s">
        <v>16</v>
      </c>
      <c r="K117">
        <v>729.15999999999872</v>
      </c>
    </row>
    <row r="118" spans="1:11" hidden="1" x14ac:dyDescent="0.25">
      <c r="A118" s="70">
        <v>116</v>
      </c>
      <c r="B118" t="s">
        <v>1009</v>
      </c>
      <c r="C118" t="s">
        <v>1009</v>
      </c>
      <c r="D118" t="s">
        <v>148</v>
      </c>
      <c r="E118">
        <v>10.97</v>
      </c>
      <c r="F118" t="s">
        <v>12</v>
      </c>
      <c r="G118" t="s">
        <v>13</v>
      </c>
      <c r="H118" t="s">
        <v>145</v>
      </c>
      <c r="I118" t="s">
        <v>15</v>
      </c>
      <c r="J118" t="s">
        <v>16</v>
      </c>
      <c r="K118">
        <v>740.12999999999874</v>
      </c>
    </row>
    <row r="119" spans="1:11" hidden="1" x14ac:dyDescent="0.25">
      <c r="A119" s="70">
        <v>117</v>
      </c>
      <c r="B119" t="s">
        <v>1009</v>
      </c>
      <c r="C119" t="s">
        <v>1009</v>
      </c>
      <c r="D119" t="s">
        <v>146</v>
      </c>
      <c r="E119">
        <v>38.42</v>
      </c>
      <c r="F119" t="s">
        <v>30</v>
      </c>
      <c r="G119" t="s">
        <v>147</v>
      </c>
      <c r="H119" t="s">
        <v>145</v>
      </c>
      <c r="I119" t="s">
        <v>15</v>
      </c>
      <c r="J119" t="s">
        <v>23</v>
      </c>
      <c r="K119">
        <v>778.5499999999987</v>
      </c>
    </row>
    <row r="120" spans="1:11" hidden="1" x14ac:dyDescent="0.25">
      <c r="A120" s="70">
        <v>118</v>
      </c>
      <c r="B120" t="s">
        <v>1011</v>
      </c>
      <c r="C120" t="s">
        <v>1010</v>
      </c>
      <c r="D120" t="s">
        <v>77</v>
      </c>
      <c r="E120">
        <v>10</v>
      </c>
      <c r="F120" t="s">
        <v>20</v>
      </c>
      <c r="G120" t="s">
        <v>78</v>
      </c>
      <c r="H120" t="s">
        <v>145</v>
      </c>
      <c r="I120" t="s">
        <v>22</v>
      </c>
      <c r="J120" t="s">
        <v>23</v>
      </c>
      <c r="K120">
        <v>788.5499999999987</v>
      </c>
    </row>
    <row r="121" spans="1:11" hidden="1" x14ac:dyDescent="0.25">
      <c r="A121" s="70">
        <v>119</v>
      </c>
      <c r="B121" t="s">
        <v>1011</v>
      </c>
      <c r="C121" t="s">
        <v>1010</v>
      </c>
      <c r="D121" t="s">
        <v>192</v>
      </c>
      <c r="E121">
        <v>26.99</v>
      </c>
      <c r="F121" t="s">
        <v>12</v>
      </c>
      <c r="G121" t="s">
        <v>13</v>
      </c>
      <c r="H121" t="s">
        <v>145</v>
      </c>
      <c r="I121" t="s">
        <v>15</v>
      </c>
      <c r="J121" t="s">
        <v>16</v>
      </c>
      <c r="K121">
        <v>815.53999999999871</v>
      </c>
    </row>
    <row r="122" spans="1:11" hidden="1" x14ac:dyDescent="0.25">
      <c r="A122" s="70">
        <v>120</v>
      </c>
      <c r="B122" t="s">
        <v>1011</v>
      </c>
      <c r="C122" t="s">
        <v>1010</v>
      </c>
      <c r="D122" t="s">
        <v>193</v>
      </c>
      <c r="E122">
        <v>40.159999999999997</v>
      </c>
      <c r="F122" t="s">
        <v>20</v>
      </c>
      <c r="G122" t="s">
        <v>34</v>
      </c>
      <c r="H122" t="s">
        <v>145</v>
      </c>
      <c r="I122" t="s">
        <v>15</v>
      </c>
      <c r="J122" t="s">
        <v>32</v>
      </c>
      <c r="K122">
        <v>855.69999999999868</v>
      </c>
    </row>
    <row r="123" spans="1:11" hidden="1" x14ac:dyDescent="0.25">
      <c r="A123" s="70">
        <v>121</v>
      </c>
      <c r="B123" t="s">
        <v>1010</v>
      </c>
      <c r="C123" t="s">
        <v>1010</v>
      </c>
      <c r="D123" t="s">
        <v>214</v>
      </c>
      <c r="E123">
        <v>13.09</v>
      </c>
      <c r="F123" t="s">
        <v>30</v>
      </c>
      <c r="G123" t="s">
        <v>147</v>
      </c>
      <c r="H123" t="s">
        <v>145</v>
      </c>
      <c r="I123" t="s">
        <v>15</v>
      </c>
      <c r="J123" t="s">
        <v>23</v>
      </c>
      <c r="K123">
        <v>868.78999999999871</v>
      </c>
    </row>
    <row r="124" spans="1:11" hidden="1" x14ac:dyDescent="0.25">
      <c r="A124" s="70">
        <v>122</v>
      </c>
      <c r="B124" t="s">
        <v>1010</v>
      </c>
      <c r="C124" t="s">
        <v>1010</v>
      </c>
      <c r="D124" t="s">
        <v>213</v>
      </c>
      <c r="E124">
        <v>37.57</v>
      </c>
      <c r="F124" t="s">
        <v>40</v>
      </c>
      <c r="G124" t="s">
        <v>41</v>
      </c>
      <c r="H124" t="s">
        <v>145</v>
      </c>
      <c r="I124" t="s">
        <v>15</v>
      </c>
      <c r="J124" t="s">
        <v>42</v>
      </c>
      <c r="K124">
        <v>906.35999999999876</v>
      </c>
    </row>
    <row r="125" spans="1:11" hidden="1" x14ac:dyDescent="0.25">
      <c r="A125" s="70">
        <v>123</v>
      </c>
      <c r="B125" t="s">
        <v>1010</v>
      </c>
      <c r="C125" t="s">
        <v>1010</v>
      </c>
      <c r="D125" t="s">
        <v>211</v>
      </c>
      <c r="E125">
        <v>80.22</v>
      </c>
      <c r="F125" t="s">
        <v>56</v>
      </c>
      <c r="G125" t="s">
        <v>212</v>
      </c>
      <c r="H125" t="s">
        <v>145</v>
      </c>
      <c r="I125" t="s">
        <v>15</v>
      </c>
      <c r="J125" t="s">
        <v>32</v>
      </c>
      <c r="K125">
        <v>986.57999999999879</v>
      </c>
    </row>
    <row r="126" spans="1:11" hidden="1" x14ac:dyDescent="0.25">
      <c r="A126" s="70">
        <v>124</v>
      </c>
      <c r="B126" t="s">
        <v>1010</v>
      </c>
      <c r="C126" t="s">
        <v>1010</v>
      </c>
      <c r="D126" t="s">
        <v>100</v>
      </c>
      <c r="E126">
        <v>12.99</v>
      </c>
      <c r="F126" t="s">
        <v>56</v>
      </c>
      <c r="G126" t="s">
        <v>101</v>
      </c>
      <c r="H126" t="s">
        <v>145</v>
      </c>
      <c r="I126" t="s">
        <v>22</v>
      </c>
      <c r="J126" t="s">
        <v>23</v>
      </c>
      <c r="K126">
        <v>999.5699999999988</v>
      </c>
    </row>
    <row r="127" spans="1:11" hidden="1" x14ac:dyDescent="0.25">
      <c r="A127" s="70">
        <v>125</v>
      </c>
      <c r="B127" t="s">
        <v>1010</v>
      </c>
      <c r="C127" t="s">
        <v>1010</v>
      </c>
      <c r="D127" t="s">
        <v>104</v>
      </c>
      <c r="E127">
        <v>2.79</v>
      </c>
      <c r="F127" t="s">
        <v>53</v>
      </c>
      <c r="G127" t="s">
        <v>54</v>
      </c>
      <c r="H127" t="s">
        <v>145</v>
      </c>
      <c r="I127" t="s">
        <v>15</v>
      </c>
      <c r="J127" t="s">
        <v>16</v>
      </c>
      <c r="K127">
        <v>1002.359999999999</v>
      </c>
    </row>
    <row r="128" spans="1:11" hidden="1" x14ac:dyDescent="0.25">
      <c r="A128" s="70">
        <v>126</v>
      </c>
      <c r="B128" t="s">
        <v>1010</v>
      </c>
      <c r="C128" t="s">
        <v>1010</v>
      </c>
      <c r="D128" t="s">
        <v>104</v>
      </c>
      <c r="E128">
        <v>9.48</v>
      </c>
      <c r="F128" t="s">
        <v>53</v>
      </c>
      <c r="G128" t="s">
        <v>54</v>
      </c>
      <c r="H128" t="s">
        <v>145</v>
      </c>
      <c r="I128" t="s">
        <v>15</v>
      </c>
      <c r="J128" t="s">
        <v>16</v>
      </c>
      <c r="K128">
        <v>1011.839999999999</v>
      </c>
    </row>
    <row r="129" spans="1:11" hidden="1" x14ac:dyDescent="0.25">
      <c r="A129" s="70">
        <v>127</v>
      </c>
      <c r="B129" t="s">
        <v>1010</v>
      </c>
      <c r="C129" t="s">
        <v>1010</v>
      </c>
      <c r="D129" t="s">
        <v>108</v>
      </c>
      <c r="E129">
        <v>79.38</v>
      </c>
      <c r="F129" t="s">
        <v>20</v>
      </c>
      <c r="G129" t="s">
        <v>109</v>
      </c>
      <c r="H129" t="s">
        <v>145</v>
      </c>
      <c r="I129" t="s">
        <v>22</v>
      </c>
      <c r="J129" t="s">
        <v>110</v>
      </c>
      <c r="K129">
        <v>1091.2199999999989</v>
      </c>
    </row>
    <row r="130" spans="1:11" hidden="1" x14ac:dyDescent="0.25">
      <c r="A130" s="70">
        <v>128</v>
      </c>
      <c r="B130" t="s">
        <v>1012</v>
      </c>
      <c r="C130" t="s">
        <v>1012</v>
      </c>
      <c r="D130" t="s">
        <v>217</v>
      </c>
      <c r="E130">
        <v>11.94</v>
      </c>
      <c r="F130" t="s">
        <v>20</v>
      </c>
      <c r="G130" t="s">
        <v>218</v>
      </c>
      <c r="H130" t="s">
        <v>145</v>
      </c>
      <c r="I130" t="s">
        <v>15</v>
      </c>
      <c r="J130" t="s">
        <v>23</v>
      </c>
      <c r="K130">
        <v>1103.1599999999989</v>
      </c>
    </row>
    <row r="131" spans="1:11" hidden="1" x14ac:dyDescent="0.25">
      <c r="A131" s="70">
        <v>129</v>
      </c>
      <c r="B131" t="s">
        <v>810</v>
      </c>
      <c r="C131" t="s">
        <v>810</v>
      </c>
      <c r="D131" t="s">
        <v>219</v>
      </c>
      <c r="E131">
        <v>21.22</v>
      </c>
      <c r="F131" t="s">
        <v>20</v>
      </c>
      <c r="G131" t="s">
        <v>27</v>
      </c>
      <c r="H131" t="s">
        <v>145</v>
      </c>
      <c r="I131" t="s">
        <v>15</v>
      </c>
      <c r="J131" t="s">
        <v>32</v>
      </c>
      <c r="K131">
        <v>1124.379999999999</v>
      </c>
    </row>
    <row r="132" spans="1:11" hidden="1" x14ac:dyDescent="0.25">
      <c r="A132" s="70">
        <v>130</v>
      </c>
      <c r="B132" t="s">
        <v>805</v>
      </c>
      <c r="C132" t="s">
        <v>805</v>
      </c>
      <c r="D132" t="s">
        <v>102</v>
      </c>
      <c r="E132">
        <v>6.02</v>
      </c>
      <c r="F132" t="s">
        <v>12</v>
      </c>
      <c r="G132" t="s">
        <v>13</v>
      </c>
      <c r="H132" t="s">
        <v>145</v>
      </c>
      <c r="I132" t="s">
        <v>15</v>
      </c>
      <c r="J132" t="s">
        <v>16</v>
      </c>
      <c r="K132">
        <v>1130.399999999999</v>
      </c>
    </row>
    <row r="133" spans="1:11" hidden="1" x14ac:dyDescent="0.25">
      <c r="A133" s="70">
        <v>131</v>
      </c>
      <c r="B133" t="s">
        <v>805</v>
      </c>
      <c r="C133" t="s">
        <v>805</v>
      </c>
      <c r="D133" t="s">
        <v>220</v>
      </c>
      <c r="E133">
        <v>42</v>
      </c>
      <c r="F133" t="s">
        <v>20</v>
      </c>
      <c r="G133" t="s">
        <v>126</v>
      </c>
      <c r="H133" t="s">
        <v>145</v>
      </c>
      <c r="I133" t="s">
        <v>15</v>
      </c>
      <c r="J133" t="s">
        <v>127</v>
      </c>
      <c r="K133">
        <v>1172.399999999999</v>
      </c>
    </row>
    <row r="134" spans="1:11" hidden="1" x14ac:dyDescent="0.25">
      <c r="A134" s="70">
        <v>132</v>
      </c>
      <c r="B134" t="s">
        <v>805</v>
      </c>
      <c r="C134" t="s">
        <v>805</v>
      </c>
      <c r="D134" t="s">
        <v>221</v>
      </c>
      <c r="E134">
        <v>25</v>
      </c>
      <c r="F134" t="s">
        <v>12</v>
      </c>
      <c r="G134" t="s">
        <v>18</v>
      </c>
      <c r="H134" t="s">
        <v>145</v>
      </c>
      <c r="I134" t="s">
        <v>15</v>
      </c>
      <c r="J134" t="s">
        <v>16</v>
      </c>
      <c r="K134">
        <v>1197.399999999999</v>
      </c>
    </row>
    <row r="135" spans="1:11" hidden="1" x14ac:dyDescent="0.25">
      <c r="A135" s="70">
        <v>133</v>
      </c>
      <c r="B135" t="s">
        <v>805</v>
      </c>
      <c r="C135" t="s">
        <v>805</v>
      </c>
      <c r="D135" t="s">
        <v>222</v>
      </c>
      <c r="E135">
        <v>277.61</v>
      </c>
      <c r="F135" t="s">
        <v>20</v>
      </c>
      <c r="G135" t="s">
        <v>223</v>
      </c>
      <c r="H135" t="s">
        <v>145</v>
      </c>
      <c r="I135" t="s">
        <v>15</v>
      </c>
      <c r="J135" t="s">
        <v>32</v>
      </c>
      <c r="K135">
        <v>1475.0099999999991</v>
      </c>
    </row>
    <row r="136" spans="1:11" hidden="1" x14ac:dyDescent="0.25">
      <c r="A136" s="70">
        <v>134</v>
      </c>
      <c r="B136" t="s">
        <v>1013</v>
      </c>
      <c r="C136" t="s">
        <v>1013</v>
      </c>
      <c r="D136" t="s">
        <v>224</v>
      </c>
      <c r="E136">
        <v>47.51</v>
      </c>
      <c r="F136" t="s">
        <v>20</v>
      </c>
      <c r="G136" t="s">
        <v>225</v>
      </c>
      <c r="H136" t="s">
        <v>145</v>
      </c>
      <c r="I136" t="s">
        <v>15</v>
      </c>
      <c r="J136" t="s">
        <v>32</v>
      </c>
      <c r="K136">
        <v>1522.5199999999991</v>
      </c>
    </row>
    <row r="137" spans="1:11" hidden="1" x14ac:dyDescent="0.25">
      <c r="A137" s="70">
        <v>135</v>
      </c>
      <c r="B137" t="s">
        <v>1013</v>
      </c>
      <c r="C137" t="s">
        <v>1013</v>
      </c>
      <c r="D137" t="s">
        <v>226</v>
      </c>
      <c r="E137">
        <v>12.52</v>
      </c>
      <c r="F137" t="s">
        <v>12</v>
      </c>
      <c r="G137" t="s">
        <v>13</v>
      </c>
      <c r="H137" t="s">
        <v>145</v>
      </c>
      <c r="I137" t="s">
        <v>15</v>
      </c>
      <c r="J137" t="s">
        <v>16</v>
      </c>
      <c r="K137">
        <v>1535.0399999999991</v>
      </c>
    </row>
    <row r="138" spans="1:11" hidden="1" x14ac:dyDescent="0.25">
      <c r="A138" s="70">
        <v>136</v>
      </c>
      <c r="B138" t="s">
        <v>1014</v>
      </c>
      <c r="C138" t="s">
        <v>1014</v>
      </c>
      <c r="D138" t="s">
        <v>112</v>
      </c>
      <c r="E138">
        <v>4.99</v>
      </c>
      <c r="F138" t="s">
        <v>20</v>
      </c>
      <c r="G138" t="s">
        <v>113</v>
      </c>
      <c r="H138" t="s">
        <v>145</v>
      </c>
      <c r="I138" t="s">
        <v>22</v>
      </c>
      <c r="J138" t="s">
        <v>23</v>
      </c>
      <c r="K138">
        <v>1540.0299999999991</v>
      </c>
    </row>
    <row r="139" spans="1:11" hidden="1" x14ac:dyDescent="0.25">
      <c r="A139" s="70">
        <v>137</v>
      </c>
      <c r="B139" t="s">
        <v>1014</v>
      </c>
      <c r="C139" t="s">
        <v>1014</v>
      </c>
      <c r="D139" t="s">
        <v>227</v>
      </c>
      <c r="E139">
        <v>77.66</v>
      </c>
      <c r="F139" t="s">
        <v>30</v>
      </c>
      <c r="G139" t="s">
        <v>228</v>
      </c>
      <c r="H139" t="s">
        <v>145</v>
      </c>
      <c r="I139" t="s">
        <v>15</v>
      </c>
      <c r="J139" t="s">
        <v>23</v>
      </c>
      <c r="K139">
        <v>1617.6899999999989</v>
      </c>
    </row>
    <row r="140" spans="1:11" hidden="1" x14ac:dyDescent="0.25">
      <c r="A140" s="70">
        <v>138</v>
      </c>
      <c r="B140" t="s">
        <v>1014</v>
      </c>
      <c r="C140" t="s">
        <v>1014</v>
      </c>
      <c r="D140" t="s">
        <v>230</v>
      </c>
      <c r="E140">
        <v>80.64</v>
      </c>
      <c r="F140" t="s">
        <v>30</v>
      </c>
      <c r="G140" t="s">
        <v>169</v>
      </c>
      <c r="H140" t="s">
        <v>145</v>
      </c>
      <c r="I140" t="s">
        <v>15</v>
      </c>
      <c r="J140" t="s">
        <v>23</v>
      </c>
      <c r="K140">
        <v>1698.329999999999</v>
      </c>
    </row>
    <row r="141" spans="1:11" hidden="1" x14ac:dyDescent="0.25">
      <c r="A141" s="70">
        <v>139</v>
      </c>
      <c r="B141" t="s">
        <v>1014</v>
      </c>
      <c r="C141" t="s">
        <v>1014</v>
      </c>
      <c r="D141" t="s">
        <v>229</v>
      </c>
      <c r="E141">
        <v>4</v>
      </c>
      <c r="F141" t="s">
        <v>56</v>
      </c>
      <c r="G141" t="s">
        <v>203</v>
      </c>
      <c r="H141" t="s">
        <v>145</v>
      </c>
      <c r="I141" t="s">
        <v>15</v>
      </c>
      <c r="J141" t="s">
        <v>42</v>
      </c>
      <c r="K141">
        <v>1702.329999999999</v>
      </c>
    </row>
    <row r="142" spans="1:11" hidden="1" x14ac:dyDescent="0.25">
      <c r="A142" s="70">
        <v>140</v>
      </c>
      <c r="B142" t="s">
        <v>803</v>
      </c>
      <c r="C142" t="s">
        <v>803</v>
      </c>
      <c r="D142" t="s">
        <v>231</v>
      </c>
      <c r="E142">
        <v>35</v>
      </c>
      <c r="F142" t="s">
        <v>12</v>
      </c>
      <c r="G142" t="s">
        <v>18</v>
      </c>
      <c r="H142" t="s">
        <v>145</v>
      </c>
      <c r="I142" t="s">
        <v>15</v>
      </c>
      <c r="J142" t="s">
        <v>16</v>
      </c>
      <c r="K142">
        <v>1737.329999999999</v>
      </c>
    </row>
    <row r="143" spans="1:11" hidden="1" x14ac:dyDescent="0.25">
      <c r="A143" s="70">
        <v>141</v>
      </c>
      <c r="B143" t="s">
        <v>803</v>
      </c>
      <c r="C143" t="s">
        <v>803</v>
      </c>
      <c r="D143" t="s">
        <v>232</v>
      </c>
      <c r="E143">
        <v>51.8</v>
      </c>
      <c r="F143" t="s">
        <v>12</v>
      </c>
      <c r="G143" t="s">
        <v>13</v>
      </c>
      <c r="H143" t="s">
        <v>145</v>
      </c>
      <c r="I143" t="s">
        <v>15</v>
      </c>
      <c r="J143" t="s">
        <v>16</v>
      </c>
      <c r="K143">
        <v>1789.129999999999</v>
      </c>
    </row>
    <row r="144" spans="1:11" hidden="1" x14ac:dyDescent="0.25">
      <c r="A144" s="70">
        <v>142</v>
      </c>
      <c r="B144" t="s">
        <v>801</v>
      </c>
      <c r="C144" t="s">
        <v>801</v>
      </c>
      <c r="D144" t="s">
        <v>153</v>
      </c>
      <c r="E144">
        <v>40</v>
      </c>
      <c r="F144" t="s">
        <v>154</v>
      </c>
      <c r="G144" t="s">
        <v>155</v>
      </c>
      <c r="H144" t="s">
        <v>145</v>
      </c>
      <c r="I144" t="s">
        <v>15</v>
      </c>
      <c r="J144" t="s">
        <v>156</v>
      </c>
      <c r="K144">
        <v>1829.129999999999</v>
      </c>
    </row>
    <row r="145" spans="1:11" hidden="1" x14ac:dyDescent="0.25">
      <c r="A145" s="70">
        <v>143</v>
      </c>
      <c r="B145" t="s">
        <v>801</v>
      </c>
      <c r="C145" t="s">
        <v>801</v>
      </c>
      <c r="D145" t="s">
        <v>160</v>
      </c>
      <c r="E145">
        <v>5.19</v>
      </c>
      <c r="F145" t="s">
        <v>40</v>
      </c>
      <c r="G145" t="s">
        <v>41</v>
      </c>
      <c r="H145" t="s">
        <v>145</v>
      </c>
      <c r="I145" t="s">
        <v>15</v>
      </c>
      <c r="J145" t="s">
        <v>42</v>
      </c>
      <c r="K145">
        <v>1834.319999999999</v>
      </c>
    </row>
    <row r="146" spans="1:11" hidden="1" x14ac:dyDescent="0.25">
      <c r="A146" s="70">
        <v>144</v>
      </c>
      <c r="B146" t="s">
        <v>801</v>
      </c>
      <c r="C146" t="s">
        <v>801</v>
      </c>
      <c r="D146" t="s">
        <v>36</v>
      </c>
      <c r="E146">
        <v>-734.55</v>
      </c>
      <c r="F146" t="s">
        <v>37</v>
      </c>
      <c r="G146" t="s">
        <v>38</v>
      </c>
      <c r="H146" t="s">
        <v>145</v>
      </c>
      <c r="I146" t="s">
        <v>15</v>
      </c>
      <c r="J146" t="s">
        <v>973</v>
      </c>
      <c r="K146">
        <v>1099.7699999999991</v>
      </c>
    </row>
    <row r="147" spans="1:11" hidden="1" x14ac:dyDescent="0.25">
      <c r="A147" s="70">
        <v>145</v>
      </c>
      <c r="B147" t="s">
        <v>801</v>
      </c>
      <c r="C147" t="s">
        <v>801</v>
      </c>
      <c r="D147" t="s">
        <v>157</v>
      </c>
      <c r="E147">
        <v>35</v>
      </c>
      <c r="F147" t="s">
        <v>158</v>
      </c>
      <c r="G147" t="s">
        <v>159</v>
      </c>
      <c r="H147" t="s">
        <v>145</v>
      </c>
      <c r="I147" t="s">
        <v>15</v>
      </c>
      <c r="J147" t="s">
        <v>23</v>
      </c>
      <c r="K147">
        <v>1134.7699999999991</v>
      </c>
    </row>
    <row r="148" spans="1:11" hidden="1" x14ac:dyDescent="0.25">
      <c r="A148" s="70">
        <v>146</v>
      </c>
      <c r="B148" t="s">
        <v>801</v>
      </c>
      <c r="C148" t="s">
        <v>801</v>
      </c>
      <c r="D148" t="s">
        <v>161</v>
      </c>
      <c r="E148">
        <v>21.12</v>
      </c>
      <c r="F148" t="s">
        <v>12</v>
      </c>
      <c r="G148" t="s">
        <v>13</v>
      </c>
      <c r="H148" t="s">
        <v>145</v>
      </c>
      <c r="I148" t="s">
        <v>15</v>
      </c>
      <c r="J148" t="s">
        <v>16</v>
      </c>
      <c r="K148">
        <v>1155.889999999999</v>
      </c>
    </row>
    <row r="149" spans="1:11" hidden="1" x14ac:dyDescent="0.25">
      <c r="A149" s="70">
        <v>147</v>
      </c>
      <c r="B149" t="s">
        <v>801</v>
      </c>
      <c r="C149" t="s">
        <v>801</v>
      </c>
      <c r="D149" t="s">
        <v>150</v>
      </c>
      <c r="E149">
        <v>32.58</v>
      </c>
      <c r="F149" t="s">
        <v>40</v>
      </c>
      <c r="G149" t="s">
        <v>41</v>
      </c>
      <c r="H149" t="s">
        <v>145</v>
      </c>
      <c r="I149" t="s">
        <v>15</v>
      </c>
      <c r="J149" t="s">
        <v>42</v>
      </c>
      <c r="K149">
        <v>1188.4699999999989</v>
      </c>
    </row>
    <row r="150" spans="1:11" hidden="1" x14ac:dyDescent="0.25">
      <c r="A150" s="70">
        <v>148</v>
      </c>
      <c r="B150" t="s">
        <v>801</v>
      </c>
      <c r="C150" t="s">
        <v>801</v>
      </c>
      <c r="D150" t="s">
        <v>151</v>
      </c>
      <c r="E150">
        <v>5.13</v>
      </c>
      <c r="F150" t="s">
        <v>40</v>
      </c>
      <c r="G150" t="s">
        <v>41</v>
      </c>
      <c r="H150" t="s">
        <v>145</v>
      </c>
      <c r="I150" t="s">
        <v>15</v>
      </c>
      <c r="J150" t="s">
        <v>42</v>
      </c>
      <c r="K150">
        <v>1193.599999999999</v>
      </c>
    </row>
    <row r="151" spans="1:11" hidden="1" x14ac:dyDescent="0.25">
      <c r="A151" s="70">
        <v>149</v>
      </c>
      <c r="B151" t="s">
        <v>801</v>
      </c>
      <c r="C151" t="s">
        <v>801</v>
      </c>
      <c r="D151" t="s">
        <v>152</v>
      </c>
      <c r="E151">
        <v>24.92</v>
      </c>
      <c r="F151" t="s">
        <v>40</v>
      </c>
      <c r="G151" t="s">
        <v>41</v>
      </c>
      <c r="H151" t="s">
        <v>145</v>
      </c>
      <c r="I151" t="s">
        <v>15</v>
      </c>
      <c r="J151" t="s">
        <v>42</v>
      </c>
      <c r="K151">
        <v>1218.5199999999991</v>
      </c>
    </row>
    <row r="152" spans="1:11" hidden="1" x14ac:dyDescent="0.25">
      <c r="A152" s="70">
        <v>150</v>
      </c>
      <c r="B152" t="s">
        <v>801</v>
      </c>
      <c r="C152" t="s">
        <v>801</v>
      </c>
      <c r="D152" t="s">
        <v>163</v>
      </c>
      <c r="E152">
        <v>15.89</v>
      </c>
      <c r="F152" t="s">
        <v>20</v>
      </c>
      <c r="G152" t="s">
        <v>49</v>
      </c>
      <c r="H152" t="s">
        <v>145</v>
      </c>
      <c r="I152" t="s">
        <v>22</v>
      </c>
      <c r="J152" t="s">
        <v>23</v>
      </c>
      <c r="K152">
        <v>1234.4099999999989</v>
      </c>
    </row>
    <row r="153" spans="1:11" hidden="1" x14ac:dyDescent="0.25">
      <c r="A153" s="70">
        <v>151</v>
      </c>
      <c r="B153" t="s">
        <v>801</v>
      </c>
      <c r="C153" t="s">
        <v>801</v>
      </c>
      <c r="D153" t="s">
        <v>162</v>
      </c>
      <c r="E153">
        <v>10.59</v>
      </c>
      <c r="F153" t="s">
        <v>20</v>
      </c>
      <c r="G153" t="s">
        <v>143</v>
      </c>
      <c r="H153" t="s">
        <v>145</v>
      </c>
      <c r="I153" t="s">
        <v>22</v>
      </c>
      <c r="J153" t="s">
        <v>23</v>
      </c>
      <c r="K153">
        <v>1244.9999999999991</v>
      </c>
    </row>
    <row r="154" spans="1:11" hidden="1" x14ac:dyDescent="0.25">
      <c r="A154" s="70">
        <v>152</v>
      </c>
      <c r="B154" t="s">
        <v>796</v>
      </c>
      <c r="C154" t="s">
        <v>796</v>
      </c>
      <c r="D154" t="s">
        <v>165</v>
      </c>
      <c r="E154">
        <v>30</v>
      </c>
      <c r="F154" t="s">
        <v>40</v>
      </c>
      <c r="G154" t="s">
        <v>41</v>
      </c>
      <c r="H154" t="s">
        <v>145</v>
      </c>
      <c r="I154" t="s">
        <v>15</v>
      </c>
      <c r="J154" t="s">
        <v>42</v>
      </c>
      <c r="K154">
        <v>1274.9999999999991</v>
      </c>
    </row>
    <row r="155" spans="1:11" hidden="1" x14ac:dyDescent="0.25">
      <c r="A155" s="70">
        <v>153</v>
      </c>
      <c r="B155" t="s">
        <v>796</v>
      </c>
      <c r="C155" t="s">
        <v>796</v>
      </c>
      <c r="D155" t="s">
        <v>164</v>
      </c>
      <c r="E155">
        <v>33.130000000000003</v>
      </c>
      <c r="F155" t="s">
        <v>12</v>
      </c>
      <c r="G155" t="s">
        <v>13</v>
      </c>
      <c r="H155" t="s">
        <v>145</v>
      </c>
      <c r="I155" t="s">
        <v>15</v>
      </c>
      <c r="J155" t="s">
        <v>16</v>
      </c>
      <c r="K155">
        <v>1308.129999999999</v>
      </c>
    </row>
    <row r="156" spans="1:11" hidden="1" x14ac:dyDescent="0.25">
      <c r="A156" s="70">
        <v>154</v>
      </c>
      <c r="B156" t="s">
        <v>796</v>
      </c>
      <c r="C156" t="s">
        <v>796</v>
      </c>
      <c r="D156" t="s">
        <v>166</v>
      </c>
      <c r="E156">
        <v>61.78</v>
      </c>
      <c r="F156" t="s">
        <v>40</v>
      </c>
      <c r="G156" t="s">
        <v>41</v>
      </c>
      <c r="H156" t="s">
        <v>145</v>
      </c>
      <c r="I156" t="s">
        <v>15</v>
      </c>
      <c r="J156" t="s">
        <v>42</v>
      </c>
      <c r="K156">
        <v>1369.9099999999989</v>
      </c>
    </row>
    <row r="157" spans="1:11" hidden="1" x14ac:dyDescent="0.25">
      <c r="A157" s="70">
        <v>155</v>
      </c>
      <c r="B157" t="s">
        <v>792</v>
      </c>
      <c r="C157" t="s">
        <v>792</v>
      </c>
      <c r="D157" t="s">
        <v>172</v>
      </c>
      <c r="E157">
        <v>8.5299999999999994</v>
      </c>
      <c r="F157" t="s">
        <v>12</v>
      </c>
      <c r="G157" t="s">
        <v>13</v>
      </c>
      <c r="H157" t="s">
        <v>145</v>
      </c>
      <c r="I157" t="s">
        <v>15</v>
      </c>
      <c r="J157" t="s">
        <v>16</v>
      </c>
      <c r="K157">
        <v>1378.4399999999989</v>
      </c>
    </row>
    <row r="158" spans="1:11" hidden="1" x14ac:dyDescent="0.25">
      <c r="A158" s="70">
        <v>156</v>
      </c>
      <c r="B158" t="s">
        <v>792</v>
      </c>
      <c r="C158" t="s">
        <v>792</v>
      </c>
      <c r="D158" t="s">
        <v>171</v>
      </c>
      <c r="E158">
        <v>79.900000000000006</v>
      </c>
      <c r="F158" t="s">
        <v>56</v>
      </c>
      <c r="G158" t="s">
        <v>159</v>
      </c>
      <c r="H158" t="s">
        <v>145</v>
      </c>
      <c r="I158" t="s">
        <v>15</v>
      </c>
      <c r="J158" t="s">
        <v>23</v>
      </c>
      <c r="K158">
        <v>1458.339999999999</v>
      </c>
    </row>
    <row r="159" spans="1:11" hidden="1" x14ac:dyDescent="0.25">
      <c r="A159" s="70">
        <v>157</v>
      </c>
      <c r="B159" t="s">
        <v>792</v>
      </c>
      <c r="C159" t="s">
        <v>792</v>
      </c>
      <c r="D159" t="s">
        <v>173</v>
      </c>
      <c r="E159">
        <v>49.43</v>
      </c>
      <c r="F159" t="s">
        <v>40</v>
      </c>
      <c r="G159" t="s">
        <v>18</v>
      </c>
      <c r="H159" t="s">
        <v>145</v>
      </c>
      <c r="I159" t="s">
        <v>15</v>
      </c>
      <c r="J159" t="s">
        <v>16</v>
      </c>
      <c r="K159">
        <v>1507.7699999999991</v>
      </c>
    </row>
    <row r="160" spans="1:11" hidden="1" x14ac:dyDescent="0.25">
      <c r="A160" s="70">
        <v>158</v>
      </c>
      <c r="B160" t="s">
        <v>792</v>
      </c>
      <c r="C160" t="s">
        <v>792</v>
      </c>
      <c r="D160" t="s">
        <v>168</v>
      </c>
      <c r="E160">
        <v>22</v>
      </c>
      <c r="F160" t="s">
        <v>20</v>
      </c>
      <c r="G160" t="s">
        <v>169</v>
      </c>
      <c r="H160" t="s">
        <v>145</v>
      </c>
      <c r="I160" t="s">
        <v>15</v>
      </c>
      <c r="J160" t="s">
        <v>23</v>
      </c>
      <c r="K160">
        <v>1529.7699999999991</v>
      </c>
    </row>
    <row r="161" spans="1:11" hidden="1" x14ac:dyDescent="0.25">
      <c r="A161" s="70">
        <v>159</v>
      </c>
      <c r="B161" t="s">
        <v>792</v>
      </c>
      <c r="C161" t="s">
        <v>792</v>
      </c>
      <c r="D161" t="s">
        <v>167</v>
      </c>
      <c r="E161">
        <v>54</v>
      </c>
      <c r="F161" t="s">
        <v>56</v>
      </c>
      <c r="G161" t="s">
        <v>159</v>
      </c>
      <c r="H161" t="s">
        <v>145</v>
      </c>
      <c r="I161" t="s">
        <v>15</v>
      </c>
      <c r="J161" t="s">
        <v>23</v>
      </c>
      <c r="K161">
        <v>1583.7699999999991</v>
      </c>
    </row>
    <row r="162" spans="1:11" hidden="1" x14ac:dyDescent="0.25">
      <c r="A162" s="70">
        <v>160</v>
      </c>
      <c r="B162" t="s">
        <v>792</v>
      </c>
      <c r="C162" t="s">
        <v>792</v>
      </c>
      <c r="D162" t="s">
        <v>170</v>
      </c>
      <c r="E162">
        <v>11.5</v>
      </c>
      <c r="F162" t="s">
        <v>56</v>
      </c>
      <c r="G162" t="s">
        <v>159</v>
      </c>
      <c r="H162" t="s">
        <v>145</v>
      </c>
      <c r="I162" t="s">
        <v>15</v>
      </c>
      <c r="J162" t="s">
        <v>23</v>
      </c>
      <c r="K162">
        <v>1595.2699999999991</v>
      </c>
    </row>
    <row r="163" spans="1:11" hidden="1" x14ac:dyDescent="0.25">
      <c r="A163" s="70">
        <v>161</v>
      </c>
      <c r="B163" t="s">
        <v>1015</v>
      </c>
      <c r="C163" t="s">
        <v>1015</v>
      </c>
      <c r="D163" t="s">
        <v>174</v>
      </c>
      <c r="E163">
        <v>48.33</v>
      </c>
      <c r="F163" t="s">
        <v>40</v>
      </c>
      <c r="G163" t="s">
        <v>41</v>
      </c>
      <c r="H163" t="s">
        <v>145</v>
      </c>
      <c r="I163" t="s">
        <v>15</v>
      </c>
      <c r="J163" t="s">
        <v>42</v>
      </c>
      <c r="K163">
        <v>1643.599999999999</v>
      </c>
    </row>
    <row r="164" spans="1:11" hidden="1" x14ac:dyDescent="0.25">
      <c r="A164" s="70">
        <v>162</v>
      </c>
      <c r="B164" t="s">
        <v>1015</v>
      </c>
      <c r="C164" t="s">
        <v>1015</v>
      </c>
      <c r="D164" t="s">
        <v>175</v>
      </c>
      <c r="E164">
        <v>48.23</v>
      </c>
      <c r="F164" t="s">
        <v>12</v>
      </c>
      <c r="G164" t="s">
        <v>18</v>
      </c>
      <c r="H164" t="s">
        <v>145</v>
      </c>
      <c r="I164" t="s">
        <v>15</v>
      </c>
      <c r="J164" t="s">
        <v>16</v>
      </c>
      <c r="K164">
        <v>1691.829999999999</v>
      </c>
    </row>
    <row r="165" spans="1:11" hidden="1" x14ac:dyDescent="0.25">
      <c r="A165" s="70">
        <v>163</v>
      </c>
      <c r="B165" t="s">
        <v>1015</v>
      </c>
      <c r="C165" t="s">
        <v>1015</v>
      </c>
      <c r="D165" t="s">
        <v>176</v>
      </c>
      <c r="E165">
        <v>30</v>
      </c>
      <c r="F165" t="s">
        <v>12</v>
      </c>
      <c r="G165" t="s">
        <v>18</v>
      </c>
      <c r="H165" t="s">
        <v>145</v>
      </c>
      <c r="I165" t="s">
        <v>15</v>
      </c>
      <c r="J165" t="s">
        <v>16</v>
      </c>
      <c r="K165">
        <v>1721.829999999999</v>
      </c>
    </row>
    <row r="166" spans="1:11" hidden="1" x14ac:dyDescent="0.25">
      <c r="A166" s="70">
        <v>164</v>
      </c>
      <c r="B166" t="s">
        <v>1015</v>
      </c>
      <c r="C166" t="s">
        <v>1015</v>
      </c>
      <c r="D166" t="s">
        <v>176</v>
      </c>
      <c r="E166">
        <v>60</v>
      </c>
      <c r="F166" t="s">
        <v>12</v>
      </c>
      <c r="G166" t="s">
        <v>18</v>
      </c>
      <c r="H166" t="s">
        <v>145</v>
      </c>
      <c r="I166" t="s">
        <v>15</v>
      </c>
      <c r="J166" t="s">
        <v>16</v>
      </c>
      <c r="K166">
        <v>1781.829999999999</v>
      </c>
    </row>
    <row r="167" spans="1:11" hidden="1" x14ac:dyDescent="0.25">
      <c r="A167" s="70">
        <v>165</v>
      </c>
      <c r="B167" t="s">
        <v>790</v>
      </c>
      <c r="C167" t="s">
        <v>790</v>
      </c>
      <c r="D167" t="s">
        <v>177</v>
      </c>
      <c r="E167">
        <v>14.99</v>
      </c>
      <c r="F167" t="s">
        <v>20</v>
      </c>
      <c r="G167" t="s">
        <v>124</v>
      </c>
      <c r="H167" t="s">
        <v>145</v>
      </c>
      <c r="I167" t="s">
        <v>22</v>
      </c>
      <c r="J167" t="s">
        <v>23</v>
      </c>
      <c r="K167">
        <v>1796.819999999999</v>
      </c>
    </row>
    <row r="168" spans="1:11" hidden="1" x14ac:dyDescent="0.25">
      <c r="A168" s="70">
        <v>166</v>
      </c>
      <c r="B168" t="s">
        <v>790</v>
      </c>
      <c r="C168" t="s">
        <v>790</v>
      </c>
      <c r="D168" t="s">
        <v>178</v>
      </c>
      <c r="E168">
        <v>0.86</v>
      </c>
      <c r="F168" t="s">
        <v>20</v>
      </c>
      <c r="G168" t="s">
        <v>41</v>
      </c>
      <c r="H168" t="s">
        <v>145</v>
      </c>
      <c r="I168" t="s">
        <v>15</v>
      </c>
      <c r="J168" t="s">
        <v>42</v>
      </c>
      <c r="K168">
        <v>1797.6799999999989</v>
      </c>
    </row>
    <row r="169" spans="1:11" hidden="1" x14ac:dyDescent="0.25">
      <c r="A169" s="70">
        <v>167</v>
      </c>
      <c r="B169" t="s">
        <v>790</v>
      </c>
      <c r="C169" t="s">
        <v>790</v>
      </c>
      <c r="D169" t="s">
        <v>179</v>
      </c>
      <c r="E169">
        <v>9.23</v>
      </c>
      <c r="F169" t="s">
        <v>12</v>
      </c>
      <c r="G169" t="s">
        <v>13</v>
      </c>
      <c r="H169" t="s">
        <v>145</v>
      </c>
      <c r="I169" t="s">
        <v>15</v>
      </c>
      <c r="J169" t="s">
        <v>16</v>
      </c>
      <c r="K169">
        <v>1806.9099999999989</v>
      </c>
    </row>
    <row r="170" spans="1:11" hidden="1" x14ac:dyDescent="0.25">
      <c r="A170" s="70">
        <v>168</v>
      </c>
      <c r="B170" t="s">
        <v>790</v>
      </c>
      <c r="C170" t="s">
        <v>790</v>
      </c>
      <c r="D170" t="s">
        <v>180</v>
      </c>
      <c r="E170">
        <v>19.850000000000001</v>
      </c>
      <c r="F170" t="s">
        <v>12</v>
      </c>
      <c r="G170" t="s">
        <v>13</v>
      </c>
      <c r="H170" t="s">
        <v>145</v>
      </c>
      <c r="I170" t="s">
        <v>15</v>
      </c>
      <c r="J170" t="s">
        <v>16</v>
      </c>
      <c r="K170">
        <v>1826.7599999999991</v>
      </c>
    </row>
    <row r="171" spans="1:11" hidden="1" x14ac:dyDescent="0.25">
      <c r="A171" s="70">
        <v>169</v>
      </c>
      <c r="B171" t="s">
        <v>790</v>
      </c>
      <c r="C171" t="s">
        <v>790</v>
      </c>
      <c r="D171" t="s">
        <v>181</v>
      </c>
      <c r="E171">
        <v>66.95</v>
      </c>
      <c r="F171" t="s">
        <v>12</v>
      </c>
      <c r="G171" t="s">
        <v>13</v>
      </c>
      <c r="H171" t="s">
        <v>145</v>
      </c>
      <c r="I171" t="s">
        <v>15</v>
      </c>
      <c r="J171" t="s">
        <v>16</v>
      </c>
      <c r="K171">
        <v>1893.7099999999989</v>
      </c>
    </row>
    <row r="172" spans="1:11" hidden="1" x14ac:dyDescent="0.25">
      <c r="A172" s="70">
        <v>170</v>
      </c>
      <c r="B172" t="s">
        <v>1016</v>
      </c>
      <c r="C172" t="s">
        <v>1016</v>
      </c>
      <c r="D172" t="s">
        <v>79</v>
      </c>
      <c r="E172">
        <v>12</v>
      </c>
      <c r="F172" t="s">
        <v>20</v>
      </c>
      <c r="G172" t="s">
        <v>80</v>
      </c>
      <c r="H172" t="s">
        <v>145</v>
      </c>
      <c r="I172" t="s">
        <v>15</v>
      </c>
      <c r="J172" t="s">
        <v>23</v>
      </c>
      <c r="K172">
        <v>1905.7099999999989</v>
      </c>
    </row>
    <row r="173" spans="1:11" hidden="1" x14ac:dyDescent="0.25">
      <c r="A173" s="70">
        <v>171</v>
      </c>
      <c r="B173" t="s">
        <v>1016</v>
      </c>
      <c r="C173" t="s">
        <v>1016</v>
      </c>
      <c r="D173" t="s">
        <v>182</v>
      </c>
      <c r="E173">
        <v>47.6</v>
      </c>
      <c r="F173" t="s">
        <v>40</v>
      </c>
      <c r="G173" t="s">
        <v>41</v>
      </c>
      <c r="H173" t="s">
        <v>145</v>
      </c>
      <c r="I173" t="s">
        <v>15</v>
      </c>
      <c r="J173" t="s">
        <v>42</v>
      </c>
      <c r="K173">
        <v>1953.309999999999</v>
      </c>
    </row>
    <row r="174" spans="1:11" hidden="1" x14ac:dyDescent="0.25">
      <c r="A174" s="70">
        <v>172</v>
      </c>
      <c r="B174" t="s">
        <v>1017</v>
      </c>
      <c r="C174" t="s">
        <v>1017</v>
      </c>
      <c r="D174" t="s">
        <v>64</v>
      </c>
      <c r="E174">
        <v>70</v>
      </c>
      <c r="F174" t="s">
        <v>20</v>
      </c>
      <c r="G174" t="s">
        <v>65</v>
      </c>
      <c r="H174" t="s">
        <v>145</v>
      </c>
      <c r="I174" t="s">
        <v>15</v>
      </c>
      <c r="J174" t="s">
        <v>66</v>
      </c>
      <c r="K174">
        <v>2023.309999999999</v>
      </c>
    </row>
    <row r="175" spans="1:11" hidden="1" x14ac:dyDescent="0.25">
      <c r="A175" s="70">
        <v>173</v>
      </c>
      <c r="B175" t="s">
        <v>1017</v>
      </c>
      <c r="C175" t="s">
        <v>1017</v>
      </c>
      <c r="D175" t="s">
        <v>35</v>
      </c>
      <c r="E175">
        <v>20.86</v>
      </c>
      <c r="F175" t="s">
        <v>12</v>
      </c>
      <c r="G175" t="s">
        <v>13</v>
      </c>
      <c r="H175" t="s">
        <v>145</v>
      </c>
      <c r="I175" t="s">
        <v>15</v>
      </c>
      <c r="J175" t="s">
        <v>16</v>
      </c>
      <c r="K175">
        <v>2044.1699999999989</v>
      </c>
    </row>
    <row r="176" spans="1:11" hidden="1" x14ac:dyDescent="0.25">
      <c r="A176" s="70">
        <v>174</v>
      </c>
      <c r="B176" t="s">
        <v>1017</v>
      </c>
      <c r="C176" t="s">
        <v>1017</v>
      </c>
      <c r="D176" t="s">
        <v>79</v>
      </c>
      <c r="E176">
        <v>5.99</v>
      </c>
      <c r="F176" t="s">
        <v>20</v>
      </c>
      <c r="G176" t="s">
        <v>80</v>
      </c>
      <c r="H176" t="s">
        <v>145</v>
      </c>
      <c r="I176" t="s">
        <v>15</v>
      </c>
      <c r="J176" t="s">
        <v>23</v>
      </c>
      <c r="K176">
        <v>2050.1599999999989</v>
      </c>
    </row>
    <row r="177" spans="1:11" hidden="1" x14ac:dyDescent="0.25">
      <c r="A177" s="70">
        <v>175</v>
      </c>
      <c r="B177" t="s">
        <v>1018</v>
      </c>
      <c r="C177" t="s">
        <v>1018</v>
      </c>
      <c r="D177" t="s">
        <v>183</v>
      </c>
      <c r="E177">
        <v>5.29</v>
      </c>
      <c r="F177" t="s">
        <v>20</v>
      </c>
      <c r="G177" t="s">
        <v>68</v>
      </c>
      <c r="H177" t="s">
        <v>145</v>
      </c>
      <c r="I177" t="s">
        <v>22</v>
      </c>
      <c r="J177" t="s">
        <v>23</v>
      </c>
      <c r="K177">
        <v>2055.4499999999989</v>
      </c>
    </row>
    <row r="178" spans="1:11" hidden="1" x14ac:dyDescent="0.25">
      <c r="A178" s="70">
        <v>176</v>
      </c>
      <c r="B178" t="s">
        <v>1018</v>
      </c>
      <c r="C178" t="s">
        <v>1018</v>
      </c>
      <c r="D178" t="s">
        <v>184</v>
      </c>
      <c r="E178">
        <v>10</v>
      </c>
      <c r="F178" t="s">
        <v>12</v>
      </c>
      <c r="G178" t="s">
        <v>185</v>
      </c>
      <c r="H178" t="s">
        <v>145</v>
      </c>
      <c r="I178" t="s">
        <v>15</v>
      </c>
      <c r="J178" t="s">
        <v>16</v>
      </c>
      <c r="K178">
        <v>2065.4499999999989</v>
      </c>
    </row>
    <row r="179" spans="1:11" hidden="1" x14ac:dyDescent="0.25">
      <c r="A179" s="70">
        <v>177</v>
      </c>
      <c r="B179" t="s">
        <v>1018</v>
      </c>
      <c r="C179" t="s">
        <v>1018</v>
      </c>
      <c r="D179" t="s">
        <v>186</v>
      </c>
      <c r="E179">
        <v>57.9</v>
      </c>
      <c r="F179" t="s">
        <v>30</v>
      </c>
      <c r="G179" t="s">
        <v>187</v>
      </c>
      <c r="H179" t="s">
        <v>145</v>
      </c>
      <c r="I179" t="s">
        <v>15</v>
      </c>
      <c r="J179" t="s">
        <v>23</v>
      </c>
      <c r="K179">
        <v>2123.349999999999</v>
      </c>
    </row>
    <row r="180" spans="1:11" hidden="1" x14ac:dyDescent="0.25">
      <c r="A180" s="70">
        <v>178</v>
      </c>
      <c r="B180" t="s">
        <v>1018</v>
      </c>
      <c r="C180" t="s">
        <v>1018</v>
      </c>
      <c r="D180" t="s">
        <v>188</v>
      </c>
      <c r="E180">
        <v>126.2</v>
      </c>
      <c r="F180" t="s">
        <v>56</v>
      </c>
      <c r="G180" t="s">
        <v>189</v>
      </c>
      <c r="H180" t="s">
        <v>145</v>
      </c>
      <c r="I180" t="s">
        <v>15</v>
      </c>
      <c r="J180" t="s">
        <v>127</v>
      </c>
      <c r="K180">
        <v>2249.5499999999988</v>
      </c>
    </row>
    <row r="181" spans="1:11" hidden="1" x14ac:dyDescent="0.25">
      <c r="A181" s="70">
        <v>179</v>
      </c>
      <c r="B181" t="s">
        <v>1019</v>
      </c>
      <c r="C181" t="s">
        <v>1019</v>
      </c>
      <c r="D181" t="s">
        <v>190</v>
      </c>
      <c r="E181">
        <v>100</v>
      </c>
      <c r="F181" t="s">
        <v>30</v>
      </c>
      <c r="G181" t="s">
        <v>187</v>
      </c>
      <c r="H181" t="s">
        <v>145</v>
      </c>
      <c r="I181" t="s">
        <v>15</v>
      </c>
      <c r="J181" t="s">
        <v>23</v>
      </c>
      <c r="K181">
        <v>2349.5499999999988</v>
      </c>
    </row>
    <row r="182" spans="1:11" hidden="1" x14ac:dyDescent="0.25">
      <c r="A182" s="70">
        <v>180</v>
      </c>
      <c r="B182" t="s">
        <v>1019</v>
      </c>
      <c r="C182" t="s">
        <v>1019</v>
      </c>
      <c r="D182" t="s">
        <v>191</v>
      </c>
      <c r="E182">
        <v>14.2</v>
      </c>
      <c r="F182" t="s">
        <v>20</v>
      </c>
      <c r="G182" t="s">
        <v>13</v>
      </c>
      <c r="H182" t="s">
        <v>145</v>
      </c>
      <c r="I182" t="s">
        <v>15</v>
      </c>
      <c r="J182" t="s">
        <v>16</v>
      </c>
      <c r="K182">
        <v>2363.7499999999991</v>
      </c>
    </row>
    <row r="183" spans="1:11" hidden="1" x14ac:dyDescent="0.25">
      <c r="A183" s="70">
        <v>181</v>
      </c>
      <c r="B183" t="s">
        <v>1019</v>
      </c>
      <c r="C183" t="s">
        <v>1019</v>
      </c>
      <c r="D183" t="s">
        <v>191</v>
      </c>
      <c r="E183">
        <v>37.5</v>
      </c>
      <c r="F183" t="s">
        <v>20</v>
      </c>
      <c r="G183" t="s">
        <v>13</v>
      </c>
      <c r="H183" t="s">
        <v>145</v>
      </c>
      <c r="I183" t="s">
        <v>15</v>
      </c>
      <c r="J183" t="s">
        <v>16</v>
      </c>
      <c r="K183">
        <v>2401.2499999999991</v>
      </c>
    </row>
    <row r="184" spans="1:11" hidden="1" x14ac:dyDescent="0.25">
      <c r="A184" s="70">
        <v>182</v>
      </c>
      <c r="B184" t="s">
        <v>1020</v>
      </c>
      <c r="C184" t="s">
        <v>1020</v>
      </c>
      <c r="D184" t="s">
        <v>195</v>
      </c>
      <c r="E184">
        <v>54.29</v>
      </c>
      <c r="F184" t="s">
        <v>30</v>
      </c>
      <c r="G184" t="s">
        <v>130</v>
      </c>
      <c r="H184" t="s">
        <v>145</v>
      </c>
      <c r="I184" t="s">
        <v>22</v>
      </c>
      <c r="J184" t="s">
        <v>23</v>
      </c>
      <c r="K184">
        <v>2455.5399999999991</v>
      </c>
    </row>
    <row r="185" spans="1:11" hidden="1" x14ac:dyDescent="0.25">
      <c r="A185" s="70">
        <v>183</v>
      </c>
      <c r="B185" t="s">
        <v>1020</v>
      </c>
      <c r="C185" t="s">
        <v>1020</v>
      </c>
      <c r="D185" t="s">
        <v>194</v>
      </c>
      <c r="E185">
        <v>329.81</v>
      </c>
      <c r="F185" t="s">
        <v>12</v>
      </c>
      <c r="G185" t="s">
        <v>18</v>
      </c>
      <c r="H185" t="s">
        <v>145</v>
      </c>
      <c r="I185" t="s">
        <v>15</v>
      </c>
      <c r="J185" t="s">
        <v>16</v>
      </c>
      <c r="K185">
        <v>2785.349999999999</v>
      </c>
    </row>
    <row r="186" spans="1:11" hidden="1" x14ac:dyDescent="0.25">
      <c r="A186" s="70">
        <v>184</v>
      </c>
      <c r="B186" t="s">
        <v>1021</v>
      </c>
      <c r="C186" t="s">
        <v>1021</v>
      </c>
      <c r="D186" t="s">
        <v>73</v>
      </c>
      <c r="E186">
        <v>13.16</v>
      </c>
      <c r="F186" t="s">
        <v>12</v>
      </c>
      <c r="G186" t="s">
        <v>74</v>
      </c>
      <c r="H186" t="s">
        <v>145</v>
      </c>
      <c r="I186" t="s">
        <v>15</v>
      </c>
      <c r="J186" t="s">
        <v>16</v>
      </c>
      <c r="K186">
        <v>2798.5099999999979</v>
      </c>
    </row>
    <row r="187" spans="1:11" hidden="1" x14ac:dyDescent="0.25">
      <c r="A187" s="70">
        <v>185</v>
      </c>
      <c r="B187" t="s">
        <v>1022</v>
      </c>
      <c r="C187" t="s">
        <v>1022</v>
      </c>
      <c r="D187" t="s">
        <v>36</v>
      </c>
      <c r="E187">
        <v>-734.55</v>
      </c>
      <c r="F187" t="s">
        <v>37</v>
      </c>
      <c r="G187" t="s">
        <v>38</v>
      </c>
      <c r="H187" t="s">
        <v>145</v>
      </c>
      <c r="I187" t="s">
        <v>15</v>
      </c>
      <c r="J187" t="s">
        <v>973</v>
      </c>
      <c r="K187">
        <v>2063.9599999999982</v>
      </c>
    </row>
    <row r="188" spans="1:11" hidden="1" x14ac:dyDescent="0.25">
      <c r="A188" s="70">
        <v>186</v>
      </c>
      <c r="B188" t="s">
        <v>1023</v>
      </c>
      <c r="C188" t="s">
        <v>1023</v>
      </c>
      <c r="D188" t="s">
        <v>199</v>
      </c>
      <c r="E188">
        <v>15</v>
      </c>
      <c r="F188" t="s">
        <v>12</v>
      </c>
      <c r="G188" t="s">
        <v>18</v>
      </c>
      <c r="H188" t="s">
        <v>145</v>
      </c>
      <c r="I188" t="s">
        <v>15</v>
      </c>
      <c r="J188" t="s">
        <v>16</v>
      </c>
      <c r="K188">
        <v>2078.9599999999982</v>
      </c>
    </row>
    <row r="189" spans="1:11" hidden="1" x14ac:dyDescent="0.25">
      <c r="A189" s="70">
        <v>187</v>
      </c>
      <c r="B189" t="s">
        <v>1023</v>
      </c>
      <c r="C189" t="s">
        <v>1023</v>
      </c>
      <c r="D189" t="s">
        <v>198</v>
      </c>
      <c r="E189">
        <v>31.53</v>
      </c>
      <c r="F189" t="s">
        <v>12</v>
      </c>
      <c r="G189" t="s">
        <v>18</v>
      </c>
      <c r="H189" t="s">
        <v>145</v>
      </c>
      <c r="I189" t="s">
        <v>15</v>
      </c>
      <c r="J189" t="s">
        <v>16</v>
      </c>
      <c r="K189">
        <v>2110.489999999998</v>
      </c>
    </row>
    <row r="190" spans="1:11" hidden="1" x14ac:dyDescent="0.25">
      <c r="A190" s="70">
        <v>188</v>
      </c>
      <c r="B190" t="s">
        <v>1023</v>
      </c>
      <c r="C190" t="s">
        <v>1023</v>
      </c>
      <c r="D190" t="s">
        <v>196</v>
      </c>
      <c r="E190">
        <v>239.23</v>
      </c>
      <c r="F190" t="s">
        <v>20</v>
      </c>
      <c r="G190" t="s">
        <v>197</v>
      </c>
      <c r="H190" t="s">
        <v>145</v>
      </c>
      <c r="I190" t="s">
        <v>15</v>
      </c>
      <c r="J190" t="s">
        <v>32</v>
      </c>
      <c r="K190">
        <v>2349.719999999998</v>
      </c>
    </row>
    <row r="191" spans="1:11" hidden="1" x14ac:dyDescent="0.25">
      <c r="A191" s="70">
        <v>189</v>
      </c>
      <c r="B191" t="s">
        <v>1023</v>
      </c>
      <c r="C191" t="s">
        <v>1023</v>
      </c>
      <c r="D191" t="s">
        <v>123</v>
      </c>
      <c r="E191">
        <v>10.41</v>
      </c>
      <c r="F191" t="s">
        <v>12</v>
      </c>
      <c r="G191" t="s">
        <v>13</v>
      </c>
      <c r="H191" t="s">
        <v>145</v>
      </c>
      <c r="I191" t="s">
        <v>15</v>
      </c>
      <c r="J191" t="s">
        <v>16</v>
      </c>
      <c r="K191">
        <v>2360.1299999999978</v>
      </c>
    </row>
    <row r="192" spans="1:11" hidden="1" x14ac:dyDescent="0.25">
      <c r="A192" s="70">
        <v>190</v>
      </c>
      <c r="B192" t="s">
        <v>1024</v>
      </c>
      <c r="C192" t="s">
        <v>1024</v>
      </c>
      <c r="D192" t="s">
        <v>36</v>
      </c>
      <c r="E192">
        <v>-500</v>
      </c>
      <c r="F192" t="s">
        <v>37</v>
      </c>
      <c r="G192" t="s">
        <v>38</v>
      </c>
      <c r="H192" t="s">
        <v>145</v>
      </c>
      <c r="I192" t="s">
        <v>15</v>
      </c>
      <c r="J192" t="s">
        <v>973</v>
      </c>
      <c r="K192">
        <v>1860.1299999999981</v>
      </c>
    </row>
    <row r="193" spans="1:11" hidden="1" x14ac:dyDescent="0.25">
      <c r="A193" s="70">
        <v>191</v>
      </c>
      <c r="B193" t="s">
        <v>1025</v>
      </c>
      <c r="C193" t="s">
        <v>1025</v>
      </c>
      <c r="D193" t="s">
        <v>200</v>
      </c>
      <c r="E193">
        <v>392</v>
      </c>
      <c r="F193" t="s">
        <v>154</v>
      </c>
      <c r="G193" t="s">
        <v>155</v>
      </c>
      <c r="H193" t="s">
        <v>145</v>
      </c>
      <c r="I193" t="s">
        <v>15</v>
      </c>
      <c r="J193" t="s">
        <v>156</v>
      </c>
      <c r="K193">
        <v>2252.1299999999978</v>
      </c>
    </row>
    <row r="194" spans="1:11" hidden="1" x14ac:dyDescent="0.25">
      <c r="A194" s="70">
        <v>192</v>
      </c>
      <c r="B194" t="s">
        <v>1026</v>
      </c>
      <c r="C194" t="s">
        <v>1026</v>
      </c>
      <c r="D194" t="s">
        <v>201</v>
      </c>
      <c r="E194">
        <v>44.2</v>
      </c>
      <c r="F194" t="s">
        <v>12</v>
      </c>
      <c r="G194" t="s">
        <v>18</v>
      </c>
      <c r="H194" t="s">
        <v>145</v>
      </c>
      <c r="I194" t="s">
        <v>15</v>
      </c>
      <c r="J194" t="s">
        <v>16</v>
      </c>
      <c r="K194">
        <v>2296.3299999999981</v>
      </c>
    </row>
    <row r="195" spans="1:11" hidden="1" x14ac:dyDescent="0.25">
      <c r="A195" s="70">
        <v>193</v>
      </c>
      <c r="B195" t="s">
        <v>1026</v>
      </c>
      <c r="C195" t="s">
        <v>1026</v>
      </c>
      <c r="D195" t="s">
        <v>202</v>
      </c>
      <c r="E195">
        <v>10</v>
      </c>
      <c r="F195" t="s">
        <v>56</v>
      </c>
      <c r="G195" t="s">
        <v>203</v>
      </c>
      <c r="H195" t="s">
        <v>145</v>
      </c>
      <c r="I195" t="s">
        <v>15</v>
      </c>
      <c r="J195" t="s">
        <v>42</v>
      </c>
      <c r="K195">
        <v>2306.3299999999981</v>
      </c>
    </row>
    <row r="196" spans="1:11" hidden="1" x14ac:dyDescent="0.25">
      <c r="A196" s="70">
        <v>194</v>
      </c>
      <c r="B196" t="s">
        <v>1026</v>
      </c>
      <c r="C196" t="s">
        <v>1026</v>
      </c>
      <c r="D196" t="s">
        <v>204</v>
      </c>
      <c r="E196">
        <v>12</v>
      </c>
      <c r="F196" t="s">
        <v>12</v>
      </c>
      <c r="G196" t="s">
        <v>18</v>
      </c>
      <c r="H196" t="s">
        <v>145</v>
      </c>
      <c r="I196" t="s">
        <v>15</v>
      </c>
      <c r="J196" t="s">
        <v>16</v>
      </c>
      <c r="K196">
        <v>2318.3299999999981</v>
      </c>
    </row>
    <row r="197" spans="1:11" hidden="1" x14ac:dyDescent="0.25">
      <c r="A197" s="70">
        <v>195</v>
      </c>
      <c r="B197" t="s">
        <v>1026</v>
      </c>
      <c r="C197" t="s">
        <v>1026</v>
      </c>
      <c r="D197" t="s">
        <v>206</v>
      </c>
      <c r="E197">
        <v>16</v>
      </c>
      <c r="F197" t="s">
        <v>12</v>
      </c>
      <c r="G197" t="s">
        <v>18</v>
      </c>
      <c r="H197" t="s">
        <v>145</v>
      </c>
      <c r="I197" t="s">
        <v>15</v>
      </c>
      <c r="J197" t="s">
        <v>16</v>
      </c>
      <c r="K197">
        <v>2334.3299999999981</v>
      </c>
    </row>
    <row r="198" spans="1:11" hidden="1" x14ac:dyDescent="0.25">
      <c r="A198" s="70">
        <v>196</v>
      </c>
      <c r="B198" t="s">
        <v>1026</v>
      </c>
      <c r="C198" t="s">
        <v>1026</v>
      </c>
      <c r="D198" t="s">
        <v>205</v>
      </c>
      <c r="E198">
        <v>3.81</v>
      </c>
      <c r="F198" t="s">
        <v>12</v>
      </c>
      <c r="G198" t="s">
        <v>18</v>
      </c>
      <c r="H198" t="s">
        <v>145</v>
      </c>
      <c r="I198" t="s">
        <v>15</v>
      </c>
      <c r="J198" t="s">
        <v>16</v>
      </c>
      <c r="K198">
        <v>2338.1399999999981</v>
      </c>
    </row>
    <row r="199" spans="1:11" hidden="1" x14ac:dyDescent="0.25">
      <c r="A199" s="70">
        <v>197</v>
      </c>
      <c r="B199" t="s">
        <v>1026</v>
      </c>
      <c r="C199" t="s">
        <v>1026</v>
      </c>
      <c r="D199" t="s">
        <v>207</v>
      </c>
      <c r="E199">
        <v>19.12</v>
      </c>
      <c r="F199" t="s">
        <v>12</v>
      </c>
      <c r="G199" t="s">
        <v>18</v>
      </c>
      <c r="H199" t="s">
        <v>145</v>
      </c>
      <c r="I199" t="s">
        <v>15</v>
      </c>
      <c r="J199" t="s">
        <v>16</v>
      </c>
      <c r="K199">
        <v>2357.2599999999979</v>
      </c>
    </row>
    <row r="200" spans="1:11" hidden="1" x14ac:dyDescent="0.25">
      <c r="A200" s="70">
        <v>198</v>
      </c>
      <c r="B200" t="s">
        <v>788</v>
      </c>
      <c r="C200" t="s">
        <v>788</v>
      </c>
      <c r="D200" t="s">
        <v>208</v>
      </c>
      <c r="E200">
        <v>24.57</v>
      </c>
      <c r="F200" t="s">
        <v>20</v>
      </c>
      <c r="G200" t="s">
        <v>34</v>
      </c>
      <c r="H200" t="s">
        <v>145</v>
      </c>
      <c r="I200" t="s">
        <v>15</v>
      </c>
      <c r="J200" t="s">
        <v>32</v>
      </c>
      <c r="K200">
        <v>2381.8299999999981</v>
      </c>
    </row>
    <row r="201" spans="1:11" hidden="1" x14ac:dyDescent="0.25">
      <c r="A201" s="70">
        <v>199</v>
      </c>
      <c r="B201" t="s">
        <v>1027</v>
      </c>
      <c r="C201" t="s">
        <v>1027</v>
      </c>
      <c r="D201" t="s">
        <v>209</v>
      </c>
      <c r="E201">
        <v>41.81</v>
      </c>
      <c r="F201" t="s">
        <v>12</v>
      </c>
      <c r="G201" t="s">
        <v>13</v>
      </c>
      <c r="H201" t="s">
        <v>145</v>
      </c>
      <c r="I201" t="s">
        <v>15</v>
      </c>
      <c r="J201" t="s">
        <v>16</v>
      </c>
      <c r="K201">
        <v>2423.6399999999981</v>
      </c>
    </row>
    <row r="202" spans="1:11" hidden="1" x14ac:dyDescent="0.25">
      <c r="A202" s="70">
        <v>200</v>
      </c>
      <c r="B202" t="s">
        <v>1027</v>
      </c>
      <c r="C202" t="s">
        <v>1027</v>
      </c>
      <c r="D202" t="s">
        <v>210</v>
      </c>
      <c r="E202">
        <v>77</v>
      </c>
      <c r="F202" t="s">
        <v>20</v>
      </c>
      <c r="G202" t="s">
        <v>18</v>
      </c>
      <c r="H202" t="s">
        <v>145</v>
      </c>
      <c r="I202" t="s">
        <v>15</v>
      </c>
      <c r="J202" t="s">
        <v>16</v>
      </c>
      <c r="K202">
        <v>2500.6399999999981</v>
      </c>
    </row>
    <row r="203" spans="1:11" hidden="1" x14ac:dyDescent="0.25">
      <c r="A203" s="70">
        <v>201</v>
      </c>
      <c r="B203" t="s">
        <v>1028</v>
      </c>
      <c r="C203" t="s">
        <v>1029</v>
      </c>
      <c r="D203" t="s">
        <v>215</v>
      </c>
      <c r="E203">
        <v>79.989999999999995</v>
      </c>
      <c r="F203" t="s">
        <v>20</v>
      </c>
      <c r="G203" t="s">
        <v>216</v>
      </c>
      <c r="H203" t="s">
        <v>145</v>
      </c>
      <c r="I203" t="s">
        <v>22</v>
      </c>
      <c r="J203" t="s">
        <v>23</v>
      </c>
      <c r="K203">
        <v>2580.6299999999978</v>
      </c>
    </row>
    <row r="204" spans="1:11" hidden="1" x14ac:dyDescent="0.25">
      <c r="A204" s="70">
        <v>202</v>
      </c>
      <c r="B204" t="s">
        <v>1028</v>
      </c>
      <c r="C204" t="s">
        <v>1028</v>
      </c>
      <c r="D204" t="s">
        <v>123</v>
      </c>
      <c r="E204">
        <v>29.83</v>
      </c>
      <c r="F204" t="s">
        <v>12</v>
      </c>
      <c r="G204" t="s">
        <v>13</v>
      </c>
      <c r="H204" t="s">
        <v>145</v>
      </c>
      <c r="I204" t="s">
        <v>15</v>
      </c>
      <c r="J204" t="s">
        <v>16</v>
      </c>
      <c r="K204">
        <v>2610.4599999999982</v>
      </c>
    </row>
    <row r="205" spans="1:11" hidden="1" x14ac:dyDescent="0.25">
      <c r="A205" s="70">
        <v>203</v>
      </c>
      <c r="B205" t="s">
        <v>1030</v>
      </c>
      <c r="C205" t="s">
        <v>1029</v>
      </c>
      <c r="D205" t="s">
        <v>19</v>
      </c>
      <c r="E205">
        <v>16.420000000000002</v>
      </c>
      <c r="F205" t="s">
        <v>20</v>
      </c>
      <c r="G205" t="s">
        <v>21</v>
      </c>
      <c r="H205" t="s">
        <v>233</v>
      </c>
      <c r="I205" t="s">
        <v>22</v>
      </c>
      <c r="J205" t="s">
        <v>23</v>
      </c>
      <c r="K205">
        <v>2626.8799999999978</v>
      </c>
    </row>
    <row r="206" spans="1:11" x14ac:dyDescent="0.25">
      <c r="A206" s="70">
        <v>204</v>
      </c>
      <c r="B206" t="s">
        <v>1030</v>
      </c>
      <c r="C206" t="s">
        <v>1029</v>
      </c>
      <c r="D206" t="s">
        <v>234</v>
      </c>
      <c r="E206">
        <v>9.99</v>
      </c>
      <c r="F206" t="s">
        <v>20</v>
      </c>
      <c r="G206" t="s">
        <v>25</v>
      </c>
      <c r="H206" t="s">
        <v>233</v>
      </c>
      <c r="I206" t="s">
        <v>22</v>
      </c>
      <c r="J206" t="s">
        <v>23</v>
      </c>
      <c r="K206">
        <v>2636.8699999999981</v>
      </c>
    </row>
    <row r="207" spans="1:11" hidden="1" x14ac:dyDescent="0.25">
      <c r="A207" s="70">
        <v>205</v>
      </c>
      <c r="B207" t="s">
        <v>1031</v>
      </c>
      <c r="C207" t="s">
        <v>1029</v>
      </c>
      <c r="D207" t="s">
        <v>77</v>
      </c>
      <c r="E207">
        <v>10</v>
      </c>
      <c r="F207" t="s">
        <v>20</v>
      </c>
      <c r="G207" t="s">
        <v>78</v>
      </c>
      <c r="H207" t="s">
        <v>233</v>
      </c>
      <c r="I207" t="s">
        <v>22</v>
      </c>
      <c r="J207" t="s">
        <v>23</v>
      </c>
      <c r="K207">
        <v>2646.8699999999981</v>
      </c>
    </row>
    <row r="208" spans="1:11" hidden="1" x14ac:dyDescent="0.25">
      <c r="A208" s="70">
        <v>206</v>
      </c>
      <c r="B208" t="s">
        <v>1029</v>
      </c>
      <c r="C208" t="s">
        <v>1029</v>
      </c>
      <c r="D208" t="s">
        <v>100</v>
      </c>
      <c r="E208">
        <v>12.99</v>
      </c>
      <c r="F208" t="s">
        <v>56</v>
      </c>
      <c r="G208" t="s">
        <v>101</v>
      </c>
      <c r="H208" t="s">
        <v>233</v>
      </c>
      <c r="I208" t="s">
        <v>22</v>
      </c>
      <c r="J208" t="s">
        <v>23</v>
      </c>
      <c r="K208">
        <v>2659.8599999999969</v>
      </c>
    </row>
    <row r="209" spans="1:11" hidden="1" x14ac:dyDescent="0.25">
      <c r="A209" s="70">
        <v>207</v>
      </c>
      <c r="B209" t="s">
        <v>1032</v>
      </c>
      <c r="C209" t="s">
        <v>1032</v>
      </c>
      <c r="D209" t="s">
        <v>278</v>
      </c>
      <c r="E209">
        <v>17.63</v>
      </c>
      <c r="F209" t="s">
        <v>20</v>
      </c>
      <c r="G209" t="s">
        <v>27</v>
      </c>
      <c r="H209" t="s">
        <v>233</v>
      </c>
      <c r="I209" t="s">
        <v>15</v>
      </c>
      <c r="J209" t="s">
        <v>32</v>
      </c>
      <c r="K209">
        <v>2677.489999999998</v>
      </c>
    </row>
    <row r="210" spans="1:11" hidden="1" x14ac:dyDescent="0.25">
      <c r="A210" s="70">
        <v>208</v>
      </c>
      <c r="B210" t="s">
        <v>1032</v>
      </c>
      <c r="C210" t="s">
        <v>1032</v>
      </c>
      <c r="D210" t="s">
        <v>104</v>
      </c>
      <c r="E210">
        <v>50.32</v>
      </c>
      <c r="F210" t="s">
        <v>53</v>
      </c>
      <c r="G210" t="s">
        <v>54</v>
      </c>
      <c r="H210" t="s">
        <v>233</v>
      </c>
      <c r="I210" t="s">
        <v>15</v>
      </c>
      <c r="J210" t="s">
        <v>16</v>
      </c>
      <c r="K210">
        <v>2727.8099999999981</v>
      </c>
    </row>
    <row r="211" spans="1:11" hidden="1" x14ac:dyDescent="0.25">
      <c r="A211" s="70">
        <v>209</v>
      </c>
      <c r="B211" t="s">
        <v>1033</v>
      </c>
      <c r="C211" t="s">
        <v>1033</v>
      </c>
      <c r="D211" t="s">
        <v>108</v>
      </c>
      <c r="E211">
        <v>79.38</v>
      </c>
      <c r="F211" t="s">
        <v>20</v>
      </c>
      <c r="G211" t="s">
        <v>109</v>
      </c>
      <c r="H211" t="s">
        <v>233</v>
      </c>
      <c r="I211" t="s">
        <v>22</v>
      </c>
      <c r="J211" t="s">
        <v>110</v>
      </c>
      <c r="K211">
        <v>2807.1899999999978</v>
      </c>
    </row>
    <row r="212" spans="1:11" hidden="1" x14ac:dyDescent="0.25">
      <c r="A212" s="70">
        <v>210</v>
      </c>
      <c r="B212" t="s">
        <v>1034</v>
      </c>
      <c r="C212" t="s">
        <v>1034</v>
      </c>
      <c r="D212" t="s">
        <v>279</v>
      </c>
      <c r="E212">
        <v>10.59</v>
      </c>
      <c r="F212" t="s">
        <v>20</v>
      </c>
      <c r="G212" t="s">
        <v>143</v>
      </c>
      <c r="H212" t="s">
        <v>233</v>
      </c>
      <c r="I212" t="s">
        <v>22</v>
      </c>
      <c r="J212" t="s">
        <v>23</v>
      </c>
      <c r="K212">
        <v>2817.7799999999979</v>
      </c>
    </row>
    <row r="213" spans="1:11" hidden="1" x14ac:dyDescent="0.25">
      <c r="A213" s="70">
        <v>211</v>
      </c>
      <c r="B213" t="s">
        <v>1034</v>
      </c>
      <c r="C213" t="s">
        <v>1034</v>
      </c>
      <c r="D213" t="s">
        <v>280</v>
      </c>
      <c r="E213">
        <v>44</v>
      </c>
      <c r="F213" t="s">
        <v>20</v>
      </c>
      <c r="G213" t="s">
        <v>281</v>
      </c>
      <c r="H213" t="s">
        <v>233</v>
      </c>
      <c r="I213" t="s">
        <v>15</v>
      </c>
      <c r="J213" t="s">
        <v>23</v>
      </c>
      <c r="K213">
        <v>2861.7799999999979</v>
      </c>
    </row>
    <row r="214" spans="1:11" hidden="1" x14ac:dyDescent="0.25">
      <c r="A214" s="70">
        <v>212</v>
      </c>
      <c r="B214" t="s">
        <v>1035</v>
      </c>
      <c r="C214" t="s">
        <v>1035</v>
      </c>
      <c r="D214" t="s">
        <v>266</v>
      </c>
      <c r="E214">
        <v>4.76</v>
      </c>
      <c r="F214" t="s">
        <v>20</v>
      </c>
      <c r="G214" t="s">
        <v>34</v>
      </c>
      <c r="H214" t="s">
        <v>233</v>
      </c>
      <c r="I214" t="s">
        <v>15</v>
      </c>
      <c r="J214" t="s">
        <v>32</v>
      </c>
      <c r="K214">
        <v>2866.5399999999981</v>
      </c>
    </row>
    <row r="215" spans="1:11" hidden="1" x14ac:dyDescent="0.25">
      <c r="A215" s="70">
        <v>213</v>
      </c>
      <c r="B215" t="s">
        <v>1035</v>
      </c>
      <c r="C215" t="s">
        <v>1035</v>
      </c>
      <c r="D215" t="s">
        <v>255</v>
      </c>
      <c r="E215">
        <v>32.549999999999997</v>
      </c>
      <c r="F215" t="s">
        <v>30</v>
      </c>
      <c r="G215" t="s">
        <v>76</v>
      </c>
      <c r="H215" t="s">
        <v>233</v>
      </c>
      <c r="I215" t="s">
        <v>15</v>
      </c>
      <c r="J215" t="s">
        <v>42</v>
      </c>
      <c r="K215">
        <v>2899.0899999999979</v>
      </c>
    </row>
    <row r="216" spans="1:11" hidden="1" x14ac:dyDescent="0.25">
      <c r="A216" s="70">
        <v>214</v>
      </c>
      <c r="B216" t="s">
        <v>1035</v>
      </c>
      <c r="C216" t="s">
        <v>1035</v>
      </c>
      <c r="D216" t="s">
        <v>255</v>
      </c>
      <c r="E216">
        <v>11.13</v>
      </c>
      <c r="F216" t="s">
        <v>30</v>
      </c>
      <c r="G216" t="s">
        <v>76</v>
      </c>
      <c r="H216" t="s">
        <v>233</v>
      </c>
      <c r="I216" t="s">
        <v>15</v>
      </c>
      <c r="J216" t="s">
        <v>42</v>
      </c>
      <c r="K216">
        <v>2910.219999999998</v>
      </c>
    </row>
    <row r="217" spans="1:11" hidden="1" x14ac:dyDescent="0.25">
      <c r="A217" s="70">
        <v>215</v>
      </c>
      <c r="B217" t="s">
        <v>1035</v>
      </c>
      <c r="C217" t="s">
        <v>1035</v>
      </c>
      <c r="D217" t="s">
        <v>282</v>
      </c>
      <c r="E217">
        <v>100</v>
      </c>
      <c r="F217" t="s">
        <v>12</v>
      </c>
      <c r="G217" t="s">
        <v>13</v>
      </c>
      <c r="H217" t="s">
        <v>233</v>
      </c>
      <c r="I217" t="s">
        <v>15</v>
      </c>
      <c r="J217" t="s">
        <v>16</v>
      </c>
      <c r="K217">
        <v>3010.219999999998</v>
      </c>
    </row>
    <row r="218" spans="1:11" hidden="1" x14ac:dyDescent="0.25">
      <c r="A218" s="70">
        <v>216</v>
      </c>
      <c r="B218" t="s">
        <v>1035</v>
      </c>
      <c r="C218" t="s">
        <v>1035</v>
      </c>
      <c r="D218" t="s">
        <v>36</v>
      </c>
      <c r="E218">
        <v>-934.85</v>
      </c>
      <c r="F218" t="s">
        <v>37</v>
      </c>
      <c r="G218" t="s">
        <v>38</v>
      </c>
      <c r="H218" t="s">
        <v>233</v>
      </c>
      <c r="I218" t="s">
        <v>15</v>
      </c>
      <c r="J218" t="s">
        <v>973</v>
      </c>
      <c r="K218">
        <v>2075.369999999999</v>
      </c>
    </row>
    <row r="219" spans="1:11" hidden="1" x14ac:dyDescent="0.25">
      <c r="A219" s="70">
        <v>217</v>
      </c>
      <c r="B219" t="s">
        <v>1035</v>
      </c>
      <c r="C219" t="s">
        <v>1035</v>
      </c>
      <c r="D219" t="s">
        <v>43</v>
      </c>
      <c r="E219">
        <v>-65.150000000000006</v>
      </c>
      <c r="F219" t="s">
        <v>44</v>
      </c>
      <c r="G219" t="s">
        <v>45</v>
      </c>
      <c r="H219" t="s">
        <v>233</v>
      </c>
      <c r="I219" t="s">
        <v>15</v>
      </c>
      <c r="J219" t="s">
        <v>973</v>
      </c>
      <c r="K219">
        <v>2010.219999999998</v>
      </c>
    </row>
    <row r="220" spans="1:11" hidden="1" x14ac:dyDescent="0.25">
      <c r="A220" s="70">
        <v>218</v>
      </c>
      <c r="B220" t="s">
        <v>1035</v>
      </c>
      <c r="C220" t="s">
        <v>1035</v>
      </c>
      <c r="D220" t="s">
        <v>283</v>
      </c>
      <c r="E220">
        <v>50</v>
      </c>
      <c r="F220" t="s">
        <v>56</v>
      </c>
      <c r="G220" t="s">
        <v>284</v>
      </c>
      <c r="H220" t="s">
        <v>233</v>
      </c>
      <c r="I220" t="s">
        <v>22</v>
      </c>
      <c r="J220" t="s">
        <v>23</v>
      </c>
      <c r="K220">
        <v>2060.219999999998</v>
      </c>
    </row>
    <row r="221" spans="1:11" hidden="1" x14ac:dyDescent="0.25">
      <c r="A221" s="70">
        <v>219</v>
      </c>
      <c r="B221" t="s">
        <v>1035</v>
      </c>
      <c r="C221" t="s">
        <v>1035</v>
      </c>
      <c r="D221" t="s">
        <v>104</v>
      </c>
      <c r="E221">
        <v>58.52</v>
      </c>
      <c r="F221" t="s">
        <v>53</v>
      </c>
      <c r="G221" t="s">
        <v>54</v>
      </c>
      <c r="H221" t="s">
        <v>233</v>
      </c>
      <c r="I221" t="s">
        <v>15</v>
      </c>
      <c r="J221" t="s">
        <v>16</v>
      </c>
      <c r="K221">
        <v>2118.739999999998</v>
      </c>
    </row>
    <row r="222" spans="1:11" hidden="1" x14ac:dyDescent="0.25">
      <c r="A222" s="70">
        <v>220</v>
      </c>
      <c r="B222" t="s">
        <v>1036</v>
      </c>
      <c r="C222" t="s">
        <v>1036</v>
      </c>
      <c r="D222" t="s">
        <v>112</v>
      </c>
      <c r="E222">
        <v>4.99</v>
      </c>
      <c r="F222" t="s">
        <v>20</v>
      </c>
      <c r="G222" t="s">
        <v>113</v>
      </c>
      <c r="H222" t="s">
        <v>233</v>
      </c>
      <c r="I222" t="s">
        <v>22</v>
      </c>
      <c r="J222" t="s">
        <v>23</v>
      </c>
      <c r="K222">
        <v>2123.7299999999982</v>
      </c>
    </row>
    <row r="223" spans="1:11" hidden="1" x14ac:dyDescent="0.25">
      <c r="A223" s="70">
        <v>221</v>
      </c>
      <c r="B223" t="s">
        <v>1037</v>
      </c>
      <c r="C223" t="s">
        <v>1037</v>
      </c>
      <c r="D223" t="s">
        <v>285</v>
      </c>
      <c r="E223">
        <v>23.35</v>
      </c>
      <c r="F223" t="s">
        <v>12</v>
      </c>
      <c r="G223" t="s">
        <v>13</v>
      </c>
      <c r="H223" t="s">
        <v>233</v>
      </c>
      <c r="I223" t="s">
        <v>15</v>
      </c>
      <c r="J223" t="s">
        <v>16</v>
      </c>
      <c r="K223">
        <v>2147.0799999999981</v>
      </c>
    </row>
    <row r="224" spans="1:11" hidden="1" x14ac:dyDescent="0.25">
      <c r="A224" s="70">
        <v>222</v>
      </c>
      <c r="B224" t="s">
        <v>1037</v>
      </c>
      <c r="C224" t="s">
        <v>1037</v>
      </c>
      <c r="D224" t="s">
        <v>238</v>
      </c>
      <c r="E224">
        <v>5.53</v>
      </c>
      <c r="F224" t="s">
        <v>30</v>
      </c>
      <c r="G224" t="s">
        <v>147</v>
      </c>
      <c r="H224" t="s">
        <v>233</v>
      </c>
      <c r="I224" t="s">
        <v>15</v>
      </c>
      <c r="J224" t="s">
        <v>23</v>
      </c>
      <c r="K224">
        <v>2152.6099999999979</v>
      </c>
    </row>
    <row r="225" spans="1:11" hidden="1" x14ac:dyDescent="0.25">
      <c r="A225" s="70">
        <v>223</v>
      </c>
      <c r="B225" t="s">
        <v>1037</v>
      </c>
      <c r="C225" t="s">
        <v>1037</v>
      </c>
      <c r="D225" t="s">
        <v>238</v>
      </c>
      <c r="E225">
        <v>12.9</v>
      </c>
      <c r="F225" t="s">
        <v>30</v>
      </c>
      <c r="G225" t="s">
        <v>147</v>
      </c>
      <c r="H225" t="s">
        <v>233</v>
      </c>
      <c r="I225" t="s">
        <v>15</v>
      </c>
      <c r="J225" t="s">
        <v>23</v>
      </c>
      <c r="K225">
        <v>2165.5099999999979</v>
      </c>
    </row>
    <row r="226" spans="1:11" hidden="1" x14ac:dyDescent="0.25">
      <c r="A226" s="70">
        <v>224</v>
      </c>
      <c r="B226" t="s">
        <v>1037</v>
      </c>
      <c r="C226" t="s">
        <v>1037</v>
      </c>
      <c r="D226" t="s">
        <v>286</v>
      </c>
      <c r="E226">
        <v>172.67</v>
      </c>
      <c r="F226" t="s">
        <v>20</v>
      </c>
      <c r="G226" t="s">
        <v>27</v>
      </c>
      <c r="H226" t="s">
        <v>233</v>
      </c>
      <c r="I226" t="s">
        <v>15</v>
      </c>
      <c r="J226" t="s">
        <v>32</v>
      </c>
      <c r="K226">
        <v>2338.179999999998</v>
      </c>
    </row>
    <row r="227" spans="1:11" hidden="1" x14ac:dyDescent="0.25">
      <c r="A227" s="70">
        <v>225</v>
      </c>
      <c r="B227" t="s">
        <v>1037</v>
      </c>
      <c r="C227" t="s">
        <v>1037</v>
      </c>
      <c r="D227" t="s">
        <v>287</v>
      </c>
      <c r="E227">
        <v>15.5</v>
      </c>
      <c r="F227" t="s">
        <v>30</v>
      </c>
      <c r="G227" t="s">
        <v>147</v>
      </c>
      <c r="H227" t="s">
        <v>233</v>
      </c>
      <c r="I227" t="s">
        <v>15</v>
      </c>
      <c r="J227" t="s">
        <v>23</v>
      </c>
      <c r="K227">
        <v>2353.679999999998</v>
      </c>
    </row>
    <row r="228" spans="1:11" hidden="1" x14ac:dyDescent="0.25">
      <c r="A228" s="70">
        <v>226</v>
      </c>
      <c r="B228" t="s">
        <v>1037</v>
      </c>
      <c r="C228" t="s">
        <v>1037</v>
      </c>
      <c r="D228" t="s">
        <v>255</v>
      </c>
      <c r="E228">
        <v>12.64</v>
      </c>
      <c r="F228" t="s">
        <v>30</v>
      </c>
      <c r="G228" t="s">
        <v>76</v>
      </c>
      <c r="H228" t="s">
        <v>233</v>
      </c>
      <c r="I228" t="s">
        <v>15</v>
      </c>
      <c r="J228" t="s">
        <v>42</v>
      </c>
      <c r="K228">
        <v>2366.3199999999979</v>
      </c>
    </row>
    <row r="229" spans="1:11" hidden="1" x14ac:dyDescent="0.25">
      <c r="A229" s="70">
        <v>227</v>
      </c>
      <c r="B229" t="s">
        <v>1038</v>
      </c>
      <c r="C229" t="s">
        <v>1038</v>
      </c>
      <c r="D229" t="s">
        <v>236</v>
      </c>
      <c r="E229">
        <v>5</v>
      </c>
      <c r="F229" t="s">
        <v>30</v>
      </c>
      <c r="G229" t="s">
        <v>76</v>
      </c>
      <c r="H229" t="s">
        <v>233</v>
      </c>
      <c r="I229" t="s">
        <v>15</v>
      </c>
      <c r="J229" t="s">
        <v>42</v>
      </c>
      <c r="K229">
        <v>2371.3199999999979</v>
      </c>
    </row>
    <row r="230" spans="1:11" hidden="1" x14ac:dyDescent="0.25">
      <c r="A230" s="70">
        <v>228</v>
      </c>
      <c r="B230" t="s">
        <v>1038</v>
      </c>
      <c r="C230" t="s">
        <v>1038</v>
      </c>
      <c r="D230" t="s">
        <v>237</v>
      </c>
      <c r="E230">
        <v>11.19</v>
      </c>
      <c r="F230" t="s">
        <v>30</v>
      </c>
      <c r="G230" t="s">
        <v>76</v>
      </c>
      <c r="H230" t="s">
        <v>233</v>
      </c>
      <c r="I230" t="s">
        <v>15</v>
      </c>
      <c r="J230" t="s">
        <v>42</v>
      </c>
      <c r="K230">
        <v>2382.5099999999979</v>
      </c>
    </row>
    <row r="231" spans="1:11" hidden="1" x14ac:dyDescent="0.25">
      <c r="A231" s="70">
        <v>229</v>
      </c>
      <c r="B231" t="s">
        <v>1038</v>
      </c>
      <c r="C231" t="s">
        <v>1038</v>
      </c>
      <c r="D231" t="s">
        <v>79</v>
      </c>
      <c r="E231">
        <v>9.99</v>
      </c>
      <c r="F231" t="s">
        <v>20</v>
      </c>
      <c r="G231" t="s">
        <v>80</v>
      </c>
      <c r="H231" t="s">
        <v>233</v>
      </c>
      <c r="I231" t="s">
        <v>15</v>
      </c>
      <c r="J231" t="s">
        <v>23</v>
      </c>
      <c r="K231">
        <v>2392.4999999999982</v>
      </c>
    </row>
    <row r="232" spans="1:11" hidden="1" x14ac:dyDescent="0.25">
      <c r="A232" s="70">
        <v>230</v>
      </c>
      <c r="B232" t="s">
        <v>1038</v>
      </c>
      <c r="C232" t="s">
        <v>1038</v>
      </c>
      <c r="D232" t="s">
        <v>235</v>
      </c>
      <c r="E232">
        <v>15.89</v>
      </c>
      <c r="F232" t="s">
        <v>20</v>
      </c>
      <c r="G232" t="s">
        <v>49</v>
      </c>
      <c r="H232" t="s">
        <v>233</v>
      </c>
      <c r="I232" t="s">
        <v>22</v>
      </c>
      <c r="J232" t="s">
        <v>23</v>
      </c>
      <c r="K232">
        <v>2408.3899999999981</v>
      </c>
    </row>
    <row r="233" spans="1:11" hidden="1" x14ac:dyDescent="0.25">
      <c r="A233" s="70">
        <v>231</v>
      </c>
      <c r="B233" t="s">
        <v>1038</v>
      </c>
      <c r="C233" t="s">
        <v>1038</v>
      </c>
      <c r="D233" t="s">
        <v>238</v>
      </c>
      <c r="E233">
        <v>12.9</v>
      </c>
      <c r="F233" t="s">
        <v>30</v>
      </c>
      <c r="G233" t="s">
        <v>147</v>
      </c>
      <c r="H233" t="s">
        <v>233</v>
      </c>
      <c r="I233" t="s">
        <v>15</v>
      </c>
      <c r="J233" t="s">
        <v>23</v>
      </c>
      <c r="K233">
        <v>2421.2899999999981</v>
      </c>
    </row>
    <row r="234" spans="1:11" hidden="1" x14ac:dyDescent="0.25">
      <c r="A234" s="70">
        <v>232</v>
      </c>
      <c r="B234" t="s">
        <v>1039</v>
      </c>
      <c r="C234" t="s">
        <v>1039</v>
      </c>
      <c r="D234" t="s">
        <v>241</v>
      </c>
      <c r="E234">
        <v>57.55</v>
      </c>
      <c r="F234" t="s">
        <v>20</v>
      </c>
      <c r="G234" t="s">
        <v>27</v>
      </c>
      <c r="H234" t="s">
        <v>233</v>
      </c>
      <c r="I234" t="s">
        <v>15</v>
      </c>
      <c r="J234" t="s">
        <v>32</v>
      </c>
      <c r="K234">
        <v>2478.8399999999979</v>
      </c>
    </row>
    <row r="235" spans="1:11" hidden="1" x14ac:dyDescent="0.25">
      <c r="A235" s="70">
        <v>233</v>
      </c>
      <c r="B235" t="s">
        <v>1039</v>
      </c>
      <c r="C235" t="s">
        <v>1039</v>
      </c>
      <c r="D235" t="s">
        <v>240</v>
      </c>
      <c r="E235">
        <v>8</v>
      </c>
      <c r="F235" t="s">
        <v>30</v>
      </c>
      <c r="G235" t="s">
        <v>59</v>
      </c>
      <c r="H235" t="s">
        <v>233</v>
      </c>
      <c r="I235" t="s">
        <v>15</v>
      </c>
      <c r="J235" t="s">
        <v>60</v>
      </c>
      <c r="K235">
        <v>2486.8399999999979</v>
      </c>
    </row>
    <row r="236" spans="1:11" hidden="1" x14ac:dyDescent="0.25">
      <c r="A236" s="70">
        <v>234</v>
      </c>
      <c r="B236" t="s">
        <v>1039</v>
      </c>
      <c r="C236" t="s">
        <v>1039</v>
      </c>
      <c r="D236" t="s">
        <v>239</v>
      </c>
      <c r="E236">
        <v>42.43</v>
      </c>
      <c r="F236" t="s">
        <v>12</v>
      </c>
      <c r="G236" t="s">
        <v>13</v>
      </c>
      <c r="H236" t="s">
        <v>233</v>
      </c>
      <c r="I236" t="s">
        <v>15</v>
      </c>
      <c r="J236" t="s">
        <v>16</v>
      </c>
      <c r="K236">
        <v>2529.2699999999982</v>
      </c>
    </row>
    <row r="237" spans="1:11" hidden="1" x14ac:dyDescent="0.25">
      <c r="A237" s="70">
        <v>235</v>
      </c>
      <c r="B237" t="s">
        <v>1039</v>
      </c>
      <c r="C237" t="s">
        <v>1039</v>
      </c>
      <c r="D237" t="s">
        <v>242</v>
      </c>
      <c r="E237">
        <v>15.89</v>
      </c>
      <c r="F237" t="s">
        <v>56</v>
      </c>
      <c r="G237" t="s">
        <v>130</v>
      </c>
      <c r="H237" t="s">
        <v>233</v>
      </c>
      <c r="I237" t="s">
        <v>22</v>
      </c>
      <c r="J237" t="s">
        <v>23</v>
      </c>
      <c r="K237">
        <v>2545.159999999998</v>
      </c>
    </row>
    <row r="238" spans="1:11" hidden="1" x14ac:dyDescent="0.25">
      <c r="A238" s="70">
        <v>236</v>
      </c>
      <c r="B238" t="s">
        <v>1039</v>
      </c>
      <c r="C238" t="s">
        <v>1039</v>
      </c>
      <c r="D238" t="s">
        <v>237</v>
      </c>
      <c r="E238">
        <v>14.86</v>
      </c>
      <c r="F238" t="s">
        <v>30</v>
      </c>
      <c r="G238" t="s">
        <v>76</v>
      </c>
      <c r="H238" t="s">
        <v>233</v>
      </c>
      <c r="I238" t="s">
        <v>15</v>
      </c>
      <c r="J238" t="s">
        <v>42</v>
      </c>
      <c r="K238">
        <v>2560.0199999999982</v>
      </c>
    </row>
    <row r="239" spans="1:11" hidden="1" x14ac:dyDescent="0.25">
      <c r="A239" s="70">
        <v>237</v>
      </c>
      <c r="B239" t="s">
        <v>1039</v>
      </c>
      <c r="C239" t="s">
        <v>1039</v>
      </c>
      <c r="D239" t="s">
        <v>236</v>
      </c>
      <c r="E239">
        <v>5</v>
      </c>
      <c r="F239" t="s">
        <v>30</v>
      </c>
      <c r="G239" t="s">
        <v>76</v>
      </c>
      <c r="H239" t="s">
        <v>233</v>
      </c>
      <c r="I239" t="s">
        <v>15</v>
      </c>
      <c r="J239" t="s">
        <v>42</v>
      </c>
      <c r="K239">
        <v>2565.0199999999982</v>
      </c>
    </row>
    <row r="240" spans="1:11" hidden="1" x14ac:dyDescent="0.25">
      <c r="A240" s="70">
        <v>238</v>
      </c>
      <c r="B240" t="s">
        <v>1040</v>
      </c>
      <c r="C240" t="s">
        <v>1040</v>
      </c>
      <c r="D240" t="s">
        <v>246</v>
      </c>
      <c r="E240">
        <v>30</v>
      </c>
      <c r="F240" t="s">
        <v>20</v>
      </c>
      <c r="G240" t="s">
        <v>27</v>
      </c>
      <c r="H240" t="s">
        <v>233</v>
      </c>
      <c r="I240" t="s">
        <v>15</v>
      </c>
      <c r="J240" t="s">
        <v>32</v>
      </c>
      <c r="K240">
        <v>2595.0199999999982</v>
      </c>
    </row>
    <row r="241" spans="1:11" hidden="1" x14ac:dyDescent="0.25">
      <c r="A241" s="70">
        <v>239</v>
      </c>
      <c r="B241" t="s">
        <v>1040</v>
      </c>
      <c r="C241" t="s">
        <v>1040</v>
      </c>
      <c r="D241" t="s">
        <v>243</v>
      </c>
      <c r="E241">
        <v>63.66</v>
      </c>
      <c r="F241" t="s">
        <v>20</v>
      </c>
      <c r="G241" t="s">
        <v>244</v>
      </c>
      <c r="H241" t="s">
        <v>233</v>
      </c>
      <c r="I241" t="s">
        <v>15</v>
      </c>
      <c r="J241" t="s">
        <v>245</v>
      </c>
      <c r="K241">
        <v>2658.679999999998</v>
      </c>
    </row>
    <row r="242" spans="1:11" hidden="1" x14ac:dyDescent="0.25">
      <c r="A242" s="70">
        <v>240</v>
      </c>
      <c r="B242" t="s">
        <v>1041</v>
      </c>
      <c r="C242" t="s">
        <v>1041</v>
      </c>
      <c r="D242" t="s">
        <v>79</v>
      </c>
      <c r="E242">
        <v>7.9</v>
      </c>
      <c r="F242" t="s">
        <v>20</v>
      </c>
      <c r="G242" t="s">
        <v>80</v>
      </c>
      <c r="H242" t="s">
        <v>233</v>
      </c>
      <c r="I242" t="s">
        <v>15</v>
      </c>
      <c r="J242" t="s">
        <v>23</v>
      </c>
      <c r="K242">
        <v>2666.5799999999981</v>
      </c>
    </row>
    <row r="243" spans="1:11" hidden="1" x14ac:dyDescent="0.25">
      <c r="A243" s="70">
        <v>241</v>
      </c>
      <c r="B243" t="s">
        <v>1041</v>
      </c>
      <c r="C243" t="s">
        <v>1041</v>
      </c>
      <c r="D243" t="s">
        <v>249</v>
      </c>
      <c r="E243">
        <v>51.31</v>
      </c>
      <c r="F243" t="s">
        <v>53</v>
      </c>
      <c r="G243" t="s">
        <v>54</v>
      </c>
      <c r="H243" t="s">
        <v>233</v>
      </c>
      <c r="I243" t="s">
        <v>15</v>
      </c>
      <c r="J243" t="s">
        <v>16</v>
      </c>
      <c r="K243">
        <v>2717.8899999999981</v>
      </c>
    </row>
    <row r="244" spans="1:11" hidden="1" x14ac:dyDescent="0.25">
      <c r="A244" s="70">
        <v>242</v>
      </c>
      <c r="B244" t="s">
        <v>1041</v>
      </c>
      <c r="C244" t="s">
        <v>1041</v>
      </c>
      <c r="D244" t="s">
        <v>247</v>
      </c>
      <c r="E244">
        <v>21.71</v>
      </c>
      <c r="F244" t="s">
        <v>248</v>
      </c>
      <c r="G244" t="s">
        <v>94</v>
      </c>
      <c r="H244" t="s">
        <v>233</v>
      </c>
      <c r="I244" t="s">
        <v>15</v>
      </c>
      <c r="J244" t="s">
        <v>32</v>
      </c>
      <c r="K244">
        <v>2739.5999999999981</v>
      </c>
    </row>
    <row r="245" spans="1:11" hidden="1" x14ac:dyDescent="0.25">
      <c r="A245" s="70">
        <v>243</v>
      </c>
      <c r="B245" t="s">
        <v>785</v>
      </c>
      <c r="C245" t="s">
        <v>785</v>
      </c>
      <c r="D245" t="s">
        <v>252</v>
      </c>
      <c r="E245">
        <v>71.55</v>
      </c>
      <c r="F245" t="s">
        <v>12</v>
      </c>
      <c r="G245" t="s">
        <v>18</v>
      </c>
      <c r="H245" t="s">
        <v>233</v>
      </c>
      <c r="I245" t="s">
        <v>15</v>
      </c>
      <c r="J245" t="s">
        <v>16</v>
      </c>
      <c r="K245">
        <v>2811.1499999999978</v>
      </c>
    </row>
    <row r="246" spans="1:11" hidden="1" x14ac:dyDescent="0.25">
      <c r="A246" s="70">
        <v>244</v>
      </c>
      <c r="B246" t="s">
        <v>785</v>
      </c>
      <c r="C246" t="s">
        <v>785</v>
      </c>
      <c r="D246" t="s">
        <v>104</v>
      </c>
      <c r="E246">
        <v>18.47</v>
      </c>
      <c r="F246" t="s">
        <v>53</v>
      </c>
      <c r="G246" t="s">
        <v>54</v>
      </c>
      <c r="H246" t="s">
        <v>233</v>
      </c>
      <c r="I246" t="s">
        <v>15</v>
      </c>
      <c r="J246" t="s">
        <v>16</v>
      </c>
      <c r="K246">
        <v>2829.6199999999981</v>
      </c>
    </row>
    <row r="247" spans="1:11" hidden="1" x14ac:dyDescent="0.25">
      <c r="A247" s="70">
        <v>245</v>
      </c>
      <c r="B247" t="s">
        <v>785</v>
      </c>
      <c r="C247" t="s">
        <v>785</v>
      </c>
      <c r="D247" t="s">
        <v>123</v>
      </c>
      <c r="E247">
        <v>29.18</v>
      </c>
      <c r="F247" t="s">
        <v>12</v>
      </c>
      <c r="G247" t="s">
        <v>13</v>
      </c>
      <c r="H247" t="s">
        <v>233</v>
      </c>
      <c r="I247" t="s">
        <v>15</v>
      </c>
      <c r="J247" t="s">
        <v>16</v>
      </c>
      <c r="K247">
        <v>2858.7999999999979</v>
      </c>
    </row>
    <row r="248" spans="1:11" hidden="1" x14ac:dyDescent="0.25">
      <c r="A248" s="70">
        <v>246</v>
      </c>
      <c r="B248" t="s">
        <v>785</v>
      </c>
      <c r="C248" t="s">
        <v>785</v>
      </c>
      <c r="D248" t="s">
        <v>250</v>
      </c>
      <c r="E248">
        <v>31.79</v>
      </c>
      <c r="F248" t="s">
        <v>20</v>
      </c>
      <c r="G248" t="s">
        <v>251</v>
      </c>
      <c r="H248" t="s">
        <v>233</v>
      </c>
      <c r="I248" t="s">
        <v>22</v>
      </c>
      <c r="J248" t="s">
        <v>23</v>
      </c>
      <c r="K248">
        <v>2890.5899999999979</v>
      </c>
    </row>
    <row r="249" spans="1:11" hidden="1" x14ac:dyDescent="0.25">
      <c r="A249" s="70">
        <v>247</v>
      </c>
      <c r="B249" t="s">
        <v>785</v>
      </c>
      <c r="C249" t="s">
        <v>785</v>
      </c>
      <c r="D249" t="s">
        <v>58</v>
      </c>
      <c r="E249">
        <v>14.99</v>
      </c>
      <c r="F249" t="s">
        <v>20</v>
      </c>
      <c r="G249" t="s">
        <v>124</v>
      </c>
      <c r="H249" t="s">
        <v>233</v>
      </c>
      <c r="I249" t="s">
        <v>22</v>
      </c>
      <c r="J249" t="s">
        <v>23</v>
      </c>
      <c r="K249">
        <v>2905.5799999999981</v>
      </c>
    </row>
    <row r="250" spans="1:11" hidden="1" x14ac:dyDescent="0.25">
      <c r="A250" s="70">
        <v>248</v>
      </c>
      <c r="B250" t="s">
        <v>1042</v>
      </c>
      <c r="C250" t="s">
        <v>1042</v>
      </c>
      <c r="D250" t="s">
        <v>253</v>
      </c>
      <c r="E250">
        <v>70</v>
      </c>
      <c r="F250" t="s">
        <v>12</v>
      </c>
      <c r="G250" t="s">
        <v>18</v>
      </c>
      <c r="H250" t="s">
        <v>233</v>
      </c>
      <c r="I250" t="s">
        <v>15</v>
      </c>
      <c r="J250" t="s">
        <v>16</v>
      </c>
      <c r="K250">
        <v>2975.5799999999981</v>
      </c>
    </row>
    <row r="251" spans="1:11" hidden="1" x14ac:dyDescent="0.25">
      <c r="A251" s="70">
        <v>249</v>
      </c>
      <c r="B251" t="s">
        <v>1043</v>
      </c>
      <c r="C251" t="s">
        <v>1043</v>
      </c>
      <c r="D251" t="s">
        <v>254</v>
      </c>
      <c r="E251">
        <v>49.48</v>
      </c>
      <c r="F251" t="s">
        <v>53</v>
      </c>
      <c r="G251" t="s">
        <v>223</v>
      </c>
      <c r="H251" t="s">
        <v>233</v>
      </c>
      <c r="I251" t="s">
        <v>15</v>
      </c>
      <c r="J251" t="s">
        <v>32</v>
      </c>
      <c r="K251">
        <v>3025.0599999999981</v>
      </c>
    </row>
    <row r="252" spans="1:11" hidden="1" x14ac:dyDescent="0.25">
      <c r="A252" s="70">
        <v>250</v>
      </c>
      <c r="B252" t="s">
        <v>1043</v>
      </c>
      <c r="C252" t="s">
        <v>1043</v>
      </c>
      <c r="D252" t="s">
        <v>256</v>
      </c>
      <c r="E252">
        <v>4.26</v>
      </c>
      <c r="F252" t="s">
        <v>20</v>
      </c>
      <c r="G252" t="s">
        <v>80</v>
      </c>
      <c r="H252" t="s">
        <v>233</v>
      </c>
      <c r="I252" t="s">
        <v>15</v>
      </c>
      <c r="J252" t="s">
        <v>23</v>
      </c>
      <c r="K252">
        <v>3029.3199999999979</v>
      </c>
    </row>
    <row r="253" spans="1:11" hidden="1" x14ac:dyDescent="0.25">
      <c r="A253" s="70">
        <v>251</v>
      </c>
      <c r="B253" t="s">
        <v>1043</v>
      </c>
      <c r="C253" t="s">
        <v>1043</v>
      </c>
      <c r="D253" t="s">
        <v>237</v>
      </c>
      <c r="E253">
        <v>33.56</v>
      </c>
      <c r="F253" t="s">
        <v>30</v>
      </c>
      <c r="G253" t="s">
        <v>76</v>
      </c>
      <c r="H253" t="s">
        <v>233</v>
      </c>
      <c r="I253" t="s">
        <v>15</v>
      </c>
      <c r="J253" t="s">
        <v>42</v>
      </c>
      <c r="K253">
        <v>3062.8799999999978</v>
      </c>
    </row>
    <row r="254" spans="1:11" hidden="1" x14ac:dyDescent="0.25">
      <c r="A254" s="70">
        <v>252</v>
      </c>
      <c r="B254" t="s">
        <v>1043</v>
      </c>
      <c r="C254" t="s">
        <v>1043</v>
      </c>
      <c r="D254" t="s">
        <v>255</v>
      </c>
      <c r="E254">
        <v>5.23</v>
      </c>
      <c r="F254" t="s">
        <v>30</v>
      </c>
      <c r="G254" t="s">
        <v>76</v>
      </c>
      <c r="H254" t="s">
        <v>233</v>
      </c>
      <c r="I254" t="s">
        <v>15</v>
      </c>
      <c r="J254" t="s">
        <v>42</v>
      </c>
      <c r="K254">
        <v>3068.1099999999979</v>
      </c>
    </row>
    <row r="255" spans="1:11" hidden="1" x14ac:dyDescent="0.25">
      <c r="A255" s="70">
        <v>253</v>
      </c>
      <c r="B255" t="s">
        <v>1043</v>
      </c>
      <c r="C255" t="s">
        <v>1043</v>
      </c>
      <c r="D255" t="s">
        <v>255</v>
      </c>
      <c r="E255">
        <v>9.6</v>
      </c>
      <c r="F255" t="s">
        <v>30</v>
      </c>
      <c r="G255" t="s">
        <v>76</v>
      </c>
      <c r="H255" t="s">
        <v>233</v>
      </c>
      <c r="I255" t="s">
        <v>15</v>
      </c>
      <c r="J255" t="s">
        <v>42</v>
      </c>
      <c r="K255">
        <v>3077.7099999999982</v>
      </c>
    </row>
    <row r="256" spans="1:11" hidden="1" x14ac:dyDescent="0.25">
      <c r="A256" s="70">
        <v>254</v>
      </c>
      <c r="B256" t="s">
        <v>1043</v>
      </c>
      <c r="C256" t="s">
        <v>1043</v>
      </c>
      <c r="D256" t="s">
        <v>255</v>
      </c>
      <c r="E256">
        <v>26.17</v>
      </c>
      <c r="F256" t="s">
        <v>30</v>
      </c>
      <c r="G256" t="s">
        <v>76</v>
      </c>
      <c r="H256" t="s">
        <v>233</v>
      </c>
      <c r="I256" t="s">
        <v>15</v>
      </c>
      <c r="J256" t="s">
        <v>42</v>
      </c>
      <c r="K256">
        <v>3103.8799999999978</v>
      </c>
    </row>
    <row r="257" spans="1:11" hidden="1" x14ac:dyDescent="0.25">
      <c r="A257" s="70">
        <v>255</v>
      </c>
      <c r="B257" t="s">
        <v>1043</v>
      </c>
      <c r="C257" t="s">
        <v>1043</v>
      </c>
      <c r="D257" t="s">
        <v>255</v>
      </c>
      <c r="E257">
        <v>30.71</v>
      </c>
      <c r="F257" t="s">
        <v>30</v>
      </c>
      <c r="G257" t="s">
        <v>76</v>
      </c>
      <c r="H257" t="s">
        <v>233</v>
      </c>
      <c r="I257" t="s">
        <v>15</v>
      </c>
      <c r="J257" t="s">
        <v>42</v>
      </c>
      <c r="K257">
        <v>3134.5899999999979</v>
      </c>
    </row>
    <row r="258" spans="1:11" hidden="1" x14ac:dyDescent="0.25">
      <c r="A258" s="70">
        <v>256</v>
      </c>
      <c r="B258" t="s">
        <v>1043</v>
      </c>
      <c r="C258" t="s">
        <v>1043</v>
      </c>
      <c r="D258" t="s">
        <v>255</v>
      </c>
      <c r="E258">
        <v>38.43</v>
      </c>
      <c r="F258" t="s">
        <v>30</v>
      </c>
      <c r="G258" t="s">
        <v>76</v>
      </c>
      <c r="H258" t="s">
        <v>233</v>
      </c>
      <c r="I258" t="s">
        <v>15</v>
      </c>
      <c r="J258" t="s">
        <v>42</v>
      </c>
      <c r="K258">
        <v>3173.0199999999982</v>
      </c>
    </row>
    <row r="259" spans="1:11" hidden="1" x14ac:dyDescent="0.25">
      <c r="A259" s="70">
        <v>257</v>
      </c>
      <c r="B259" t="s">
        <v>1043</v>
      </c>
      <c r="C259" t="s">
        <v>1043</v>
      </c>
      <c r="D259" t="s">
        <v>236</v>
      </c>
      <c r="E259">
        <v>4.5999999999999996</v>
      </c>
      <c r="F259" t="s">
        <v>30</v>
      </c>
      <c r="G259" t="s">
        <v>76</v>
      </c>
      <c r="H259" t="s">
        <v>233</v>
      </c>
      <c r="I259" t="s">
        <v>15</v>
      </c>
      <c r="J259" t="s">
        <v>42</v>
      </c>
      <c r="K259">
        <v>3177.6199999999981</v>
      </c>
    </row>
    <row r="260" spans="1:11" hidden="1" x14ac:dyDescent="0.25">
      <c r="A260" s="70">
        <v>258</v>
      </c>
      <c r="B260" t="s">
        <v>783</v>
      </c>
      <c r="C260" t="s">
        <v>783</v>
      </c>
      <c r="D260" t="s">
        <v>260</v>
      </c>
      <c r="E260">
        <v>30</v>
      </c>
      <c r="F260" t="s">
        <v>12</v>
      </c>
      <c r="G260" t="s">
        <v>13</v>
      </c>
      <c r="H260" t="s">
        <v>233</v>
      </c>
      <c r="I260" t="s">
        <v>15</v>
      </c>
      <c r="J260" t="s">
        <v>16</v>
      </c>
      <c r="K260">
        <v>3207.6199999999981</v>
      </c>
    </row>
    <row r="261" spans="1:11" hidden="1" x14ac:dyDescent="0.25">
      <c r="A261" s="70">
        <v>259</v>
      </c>
      <c r="B261" t="s">
        <v>783</v>
      </c>
      <c r="C261" t="s">
        <v>783</v>
      </c>
      <c r="D261" t="s">
        <v>255</v>
      </c>
      <c r="E261">
        <v>5.03</v>
      </c>
      <c r="F261" t="s">
        <v>30</v>
      </c>
      <c r="G261" t="s">
        <v>76</v>
      </c>
      <c r="H261" t="s">
        <v>233</v>
      </c>
      <c r="I261" t="s">
        <v>15</v>
      </c>
      <c r="J261" t="s">
        <v>42</v>
      </c>
      <c r="K261">
        <v>3212.6499999999978</v>
      </c>
    </row>
    <row r="262" spans="1:11" hidden="1" x14ac:dyDescent="0.25">
      <c r="A262" s="70">
        <v>260</v>
      </c>
      <c r="B262" t="s">
        <v>783</v>
      </c>
      <c r="C262" t="s">
        <v>783</v>
      </c>
      <c r="D262" t="s">
        <v>258</v>
      </c>
      <c r="E262">
        <v>35.25</v>
      </c>
      <c r="F262" t="s">
        <v>12</v>
      </c>
      <c r="G262" t="s">
        <v>76</v>
      </c>
      <c r="H262" t="s">
        <v>233</v>
      </c>
      <c r="I262" t="s">
        <v>15</v>
      </c>
      <c r="J262" t="s">
        <v>42</v>
      </c>
      <c r="K262">
        <v>3247.8999999999978</v>
      </c>
    </row>
    <row r="263" spans="1:11" hidden="1" x14ac:dyDescent="0.25">
      <c r="A263" s="70">
        <v>261</v>
      </c>
      <c r="B263" t="s">
        <v>783</v>
      </c>
      <c r="C263" t="s">
        <v>783</v>
      </c>
      <c r="D263" t="s">
        <v>258</v>
      </c>
      <c r="E263">
        <v>5.22</v>
      </c>
      <c r="F263" t="s">
        <v>12</v>
      </c>
      <c r="G263" t="s">
        <v>76</v>
      </c>
      <c r="H263" t="s">
        <v>233</v>
      </c>
      <c r="I263" t="s">
        <v>15</v>
      </c>
      <c r="J263" t="s">
        <v>42</v>
      </c>
      <c r="K263">
        <v>3253.1199999999981</v>
      </c>
    </row>
    <row r="264" spans="1:11" hidden="1" x14ac:dyDescent="0.25">
      <c r="A264" s="70">
        <v>262</v>
      </c>
      <c r="B264" t="s">
        <v>783</v>
      </c>
      <c r="C264" t="s">
        <v>783</v>
      </c>
      <c r="D264" t="s">
        <v>259</v>
      </c>
      <c r="E264">
        <v>100</v>
      </c>
      <c r="F264" t="s">
        <v>20</v>
      </c>
      <c r="G264" t="s">
        <v>228</v>
      </c>
      <c r="H264" t="s">
        <v>233</v>
      </c>
      <c r="I264" t="s">
        <v>15</v>
      </c>
      <c r="J264" t="s">
        <v>23</v>
      </c>
      <c r="K264">
        <v>3353.1199999999981</v>
      </c>
    </row>
    <row r="265" spans="1:11" hidden="1" x14ac:dyDescent="0.25">
      <c r="A265" s="70">
        <v>263</v>
      </c>
      <c r="B265" t="s">
        <v>783</v>
      </c>
      <c r="C265" t="s">
        <v>783</v>
      </c>
      <c r="D265" t="s">
        <v>64</v>
      </c>
      <c r="E265">
        <v>70</v>
      </c>
      <c r="F265" t="s">
        <v>20</v>
      </c>
      <c r="G265" t="s">
        <v>65</v>
      </c>
      <c r="H265" t="s">
        <v>233</v>
      </c>
      <c r="I265" t="s">
        <v>15</v>
      </c>
      <c r="J265" t="s">
        <v>66</v>
      </c>
      <c r="K265">
        <v>3423.1199999999981</v>
      </c>
    </row>
    <row r="266" spans="1:11" hidden="1" x14ac:dyDescent="0.25">
      <c r="A266" s="70">
        <v>264</v>
      </c>
      <c r="B266" t="s">
        <v>783</v>
      </c>
      <c r="C266" t="s">
        <v>783</v>
      </c>
      <c r="D266" t="s">
        <v>261</v>
      </c>
      <c r="E266">
        <v>10</v>
      </c>
      <c r="F266" t="s">
        <v>20</v>
      </c>
      <c r="G266" t="s">
        <v>228</v>
      </c>
      <c r="H266" t="s">
        <v>233</v>
      </c>
      <c r="I266" t="s">
        <v>15</v>
      </c>
      <c r="J266" t="s">
        <v>23</v>
      </c>
      <c r="K266">
        <v>3433.1199999999981</v>
      </c>
    </row>
    <row r="267" spans="1:11" hidden="1" x14ac:dyDescent="0.25">
      <c r="A267" s="70">
        <v>265</v>
      </c>
      <c r="B267" t="s">
        <v>783</v>
      </c>
      <c r="C267" t="s">
        <v>783</v>
      </c>
      <c r="D267" t="s">
        <v>257</v>
      </c>
      <c r="E267">
        <v>19.86</v>
      </c>
      <c r="F267" t="s">
        <v>12</v>
      </c>
      <c r="G267" t="s">
        <v>13</v>
      </c>
      <c r="H267" t="s">
        <v>233</v>
      </c>
      <c r="I267" t="s">
        <v>15</v>
      </c>
      <c r="J267" t="s">
        <v>16</v>
      </c>
      <c r="K267">
        <v>3452.9799999999982</v>
      </c>
    </row>
    <row r="268" spans="1:11" hidden="1" x14ac:dyDescent="0.25">
      <c r="A268" s="70">
        <v>266</v>
      </c>
      <c r="B268" t="s">
        <v>1044</v>
      </c>
      <c r="C268" t="s">
        <v>1044</v>
      </c>
      <c r="D268" t="s">
        <v>262</v>
      </c>
      <c r="E268">
        <v>5.29</v>
      </c>
      <c r="F268" t="s">
        <v>20</v>
      </c>
      <c r="G268" t="s">
        <v>68</v>
      </c>
      <c r="H268" t="s">
        <v>233</v>
      </c>
      <c r="I268" t="s">
        <v>22</v>
      </c>
      <c r="J268" t="s">
        <v>23</v>
      </c>
      <c r="K268">
        <v>3458.2699999999982</v>
      </c>
    </row>
    <row r="269" spans="1:11" hidden="1" x14ac:dyDescent="0.25">
      <c r="A269" s="70">
        <v>267</v>
      </c>
      <c r="B269" t="s">
        <v>1044</v>
      </c>
      <c r="C269" t="s">
        <v>1044</v>
      </c>
      <c r="D269" t="s">
        <v>263</v>
      </c>
      <c r="E269">
        <v>47.34</v>
      </c>
      <c r="F269" t="s">
        <v>20</v>
      </c>
      <c r="G269" t="s">
        <v>72</v>
      </c>
      <c r="H269" t="s">
        <v>233</v>
      </c>
      <c r="I269" t="s">
        <v>15</v>
      </c>
      <c r="J269" t="s">
        <v>32</v>
      </c>
      <c r="K269">
        <v>3505.6099999999979</v>
      </c>
    </row>
    <row r="270" spans="1:11" hidden="1" x14ac:dyDescent="0.25">
      <c r="A270" s="70">
        <v>268</v>
      </c>
      <c r="B270" t="s">
        <v>1045</v>
      </c>
      <c r="C270" t="s">
        <v>1045</v>
      </c>
      <c r="D270" t="s">
        <v>264</v>
      </c>
      <c r="E270">
        <v>47.46</v>
      </c>
      <c r="F270" t="s">
        <v>53</v>
      </c>
      <c r="G270" t="s">
        <v>54</v>
      </c>
      <c r="H270" t="s">
        <v>233</v>
      </c>
      <c r="I270" t="s">
        <v>15</v>
      </c>
      <c r="J270" t="s">
        <v>16</v>
      </c>
      <c r="K270">
        <v>3553.0699999999979</v>
      </c>
    </row>
    <row r="271" spans="1:11" hidden="1" x14ac:dyDescent="0.25">
      <c r="A271" s="70">
        <v>269</v>
      </c>
      <c r="B271" t="s">
        <v>1046</v>
      </c>
      <c r="C271" t="s">
        <v>1046</v>
      </c>
      <c r="D271" t="s">
        <v>265</v>
      </c>
      <c r="E271">
        <v>70.58</v>
      </c>
      <c r="F271" t="s">
        <v>20</v>
      </c>
      <c r="G271" t="s">
        <v>130</v>
      </c>
      <c r="H271" t="s">
        <v>233</v>
      </c>
      <c r="I271" t="s">
        <v>22</v>
      </c>
      <c r="J271" t="s">
        <v>23</v>
      </c>
      <c r="K271">
        <v>3623.6499999999978</v>
      </c>
    </row>
    <row r="272" spans="1:11" hidden="1" x14ac:dyDescent="0.25">
      <c r="A272" s="70">
        <v>270</v>
      </c>
      <c r="B272" t="s">
        <v>1047</v>
      </c>
      <c r="C272" t="s">
        <v>1047</v>
      </c>
      <c r="D272" t="s">
        <v>104</v>
      </c>
      <c r="E272">
        <v>51.25</v>
      </c>
      <c r="F272" t="s">
        <v>53</v>
      </c>
      <c r="G272" t="s">
        <v>54</v>
      </c>
      <c r="H272" t="s">
        <v>233</v>
      </c>
      <c r="I272" t="s">
        <v>15</v>
      </c>
      <c r="J272" t="s">
        <v>16</v>
      </c>
      <c r="K272">
        <v>3674.8999999999978</v>
      </c>
    </row>
    <row r="273" spans="1:11" hidden="1" x14ac:dyDescent="0.25">
      <c r="A273" s="70">
        <v>271</v>
      </c>
      <c r="B273" t="s">
        <v>1048</v>
      </c>
      <c r="C273" t="s">
        <v>1048</v>
      </c>
      <c r="D273" t="s">
        <v>104</v>
      </c>
      <c r="E273">
        <v>33.549999999999997</v>
      </c>
      <c r="F273" t="s">
        <v>53</v>
      </c>
      <c r="G273" t="s">
        <v>54</v>
      </c>
      <c r="H273" t="s">
        <v>233</v>
      </c>
      <c r="I273" t="s">
        <v>15</v>
      </c>
      <c r="J273" t="s">
        <v>16</v>
      </c>
      <c r="K273">
        <v>3708.449999999998</v>
      </c>
    </row>
    <row r="274" spans="1:11" hidden="1" x14ac:dyDescent="0.25">
      <c r="A274" s="70">
        <v>272</v>
      </c>
      <c r="B274" t="s">
        <v>1048</v>
      </c>
      <c r="C274" t="s">
        <v>1048</v>
      </c>
      <c r="D274" t="s">
        <v>266</v>
      </c>
      <c r="E274">
        <v>19.260000000000002</v>
      </c>
      <c r="F274" t="s">
        <v>20</v>
      </c>
      <c r="G274" t="s">
        <v>34</v>
      </c>
      <c r="H274" t="s">
        <v>233</v>
      </c>
      <c r="I274" t="s">
        <v>15</v>
      </c>
      <c r="J274" t="s">
        <v>32</v>
      </c>
      <c r="K274">
        <v>3727.7099999999982</v>
      </c>
    </row>
    <row r="275" spans="1:11" hidden="1" x14ac:dyDescent="0.25">
      <c r="A275" s="70">
        <v>273</v>
      </c>
      <c r="B275" t="s">
        <v>1049</v>
      </c>
      <c r="C275" t="s">
        <v>1049</v>
      </c>
      <c r="D275" t="s">
        <v>255</v>
      </c>
      <c r="E275">
        <v>17.690000000000001</v>
      </c>
      <c r="F275" t="s">
        <v>30</v>
      </c>
      <c r="G275" t="s">
        <v>76</v>
      </c>
      <c r="H275" t="s">
        <v>233</v>
      </c>
      <c r="I275" t="s">
        <v>15</v>
      </c>
      <c r="J275" t="s">
        <v>42</v>
      </c>
      <c r="K275">
        <v>3745.3999999999978</v>
      </c>
    </row>
    <row r="276" spans="1:11" hidden="1" x14ac:dyDescent="0.25">
      <c r="A276" s="70">
        <v>274</v>
      </c>
      <c r="B276" t="s">
        <v>1049</v>
      </c>
      <c r="C276" t="s">
        <v>1049</v>
      </c>
      <c r="D276" t="s">
        <v>237</v>
      </c>
      <c r="E276">
        <v>8.6199999999999992</v>
      </c>
      <c r="F276" t="s">
        <v>30</v>
      </c>
      <c r="G276" t="s">
        <v>76</v>
      </c>
      <c r="H276" t="s">
        <v>233</v>
      </c>
      <c r="I276" t="s">
        <v>15</v>
      </c>
      <c r="J276" t="s">
        <v>42</v>
      </c>
      <c r="K276">
        <v>3754.0199999999982</v>
      </c>
    </row>
    <row r="277" spans="1:11" hidden="1" x14ac:dyDescent="0.25">
      <c r="A277" s="70">
        <v>275</v>
      </c>
      <c r="B277" t="s">
        <v>1049</v>
      </c>
      <c r="C277" t="s">
        <v>1049</v>
      </c>
      <c r="D277" t="s">
        <v>267</v>
      </c>
      <c r="E277">
        <v>8</v>
      </c>
      <c r="F277" t="s">
        <v>30</v>
      </c>
      <c r="G277" t="s">
        <v>59</v>
      </c>
      <c r="H277" t="s">
        <v>233</v>
      </c>
      <c r="I277" t="s">
        <v>15</v>
      </c>
      <c r="J277" t="s">
        <v>60</v>
      </c>
      <c r="K277">
        <v>3762.0199999999982</v>
      </c>
    </row>
    <row r="278" spans="1:11" hidden="1" x14ac:dyDescent="0.25">
      <c r="A278" s="70">
        <v>276</v>
      </c>
      <c r="B278" t="s">
        <v>1050</v>
      </c>
      <c r="C278" t="s">
        <v>1050</v>
      </c>
      <c r="D278" t="s">
        <v>268</v>
      </c>
      <c r="E278">
        <v>10.62</v>
      </c>
      <c r="F278" t="s">
        <v>20</v>
      </c>
      <c r="G278" t="s">
        <v>80</v>
      </c>
      <c r="H278" t="s">
        <v>233</v>
      </c>
      <c r="I278" t="s">
        <v>15</v>
      </c>
      <c r="J278" t="s">
        <v>23</v>
      </c>
      <c r="K278">
        <v>3772.6399999999981</v>
      </c>
    </row>
    <row r="279" spans="1:11" hidden="1" x14ac:dyDescent="0.25">
      <c r="A279" s="70">
        <v>277</v>
      </c>
      <c r="B279" t="s">
        <v>1050</v>
      </c>
      <c r="C279" t="s">
        <v>1050</v>
      </c>
      <c r="D279" t="s">
        <v>256</v>
      </c>
      <c r="E279">
        <v>7.43</v>
      </c>
      <c r="F279" t="s">
        <v>20</v>
      </c>
      <c r="G279" t="s">
        <v>80</v>
      </c>
      <c r="H279" t="s">
        <v>233</v>
      </c>
      <c r="I279" t="s">
        <v>15</v>
      </c>
      <c r="J279" t="s">
        <v>23</v>
      </c>
      <c r="K279">
        <v>3780.0699999999979</v>
      </c>
    </row>
    <row r="280" spans="1:11" hidden="1" x14ac:dyDescent="0.25">
      <c r="A280" s="70">
        <v>278</v>
      </c>
      <c r="B280" t="s">
        <v>1050</v>
      </c>
      <c r="C280" t="s">
        <v>1050</v>
      </c>
      <c r="D280" t="s">
        <v>256</v>
      </c>
      <c r="E280">
        <v>10.62</v>
      </c>
      <c r="F280" t="s">
        <v>20</v>
      </c>
      <c r="G280" t="s">
        <v>80</v>
      </c>
      <c r="H280" t="s">
        <v>233</v>
      </c>
      <c r="I280" t="s">
        <v>15</v>
      </c>
      <c r="J280" t="s">
        <v>23</v>
      </c>
      <c r="K280">
        <v>3790.6899999999978</v>
      </c>
    </row>
    <row r="281" spans="1:11" hidden="1" x14ac:dyDescent="0.25">
      <c r="A281" s="70">
        <v>279</v>
      </c>
      <c r="B281" t="s">
        <v>1051</v>
      </c>
      <c r="C281" t="s">
        <v>1051</v>
      </c>
      <c r="D281" t="s">
        <v>272</v>
      </c>
      <c r="E281">
        <v>15.19</v>
      </c>
      <c r="F281" t="s">
        <v>12</v>
      </c>
      <c r="G281" t="s">
        <v>18</v>
      </c>
      <c r="H281" t="s">
        <v>233</v>
      </c>
      <c r="I281" t="s">
        <v>15</v>
      </c>
      <c r="J281" t="s">
        <v>16</v>
      </c>
      <c r="K281">
        <v>3805.8799999999978</v>
      </c>
    </row>
    <row r="282" spans="1:11" hidden="1" x14ac:dyDescent="0.25">
      <c r="A282" s="70">
        <v>280</v>
      </c>
      <c r="B282" t="s">
        <v>1051</v>
      </c>
      <c r="C282" t="s">
        <v>1051</v>
      </c>
      <c r="D282" t="s">
        <v>272</v>
      </c>
      <c r="E282">
        <v>20.59</v>
      </c>
      <c r="F282" t="s">
        <v>12</v>
      </c>
      <c r="G282" t="s">
        <v>18</v>
      </c>
      <c r="H282" t="s">
        <v>233</v>
      </c>
      <c r="I282" t="s">
        <v>15</v>
      </c>
      <c r="J282" t="s">
        <v>16</v>
      </c>
      <c r="K282">
        <v>3826.469999999998</v>
      </c>
    </row>
    <row r="283" spans="1:11" hidden="1" x14ac:dyDescent="0.25">
      <c r="A283" s="70">
        <v>281</v>
      </c>
      <c r="B283" t="s">
        <v>1051</v>
      </c>
      <c r="C283" t="s">
        <v>1051</v>
      </c>
      <c r="D283" t="s">
        <v>271</v>
      </c>
      <c r="E283">
        <v>32.57</v>
      </c>
      <c r="F283" t="s">
        <v>20</v>
      </c>
      <c r="G283" t="s">
        <v>270</v>
      </c>
      <c r="H283" t="s">
        <v>233</v>
      </c>
      <c r="I283" t="s">
        <v>15</v>
      </c>
      <c r="J283" t="s">
        <v>23</v>
      </c>
      <c r="K283">
        <v>3859.0399999999981</v>
      </c>
    </row>
    <row r="284" spans="1:11" hidden="1" x14ac:dyDescent="0.25">
      <c r="A284" s="70">
        <v>282</v>
      </c>
      <c r="B284" t="s">
        <v>1051</v>
      </c>
      <c r="C284" t="s">
        <v>1051</v>
      </c>
      <c r="D284" t="s">
        <v>269</v>
      </c>
      <c r="E284">
        <v>24</v>
      </c>
      <c r="F284" t="s">
        <v>30</v>
      </c>
      <c r="G284" t="s">
        <v>270</v>
      </c>
      <c r="H284" t="s">
        <v>233</v>
      </c>
      <c r="I284" t="s">
        <v>15</v>
      </c>
      <c r="J284" t="s">
        <v>23</v>
      </c>
      <c r="K284">
        <v>3883.0399999999981</v>
      </c>
    </row>
    <row r="285" spans="1:11" hidden="1" x14ac:dyDescent="0.25">
      <c r="A285" s="70">
        <v>283</v>
      </c>
      <c r="B285" t="s">
        <v>1051</v>
      </c>
      <c r="C285" t="s">
        <v>1051</v>
      </c>
      <c r="D285" t="s">
        <v>11</v>
      </c>
      <c r="E285">
        <v>12.57</v>
      </c>
      <c r="F285" t="s">
        <v>12</v>
      </c>
      <c r="G285" t="s">
        <v>13</v>
      </c>
      <c r="H285" t="s">
        <v>233</v>
      </c>
      <c r="I285" t="s">
        <v>15</v>
      </c>
      <c r="J285" t="s">
        <v>16</v>
      </c>
      <c r="K285">
        <v>3895.6099999999979</v>
      </c>
    </row>
    <row r="286" spans="1:11" hidden="1" x14ac:dyDescent="0.25">
      <c r="A286" s="70">
        <v>284</v>
      </c>
      <c r="B286" t="s">
        <v>1051</v>
      </c>
      <c r="C286" t="s">
        <v>1051</v>
      </c>
      <c r="D286" t="s">
        <v>104</v>
      </c>
      <c r="E286">
        <v>30.36</v>
      </c>
      <c r="F286" t="s">
        <v>53</v>
      </c>
      <c r="G286" t="s">
        <v>54</v>
      </c>
      <c r="H286" t="s">
        <v>233</v>
      </c>
      <c r="I286" t="s">
        <v>15</v>
      </c>
      <c r="J286" t="s">
        <v>16</v>
      </c>
      <c r="K286">
        <v>3925.969999999998</v>
      </c>
    </row>
    <row r="287" spans="1:11" hidden="1" x14ac:dyDescent="0.25">
      <c r="A287" s="70">
        <v>285</v>
      </c>
      <c r="B287" t="s">
        <v>1052</v>
      </c>
      <c r="C287" t="s">
        <v>1052</v>
      </c>
      <c r="D287" t="s">
        <v>180</v>
      </c>
      <c r="E287">
        <v>6.23</v>
      </c>
      <c r="F287" t="s">
        <v>12</v>
      </c>
      <c r="G287" t="s">
        <v>13</v>
      </c>
      <c r="H287" t="s">
        <v>233</v>
      </c>
      <c r="I287" t="s">
        <v>15</v>
      </c>
      <c r="J287" t="s">
        <v>16</v>
      </c>
      <c r="K287">
        <v>3932.199999999998</v>
      </c>
    </row>
    <row r="288" spans="1:11" hidden="1" x14ac:dyDescent="0.25">
      <c r="A288" s="70">
        <v>286</v>
      </c>
      <c r="B288" t="s">
        <v>1052</v>
      </c>
      <c r="C288" t="s">
        <v>1052</v>
      </c>
      <c r="D288" t="s">
        <v>186</v>
      </c>
      <c r="E288">
        <v>20.96</v>
      </c>
      <c r="F288" t="s">
        <v>30</v>
      </c>
      <c r="G288" t="s">
        <v>187</v>
      </c>
      <c r="H288" t="s">
        <v>233</v>
      </c>
      <c r="I288" t="s">
        <v>15</v>
      </c>
      <c r="J288" t="s">
        <v>23</v>
      </c>
      <c r="K288">
        <v>3953.159999999998</v>
      </c>
    </row>
    <row r="289" spans="1:11" hidden="1" x14ac:dyDescent="0.25">
      <c r="A289" s="70">
        <v>287</v>
      </c>
      <c r="B289" t="s">
        <v>1052</v>
      </c>
      <c r="C289" t="s">
        <v>1052</v>
      </c>
      <c r="D289" t="s">
        <v>268</v>
      </c>
      <c r="E289">
        <v>7.43</v>
      </c>
      <c r="F289" t="s">
        <v>20</v>
      </c>
      <c r="G289" t="s">
        <v>80</v>
      </c>
      <c r="H289" t="s">
        <v>233</v>
      </c>
      <c r="I289" t="s">
        <v>15</v>
      </c>
      <c r="J289" t="s">
        <v>23</v>
      </c>
      <c r="K289">
        <v>3960.5899999999979</v>
      </c>
    </row>
    <row r="290" spans="1:11" hidden="1" x14ac:dyDescent="0.25">
      <c r="A290" s="70">
        <v>288</v>
      </c>
      <c r="B290" t="s">
        <v>1052</v>
      </c>
      <c r="C290" t="s">
        <v>1052</v>
      </c>
      <c r="D290" t="s">
        <v>273</v>
      </c>
      <c r="E290">
        <v>3.59</v>
      </c>
      <c r="F290" t="s">
        <v>40</v>
      </c>
      <c r="G290" t="s">
        <v>41</v>
      </c>
      <c r="H290" t="s">
        <v>233</v>
      </c>
      <c r="I290" t="s">
        <v>15</v>
      </c>
      <c r="J290" t="s">
        <v>42</v>
      </c>
      <c r="K290">
        <v>3964.179999999998</v>
      </c>
    </row>
    <row r="291" spans="1:11" hidden="1" x14ac:dyDescent="0.25">
      <c r="A291" s="70">
        <v>289</v>
      </c>
      <c r="B291" t="s">
        <v>1053</v>
      </c>
      <c r="C291" t="s">
        <v>1053</v>
      </c>
      <c r="D291" t="s">
        <v>123</v>
      </c>
      <c r="E291">
        <v>27.84</v>
      </c>
      <c r="F291" t="s">
        <v>12</v>
      </c>
      <c r="G291" t="s">
        <v>13</v>
      </c>
      <c r="H291" t="s">
        <v>233</v>
      </c>
      <c r="I291" t="s">
        <v>15</v>
      </c>
      <c r="J291" t="s">
        <v>16</v>
      </c>
      <c r="K291">
        <v>3992.0199999999991</v>
      </c>
    </row>
    <row r="292" spans="1:11" hidden="1" x14ac:dyDescent="0.25">
      <c r="A292" s="70">
        <v>290</v>
      </c>
      <c r="B292" t="s">
        <v>1053</v>
      </c>
      <c r="C292" t="s">
        <v>1053</v>
      </c>
      <c r="D292" t="s">
        <v>274</v>
      </c>
      <c r="E292">
        <v>50</v>
      </c>
      <c r="F292" t="s">
        <v>12</v>
      </c>
      <c r="G292" t="s">
        <v>18</v>
      </c>
      <c r="H292" t="s">
        <v>233</v>
      </c>
      <c r="I292" t="s">
        <v>15</v>
      </c>
      <c r="J292" t="s">
        <v>16</v>
      </c>
      <c r="K292">
        <v>4042.0199999999991</v>
      </c>
    </row>
    <row r="293" spans="1:11" hidden="1" x14ac:dyDescent="0.25">
      <c r="A293" s="70">
        <v>291</v>
      </c>
      <c r="B293" t="s">
        <v>1053</v>
      </c>
      <c r="C293" t="s">
        <v>1053</v>
      </c>
      <c r="D293" t="s">
        <v>190</v>
      </c>
      <c r="E293">
        <v>30</v>
      </c>
      <c r="F293" t="s">
        <v>30</v>
      </c>
      <c r="G293" t="s">
        <v>187</v>
      </c>
      <c r="H293" t="s">
        <v>233</v>
      </c>
      <c r="I293" t="s">
        <v>15</v>
      </c>
      <c r="J293" t="s">
        <v>23</v>
      </c>
      <c r="K293">
        <v>4072.0199999999991</v>
      </c>
    </row>
    <row r="294" spans="1:11" hidden="1" x14ac:dyDescent="0.25">
      <c r="A294" s="70">
        <v>292</v>
      </c>
      <c r="B294" t="s">
        <v>1054</v>
      </c>
      <c r="C294" t="s">
        <v>1054</v>
      </c>
      <c r="D294" t="s">
        <v>275</v>
      </c>
      <c r="E294">
        <v>16.28</v>
      </c>
      <c r="F294" t="s">
        <v>12</v>
      </c>
      <c r="G294" t="s">
        <v>18</v>
      </c>
      <c r="H294" t="s">
        <v>233</v>
      </c>
      <c r="I294" t="s">
        <v>15</v>
      </c>
      <c r="J294" t="s">
        <v>16</v>
      </c>
      <c r="K294">
        <v>4088.2999999999988</v>
      </c>
    </row>
    <row r="295" spans="1:11" hidden="1" x14ac:dyDescent="0.25">
      <c r="A295" s="70">
        <v>293</v>
      </c>
      <c r="B295" t="s">
        <v>1055</v>
      </c>
      <c r="C295" t="s">
        <v>1055</v>
      </c>
      <c r="D295" t="s">
        <v>104</v>
      </c>
      <c r="E295">
        <v>69</v>
      </c>
      <c r="F295" t="s">
        <v>53</v>
      </c>
      <c r="G295" t="s">
        <v>54</v>
      </c>
      <c r="H295" t="s">
        <v>233</v>
      </c>
      <c r="I295" t="s">
        <v>15</v>
      </c>
      <c r="J295" t="s">
        <v>16</v>
      </c>
      <c r="K295">
        <v>4157.2999999999993</v>
      </c>
    </row>
    <row r="296" spans="1:11" hidden="1" x14ac:dyDescent="0.25">
      <c r="A296" s="70">
        <v>294</v>
      </c>
      <c r="B296" t="s">
        <v>1056</v>
      </c>
      <c r="C296" t="s">
        <v>1056</v>
      </c>
      <c r="D296" t="s">
        <v>276</v>
      </c>
      <c r="E296">
        <v>43.43</v>
      </c>
      <c r="F296" t="s">
        <v>20</v>
      </c>
      <c r="G296" t="s">
        <v>277</v>
      </c>
      <c r="H296" t="s">
        <v>233</v>
      </c>
      <c r="I296" t="s">
        <v>15</v>
      </c>
      <c r="J296" t="s">
        <v>32</v>
      </c>
      <c r="K296">
        <v>4200.7299999999996</v>
      </c>
    </row>
    <row r="297" spans="1:11" hidden="1" x14ac:dyDescent="0.25">
      <c r="A297" s="70">
        <v>295</v>
      </c>
      <c r="B297" t="s">
        <v>1057</v>
      </c>
      <c r="C297" t="s">
        <v>1057</v>
      </c>
      <c r="D297" t="s">
        <v>288</v>
      </c>
      <c r="E297">
        <v>45.67</v>
      </c>
      <c r="F297" t="s">
        <v>30</v>
      </c>
      <c r="G297" t="s">
        <v>289</v>
      </c>
      <c r="H297" t="s">
        <v>290</v>
      </c>
      <c r="I297" t="s">
        <v>15</v>
      </c>
      <c r="J297" t="s">
        <v>23</v>
      </c>
      <c r="K297">
        <v>4246.3999999999996</v>
      </c>
    </row>
    <row r="298" spans="1:11" hidden="1" x14ac:dyDescent="0.25">
      <c r="A298" s="70">
        <v>296</v>
      </c>
      <c r="B298" t="s">
        <v>1057</v>
      </c>
      <c r="C298" t="s">
        <v>1057</v>
      </c>
      <c r="D298" t="s">
        <v>291</v>
      </c>
      <c r="E298">
        <v>20.79</v>
      </c>
      <c r="F298" t="s">
        <v>12</v>
      </c>
      <c r="G298" t="s">
        <v>13</v>
      </c>
      <c r="H298" t="s">
        <v>290</v>
      </c>
      <c r="I298" t="s">
        <v>15</v>
      </c>
      <c r="J298" t="s">
        <v>16</v>
      </c>
      <c r="K298">
        <v>4267.1899999999996</v>
      </c>
    </row>
    <row r="299" spans="1:11" hidden="1" x14ac:dyDescent="0.25">
      <c r="A299" s="70">
        <v>297</v>
      </c>
      <c r="B299" t="s">
        <v>1057</v>
      </c>
      <c r="C299" t="s">
        <v>1058</v>
      </c>
      <c r="D299" t="s">
        <v>19</v>
      </c>
      <c r="E299">
        <v>10.59</v>
      </c>
      <c r="F299" t="s">
        <v>20</v>
      </c>
      <c r="G299" t="s">
        <v>21</v>
      </c>
      <c r="H299" t="s">
        <v>290</v>
      </c>
      <c r="I299" t="s">
        <v>22</v>
      </c>
      <c r="J299" t="s">
        <v>23</v>
      </c>
      <c r="K299">
        <v>4277.78</v>
      </c>
    </row>
    <row r="300" spans="1:11" x14ac:dyDescent="0.25">
      <c r="A300" s="70">
        <v>298</v>
      </c>
      <c r="B300" t="s">
        <v>1057</v>
      </c>
      <c r="C300" t="s">
        <v>1058</v>
      </c>
      <c r="D300" t="s">
        <v>292</v>
      </c>
      <c r="E300">
        <v>9.99</v>
      </c>
      <c r="F300" t="s">
        <v>20</v>
      </c>
      <c r="G300" t="s">
        <v>25</v>
      </c>
      <c r="H300" t="s">
        <v>290</v>
      </c>
      <c r="I300" t="s">
        <v>22</v>
      </c>
      <c r="J300" t="s">
        <v>23</v>
      </c>
      <c r="K300">
        <v>4287.7700000000004</v>
      </c>
    </row>
    <row r="301" spans="1:11" hidden="1" x14ac:dyDescent="0.25">
      <c r="A301" s="70">
        <v>299</v>
      </c>
      <c r="B301" t="s">
        <v>1059</v>
      </c>
      <c r="C301" t="s">
        <v>1058</v>
      </c>
      <c r="D301" t="s">
        <v>317</v>
      </c>
      <c r="E301">
        <v>80.599999999999994</v>
      </c>
      <c r="F301" t="s">
        <v>56</v>
      </c>
      <c r="G301" t="s">
        <v>212</v>
      </c>
      <c r="H301" t="s">
        <v>290</v>
      </c>
      <c r="I301" t="s">
        <v>15</v>
      </c>
      <c r="J301" t="s">
        <v>32</v>
      </c>
      <c r="K301">
        <v>4368.37</v>
      </c>
    </row>
    <row r="302" spans="1:11" hidden="1" x14ac:dyDescent="0.25">
      <c r="A302" s="70">
        <v>300</v>
      </c>
      <c r="B302" t="s">
        <v>1059</v>
      </c>
      <c r="C302" t="s">
        <v>1058</v>
      </c>
      <c r="D302" t="s">
        <v>318</v>
      </c>
      <c r="E302">
        <v>149</v>
      </c>
      <c r="F302" t="s">
        <v>20</v>
      </c>
      <c r="G302" t="s">
        <v>316</v>
      </c>
      <c r="H302" t="s">
        <v>290</v>
      </c>
      <c r="I302" t="s">
        <v>15</v>
      </c>
      <c r="J302" t="s">
        <v>23</v>
      </c>
      <c r="K302">
        <v>4517.37</v>
      </c>
    </row>
    <row r="303" spans="1:11" hidden="1" x14ac:dyDescent="0.25">
      <c r="A303" s="70">
        <v>301</v>
      </c>
      <c r="B303" t="s">
        <v>1059</v>
      </c>
      <c r="C303" t="s">
        <v>1058</v>
      </c>
      <c r="D303" t="s">
        <v>315</v>
      </c>
      <c r="E303">
        <v>37.5</v>
      </c>
      <c r="F303" t="s">
        <v>154</v>
      </c>
      <c r="G303" t="s">
        <v>316</v>
      </c>
      <c r="H303" t="s">
        <v>290</v>
      </c>
      <c r="I303" t="s">
        <v>15</v>
      </c>
      <c r="J303" t="s">
        <v>23</v>
      </c>
      <c r="K303">
        <v>4554.87</v>
      </c>
    </row>
    <row r="304" spans="1:11" hidden="1" x14ac:dyDescent="0.25">
      <c r="A304" s="70">
        <v>302</v>
      </c>
      <c r="B304" t="s">
        <v>1059</v>
      </c>
      <c r="C304" t="s">
        <v>1058</v>
      </c>
      <c r="D304" t="s">
        <v>77</v>
      </c>
      <c r="E304">
        <v>10</v>
      </c>
      <c r="F304" t="s">
        <v>20</v>
      </c>
      <c r="G304" t="s">
        <v>78</v>
      </c>
      <c r="H304" t="s">
        <v>290</v>
      </c>
      <c r="I304" t="s">
        <v>22</v>
      </c>
      <c r="J304" t="s">
        <v>23</v>
      </c>
      <c r="K304">
        <v>4564.87</v>
      </c>
    </row>
    <row r="305" spans="1:11" hidden="1" x14ac:dyDescent="0.25">
      <c r="A305" s="70">
        <v>303</v>
      </c>
      <c r="B305" t="s">
        <v>1059</v>
      </c>
      <c r="C305" t="s">
        <v>1058</v>
      </c>
      <c r="D305" t="s">
        <v>313</v>
      </c>
      <c r="E305">
        <v>1.08</v>
      </c>
      <c r="F305" t="s">
        <v>40</v>
      </c>
      <c r="G305" t="s">
        <v>41</v>
      </c>
      <c r="H305" t="s">
        <v>290</v>
      </c>
      <c r="I305" t="s">
        <v>15</v>
      </c>
      <c r="J305" t="s">
        <v>42</v>
      </c>
      <c r="K305">
        <v>4565.95</v>
      </c>
    </row>
    <row r="306" spans="1:11" hidden="1" x14ac:dyDescent="0.25">
      <c r="A306" s="70">
        <v>304</v>
      </c>
      <c r="B306" t="s">
        <v>1059</v>
      </c>
      <c r="C306" t="s">
        <v>1058</v>
      </c>
      <c r="D306" t="s">
        <v>322</v>
      </c>
      <c r="E306">
        <v>27.41</v>
      </c>
      <c r="F306" t="s">
        <v>12</v>
      </c>
      <c r="G306" t="s">
        <v>13</v>
      </c>
      <c r="H306" t="s">
        <v>290</v>
      </c>
      <c r="I306" t="s">
        <v>15</v>
      </c>
      <c r="J306" t="s">
        <v>16</v>
      </c>
      <c r="K306">
        <v>4593.3599999999997</v>
      </c>
    </row>
    <row r="307" spans="1:11" hidden="1" x14ac:dyDescent="0.25">
      <c r="A307" s="70">
        <v>305</v>
      </c>
      <c r="B307" t="s">
        <v>1059</v>
      </c>
      <c r="C307" t="s">
        <v>1059</v>
      </c>
      <c r="D307" t="s">
        <v>319</v>
      </c>
      <c r="E307">
        <v>50.48</v>
      </c>
      <c r="F307" t="s">
        <v>320</v>
      </c>
      <c r="G307" t="s">
        <v>321</v>
      </c>
      <c r="H307" t="s">
        <v>290</v>
      </c>
      <c r="I307" t="s">
        <v>15</v>
      </c>
      <c r="J307" t="s">
        <v>973</v>
      </c>
      <c r="K307">
        <v>4643.8399999999992</v>
      </c>
    </row>
    <row r="308" spans="1:11" hidden="1" x14ac:dyDescent="0.25">
      <c r="A308" s="70">
        <v>306</v>
      </c>
      <c r="B308" t="s">
        <v>1059</v>
      </c>
      <c r="C308" t="s">
        <v>1058</v>
      </c>
      <c r="D308" t="s">
        <v>314</v>
      </c>
      <c r="E308">
        <v>3.79</v>
      </c>
      <c r="F308" t="s">
        <v>40</v>
      </c>
      <c r="G308" t="s">
        <v>41</v>
      </c>
      <c r="H308" t="s">
        <v>290</v>
      </c>
      <c r="I308" t="s">
        <v>15</v>
      </c>
      <c r="J308" t="s">
        <v>42</v>
      </c>
      <c r="K308">
        <v>4647.6299999999992</v>
      </c>
    </row>
    <row r="309" spans="1:11" hidden="1" x14ac:dyDescent="0.25">
      <c r="A309" s="70">
        <v>307</v>
      </c>
      <c r="B309" t="s">
        <v>1058</v>
      </c>
      <c r="C309" t="s">
        <v>1058</v>
      </c>
      <c r="D309" t="s">
        <v>342</v>
      </c>
      <c r="E309">
        <v>42.98</v>
      </c>
      <c r="F309" t="s">
        <v>20</v>
      </c>
      <c r="G309" t="s">
        <v>27</v>
      </c>
      <c r="H309" t="s">
        <v>290</v>
      </c>
      <c r="I309" t="s">
        <v>15</v>
      </c>
      <c r="J309" t="s">
        <v>32</v>
      </c>
      <c r="K309">
        <v>4690.6099999999988</v>
      </c>
    </row>
    <row r="310" spans="1:11" hidden="1" x14ac:dyDescent="0.25">
      <c r="A310" s="70">
        <v>308</v>
      </c>
      <c r="B310" t="s">
        <v>1058</v>
      </c>
      <c r="C310" t="s">
        <v>1058</v>
      </c>
      <c r="D310" t="s">
        <v>340</v>
      </c>
      <c r="E310">
        <v>30.4</v>
      </c>
      <c r="F310" t="s">
        <v>20</v>
      </c>
      <c r="G310" t="s">
        <v>27</v>
      </c>
      <c r="H310" t="s">
        <v>290</v>
      </c>
      <c r="I310" t="s">
        <v>15</v>
      </c>
      <c r="J310" t="s">
        <v>32</v>
      </c>
      <c r="K310">
        <v>4721.0099999999984</v>
      </c>
    </row>
    <row r="311" spans="1:11" hidden="1" x14ac:dyDescent="0.25">
      <c r="A311" s="70">
        <v>309</v>
      </c>
      <c r="B311" t="s">
        <v>1058</v>
      </c>
      <c r="C311" t="s">
        <v>1058</v>
      </c>
      <c r="D311" t="s">
        <v>339</v>
      </c>
      <c r="E311">
        <v>7.97</v>
      </c>
      <c r="F311" t="s">
        <v>40</v>
      </c>
      <c r="G311" t="s">
        <v>41</v>
      </c>
      <c r="H311" t="s">
        <v>290</v>
      </c>
      <c r="I311" t="s">
        <v>15</v>
      </c>
      <c r="J311" t="s">
        <v>42</v>
      </c>
      <c r="K311">
        <v>4728.9799999999987</v>
      </c>
    </row>
    <row r="312" spans="1:11" hidden="1" x14ac:dyDescent="0.25">
      <c r="A312" s="70">
        <v>310</v>
      </c>
      <c r="B312" t="s">
        <v>1058</v>
      </c>
      <c r="C312" t="s">
        <v>1058</v>
      </c>
      <c r="D312" t="s">
        <v>108</v>
      </c>
      <c r="E312">
        <v>79.38</v>
      </c>
      <c r="F312" t="s">
        <v>20</v>
      </c>
      <c r="G312" t="s">
        <v>109</v>
      </c>
      <c r="H312" t="s">
        <v>290</v>
      </c>
      <c r="I312" t="s">
        <v>22</v>
      </c>
      <c r="J312" t="s">
        <v>110</v>
      </c>
      <c r="K312">
        <v>4808.3599999999988</v>
      </c>
    </row>
    <row r="313" spans="1:11" hidden="1" x14ac:dyDescent="0.25">
      <c r="A313" s="70">
        <v>311</v>
      </c>
      <c r="B313" t="s">
        <v>1058</v>
      </c>
      <c r="C313" t="s">
        <v>1058</v>
      </c>
      <c r="D313" t="s">
        <v>341</v>
      </c>
      <c r="E313">
        <v>211.57</v>
      </c>
      <c r="F313" t="s">
        <v>20</v>
      </c>
      <c r="G313" t="s">
        <v>72</v>
      </c>
      <c r="H313" t="s">
        <v>290</v>
      </c>
      <c r="I313" t="s">
        <v>15</v>
      </c>
      <c r="J313" t="s">
        <v>32</v>
      </c>
      <c r="K313">
        <v>5019.9299999999976</v>
      </c>
    </row>
    <row r="314" spans="1:11" hidden="1" x14ac:dyDescent="0.25">
      <c r="A314" s="70">
        <v>312</v>
      </c>
      <c r="B314" t="s">
        <v>1058</v>
      </c>
      <c r="C314" t="s">
        <v>1058</v>
      </c>
      <c r="D314" t="s">
        <v>338</v>
      </c>
      <c r="E314">
        <v>149</v>
      </c>
      <c r="F314" t="s">
        <v>30</v>
      </c>
      <c r="G314" t="s">
        <v>142</v>
      </c>
      <c r="H314" t="s">
        <v>290</v>
      </c>
      <c r="I314" t="s">
        <v>15</v>
      </c>
      <c r="J314" t="s">
        <v>42</v>
      </c>
      <c r="K314">
        <v>5168.9299999999976</v>
      </c>
    </row>
    <row r="315" spans="1:11" hidden="1" x14ac:dyDescent="0.25">
      <c r="A315" s="70">
        <v>313</v>
      </c>
      <c r="B315" t="s">
        <v>1060</v>
      </c>
      <c r="C315" t="s">
        <v>1060</v>
      </c>
      <c r="D315" t="s">
        <v>350</v>
      </c>
      <c r="E315">
        <v>32.57</v>
      </c>
      <c r="F315" t="s">
        <v>20</v>
      </c>
      <c r="G315" t="s">
        <v>316</v>
      </c>
      <c r="H315" t="s">
        <v>290</v>
      </c>
      <c r="I315" t="s">
        <v>15</v>
      </c>
      <c r="J315" t="s">
        <v>23</v>
      </c>
      <c r="K315">
        <v>5201.4999999999982</v>
      </c>
    </row>
    <row r="316" spans="1:11" hidden="1" x14ac:dyDescent="0.25">
      <c r="A316" s="70">
        <v>314</v>
      </c>
      <c r="B316" t="s">
        <v>1060</v>
      </c>
      <c r="C316" t="s">
        <v>1060</v>
      </c>
      <c r="D316" t="s">
        <v>237</v>
      </c>
      <c r="E316">
        <v>16.809999999999999</v>
      </c>
      <c r="F316" t="s">
        <v>30</v>
      </c>
      <c r="G316" t="s">
        <v>76</v>
      </c>
      <c r="H316" t="s">
        <v>290</v>
      </c>
      <c r="I316" t="s">
        <v>15</v>
      </c>
      <c r="J316" t="s">
        <v>42</v>
      </c>
      <c r="K316">
        <v>5218.3099999999986</v>
      </c>
    </row>
    <row r="317" spans="1:11" hidden="1" x14ac:dyDescent="0.25">
      <c r="A317" s="70">
        <v>315</v>
      </c>
      <c r="B317" t="s">
        <v>1060</v>
      </c>
      <c r="C317" t="s">
        <v>1060</v>
      </c>
      <c r="D317" t="s">
        <v>349</v>
      </c>
      <c r="E317">
        <v>21.71</v>
      </c>
      <c r="F317" t="s">
        <v>20</v>
      </c>
      <c r="G317" t="s">
        <v>316</v>
      </c>
      <c r="H317" t="s">
        <v>290</v>
      </c>
      <c r="I317" t="s">
        <v>15</v>
      </c>
      <c r="J317" t="s">
        <v>23</v>
      </c>
      <c r="K317">
        <v>5240.0199999999986</v>
      </c>
    </row>
    <row r="318" spans="1:11" hidden="1" x14ac:dyDescent="0.25">
      <c r="A318" s="70">
        <v>316</v>
      </c>
      <c r="B318" t="s">
        <v>1060</v>
      </c>
      <c r="C318" t="s">
        <v>1060</v>
      </c>
      <c r="D318" t="s">
        <v>347</v>
      </c>
      <c r="E318">
        <v>32.57</v>
      </c>
      <c r="F318" t="s">
        <v>20</v>
      </c>
      <c r="G318" t="s">
        <v>316</v>
      </c>
      <c r="H318" t="s">
        <v>290</v>
      </c>
      <c r="I318" t="s">
        <v>15</v>
      </c>
      <c r="J318" t="s">
        <v>23</v>
      </c>
      <c r="K318">
        <v>5272.5899999999983</v>
      </c>
    </row>
    <row r="319" spans="1:11" hidden="1" x14ac:dyDescent="0.25">
      <c r="A319" s="70">
        <v>317</v>
      </c>
      <c r="B319" t="s">
        <v>1060</v>
      </c>
      <c r="C319" t="s">
        <v>1060</v>
      </c>
      <c r="D319" t="s">
        <v>346</v>
      </c>
      <c r="E319">
        <v>10</v>
      </c>
      <c r="F319" t="s">
        <v>56</v>
      </c>
      <c r="G319" t="s">
        <v>94</v>
      </c>
      <c r="H319" t="s">
        <v>290</v>
      </c>
      <c r="I319" t="s">
        <v>15</v>
      </c>
      <c r="J319" t="s">
        <v>32</v>
      </c>
      <c r="K319">
        <v>5282.5899999999983</v>
      </c>
    </row>
    <row r="320" spans="1:11" hidden="1" x14ac:dyDescent="0.25">
      <c r="A320" s="70">
        <v>318</v>
      </c>
      <c r="B320" t="s">
        <v>1060</v>
      </c>
      <c r="C320" t="s">
        <v>1060</v>
      </c>
      <c r="D320" t="s">
        <v>345</v>
      </c>
      <c r="E320">
        <v>106.4</v>
      </c>
      <c r="F320" t="s">
        <v>20</v>
      </c>
      <c r="G320" t="s">
        <v>27</v>
      </c>
      <c r="H320" t="s">
        <v>290</v>
      </c>
      <c r="I320" t="s">
        <v>15</v>
      </c>
      <c r="J320" t="s">
        <v>32</v>
      </c>
      <c r="K320">
        <v>5388.989999999998</v>
      </c>
    </row>
    <row r="321" spans="1:11" hidden="1" x14ac:dyDescent="0.25">
      <c r="A321" s="70">
        <v>319</v>
      </c>
      <c r="B321" t="s">
        <v>1060</v>
      </c>
      <c r="C321" t="s">
        <v>1060</v>
      </c>
      <c r="D321" t="s">
        <v>348</v>
      </c>
      <c r="E321">
        <v>32.57</v>
      </c>
      <c r="F321" t="s">
        <v>20</v>
      </c>
      <c r="G321" t="s">
        <v>316</v>
      </c>
      <c r="H321" t="s">
        <v>290</v>
      </c>
      <c r="I321" t="s">
        <v>15</v>
      </c>
      <c r="J321" t="s">
        <v>23</v>
      </c>
      <c r="K321">
        <v>5421.5599999999977</v>
      </c>
    </row>
    <row r="322" spans="1:11" hidden="1" x14ac:dyDescent="0.25">
      <c r="A322" s="70">
        <v>320</v>
      </c>
      <c r="B322" t="s">
        <v>1061</v>
      </c>
      <c r="C322" t="s">
        <v>1061</v>
      </c>
      <c r="D322" t="s">
        <v>351</v>
      </c>
      <c r="E322">
        <v>46.76</v>
      </c>
      <c r="F322" t="s">
        <v>20</v>
      </c>
      <c r="G322" t="s">
        <v>27</v>
      </c>
      <c r="H322" t="s">
        <v>290</v>
      </c>
      <c r="I322" t="s">
        <v>15</v>
      </c>
      <c r="J322" t="s">
        <v>32</v>
      </c>
      <c r="K322">
        <v>5468.3199999999979</v>
      </c>
    </row>
    <row r="323" spans="1:11" hidden="1" x14ac:dyDescent="0.25">
      <c r="A323" s="70">
        <v>321</v>
      </c>
      <c r="B323" t="s">
        <v>1061</v>
      </c>
      <c r="C323" t="s">
        <v>1061</v>
      </c>
      <c r="D323" t="s">
        <v>36</v>
      </c>
      <c r="E323">
        <v>-1000</v>
      </c>
      <c r="F323" t="s">
        <v>37</v>
      </c>
      <c r="G323" t="s">
        <v>38</v>
      </c>
      <c r="H323" t="s">
        <v>290</v>
      </c>
      <c r="I323" t="s">
        <v>15</v>
      </c>
      <c r="J323" t="s">
        <v>973</v>
      </c>
      <c r="K323">
        <v>4468.3199999999979</v>
      </c>
    </row>
    <row r="324" spans="1:11" hidden="1" x14ac:dyDescent="0.25">
      <c r="A324" s="70">
        <v>322</v>
      </c>
      <c r="B324" t="s">
        <v>1061</v>
      </c>
      <c r="C324" t="s">
        <v>1061</v>
      </c>
      <c r="D324" t="s">
        <v>352</v>
      </c>
      <c r="E324">
        <v>27.99</v>
      </c>
      <c r="F324" t="s">
        <v>20</v>
      </c>
      <c r="G324" t="s">
        <v>76</v>
      </c>
      <c r="H324" t="s">
        <v>290</v>
      </c>
      <c r="I324" t="s">
        <v>15</v>
      </c>
      <c r="J324" t="s">
        <v>42</v>
      </c>
      <c r="K324">
        <v>4496.3099999999977</v>
      </c>
    </row>
    <row r="325" spans="1:11" hidden="1" x14ac:dyDescent="0.25">
      <c r="A325" s="70">
        <v>323</v>
      </c>
      <c r="B325" t="s">
        <v>1061</v>
      </c>
      <c r="C325" t="s">
        <v>1061</v>
      </c>
      <c r="D325" t="s">
        <v>237</v>
      </c>
      <c r="E325">
        <v>11.8</v>
      </c>
      <c r="F325" t="s">
        <v>30</v>
      </c>
      <c r="G325" t="s">
        <v>76</v>
      </c>
      <c r="H325" t="s">
        <v>290</v>
      </c>
      <c r="I325" t="s">
        <v>15</v>
      </c>
      <c r="J325" t="s">
        <v>42</v>
      </c>
      <c r="K325">
        <v>4508.1099999999979</v>
      </c>
    </row>
    <row r="326" spans="1:11" hidden="1" x14ac:dyDescent="0.25">
      <c r="A326" s="70">
        <v>324</v>
      </c>
      <c r="B326" t="s">
        <v>1061</v>
      </c>
      <c r="C326" t="s">
        <v>1061</v>
      </c>
      <c r="D326" t="s">
        <v>237</v>
      </c>
      <c r="E326">
        <v>13.25</v>
      </c>
      <c r="F326" t="s">
        <v>30</v>
      </c>
      <c r="G326" t="s">
        <v>76</v>
      </c>
      <c r="H326" t="s">
        <v>290</v>
      </c>
      <c r="I326" t="s">
        <v>15</v>
      </c>
      <c r="J326" t="s">
        <v>42</v>
      </c>
      <c r="K326">
        <v>4521.3599999999979</v>
      </c>
    </row>
    <row r="327" spans="1:11" hidden="1" x14ac:dyDescent="0.25">
      <c r="A327" s="70">
        <v>325</v>
      </c>
      <c r="B327" t="s">
        <v>1061</v>
      </c>
      <c r="C327" t="s">
        <v>1061</v>
      </c>
      <c r="D327" t="s">
        <v>255</v>
      </c>
      <c r="E327">
        <v>5</v>
      </c>
      <c r="F327" t="s">
        <v>30</v>
      </c>
      <c r="G327" t="s">
        <v>76</v>
      </c>
      <c r="H327" t="s">
        <v>290</v>
      </c>
      <c r="I327" t="s">
        <v>15</v>
      </c>
      <c r="J327" t="s">
        <v>42</v>
      </c>
      <c r="K327">
        <v>4526.3599999999979</v>
      </c>
    </row>
    <row r="328" spans="1:11" hidden="1" x14ac:dyDescent="0.25">
      <c r="A328" s="70">
        <v>326</v>
      </c>
      <c r="B328" t="s">
        <v>1061</v>
      </c>
      <c r="C328" t="s">
        <v>1061</v>
      </c>
      <c r="D328" t="s">
        <v>236</v>
      </c>
      <c r="E328">
        <v>5</v>
      </c>
      <c r="F328" t="s">
        <v>30</v>
      </c>
      <c r="G328" t="s">
        <v>76</v>
      </c>
      <c r="H328" t="s">
        <v>290</v>
      </c>
      <c r="I328" t="s">
        <v>15</v>
      </c>
      <c r="J328" t="s">
        <v>42</v>
      </c>
      <c r="K328">
        <v>4531.3599999999979</v>
      </c>
    </row>
    <row r="329" spans="1:11" hidden="1" x14ac:dyDescent="0.25">
      <c r="A329" s="70">
        <v>327</v>
      </c>
      <c r="B329" t="s">
        <v>1062</v>
      </c>
      <c r="C329" t="s">
        <v>1062</v>
      </c>
      <c r="D329" t="s">
        <v>255</v>
      </c>
      <c r="E329">
        <v>15.86</v>
      </c>
      <c r="F329" t="s">
        <v>30</v>
      </c>
      <c r="G329" t="s">
        <v>76</v>
      </c>
      <c r="H329" t="s">
        <v>290</v>
      </c>
      <c r="I329" t="s">
        <v>15</v>
      </c>
      <c r="J329" t="s">
        <v>42</v>
      </c>
      <c r="K329">
        <v>4547.2199999999984</v>
      </c>
    </row>
    <row r="330" spans="1:11" hidden="1" x14ac:dyDescent="0.25">
      <c r="A330" s="70">
        <v>328</v>
      </c>
      <c r="B330" t="s">
        <v>1062</v>
      </c>
      <c r="C330" t="s">
        <v>1062</v>
      </c>
      <c r="D330" t="s">
        <v>236</v>
      </c>
      <c r="E330">
        <v>5</v>
      </c>
      <c r="F330" t="s">
        <v>30</v>
      </c>
      <c r="G330" t="s">
        <v>76</v>
      </c>
      <c r="H330" t="s">
        <v>290</v>
      </c>
      <c r="I330" t="s">
        <v>15</v>
      </c>
      <c r="J330" t="s">
        <v>42</v>
      </c>
      <c r="K330">
        <v>4552.2199999999984</v>
      </c>
    </row>
    <row r="331" spans="1:11" hidden="1" x14ac:dyDescent="0.25">
      <c r="A331" s="70">
        <v>329</v>
      </c>
      <c r="B331" t="s">
        <v>1062</v>
      </c>
      <c r="C331" t="s">
        <v>1062</v>
      </c>
      <c r="D331" t="s">
        <v>255</v>
      </c>
      <c r="E331">
        <v>7.9</v>
      </c>
      <c r="F331" t="s">
        <v>30</v>
      </c>
      <c r="G331" t="s">
        <v>76</v>
      </c>
      <c r="H331" t="s">
        <v>290</v>
      </c>
      <c r="I331" t="s">
        <v>15</v>
      </c>
      <c r="J331" t="s">
        <v>42</v>
      </c>
      <c r="K331">
        <v>4560.1199999999972</v>
      </c>
    </row>
    <row r="332" spans="1:11" hidden="1" x14ac:dyDescent="0.25">
      <c r="A332" s="70">
        <v>330</v>
      </c>
      <c r="B332" t="s">
        <v>1062</v>
      </c>
      <c r="C332" t="s">
        <v>1062</v>
      </c>
      <c r="D332" t="s">
        <v>353</v>
      </c>
      <c r="E332">
        <v>9.99</v>
      </c>
      <c r="F332" t="s">
        <v>30</v>
      </c>
      <c r="G332" t="s">
        <v>76</v>
      </c>
      <c r="H332" t="s">
        <v>290</v>
      </c>
      <c r="I332" t="s">
        <v>15</v>
      </c>
      <c r="J332" t="s">
        <v>42</v>
      </c>
      <c r="K332">
        <v>4570.1099999999969</v>
      </c>
    </row>
    <row r="333" spans="1:11" hidden="1" x14ac:dyDescent="0.25">
      <c r="A333" s="70">
        <v>331</v>
      </c>
      <c r="B333" t="s">
        <v>1063</v>
      </c>
      <c r="C333" t="s">
        <v>1063</v>
      </c>
      <c r="D333" t="s">
        <v>354</v>
      </c>
      <c r="E333">
        <v>36.36</v>
      </c>
      <c r="F333" t="s">
        <v>53</v>
      </c>
      <c r="G333" t="s">
        <v>76</v>
      </c>
      <c r="H333" t="s">
        <v>290</v>
      </c>
      <c r="I333" t="s">
        <v>15</v>
      </c>
      <c r="J333" t="s">
        <v>42</v>
      </c>
      <c r="K333">
        <v>4606.4699999999966</v>
      </c>
    </row>
    <row r="334" spans="1:11" hidden="1" x14ac:dyDescent="0.25">
      <c r="A334" s="70">
        <v>332</v>
      </c>
      <c r="B334" t="s">
        <v>1063</v>
      </c>
      <c r="C334" t="s">
        <v>1063</v>
      </c>
      <c r="D334" t="s">
        <v>255</v>
      </c>
      <c r="E334">
        <v>19.41</v>
      </c>
      <c r="F334" t="s">
        <v>30</v>
      </c>
      <c r="G334" t="s">
        <v>76</v>
      </c>
      <c r="H334" t="s">
        <v>290</v>
      </c>
      <c r="I334" t="s">
        <v>15</v>
      </c>
      <c r="J334" t="s">
        <v>42</v>
      </c>
      <c r="K334">
        <v>4625.8799999999956</v>
      </c>
    </row>
    <row r="335" spans="1:11" hidden="1" x14ac:dyDescent="0.25">
      <c r="A335" s="70">
        <v>333</v>
      </c>
      <c r="B335" t="s">
        <v>1064</v>
      </c>
      <c r="C335" t="s">
        <v>1064</v>
      </c>
      <c r="D335" t="s">
        <v>355</v>
      </c>
      <c r="E335">
        <v>85.76</v>
      </c>
      <c r="F335" t="s">
        <v>20</v>
      </c>
      <c r="G335" t="s">
        <v>27</v>
      </c>
      <c r="H335" t="s">
        <v>290</v>
      </c>
      <c r="I335" t="s">
        <v>15</v>
      </c>
      <c r="J335" t="s">
        <v>32</v>
      </c>
      <c r="K335">
        <v>4711.6399999999967</v>
      </c>
    </row>
    <row r="336" spans="1:11" hidden="1" x14ac:dyDescent="0.25">
      <c r="A336" s="70">
        <v>334</v>
      </c>
      <c r="B336" t="s">
        <v>1064</v>
      </c>
      <c r="C336" t="s">
        <v>1064</v>
      </c>
      <c r="D336" t="s">
        <v>356</v>
      </c>
      <c r="E336">
        <v>48.72</v>
      </c>
      <c r="F336" t="s">
        <v>40</v>
      </c>
      <c r="G336" t="s">
        <v>41</v>
      </c>
      <c r="H336" t="s">
        <v>290</v>
      </c>
      <c r="I336" t="s">
        <v>15</v>
      </c>
      <c r="J336" t="s">
        <v>42</v>
      </c>
      <c r="K336">
        <v>4760.3599999999969</v>
      </c>
    </row>
    <row r="337" spans="1:11" hidden="1" x14ac:dyDescent="0.25">
      <c r="A337" s="70">
        <v>335</v>
      </c>
      <c r="B337" t="s">
        <v>1064</v>
      </c>
      <c r="C337" t="s">
        <v>1064</v>
      </c>
      <c r="D337" t="s">
        <v>357</v>
      </c>
      <c r="E337">
        <v>62</v>
      </c>
      <c r="F337" t="s">
        <v>12</v>
      </c>
      <c r="G337" t="s">
        <v>18</v>
      </c>
      <c r="H337" t="s">
        <v>290</v>
      </c>
      <c r="I337" t="s">
        <v>15</v>
      </c>
      <c r="J337" t="s">
        <v>16</v>
      </c>
      <c r="K337">
        <v>4822.3599999999969</v>
      </c>
    </row>
    <row r="338" spans="1:11" hidden="1" x14ac:dyDescent="0.25">
      <c r="A338" s="70">
        <v>336</v>
      </c>
      <c r="B338" t="s">
        <v>1064</v>
      </c>
      <c r="C338" t="s">
        <v>1064</v>
      </c>
      <c r="D338" t="s">
        <v>358</v>
      </c>
      <c r="E338">
        <v>778</v>
      </c>
      <c r="F338" t="s">
        <v>30</v>
      </c>
      <c r="G338" t="s">
        <v>294</v>
      </c>
      <c r="H338" t="s">
        <v>290</v>
      </c>
      <c r="I338" t="s">
        <v>15</v>
      </c>
      <c r="J338" t="s">
        <v>23</v>
      </c>
      <c r="K338">
        <v>5600.3599999999969</v>
      </c>
    </row>
    <row r="339" spans="1:11" hidden="1" x14ac:dyDescent="0.25">
      <c r="A339" s="70">
        <v>337</v>
      </c>
      <c r="B339" t="s">
        <v>1064</v>
      </c>
      <c r="C339" t="s">
        <v>1064</v>
      </c>
      <c r="D339" t="s">
        <v>359</v>
      </c>
      <c r="E339">
        <v>61.62</v>
      </c>
      <c r="F339" t="s">
        <v>12</v>
      </c>
      <c r="G339" t="s">
        <v>18</v>
      </c>
      <c r="H339" t="s">
        <v>290</v>
      </c>
      <c r="I339" t="s">
        <v>15</v>
      </c>
      <c r="J339" t="s">
        <v>16</v>
      </c>
      <c r="K339">
        <v>5661.9799999999968</v>
      </c>
    </row>
    <row r="340" spans="1:11" hidden="1" x14ac:dyDescent="0.25">
      <c r="A340" s="70">
        <v>338</v>
      </c>
      <c r="B340" t="s">
        <v>1064</v>
      </c>
      <c r="C340" t="s">
        <v>1064</v>
      </c>
      <c r="D340" t="s">
        <v>360</v>
      </c>
      <c r="E340">
        <v>70</v>
      </c>
      <c r="F340" t="s">
        <v>12</v>
      </c>
      <c r="G340" t="s">
        <v>18</v>
      </c>
      <c r="H340" t="s">
        <v>290</v>
      </c>
      <c r="I340" t="s">
        <v>15</v>
      </c>
      <c r="J340" t="s">
        <v>16</v>
      </c>
      <c r="K340">
        <v>5731.9799999999968</v>
      </c>
    </row>
    <row r="341" spans="1:11" hidden="1" x14ac:dyDescent="0.25">
      <c r="A341" s="70">
        <v>339</v>
      </c>
      <c r="B341" t="s">
        <v>1064</v>
      </c>
      <c r="C341" t="s">
        <v>1064</v>
      </c>
      <c r="D341" t="s">
        <v>354</v>
      </c>
      <c r="E341">
        <v>10</v>
      </c>
      <c r="F341" t="s">
        <v>53</v>
      </c>
      <c r="G341" t="s">
        <v>76</v>
      </c>
      <c r="H341" t="s">
        <v>290</v>
      </c>
      <c r="I341" t="s">
        <v>15</v>
      </c>
      <c r="J341" t="s">
        <v>42</v>
      </c>
      <c r="K341">
        <v>5741.9799999999968</v>
      </c>
    </row>
    <row r="342" spans="1:11" hidden="1" x14ac:dyDescent="0.25">
      <c r="A342" s="70">
        <v>340</v>
      </c>
      <c r="B342" t="s">
        <v>1065</v>
      </c>
      <c r="C342" t="s">
        <v>1065</v>
      </c>
      <c r="D342" t="s">
        <v>236</v>
      </c>
      <c r="E342">
        <v>5</v>
      </c>
      <c r="F342" t="s">
        <v>30</v>
      </c>
      <c r="G342" t="s">
        <v>76</v>
      </c>
      <c r="H342" t="s">
        <v>290</v>
      </c>
      <c r="I342" t="s">
        <v>15</v>
      </c>
      <c r="J342" t="s">
        <v>42</v>
      </c>
      <c r="K342">
        <v>5746.9799999999968</v>
      </c>
    </row>
    <row r="343" spans="1:11" hidden="1" x14ac:dyDescent="0.25">
      <c r="A343" s="70">
        <v>341</v>
      </c>
      <c r="B343" t="s">
        <v>1065</v>
      </c>
      <c r="C343" t="s">
        <v>1065</v>
      </c>
      <c r="D343" t="s">
        <v>236</v>
      </c>
      <c r="E343">
        <v>12.86</v>
      </c>
      <c r="F343" t="s">
        <v>30</v>
      </c>
      <c r="G343" t="s">
        <v>76</v>
      </c>
      <c r="H343" t="s">
        <v>290</v>
      </c>
      <c r="I343" t="s">
        <v>15</v>
      </c>
      <c r="J343" t="s">
        <v>42</v>
      </c>
      <c r="K343">
        <v>5759.8399999999974</v>
      </c>
    </row>
    <row r="344" spans="1:11" hidden="1" x14ac:dyDescent="0.25">
      <c r="A344" s="70">
        <v>342</v>
      </c>
      <c r="B344" t="s">
        <v>1065</v>
      </c>
      <c r="C344" t="s">
        <v>1065</v>
      </c>
      <c r="D344" t="s">
        <v>237</v>
      </c>
      <c r="E344">
        <v>7.9</v>
      </c>
      <c r="F344" t="s">
        <v>30</v>
      </c>
      <c r="G344" t="s">
        <v>76</v>
      </c>
      <c r="H344" t="s">
        <v>290</v>
      </c>
      <c r="I344" t="s">
        <v>15</v>
      </c>
      <c r="J344" t="s">
        <v>42</v>
      </c>
      <c r="K344">
        <v>5767.7399999999961</v>
      </c>
    </row>
    <row r="345" spans="1:11" hidden="1" x14ac:dyDescent="0.25">
      <c r="A345" s="70">
        <v>343</v>
      </c>
      <c r="B345" t="s">
        <v>1065</v>
      </c>
      <c r="C345" t="s">
        <v>1065</v>
      </c>
      <c r="D345" t="s">
        <v>237</v>
      </c>
      <c r="E345">
        <v>6.43</v>
      </c>
      <c r="F345" t="s">
        <v>30</v>
      </c>
      <c r="G345" t="s">
        <v>76</v>
      </c>
      <c r="H345" t="s">
        <v>290</v>
      </c>
      <c r="I345" t="s">
        <v>15</v>
      </c>
      <c r="J345" t="s">
        <v>42</v>
      </c>
      <c r="K345">
        <v>5774.1699999999964</v>
      </c>
    </row>
    <row r="346" spans="1:11" hidden="1" x14ac:dyDescent="0.25">
      <c r="A346" s="70">
        <v>344</v>
      </c>
      <c r="B346" t="s">
        <v>1065</v>
      </c>
      <c r="C346" t="s">
        <v>1065</v>
      </c>
      <c r="D346" t="s">
        <v>361</v>
      </c>
      <c r="E346">
        <v>64.73</v>
      </c>
      <c r="F346" t="s">
        <v>30</v>
      </c>
      <c r="G346" t="s">
        <v>362</v>
      </c>
      <c r="H346" t="s">
        <v>290</v>
      </c>
      <c r="I346" t="s">
        <v>15</v>
      </c>
      <c r="J346" t="s">
        <v>23</v>
      </c>
      <c r="K346">
        <v>5838.899999999996</v>
      </c>
    </row>
    <row r="347" spans="1:11" hidden="1" x14ac:dyDescent="0.25">
      <c r="A347" s="70">
        <v>345</v>
      </c>
      <c r="B347" t="s">
        <v>1065</v>
      </c>
      <c r="C347" t="s">
        <v>1065</v>
      </c>
      <c r="D347" t="s">
        <v>28</v>
      </c>
      <c r="E347">
        <v>13.66</v>
      </c>
      <c r="F347" t="s">
        <v>12</v>
      </c>
      <c r="G347" t="s">
        <v>13</v>
      </c>
      <c r="H347" t="s">
        <v>290</v>
      </c>
      <c r="I347" t="s">
        <v>15</v>
      </c>
      <c r="J347" t="s">
        <v>16</v>
      </c>
      <c r="K347">
        <v>5852.5599999999959</v>
      </c>
    </row>
    <row r="348" spans="1:11" hidden="1" x14ac:dyDescent="0.25">
      <c r="A348" s="70">
        <v>346</v>
      </c>
      <c r="B348" t="s">
        <v>1065</v>
      </c>
      <c r="C348" t="s">
        <v>1065</v>
      </c>
      <c r="D348" t="s">
        <v>363</v>
      </c>
      <c r="E348">
        <v>54.28</v>
      </c>
      <c r="F348" t="s">
        <v>20</v>
      </c>
      <c r="G348" t="s">
        <v>27</v>
      </c>
      <c r="H348" t="s">
        <v>290</v>
      </c>
      <c r="I348" t="s">
        <v>15</v>
      </c>
      <c r="J348" t="s">
        <v>32</v>
      </c>
      <c r="K348">
        <v>5906.8399999999956</v>
      </c>
    </row>
    <row r="349" spans="1:11" hidden="1" x14ac:dyDescent="0.25">
      <c r="A349" s="70">
        <v>347</v>
      </c>
      <c r="B349" t="s">
        <v>1066</v>
      </c>
      <c r="C349" t="s">
        <v>1066</v>
      </c>
      <c r="D349" t="s">
        <v>295</v>
      </c>
      <c r="E349">
        <v>21.67</v>
      </c>
      <c r="F349" t="s">
        <v>20</v>
      </c>
      <c r="G349" t="s">
        <v>27</v>
      </c>
      <c r="H349" t="s">
        <v>290</v>
      </c>
      <c r="I349" t="s">
        <v>15</v>
      </c>
      <c r="J349" t="s">
        <v>32</v>
      </c>
      <c r="K349">
        <v>5928.5099999999957</v>
      </c>
    </row>
    <row r="350" spans="1:11" hidden="1" x14ac:dyDescent="0.25">
      <c r="A350" s="70">
        <v>348</v>
      </c>
      <c r="B350" t="s">
        <v>1066</v>
      </c>
      <c r="C350" t="s">
        <v>1066</v>
      </c>
      <c r="D350" t="s">
        <v>268</v>
      </c>
      <c r="E350">
        <v>10.62</v>
      </c>
      <c r="F350" t="s">
        <v>20</v>
      </c>
      <c r="G350" t="s">
        <v>80</v>
      </c>
      <c r="H350" t="s">
        <v>290</v>
      </c>
      <c r="I350" t="s">
        <v>15</v>
      </c>
      <c r="J350" t="s">
        <v>23</v>
      </c>
      <c r="K350">
        <v>5939.1299999999956</v>
      </c>
    </row>
    <row r="351" spans="1:11" hidden="1" x14ac:dyDescent="0.25">
      <c r="A351" s="70">
        <v>349</v>
      </c>
      <c r="B351" t="s">
        <v>1066</v>
      </c>
      <c r="C351" t="s">
        <v>1066</v>
      </c>
      <c r="D351" t="s">
        <v>293</v>
      </c>
      <c r="E351">
        <v>29.98</v>
      </c>
      <c r="F351" t="s">
        <v>12</v>
      </c>
      <c r="G351" t="s">
        <v>294</v>
      </c>
      <c r="H351" t="s">
        <v>290</v>
      </c>
      <c r="I351" t="s">
        <v>15</v>
      </c>
      <c r="J351" t="s">
        <v>23</v>
      </c>
      <c r="K351">
        <v>5969.1099999999951</v>
      </c>
    </row>
    <row r="352" spans="1:11" hidden="1" x14ac:dyDescent="0.25">
      <c r="A352" s="70">
        <v>350</v>
      </c>
      <c r="B352" t="s">
        <v>1066</v>
      </c>
      <c r="C352" t="s">
        <v>1066</v>
      </c>
      <c r="D352" t="s">
        <v>293</v>
      </c>
      <c r="E352">
        <v>39.11</v>
      </c>
      <c r="F352" t="s">
        <v>12</v>
      </c>
      <c r="G352" t="s">
        <v>294</v>
      </c>
      <c r="H352" t="s">
        <v>290</v>
      </c>
      <c r="I352" t="s">
        <v>15</v>
      </c>
      <c r="J352" t="s">
        <v>23</v>
      </c>
      <c r="K352">
        <v>6008.2199999999948</v>
      </c>
    </row>
    <row r="353" spans="1:11" hidden="1" x14ac:dyDescent="0.25">
      <c r="A353" s="70">
        <v>351</v>
      </c>
      <c r="B353" t="s">
        <v>1066</v>
      </c>
      <c r="C353" t="s">
        <v>1066</v>
      </c>
      <c r="D353" t="s">
        <v>296</v>
      </c>
      <c r="E353">
        <v>17.329999999999998</v>
      </c>
      <c r="F353" t="s">
        <v>12</v>
      </c>
      <c r="G353" t="s">
        <v>18</v>
      </c>
      <c r="H353" t="s">
        <v>290</v>
      </c>
      <c r="I353" t="s">
        <v>15</v>
      </c>
      <c r="J353" t="s">
        <v>16</v>
      </c>
      <c r="K353">
        <v>6025.5499999999947</v>
      </c>
    </row>
    <row r="354" spans="1:11" hidden="1" x14ac:dyDescent="0.25">
      <c r="A354" s="70">
        <v>352</v>
      </c>
      <c r="B354" t="s">
        <v>1067</v>
      </c>
      <c r="C354" t="s">
        <v>1067</v>
      </c>
      <c r="D354" t="s">
        <v>297</v>
      </c>
      <c r="E354">
        <v>15.89</v>
      </c>
      <c r="F354" t="s">
        <v>20</v>
      </c>
      <c r="G354" t="s">
        <v>49</v>
      </c>
      <c r="H354" t="s">
        <v>290</v>
      </c>
      <c r="I354" t="s">
        <v>22</v>
      </c>
      <c r="J354" t="s">
        <v>23</v>
      </c>
      <c r="K354">
        <v>6041.4399999999951</v>
      </c>
    </row>
    <row r="355" spans="1:11" hidden="1" x14ac:dyDescent="0.25">
      <c r="A355" s="70">
        <v>353</v>
      </c>
      <c r="B355" t="s">
        <v>1067</v>
      </c>
      <c r="C355" t="s">
        <v>1067</v>
      </c>
      <c r="D355" t="s">
        <v>123</v>
      </c>
      <c r="E355">
        <v>6.6</v>
      </c>
      <c r="F355" t="s">
        <v>12</v>
      </c>
      <c r="G355" t="s">
        <v>13</v>
      </c>
      <c r="H355" t="s">
        <v>290</v>
      </c>
      <c r="I355" t="s">
        <v>15</v>
      </c>
      <c r="J355" t="s">
        <v>16</v>
      </c>
      <c r="K355">
        <v>6048.0399999999954</v>
      </c>
    </row>
    <row r="356" spans="1:11" hidden="1" x14ac:dyDescent="0.25">
      <c r="A356" s="70">
        <v>354</v>
      </c>
      <c r="B356" t="s">
        <v>1067</v>
      </c>
      <c r="C356" t="s">
        <v>1067</v>
      </c>
      <c r="D356" t="s">
        <v>298</v>
      </c>
      <c r="E356">
        <v>37.5</v>
      </c>
      <c r="F356" t="s">
        <v>56</v>
      </c>
      <c r="G356" t="s">
        <v>13</v>
      </c>
      <c r="H356" t="s">
        <v>290</v>
      </c>
      <c r="I356" t="s">
        <v>15</v>
      </c>
      <c r="J356" t="s">
        <v>16</v>
      </c>
      <c r="K356">
        <v>6085.5399999999954</v>
      </c>
    </row>
    <row r="357" spans="1:11" hidden="1" x14ac:dyDescent="0.25">
      <c r="A357" s="70">
        <v>355</v>
      </c>
      <c r="B357" t="s">
        <v>1067</v>
      </c>
      <c r="C357" t="s">
        <v>1067</v>
      </c>
      <c r="D357" t="s">
        <v>237</v>
      </c>
      <c r="E357">
        <v>12.22</v>
      </c>
      <c r="F357" t="s">
        <v>30</v>
      </c>
      <c r="G357" t="s">
        <v>76</v>
      </c>
      <c r="H357" t="s">
        <v>290</v>
      </c>
      <c r="I357" t="s">
        <v>15</v>
      </c>
      <c r="J357" t="s">
        <v>42</v>
      </c>
      <c r="K357">
        <v>6097.7599999999957</v>
      </c>
    </row>
    <row r="358" spans="1:11" hidden="1" x14ac:dyDescent="0.25">
      <c r="A358" s="70">
        <v>356</v>
      </c>
      <c r="B358" t="s">
        <v>781</v>
      </c>
      <c r="C358" t="s">
        <v>781</v>
      </c>
      <c r="D358" t="s">
        <v>255</v>
      </c>
      <c r="E358">
        <v>18.32</v>
      </c>
      <c r="F358" t="s">
        <v>30</v>
      </c>
      <c r="G358" t="s">
        <v>76</v>
      </c>
      <c r="H358" t="s">
        <v>290</v>
      </c>
      <c r="I358" t="s">
        <v>15</v>
      </c>
      <c r="J358" t="s">
        <v>42</v>
      </c>
      <c r="K358">
        <v>6116.0799999999954</v>
      </c>
    </row>
    <row r="359" spans="1:11" hidden="1" x14ac:dyDescent="0.25">
      <c r="A359" s="70">
        <v>357</v>
      </c>
      <c r="B359" t="s">
        <v>781</v>
      </c>
      <c r="C359" t="s">
        <v>781</v>
      </c>
      <c r="D359" t="s">
        <v>255</v>
      </c>
      <c r="E359">
        <v>5</v>
      </c>
      <c r="F359" t="s">
        <v>30</v>
      </c>
      <c r="G359" t="s">
        <v>76</v>
      </c>
      <c r="H359" t="s">
        <v>290</v>
      </c>
      <c r="I359" t="s">
        <v>15</v>
      </c>
      <c r="J359" t="s">
        <v>42</v>
      </c>
      <c r="K359">
        <v>6121.0799999999954</v>
      </c>
    </row>
    <row r="360" spans="1:11" hidden="1" x14ac:dyDescent="0.25">
      <c r="A360" s="70">
        <v>358</v>
      </c>
      <c r="B360" t="s">
        <v>781</v>
      </c>
      <c r="C360" t="s">
        <v>781</v>
      </c>
      <c r="D360" t="s">
        <v>299</v>
      </c>
      <c r="E360">
        <v>47.7</v>
      </c>
      <c r="F360" t="s">
        <v>12</v>
      </c>
      <c r="G360" t="s">
        <v>13</v>
      </c>
      <c r="H360" t="s">
        <v>290</v>
      </c>
      <c r="I360" t="s">
        <v>15</v>
      </c>
      <c r="J360" t="s">
        <v>16</v>
      </c>
      <c r="K360">
        <v>6168.7799999999952</v>
      </c>
    </row>
    <row r="361" spans="1:11" hidden="1" x14ac:dyDescent="0.25">
      <c r="A361" s="70">
        <v>359</v>
      </c>
      <c r="B361" t="s">
        <v>781</v>
      </c>
      <c r="C361" t="s">
        <v>781</v>
      </c>
      <c r="D361" t="s">
        <v>237</v>
      </c>
      <c r="E361">
        <v>28.18</v>
      </c>
      <c r="F361" t="s">
        <v>30</v>
      </c>
      <c r="G361" t="s">
        <v>76</v>
      </c>
      <c r="H361" t="s">
        <v>290</v>
      </c>
      <c r="I361" t="s">
        <v>15</v>
      </c>
      <c r="J361" t="s">
        <v>42</v>
      </c>
      <c r="K361">
        <v>6196.9599999999946</v>
      </c>
    </row>
    <row r="362" spans="1:11" hidden="1" x14ac:dyDescent="0.25">
      <c r="A362" s="70">
        <v>360</v>
      </c>
      <c r="B362" t="s">
        <v>1068</v>
      </c>
      <c r="C362" t="s">
        <v>1068</v>
      </c>
      <c r="D362" t="s">
        <v>300</v>
      </c>
      <c r="E362">
        <v>20.7</v>
      </c>
      <c r="F362" t="s">
        <v>30</v>
      </c>
      <c r="G362" t="s">
        <v>169</v>
      </c>
      <c r="H362" t="s">
        <v>290</v>
      </c>
      <c r="I362" t="s">
        <v>15</v>
      </c>
      <c r="J362" t="s">
        <v>23</v>
      </c>
      <c r="K362">
        <v>6217.6599999999953</v>
      </c>
    </row>
    <row r="363" spans="1:11" hidden="1" x14ac:dyDescent="0.25">
      <c r="A363" s="70">
        <v>361</v>
      </c>
      <c r="B363" t="s">
        <v>1068</v>
      </c>
      <c r="C363" t="s">
        <v>1068</v>
      </c>
      <c r="D363" t="s">
        <v>301</v>
      </c>
      <c r="E363">
        <v>30</v>
      </c>
      <c r="F363" t="s">
        <v>12</v>
      </c>
      <c r="G363" t="s">
        <v>18</v>
      </c>
      <c r="H363" t="s">
        <v>290</v>
      </c>
      <c r="I363" t="s">
        <v>15</v>
      </c>
      <c r="J363" t="s">
        <v>16</v>
      </c>
      <c r="K363">
        <v>6247.6599999999953</v>
      </c>
    </row>
    <row r="364" spans="1:11" hidden="1" x14ac:dyDescent="0.25">
      <c r="A364" s="70">
        <v>362</v>
      </c>
      <c r="B364" t="s">
        <v>1068</v>
      </c>
      <c r="C364" t="s">
        <v>1068</v>
      </c>
      <c r="D364" t="s">
        <v>237</v>
      </c>
      <c r="E364">
        <v>9.41</v>
      </c>
      <c r="F364" t="s">
        <v>30</v>
      </c>
      <c r="G364" t="s">
        <v>76</v>
      </c>
      <c r="H364" t="s">
        <v>290</v>
      </c>
      <c r="I364" t="s">
        <v>15</v>
      </c>
      <c r="J364" t="s">
        <v>42</v>
      </c>
      <c r="K364">
        <v>6257.0699999999952</v>
      </c>
    </row>
    <row r="365" spans="1:11" hidden="1" x14ac:dyDescent="0.25">
      <c r="A365" s="70">
        <v>363</v>
      </c>
      <c r="B365" t="s">
        <v>1068</v>
      </c>
      <c r="C365" t="s">
        <v>1068</v>
      </c>
      <c r="D365" t="s">
        <v>255</v>
      </c>
      <c r="E365">
        <v>10</v>
      </c>
      <c r="F365" t="s">
        <v>30</v>
      </c>
      <c r="G365" t="s">
        <v>76</v>
      </c>
      <c r="H365" t="s">
        <v>290</v>
      </c>
      <c r="I365" t="s">
        <v>15</v>
      </c>
      <c r="J365" t="s">
        <v>42</v>
      </c>
      <c r="K365">
        <v>6267.0699999999952</v>
      </c>
    </row>
    <row r="366" spans="1:11" hidden="1" x14ac:dyDescent="0.25">
      <c r="A366" s="70">
        <v>364</v>
      </c>
      <c r="B366" t="s">
        <v>1069</v>
      </c>
      <c r="C366" t="s">
        <v>1069</v>
      </c>
      <c r="D366" t="s">
        <v>302</v>
      </c>
      <c r="E366">
        <v>73.400000000000006</v>
      </c>
      <c r="F366" t="s">
        <v>12</v>
      </c>
      <c r="G366" t="s">
        <v>18</v>
      </c>
      <c r="H366" t="s">
        <v>290</v>
      </c>
      <c r="I366" t="s">
        <v>15</v>
      </c>
      <c r="J366" t="s">
        <v>16</v>
      </c>
      <c r="K366">
        <v>6340.4699999999948</v>
      </c>
    </row>
    <row r="367" spans="1:11" hidden="1" x14ac:dyDescent="0.25">
      <c r="A367" s="70">
        <v>365</v>
      </c>
      <c r="B367" t="s">
        <v>1069</v>
      </c>
      <c r="C367" t="s">
        <v>1069</v>
      </c>
      <c r="D367" t="s">
        <v>303</v>
      </c>
      <c r="E367">
        <v>4.08</v>
      </c>
      <c r="F367" t="s">
        <v>20</v>
      </c>
      <c r="G367" t="s">
        <v>41</v>
      </c>
      <c r="H367" t="s">
        <v>290</v>
      </c>
      <c r="I367" t="s">
        <v>15</v>
      </c>
      <c r="J367" t="s">
        <v>42</v>
      </c>
      <c r="K367">
        <v>6344.5499999999947</v>
      </c>
    </row>
    <row r="368" spans="1:11" hidden="1" x14ac:dyDescent="0.25">
      <c r="A368" s="70">
        <v>366</v>
      </c>
      <c r="B368" t="s">
        <v>1069</v>
      </c>
      <c r="C368" t="s">
        <v>1069</v>
      </c>
      <c r="D368" t="s">
        <v>268</v>
      </c>
      <c r="E368">
        <v>7.43</v>
      </c>
      <c r="F368" t="s">
        <v>20</v>
      </c>
      <c r="G368" t="s">
        <v>80</v>
      </c>
      <c r="H368" t="s">
        <v>290</v>
      </c>
      <c r="I368" t="s">
        <v>15</v>
      </c>
      <c r="J368" t="s">
        <v>23</v>
      </c>
      <c r="K368">
        <v>6351.979999999995</v>
      </c>
    </row>
    <row r="369" spans="1:11" hidden="1" x14ac:dyDescent="0.25">
      <c r="A369" s="70">
        <v>367</v>
      </c>
      <c r="B369" t="s">
        <v>1069</v>
      </c>
      <c r="C369" t="s">
        <v>1069</v>
      </c>
      <c r="D369" t="s">
        <v>304</v>
      </c>
      <c r="E369">
        <v>10.85</v>
      </c>
      <c r="F369" t="s">
        <v>56</v>
      </c>
      <c r="G369" t="s">
        <v>305</v>
      </c>
      <c r="H369" t="s">
        <v>290</v>
      </c>
      <c r="I369" t="s">
        <v>22</v>
      </c>
      <c r="J369" t="s">
        <v>23</v>
      </c>
      <c r="K369">
        <v>6362.8299999999954</v>
      </c>
    </row>
    <row r="370" spans="1:11" hidden="1" x14ac:dyDescent="0.25">
      <c r="A370" s="70">
        <v>368</v>
      </c>
      <c r="B370" t="s">
        <v>1069</v>
      </c>
      <c r="C370" t="s">
        <v>1069</v>
      </c>
      <c r="D370" t="s">
        <v>255</v>
      </c>
      <c r="E370">
        <v>6.26</v>
      </c>
      <c r="F370" t="s">
        <v>30</v>
      </c>
      <c r="G370" t="s">
        <v>76</v>
      </c>
      <c r="H370" t="s">
        <v>290</v>
      </c>
      <c r="I370" t="s">
        <v>15</v>
      </c>
      <c r="J370" t="s">
        <v>42</v>
      </c>
      <c r="K370">
        <v>6369.0899999999956</v>
      </c>
    </row>
    <row r="371" spans="1:11" hidden="1" x14ac:dyDescent="0.25">
      <c r="A371" s="70">
        <v>369</v>
      </c>
      <c r="B371" t="s">
        <v>778</v>
      </c>
      <c r="C371" t="s">
        <v>778</v>
      </c>
      <c r="D371" t="s">
        <v>256</v>
      </c>
      <c r="E371">
        <v>8.5</v>
      </c>
      <c r="F371" t="s">
        <v>20</v>
      </c>
      <c r="G371" t="s">
        <v>80</v>
      </c>
      <c r="H371" t="s">
        <v>290</v>
      </c>
      <c r="I371" t="s">
        <v>15</v>
      </c>
      <c r="J371" t="s">
        <v>23</v>
      </c>
      <c r="K371">
        <v>6377.5899999999956</v>
      </c>
    </row>
    <row r="372" spans="1:11" hidden="1" x14ac:dyDescent="0.25">
      <c r="A372" s="70">
        <v>370</v>
      </c>
      <c r="B372" t="s">
        <v>778</v>
      </c>
      <c r="C372" t="s">
        <v>778</v>
      </c>
      <c r="D372" t="s">
        <v>306</v>
      </c>
      <c r="E372">
        <v>11.65</v>
      </c>
      <c r="F372" t="s">
        <v>40</v>
      </c>
      <c r="G372" t="s">
        <v>41</v>
      </c>
      <c r="H372" t="s">
        <v>290</v>
      </c>
      <c r="I372" t="s">
        <v>15</v>
      </c>
      <c r="J372" t="s">
        <v>42</v>
      </c>
      <c r="K372">
        <v>6389.2399999999952</v>
      </c>
    </row>
    <row r="373" spans="1:11" hidden="1" x14ac:dyDescent="0.25">
      <c r="A373" s="70">
        <v>371</v>
      </c>
      <c r="B373" t="s">
        <v>1070</v>
      </c>
      <c r="C373" t="s">
        <v>1070</v>
      </c>
      <c r="D373" t="s">
        <v>307</v>
      </c>
      <c r="E373">
        <v>39.090000000000003</v>
      </c>
      <c r="F373" t="s">
        <v>20</v>
      </c>
      <c r="G373" t="s">
        <v>27</v>
      </c>
      <c r="H373" t="s">
        <v>290</v>
      </c>
      <c r="I373" t="s">
        <v>15</v>
      </c>
      <c r="J373" t="s">
        <v>32</v>
      </c>
      <c r="K373">
        <v>6428.3299999999954</v>
      </c>
    </row>
    <row r="374" spans="1:11" hidden="1" x14ac:dyDescent="0.25">
      <c r="A374" s="70">
        <v>372</v>
      </c>
      <c r="B374" t="s">
        <v>1070</v>
      </c>
      <c r="C374" t="s">
        <v>1070</v>
      </c>
      <c r="D374" t="s">
        <v>64</v>
      </c>
      <c r="E374">
        <v>70</v>
      </c>
      <c r="F374" t="s">
        <v>20</v>
      </c>
      <c r="G374" t="s">
        <v>65</v>
      </c>
      <c r="H374" t="s">
        <v>290</v>
      </c>
      <c r="I374" t="s">
        <v>15</v>
      </c>
      <c r="J374" t="s">
        <v>66</v>
      </c>
      <c r="K374">
        <v>6498.3299999999954</v>
      </c>
    </row>
    <row r="375" spans="1:11" hidden="1" x14ac:dyDescent="0.25">
      <c r="A375" s="70">
        <v>373</v>
      </c>
      <c r="B375" t="s">
        <v>1070</v>
      </c>
      <c r="C375" t="s">
        <v>1070</v>
      </c>
      <c r="D375" t="s">
        <v>258</v>
      </c>
      <c r="E375">
        <v>3</v>
      </c>
      <c r="F375" t="s">
        <v>12</v>
      </c>
      <c r="G375" t="s">
        <v>76</v>
      </c>
      <c r="H375" t="s">
        <v>290</v>
      </c>
      <c r="I375" t="s">
        <v>15</v>
      </c>
      <c r="J375" t="s">
        <v>42</v>
      </c>
      <c r="K375">
        <v>6501.3299999999954</v>
      </c>
    </row>
    <row r="376" spans="1:11" hidden="1" x14ac:dyDescent="0.25">
      <c r="A376" s="70">
        <v>374</v>
      </c>
      <c r="B376" t="s">
        <v>1070</v>
      </c>
      <c r="C376" t="s">
        <v>1070</v>
      </c>
      <c r="D376" t="s">
        <v>258</v>
      </c>
      <c r="E376">
        <v>19.559999999999999</v>
      </c>
      <c r="F376" t="s">
        <v>12</v>
      </c>
      <c r="G376" t="s">
        <v>76</v>
      </c>
      <c r="H376" t="s">
        <v>290</v>
      </c>
      <c r="I376" t="s">
        <v>15</v>
      </c>
      <c r="J376" t="s">
        <v>42</v>
      </c>
      <c r="K376">
        <v>6520.8899999999958</v>
      </c>
    </row>
    <row r="377" spans="1:11" hidden="1" x14ac:dyDescent="0.25">
      <c r="A377" s="70">
        <v>375</v>
      </c>
      <c r="B377" t="s">
        <v>1071</v>
      </c>
      <c r="C377" t="s">
        <v>1071</v>
      </c>
      <c r="D377" t="s">
        <v>311</v>
      </c>
      <c r="E377">
        <v>30.94</v>
      </c>
      <c r="F377" t="s">
        <v>20</v>
      </c>
      <c r="G377" t="s">
        <v>27</v>
      </c>
      <c r="H377" t="s">
        <v>290</v>
      </c>
      <c r="I377" t="s">
        <v>15</v>
      </c>
      <c r="J377" t="s">
        <v>32</v>
      </c>
      <c r="K377">
        <v>6551.8299999999954</v>
      </c>
    </row>
    <row r="378" spans="1:11" hidden="1" x14ac:dyDescent="0.25">
      <c r="A378" s="70">
        <v>376</v>
      </c>
      <c r="B378" t="s">
        <v>1071</v>
      </c>
      <c r="C378" t="s">
        <v>1071</v>
      </c>
      <c r="D378" t="s">
        <v>310</v>
      </c>
      <c r="E378">
        <v>23.3</v>
      </c>
      <c r="F378" t="s">
        <v>12</v>
      </c>
      <c r="G378" t="s">
        <v>13</v>
      </c>
      <c r="H378" t="s">
        <v>290</v>
      </c>
      <c r="I378" t="s">
        <v>15</v>
      </c>
      <c r="J378" t="s">
        <v>16</v>
      </c>
      <c r="K378">
        <v>6575.1299999999956</v>
      </c>
    </row>
    <row r="379" spans="1:11" hidden="1" x14ac:dyDescent="0.25">
      <c r="A379" s="70">
        <v>377</v>
      </c>
      <c r="B379" t="s">
        <v>1071</v>
      </c>
      <c r="C379" t="s">
        <v>1071</v>
      </c>
      <c r="D379" t="s">
        <v>309</v>
      </c>
      <c r="E379">
        <v>18.29</v>
      </c>
      <c r="F379" t="s">
        <v>12</v>
      </c>
      <c r="G379" t="s">
        <v>13</v>
      </c>
      <c r="H379" t="s">
        <v>290</v>
      </c>
      <c r="I379" t="s">
        <v>15</v>
      </c>
      <c r="J379" t="s">
        <v>16</v>
      </c>
      <c r="K379">
        <v>6593.4199999999964</v>
      </c>
    </row>
    <row r="380" spans="1:11" hidden="1" x14ac:dyDescent="0.25">
      <c r="A380" s="70">
        <v>378</v>
      </c>
      <c r="B380" t="s">
        <v>1071</v>
      </c>
      <c r="C380" t="s">
        <v>1071</v>
      </c>
      <c r="D380" t="s">
        <v>308</v>
      </c>
      <c r="E380">
        <v>65.180000000000007</v>
      </c>
      <c r="F380" t="s">
        <v>20</v>
      </c>
      <c r="G380" t="s">
        <v>223</v>
      </c>
      <c r="H380" t="s">
        <v>290</v>
      </c>
      <c r="I380" t="s">
        <v>15</v>
      </c>
      <c r="J380" t="s">
        <v>32</v>
      </c>
      <c r="K380">
        <v>6658.5999999999958</v>
      </c>
    </row>
    <row r="381" spans="1:11" hidden="1" x14ac:dyDescent="0.25">
      <c r="A381" s="70">
        <v>379</v>
      </c>
      <c r="B381" t="s">
        <v>1071</v>
      </c>
      <c r="C381" t="s">
        <v>1071</v>
      </c>
      <c r="D381" t="s">
        <v>237</v>
      </c>
      <c r="E381">
        <v>26.85</v>
      </c>
      <c r="F381" t="s">
        <v>30</v>
      </c>
      <c r="G381" t="s">
        <v>76</v>
      </c>
      <c r="H381" t="s">
        <v>290</v>
      </c>
      <c r="I381" t="s">
        <v>15</v>
      </c>
      <c r="J381" t="s">
        <v>42</v>
      </c>
      <c r="K381">
        <v>6685.4499999999962</v>
      </c>
    </row>
    <row r="382" spans="1:11" hidden="1" x14ac:dyDescent="0.25">
      <c r="A382" s="70">
        <v>380</v>
      </c>
      <c r="B382" t="s">
        <v>1071</v>
      </c>
      <c r="C382" t="s">
        <v>1071</v>
      </c>
      <c r="D382" t="s">
        <v>255</v>
      </c>
      <c r="E382">
        <v>19.57</v>
      </c>
      <c r="F382" t="s">
        <v>30</v>
      </c>
      <c r="G382" t="s">
        <v>76</v>
      </c>
      <c r="H382" t="s">
        <v>290</v>
      </c>
      <c r="I382" t="s">
        <v>15</v>
      </c>
      <c r="J382" t="s">
        <v>42</v>
      </c>
      <c r="K382">
        <v>6705.0199999999959</v>
      </c>
    </row>
    <row r="383" spans="1:11" hidden="1" x14ac:dyDescent="0.25">
      <c r="A383" s="70">
        <v>381</v>
      </c>
      <c r="B383" t="s">
        <v>1072</v>
      </c>
      <c r="C383" t="s">
        <v>1072</v>
      </c>
      <c r="D383" t="s">
        <v>36</v>
      </c>
      <c r="E383">
        <v>-1000</v>
      </c>
      <c r="F383" t="s">
        <v>37</v>
      </c>
      <c r="G383" t="s">
        <v>38</v>
      </c>
      <c r="H383" t="s">
        <v>290</v>
      </c>
      <c r="I383" t="s">
        <v>15</v>
      </c>
      <c r="J383" t="s">
        <v>973</v>
      </c>
      <c r="K383">
        <v>5705.0199999999959</v>
      </c>
    </row>
    <row r="384" spans="1:11" hidden="1" x14ac:dyDescent="0.25">
      <c r="A384" s="70">
        <v>382</v>
      </c>
      <c r="B384" t="s">
        <v>1072</v>
      </c>
      <c r="C384" t="s">
        <v>1072</v>
      </c>
      <c r="D384" t="s">
        <v>268</v>
      </c>
      <c r="E384">
        <v>10.62</v>
      </c>
      <c r="F384" t="s">
        <v>20</v>
      </c>
      <c r="G384" t="s">
        <v>80</v>
      </c>
      <c r="H384" t="s">
        <v>290</v>
      </c>
      <c r="I384" t="s">
        <v>15</v>
      </c>
      <c r="J384" t="s">
        <v>23</v>
      </c>
      <c r="K384">
        <v>5715.6399999999958</v>
      </c>
    </row>
    <row r="385" spans="1:11" hidden="1" x14ac:dyDescent="0.25">
      <c r="A385" s="70">
        <v>383</v>
      </c>
      <c r="B385" t="s">
        <v>1072</v>
      </c>
      <c r="C385" t="s">
        <v>1072</v>
      </c>
      <c r="D385" t="s">
        <v>43</v>
      </c>
      <c r="E385">
        <v>-41.23</v>
      </c>
      <c r="F385" t="s">
        <v>44</v>
      </c>
      <c r="G385" t="s">
        <v>45</v>
      </c>
      <c r="H385" t="s">
        <v>290</v>
      </c>
      <c r="I385" t="s">
        <v>15</v>
      </c>
      <c r="J385" t="s">
        <v>973</v>
      </c>
      <c r="K385">
        <v>5674.4099999999962</v>
      </c>
    </row>
    <row r="386" spans="1:11" hidden="1" x14ac:dyDescent="0.25">
      <c r="A386" s="70">
        <v>384</v>
      </c>
      <c r="B386" t="s">
        <v>1072</v>
      </c>
      <c r="C386" t="s">
        <v>1072</v>
      </c>
      <c r="D386" t="s">
        <v>312</v>
      </c>
      <c r="E386">
        <v>5.29</v>
      </c>
      <c r="F386" t="s">
        <v>20</v>
      </c>
      <c r="G386" t="s">
        <v>68</v>
      </c>
      <c r="H386" t="s">
        <v>290</v>
      </c>
      <c r="I386" t="s">
        <v>22</v>
      </c>
      <c r="J386" t="s">
        <v>23</v>
      </c>
      <c r="K386">
        <v>5679.6999999999962</v>
      </c>
    </row>
    <row r="387" spans="1:11" hidden="1" x14ac:dyDescent="0.25">
      <c r="A387" s="70">
        <v>385</v>
      </c>
      <c r="B387" t="s">
        <v>1073</v>
      </c>
      <c r="C387" t="s">
        <v>1073</v>
      </c>
      <c r="D387" t="s">
        <v>323</v>
      </c>
      <c r="E387">
        <v>5.3</v>
      </c>
      <c r="F387" t="s">
        <v>20</v>
      </c>
      <c r="G387" t="s">
        <v>13</v>
      </c>
      <c r="H387" t="s">
        <v>290</v>
      </c>
      <c r="I387" t="s">
        <v>15</v>
      </c>
      <c r="J387" t="s">
        <v>16</v>
      </c>
      <c r="K387">
        <v>5684.9999999999964</v>
      </c>
    </row>
    <row r="388" spans="1:11" hidden="1" x14ac:dyDescent="0.25">
      <c r="A388" s="70">
        <v>386</v>
      </c>
      <c r="B388" t="s">
        <v>1073</v>
      </c>
      <c r="C388" t="s">
        <v>1073</v>
      </c>
      <c r="D388" t="s">
        <v>324</v>
      </c>
      <c r="E388">
        <v>27.06</v>
      </c>
      <c r="F388" t="s">
        <v>12</v>
      </c>
      <c r="G388" t="s">
        <v>13</v>
      </c>
      <c r="H388" t="s">
        <v>290</v>
      </c>
      <c r="I388" t="s">
        <v>15</v>
      </c>
      <c r="J388" t="s">
        <v>16</v>
      </c>
      <c r="K388">
        <v>5712.0599999999968</v>
      </c>
    </row>
    <row r="389" spans="1:11" hidden="1" x14ac:dyDescent="0.25">
      <c r="A389" s="70">
        <v>387</v>
      </c>
      <c r="B389" t="s">
        <v>1073</v>
      </c>
      <c r="C389" t="s">
        <v>1073</v>
      </c>
      <c r="D389" t="s">
        <v>325</v>
      </c>
      <c r="E389">
        <v>70.58</v>
      </c>
      <c r="F389" t="s">
        <v>30</v>
      </c>
      <c r="G389" t="s">
        <v>130</v>
      </c>
      <c r="H389" t="s">
        <v>290</v>
      </c>
      <c r="I389" t="s">
        <v>22</v>
      </c>
      <c r="J389" t="s">
        <v>23</v>
      </c>
      <c r="K389">
        <v>5782.6399999999967</v>
      </c>
    </row>
    <row r="390" spans="1:11" hidden="1" x14ac:dyDescent="0.25">
      <c r="A390" s="70">
        <v>388</v>
      </c>
      <c r="B390" t="s">
        <v>1073</v>
      </c>
      <c r="C390" t="s">
        <v>1073</v>
      </c>
      <c r="D390" t="s">
        <v>255</v>
      </c>
      <c r="E390">
        <v>7.2</v>
      </c>
      <c r="F390" t="s">
        <v>30</v>
      </c>
      <c r="G390" t="s">
        <v>76</v>
      </c>
      <c r="H390" t="s">
        <v>290</v>
      </c>
      <c r="I390" t="s">
        <v>15</v>
      </c>
      <c r="J390" t="s">
        <v>42</v>
      </c>
      <c r="K390">
        <v>5789.8399999999974</v>
      </c>
    </row>
    <row r="391" spans="1:11" hidden="1" x14ac:dyDescent="0.25">
      <c r="A391" s="70">
        <v>389</v>
      </c>
      <c r="B391" t="s">
        <v>1073</v>
      </c>
      <c r="C391" t="s">
        <v>1073</v>
      </c>
      <c r="D391" t="s">
        <v>255</v>
      </c>
      <c r="E391">
        <v>48.05</v>
      </c>
      <c r="F391" t="s">
        <v>30</v>
      </c>
      <c r="G391" t="s">
        <v>76</v>
      </c>
      <c r="H391" t="s">
        <v>290</v>
      </c>
      <c r="I391" t="s">
        <v>15</v>
      </c>
      <c r="J391" t="s">
        <v>42</v>
      </c>
      <c r="K391">
        <v>5837.8899999999967</v>
      </c>
    </row>
    <row r="392" spans="1:11" hidden="1" x14ac:dyDescent="0.25">
      <c r="A392" s="70">
        <v>390</v>
      </c>
      <c r="B392" t="s">
        <v>1074</v>
      </c>
      <c r="C392" t="s">
        <v>1074</v>
      </c>
      <c r="D392" t="s">
        <v>255</v>
      </c>
      <c r="E392">
        <v>9.39</v>
      </c>
      <c r="F392" t="s">
        <v>30</v>
      </c>
      <c r="G392" t="s">
        <v>76</v>
      </c>
      <c r="H392" t="s">
        <v>290</v>
      </c>
      <c r="I392" t="s">
        <v>15</v>
      </c>
      <c r="J392" t="s">
        <v>42</v>
      </c>
      <c r="K392">
        <v>5847.279999999997</v>
      </c>
    </row>
    <row r="393" spans="1:11" hidden="1" x14ac:dyDescent="0.25">
      <c r="A393" s="70">
        <v>391</v>
      </c>
      <c r="B393" t="s">
        <v>1075</v>
      </c>
      <c r="C393" t="s">
        <v>1075</v>
      </c>
      <c r="D393" t="s">
        <v>326</v>
      </c>
      <c r="E393">
        <v>30.08</v>
      </c>
      <c r="F393" t="s">
        <v>12</v>
      </c>
      <c r="G393" t="s">
        <v>185</v>
      </c>
      <c r="H393" t="s">
        <v>290</v>
      </c>
      <c r="I393" t="s">
        <v>15</v>
      </c>
      <c r="J393" t="s">
        <v>16</v>
      </c>
      <c r="K393">
        <v>5877.3599999999969</v>
      </c>
    </row>
    <row r="394" spans="1:11" hidden="1" x14ac:dyDescent="0.25">
      <c r="A394" s="70">
        <v>392</v>
      </c>
      <c r="B394" t="s">
        <v>1075</v>
      </c>
      <c r="C394" t="s">
        <v>1075</v>
      </c>
      <c r="D394" t="s">
        <v>328</v>
      </c>
      <c r="E394">
        <v>4.3499999999999996</v>
      </c>
      <c r="F394" t="s">
        <v>12</v>
      </c>
      <c r="G394" t="s">
        <v>185</v>
      </c>
      <c r="H394" t="s">
        <v>290</v>
      </c>
      <c r="I394" t="s">
        <v>15</v>
      </c>
      <c r="J394" t="s">
        <v>16</v>
      </c>
      <c r="K394">
        <v>5881.7099999999973</v>
      </c>
    </row>
    <row r="395" spans="1:11" hidden="1" x14ac:dyDescent="0.25">
      <c r="A395" s="70">
        <v>393</v>
      </c>
      <c r="B395" t="s">
        <v>1075</v>
      </c>
      <c r="C395" t="s">
        <v>1075</v>
      </c>
      <c r="D395" t="s">
        <v>329</v>
      </c>
      <c r="E395">
        <v>12.6</v>
      </c>
      <c r="F395" t="s">
        <v>12</v>
      </c>
      <c r="G395" t="s">
        <v>185</v>
      </c>
      <c r="H395" t="s">
        <v>290</v>
      </c>
      <c r="I395" t="s">
        <v>15</v>
      </c>
      <c r="J395" t="s">
        <v>16</v>
      </c>
      <c r="K395">
        <v>5894.3099999999977</v>
      </c>
    </row>
    <row r="396" spans="1:11" hidden="1" x14ac:dyDescent="0.25">
      <c r="A396" s="70">
        <v>394</v>
      </c>
      <c r="B396" t="s">
        <v>1075</v>
      </c>
      <c r="C396" t="s">
        <v>1075</v>
      </c>
      <c r="D396" t="s">
        <v>327</v>
      </c>
      <c r="E396">
        <v>9.69</v>
      </c>
      <c r="F396" t="s">
        <v>12</v>
      </c>
      <c r="G396" t="s">
        <v>18</v>
      </c>
      <c r="H396" t="s">
        <v>290</v>
      </c>
      <c r="I396" t="s">
        <v>15</v>
      </c>
      <c r="J396" t="s">
        <v>16</v>
      </c>
      <c r="K396">
        <v>5903.9999999999973</v>
      </c>
    </row>
    <row r="397" spans="1:11" hidden="1" x14ac:dyDescent="0.25">
      <c r="A397" s="70">
        <v>395</v>
      </c>
      <c r="B397" t="s">
        <v>1075</v>
      </c>
      <c r="C397" t="s">
        <v>1075</v>
      </c>
      <c r="D397" t="s">
        <v>255</v>
      </c>
      <c r="E397">
        <v>7.66</v>
      </c>
      <c r="F397" t="s">
        <v>30</v>
      </c>
      <c r="G397" t="s">
        <v>76</v>
      </c>
      <c r="H397" t="s">
        <v>290</v>
      </c>
      <c r="I397" t="s">
        <v>15</v>
      </c>
      <c r="J397" t="s">
        <v>42</v>
      </c>
      <c r="K397">
        <v>5911.6599999999971</v>
      </c>
    </row>
    <row r="398" spans="1:11" hidden="1" x14ac:dyDescent="0.25">
      <c r="A398" s="70">
        <v>396</v>
      </c>
      <c r="B398" t="s">
        <v>1076</v>
      </c>
      <c r="C398" t="s">
        <v>1076</v>
      </c>
      <c r="D398" t="s">
        <v>330</v>
      </c>
      <c r="E398">
        <v>21.65</v>
      </c>
      <c r="F398" t="s">
        <v>12</v>
      </c>
      <c r="G398" t="s">
        <v>185</v>
      </c>
      <c r="H398" t="s">
        <v>290</v>
      </c>
      <c r="I398" t="s">
        <v>15</v>
      </c>
      <c r="J398" t="s">
        <v>16</v>
      </c>
      <c r="K398">
        <v>5933.3099999999968</v>
      </c>
    </row>
    <row r="399" spans="1:11" hidden="1" x14ac:dyDescent="0.25">
      <c r="A399" s="70">
        <v>397</v>
      </c>
      <c r="B399" t="s">
        <v>1076</v>
      </c>
      <c r="C399" t="s">
        <v>1076</v>
      </c>
      <c r="D399" t="s">
        <v>331</v>
      </c>
      <c r="E399">
        <v>3.56</v>
      </c>
      <c r="F399" t="s">
        <v>12</v>
      </c>
      <c r="G399" t="s">
        <v>185</v>
      </c>
      <c r="H399" t="s">
        <v>290</v>
      </c>
      <c r="I399" t="s">
        <v>15</v>
      </c>
      <c r="J399" t="s">
        <v>16</v>
      </c>
      <c r="K399">
        <v>5936.8699999999972</v>
      </c>
    </row>
    <row r="400" spans="1:11" hidden="1" x14ac:dyDescent="0.25">
      <c r="A400" s="70">
        <v>398</v>
      </c>
      <c r="B400" t="s">
        <v>1076</v>
      </c>
      <c r="C400" t="s">
        <v>1076</v>
      </c>
      <c r="D400" t="s">
        <v>237</v>
      </c>
      <c r="E400">
        <v>9.39</v>
      </c>
      <c r="F400" t="s">
        <v>30</v>
      </c>
      <c r="G400" t="s">
        <v>76</v>
      </c>
      <c r="H400" t="s">
        <v>290</v>
      </c>
      <c r="I400" t="s">
        <v>15</v>
      </c>
      <c r="J400" t="s">
        <v>42</v>
      </c>
      <c r="K400">
        <v>5946.2599999999966</v>
      </c>
    </row>
    <row r="401" spans="1:11" hidden="1" x14ac:dyDescent="0.25">
      <c r="A401" s="70">
        <v>399</v>
      </c>
      <c r="B401" t="s">
        <v>1076</v>
      </c>
      <c r="C401" t="s">
        <v>1076</v>
      </c>
      <c r="D401" t="s">
        <v>333</v>
      </c>
      <c r="E401">
        <v>13.15</v>
      </c>
      <c r="F401" t="s">
        <v>30</v>
      </c>
      <c r="G401" t="s">
        <v>147</v>
      </c>
      <c r="H401" t="s">
        <v>290</v>
      </c>
      <c r="I401" t="s">
        <v>15</v>
      </c>
      <c r="J401" t="s">
        <v>23</v>
      </c>
      <c r="K401">
        <v>5959.4099999999971</v>
      </c>
    </row>
    <row r="402" spans="1:11" hidden="1" x14ac:dyDescent="0.25">
      <c r="A402" s="70">
        <v>400</v>
      </c>
      <c r="B402" t="s">
        <v>1076</v>
      </c>
      <c r="C402" t="s">
        <v>1076</v>
      </c>
      <c r="D402" t="s">
        <v>332</v>
      </c>
      <c r="E402">
        <v>7.66</v>
      </c>
      <c r="F402" t="s">
        <v>12</v>
      </c>
      <c r="G402" t="s">
        <v>185</v>
      </c>
      <c r="H402" t="s">
        <v>290</v>
      </c>
      <c r="I402" t="s">
        <v>15</v>
      </c>
      <c r="J402" t="s">
        <v>16</v>
      </c>
      <c r="K402">
        <v>5967.069999999997</v>
      </c>
    </row>
    <row r="403" spans="1:11" hidden="1" x14ac:dyDescent="0.25">
      <c r="A403" s="70">
        <v>401</v>
      </c>
      <c r="B403" t="s">
        <v>1077</v>
      </c>
      <c r="C403" t="s">
        <v>1077</v>
      </c>
      <c r="D403" t="s">
        <v>334</v>
      </c>
      <c r="E403">
        <v>9.75</v>
      </c>
      <c r="F403" t="s">
        <v>30</v>
      </c>
      <c r="G403" t="s">
        <v>59</v>
      </c>
      <c r="H403" t="s">
        <v>290</v>
      </c>
      <c r="I403" t="s">
        <v>15</v>
      </c>
      <c r="J403" t="s">
        <v>60</v>
      </c>
      <c r="K403">
        <v>5976.819999999997</v>
      </c>
    </row>
    <row r="404" spans="1:11" hidden="1" x14ac:dyDescent="0.25">
      <c r="A404" s="70">
        <v>402</v>
      </c>
      <c r="B404" t="s">
        <v>776</v>
      </c>
      <c r="C404" t="s">
        <v>776</v>
      </c>
      <c r="D404" t="s">
        <v>326</v>
      </c>
      <c r="E404">
        <v>38.99</v>
      </c>
      <c r="F404" t="s">
        <v>12</v>
      </c>
      <c r="G404" t="s">
        <v>185</v>
      </c>
      <c r="H404" t="s">
        <v>290</v>
      </c>
      <c r="I404" t="s">
        <v>15</v>
      </c>
      <c r="J404" t="s">
        <v>16</v>
      </c>
      <c r="K404">
        <v>6015.8099999999968</v>
      </c>
    </row>
    <row r="405" spans="1:11" hidden="1" x14ac:dyDescent="0.25">
      <c r="A405" s="70">
        <v>403</v>
      </c>
      <c r="B405" t="s">
        <v>1078</v>
      </c>
      <c r="C405" t="s">
        <v>1078</v>
      </c>
      <c r="D405" t="s">
        <v>336</v>
      </c>
      <c r="E405">
        <v>3.17</v>
      </c>
      <c r="F405" t="s">
        <v>20</v>
      </c>
      <c r="G405" t="s">
        <v>337</v>
      </c>
      <c r="H405" t="s">
        <v>290</v>
      </c>
      <c r="I405" t="s">
        <v>22</v>
      </c>
      <c r="J405" t="s">
        <v>23</v>
      </c>
      <c r="K405">
        <v>6018.9799999999968</v>
      </c>
    </row>
    <row r="406" spans="1:11" hidden="1" x14ac:dyDescent="0.25">
      <c r="A406" s="70">
        <v>404</v>
      </c>
      <c r="B406" t="s">
        <v>1078</v>
      </c>
      <c r="C406" t="s">
        <v>1078</v>
      </c>
      <c r="D406" t="s">
        <v>335</v>
      </c>
      <c r="E406">
        <v>16.28</v>
      </c>
      <c r="F406" t="s">
        <v>20</v>
      </c>
      <c r="G406" t="s">
        <v>316</v>
      </c>
      <c r="H406" t="s">
        <v>290</v>
      </c>
      <c r="I406" t="s">
        <v>15</v>
      </c>
      <c r="J406" t="s">
        <v>23</v>
      </c>
      <c r="K406">
        <v>6035.2599999999966</v>
      </c>
    </row>
    <row r="407" spans="1:11" hidden="1" x14ac:dyDescent="0.25">
      <c r="A407" s="70">
        <v>405</v>
      </c>
      <c r="B407" t="s">
        <v>1079</v>
      </c>
      <c r="C407" t="s">
        <v>1079</v>
      </c>
      <c r="D407" t="s">
        <v>343</v>
      </c>
      <c r="E407">
        <v>43.43</v>
      </c>
      <c r="F407" t="s">
        <v>20</v>
      </c>
      <c r="G407" t="s">
        <v>277</v>
      </c>
      <c r="H407" t="s">
        <v>290</v>
      </c>
      <c r="I407" t="s">
        <v>15</v>
      </c>
      <c r="J407" t="s">
        <v>32</v>
      </c>
      <c r="K407">
        <v>6078.6899999999969</v>
      </c>
    </row>
    <row r="408" spans="1:11" hidden="1" x14ac:dyDescent="0.25">
      <c r="A408" s="70">
        <v>406</v>
      </c>
      <c r="B408" t="s">
        <v>1080</v>
      </c>
      <c r="C408" t="s">
        <v>1080</v>
      </c>
      <c r="D408" t="s">
        <v>326</v>
      </c>
      <c r="E408">
        <v>5.41</v>
      </c>
      <c r="F408" t="s">
        <v>12</v>
      </c>
      <c r="G408" t="s">
        <v>185</v>
      </c>
      <c r="H408" t="s">
        <v>290</v>
      </c>
      <c r="I408" t="s">
        <v>15</v>
      </c>
      <c r="J408" t="s">
        <v>16</v>
      </c>
      <c r="K408">
        <v>6084.0999999999967</v>
      </c>
    </row>
    <row r="409" spans="1:11" hidden="1" x14ac:dyDescent="0.25">
      <c r="A409" s="70">
        <v>407</v>
      </c>
      <c r="B409" t="s">
        <v>1080</v>
      </c>
      <c r="C409" t="s">
        <v>1080</v>
      </c>
      <c r="D409" t="s">
        <v>326</v>
      </c>
      <c r="E409">
        <v>13.36</v>
      </c>
      <c r="F409" t="s">
        <v>12</v>
      </c>
      <c r="G409" t="s">
        <v>185</v>
      </c>
      <c r="H409" t="s">
        <v>290</v>
      </c>
      <c r="I409" t="s">
        <v>15</v>
      </c>
      <c r="J409" t="s">
        <v>16</v>
      </c>
      <c r="K409">
        <v>6097.4599999999964</v>
      </c>
    </row>
    <row r="410" spans="1:11" hidden="1" x14ac:dyDescent="0.25">
      <c r="A410" s="70">
        <v>408</v>
      </c>
      <c r="B410" t="s">
        <v>1080</v>
      </c>
      <c r="C410" t="s">
        <v>1080</v>
      </c>
      <c r="D410" t="s">
        <v>326</v>
      </c>
      <c r="E410">
        <v>32.14</v>
      </c>
      <c r="F410" t="s">
        <v>12</v>
      </c>
      <c r="G410" t="s">
        <v>185</v>
      </c>
      <c r="H410" t="s">
        <v>290</v>
      </c>
      <c r="I410" t="s">
        <v>15</v>
      </c>
      <c r="J410" t="s">
        <v>16</v>
      </c>
      <c r="K410">
        <v>6129.5999999999967</v>
      </c>
    </row>
    <row r="411" spans="1:11" hidden="1" x14ac:dyDescent="0.25">
      <c r="A411" s="70">
        <v>409</v>
      </c>
      <c r="B411" t="s">
        <v>1080</v>
      </c>
      <c r="C411" t="s">
        <v>1080</v>
      </c>
      <c r="D411" t="s">
        <v>344</v>
      </c>
      <c r="E411">
        <v>17.52</v>
      </c>
      <c r="F411" t="s">
        <v>20</v>
      </c>
      <c r="G411" t="s">
        <v>34</v>
      </c>
      <c r="H411" t="s">
        <v>290</v>
      </c>
      <c r="I411" t="s">
        <v>15</v>
      </c>
      <c r="J411" t="s">
        <v>32</v>
      </c>
      <c r="K411">
        <v>6147.1199999999972</v>
      </c>
    </row>
    <row r="412" spans="1:11" hidden="1" x14ac:dyDescent="0.25">
      <c r="A412" s="70">
        <v>410</v>
      </c>
      <c r="B412" t="s">
        <v>1081</v>
      </c>
      <c r="C412" t="s">
        <v>1082</v>
      </c>
      <c r="D412" t="s">
        <v>19</v>
      </c>
      <c r="E412">
        <v>10.59</v>
      </c>
      <c r="F412" t="s">
        <v>20</v>
      </c>
      <c r="G412" t="s">
        <v>21</v>
      </c>
      <c r="H412" t="s">
        <v>364</v>
      </c>
      <c r="I412" t="s">
        <v>22</v>
      </c>
      <c r="J412" t="s">
        <v>23</v>
      </c>
      <c r="K412">
        <v>6157.7099999999973</v>
      </c>
    </row>
    <row r="413" spans="1:11" x14ac:dyDescent="0.25">
      <c r="A413" s="70">
        <v>411</v>
      </c>
      <c r="B413" t="s">
        <v>1081</v>
      </c>
      <c r="C413" t="s">
        <v>1082</v>
      </c>
      <c r="D413" t="s">
        <v>365</v>
      </c>
      <c r="E413">
        <v>9.99</v>
      </c>
      <c r="F413" t="s">
        <v>20</v>
      </c>
      <c r="G413" t="s">
        <v>25</v>
      </c>
      <c r="H413" t="s">
        <v>364</v>
      </c>
      <c r="I413" t="s">
        <v>22</v>
      </c>
      <c r="J413" t="s">
        <v>23</v>
      </c>
      <c r="K413">
        <v>6167.6999999999971</v>
      </c>
    </row>
    <row r="414" spans="1:11" hidden="1" x14ac:dyDescent="0.25">
      <c r="A414" s="70">
        <v>412</v>
      </c>
      <c r="B414" t="s">
        <v>1083</v>
      </c>
      <c r="C414" t="s">
        <v>1082</v>
      </c>
      <c r="D414" t="s">
        <v>77</v>
      </c>
      <c r="E414">
        <v>10</v>
      </c>
      <c r="F414" t="s">
        <v>20</v>
      </c>
      <c r="G414" t="s">
        <v>78</v>
      </c>
      <c r="H414" t="s">
        <v>364</v>
      </c>
      <c r="I414" t="s">
        <v>22</v>
      </c>
      <c r="J414" t="s">
        <v>23</v>
      </c>
      <c r="K414">
        <v>6177.6999999999971</v>
      </c>
    </row>
    <row r="415" spans="1:11" hidden="1" x14ac:dyDescent="0.25">
      <c r="A415" s="70">
        <v>413</v>
      </c>
      <c r="B415" t="s">
        <v>1083</v>
      </c>
      <c r="C415" t="s">
        <v>1083</v>
      </c>
      <c r="D415" t="s">
        <v>319</v>
      </c>
      <c r="E415">
        <v>99.24</v>
      </c>
      <c r="F415" t="s">
        <v>320</v>
      </c>
      <c r="G415" t="s">
        <v>321</v>
      </c>
      <c r="H415" t="s">
        <v>364</v>
      </c>
      <c r="I415" t="s">
        <v>15</v>
      </c>
      <c r="J415" t="s">
        <v>973</v>
      </c>
      <c r="K415">
        <v>6276.9399999999969</v>
      </c>
    </row>
    <row r="416" spans="1:11" hidden="1" x14ac:dyDescent="0.25">
      <c r="A416" s="70">
        <v>414</v>
      </c>
      <c r="B416" t="s">
        <v>1082</v>
      </c>
      <c r="C416" t="s">
        <v>1082</v>
      </c>
      <c r="D416" t="s">
        <v>108</v>
      </c>
      <c r="E416">
        <v>79.38</v>
      </c>
      <c r="F416" t="s">
        <v>20</v>
      </c>
      <c r="G416" t="s">
        <v>109</v>
      </c>
      <c r="H416" t="s">
        <v>364</v>
      </c>
      <c r="I416" t="s">
        <v>22</v>
      </c>
      <c r="J416" t="s">
        <v>110</v>
      </c>
      <c r="K416">
        <v>6356.319999999997</v>
      </c>
    </row>
    <row r="417" spans="1:11" hidden="1" x14ac:dyDescent="0.25">
      <c r="A417" s="70">
        <v>415</v>
      </c>
      <c r="B417" t="s">
        <v>1082</v>
      </c>
      <c r="C417" t="s">
        <v>1082</v>
      </c>
      <c r="D417" t="s">
        <v>36</v>
      </c>
      <c r="E417">
        <v>-1000</v>
      </c>
      <c r="F417" t="s">
        <v>37</v>
      </c>
      <c r="G417" t="s">
        <v>38</v>
      </c>
      <c r="H417" t="s">
        <v>364</v>
      </c>
      <c r="I417" t="s">
        <v>15</v>
      </c>
      <c r="J417" t="s">
        <v>973</v>
      </c>
      <c r="K417">
        <v>5356.319999999997</v>
      </c>
    </row>
    <row r="418" spans="1:11" hidden="1" x14ac:dyDescent="0.25">
      <c r="A418" s="70">
        <v>416</v>
      </c>
      <c r="B418" t="s">
        <v>1084</v>
      </c>
      <c r="C418" t="s">
        <v>1084</v>
      </c>
      <c r="D418" t="s">
        <v>414</v>
      </c>
      <c r="E418">
        <v>9.32</v>
      </c>
      <c r="F418" t="s">
        <v>53</v>
      </c>
      <c r="G418" t="s">
        <v>54</v>
      </c>
      <c r="H418" t="s">
        <v>364</v>
      </c>
      <c r="I418" t="s">
        <v>15</v>
      </c>
      <c r="J418" t="s">
        <v>16</v>
      </c>
      <c r="K418">
        <v>5365.6399999999967</v>
      </c>
    </row>
    <row r="419" spans="1:11" hidden="1" x14ac:dyDescent="0.25">
      <c r="A419" s="70">
        <v>417</v>
      </c>
      <c r="B419" t="s">
        <v>1084</v>
      </c>
      <c r="C419" t="s">
        <v>1084</v>
      </c>
      <c r="D419" t="s">
        <v>415</v>
      </c>
      <c r="E419">
        <v>6.5</v>
      </c>
      <c r="F419" t="s">
        <v>53</v>
      </c>
      <c r="G419" t="s">
        <v>13</v>
      </c>
      <c r="H419" t="s">
        <v>364</v>
      </c>
      <c r="I419" t="s">
        <v>15</v>
      </c>
      <c r="J419" t="s">
        <v>16</v>
      </c>
      <c r="K419">
        <v>5372.1399999999967</v>
      </c>
    </row>
    <row r="420" spans="1:11" hidden="1" x14ac:dyDescent="0.25">
      <c r="A420" s="70">
        <v>418</v>
      </c>
      <c r="B420" t="s">
        <v>1084</v>
      </c>
      <c r="C420" t="s">
        <v>1084</v>
      </c>
      <c r="D420" t="s">
        <v>416</v>
      </c>
      <c r="E420">
        <v>21.19</v>
      </c>
      <c r="F420" t="s">
        <v>12</v>
      </c>
      <c r="G420" t="s">
        <v>13</v>
      </c>
      <c r="H420" t="s">
        <v>364</v>
      </c>
      <c r="I420" t="s">
        <v>15</v>
      </c>
      <c r="J420" t="s">
        <v>16</v>
      </c>
      <c r="K420">
        <v>5393.3299999999963</v>
      </c>
    </row>
    <row r="421" spans="1:11" hidden="1" x14ac:dyDescent="0.25">
      <c r="A421" s="70">
        <v>419</v>
      </c>
      <c r="B421" t="s">
        <v>1085</v>
      </c>
      <c r="C421" t="s">
        <v>1085</v>
      </c>
      <c r="D421" t="s">
        <v>417</v>
      </c>
      <c r="E421">
        <v>433.95</v>
      </c>
      <c r="F421" t="s">
        <v>30</v>
      </c>
      <c r="G421" t="s">
        <v>135</v>
      </c>
      <c r="H421" t="s">
        <v>364</v>
      </c>
      <c r="I421" t="s">
        <v>15</v>
      </c>
      <c r="J421" t="s">
        <v>23</v>
      </c>
      <c r="K421">
        <v>5827.2799999999961</v>
      </c>
    </row>
    <row r="422" spans="1:11" hidden="1" x14ac:dyDescent="0.25">
      <c r="A422" s="70">
        <v>420</v>
      </c>
      <c r="B422" t="s">
        <v>1085</v>
      </c>
      <c r="C422" t="s">
        <v>1085</v>
      </c>
      <c r="D422" t="s">
        <v>268</v>
      </c>
      <c r="E422">
        <v>12.75</v>
      </c>
      <c r="F422" t="s">
        <v>20</v>
      </c>
      <c r="G422" t="s">
        <v>80</v>
      </c>
      <c r="H422" t="s">
        <v>364</v>
      </c>
      <c r="I422" t="s">
        <v>15</v>
      </c>
      <c r="J422" t="s">
        <v>23</v>
      </c>
      <c r="K422">
        <v>5840.0299999999961</v>
      </c>
    </row>
    <row r="423" spans="1:11" hidden="1" x14ac:dyDescent="0.25">
      <c r="A423" s="70">
        <v>421</v>
      </c>
      <c r="B423" t="s">
        <v>1085</v>
      </c>
      <c r="C423" t="s">
        <v>1085</v>
      </c>
      <c r="D423" t="s">
        <v>256</v>
      </c>
      <c r="E423">
        <v>6.37</v>
      </c>
      <c r="F423" t="s">
        <v>20</v>
      </c>
      <c r="G423" t="s">
        <v>80</v>
      </c>
      <c r="H423" t="s">
        <v>364</v>
      </c>
      <c r="I423" t="s">
        <v>15</v>
      </c>
      <c r="J423" t="s">
        <v>23</v>
      </c>
      <c r="K423">
        <v>5846.399999999996</v>
      </c>
    </row>
    <row r="424" spans="1:11" hidden="1" x14ac:dyDescent="0.25">
      <c r="A424" s="70">
        <v>422</v>
      </c>
      <c r="B424" t="s">
        <v>1085</v>
      </c>
      <c r="C424" t="s">
        <v>1085</v>
      </c>
      <c r="D424" t="s">
        <v>237</v>
      </c>
      <c r="E424">
        <v>9.99</v>
      </c>
      <c r="F424" t="s">
        <v>30</v>
      </c>
      <c r="G424" t="s">
        <v>76</v>
      </c>
      <c r="H424" t="s">
        <v>364</v>
      </c>
      <c r="I424" t="s">
        <v>15</v>
      </c>
      <c r="J424" t="s">
        <v>42</v>
      </c>
      <c r="K424">
        <v>5856.3899999999958</v>
      </c>
    </row>
    <row r="425" spans="1:11" hidden="1" x14ac:dyDescent="0.25">
      <c r="A425" s="70">
        <v>423</v>
      </c>
      <c r="B425" t="s">
        <v>773</v>
      </c>
      <c r="C425" t="s">
        <v>773</v>
      </c>
      <c r="D425" t="s">
        <v>258</v>
      </c>
      <c r="E425">
        <v>7.93</v>
      </c>
      <c r="F425" t="s">
        <v>12</v>
      </c>
      <c r="G425" t="s">
        <v>76</v>
      </c>
      <c r="H425" t="s">
        <v>364</v>
      </c>
      <c r="I425" t="s">
        <v>15</v>
      </c>
      <c r="J425" t="s">
        <v>42</v>
      </c>
      <c r="K425">
        <v>5864.3199999999961</v>
      </c>
    </row>
    <row r="426" spans="1:11" hidden="1" x14ac:dyDescent="0.25">
      <c r="A426" s="70">
        <v>424</v>
      </c>
      <c r="B426" t="s">
        <v>773</v>
      </c>
      <c r="C426" t="s">
        <v>773</v>
      </c>
      <c r="D426" t="s">
        <v>258</v>
      </c>
      <c r="E426">
        <v>51.41</v>
      </c>
      <c r="F426" t="s">
        <v>12</v>
      </c>
      <c r="G426" t="s">
        <v>76</v>
      </c>
      <c r="H426" t="s">
        <v>364</v>
      </c>
      <c r="I426" t="s">
        <v>15</v>
      </c>
      <c r="J426" t="s">
        <v>42</v>
      </c>
      <c r="K426">
        <v>5915.7299999999959</v>
      </c>
    </row>
    <row r="427" spans="1:11" hidden="1" x14ac:dyDescent="0.25">
      <c r="A427" s="70">
        <v>425</v>
      </c>
      <c r="B427" t="s">
        <v>1086</v>
      </c>
      <c r="C427" t="s">
        <v>1086</v>
      </c>
      <c r="D427" t="s">
        <v>326</v>
      </c>
      <c r="E427">
        <v>13.36</v>
      </c>
      <c r="F427" t="s">
        <v>12</v>
      </c>
      <c r="G427" t="s">
        <v>185</v>
      </c>
      <c r="H427" t="s">
        <v>364</v>
      </c>
      <c r="I427" t="s">
        <v>15</v>
      </c>
      <c r="J427" t="s">
        <v>16</v>
      </c>
      <c r="K427">
        <v>5929.0899999999956</v>
      </c>
    </row>
    <row r="428" spans="1:11" hidden="1" x14ac:dyDescent="0.25">
      <c r="A428" s="70">
        <v>426</v>
      </c>
      <c r="B428" t="s">
        <v>1086</v>
      </c>
      <c r="C428" t="s">
        <v>1086</v>
      </c>
      <c r="D428" t="s">
        <v>418</v>
      </c>
      <c r="E428">
        <v>52.45</v>
      </c>
      <c r="F428" t="s">
        <v>12</v>
      </c>
      <c r="G428" t="s">
        <v>18</v>
      </c>
      <c r="H428" t="s">
        <v>364</v>
      </c>
      <c r="I428" t="s">
        <v>15</v>
      </c>
      <c r="J428" t="s">
        <v>16</v>
      </c>
      <c r="K428">
        <v>5981.5399999999954</v>
      </c>
    </row>
    <row r="429" spans="1:11" hidden="1" x14ac:dyDescent="0.25">
      <c r="A429" s="70">
        <v>427</v>
      </c>
      <c r="B429" t="s">
        <v>1087</v>
      </c>
      <c r="C429" t="s">
        <v>1087</v>
      </c>
      <c r="D429" t="s">
        <v>419</v>
      </c>
      <c r="E429">
        <v>18.8</v>
      </c>
      <c r="F429" t="s">
        <v>20</v>
      </c>
      <c r="G429" t="s">
        <v>13</v>
      </c>
      <c r="H429" t="s">
        <v>364</v>
      </c>
      <c r="I429" t="s">
        <v>15</v>
      </c>
      <c r="J429" t="s">
        <v>16</v>
      </c>
      <c r="K429">
        <v>6000.3399999999956</v>
      </c>
    </row>
    <row r="430" spans="1:11" hidden="1" x14ac:dyDescent="0.25">
      <c r="A430" s="70">
        <v>428</v>
      </c>
      <c r="B430" t="s">
        <v>1088</v>
      </c>
      <c r="C430" t="s">
        <v>1088</v>
      </c>
      <c r="D430" t="s">
        <v>256</v>
      </c>
      <c r="E430">
        <v>8.5</v>
      </c>
      <c r="F430" t="s">
        <v>20</v>
      </c>
      <c r="G430" t="s">
        <v>80</v>
      </c>
      <c r="H430" t="s">
        <v>364</v>
      </c>
      <c r="I430" t="s">
        <v>15</v>
      </c>
      <c r="J430" t="s">
        <v>23</v>
      </c>
      <c r="K430">
        <v>6008.8399999999956</v>
      </c>
    </row>
    <row r="431" spans="1:11" hidden="1" x14ac:dyDescent="0.25">
      <c r="A431" s="70">
        <v>429</v>
      </c>
      <c r="B431" t="s">
        <v>1088</v>
      </c>
      <c r="C431" t="s">
        <v>1088</v>
      </c>
      <c r="D431" t="s">
        <v>366</v>
      </c>
      <c r="E431">
        <v>15.89</v>
      </c>
      <c r="F431" t="s">
        <v>20</v>
      </c>
      <c r="G431" t="s">
        <v>49</v>
      </c>
      <c r="H431" t="s">
        <v>364</v>
      </c>
      <c r="I431" t="s">
        <v>22</v>
      </c>
      <c r="J431" t="s">
        <v>23</v>
      </c>
      <c r="K431">
        <v>6024.7299999999959</v>
      </c>
    </row>
    <row r="432" spans="1:11" hidden="1" x14ac:dyDescent="0.25">
      <c r="A432" s="70">
        <v>430</v>
      </c>
      <c r="B432" t="s">
        <v>1088</v>
      </c>
      <c r="C432" t="s">
        <v>1088</v>
      </c>
      <c r="D432" t="s">
        <v>268</v>
      </c>
      <c r="E432">
        <v>10.62</v>
      </c>
      <c r="F432" t="s">
        <v>20</v>
      </c>
      <c r="G432" t="s">
        <v>80</v>
      </c>
      <c r="H432" t="s">
        <v>364</v>
      </c>
      <c r="I432" t="s">
        <v>15</v>
      </c>
      <c r="J432" t="s">
        <v>23</v>
      </c>
      <c r="K432">
        <v>6035.3499999999958</v>
      </c>
    </row>
    <row r="433" spans="1:11" hidden="1" x14ac:dyDescent="0.25">
      <c r="A433" s="70">
        <v>431</v>
      </c>
      <c r="B433" t="s">
        <v>765</v>
      </c>
      <c r="C433" t="s">
        <v>765</v>
      </c>
      <c r="D433" t="s">
        <v>367</v>
      </c>
      <c r="E433">
        <v>91</v>
      </c>
      <c r="F433" t="s">
        <v>12</v>
      </c>
      <c r="G433" t="s">
        <v>18</v>
      </c>
      <c r="H433" t="s">
        <v>364</v>
      </c>
      <c r="I433" t="s">
        <v>15</v>
      </c>
      <c r="J433" t="s">
        <v>16</v>
      </c>
      <c r="K433">
        <v>6126.3499999999958</v>
      </c>
    </row>
    <row r="434" spans="1:11" hidden="1" x14ac:dyDescent="0.25">
      <c r="A434" s="70">
        <v>432</v>
      </c>
      <c r="B434" t="s">
        <v>765</v>
      </c>
      <c r="C434" t="s">
        <v>765</v>
      </c>
      <c r="D434" t="s">
        <v>255</v>
      </c>
      <c r="E434">
        <v>44.24</v>
      </c>
      <c r="F434" t="s">
        <v>30</v>
      </c>
      <c r="G434" t="s">
        <v>76</v>
      </c>
      <c r="H434" t="s">
        <v>364</v>
      </c>
      <c r="I434" t="s">
        <v>15</v>
      </c>
      <c r="J434" t="s">
        <v>42</v>
      </c>
      <c r="K434">
        <v>6170.5899999999956</v>
      </c>
    </row>
    <row r="435" spans="1:11" hidden="1" x14ac:dyDescent="0.25">
      <c r="A435" s="70">
        <v>433</v>
      </c>
      <c r="B435" t="s">
        <v>1089</v>
      </c>
      <c r="C435" t="s">
        <v>1089</v>
      </c>
      <c r="D435" t="s">
        <v>368</v>
      </c>
      <c r="E435">
        <v>154.24</v>
      </c>
      <c r="F435" t="s">
        <v>53</v>
      </c>
      <c r="G435" t="s">
        <v>54</v>
      </c>
      <c r="H435" t="s">
        <v>364</v>
      </c>
      <c r="I435" t="s">
        <v>15</v>
      </c>
      <c r="J435" t="s">
        <v>16</v>
      </c>
      <c r="K435">
        <v>6324.8299999999954</v>
      </c>
    </row>
    <row r="436" spans="1:11" hidden="1" x14ac:dyDescent="0.25">
      <c r="A436" s="70">
        <v>434</v>
      </c>
      <c r="B436" t="s">
        <v>762</v>
      </c>
      <c r="C436" t="s">
        <v>762</v>
      </c>
      <c r="D436" t="s">
        <v>372</v>
      </c>
      <c r="E436">
        <v>27.98</v>
      </c>
      <c r="F436" t="s">
        <v>20</v>
      </c>
      <c r="G436" t="s">
        <v>27</v>
      </c>
      <c r="H436" t="s">
        <v>364</v>
      </c>
      <c r="I436" t="s">
        <v>15</v>
      </c>
      <c r="J436" t="s">
        <v>32</v>
      </c>
      <c r="K436">
        <v>6352.8099999999949</v>
      </c>
    </row>
    <row r="437" spans="1:11" hidden="1" x14ac:dyDescent="0.25">
      <c r="A437" s="70">
        <v>435</v>
      </c>
      <c r="B437" t="s">
        <v>762</v>
      </c>
      <c r="C437" t="s">
        <v>762</v>
      </c>
      <c r="D437" t="s">
        <v>369</v>
      </c>
      <c r="E437">
        <v>16.28</v>
      </c>
      <c r="F437" t="s">
        <v>20</v>
      </c>
      <c r="G437" t="s">
        <v>316</v>
      </c>
      <c r="H437" t="s">
        <v>364</v>
      </c>
      <c r="I437" t="s">
        <v>15</v>
      </c>
      <c r="J437" t="s">
        <v>23</v>
      </c>
      <c r="K437">
        <v>6369.0899999999947</v>
      </c>
    </row>
    <row r="438" spans="1:11" hidden="1" x14ac:dyDescent="0.25">
      <c r="A438" s="70">
        <v>436</v>
      </c>
      <c r="B438" t="s">
        <v>762</v>
      </c>
      <c r="C438" t="s">
        <v>762</v>
      </c>
      <c r="D438" t="s">
        <v>370</v>
      </c>
      <c r="E438">
        <v>24.97</v>
      </c>
      <c r="F438" t="s">
        <v>20</v>
      </c>
      <c r="G438" t="s">
        <v>316</v>
      </c>
      <c r="H438" t="s">
        <v>364</v>
      </c>
      <c r="I438" t="s">
        <v>15</v>
      </c>
      <c r="J438" t="s">
        <v>23</v>
      </c>
      <c r="K438">
        <v>6394.0599999999949</v>
      </c>
    </row>
    <row r="439" spans="1:11" hidden="1" x14ac:dyDescent="0.25">
      <c r="A439" s="70">
        <v>437</v>
      </c>
      <c r="B439" t="s">
        <v>762</v>
      </c>
      <c r="C439" t="s">
        <v>762</v>
      </c>
      <c r="D439" t="s">
        <v>371</v>
      </c>
      <c r="E439">
        <v>110</v>
      </c>
      <c r="F439" t="s">
        <v>12</v>
      </c>
      <c r="G439" t="s">
        <v>18</v>
      </c>
      <c r="H439" t="s">
        <v>364</v>
      </c>
      <c r="I439" t="s">
        <v>15</v>
      </c>
      <c r="J439" t="s">
        <v>16</v>
      </c>
      <c r="K439">
        <v>6504.0599999999949</v>
      </c>
    </row>
    <row r="440" spans="1:11" hidden="1" x14ac:dyDescent="0.25">
      <c r="A440" s="70">
        <v>438</v>
      </c>
      <c r="B440" t="s">
        <v>1090</v>
      </c>
      <c r="C440" t="s">
        <v>1090</v>
      </c>
      <c r="D440" t="s">
        <v>377</v>
      </c>
      <c r="E440">
        <v>11.94</v>
      </c>
      <c r="F440" t="s">
        <v>20</v>
      </c>
      <c r="G440" t="s">
        <v>316</v>
      </c>
      <c r="H440" t="s">
        <v>364</v>
      </c>
      <c r="I440" t="s">
        <v>15</v>
      </c>
      <c r="J440" t="s">
        <v>23</v>
      </c>
      <c r="K440">
        <v>6515.9999999999955</v>
      </c>
    </row>
    <row r="441" spans="1:11" hidden="1" x14ac:dyDescent="0.25">
      <c r="A441" s="70">
        <v>439</v>
      </c>
      <c r="B441" t="s">
        <v>1090</v>
      </c>
      <c r="C441" t="s">
        <v>1090</v>
      </c>
      <c r="D441" t="s">
        <v>376</v>
      </c>
      <c r="E441">
        <v>16.28</v>
      </c>
      <c r="F441" t="s">
        <v>20</v>
      </c>
      <c r="G441" t="s">
        <v>316</v>
      </c>
      <c r="H441" t="s">
        <v>364</v>
      </c>
      <c r="I441" t="s">
        <v>15</v>
      </c>
      <c r="J441" t="s">
        <v>23</v>
      </c>
      <c r="K441">
        <v>6532.2799999999943</v>
      </c>
    </row>
    <row r="442" spans="1:11" hidden="1" x14ac:dyDescent="0.25">
      <c r="A442" s="70">
        <v>440</v>
      </c>
      <c r="B442" t="s">
        <v>1090</v>
      </c>
      <c r="C442" t="s">
        <v>1090</v>
      </c>
      <c r="D442" t="s">
        <v>378</v>
      </c>
      <c r="E442">
        <v>11.94</v>
      </c>
      <c r="F442" t="s">
        <v>20</v>
      </c>
      <c r="G442" t="s">
        <v>316</v>
      </c>
      <c r="H442" t="s">
        <v>364</v>
      </c>
      <c r="I442" t="s">
        <v>15</v>
      </c>
      <c r="J442" t="s">
        <v>23</v>
      </c>
      <c r="K442">
        <v>6544.2199999999939</v>
      </c>
    </row>
    <row r="443" spans="1:11" hidden="1" x14ac:dyDescent="0.25">
      <c r="A443" s="70">
        <v>441</v>
      </c>
      <c r="B443" t="s">
        <v>1090</v>
      </c>
      <c r="C443" t="s">
        <v>1090</v>
      </c>
      <c r="D443" t="s">
        <v>374</v>
      </c>
      <c r="E443">
        <v>15.19</v>
      </c>
      <c r="F443" t="s">
        <v>20</v>
      </c>
      <c r="G443" t="s">
        <v>316</v>
      </c>
      <c r="H443" t="s">
        <v>364</v>
      </c>
      <c r="I443" t="s">
        <v>15</v>
      </c>
      <c r="J443" t="s">
        <v>23</v>
      </c>
      <c r="K443">
        <v>6559.4099999999926</v>
      </c>
    </row>
    <row r="444" spans="1:11" hidden="1" x14ac:dyDescent="0.25">
      <c r="A444" s="70">
        <v>442</v>
      </c>
      <c r="B444" t="s">
        <v>1090</v>
      </c>
      <c r="C444" t="s">
        <v>1090</v>
      </c>
      <c r="D444" t="s">
        <v>373</v>
      </c>
      <c r="E444">
        <v>27.18</v>
      </c>
      <c r="F444" t="s">
        <v>20</v>
      </c>
      <c r="G444" t="s">
        <v>27</v>
      </c>
      <c r="H444" t="s">
        <v>364</v>
      </c>
      <c r="I444" t="s">
        <v>15</v>
      </c>
      <c r="J444" t="s">
        <v>32</v>
      </c>
      <c r="K444">
        <v>6586.5899999999938</v>
      </c>
    </row>
    <row r="445" spans="1:11" hidden="1" x14ac:dyDescent="0.25">
      <c r="A445" s="70">
        <v>443</v>
      </c>
      <c r="B445" t="s">
        <v>1090</v>
      </c>
      <c r="C445" t="s">
        <v>1090</v>
      </c>
      <c r="D445" t="s">
        <v>375</v>
      </c>
      <c r="E445">
        <v>7.59</v>
      </c>
      <c r="F445" t="s">
        <v>20</v>
      </c>
      <c r="G445" t="s">
        <v>316</v>
      </c>
      <c r="H445" t="s">
        <v>364</v>
      </c>
      <c r="I445" t="s">
        <v>15</v>
      </c>
      <c r="J445" t="s">
        <v>23</v>
      </c>
      <c r="K445">
        <v>6594.1799999999939</v>
      </c>
    </row>
    <row r="446" spans="1:11" hidden="1" x14ac:dyDescent="0.25">
      <c r="A446" s="70">
        <v>444</v>
      </c>
      <c r="B446" t="s">
        <v>761</v>
      </c>
      <c r="C446" t="s">
        <v>761</v>
      </c>
      <c r="D446" t="s">
        <v>379</v>
      </c>
      <c r="E446">
        <v>7.43</v>
      </c>
      <c r="F446" t="s">
        <v>20</v>
      </c>
      <c r="G446" t="s">
        <v>80</v>
      </c>
      <c r="H446" t="s">
        <v>364</v>
      </c>
      <c r="I446" t="s">
        <v>15</v>
      </c>
      <c r="J446" t="s">
        <v>23</v>
      </c>
      <c r="K446">
        <v>6601.6099999999942</v>
      </c>
    </row>
    <row r="447" spans="1:11" hidden="1" x14ac:dyDescent="0.25">
      <c r="A447" s="70">
        <v>445</v>
      </c>
      <c r="B447" t="s">
        <v>761</v>
      </c>
      <c r="C447" t="s">
        <v>761</v>
      </c>
      <c r="D447" t="s">
        <v>380</v>
      </c>
      <c r="E447">
        <v>3.79</v>
      </c>
      <c r="F447" t="s">
        <v>12</v>
      </c>
      <c r="G447" t="s">
        <v>13</v>
      </c>
      <c r="H447" t="s">
        <v>364</v>
      </c>
      <c r="I447" t="s">
        <v>15</v>
      </c>
      <c r="J447" t="s">
        <v>16</v>
      </c>
      <c r="K447">
        <v>6605.3999999999942</v>
      </c>
    </row>
    <row r="448" spans="1:11" hidden="1" x14ac:dyDescent="0.25">
      <c r="A448" s="70">
        <v>446</v>
      </c>
      <c r="B448" t="s">
        <v>761</v>
      </c>
      <c r="C448" t="s">
        <v>761</v>
      </c>
      <c r="D448" t="s">
        <v>381</v>
      </c>
      <c r="E448">
        <v>59.32</v>
      </c>
      <c r="F448" t="s">
        <v>20</v>
      </c>
      <c r="G448" t="s">
        <v>382</v>
      </c>
      <c r="H448" t="s">
        <v>364</v>
      </c>
      <c r="I448" t="s">
        <v>15</v>
      </c>
      <c r="J448" t="s">
        <v>42</v>
      </c>
      <c r="K448">
        <v>6664.7199999999939</v>
      </c>
    </row>
    <row r="449" spans="1:11" hidden="1" x14ac:dyDescent="0.25">
      <c r="A449" s="70">
        <v>447</v>
      </c>
      <c r="B449" t="s">
        <v>761</v>
      </c>
      <c r="C449" t="s">
        <v>761</v>
      </c>
      <c r="D449" t="s">
        <v>304</v>
      </c>
      <c r="E449">
        <v>10.85</v>
      </c>
      <c r="F449" t="s">
        <v>56</v>
      </c>
      <c r="G449" t="s">
        <v>305</v>
      </c>
      <c r="H449" t="s">
        <v>364</v>
      </c>
      <c r="I449" t="s">
        <v>22</v>
      </c>
      <c r="J449" t="s">
        <v>23</v>
      </c>
      <c r="K449">
        <v>6675.5699999999943</v>
      </c>
    </row>
    <row r="450" spans="1:11" hidden="1" x14ac:dyDescent="0.25">
      <c r="A450" s="70">
        <v>448</v>
      </c>
      <c r="B450" t="s">
        <v>1091</v>
      </c>
      <c r="C450" t="s">
        <v>1091</v>
      </c>
      <c r="D450" t="s">
        <v>379</v>
      </c>
      <c r="E450">
        <v>8.5</v>
      </c>
      <c r="F450" t="s">
        <v>20</v>
      </c>
      <c r="G450" t="s">
        <v>80</v>
      </c>
      <c r="H450" t="s">
        <v>364</v>
      </c>
      <c r="I450" t="s">
        <v>15</v>
      </c>
      <c r="J450" t="s">
        <v>23</v>
      </c>
      <c r="K450">
        <v>6684.0699999999943</v>
      </c>
    </row>
    <row r="451" spans="1:11" hidden="1" x14ac:dyDescent="0.25">
      <c r="A451" s="70">
        <v>449</v>
      </c>
      <c r="B451" t="s">
        <v>1091</v>
      </c>
      <c r="C451" t="s">
        <v>1091</v>
      </c>
      <c r="D451" t="s">
        <v>383</v>
      </c>
      <c r="E451">
        <v>38</v>
      </c>
      <c r="F451" t="s">
        <v>12</v>
      </c>
      <c r="G451" t="s">
        <v>13</v>
      </c>
      <c r="H451" t="s">
        <v>364</v>
      </c>
      <c r="I451" t="s">
        <v>15</v>
      </c>
      <c r="J451" t="s">
        <v>16</v>
      </c>
      <c r="K451">
        <v>6722.0699999999943</v>
      </c>
    </row>
    <row r="452" spans="1:11" hidden="1" x14ac:dyDescent="0.25">
      <c r="A452" s="70">
        <v>450</v>
      </c>
      <c r="B452" t="s">
        <v>1091</v>
      </c>
      <c r="C452" t="s">
        <v>1091</v>
      </c>
      <c r="D452" t="s">
        <v>36</v>
      </c>
      <c r="E452">
        <v>-2000</v>
      </c>
      <c r="F452" t="s">
        <v>37</v>
      </c>
      <c r="G452" t="s">
        <v>38</v>
      </c>
      <c r="H452" t="s">
        <v>364</v>
      </c>
      <c r="I452" t="s">
        <v>15</v>
      </c>
      <c r="J452" t="s">
        <v>973</v>
      </c>
      <c r="K452">
        <v>4722.0699999999943</v>
      </c>
    </row>
    <row r="453" spans="1:11" hidden="1" x14ac:dyDescent="0.25">
      <c r="A453" s="70">
        <v>451</v>
      </c>
      <c r="B453" t="s">
        <v>758</v>
      </c>
      <c r="C453" t="s">
        <v>758</v>
      </c>
      <c r="D453" t="s">
        <v>58</v>
      </c>
      <c r="E453">
        <v>5.29</v>
      </c>
      <c r="F453" t="s">
        <v>20</v>
      </c>
      <c r="G453" t="s">
        <v>68</v>
      </c>
      <c r="H453" t="s">
        <v>364</v>
      </c>
      <c r="I453" t="s">
        <v>22</v>
      </c>
      <c r="J453" t="s">
        <v>23</v>
      </c>
      <c r="K453">
        <v>4727.3599999999942</v>
      </c>
    </row>
    <row r="454" spans="1:11" hidden="1" x14ac:dyDescent="0.25">
      <c r="A454" s="70">
        <v>452</v>
      </c>
      <c r="B454" t="s">
        <v>758</v>
      </c>
      <c r="C454" t="s">
        <v>758</v>
      </c>
      <c r="D454" t="s">
        <v>379</v>
      </c>
      <c r="E454">
        <v>4.26</v>
      </c>
      <c r="F454" t="s">
        <v>20</v>
      </c>
      <c r="G454" t="s">
        <v>80</v>
      </c>
      <c r="H454" t="s">
        <v>364</v>
      </c>
      <c r="I454" t="s">
        <v>15</v>
      </c>
      <c r="J454" t="s">
        <v>23</v>
      </c>
      <c r="K454">
        <v>4731.6199999999944</v>
      </c>
    </row>
    <row r="455" spans="1:11" hidden="1" x14ac:dyDescent="0.25">
      <c r="A455" s="70">
        <v>453</v>
      </c>
      <c r="B455" t="s">
        <v>758</v>
      </c>
      <c r="C455" t="s">
        <v>758</v>
      </c>
      <c r="D455" t="s">
        <v>64</v>
      </c>
      <c r="E455">
        <v>70</v>
      </c>
      <c r="F455" t="s">
        <v>20</v>
      </c>
      <c r="G455" t="s">
        <v>65</v>
      </c>
      <c r="H455" t="s">
        <v>364</v>
      </c>
      <c r="I455" t="s">
        <v>15</v>
      </c>
      <c r="J455" t="s">
        <v>66</v>
      </c>
      <c r="K455">
        <v>4801.6199999999944</v>
      </c>
    </row>
    <row r="456" spans="1:11" hidden="1" x14ac:dyDescent="0.25">
      <c r="A456" s="70">
        <v>454</v>
      </c>
      <c r="B456" t="s">
        <v>753</v>
      </c>
      <c r="C456" t="s">
        <v>753</v>
      </c>
      <c r="D456" t="s">
        <v>379</v>
      </c>
      <c r="E456">
        <v>10.62</v>
      </c>
      <c r="F456" t="s">
        <v>20</v>
      </c>
      <c r="G456" t="s">
        <v>80</v>
      </c>
      <c r="H456" t="s">
        <v>364</v>
      </c>
      <c r="I456" t="s">
        <v>15</v>
      </c>
      <c r="J456" t="s">
        <v>23</v>
      </c>
      <c r="K456">
        <v>4812.2399999999943</v>
      </c>
    </row>
    <row r="457" spans="1:11" hidden="1" x14ac:dyDescent="0.25">
      <c r="A457" s="70">
        <v>455</v>
      </c>
      <c r="B457" t="s">
        <v>753</v>
      </c>
      <c r="C457" t="s">
        <v>753</v>
      </c>
      <c r="D457" t="s">
        <v>384</v>
      </c>
      <c r="E457">
        <v>92.93</v>
      </c>
      <c r="F457" t="s">
        <v>20</v>
      </c>
      <c r="G457" t="s">
        <v>385</v>
      </c>
      <c r="H457" t="s">
        <v>364</v>
      </c>
      <c r="I457" t="s">
        <v>15</v>
      </c>
      <c r="J457" t="s">
        <v>32</v>
      </c>
      <c r="K457">
        <v>4905.1699999999946</v>
      </c>
    </row>
    <row r="458" spans="1:11" hidden="1" x14ac:dyDescent="0.25">
      <c r="A458" s="70">
        <v>456</v>
      </c>
      <c r="B458" t="s">
        <v>750</v>
      </c>
      <c r="C458" t="s">
        <v>750</v>
      </c>
      <c r="D458" t="s">
        <v>386</v>
      </c>
      <c r="E458">
        <v>24.78</v>
      </c>
      <c r="F458" t="s">
        <v>20</v>
      </c>
      <c r="G458" t="s">
        <v>34</v>
      </c>
      <c r="H458" t="s">
        <v>364</v>
      </c>
      <c r="I458" t="s">
        <v>15</v>
      </c>
      <c r="J458" t="s">
        <v>32</v>
      </c>
      <c r="K458">
        <v>4929.9499999999944</v>
      </c>
    </row>
    <row r="459" spans="1:11" hidden="1" x14ac:dyDescent="0.25">
      <c r="A459" s="70">
        <v>457</v>
      </c>
      <c r="B459" t="s">
        <v>750</v>
      </c>
      <c r="C459" t="s">
        <v>750</v>
      </c>
      <c r="D459" t="s">
        <v>387</v>
      </c>
      <c r="E459">
        <v>8.36</v>
      </c>
      <c r="F459" t="s">
        <v>53</v>
      </c>
      <c r="G459" t="s">
        <v>185</v>
      </c>
      <c r="H459" t="s">
        <v>364</v>
      </c>
      <c r="I459" t="s">
        <v>15</v>
      </c>
      <c r="J459" t="s">
        <v>16</v>
      </c>
      <c r="K459">
        <v>4938.309999999994</v>
      </c>
    </row>
    <row r="460" spans="1:11" hidden="1" x14ac:dyDescent="0.25">
      <c r="A460" s="70">
        <v>458</v>
      </c>
      <c r="B460" t="s">
        <v>750</v>
      </c>
      <c r="C460" t="s">
        <v>750</v>
      </c>
      <c r="D460" t="s">
        <v>390</v>
      </c>
      <c r="E460">
        <v>8</v>
      </c>
      <c r="F460" t="s">
        <v>56</v>
      </c>
      <c r="G460" t="s">
        <v>142</v>
      </c>
      <c r="H460" t="s">
        <v>364</v>
      </c>
      <c r="I460" t="s">
        <v>15</v>
      </c>
      <c r="J460" t="s">
        <v>42</v>
      </c>
      <c r="K460">
        <v>4946.309999999994</v>
      </c>
    </row>
    <row r="461" spans="1:11" hidden="1" x14ac:dyDescent="0.25">
      <c r="A461" s="70">
        <v>459</v>
      </c>
      <c r="B461" t="s">
        <v>750</v>
      </c>
      <c r="C461" t="s">
        <v>750</v>
      </c>
      <c r="D461" t="s">
        <v>389</v>
      </c>
      <c r="E461">
        <v>8</v>
      </c>
      <c r="F461" t="s">
        <v>56</v>
      </c>
      <c r="G461" t="s">
        <v>142</v>
      </c>
      <c r="H461" t="s">
        <v>364</v>
      </c>
      <c r="I461" t="s">
        <v>15</v>
      </c>
      <c r="J461" t="s">
        <v>42</v>
      </c>
      <c r="K461">
        <v>4954.309999999994</v>
      </c>
    </row>
    <row r="462" spans="1:11" hidden="1" x14ac:dyDescent="0.25">
      <c r="A462" s="70">
        <v>460</v>
      </c>
      <c r="B462" t="s">
        <v>750</v>
      </c>
      <c r="C462" t="s">
        <v>750</v>
      </c>
      <c r="D462" t="s">
        <v>388</v>
      </c>
      <c r="E462">
        <v>100.78</v>
      </c>
      <c r="F462" t="s">
        <v>20</v>
      </c>
      <c r="G462" t="s">
        <v>34</v>
      </c>
      <c r="H462" t="s">
        <v>364</v>
      </c>
      <c r="I462" t="s">
        <v>15</v>
      </c>
      <c r="J462" t="s">
        <v>32</v>
      </c>
      <c r="K462">
        <v>5055.0899999999938</v>
      </c>
    </row>
    <row r="463" spans="1:11" hidden="1" x14ac:dyDescent="0.25">
      <c r="A463" s="70">
        <v>461</v>
      </c>
      <c r="B463" t="s">
        <v>1092</v>
      </c>
      <c r="C463" t="s">
        <v>1092</v>
      </c>
      <c r="D463" t="s">
        <v>395</v>
      </c>
      <c r="E463">
        <v>239.73</v>
      </c>
      <c r="F463" t="s">
        <v>30</v>
      </c>
      <c r="G463" t="s">
        <v>159</v>
      </c>
      <c r="H463" t="s">
        <v>364</v>
      </c>
      <c r="I463" t="s">
        <v>15</v>
      </c>
      <c r="J463" t="s">
        <v>23</v>
      </c>
      <c r="K463">
        <v>5294.8199999999933</v>
      </c>
    </row>
    <row r="464" spans="1:11" hidden="1" x14ac:dyDescent="0.25">
      <c r="A464" s="70">
        <v>462</v>
      </c>
      <c r="B464" t="s">
        <v>1092</v>
      </c>
      <c r="C464" t="s">
        <v>1092</v>
      </c>
      <c r="D464" t="s">
        <v>393</v>
      </c>
      <c r="E464">
        <v>23</v>
      </c>
      <c r="F464" t="s">
        <v>30</v>
      </c>
      <c r="G464" t="s">
        <v>394</v>
      </c>
      <c r="H464" t="s">
        <v>364</v>
      </c>
      <c r="I464" t="s">
        <v>15</v>
      </c>
      <c r="J464" t="s">
        <v>42</v>
      </c>
      <c r="K464">
        <v>5317.8199999999933</v>
      </c>
    </row>
    <row r="465" spans="1:11" hidden="1" x14ac:dyDescent="0.25">
      <c r="A465" s="70">
        <v>463</v>
      </c>
      <c r="B465" t="s">
        <v>1092</v>
      </c>
      <c r="C465" t="s">
        <v>1092</v>
      </c>
      <c r="D465" t="s">
        <v>392</v>
      </c>
      <c r="E465">
        <v>3.35</v>
      </c>
      <c r="F465" t="s">
        <v>53</v>
      </c>
      <c r="G465" t="s">
        <v>54</v>
      </c>
      <c r="H465" t="s">
        <v>364</v>
      </c>
      <c r="I465" t="s">
        <v>15</v>
      </c>
      <c r="J465" t="s">
        <v>16</v>
      </c>
      <c r="K465">
        <v>5321.1699999999937</v>
      </c>
    </row>
    <row r="466" spans="1:11" hidden="1" x14ac:dyDescent="0.25">
      <c r="A466" s="70">
        <v>464</v>
      </c>
      <c r="B466" t="s">
        <v>1092</v>
      </c>
      <c r="C466" t="s">
        <v>1092</v>
      </c>
      <c r="D466" t="s">
        <v>391</v>
      </c>
      <c r="E466">
        <v>30.87</v>
      </c>
      <c r="F466" t="s">
        <v>20</v>
      </c>
      <c r="G466" t="s">
        <v>223</v>
      </c>
      <c r="H466" t="s">
        <v>364</v>
      </c>
      <c r="I466" t="s">
        <v>15</v>
      </c>
      <c r="J466" t="s">
        <v>32</v>
      </c>
      <c r="K466">
        <v>5352.0399999999936</v>
      </c>
    </row>
    <row r="467" spans="1:11" hidden="1" x14ac:dyDescent="0.25">
      <c r="A467" s="70">
        <v>465</v>
      </c>
      <c r="B467" t="s">
        <v>1092</v>
      </c>
      <c r="C467" t="s">
        <v>1092</v>
      </c>
      <c r="D467" t="s">
        <v>397</v>
      </c>
      <c r="E467">
        <v>45.24</v>
      </c>
      <c r="F467" t="s">
        <v>12</v>
      </c>
      <c r="G467" t="s">
        <v>18</v>
      </c>
      <c r="H467" t="s">
        <v>364</v>
      </c>
      <c r="I467" t="s">
        <v>15</v>
      </c>
      <c r="J467" t="s">
        <v>16</v>
      </c>
      <c r="K467">
        <v>5397.2799999999934</v>
      </c>
    </row>
    <row r="468" spans="1:11" hidden="1" x14ac:dyDescent="0.25">
      <c r="A468" s="70">
        <v>466</v>
      </c>
      <c r="B468" t="s">
        <v>1092</v>
      </c>
      <c r="C468" t="s">
        <v>1092</v>
      </c>
      <c r="D468" t="s">
        <v>396</v>
      </c>
      <c r="E468">
        <v>14.05</v>
      </c>
      <c r="F468" t="s">
        <v>30</v>
      </c>
      <c r="G468" t="s">
        <v>76</v>
      </c>
      <c r="H468" t="s">
        <v>364</v>
      </c>
      <c r="I468" t="s">
        <v>15</v>
      </c>
      <c r="J468" t="s">
        <v>42</v>
      </c>
      <c r="K468">
        <v>5411.3299999999936</v>
      </c>
    </row>
    <row r="469" spans="1:11" hidden="1" x14ac:dyDescent="0.25">
      <c r="A469" s="70">
        <v>467</v>
      </c>
      <c r="B469" t="s">
        <v>1092</v>
      </c>
      <c r="C469" t="s">
        <v>1093</v>
      </c>
      <c r="D469" t="s">
        <v>390</v>
      </c>
      <c r="E469">
        <v>-8</v>
      </c>
      <c r="F469" t="s">
        <v>37</v>
      </c>
      <c r="G469" t="s">
        <v>142</v>
      </c>
      <c r="H469" t="s">
        <v>364</v>
      </c>
      <c r="I469" t="s">
        <v>15</v>
      </c>
      <c r="J469" t="s">
        <v>42</v>
      </c>
      <c r="K469">
        <v>5403.3299999999936</v>
      </c>
    </row>
    <row r="470" spans="1:11" hidden="1" x14ac:dyDescent="0.25">
      <c r="A470" s="70">
        <v>468</v>
      </c>
      <c r="B470" t="s">
        <v>1093</v>
      </c>
      <c r="C470" t="s">
        <v>1093</v>
      </c>
      <c r="D470" t="s">
        <v>396</v>
      </c>
      <c r="E470">
        <v>13.03</v>
      </c>
      <c r="F470" t="s">
        <v>30</v>
      </c>
      <c r="G470" t="s">
        <v>76</v>
      </c>
      <c r="H470" t="s">
        <v>364</v>
      </c>
      <c r="I470" t="s">
        <v>15</v>
      </c>
      <c r="J470" t="s">
        <v>42</v>
      </c>
      <c r="K470">
        <v>5416.3599999999933</v>
      </c>
    </row>
    <row r="471" spans="1:11" hidden="1" x14ac:dyDescent="0.25">
      <c r="A471" s="70">
        <v>469</v>
      </c>
      <c r="B471" t="s">
        <v>1093</v>
      </c>
      <c r="C471" t="s">
        <v>1093</v>
      </c>
      <c r="D471" t="s">
        <v>396</v>
      </c>
      <c r="E471">
        <v>10.199999999999999</v>
      </c>
      <c r="F471" t="s">
        <v>30</v>
      </c>
      <c r="G471" t="s">
        <v>76</v>
      </c>
      <c r="H471" t="s">
        <v>364</v>
      </c>
      <c r="I471" t="s">
        <v>15</v>
      </c>
      <c r="J471" t="s">
        <v>42</v>
      </c>
      <c r="K471">
        <v>5426.5599999999931</v>
      </c>
    </row>
    <row r="472" spans="1:11" hidden="1" x14ac:dyDescent="0.25">
      <c r="A472" s="70">
        <v>470</v>
      </c>
      <c r="B472" t="s">
        <v>1093</v>
      </c>
      <c r="C472" t="s">
        <v>1093</v>
      </c>
      <c r="D472" t="s">
        <v>398</v>
      </c>
      <c r="E472">
        <v>107.5</v>
      </c>
      <c r="F472" t="s">
        <v>30</v>
      </c>
      <c r="G472" t="s">
        <v>169</v>
      </c>
      <c r="H472" t="s">
        <v>364</v>
      </c>
      <c r="I472" t="s">
        <v>15</v>
      </c>
      <c r="J472" t="s">
        <v>23</v>
      </c>
      <c r="K472">
        <v>5534.0599999999931</v>
      </c>
    </row>
    <row r="473" spans="1:11" hidden="1" x14ac:dyDescent="0.25">
      <c r="A473" s="70">
        <v>471</v>
      </c>
      <c r="B473" t="s">
        <v>1093</v>
      </c>
      <c r="C473" t="s">
        <v>1093</v>
      </c>
      <c r="D473" t="s">
        <v>399</v>
      </c>
      <c r="E473">
        <v>39.69</v>
      </c>
      <c r="F473" t="s">
        <v>20</v>
      </c>
      <c r="G473" t="s">
        <v>385</v>
      </c>
      <c r="H473" t="s">
        <v>364</v>
      </c>
      <c r="I473" t="s">
        <v>15</v>
      </c>
      <c r="J473" t="s">
        <v>32</v>
      </c>
      <c r="K473">
        <v>5573.7499999999927</v>
      </c>
    </row>
    <row r="474" spans="1:11" hidden="1" x14ac:dyDescent="0.25">
      <c r="A474" s="70">
        <v>472</v>
      </c>
      <c r="B474" t="s">
        <v>1093</v>
      </c>
      <c r="C474" t="s">
        <v>1093</v>
      </c>
      <c r="D474" t="s">
        <v>400</v>
      </c>
      <c r="E474">
        <v>31.96</v>
      </c>
      <c r="F474" t="s">
        <v>20</v>
      </c>
      <c r="G474" t="s">
        <v>159</v>
      </c>
      <c r="H474" t="s">
        <v>364</v>
      </c>
      <c r="I474" t="s">
        <v>15</v>
      </c>
      <c r="J474" t="s">
        <v>23</v>
      </c>
      <c r="K474">
        <v>5605.7099999999928</v>
      </c>
    </row>
    <row r="475" spans="1:11" hidden="1" x14ac:dyDescent="0.25">
      <c r="A475" s="70">
        <v>473</v>
      </c>
      <c r="B475" t="s">
        <v>1093</v>
      </c>
      <c r="C475" t="s">
        <v>1093</v>
      </c>
      <c r="D475" t="s">
        <v>401</v>
      </c>
      <c r="E475">
        <v>298</v>
      </c>
      <c r="F475" t="s">
        <v>248</v>
      </c>
      <c r="G475" t="s">
        <v>94</v>
      </c>
      <c r="H475" t="s">
        <v>364</v>
      </c>
      <c r="I475" t="s">
        <v>15</v>
      </c>
      <c r="J475" t="s">
        <v>32</v>
      </c>
      <c r="K475">
        <v>5903.7099999999928</v>
      </c>
    </row>
    <row r="476" spans="1:11" hidden="1" x14ac:dyDescent="0.25">
      <c r="A476" s="70">
        <v>474</v>
      </c>
      <c r="B476" t="s">
        <v>1093</v>
      </c>
      <c r="C476" t="s">
        <v>1093</v>
      </c>
      <c r="D476" t="s">
        <v>402</v>
      </c>
      <c r="E476">
        <v>119.7</v>
      </c>
      <c r="F476" t="s">
        <v>30</v>
      </c>
      <c r="G476" t="s">
        <v>159</v>
      </c>
      <c r="H476" t="s">
        <v>364</v>
      </c>
      <c r="I476" t="s">
        <v>15</v>
      </c>
      <c r="J476" t="s">
        <v>23</v>
      </c>
      <c r="K476">
        <v>6023.4099999999926</v>
      </c>
    </row>
    <row r="477" spans="1:11" hidden="1" x14ac:dyDescent="0.25">
      <c r="A477" s="70">
        <v>475</v>
      </c>
      <c r="B477" t="s">
        <v>1094</v>
      </c>
      <c r="C477" t="s">
        <v>1094</v>
      </c>
      <c r="D477" t="s">
        <v>406</v>
      </c>
      <c r="E477">
        <v>44</v>
      </c>
      <c r="F477" t="s">
        <v>20</v>
      </c>
      <c r="G477" t="s">
        <v>169</v>
      </c>
      <c r="H477" t="s">
        <v>364</v>
      </c>
      <c r="I477" t="s">
        <v>15</v>
      </c>
      <c r="J477" t="s">
        <v>23</v>
      </c>
      <c r="K477">
        <v>6067.4099999999926</v>
      </c>
    </row>
    <row r="478" spans="1:11" hidden="1" x14ac:dyDescent="0.25">
      <c r="A478" s="70">
        <v>476</v>
      </c>
      <c r="B478" t="s">
        <v>1094</v>
      </c>
      <c r="C478" t="s">
        <v>1094</v>
      </c>
      <c r="D478" t="s">
        <v>404</v>
      </c>
      <c r="E478">
        <v>24.26</v>
      </c>
      <c r="F478" t="s">
        <v>20</v>
      </c>
      <c r="G478" t="s">
        <v>405</v>
      </c>
      <c r="H478" t="s">
        <v>364</v>
      </c>
      <c r="I478" t="s">
        <v>15</v>
      </c>
      <c r="J478" t="s">
        <v>32</v>
      </c>
      <c r="K478">
        <v>6091.6699999999928</v>
      </c>
    </row>
    <row r="479" spans="1:11" hidden="1" x14ac:dyDescent="0.25">
      <c r="A479" s="70">
        <v>477</v>
      </c>
      <c r="B479" t="s">
        <v>1094</v>
      </c>
      <c r="C479" t="s">
        <v>1094</v>
      </c>
      <c r="D479" t="s">
        <v>403</v>
      </c>
      <c r="E479">
        <v>21.27</v>
      </c>
      <c r="F479" t="s">
        <v>12</v>
      </c>
      <c r="G479" t="s">
        <v>18</v>
      </c>
      <c r="H479" t="s">
        <v>364</v>
      </c>
      <c r="I479" t="s">
        <v>15</v>
      </c>
      <c r="J479" t="s">
        <v>16</v>
      </c>
      <c r="K479">
        <v>6112.9399999999932</v>
      </c>
    </row>
    <row r="480" spans="1:11" hidden="1" x14ac:dyDescent="0.25">
      <c r="A480" s="70">
        <v>478</v>
      </c>
      <c r="B480" t="s">
        <v>1095</v>
      </c>
      <c r="C480" t="s">
        <v>1095</v>
      </c>
      <c r="D480" t="s">
        <v>396</v>
      </c>
      <c r="E480">
        <v>29.85</v>
      </c>
      <c r="F480" t="s">
        <v>30</v>
      </c>
      <c r="G480" t="s">
        <v>76</v>
      </c>
      <c r="H480" t="s">
        <v>364</v>
      </c>
      <c r="I480" t="s">
        <v>15</v>
      </c>
      <c r="J480" t="s">
        <v>42</v>
      </c>
      <c r="K480">
        <v>6142.7899999999936</v>
      </c>
    </row>
    <row r="481" spans="1:11" hidden="1" x14ac:dyDescent="0.25">
      <c r="A481" s="70">
        <v>479</v>
      </c>
      <c r="B481" t="s">
        <v>1095</v>
      </c>
      <c r="C481" t="s">
        <v>1095</v>
      </c>
      <c r="D481" t="s">
        <v>396</v>
      </c>
      <c r="E481">
        <v>35.9</v>
      </c>
      <c r="F481" t="s">
        <v>30</v>
      </c>
      <c r="G481" t="s">
        <v>76</v>
      </c>
      <c r="H481" t="s">
        <v>364</v>
      </c>
      <c r="I481" t="s">
        <v>15</v>
      </c>
      <c r="J481" t="s">
        <v>42</v>
      </c>
      <c r="K481">
        <v>6178.6899999999932</v>
      </c>
    </row>
    <row r="482" spans="1:11" hidden="1" x14ac:dyDescent="0.25">
      <c r="A482" s="70">
        <v>480</v>
      </c>
      <c r="B482" t="s">
        <v>1096</v>
      </c>
      <c r="C482" t="s">
        <v>1096</v>
      </c>
      <c r="D482" t="s">
        <v>407</v>
      </c>
      <c r="E482">
        <v>83</v>
      </c>
      <c r="F482" t="s">
        <v>56</v>
      </c>
      <c r="G482" t="s">
        <v>59</v>
      </c>
      <c r="H482" t="s">
        <v>364</v>
      </c>
      <c r="I482" t="s">
        <v>15</v>
      </c>
      <c r="J482" t="s">
        <v>60</v>
      </c>
      <c r="K482">
        <v>6261.6899999999932</v>
      </c>
    </row>
    <row r="483" spans="1:11" hidden="1" x14ac:dyDescent="0.25">
      <c r="A483" s="70">
        <v>481</v>
      </c>
      <c r="B483" t="s">
        <v>1096</v>
      </c>
      <c r="C483" t="s">
        <v>1096</v>
      </c>
      <c r="D483" t="s">
        <v>396</v>
      </c>
      <c r="E483">
        <v>9.09</v>
      </c>
      <c r="F483" t="s">
        <v>30</v>
      </c>
      <c r="G483" t="s">
        <v>76</v>
      </c>
      <c r="H483" t="s">
        <v>364</v>
      </c>
      <c r="I483" t="s">
        <v>15</v>
      </c>
      <c r="J483" t="s">
        <v>42</v>
      </c>
      <c r="K483">
        <v>6270.7799999999934</v>
      </c>
    </row>
    <row r="484" spans="1:11" hidden="1" x14ac:dyDescent="0.25">
      <c r="A484" s="70">
        <v>482</v>
      </c>
      <c r="B484" t="s">
        <v>1096</v>
      </c>
      <c r="C484" t="s">
        <v>1096</v>
      </c>
      <c r="D484" t="s">
        <v>396</v>
      </c>
      <c r="E484">
        <v>27.99</v>
      </c>
      <c r="F484" t="s">
        <v>30</v>
      </c>
      <c r="G484" t="s">
        <v>76</v>
      </c>
      <c r="H484" t="s">
        <v>364</v>
      </c>
      <c r="I484" t="s">
        <v>15</v>
      </c>
      <c r="J484" t="s">
        <v>42</v>
      </c>
      <c r="K484">
        <v>6298.7699999999932</v>
      </c>
    </row>
    <row r="485" spans="1:11" hidden="1" x14ac:dyDescent="0.25">
      <c r="A485" s="70">
        <v>483</v>
      </c>
      <c r="B485" t="s">
        <v>1097</v>
      </c>
      <c r="C485" t="s">
        <v>1097</v>
      </c>
      <c r="D485" t="s">
        <v>396</v>
      </c>
      <c r="E485">
        <v>27.06</v>
      </c>
      <c r="F485" t="s">
        <v>30</v>
      </c>
      <c r="G485" t="s">
        <v>76</v>
      </c>
      <c r="H485" t="s">
        <v>364</v>
      </c>
      <c r="I485" t="s">
        <v>15</v>
      </c>
      <c r="J485" t="s">
        <v>42</v>
      </c>
      <c r="K485">
        <v>6325.8299999999936</v>
      </c>
    </row>
    <row r="486" spans="1:11" hidden="1" x14ac:dyDescent="0.25">
      <c r="A486" s="70">
        <v>484</v>
      </c>
      <c r="B486" t="s">
        <v>1097</v>
      </c>
      <c r="C486" t="s">
        <v>1097</v>
      </c>
      <c r="D486" t="s">
        <v>396</v>
      </c>
      <c r="E486">
        <v>30.02</v>
      </c>
      <c r="F486" t="s">
        <v>30</v>
      </c>
      <c r="G486" t="s">
        <v>76</v>
      </c>
      <c r="H486" t="s">
        <v>364</v>
      </c>
      <c r="I486" t="s">
        <v>15</v>
      </c>
      <c r="J486" t="s">
        <v>42</v>
      </c>
      <c r="K486">
        <v>6355.849999999994</v>
      </c>
    </row>
    <row r="487" spans="1:11" hidden="1" x14ac:dyDescent="0.25">
      <c r="A487" s="70">
        <v>485</v>
      </c>
      <c r="B487" t="s">
        <v>1097</v>
      </c>
      <c r="C487" t="s">
        <v>1097</v>
      </c>
      <c r="D487" t="s">
        <v>408</v>
      </c>
      <c r="E487">
        <v>25</v>
      </c>
      <c r="F487" t="s">
        <v>56</v>
      </c>
      <c r="G487" t="s">
        <v>409</v>
      </c>
      <c r="H487" t="s">
        <v>364</v>
      </c>
      <c r="I487" t="s">
        <v>22</v>
      </c>
      <c r="J487" t="s">
        <v>32</v>
      </c>
      <c r="K487">
        <v>6380.849999999994</v>
      </c>
    </row>
    <row r="488" spans="1:11" hidden="1" x14ac:dyDescent="0.25">
      <c r="A488" s="70">
        <v>486</v>
      </c>
      <c r="B488" t="s">
        <v>1097</v>
      </c>
      <c r="C488" t="s">
        <v>1097</v>
      </c>
      <c r="D488" t="s">
        <v>410</v>
      </c>
      <c r="E488">
        <v>13.9</v>
      </c>
      <c r="F488" t="s">
        <v>12</v>
      </c>
      <c r="G488" t="s">
        <v>13</v>
      </c>
      <c r="H488" t="s">
        <v>364</v>
      </c>
      <c r="I488" t="s">
        <v>15</v>
      </c>
      <c r="J488" t="s">
        <v>16</v>
      </c>
      <c r="K488">
        <v>6394.7499999999936</v>
      </c>
    </row>
    <row r="489" spans="1:11" hidden="1" x14ac:dyDescent="0.25">
      <c r="A489" s="70">
        <v>487</v>
      </c>
      <c r="B489" t="s">
        <v>1098</v>
      </c>
      <c r="C489" t="s">
        <v>1098</v>
      </c>
      <c r="D489" t="s">
        <v>411</v>
      </c>
      <c r="E489">
        <v>8.6999999999999993</v>
      </c>
      <c r="F489" t="s">
        <v>12</v>
      </c>
      <c r="G489" t="s">
        <v>185</v>
      </c>
      <c r="H489" t="s">
        <v>364</v>
      </c>
      <c r="I489" t="s">
        <v>15</v>
      </c>
      <c r="J489" t="s">
        <v>16</v>
      </c>
      <c r="K489">
        <v>6403.4499999999935</v>
      </c>
    </row>
    <row r="490" spans="1:11" hidden="1" x14ac:dyDescent="0.25">
      <c r="A490" s="70">
        <v>488</v>
      </c>
      <c r="B490" t="s">
        <v>1098</v>
      </c>
      <c r="C490" t="s">
        <v>1098</v>
      </c>
      <c r="D490" t="s">
        <v>396</v>
      </c>
      <c r="E490">
        <v>13.71</v>
      </c>
      <c r="F490" t="s">
        <v>30</v>
      </c>
      <c r="G490" t="s">
        <v>76</v>
      </c>
      <c r="H490" t="s">
        <v>364</v>
      </c>
      <c r="I490" t="s">
        <v>15</v>
      </c>
      <c r="J490" t="s">
        <v>42</v>
      </c>
      <c r="K490">
        <v>6417.1599999999926</v>
      </c>
    </row>
    <row r="491" spans="1:11" hidden="1" x14ac:dyDescent="0.25">
      <c r="A491" s="70">
        <v>489</v>
      </c>
      <c r="B491" t="s">
        <v>1098</v>
      </c>
      <c r="C491" t="s">
        <v>1098</v>
      </c>
      <c r="D491" t="s">
        <v>396</v>
      </c>
      <c r="E491">
        <v>20.32</v>
      </c>
      <c r="F491" t="s">
        <v>30</v>
      </c>
      <c r="G491" t="s">
        <v>76</v>
      </c>
      <c r="H491" t="s">
        <v>364</v>
      </c>
      <c r="I491" t="s">
        <v>15</v>
      </c>
      <c r="J491" t="s">
        <v>42</v>
      </c>
      <c r="K491">
        <v>6437.4799999999932</v>
      </c>
    </row>
    <row r="492" spans="1:11" hidden="1" x14ac:dyDescent="0.25">
      <c r="A492" s="70">
        <v>490</v>
      </c>
      <c r="B492" t="s">
        <v>1098</v>
      </c>
      <c r="C492" t="s">
        <v>1098</v>
      </c>
      <c r="D492" t="s">
        <v>396</v>
      </c>
      <c r="E492">
        <v>20.73</v>
      </c>
      <c r="F492" t="s">
        <v>30</v>
      </c>
      <c r="G492" t="s">
        <v>76</v>
      </c>
      <c r="H492" t="s">
        <v>364</v>
      </c>
      <c r="I492" t="s">
        <v>15</v>
      </c>
      <c r="J492" t="s">
        <v>42</v>
      </c>
      <c r="K492">
        <v>6458.2099999999928</v>
      </c>
    </row>
    <row r="493" spans="1:11" hidden="1" x14ac:dyDescent="0.25">
      <c r="A493" s="70">
        <v>491</v>
      </c>
      <c r="B493" t="s">
        <v>1099</v>
      </c>
      <c r="C493" t="s">
        <v>1099</v>
      </c>
      <c r="D493" t="s">
        <v>412</v>
      </c>
      <c r="E493">
        <v>11.8</v>
      </c>
      <c r="F493" t="s">
        <v>40</v>
      </c>
      <c r="G493" t="s">
        <v>34</v>
      </c>
      <c r="H493" t="s">
        <v>364</v>
      </c>
      <c r="I493" t="s">
        <v>15</v>
      </c>
      <c r="J493" t="s">
        <v>32</v>
      </c>
      <c r="K493">
        <v>6470.0099999999929</v>
      </c>
    </row>
    <row r="494" spans="1:11" hidden="1" x14ac:dyDescent="0.25">
      <c r="A494" s="70">
        <v>492</v>
      </c>
      <c r="B494" t="s">
        <v>1099</v>
      </c>
      <c r="C494" t="s">
        <v>1099</v>
      </c>
      <c r="D494" t="s">
        <v>413</v>
      </c>
      <c r="E494">
        <v>3.17</v>
      </c>
      <c r="F494" t="s">
        <v>20</v>
      </c>
      <c r="G494" t="s">
        <v>337</v>
      </c>
      <c r="H494" t="s">
        <v>364</v>
      </c>
      <c r="I494" t="s">
        <v>22</v>
      </c>
      <c r="J494" t="s">
        <v>23</v>
      </c>
      <c r="K494">
        <v>6473.179999999993</v>
      </c>
    </row>
    <row r="495" spans="1:11" hidden="1" x14ac:dyDescent="0.25">
      <c r="A495" s="70">
        <v>493</v>
      </c>
      <c r="B495" t="s">
        <v>1100</v>
      </c>
      <c r="C495" t="s">
        <v>1100</v>
      </c>
      <c r="D495" t="s">
        <v>36</v>
      </c>
      <c r="E495">
        <v>-1000</v>
      </c>
      <c r="F495" t="s">
        <v>37</v>
      </c>
      <c r="G495" t="s">
        <v>38</v>
      </c>
      <c r="H495" t="s">
        <v>364</v>
      </c>
      <c r="I495" t="s">
        <v>15</v>
      </c>
      <c r="J495" t="s">
        <v>973</v>
      </c>
      <c r="K495">
        <v>5473.179999999993</v>
      </c>
    </row>
    <row r="496" spans="1:11" hidden="1" x14ac:dyDescent="0.25">
      <c r="A496" s="70">
        <v>494</v>
      </c>
      <c r="B496" t="s">
        <v>1101</v>
      </c>
      <c r="C496" t="s">
        <v>1102</v>
      </c>
      <c r="D496" t="s">
        <v>19</v>
      </c>
      <c r="E496">
        <v>10.59</v>
      </c>
      <c r="F496" t="s">
        <v>20</v>
      </c>
      <c r="G496" t="s">
        <v>21</v>
      </c>
      <c r="H496" t="s">
        <v>420</v>
      </c>
      <c r="I496" t="s">
        <v>22</v>
      </c>
      <c r="J496" t="s">
        <v>23</v>
      </c>
      <c r="K496">
        <v>5483.7699999999932</v>
      </c>
    </row>
    <row r="497" spans="1:11" hidden="1" x14ac:dyDescent="0.25">
      <c r="A497" s="70">
        <v>495</v>
      </c>
      <c r="B497" t="s">
        <v>1101</v>
      </c>
      <c r="C497" t="s">
        <v>1102</v>
      </c>
      <c r="D497" t="s">
        <v>408</v>
      </c>
      <c r="E497">
        <v>25</v>
      </c>
      <c r="F497" t="s">
        <v>56</v>
      </c>
      <c r="G497" t="s">
        <v>409</v>
      </c>
      <c r="H497" t="s">
        <v>420</v>
      </c>
      <c r="I497" t="s">
        <v>22</v>
      </c>
      <c r="J497" t="s">
        <v>32</v>
      </c>
      <c r="K497">
        <v>5508.7699999999932</v>
      </c>
    </row>
    <row r="498" spans="1:11" x14ac:dyDescent="0.25">
      <c r="A498" s="70">
        <v>496</v>
      </c>
      <c r="B498" t="s">
        <v>1101</v>
      </c>
      <c r="C498" t="s">
        <v>1102</v>
      </c>
      <c r="D498" t="s">
        <v>421</v>
      </c>
      <c r="E498">
        <v>9.99</v>
      </c>
      <c r="F498" t="s">
        <v>20</v>
      </c>
      <c r="G498" t="s">
        <v>25</v>
      </c>
      <c r="H498" t="s">
        <v>420</v>
      </c>
      <c r="I498" t="s">
        <v>22</v>
      </c>
      <c r="J498" t="s">
        <v>23</v>
      </c>
      <c r="K498">
        <v>5518.7599999999929</v>
      </c>
    </row>
    <row r="499" spans="1:11" hidden="1" x14ac:dyDescent="0.25">
      <c r="A499" s="70">
        <v>497</v>
      </c>
      <c r="B499" t="s">
        <v>1103</v>
      </c>
      <c r="C499" t="s">
        <v>1103</v>
      </c>
      <c r="D499" t="s">
        <v>319</v>
      </c>
      <c r="E499">
        <v>99.19</v>
      </c>
      <c r="F499" t="s">
        <v>320</v>
      </c>
      <c r="G499" t="s">
        <v>321</v>
      </c>
      <c r="H499" t="s">
        <v>420</v>
      </c>
      <c r="I499" t="s">
        <v>15</v>
      </c>
      <c r="J499" t="s">
        <v>973</v>
      </c>
      <c r="K499">
        <v>5617.9499999999935</v>
      </c>
    </row>
    <row r="500" spans="1:11" hidden="1" x14ac:dyDescent="0.25">
      <c r="A500" s="70">
        <v>498</v>
      </c>
      <c r="B500" t="s">
        <v>1103</v>
      </c>
      <c r="C500" t="s">
        <v>1102</v>
      </c>
      <c r="D500" t="s">
        <v>77</v>
      </c>
      <c r="E500">
        <v>10</v>
      </c>
      <c r="F500" t="s">
        <v>20</v>
      </c>
      <c r="G500" t="s">
        <v>78</v>
      </c>
      <c r="H500" t="s">
        <v>420</v>
      </c>
      <c r="I500" t="s">
        <v>22</v>
      </c>
      <c r="J500" t="s">
        <v>23</v>
      </c>
      <c r="K500">
        <v>5627.9499999999935</v>
      </c>
    </row>
    <row r="501" spans="1:11" hidden="1" x14ac:dyDescent="0.25">
      <c r="A501" s="70">
        <v>499</v>
      </c>
      <c r="B501" t="s">
        <v>1102</v>
      </c>
      <c r="C501" t="s">
        <v>1102</v>
      </c>
      <c r="D501" t="s">
        <v>468</v>
      </c>
      <c r="E501">
        <v>12.05</v>
      </c>
      <c r="F501" t="s">
        <v>12</v>
      </c>
      <c r="G501" t="s">
        <v>18</v>
      </c>
      <c r="H501" t="s">
        <v>420</v>
      </c>
      <c r="I501" t="s">
        <v>15</v>
      </c>
      <c r="J501" t="s">
        <v>16</v>
      </c>
      <c r="K501">
        <v>5639.9999999999927</v>
      </c>
    </row>
    <row r="502" spans="1:11" hidden="1" x14ac:dyDescent="0.25">
      <c r="A502" s="70">
        <v>500</v>
      </c>
      <c r="B502" t="s">
        <v>1102</v>
      </c>
      <c r="C502" t="s">
        <v>1102</v>
      </c>
      <c r="D502" t="s">
        <v>471</v>
      </c>
      <c r="E502">
        <v>9.1999999999999993</v>
      </c>
      <c r="F502" t="s">
        <v>20</v>
      </c>
      <c r="G502" t="s">
        <v>382</v>
      </c>
      <c r="H502" t="s">
        <v>420</v>
      </c>
      <c r="I502" t="s">
        <v>15</v>
      </c>
      <c r="J502" t="s">
        <v>42</v>
      </c>
      <c r="K502">
        <v>5649.1999999999935</v>
      </c>
    </row>
    <row r="503" spans="1:11" hidden="1" x14ac:dyDescent="0.25">
      <c r="A503" s="70">
        <v>501</v>
      </c>
      <c r="B503" t="s">
        <v>1102</v>
      </c>
      <c r="C503" t="s">
        <v>1102</v>
      </c>
      <c r="D503" t="s">
        <v>469</v>
      </c>
      <c r="E503">
        <v>30</v>
      </c>
      <c r="F503" t="s">
        <v>30</v>
      </c>
      <c r="G503" t="s">
        <v>142</v>
      </c>
      <c r="H503" t="s">
        <v>420</v>
      </c>
      <c r="I503" t="s">
        <v>15</v>
      </c>
      <c r="J503" t="s">
        <v>42</v>
      </c>
      <c r="K503">
        <v>5679.1999999999935</v>
      </c>
    </row>
    <row r="504" spans="1:11" hidden="1" x14ac:dyDescent="0.25">
      <c r="A504" s="70">
        <v>502</v>
      </c>
      <c r="B504" t="s">
        <v>1102</v>
      </c>
      <c r="C504" t="s">
        <v>1102</v>
      </c>
      <c r="D504" t="s">
        <v>470</v>
      </c>
      <c r="E504">
        <v>4.76</v>
      </c>
      <c r="F504" t="s">
        <v>20</v>
      </c>
      <c r="G504" t="s">
        <v>382</v>
      </c>
      <c r="H504" t="s">
        <v>420</v>
      </c>
      <c r="I504" t="s">
        <v>15</v>
      </c>
      <c r="J504" t="s">
        <v>42</v>
      </c>
      <c r="K504">
        <v>5683.9599999999928</v>
      </c>
    </row>
    <row r="505" spans="1:11" hidden="1" x14ac:dyDescent="0.25">
      <c r="A505" s="70">
        <v>503</v>
      </c>
      <c r="B505" t="s">
        <v>1104</v>
      </c>
      <c r="C505" t="s">
        <v>1104</v>
      </c>
      <c r="D505" t="s">
        <v>396</v>
      </c>
      <c r="E505">
        <v>18.54</v>
      </c>
      <c r="F505" t="s">
        <v>30</v>
      </c>
      <c r="G505" t="s">
        <v>76</v>
      </c>
      <c r="H505" t="s">
        <v>420</v>
      </c>
      <c r="I505" t="s">
        <v>15</v>
      </c>
      <c r="J505" t="s">
        <v>42</v>
      </c>
      <c r="K505">
        <v>5702.4999999999927</v>
      </c>
    </row>
    <row r="506" spans="1:11" hidden="1" x14ac:dyDescent="0.25">
      <c r="A506" s="70">
        <v>504</v>
      </c>
      <c r="B506" t="s">
        <v>1104</v>
      </c>
      <c r="C506" t="s">
        <v>1104</v>
      </c>
      <c r="D506" t="s">
        <v>472</v>
      </c>
      <c r="E506">
        <v>93.31</v>
      </c>
      <c r="F506" t="s">
        <v>53</v>
      </c>
      <c r="G506" t="s">
        <v>54</v>
      </c>
      <c r="H506" t="s">
        <v>420</v>
      </c>
      <c r="I506" t="s">
        <v>15</v>
      </c>
      <c r="J506" t="s">
        <v>16</v>
      </c>
      <c r="K506">
        <v>5795.8099999999931</v>
      </c>
    </row>
    <row r="507" spans="1:11" hidden="1" x14ac:dyDescent="0.25">
      <c r="A507" s="70">
        <v>505</v>
      </c>
      <c r="B507" t="s">
        <v>1105</v>
      </c>
      <c r="C507" t="s">
        <v>1105</v>
      </c>
      <c r="D507" t="s">
        <v>353</v>
      </c>
      <c r="E507">
        <v>9.99</v>
      </c>
      <c r="F507" t="s">
        <v>30</v>
      </c>
      <c r="G507" t="s">
        <v>76</v>
      </c>
      <c r="H507" t="s">
        <v>420</v>
      </c>
      <c r="I507" t="s">
        <v>15</v>
      </c>
      <c r="J507" t="s">
        <v>42</v>
      </c>
      <c r="K507">
        <v>5805.7999999999929</v>
      </c>
    </row>
    <row r="508" spans="1:11" hidden="1" x14ac:dyDescent="0.25">
      <c r="A508" s="70">
        <v>506</v>
      </c>
      <c r="B508" t="s">
        <v>1105</v>
      </c>
      <c r="C508" t="s">
        <v>1105</v>
      </c>
      <c r="D508" t="s">
        <v>473</v>
      </c>
      <c r="E508">
        <v>8.98</v>
      </c>
      <c r="F508" t="s">
        <v>20</v>
      </c>
      <c r="G508" t="s">
        <v>27</v>
      </c>
      <c r="H508" t="s">
        <v>420</v>
      </c>
      <c r="I508" t="s">
        <v>15</v>
      </c>
      <c r="J508" t="s">
        <v>32</v>
      </c>
      <c r="K508">
        <v>5814.7799999999916</v>
      </c>
    </row>
    <row r="509" spans="1:11" hidden="1" x14ac:dyDescent="0.25">
      <c r="A509" s="70">
        <v>507</v>
      </c>
      <c r="B509" t="s">
        <v>1105</v>
      </c>
      <c r="C509" t="s">
        <v>1105</v>
      </c>
      <c r="D509" t="s">
        <v>474</v>
      </c>
      <c r="E509">
        <v>24.99</v>
      </c>
      <c r="F509" t="s">
        <v>20</v>
      </c>
      <c r="G509" t="s">
        <v>27</v>
      </c>
      <c r="H509" t="s">
        <v>420</v>
      </c>
      <c r="I509" t="s">
        <v>15</v>
      </c>
      <c r="J509" t="s">
        <v>32</v>
      </c>
      <c r="K509">
        <v>5839.7699999999923</v>
      </c>
    </row>
    <row r="510" spans="1:11" hidden="1" x14ac:dyDescent="0.25">
      <c r="A510" s="70">
        <v>508</v>
      </c>
      <c r="B510" t="s">
        <v>1105</v>
      </c>
      <c r="C510" t="s">
        <v>1105</v>
      </c>
      <c r="D510" t="s">
        <v>475</v>
      </c>
      <c r="E510">
        <v>4.67</v>
      </c>
      <c r="F510" t="s">
        <v>30</v>
      </c>
      <c r="G510" t="s">
        <v>76</v>
      </c>
      <c r="H510" t="s">
        <v>420</v>
      </c>
      <c r="I510" t="s">
        <v>15</v>
      </c>
      <c r="J510" t="s">
        <v>42</v>
      </c>
      <c r="K510">
        <v>5844.4399999999923</v>
      </c>
    </row>
    <row r="511" spans="1:11" hidden="1" x14ac:dyDescent="0.25">
      <c r="A511" s="70">
        <v>509</v>
      </c>
      <c r="B511" t="s">
        <v>1105</v>
      </c>
      <c r="C511" t="s">
        <v>1105</v>
      </c>
      <c r="D511" t="s">
        <v>476</v>
      </c>
      <c r="E511">
        <v>5.09</v>
      </c>
      <c r="F511" t="s">
        <v>30</v>
      </c>
      <c r="G511" t="s">
        <v>76</v>
      </c>
      <c r="H511" t="s">
        <v>420</v>
      </c>
      <c r="I511" t="s">
        <v>15</v>
      </c>
      <c r="J511" t="s">
        <v>42</v>
      </c>
      <c r="K511">
        <v>5849.5299999999916</v>
      </c>
    </row>
    <row r="512" spans="1:11" hidden="1" x14ac:dyDescent="0.25">
      <c r="A512" s="70">
        <v>510</v>
      </c>
      <c r="B512" t="s">
        <v>1105</v>
      </c>
      <c r="C512" t="s">
        <v>1105</v>
      </c>
      <c r="D512" t="s">
        <v>477</v>
      </c>
      <c r="E512">
        <v>131.30000000000001</v>
      </c>
      <c r="F512" t="s">
        <v>53</v>
      </c>
      <c r="G512" t="s">
        <v>54</v>
      </c>
      <c r="H512" t="s">
        <v>420</v>
      </c>
      <c r="I512" t="s">
        <v>15</v>
      </c>
      <c r="J512" t="s">
        <v>16</v>
      </c>
      <c r="K512">
        <v>5980.8299999999927</v>
      </c>
    </row>
    <row r="513" spans="1:11" hidden="1" x14ac:dyDescent="0.25">
      <c r="A513" s="70">
        <v>511</v>
      </c>
      <c r="B513" t="s">
        <v>1105</v>
      </c>
      <c r="C513" t="s">
        <v>1105</v>
      </c>
      <c r="D513" t="s">
        <v>478</v>
      </c>
      <c r="E513">
        <v>12.14</v>
      </c>
      <c r="F513" t="s">
        <v>12</v>
      </c>
      <c r="G513" t="s">
        <v>13</v>
      </c>
      <c r="H513" t="s">
        <v>420</v>
      </c>
      <c r="I513" t="s">
        <v>15</v>
      </c>
      <c r="J513" t="s">
        <v>16</v>
      </c>
      <c r="K513">
        <v>5992.969999999993</v>
      </c>
    </row>
    <row r="514" spans="1:11" hidden="1" x14ac:dyDescent="0.25">
      <c r="A514" s="70">
        <v>512</v>
      </c>
      <c r="B514" t="s">
        <v>1105</v>
      </c>
      <c r="C514" t="s">
        <v>1105</v>
      </c>
      <c r="D514" t="s">
        <v>479</v>
      </c>
      <c r="E514">
        <v>104</v>
      </c>
      <c r="F514" t="s">
        <v>30</v>
      </c>
      <c r="G514" t="s">
        <v>169</v>
      </c>
      <c r="H514" t="s">
        <v>420</v>
      </c>
      <c r="I514" t="s">
        <v>15</v>
      </c>
      <c r="J514" t="s">
        <v>23</v>
      </c>
      <c r="K514">
        <v>6096.969999999993</v>
      </c>
    </row>
    <row r="515" spans="1:11" hidden="1" x14ac:dyDescent="0.25">
      <c r="A515" s="70">
        <v>513</v>
      </c>
      <c r="B515" t="s">
        <v>1105</v>
      </c>
      <c r="C515" t="s">
        <v>1105</v>
      </c>
      <c r="D515" t="s">
        <v>266</v>
      </c>
      <c r="E515">
        <v>55.35</v>
      </c>
      <c r="F515" t="s">
        <v>20</v>
      </c>
      <c r="G515" t="s">
        <v>34</v>
      </c>
      <c r="H515" t="s">
        <v>420</v>
      </c>
      <c r="I515" t="s">
        <v>15</v>
      </c>
      <c r="J515" t="s">
        <v>32</v>
      </c>
      <c r="K515">
        <v>6152.3199999999933</v>
      </c>
    </row>
    <row r="516" spans="1:11" hidden="1" x14ac:dyDescent="0.25">
      <c r="A516" s="70">
        <v>514</v>
      </c>
      <c r="B516" t="s">
        <v>1106</v>
      </c>
      <c r="C516" t="s">
        <v>1106</v>
      </c>
      <c r="D516" t="s">
        <v>108</v>
      </c>
      <c r="E516">
        <v>79.66</v>
      </c>
      <c r="F516" t="s">
        <v>20</v>
      </c>
      <c r="G516" t="s">
        <v>109</v>
      </c>
      <c r="H516" t="s">
        <v>420</v>
      </c>
      <c r="I516" t="s">
        <v>22</v>
      </c>
      <c r="J516" t="s">
        <v>110</v>
      </c>
      <c r="K516">
        <v>6231.9799999999932</v>
      </c>
    </row>
    <row r="517" spans="1:11" hidden="1" x14ac:dyDescent="0.25">
      <c r="A517" s="70">
        <v>515</v>
      </c>
      <c r="B517" t="s">
        <v>1107</v>
      </c>
      <c r="C517" t="s">
        <v>1107</v>
      </c>
      <c r="D517" t="s">
        <v>480</v>
      </c>
      <c r="E517">
        <v>1</v>
      </c>
      <c r="F517" t="s">
        <v>56</v>
      </c>
      <c r="G517" t="s">
        <v>481</v>
      </c>
      <c r="H517" t="s">
        <v>420</v>
      </c>
      <c r="I517" t="s">
        <v>22</v>
      </c>
      <c r="J517" t="s">
        <v>23</v>
      </c>
      <c r="K517">
        <v>6232.9799999999932</v>
      </c>
    </row>
    <row r="518" spans="1:11" hidden="1" x14ac:dyDescent="0.25">
      <c r="A518" s="70">
        <v>516</v>
      </c>
      <c r="B518" t="s">
        <v>1107</v>
      </c>
      <c r="C518" t="s">
        <v>1108</v>
      </c>
      <c r="D518" t="s">
        <v>480</v>
      </c>
      <c r="E518">
        <v>-1</v>
      </c>
      <c r="F518" t="s">
        <v>37</v>
      </c>
      <c r="G518" t="s">
        <v>481</v>
      </c>
      <c r="H518" t="s">
        <v>420</v>
      </c>
      <c r="I518" t="s">
        <v>22</v>
      </c>
      <c r="J518" t="s">
        <v>23</v>
      </c>
      <c r="K518">
        <v>6231.9799999999932</v>
      </c>
    </row>
    <row r="519" spans="1:11" hidden="1" x14ac:dyDescent="0.25">
      <c r="A519" s="70">
        <v>517</v>
      </c>
      <c r="B519" t="s">
        <v>1109</v>
      </c>
      <c r="C519" t="s">
        <v>1109</v>
      </c>
      <c r="D519" t="s">
        <v>482</v>
      </c>
      <c r="E519">
        <v>20</v>
      </c>
      <c r="F519" t="s">
        <v>20</v>
      </c>
      <c r="G519" t="s">
        <v>281</v>
      </c>
      <c r="H519" t="s">
        <v>420</v>
      </c>
      <c r="I519" t="s">
        <v>15</v>
      </c>
      <c r="J519" t="s">
        <v>23</v>
      </c>
      <c r="K519">
        <v>6251.9799999999932</v>
      </c>
    </row>
    <row r="520" spans="1:11" hidden="1" x14ac:dyDescent="0.25">
      <c r="A520" s="70">
        <v>518</v>
      </c>
      <c r="B520" t="s">
        <v>1109</v>
      </c>
      <c r="C520" t="s">
        <v>1109</v>
      </c>
      <c r="D520" t="s">
        <v>379</v>
      </c>
      <c r="E520">
        <v>5.42</v>
      </c>
      <c r="F520" t="s">
        <v>20</v>
      </c>
      <c r="G520" t="s">
        <v>80</v>
      </c>
      <c r="H520" t="s">
        <v>420</v>
      </c>
      <c r="I520" t="s">
        <v>15</v>
      </c>
      <c r="J520" t="s">
        <v>23</v>
      </c>
      <c r="K520">
        <v>6257.3999999999933</v>
      </c>
    </row>
    <row r="521" spans="1:11" hidden="1" x14ac:dyDescent="0.25">
      <c r="A521" s="70">
        <v>519</v>
      </c>
      <c r="B521" t="s">
        <v>1109</v>
      </c>
      <c r="C521" t="s">
        <v>1109</v>
      </c>
      <c r="D521" t="s">
        <v>341</v>
      </c>
      <c r="E521">
        <v>23.88</v>
      </c>
      <c r="F521" t="s">
        <v>20</v>
      </c>
      <c r="G521" t="s">
        <v>72</v>
      </c>
      <c r="H521" t="s">
        <v>420</v>
      </c>
      <c r="I521" t="s">
        <v>15</v>
      </c>
      <c r="J521" t="s">
        <v>32</v>
      </c>
      <c r="K521">
        <v>6281.2799999999934</v>
      </c>
    </row>
    <row r="522" spans="1:11" hidden="1" x14ac:dyDescent="0.25">
      <c r="A522" s="70">
        <v>520</v>
      </c>
      <c r="B522" t="s">
        <v>1110</v>
      </c>
      <c r="C522" t="s">
        <v>1110</v>
      </c>
      <c r="D522" t="s">
        <v>484</v>
      </c>
      <c r="E522">
        <v>51.5</v>
      </c>
      <c r="F522" t="s">
        <v>20</v>
      </c>
      <c r="G522" t="s">
        <v>485</v>
      </c>
      <c r="H522" t="s">
        <v>420</v>
      </c>
      <c r="I522" t="s">
        <v>15</v>
      </c>
      <c r="J522" t="s">
        <v>127</v>
      </c>
      <c r="K522">
        <v>6332.7799999999934</v>
      </c>
    </row>
    <row r="523" spans="1:11" hidden="1" x14ac:dyDescent="0.25">
      <c r="A523" s="70">
        <v>521</v>
      </c>
      <c r="B523" t="s">
        <v>1110</v>
      </c>
      <c r="C523" t="s">
        <v>1110</v>
      </c>
      <c r="D523" t="s">
        <v>379</v>
      </c>
      <c r="E523">
        <v>8.5</v>
      </c>
      <c r="F523" t="s">
        <v>20</v>
      </c>
      <c r="G523" t="s">
        <v>80</v>
      </c>
      <c r="H523" t="s">
        <v>420</v>
      </c>
      <c r="I523" t="s">
        <v>15</v>
      </c>
      <c r="J523" t="s">
        <v>23</v>
      </c>
      <c r="K523">
        <v>6341.2799999999934</v>
      </c>
    </row>
    <row r="524" spans="1:11" hidden="1" x14ac:dyDescent="0.25">
      <c r="A524" s="70">
        <v>522</v>
      </c>
      <c r="B524" t="s">
        <v>1110</v>
      </c>
      <c r="C524" t="s">
        <v>1110</v>
      </c>
      <c r="D524" t="s">
        <v>268</v>
      </c>
      <c r="E524">
        <v>5.32</v>
      </c>
      <c r="F524" t="s">
        <v>20</v>
      </c>
      <c r="G524" t="s">
        <v>80</v>
      </c>
      <c r="H524" t="s">
        <v>420</v>
      </c>
      <c r="I524" t="s">
        <v>15</v>
      </c>
      <c r="J524" t="s">
        <v>23</v>
      </c>
      <c r="K524">
        <v>6346.5999999999931</v>
      </c>
    </row>
    <row r="525" spans="1:11" hidden="1" x14ac:dyDescent="0.25">
      <c r="A525" s="70">
        <v>523</v>
      </c>
      <c r="B525" t="s">
        <v>1110</v>
      </c>
      <c r="C525" t="s">
        <v>1110</v>
      </c>
      <c r="D525" t="s">
        <v>486</v>
      </c>
      <c r="E525">
        <v>13.28</v>
      </c>
      <c r="F525" t="s">
        <v>20</v>
      </c>
      <c r="G525" t="s">
        <v>13</v>
      </c>
      <c r="H525" t="s">
        <v>420</v>
      </c>
      <c r="I525" t="s">
        <v>15</v>
      </c>
      <c r="J525" t="s">
        <v>16</v>
      </c>
      <c r="K525">
        <v>6359.8799999999928</v>
      </c>
    </row>
    <row r="526" spans="1:11" hidden="1" x14ac:dyDescent="0.25">
      <c r="A526" s="70">
        <v>524</v>
      </c>
      <c r="B526" t="s">
        <v>1110</v>
      </c>
      <c r="C526" t="s">
        <v>1110</v>
      </c>
      <c r="D526" t="s">
        <v>483</v>
      </c>
      <c r="E526">
        <v>78</v>
      </c>
      <c r="F526" t="s">
        <v>12</v>
      </c>
      <c r="G526" t="s">
        <v>18</v>
      </c>
      <c r="H526" t="s">
        <v>420</v>
      </c>
      <c r="I526" t="s">
        <v>15</v>
      </c>
      <c r="J526" t="s">
        <v>16</v>
      </c>
      <c r="K526">
        <v>6437.8799999999928</v>
      </c>
    </row>
    <row r="527" spans="1:11" hidden="1" x14ac:dyDescent="0.25">
      <c r="A527" s="70">
        <v>525</v>
      </c>
      <c r="B527" t="s">
        <v>1108</v>
      </c>
      <c r="C527" t="s">
        <v>1108</v>
      </c>
      <c r="D527" t="s">
        <v>425</v>
      </c>
      <c r="E527">
        <v>69.72</v>
      </c>
      <c r="F527" t="s">
        <v>12</v>
      </c>
      <c r="G527" t="s">
        <v>18</v>
      </c>
      <c r="H527" t="s">
        <v>420</v>
      </c>
      <c r="I527" t="s">
        <v>15</v>
      </c>
      <c r="J527" t="s">
        <v>16</v>
      </c>
      <c r="K527">
        <v>6507.5999999999931</v>
      </c>
    </row>
    <row r="528" spans="1:11" hidden="1" x14ac:dyDescent="0.25">
      <c r="A528" s="70">
        <v>526</v>
      </c>
      <c r="B528" t="s">
        <v>1108</v>
      </c>
      <c r="C528" t="s">
        <v>1108</v>
      </c>
      <c r="D528" t="s">
        <v>422</v>
      </c>
      <c r="E528">
        <v>10.63</v>
      </c>
      <c r="F528" t="s">
        <v>53</v>
      </c>
      <c r="G528" t="s">
        <v>54</v>
      </c>
      <c r="H528" t="s">
        <v>420</v>
      </c>
      <c r="I528" t="s">
        <v>15</v>
      </c>
      <c r="J528" t="s">
        <v>16</v>
      </c>
      <c r="K528">
        <v>6518.2299999999932</v>
      </c>
    </row>
    <row r="529" spans="1:11" hidden="1" x14ac:dyDescent="0.25">
      <c r="A529" s="70">
        <v>527</v>
      </c>
      <c r="B529" t="s">
        <v>1108</v>
      </c>
      <c r="C529" t="s">
        <v>1108</v>
      </c>
      <c r="D529" t="s">
        <v>424</v>
      </c>
      <c r="E529">
        <v>55.98</v>
      </c>
      <c r="F529" t="s">
        <v>40</v>
      </c>
      <c r="G529" t="s">
        <v>41</v>
      </c>
      <c r="H529" t="s">
        <v>420</v>
      </c>
      <c r="I529" t="s">
        <v>15</v>
      </c>
      <c r="J529" t="s">
        <v>42</v>
      </c>
      <c r="K529">
        <v>6574.2099999999928</v>
      </c>
    </row>
    <row r="530" spans="1:11" hidden="1" x14ac:dyDescent="0.25">
      <c r="A530" s="70">
        <v>528</v>
      </c>
      <c r="B530" t="s">
        <v>1108</v>
      </c>
      <c r="C530" t="s">
        <v>1108</v>
      </c>
      <c r="D530" t="s">
        <v>379</v>
      </c>
      <c r="E530">
        <v>5.32</v>
      </c>
      <c r="F530" t="s">
        <v>20</v>
      </c>
      <c r="G530" t="s">
        <v>80</v>
      </c>
      <c r="H530" t="s">
        <v>420</v>
      </c>
      <c r="I530" t="s">
        <v>15</v>
      </c>
      <c r="J530" t="s">
        <v>23</v>
      </c>
      <c r="K530">
        <v>6579.5299999999916</v>
      </c>
    </row>
    <row r="531" spans="1:11" hidden="1" x14ac:dyDescent="0.25">
      <c r="A531" s="70">
        <v>529</v>
      </c>
      <c r="B531" t="s">
        <v>1108</v>
      </c>
      <c r="C531" t="s">
        <v>1108</v>
      </c>
      <c r="D531" t="s">
        <v>423</v>
      </c>
      <c r="E531">
        <v>15.77</v>
      </c>
      <c r="F531" t="s">
        <v>30</v>
      </c>
      <c r="G531" t="s">
        <v>31</v>
      </c>
      <c r="H531" t="s">
        <v>420</v>
      </c>
      <c r="I531" t="s">
        <v>15</v>
      </c>
      <c r="J531" t="s">
        <v>32</v>
      </c>
      <c r="K531">
        <v>6595.2999999999929</v>
      </c>
    </row>
    <row r="532" spans="1:11" hidden="1" x14ac:dyDescent="0.25">
      <c r="A532" s="70">
        <v>530</v>
      </c>
      <c r="B532" t="s">
        <v>1108</v>
      </c>
      <c r="C532" t="s">
        <v>1108</v>
      </c>
      <c r="D532" t="s">
        <v>379</v>
      </c>
      <c r="E532">
        <v>5.95</v>
      </c>
      <c r="F532" t="s">
        <v>20</v>
      </c>
      <c r="G532" t="s">
        <v>80</v>
      </c>
      <c r="H532" t="s">
        <v>420</v>
      </c>
      <c r="I532" t="s">
        <v>15</v>
      </c>
      <c r="J532" t="s">
        <v>23</v>
      </c>
      <c r="K532">
        <v>6601.2499999999927</v>
      </c>
    </row>
    <row r="533" spans="1:11" hidden="1" x14ac:dyDescent="0.25">
      <c r="A533" s="70">
        <v>531</v>
      </c>
      <c r="B533" t="s">
        <v>1111</v>
      </c>
      <c r="C533" t="s">
        <v>1111</v>
      </c>
      <c r="D533" t="s">
        <v>426</v>
      </c>
      <c r="E533">
        <v>37.229999999999997</v>
      </c>
      <c r="F533" t="s">
        <v>20</v>
      </c>
      <c r="G533" t="s">
        <v>27</v>
      </c>
      <c r="H533" t="s">
        <v>420</v>
      </c>
      <c r="I533" t="s">
        <v>15</v>
      </c>
      <c r="J533" t="s">
        <v>32</v>
      </c>
      <c r="K533">
        <v>6638.4799999999923</v>
      </c>
    </row>
    <row r="534" spans="1:11" hidden="1" x14ac:dyDescent="0.25">
      <c r="A534" s="70">
        <v>532</v>
      </c>
      <c r="B534" t="s">
        <v>1111</v>
      </c>
      <c r="C534" t="s">
        <v>1111</v>
      </c>
      <c r="D534" t="s">
        <v>427</v>
      </c>
      <c r="E534">
        <v>19.309999999999999</v>
      </c>
      <c r="F534" t="s">
        <v>12</v>
      </c>
      <c r="G534" t="s">
        <v>13</v>
      </c>
      <c r="H534" t="s">
        <v>420</v>
      </c>
      <c r="I534" t="s">
        <v>15</v>
      </c>
      <c r="J534" t="s">
        <v>16</v>
      </c>
      <c r="K534">
        <v>6657.7899999999927</v>
      </c>
    </row>
    <row r="535" spans="1:11" hidden="1" x14ac:dyDescent="0.25">
      <c r="A535" s="70">
        <v>533</v>
      </c>
      <c r="B535" t="s">
        <v>1111</v>
      </c>
      <c r="C535" t="s">
        <v>1111</v>
      </c>
      <c r="D535" t="s">
        <v>379</v>
      </c>
      <c r="E535">
        <v>3.72</v>
      </c>
      <c r="F535" t="s">
        <v>20</v>
      </c>
      <c r="G535" t="s">
        <v>80</v>
      </c>
      <c r="H535" t="s">
        <v>420</v>
      </c>
      <c r="I535" t="s">
        <v>15</v>
      </c>
      <c r="J535" t="s">
        <v>23</v>
      </c>
      <c r="K535">
        <v>6661.5099999999929</v>
      </c>
    </row>
    <row r="536" spans="1:11" hidden="1" x14ac:dyDescent="0.25">
      <c r="A536" s="70">
        <v>534</v>
      </c>
      <c r="B536" t="s">
        <v>1111</v>
      </c>
      <c r="C536" t="s">
        <v>1111</v>
      </c>
      <c r="D536" t="s">
        <v>379</v>
      </c>
      <c r="E536">
        <v>4.25</v>
      </c>
      <c r="F536" t="s">
        <v>20</v>
      </c>
      <c r="G536" t="s">
        <v>80</v>
      </c>
      <c r="H536" t="s">
        <v>420</v>
      </c>
      <c r="I536" t="s">
        <v>15</v>
      </c>
      <c r="J536" t="s">
        <v>23</v>
      </c>
      <c r="K536">
        <v>6665.7599999999929</v>
      </c>
    </row>
    <row r="537" spans="1:11" hidden="1" x14ac:dyDescent="0.25">
      <c r="A537" s="70">
        <v>535</v>
      </c>
      <c r="B537" t="s">
        <v>1111</v>
      </c>
      <c r="C537" t="s">
        <v>1111</v>
      </c>
      <c r="D537" t="s">
        <v>428</v>
      </c>
      <c r="E537">
        <v>60.25</v>
      </c>
      <c r="F537" t="s">
        <v>248</v>
      </c>
      <c r="G537" t="s">
        <v>294</v>
      </c>
      <c r="H537" t="s">
        <v>420</v>
      </c>
      <c r="I537" t="s">
        <v>15</v>
      </c>
      <c r="J537" t="s">
        <v>23</v>
      </c>
      <c r="K537">
        <v>6726.0099999999929</v>
      </c>
    </row>
    <row r="538" spans="1:11" hidden="1" x14ac:dyDescent="0.25">
      <c r="A538" s="70">
        <v>536</v>
      </c>
      <c r="B538" t="s">
        <v>1112</v>
      </c>
      <c r="C538" t="s">
        <v>1112</v>
      </c>
      <c r="D538" t="s">
        <v>73</v>
      </c>
      <c r="E538">
        <v>13.08</v>
      </c>
      <c r="F538" t="s">
        <v>12</v>
      </c>
      <c r="G538" t="s">
        <v>74</v>
      </c>
      <c r="H538" t="s">
        <v>420</v>
      </c>
      <c r="I538" t="s">
        <v>15</v>
      </c>
      <c r="J538" t="s">
        <v>16</v>
      </c>
      <c r="K538">
        <v>6739.0899999999929</v>
      </c>
    </row>
    <row r="539" spans="1:11" hidden="1" x14ac:dyDescent="0.25">
      <c r="A539" s="70">
        <v>537</v>
      </c>
      <c r="B539" t="s">
        <v>1112</v>
      </c>
      <c r="C539" t="s">
        <v>1112</v>
      </c>
      <c r="D539" t="s">
        <v>256</v>
      </c>
      <c r="E539">
        <v>3.19</v>
      </c>
      <c r="F539" t="s">
        <v>20</v>
      </c>
      <c r="G539" t="s">
        <v>80</v>
      </c>
      <c r="H539" t="s">
        <v>420</v>
      </c>
      <c r="I539" t="s">
        <v>15</v>
      </c>
      <c r="J539" t="s">
        <v>23</v>
      </c>
      <c r="K539">
        <v>6742.2799999999916</v>
      </c>
    </row>
    <row r="540" spans="1:11" hidden="1" x14ac:dyDescent="0.25">
      <c r="A540" s="70">
        <v>538</v>
      </c>
      <c r="B540" t="s">
        <v>1112</v>
      </c>
      <c r="C540" t="s">
        <v>1112</v>
      </c>
      <c r="D540" t="s">
        <v>429</v>
      </c>
      <c r="E540">
        <v>14.37</v>
      </c>
      <c r="F540" t="s">
        <v>12</v>
      </c>
      <c r="G540" t="s">
        <v>13</v>
      </c>
      <c r="H540" t="s">
        <v>420</v>
      </c>
      <c r="I540" t="s">
        <v>15</v>
      </c>
      <c r="J540" t="s">
        <v>16</v>
      </c>
      <c r="K540">
        <v>6756.6499999999924</v>
      </c>
    </row>
    <row r="541" spans="1:11" hidden="1" x14ac:dyDescent="0.25">
      <c r="A541" s="70">
        <v>539</v>
      </c>
      <c r="B541" t="s">
        <v>1112</v>
      </c>
      <c r="C541" t="s">
        <v>1112</v>
      </c>
      <c r="D541" t="s">
        <v>104</v>
      </c>
      <c r="E541">
        <v>21.51</v>
      </c>
      <c r="F541" t="s">
        <v>53</v>
      </c>
      <c r="G541" t="s">
        <v>54</v>
      </c>
      <c r="H541" t="s">
        <v>420</v>
      </c>
      <c r="I541" t="s">
        <v>15</v>
      </c>
      <c r="J541" t="s">
        <v>16</v>
      </c>
      <c r="K541">
        <v>6778.1599999999926</v>
      </c>
    </row>
    <row r="542" spans="1:11" hidden="1" x14ac:dyDescent="0.25">
      <c r="A542" s="70">
        <v>540</v>
      </c>
      <c r="B542" t="s">
        <v>1113</v>
      </c>
      <c r="C542" t="s">
        <v>1113</v>
      </c>
      <c r="D542" t="s">
        <v>73</v>
      </c>
      <c r="E542">
        <v>11.72</v>
      </c>
      <c r="F542" t="s">
        <v>12</v>
      </c>
      <c r="G542" t="s">
        <v>74</v>
      </c>
      <c r="H542" t="s">
        <v>420</v>
      </c>
      <c r="I542" t="s">
        <v>15</v>
      </c>
      <c r="J542" t="s">
        <v>16</v>
      </c>
      <c r="K542">
        <v>6789.8799999999928</v>
      </c>
    </row>
    <row r="543" spans="1:11" hidden="1" x14ac:dyDescent="0.25">
      <c r="A543" s="70">
        <v>541</v>
      </c>
      <c r="B543" t="s">
        <v>1113</v>
      </c>
      <c r="C543" t="s">
        <v>1113</v>
      </c>
      <c r="D543" t="s">
        <v>379</v>
      </c>
      <c r="E543">
        <v>10.63</v>
      </c>
      <c r="F543" t="s">
        <v>20</v>
      </c>
      <c r="G543" t="s">
        <v>80</v>
      </c>
      <c r="H543" t="s">
        <v>420</v>
      </c>
      <c r="I543" t="s">
        <v>15</v>
      </c>
      <c r="J543" t="s">
        <v>23</v>
      </c>
      <c r="K543">
        <v>6800.5099999999929</v>
      </c>
    </row>
    <row r="544" spans="1:11" hidden="1" x14ac:dyDescent="0.25">
      <c r="A544" s="70">
        <v>542</v>
      </c>
      <c r="B544" t="s">
        <v>1114</v>
      </c>
      <c r="C544" t="s">
        <v>1114</v>
      </c>
      <c r="D544" t="s">
        <v>36</v>
      </c>
      <c r="E544">
        <v>-2600</v>
      </c>
      <c r="F544" t="s">
        <v>37</v>
      </c>
      <c r="G544" t="s">
        <v>38</v>
      </c>
      <c r="H544" t="s">
        <v>420</v>
      </c>
      <c r="I544" t="s">
        <v>15</v>
      </c>
      <c r="J544" t="s">
        <v>973</v>
      </c>
      <c r="K544">
        <v>4200.5099999999929</v>
      </c>
    </row>
    <row r="545" spans="1:11" hidden="1" x14ac:dyDescent="0.25">
      <c r="A545" s="70">
        <v>543</v>
      </c>
      <c r="B545" t="s">
        <v>1115</v>
      </c>
      <c r="C545" t="s">
        <v>1115</v>
      </c>
      <c r="D545" t="s">
        <v>435</v>
      </c>
      <c r="E545">
        <v>15.89</v>
      </c>
      <c r="F545" t="s">
        <v>20</v>
      </c>
      <c r="G545" t="s">
        <v>49</v>
      </c>
      <c r="H545" t="s">
        <v>420</v>
      </c>
      <c r="I545" t="s">
        <v>22</v>
      </c>
      <c r="J545" t="s">
        <v>23</v>
      </c>
      <c r="K545">
        <v>4216.3999999999933</v>
      </c>
    </row>
    <row r="546" spans="1:11" hidden="1" x14ac:dyDescent="0.25">
      <c r="A546" s="70">
        <v>544</v>
      </c>
      <c r="B546" t="s">
        <v>1115</v>
      </c>
      <c r="C546" t="s">
        <v>1115</v>
      </c>
      <c r="D546" t="s">
        <v>430</v>
      </c>
      <c r="E546">
        <v>51.44</v>
      </c>
      <c r="F546" t="s">
        <v>40</v>
      </c>
      <c r="G546" t="s">
        <v>41</v>
      </c>
      <c r="H546" t="s">
        <v>420</v>
      </c>
      <c r="I546" t="s">
        <v>15</v>
      </c>
      <c r="J546" t="s">
        <v>42</v>
      </c>
      <c r="K546">
        <v>4267.8399999999929</v>
      </c>
    </row>
    <row r="547" spans="1:11" hidden="1" x14ac:dyDescent="0.25">
      <c r="A547" s="70">
        <v>545</v>
      </c>
      <c r="B547" t="s">
        <v>1115</v>
      </c>
      <c r="C547" t="s">
        <v>1115</v>
      </c>
      <c r="D547" t="s">
        <v>427</v>
      </c>
      <c r="E547">
        <v>20.38</v>
      </c>
      <c r="F547" t="s">
        <v>12</v>
      </c>
      <c r="G547" t="s">
        <v>13</v>
      </c>
      <c r="H547" t="s">
        <v>420</v>
      </c>
      <c r="I547" t="s">
        <v>15</v>
      </c>
      <c r="J547" t="s">
        <v>16</v>
      </c>
      <c r="K547">
        <v>4288.219999999993</v>
      </c>
    </row>
    <row r="548" spans="1:11" hidden="1" x14ac:dyDescent="0.25">
      <c r="A548" s="70">
        <v>546</v>
      </c>
      <c r="B548" t="s">
        <v>1115</v>
      </c>
      <c r="C548" t="s">
        <v>1115</v>
      </c>
      <c r="D548" t="s">
        <v>379</v>
      </c>
      <c r="E548">
        <v>10.63</v>
      </c>
      <c r="F548" t="s">
        <v>20</v>
      </c>
      <c r="G548" t="s">
        <v>80</v>
      </c>
      <c r="H548" t="s">
        <v>420</v>
      </c>
      <c r="I548" t="s">
        <v>15</v>
      </c>
      <c r="J548" t="s">
        <v>23</v>
      </c>
      <c r="K548">
        <v>4298.8499999999931</v>
      </c>
    </row>
    <row r="549" spans="1:11" hidden="1" x14ac:dyDescent="0.25">
      <c r="A549" s="70">
        <v>547</v>
      </c>
      <c r="B549" t="s">
        <v>1115</v>
      </c>
      <c r="C549" t="s">
        <v>1115</v>
      </c>
      <c r="D549" t="s">
        <v>431</v>
      </c>
      <c r="E549">
        <v>6.98</v>
      </c>
      <c r="F549" t="s">
        <v>40</v>
      </c>
      <c r="G549" t="s">
        <v>41</v>
      </c>
      <c r="H549" t="s">
        <v>420</v>
      </c>
      <c r="I549" t="s">
        <v>15</v>
      </c>
      <c r="J549" t="s">
        <v>42</v>
      </c>
      <c r="K549">
        <v>4305.8299999999927</v>
      </c>
    </row>
    <row r="550" spans="1:11" hidden="1" x14ac:dyDescent="0.25">
      <c r="A550" s="70">
        <v>548</v>
      </c>
      <c r="B550" t="s">
        <v>1115</v>
      </c>
      <c r="C550" t="s">
        <v>1115</v>
      </c>
      <c r="D550" t="s">
        <v>431</v>
      </c>
      <c r="E550">
        <v>10</v>
      </c>
      <c r="F550" t="s">
        <v>40</v>
      </c>
      <c r="G550" t="s">
        <v>41</v>
      </c>
      <c r="H550" t="s">
        <v>420</v>
      </c>
      <c r="I550" t="s">
        <v>15</v>
      </c>
      <c r="J550" t="s">
        <v>42</v>
      </c>
      <c r="K550">
        <v>4315.8299999999927</v>
      </c>
    </row>
    <row r="551" spans="1:11" hidden="1" x14ac:dyDescent="0.25">
      <c r="A551" s="70">
        <v>549</v>
      </c>
      <c r="B551" t="s">
        <v>1115</v>
      </c>
      <c r="C551" t="s">
        <v>1115</v>
      </c>
      <c r="D551" t="s">
        <v>432</v>
      </c>
      <c r="E551">
        <v>50.23</v>
      </c>
      <c r="F551" t="s">
        <v>56</v>
      </c>
      <c r="G551" t="s">
        <v>94</v>
      </c>
      <c r="H551" t="s">
        <v>420</v>
      </c>
      <c r="I551" t="s">
        <v>15</v>
      </c>
      <c r="J551" t="s">
        <v>32</v>
      </c>
      <c r="K551">
        <v>4366.0599999999922</v>
      </c>
    </row>
    <row r="552" spans="1:11" hidden="1" x14ac:dyDescent="0.25">
      <c r="A552" s="70">
        <v>550</v>
      </c>
      <c r="B552" t="s">
        <v>1115</v>
      </c>
      <c r="C552" t="s">
        <v>1115</v>
      </c>
      <c r="D552" t="s">
        <v>433</v>
      </c>
      <c r="E552">
        <v>59.35</v>
      </c>
      <c r="F552" t="s">
        <v>56</v>
      </c>
      <c r="G552" t="s">
        <v>94</v>
      </c>
      <c r="H552" t="s">
        <v>420</v>
      </c>
      <c r="I552" t="s">
        <v>15</v>
      </c>
      <c r="J552" t="s">
        <v>32</v>
      </c>
      <c r="K552">
        <v>4425.4099999999926</v>
      </c>
    </row>
    <row r="553" spans="1:11" hidden="1" x14ac:dyDescent="0.25">
      <c r="A553" s="70">
        <v>551</v>
      </c>
      <c r="B553" t="s">
        <v>1115</v>
      </c>
      <c r="C553" t="s">
        <v>1115</v>
      </c>
      <c r="D553" t="s">
        <v>434</v>
      </c>
      <c r="E553">
        <v>42.71</v>
      </c>
      <c r="F553" t="s">
        <v>40</v>
      </c>
      <c r="G553" t="s">
        <v>41</v>
      </c>
      <c r="H553" t="s">
        <v>420</v>
      </c>
      <c r="I553" t="s">
        <v>15</v>
      </c>
      <c r="J553" t="s">
        <v>42</v>
      </c>
      <c r="K553">
        <v>4468.1199999999926</v>
      </c>
    </row>
    <row r="554" spans="1:11" hidden="1" x14ac:dyDescent="0.25">
      <c r="A554" s="70">
        <v>552</v>
      </c>
      <c r="B554" t="s">
        <v>1115</v>
      </c>
      <c r="C554" t="s">
        <v>1115</v>
      </c>
      <c r="D554" t="s">
        <v>304</v>
      </c>
      <c r="E554">
        <v>10.85</v>
      </c>
      <c r="F554" t="s">
        <v>56</v>
      </c>
      <c r="G554" t="s">
        <v>305</v>
      </c>
      <c r="H554" t="s">
        <v>420</v>
      </c>
      <c r="I554" t="s">
        <v>22</v>
      </c>
      <c r="J554" t="s">
        <v>23</v>
      </c>
      <c r="K554">
        <v>4478.969999999993</v>
      </c>
    </row>
    <row r="555" spans="1:11" hidden="1" x14ac:dyDescent="0.25">
      <c r="A555" s="70">
        <v>553</v>
      </c>
      <c r="B555" t="s">
        <v>745</v>
      </c>
      <c r="C555" t="s">
        <v>745</v>
      </c>
      <c r="D555" t="s">
        <v>443</v>
      </c>
      <c r="E555">
        <v>40</v>
      </c>
      <c r="F555" t="s">
        <v>248</v>
      </c>
      <c r="G555" t="s">
        <v>223</v>
      </c>
      <c r="H555" t="s">
        <v>420</v>
      </c>
      <c r="I555" t="s">
        <v>15</v>
      </c>
      <c r="J555" t="s">
        <v>32</v>
      </c>
      <c r="K555">
        <v>4518.969999999993</v>
      </c>
    </row>
    <row r="556" spans="1:11" hidden="1" x14ac:dyDescent="0.25">
      <c r="A556" s="70">
        <v>554</v>
      </c>
      <c r="B556" t="s">
        <v>745</v>
      </c>
      <c r="C556" t="s">
        <v>745</v>
      </c>
      <c r="D556" t="s">
        <v>441</v>
      </c>
      <c r="E556">
        <v>28.16</v>
      </c>
      <c r="F556" t="s">
        <v>20</v>
      </c>
      <c r="G556" t="s">
        <v>223</v>
      </c>
      <c r="H556" t="s">
        <v>420</v>
      </c>
      <c r="I556" t="s">
        <v>15</v>
      </c>
      <c r="J556" t="s">
        <v>32</v>
      </c>
      <c r="K556">
        <v>4547.1299999999928</v>
      </c>
    </row>
    <row r="557" spans="1:11" hidden="1" x14ac:dyDescent="0.25">
      <c r="A557" s="70">
        <v>555</v>
      </c>
      <c r="B557" t="s">
        <v>745</v>
      </c>
      <c r="C557" t="s">
        <v>745</v>
      </c>
      <c r="D557" t="s">
        <v>442</v>
      </c>
      <c r="E557">
        <v>79</v>
      </c>
      <c r="F557" t="s">
        <v>56</v>
      </c>
      <c r="G557" t="s">
        <v>294</v>
      </c>
      <c r="H557" t="s">
        <v>420</v>
      </c>
      <c r="I557" t="s">
        <v>15</v>
      </c>
      <c r="J557" t="s">
        <v>23</v>
      </c>
      <c r="K557">
        <v>4626.1299999999928</v>
      </c>
    </row>
    <row r="558" spans="1:11" hidden="1" x14ac:dyDescent="0.25">
      <c r="A558" s="70">
        <v>556</v>
      </c>
      <c r="B558" t="s">
        <v>745</v>
      </c>
      <c r="C558" t="s">
        <v>745</v>
      </c>
      <c r="D558" t="s">
        <v>440</v>
      </c>
      <c r="E558">
        <v>1.35</v>
      </c>
      <c r="F558" t="s">
        <v>56</v>
      </c>
      <c r="G558" t="s">
        <v>203</v>
      </c>
      <c r="H558" t="s">
        <v>420</v>
      </c>
      <c r="I558" t="s">
        <v>15</v>
      </c>
      <c r="J558" t="s">
        <v>42</v>
      </c>
      <c r="K558">
        <v>4627.4799999999932</v>
      </c>
    </row>
    <row r="559" spans="1:11" hidden="1" x14ac:dyDescent="0.25">
      <c r="A559" s="70">
        <v>557</v>
      </c>
      <c r="B559" t="s">
        <v>745</v>
      </c>
      <c r="C559" t="s">
        <v>745</v>
      </c>
      <c r="D559" t="s">
        <v>438</v>
      </c>
      <c r="E559">
        <v>17.55</v>
      </c>
      <c r="F559" t="s">
        <v>20</v>
      </c>
      <c r="G559" t="s">
        <v>223</v>
      </c>
      <c r="H559" t="s">
        <v>420</v>
      </c>
      <c r="I559" t="s">
        <v>15</v>
      </c>
      <c r="J559" t="s">
        <v>32</v>
      </c>
      <c r="K559">
        <v>4645.0299999999934</v>
      </c>
    </row>
    <row r="560" spans="1:11" hidden="1" x14ac:dyDescent="0.25">
      <c r="A560" s="70">
        <v>558</v>
      </c>
      <c r="B560" t="s">
        <v>745</v>
      </c>
      <c r="C560" t="s">
        <v>745</v>
      </c>
      <c r="D560" t="s">
        <v>437</v>
      </c>
      <c r="E560">
        <v>32.5</v>
      </c>
      <c r="F560" t="s">
        <v>20</v>
      </c>
      <c r="G560" t="s">
        <v>223</v>
      </c>
      <c r="H560" t="s">
        <v>420</v>
      </c>
      <c r="I560" t="s">
        <v>15</v>
      </c>
      <c r="J560" t="s">
        <v>32</v>
      </c>
      <c r="K560">
        <v>4677.5299999999934</v>
      </c>
    </row>
    <row r="561" spans="1:11" hidden="1" x14ac:dyDescent="0.25">
      <c r="A561" s="70">
        <v>559</v>
      </c>
      <c r="B561" t="s">
        <v>745</v>
      </c>
      <c r="C561" t="s">
        <v>745</v>
      </c>
      <c r="D561" t="s">
        <v>379</v>
      </c>
      <c r="E561">
        <v>10.62</v>
      </c>
      <c r="F561" t="s">
        <v>20</v>
      </c>
      <c r="G561" t="s">
        <v>80</v>
      </c>
      <c r="H561" t="s">
        <v>420</v>
      </c>
      <c r="I561" t="s">
        <v>15</v>
      </c>
      <c r="J561" t="s">
        <v>23</v>
      </c>
      <c r="K561">
        <v>4688.1499999999933</v>
      </c>
    </row>
    <row r="562" spans="1:11" hidden="1" x14ac:dyDescent="0.25">
      <c r="A562" s="70">
        <v>560</v>
      </c>
      <c r="B562" t="s">
        <v>745</v>
      </c>
      <c r="C562" t="s">
        <v>745</v>
      </c>
      <c r="D562" t="s">
        <v>436</v>
      </c>
      <c r="E562">
        <v>20</v>
      </c>
      <c r="F562" t="s">
        <v>56</v>
      </c>
      <c r="G562" t="s">
        <v>203</v>
      </c>
      <c r="H562" t="s">
        <v>420</v>
      </c>
      <c r="I562" t="s">
        <v>15</v>
      </c>
      <c r="J562" t="s">
        <v>42</v>
      </c>
      <c r="K562">
        <v>4708.1499999999933</v>
      </c>
    </row>
    <row r="563" spans="1:11" hidden="1" x14ac:dyDescent="0.25">
      <c r="A563" s="70">
        <v>561</v>
      </c>
      <c r="B563" t="s">
        <v>745</v>
      </c>
      <c r="C563" t="s">
        <v>745</v>
      </c>
      <c r="D563" t="s">
        <v>439</v>
      </c>
      <c r="E563">
        <v>11.77</v>
      </c>
      <c r="F563" t="s">
        <v>20</v>
      </c>
      <c r="G563" t="s">
        <v>13</v>
      </c>
      <c r="H563" t="s">
        <v>420</v>
      </c>
      <c r="I563" t="s">
        <v>15</v>
      </c>
      <c r="J563" t="s">
        <v>16</v>
      </c>
      <c r="K563">
        <v>4719.9199999999937</v>
      </c>
    </row>
    <row r="564" spans="1:11" hidden="1" x14ac:dyDescent="0.25">
      <c r="A564" s="70">
        <v>562</v>
      </c>
      <c r="B564" t="s">
        <v>742</v>
      </c>
      <c r="C564" t="s">
        <v>742</v>
      </c>
      <c r="D564" t="s">
        <v>444</v>
      </c>
      <c r="E564">
        <v>26.15</v>
      </c>
      <c r="F564" t="s">
        <v>40</v>
      </c>
      <c r="G564" t="s">
        <v>41</v>
      </c>
      <c r="H564" t="s">
        <v>420</v>
      </c>
      <c r="I564" t="s">
        <v>15</v>
      </c>
      <c r="J564" t="s">
        <v>42</v>
      </c>
      <c r="K564">
        <v>4746.0699999999933</v>
      </c>
    </row>
    <row r="565" spans="1:11" hidden="1" x14ac:dyDescent="0.25">
      <c r="A565" s="70">
        <v>563</v>
      </c>
      <c r="B565" t="s">
        <v>742</v>
      </c>
      <c r="C565" t="s">
        <v>742</v>
      </c>
      <c r="D565" t="s">
        <v>379</v>
      </c>
      <c r="E565">
        <v>10.63</v>
      </c>
      <c r="F565" t="s">
        <v>20</v>
      </c>
      <c r="G565" t="s">
        <v>80</v>
      </c>
      <c r="H565" t="s">
        <v>420</v>
      </c>
      <c r="I565" t="s">
        <v>15</v>
      </c>
      <c r="J565" t="s">
        <v>23</v>
      </c>
      <c r="K565">
        <v>4756.6999999999935</v>
      </c>
    </row>
    <row r="566" spans="1:11" hidden="1" x14ac:dyDescent="0.25">
      <c r="A566" s="70">
        <v>564</v>
      </c>
      <c r="B566" t="s">
        <v>742</v>
      </c>
      <c r="C566" t="s">
        <v>742</v>
      </c>
      <c r="D566" t="s">
        <v>445</v>
      </c>
      <c r="E566">
        <v>10</v>
      </c>
      <c r="F566" t="s">
        <v>30</v>
      </c>
      <c r="G566" t="s">
        <v>446</v>
      </c>
      <c r="H566" t="s">
        <v>420</v>
      </c>
      <c r="I566" t="s">
        <v>15</v>
      </c>
      <c r="J566" t="s">
        <v>23</v>
      </c>
      <c r="K566">
        <v>4766.6999999999935</v>
      </c>
    </row>
    <row r="567" spans="1:11" hidden="1" x14ac:dyDescent="0.25">
      <c r="A567" s="70">
        <v>565</v>
      </c>
      <c r="B567" t="s">
        <v>742</v>
      </c>
      <c r="C567" t="s">
        <v>742</v>
      </c>
      <c r="D567" t="s">
        <v>445</v>
      </c>
      <c r="E567">
        <v>30</v>
      </c>
      <c r="F567" t="s">
        <v>30</v>
      </c>
      <c r="G567" t="s">
        <v>446</v>
      </c>
      <c r="H567" t="s">
        <v>420</v>
      </c>
      <c r="I567" t="s">
        <v>15</v>
      </c>
      <c r="J567" t="s">
        <v>23</v>
      </c>
      <c r="K567">
        <v>4796.6999999999935</v>
      </c>
    </row>
    <row r="568" spans="1:11" hidden="1" x14ac:dyDescent="0.25">
      <c r="A568" s="70">
        <v>566</v>
      </c>
      <c r="B568" t="s">
        <v>742</v>
      </c>
      <c r="C568" t="s">
        <v>742</v>
      </c>
      <c r="D568" t="s">
        <v>449</v>
      </c>
      <c r="E568">
        <v>21.22</v>
      </c>
      <c r="F568" t="s">
        <v>12</v>
      </c>
      <c r="G568" t="s">
        <v>446</v>
      </c>
      <c r="H568" t="s">
        <v>420</v>
      </c>
      <c r="I568" t="s">
        <v>15</v>
      </c>
      <c r="J568" t="s">
        <v>23</v>
      </c>
      <c r="K568">
        <v>4817.9199999999937</v>
      </c>
    </row>
    <row r="569" spans="1:11" hidden="1" x14ac:dyDescent="0.25">
      <c r="A569" s="70">
        <v>567</v>
      </c>
      <c r="B569" t="s">
        <v>742</v>
      </c>
      <c r="C569" t="s">
        <v>742</v>
      </c>
      <c r="D569" t="s">
        <v>447</v>
      </c>
      <c r="E569">
        <v>5.0999999999999996</v>
      </c>
      <c r="F569" t="s">
        <v>12</v>
      </c>
      <c r="G569" t="s">
        <v>448</v>
      </c>
      <c r="H569" t="s">
        <v>420</v>
      </c>
      <c r="I569" t="s">
        <v>15</v>
      </c>
      <c r="J569" t="s">
        <v>60</v>
      </c>
      <c r="K569">
        <v>4823.0199999999941</v>
      </c>
    </row>
    <row r="570" spans="1:11" hidden="1" x14ac:dyDescent="0.25">
      <c r="A570" s="70">
        <v>568</v>
      </c>
      <c r="B570" t="s">
        <v>742</v>
      </c>
      <c r="C570" t="s">
        <v>742</v>
      </c>
      <c r="D570" t="s">
        <v>450</v>
      </c>
      <c r="E570">
        <v>18.260000000000002</v>
      </c>
      <c r="F570" t="s">
        <v>12</v>
      </c>
      <c r="G570" t="s">
        <v>13</v>
      </c>
      <c r="H570" t="s">
        <v>420</v>
      </c>
      <c r="I570" t="s">
        <v>15</v>
      </c>
      <c r="J570" t="s">
        <v>16</v>
      </c>
      <c r="K570">
        <v>4841.2799999999943</v>
      </c>
    </row>
    <row r="571" spans="1:11" hidden="1" x14ac:dyDescent="0.25">
      <c r="A571" s="70">
        <v>569</v>
      </c>
      <c r="B571" t="s">
        <v>742</v>
      </c>
      <c r="C571" t="s">
        <v>742</v>
      </c>
      <c r="D571" t="s">
        <v>444</v>
      </c>
      <c r="E571">
        <v>5.38</v>
      </c>
      <c r="F571" t="s">
        <v>40</v>
      </c>
      <c r="G571" t="s">
        <v>41</v>
      </c>
      <c r="H571" t="s">
        <v>420</v>
      </c>
      <c r="I571" t="s">
        <v>15</v>
      </c>
      <c r="J571" t="s">
        <v>42</v>
      </c>
      <c r="K571">
        <v>4846.6599999999944</v>
      </c>
    </row>
    <row r="572" spans="1:11" hidden="1" x14ac:dyDescent="0.25">
      <c r="A572" s="70">
        <v>570</v>
      </c>
      <c r="B572" t="s">
        <v>742</v>
      </c>
      <c r="C572" t="s">
        <v>742</v>
      </c>
      <c r="D572" t="s">
        <v>64</v>
      </c>
      <c r="E572">
        <v>70</v>
      </c>
      <c r="F572" t="s">
        <v>20</v>
      </c>
      <c r="G572" t="s">
        <v>65</v>
      </c>
      <c r="H572" t="s">
        <v>420</v>
      </c>
      <c r="I572" t="s">
        <v>15</v>
      </c>
      <c r="J572" t="s">
        <v>66</v>
      </c>
      <c r="K572">
        <v>4916.6599999999944</v>
      </c>
    </row>
    <row r="573" spans="1:11" hidden="1" x14ac:dyDescent="0.25">
      <c r="A573" s="70">
        <v>571</v>
      </c>
      <c r="B573" t="s">
        <v>1116</v>
      </c>
      <c r="C573" t="s">
        <v>1116</v>
      </c>
      <c r="D573" t="s">
        <v>451</v>
      </c>
      <c r="E573">
        <v>415</v>
      </c>
      <c r="F573" t="s">
        <v>20</v>
      </c>
      <c r="G573" t="s">
        <v>203</v>
      </c>
      <c r="H573" t="s">
        <v>420</v>
      </c>
      <c r="I573" t="s">
        <v>15</v>
      </c>
      <c r="J573" t="s">
        <v>42</v>
      </c>
      <c r="K573">
        <v>5331.6599999999944</v>
      </c>
    </row>
    <row r="574" spans="1:11" hidden="1" x14ac:dyDescent="0.25">
      <c r="A574" s="70">
        <v>572</v>
      </c>
      <c r="B574" t="s">
        <v>1116</v>
      </c>
      <c r="C574" t="s">
        <v>1116</v>
      </c>
      <c r="D574" t="s">
        <v>58</v>
      </c>
      <c r="E574">
        <v>5.29</v>
      </c>
      <c r="F574" t="s">
        <v>20</v>
      </c>
      <c r="G574" t="s">
        <v>68</v>
      </c>
      <c r="H574" t="s">
        <v>420</v>
      </c>
      <c r="I574" t="s">
        <v>22</v>
      </c>
      <c r="J574" t="s">
        <v>23</v>
      </c>
      <c r="K574">
        <v>5336.9499999999944</v>
      </c>
    </row>
    <row r="575" spans="1:11" hidden="1" x14ac:dyDescent="0.25">
      <c r="A575" s="70">
        <v>573</v>
      </c>
      <c r="B575" t="s">
        <v>1117</v>
      </c>
      <c r="C575" t="s">
        <v>1117</v>
      </c>
      <c r="D575" t="s">
        <v>452</v>
      </c>
      <c r="E575">
        <v>16.8</v>
      </c>
      <c r="F575" t="s">
        <v>12</v>
      </c>
      <c r="G575" t="s">
        <v>13</v>
      </c>
      <c r="H575" t="s">
        <v>420</v>
      </c>
      <c r="I575" t="s">
        <v>15</v>
      </c>
      <c r="J575" t="s">
        <v>16</v>
      </c>
      <c r="K575">
        <v>5353.7499999999955</v>
      </c>
    </row>
    <row r="576" spans="1:11" hidden="1" x14ac:dyDescent="0.25">
      <c r="A576" s="70">
        <v>574</v>
      </c>
      <c r="B576" t="s">
        <v>1117</v>
      </c>
      <c r="C576" t="s">
        <v>1117</v>
      </c>
      <c r="D576" t="s">
        <v>453</v>
      </c>
      <c r="E576">
        <v>5.18</v>
      </c>
      <c r="F576" t="s">
        <v>53</v>
      </c>
      <c r="G576" t="s">
        <v>72</v>
      </c>
      <c r="H576" t="s">
        <v>420</v>
      </c>
      <c r="I576" t="s">
        <v>15</v>
      </c>
      <c r="J576" t="s">
        <v>32</v>
      </c>
      <c r="K576">
        <v>5358.9299999999948</v>
      </c>
    </row>
    <row r="577" spans="1:11" hidden="1" x14ac:dyDescent="0.25">
      <c r="A577" s="70">
        <v>575</v>
      </c>
      <c r="B577" t="s">
        <v>1117</v>
      </c>
      <c r="C577" t="s">
        <v>1117</v>
      </c>
      <c r="D577" t="s">
        <v>454</v>
      </c>
      <c r="E577">
        <v>38.1</v>
      </c>
      <c r="F577" t="s">
        <v>455</v>
      </c>
      <c r="G577" t="s">
        <v>456</v>
      </c>
      <c r="H577" t="s">
        <v>420</v>
      </c>
      <c r="I577" t="s">
        <v>15</v>
      </c>
      <c r="J577" t="s">
        <v>245</v>
      </c>
      <c r="K577">
        <v>5397.0299999999952</v>
      </c>
    </row>
    <row r="578" spans="1:11" hidden="1" x14ac:dyDescent="0.25">
      <c r="A578" s="70">
        <v>576</v>
      </c>
      <c r="B578" t="s">
        <v>1118</v>
      </c>
      <c r="C578" t="s">
        <v>1118</v>
      </c>
      <c r="D578" t="s">
        <v>463</v>
      </c>
      <c r="E578">
        <v>14.67</v>
      </c>
      <c r="F578" t="s">
        <v>30</v>
      </c>
      <c r="G578" t="s">
        <v>147</v>
      </c>
      <c r="H578" t="s">
        <v>420</v>
      </c>
      <c r="I578" t="s">
        <v>15</v>
      </c>
      <c r="J578" t="s">
        <v>23</v>
      </c>
      <c r="K578">
        <v>5411.6999999999953</v>
      </c>
    </row>
    <row r="579" spans="1:11" hidden="1" x14ac:dyDescent="0.25">
      <c r="A579" s="70">
        <v>577</v>
      </c>
      <c r="B579" t="s">
        <v>1118</v>
      </c>
      <c r="C579" t="s">
        <v>1118</v>
      </c>
      <c r="D579" t="s">
        <v>461</v>
      </c>
      <c r="E579">
        <v>87</v>
      </c>
      <c r="F579" t="s">
        <v>30</v>
      </c>
      <c r="G579" t="s">
        <v>270</v>
      </c>
      <c r="H579" t="s">
        <v>420</v>
      </c>
      <c r="I579" t="s">
        <v>15</v>
      </c>
      <c r="J579" t="s">
        <v>23</v>
      </c>
      <c r="K579">
        <v>5498.6999999999953</v>
      </c>
    </row>
    <row r="580" spans="1:11" hidden="1" x14ac:dyDescent="0.25">
      <c r="A580" s="70">
        <v>578</v>
      </c>
      <c r="B580" t="s">
        <v>1118</v>
      </c>
      <c r="C580" t="s">
        <v>1118</v>
      </c>
      <c r="D580" t="s">
        <v>379</v>
      </c>
      <c r="E580">
        <v>15.95</v>
      </c>
      <c r="F580" t="s">
        <v>20</v>
      </c>
      <c r="G580" t="s">
        <v>80</v>
      </c>
      <c r="H580" t="s">
        <v>420</v>
      </c>
      <c r="I580" t="s">
        <v>15</v>
      </c>
      <c r="J580" t="s">
        <v>23</v>
      </c>
      <c r="K580">
        <v>5514.6499999999951</v>
      </c>
    </row>
    <row r="581" spans="1:11" hidden="1" x14ac:dyDescent="0.25">
      <c r="A581" s="70">
        <v>579</v>
      </c>
      <c r="B581" t="s">
        <v>1118</v>
      </c>
      <c r="C581" t="s">
        <v>1118</v>
      </c>
      <c r="D581" t="s">
        <v>460</v>
      </c>
      <c r="E581">
        <v>54.28</v>
      </c>
      <c r="F581" t="s">
        <v>20</v>
      </c>
      <c r="G581" t="s">
        <v>223</v>
      </c>
      <c r="H581" t="s">
        <v>420</v>
      </c>
      <c r="I581" t="s">
        <v>15</v>
      </c>
      <c r="J581" t="s">
        <v>32</v>
      </c>
      <c r="K581">
        <v>5568.9299999999948</v>
      </c>
    </row>
    <row r="582" spans="1:11" hidden="1" x14ac:dyDescent="0.25">
      <c r="A582" s="70">
        <v>580</v>
      </c>
      <c r="B582" t="s">
        <v>1118</v>
      </c>
      <c r="C582" t="s">
        <v>1118</v>
      </c>
      <c r="D582" t="s">
        <v>458</v>
      </c>
      <c r="E582">
        <v>32.21</v>
      </c>
      <c r="F582" t="s">
        <v>53</v>
      </c>
      <c r="G582" t="s">
        <v>54</v>
      </c>
      <c r="H582" t="s">
        <v>420</v>
      </c>
      <c r="I582" t="s">
        <v>15</v>
      </c>
      <c r="J582" t="s">
        <v>16</v>
      </c>
      <c r="K582">
        <v>5601.1399999999949</v>
      </c>
    </row>
    <row r="583" spans="1:11" hidden="1" x14ac:dyDescent="0.25">
      <c r="A583" s="70">
        <v>581</v>
      </c>
      <c r="B583" t="s">
        <v>1118</v>
      </c>
      <c r="C583" t="s">
        <v>1118</v>
      </c>
      <c r="D583" t="s">
        <v>459</v>
      </c>
      <c r="E583">
        <v>11.02</v>
      </c>
      <c r="F583" t="s">
        <v>20</v>
      </c>
      <c r="G583" t="s">
        <v>13</v>
      </c>
      <c r="H583" t="s">
        <v>420</v>
      </c>
      <c r="I583" t="s">
        <v>15</v>
      </c>
      <c r="J583" t="s">
        <v>16</v>
      </c>
      <c r="K583">
        <v>5612.1599999999953</v>
      </c>
    </row>
    <row r="584" spans="1:11" hidden="1" x14ac:dyDescent="0.25">
      <c r="A584" s="70">
        <v>582</v>
      </c>
      <c r="B584" t="s">
        <v>1118</v>
      </c>
      <c r="C584" t="s">
        <v>1118</v>
      </c>
      <c r="D584" t="s">
        <v>462</v>
      </c>
      <c r="E584">
        <v>35</v>
      </c>
      <c r="F584" t="s">
        <v>12</v>
      </c>
      <c r="G584" t="s">
        <v>169</v>
      </c>
      <c r="H584" t="s">
        <v>420</v>
      </c>
      <c r="I584" t="s">
        <v>15</v>
      </c>
      <c r="J584" t="s">
        <v>23</v>
      </c>
      <c r="K584">
        <v>5647.1599999999953</v>
      </c>
    </row>
    <row r="585" spans="1:11" hidden="1" x14ac:dyDescent="0.25">
      <c r="A585" s="70">
        <v>583</v>
      </c>
      <c r="B585" t="s">
        <v>1118</v>
      </c>
      <c r="C585" t="s">
        <v>1118</v>
      </c>
      <c r="D585" t="s">
        <v>457</v>
      </c>
      <c r="E585">
        <v>32.06</v>
      </c>
      <c r="F585" t="s">
        <v>12</v>
      </c>
      <c r="G585" t="s">
        <v>18</v>
      </c>
      <c r="H585" t="s">
        <v>420</v>
      </c>
      <c r="I585" t="s">
        <v>15</v>
      </c>
      <c r="J585" t="s">
        <v>16</v>
      </c>
      <c r="K585">
        <v>5679.2199999999957</v>
      </c>
    </row>
    <row r="586" spans="1:11" hidden="1" x14ac:dyDescent="0.25">
      <c r="A586" s="70">
        <v>584</v>
      </c>
      <c r="B586" t="s">
        <v>1119</v>
      </c>
      <c r="C586" t="s">
        <v>1119</v>
      </c>
      <c r="D586" t="s">
        <v>462</v>
      </c>
      <c r="E586">
        <v>26</v>
      </c>
      <c r="F586" t="s">
        <v>12</v>
      </c>
      <c r="G586" t="s">
        <v>169</v>
      </c>
      <c r="H586" t="s">
        <v>420</v>
      </c>
      <c r="I586" t="s">
        <v>15</v>
      </c>
      <c r="J586" t="s">
        <v>23</v>
      </c>
      <c r="K586">
        <v>5705.2199999999957</v>
      </c>
    </row>
    <row r="587" spans="1:11" hidden="1" x14ac:dyDescent="0.25">
      <c r="A587" s="70">
        <v>585</v>
      </c>
      <c r="B587" t="s">
        <v>1119</v>
      </c>
      <c r="C587" t="s">
        <v>1119</v>
      </c>
      <c r="D587" t="s">
        <v>467</v>
      </c>
      <c r="E587">
        <v>80</v>
      </c>
      <c r="F587" t="s">
        <v>30</v>
      </c>
      <c r="G587" t="s">
        <v>169</v>
      </c>
      <c r="H587" t="s">
        <v>420</v>
      </c>
      <c r="I587" t="s">
        <v>15</v>
      </c>
      <c r="J587" t="s">
        <v>23</v>
      </c>
      <c r="K587">
        <v>5785.2199999999957</v>
      </c>
    </row>
    <row r="588" spans="1:11" hidden="1" x14ac:dyDescent="0.25">
      <c r="A588" s="70">
        <v>586</v>
      </c>
      <c r="B588" t="s">
        <v>1119</v>
      </c>
      <c r="C588" t="s">
        <v>1119</v>
      </c>
      <c r="D588" t="s">
        <v>478</v>
      </c>
      <c r="E588">
        <v>9</v>
      </c>
      <c r="F588" t="s">
        <v>12</v>
      </c>
      <c r="G588" t="s">
        <v>13</v>
      </c>
      <c r="H588" t="s">
        <v>420</v>
      </c>
      <c r="I588" t="s">
        <v>15</v>
      </c>
      <c r="J588" t="s">
        <v>16</v>
      </c>
      <c r="K588">
        <v>5794.2199999999957</v>
      </c>
    </row>
    <row r="589" spans="1:11" hidden="1" x14ac:dyDescent="0.25">
      <c r="A589" s="70">
        <v>587</v>
      </c>
      <c r="B589" t="s">
        <v>1119</v>
      </c>
      <c r="C589" t="s">
        <v>1119</v>
      </c>
      <c r="D589" t="s">
        <v>464</v>
      </c>
      <c r="E589">
        <v>5.41</v>
      </c>
      <c r="F589" t="s">
        <v>20</v>
      </c>
      <c r="G589" t="s">
        <v>27</v>
      </c>
      <c r="H589" t="s">
        <v>420</v>
      </c>
      <c r="I589" t="s">
        <v>15</v>
      </c>
      <c r="J589" t="s">
        <v>32</v>
      </c>
      <c r="K589">
        <v>5799.6299999999956</v>
      </c>
    </row>
    <row r="590" spans="1:11" hidden="1" x14ac:dyDescent="0.25">
      <c r="A590" s="70">
        <v>588</v>
      </c>
      <c r="B590" t="s">
        <v>1119</v>
      </c>
      <c r="C590" t="s">
        <v>1119</v>
      </c>
      <c r="D590" t="s">
        <v>465</v>
      </c>
      <c r="E590">
        <v>5.12</v>
      </c>
      <c r="F590" t="s">
        <v>30</v>
      </c>
      <c r="G590" t="s">
        <v>76</v>
      </c>
      <c r="H590" t="s">
        <v>420</v>
      </c>
      <c r="I590" t="s">
        <v>15</v>
      </c>
      <c r="J590" t="s">
        <v>42</v>
      </c>
      <c r="K590">
        <v>5804.7499999999955</v>
      </c>
    </row>
    <row r="591" spans="1:11" hidden="1" x14ac:dyDescent="0.25">
      <c r="A591" s="70">
        <v>589</v>
      </c>
      <c r="B591" t="s">
        <v>1119</v>
      </c>
      <c r="C591" t="s">
        <v>1119</v>
      </c>
      <c r="D591" t="s">
        <v>465</v>
      </c>
      <c r="E591">
        <v>3.84</v>
      </c>
      <c r="F591" t="s">
        <v>30</v>
      </c>
      <c r="G591" t="s">
        <v>76</v>
      </c>
      <c r="H591" t="s">
        <v>420</v>
      </c>
      <c r="I591" t="s">
        <v>15</v>
      </c>
      <c r="J591" t="s">
        <v>42</v>
      </c>
      <c r="K591">
        <v>5808.5899999999956</v>
      </c>
    </row>
    <row r="592" spans="1:11" hidden="1" x14ac:dyDescent="0.25">
      <c r="A592" s="70">
        <v>590</v>
      </c>
      <c r="B592" t="s">
        <v>1119</v>
      </c>
      <c r="C592" t="s">
        <v>1119</v>
      </c>
      <c r="D592" t="s">
        <v>466</v>
      </c>
      <c r="E592">
        <v>36.32</v>
      </c>
      <c r="F592" t="s">
        <v>12</v>
      </c>
      <c r="G592" t="s">
        <v>13</v>
      </c>
      <c r="H592" t="s">
        <v>420</v>
      </c>
      <c r="I592" t="s">
        <v>15</v>
      </c>
      <c r="J592" t="s">
        <v>16</v>
      </c>
      <c r="K592">
        <v>5844.9099999999953</v>
      </c>
    </row>
    <row r="593" spans="1:11" hidden="1" x14ac:dyDescent="0.25">
      <c r="A593" s="70">
        <v>591</v>
      </c>
      <c r="B593" t="s">
        <v>1120</v>
      </c>
      <c r="C593" t="s">
        <v>1120</v>
      </c>
      <c r="D593" t="s">
        <v>893</v>
      </c>
      <c r="E593">
        <v>9</v>
      </c>
      <c r="F593" t="s">
        <v>40</v>
      </c>
      <c r="G593" t="s">
        <v>41</v>
      </c>
      <c r="H593" t="s">
        <v>420</v>
      </c>
      <c r="I593" t="s">
        <v>15</v>
      </c>
      <c r="J593" t="s">
        <v>42</v>
      </c>
      <c r="K593">
        <v>5853.9099999999953</v>
      </c>
    </row>
    <row r="594" spans="1:11" hidden="1" x14ac:dyDescent="0.25">
      <c r="A594" s="70">
        <v>592</v>
      </c>
      <c r="B594" t="s">
        <v>1120</v>
      </c>
      <c r="C594" t="s">
        <v>1120</v>
      </c>
      <c r="D594" t="s">
        <v>895</v>
      </c>
      <c r="E594">
        <v>140</v>
      </c>
      <c r="F594" t="s">
        <v>12</v>
      </c>
      <c r="G594" t="s">
        <v>18</v>
      </c>
      <c r="H594" t="s">
        <v>420</v>
      </c>
      <c r="I594" t="s">
        <v>15</v>
      </c>
      <c r="J594" t="s">
        <v>16</v>
      </c>
      <c r="K594">
        <v>5993.9099999999953</v>
      </c>
    </row>
    <row r="595" spans="1:11" hidden="1" x14ac:dyDescent="0.25">
      <c r="A595" s="70">
        <v>593</v>
      </c>
      <c r="B595" t="s">
        <v>1120</v>
      </c>
      <c r="C595" t="s">
        <v>1120</v>
      </c>
      <c r="D595" t="s">
        <v>894</v>
      </c>
      <c r="E595">
        <v>54.01</v>
      </c>
      <c r="F595" t="s">
        <v>20</v>
      </c>
      <c r="G595" t="s">
        <v>72</v>
      </c>
      <c r="H595" t="s">
        <v>420</v>
      </c>
      <c r="I595" t="s">
        <v>15</v>
      </c>
      <c r="J595" t="s">
        <v>32</v>
      </c>
      <c r="K595">
        <v>6047.9199999999964</v>
      </c>
    </row>
    <row r="596" spans="1:11" hidden="1" x14ac:dyDescent="0.25">
      <c r="A596" s="70">
        <v>594</v>
      </c>
      <c r="B596" t="s">
        <v>1120</v>
      </c>
      <c r="C596" t="s">
        <v>1120</v>
      </c>
      <c r="D596" t="s">
        <v>454</v>
      </c>
      <c r="E596">
        <v>11.36</v>
      </c>
      <c r="F596" t="s">
        <v>455</v>
      </c>
      <c r="G596" t="s">
        <v>456</v>
      </c>
      <c r="H596" t="s">
        <v>420</v>
      </c>
      <c r="I596" t="s">
        <v>15</v>
      </c>
      <c r="J596" t="s">
        <v>245</v>
      </c>
      <c r="K596">
        <v>6059.2799999999952</v>
      </c>
    </row>
    <row r="597" spans="1:11" hidden="1" x14ac:dyDescent="0.25">
      <c r="A597" s="70">
        <v>595</v>
      </c>
      <c r="B597" t="s">
        <v>1121</v>
      </c>
      <c r="C597" t="s">
        <v>1121</v>
      </c>
      <c r="D597" t="s">
        <v>896</v>
      </c>
      <c r="E597">
        <v>26</v>
      </c>
      <c r="F597" t="s">
        <v>12</v>
      </c>
      <c r="G597" t="s">
        <v>18</v>
      </c>
      <c r="H597" t="s">
        <v>420</v>
      </c>
      <c r="I597" t="s">
        <v>15</v>
      </c>
      <c r="J597" t="s">
        <v>16</v>
      </c>
      <c r="K597">
        <v>6085.2799999999952</v>
      </c>
    </row>
    <row r="598" spans="1:11" hidden="1" x14ac:dyDescent="0.25">
      <c r="A598" s="70">
        <v>596</v>
      </c>
      <c r="B598" t="s">
        <v>1121</v>
      </c>
      <c r="C598" t="s">
        <v>1121</v>
      </c>
      <c r="D598" t="s">
        <v>379</v>
      </c>
      <c r="E598">
        <v>10.62</v>
      </c>
      <c r="F598" t="s">
        <v>20</v>
      </c>
      <c r="G598" t="s">
        <v>80</v>
      </c>
      <c r="H598" t="s">
        <v>420</v>
      </c>
      <c r="I598" t="s">
        <v>15</v>
      </c>
      <c r="J598" t="s">
        <v>23</v>
      </c>
      <c r="K598">
        <v>6095.8999999999951</v>
      </c>
    </row>
    <row r="599" spans="1:11" hidden="1" x14ac:dyDescent="0.25">
      <c r="A599" s="70">
        <v>597</v>
      </c>
      <c r="B599" t="s">
        <v>1121</v>
      </c>
      <c r="C599" t="s">
        <v>1121</v>
      </c>
      <c r="D599" t="s">
        <v>896</v>
      </c>
      <c r="E599">
        <v>46.07</v>
      </c>
      <c r="F599" t="s">
        <v>12</v>
      </c>
      <c r="G599" t="s">
        <v>18</v>
      </c>
      <c r="H599" t="s">
        <v>420</v>
      </c>
      <c r="I599" t="s">
        <v>15</v>
      </c>
      <c r="J599" t="s">
        <v>16</v>
      </c>
      <c r="K599">
        <v>6141.9699999999948</v>
      </c>
    </row>
    <row r="600" spans="1:11" hidden="1" x14ac:dyDescent="0.25">
      <c r="A600" s="70">
        <v>598</v>
      </c>
      <c r="B600" t="s">
        <v>1121</v>
      </c>
      <c r="C600" t="s">
        <v>1121</v>
      </c>
      <c r="D600" t="s">
        <v>379</v>
      </c>
      <c r="E600">
        <v>7.43</v>
      </c>
      <c r="F600" t="s">
        <v>20</v>
      </c>
      <c r="G600" t="s">
        <v>80</v>
      </c>
      <c r="H600" t="s">
        <v>420</v>
      </c>
      <c r="I600" t="s">
        <v>15</v>
      </c>
      <c r="J600" t="s">
        <v>23</v>
      </c>
      <c r="K600">
        <v>6149.3999999999951</v>
      </c>
    </row>
    <row r="601" spans="1:11" hidden="1" x14ac:dyDescent="0.25">
      <c r="A601" s="70">
        <v>599</v>
      </c>
      <c r="B601" t="s">
        <v>1121</v>
      </c>
      <c r="C601" t="s">
        <v>1121</v>
      </c>
      <c r="D601" t="s">
        <v>897</v>
      </c>
      <c r="E601">
        <v>17.96</v>
      </c>
      <c r="F601" t="s">
        <v>20</v>
      </c>
      <c r="G601" t="s">
        <v>27</v>
      </c>
      <c r="H601" t="s">
        <v>420</v>
      </c>
      <c r="I601" t="s">
        <v>15</v>
      </c>
      <c r="J601" t="s">
        <v>32</v>
      </c>
      <c r="K601">
        <v>6167.3599999999951</v>
      </c>
    </row>
    <row r="602" spans="1:11" hidden="1" x14ac:dyDescent="0.25">
      <c r="A602" s="70">
        <v>600</v>
      </c>
      <c r="B602" t="s">
        <v>1121</v>
      </c>
      <c r="C602" t="s">
        <v>1121</v>
      </c>
      <c r="D602" t="s">
        <v>379</v>
      </c>
      <c r="E602">
        <v>10.62</v>
      </c>
      <c r="F602" t="s">
        <v>20</v>
      </c>
      <c r="G602" t="s">
        <v>80</v>
      </c>
      <c r="H602" t="s">
        <v>420</v>
      </c>
      <c r="I602" t="s">
        <v>15</v>
      </c>
      <c r="J602" t="s">
        <v>23</v>
      </c>
      <c r="K602">
        <v>6177.979999999995</v>
      </c>
    </row>
    <row r="603" spans="1:11" hidden="1" x14ac:dyDescent="0.25">
      <c r="A603" s="70">
        <v>601</v>
      </c>
      <c r="B603" t="s">
        <v>1122</v>
      </c>
      <c r="C603" t="s">
        <v>1122</v>
      </c>
      <c r="D603" t="s">
        <v>379</v>
      </c>
      <c r="E603">
        <v>5.3</v>
      </c>
      <c r="F603" t="s">
        <v>20</v>
      </c>
      <c r="G603" t="s">
        <v>80</v>
      </c>
      <c r="H603" t="s">
        <v>420</v>
      </c>
      <c r="I603" t="s">
        <v>15</v>
      </c>
      <c r="J603" t="s">
        <v>23</v>
      </c>
      <c r="K603">
        <v>6183.2799999999952</v>
      </c>
    </row>
    <row r="604" spans="1:11" hidden="1" x14ac:dyDescent="0.25">
      <c r="A604" s="70">
        <v>602</v>
      </c>
      <c r="B604" t="s">
        <v>1122</v>
      </c>
      <c r="C604" t="s">
        <v>1122</v>
      </c>
      <c r="D604" t="s">
        <v>379</v>
      </c>
      <c r="E604">
        <v>10.63</v>
      </c>
      <c r="F604" t="s">
        <v>20</v>
      </c>
      <c r="G604" t="s">
        <v>80</v>
      </c>
      <c r="H604" t="s">
        <v>420</v>
      </c>
      <c r="I604" t="s">
        <v>15</v>
      </c>
      <c r="J604" t="s">
        <v>23</v>
      </c>
      <c r="K604">
        <v>6193.9099999999953</v>
      </c>
    </row>
    <row r="605" spans="1:11" hidden="1" x14ac:dyDescent="0.25">
      <c r="A605" s="70">
        <v>603</v>
      </c>
      <c r="B605" t="s">
        <v>1123</v>
      </c>
      <c r="C605" t="s">
        <v>1123</v>
      </c>
      <c r="D605" t="s">
        <v>11</v>
      </c>
      <c r="E605">
        <v>14.19</v>
      </c>
      <c r="F605" t="s">
        <v>12</v>
      </c>
      <c r="G605" t="s">
        <v>13</v>
      </c>
      <c r="H605" t="s">
        <v>420</v>
      </c>
      <c r="I605" t="s">
        <v>15</v>
      </c>
      <c r="J605" t="s">
        <v>16</v>
      </c>
      <c r="K605">
        <v>6208.0999999999949</v>
      </c>
    </row>
    <row r="606" spans="1:11" hidden="1" x14ac:dyDescent="0.25">
      <c r="A606" s="70">
        <v>604</v>
      </c>
      <c r="B606" t="s">
        <v>1124</v>
      </c>
      <c r="C606" t="s">
        <v>1124</v>
      </c>
      <c r="D606" t="s">
        <v>379</v>
      </c>
      <c r="E606">
        <v>6.22</v>
      </c>
      <c r="F606" t="s">
        <v>20</v>
      </c>
      <c r="G606" t="s">
        <v>80</v>
      </c>
      <c r="H606" t="s">
        <v>420</v>
      </c>
      <c r="I606" t="s">
        <v>15</v>
      </c>
      <c r="J606" t="s">
        <v>23</v>
      </c>
      <c r="K606">
        <v>6214.3199999999952</v>
      </c>
    </row>
    <row r="607" spans="1:11" hidden="1" x14ac:dyDescent="0.25">
      <c r="A607" s="70">
        <v>605</v>
      </c>
      <c r="B607" t="s">
        <v>1124</v>
      </c>
      <c r="C607" t="s">
        <v>1124</v>
      </c>
      <c r="D607" t="s">
        <v>379</v>
      </c>
      <c r="E607">
        <v>6.38</v>
      </c>
      <c r="F607" t="s">
        <v>20</v>
      </c>
      <c r="G607" t="s">
        <v>80</v>
      </c>
      <c r="H607" t="s">
        <v>420</v>
      </c>
      <c r="I607" t="s">
        <v>15</v>
      </c>
      <c r="J607" t="s">
        <v>23</v>
      </c>
      <c r="K607">
        <v>6220.6999999999953</v>
      </c>
    </row>
    <row r="608" spans="1:11" hidden="1" x14ac:dyDescent="0.25">
      <c r="A608" s="70">
        <v>606</v>
      </c>
      <c r="B608" t="s">
        <v>1124</v>
      </c>
      <c r="C608" t="s">
        <v>1124</v>
      </c>
      <c r="D608" t="s">
        <v>379</v>
      </c>
      <c r="E608">
        <v>15.95</v>
      </c>
      <c r="F608" t="s">
        <v>20</v>
      </c>
      <c r="G608" t="s">
        <v>80</v>
      </c>
      <c r="H608" t="s">
        <v>420</v>
      </c>
      <c r="I608" t="s">
        <v>15</v>
      </c>
      <c r="J608" t="s">
        <v>23</v>
      </c>
      <c r="K608">
        <v>6236.6499999999951</v>
      </c>
    </row>
    <row r="609" spans="1:11" hidden="1" x14ac:dyDescent="0.25">
      <c r="A609" s="70">
        <v>607</v>
      </c>
      <c r="B609" t="s">
        <v>1124</v>
      </c>
      <c r="C609" t="s">
        <v>1124</v>
      </c>
      <c r="D609" t="s">
        <v>898</v>
      </c>
      <c r="E609">
        <v>2</v>
      </c>
      <c r="F609" t="s">
        <v>40</v>
      </c>
      <c r="G609" t="s">
        <v>41</v>
      </c>
      <c r="H609" t="s">
        <v>420</v>
      </c>
      <c r="I609" t="s">
        <v>15</v>
      </c>
      <c r="J609" t="s">
        <v>42</v>
      </c>
      <c r="K609">
        <v>6238.6499999999951</v>
      </c>
    </row>
    <row r="610" spans="1:11" hidden="1" x14ac:dyDescent="0.25">
      <c r="A610" s="70">
        <v>608</v>
      </c>
      <c r="B610" t="s">
        <v>1124</v>
      </c>
      <c r="C610" t="s">
        <v>1124</v>
      </c>
      <c r="D610" t="s">
        <v>900</v>
      </c>
      <c r="E610">
        <v>40</v>
      </c>
      <c r="F610" t="s">
        <v>12</v>
      </c>
      <c r="G610" t="s">
        <v>18</v>
      </c>
      <c r="H610" t="s">
        <v>420</v>
      </c>
      <c r="I610" t="s">
        <v>15</v>
      </c>
      <c r="J610" t="s">
        <v>16</v>
      </c>
      <c r="K610">
        <v>6278.6499999999951</v>
      </c>
    </row>
    <row r="611" spans="1:11" hidden="1" x14ac:dyDescent="0.25">
      <c r="A611" s="70">
        <v>609</v>
      </c>
      <c r="B611" t="s">
        <v>1124</v>
      </c>
      <c r="C611" t="s">
        <v>1124</v>
      </c>
      <c r="D611" t="s">
        <v>899</v>
      </c>
      <c r="E611">
        <v>20.14</v>
      </c>
      <c r="F611" t="s">
        <v>12</v>
      </c>
      <c r="G611" t="s">
        <v>13</v>
      </c>
      <c r="H611" t="s">
        <v>420</v>
      </c>
      <c r="I611" t="s">
        <v>15</v>
      </c>
      <c r="J611" t="s">
        <v>16</v>
      </c>
      <c r="K611">
        <v>6298.7899999999954</v>
      </c>
    </row>
    <row r="612" spans="1:11" hidden="1" x14ac:dyDescent="0.25">
      <c r="A612" s="70">
        <v>610</v>
      </c>
      <c r="B612" t="s">
        <v>1125</v>
      </c>
      <c r="C612" t="s">
        <v>1125</v>
      </c>
      <c r="D612" t="s">
        <v>901</v>
      </c>
      <c r="E612">
        <v>3.17</v>
      </c>
      <c r="F612" t="s">
        <v>20</v>
      </c>
      <c r="G612" t="s">
        <v>337</v>
      </c>
      <c r="H612" t="s">
        <v>420</v>
      </c>
      <c r="I612" t="s">
        <v>22</v>
      </c>
      <c r="J612" t="s">
        <v>23</v>
      </c>
      <c r="K612">
        <v>6301.9599999999946</v>
      </c>
    </row>
    <row r="613" spans="1:11" hidden="1" x14ac:dyDescent="0.25">
      <c r="A613" s="70">
        <v>611</v>
      </c>
      <c r="B613" t="s">
        <v>1125</v>
      </c>
      <c r="C613" t="s">
        <v>1125</v>
      </c>
      <c r="D613" t="s">
        <v>902</v>
      </c>
      <c r="E613">
        <v>21</v>
      </c>
      <c r="F613" t="s">
        <v>106</v>
      </c>
      <c r="G613" t="s">
        <v>107</v>
      </c>
      <c r="H613" t="s">
        <v>420</v>
      </c>
      <c r="I613" t="s">
        <v>15</v>
      </c>
      <c r="J613" t="s">
        <v>66</v>
      </c>
      <c r="K613">
        <v>6322.9599999999946</v>
      </c>
    </row>
    <row r="614" spans="1:11" hidden="1" x14ac:dyDescent="0.25">
      <c r="A614" s="70">
        <v>612</v>
      </c>
      <c r="B614" t="s">
        <v>1125</v>
      </c>
      <c r="C614" t="s">
        <v>1125</v>
      </c>
      <c r="D614" t="s">
        <v>903</v>
      </c>
      <c r="E614">
        <v>17.14</v>
      </c>
      <c r="F614" t="s">
        <v>20</v>
      </c>
      <c r="G614" t="s">
        <v>34</v>
      </c>
      <c r="H614" t="s">
        <v>420</v>
      </c>
      <c r="I614" t="s">
        <v>15</v>
      </c>
      <c r="J614" t="s">
        <v>32</v>
      </c>
      <c r="K614">
        <v>6340.0999999999958</v>
      </c>
    </row>
    <row r="615" spans="1:11" hidden="1" x14ac:dyDescent="0.25">
      <c r="A615" s="70">
        <v>613</v>
      </c>
      <c r="B615" t="s">
        <v>1126</v>
      </c>
      <c r="C615" t="s">
        <v>1126</v>
      </c>
      <c r="D615" t="s">
        <v>904</v>
      </c>
      <c r="E615">
        <v>28.66</v>
      </c>
      <c r="F615" t="s">
        <v>12</v>
      </c>
      <c r="G615" t="s">
        <v>169</v>
      </c>
      <c r="H615" t="s">
        <v>420</v>
      </c>
      <c r="I615" t="s">
        <v>15</v>
      </c>
      <c r="J615" t="s">
        <v>23</v>
      </c>
      <c r="K615">
        <v>6368.7599999999957</v>
      </c>
    </row>
    <row r="616" spans="1:11" hidden="1" x14ac:dyDescent="0.25">
      <c r="A616" s="70">
        <v>614</v>
      </c>
      <c r="B616" t="s">
        <v>1127</v>
      </c>
      <c r="C616" t="s">
        <v>1127</v>
      </c>
      <c r="D616" t="s">
        <v>904</v>
      </c>
      <c r="E616">
        <v>7.6</v>
      </c>
      <c r="F616" t="s">
        <v>12</v>
      </c>
      <c r="G616" t="s">
        <v>169</v>
      </c>
      <c r="H616" t="s">
        <v>420</v>
      </c>
      <c r="I616" t="s">
        <v>15</v>
      </c>
      <c r="J616" t="s">
        <v>23</v>
      </c>
      <c r="K616">
        <v>6376.359999999996</v>
      </c>
    </row>
    <row r="617" spans="1:11" hidden="1" x14ac:dyDescent="0.25">
      <c r="A617" s="70">
        <v>615</v>
      </c>
      <c r="B617" t="s">
        <v>1127</v>
      </c>
      <c r="C617" t="s">
        <v>1127</v>
      </c>
      <c r="D617" t="s">
        <v>36</v>
      </c>
      <c r="E617">
        <v>-1000</v>
      </c>
      <c r="F617" t="s">
        <v>37</v>
      </c>
      <c r="G617" t="s">
        <v>38</v>
      </c>
      <c r="H617" t="s">
        <v>420</v>
      </c>
      <c r="I617" t="s">
        <v>15</v>
      </c>
      <c r="J617" t="s">
        <v>973</v>
      </c>
      <c r="K617">
        <v>5376.359999999996</v>
      </c>
    </row>
    <row r="618" spans="1:11" hidden="1" x14ac:dyDescent="0.25">
      <c r="A618" s="70">
        <v>616</v>
      </c>
      <c r="B618" t="s">
        <v>1127</v>
      </c>
      <c r="C618" t="s">
        <v>1127</v>
      </c>
      <c r="D618" t="s">
        <v>905</v>
      </c>
      <c r="E618">
        <v>27.9</v>
      </c>
      <c r="F618" t="s">
        <v>12</v>
      </c>
      <c r="G618" t="s">
        <v>13</v>
      </c>
      <c r="H618" t="s">
        <v>420</v>
      </c>
      <c r="I618" t="s">
        <v>15</v>
      </c>
      <c r="J618" t="s">
        <v>16</v>
      </c>
      <c r="K618">
        <v>5404.2599999999957</v>
      </c>
    </row>
    <row r="619" spans="1:11" hidden="1" x14ac:dyDescent="0.25">
      <c r="A619" s="70">
        <v>617</v>
      </c>
      <c r="B619" t="s">
        <v>1128</v>
      </c>
      <c r="C619" t="s">
        <v>1128</v>
      </c>
      <c r="D619" t="s">
        <v>906</v>
      </c>
      <c r="E619">
        <v>20</v>
      </c>
      <c r="F619" t="s">
        <v>40</v>
      </c>
      <c r="G619" t="s">
        <v>41</v>
      </c>
      <c r="H619" t="s">
        <v>420</v>
      </c>
      <c r="I619" t="s">
        <v>15</v>
      </c>
      <c r="J619" t="s">
        <v>42</v>
      </c>
      <c r="K619">
        <v>5424.2599999999957</v>
      </c>
    </row>
    <row r="620" spans="1:11" hidden="1" x14ac:dyDescent="0.25">
      <c r="A620" s="70">
        <v>618</v>
      </c>
      <c r="B620" t="s">
        <v>1128</v>
      </c>
      <c r="C620" t="s">
        <v>1128</v>
      </c>
      <c r="D620" t="s">
        <v>907</v>
      </c>
      <c r="E620">
        <v>40.67</v>
      </c>
      <c r="F620" t="s">
        <v>20</v>
      </c>
      <c r="G620" t="s">
        <v>34</v>
      </c>
      <c r="H620" t="s">
        <v>420</v>
      </c>
      <c r="I620" t="s">
        <v>15</v>
      </c>
      <c r="J620" t="s">
        <v>32</v>
      </c>
      <c r="K620">
        <v>5464.9299999999957</v>
      </c>
    </row>
    <row r="621" spans="1:11" hidden="1" x14ac:dyDescent="0.25">
      <c r="A621" s="70">
        <v>619</v>
      </c>
      <c r="B621" t="s">
        <v>1128</v>
      </c>
      <c r="C621" t="s">
        <v>1128</v>
      </c>
      <c r="D621" t="s">
        <v>908</v>
      </c>
      <c r="E621">
        <v>37.1</v>
      </c>
      <c r="F621" t="s">
        <v>20</v>
      </c>
      <c r="G621" t="s">
        <v>277</v>
      </c>
      <c r="H621" t="s">
        <v>420</v>
      </c>
      <c r="I621" t="s">
        <v>15</v>
      </c>
      <c r="J621" t="s">
        <v>32</v>
      </c>
      <c r="K621">
        <v>5502.0299999999961</v>
      </c>
    </row>
    <row r="622" spans="1:11" hidden="1" x14ac:dyDescent="0.25">
      <c r="A622" s="70">
        <v>620</v>
      </c>
      <c r="B622" t="s">
        <v>1129</v>
      </c>
      <c r="C622" t="s">
        <v>1129</v>
      </c>
      <c r="D622" t="s">
        <v>43</v>
      </c>
      <c r="E622">
        <v>-81.42</v>
      </c>
      <c r="F622" t="s">
        <v>44</v>
      </c>
      <c r="G622" t="s">
        <v>45</v>
      </c>
      <c r="H622" t="s">
        <v>420</v>
      </c>
      <c r="I622" t="s">
        <v>15</v>
      </c>
      <c r="J622" t="s">
        <v>973</v>
      </c>
      <c r="K622">
        <v>5420.609999999996</v>
      </c>
    </row>
    <row r="623" spans="1:11" hidden="1" x14ac:dyDescent="0.25">
      <c r="A623" s="70">
        <v>621</v>
      </c>
      <c r="B623" t="s">
        <v>1129</v>
      </c>
      <c r="C623" t="s">
        <v>1129</v>
      </c>
      <c r="D623" t="s">
        <v>910</v>
      </c>
      <c r="E623">
        <v>12.62</v>
      </c>
      <c r="F623" t="s">
        <v>53</v>
      </c>
      <c r="G623" t="s">
        <v>54</v>
      </c>
      <c r="H623" t="s">
        <v>420</v>
      </c>
      <c r="I623" t="s">
        <v>15</v>
      </c>
      <c r="J623" t="s">
        <v>16</v>
      </c>
      <c r="K623">
        <v>5433.2299999999959</v>
      </c>
    </row>
    <row r="624" spans="1:11" hidden="1" x14ac:dyDescent="0.25">
      <c r="A624" s="70">
        <v>622</v>
      </c>
      <c r="B624" t="s">
        <v>1129</v>
      </c>
      <c r="C624" t="s">
        <v>1129</v>
      </c>
      <c r="D624" t="s">
        <v>909</v>
      </c>
      <c r="E624">
        <v>21.56</v>
      </c>
      <c r="F624" t="s">
        <v>53</v>
      </c>
      <c r="G624" t="s">
        <v>54</v>
      </c>
      <c r="H624" t="s">
        <v>420</v>
      </c>
      <c r="I624" t="s">
        <v>15</v>
      </c>
      <c r="J624" t="s">
        <v>16</v>
      </c>
      <c r="K624">
        <v>5454.7899999999963</v>
      </c>
    </row>
    <row r="625" spans="1:11" hidden="1" x14ac:dyDescent="0.25">
      <c r="A625" s="70">
        <v>623</v>
      </c>
      <c r="B625" t="s">
        <v>1129</v>
      </c>
      <c r="C625" t="s">
        <v>1129</v>
      </c>
      <c r="D625" t="s">
        <v>36</v>
      </c>
      <c r="E625">
        <v>-5258.68</v>
      </c>
      <c r="F625" t="s">
        <v>37</v>
      </c>
      <c r="G625" t="s">
        <v>38</v>
      </c>
      <c r="H625" t="s">
        <v>420</v>
      </c>
      <c r="I625" t="s">
        <v>15</v>
      </c>
      <c r="J625" t="s">
        <v>973</v>
      </c>
      <c r="K625">
        <v>196.10999999999601</v>
      </c>
    </row>
    <row r="626" spans="1:11" hidden="1" x14ac:dyDescent="0.25">
      <c r="A626" s="70">
        <v>624</v>
      </c>
      <c r="B626" t="s">
        <v>1129</v>
      </c>
      <c r="C626" t="s">
        <v>1129</v>
      </c>
      <c r="D626" t="s">
        <v>104</v>
      </c>
      <c r="E626">
        <v>44.5</v>
      </c>
      <c r="F626" t="s">
        <v>53</v>
      </c>
      <c r="G626" t="s">
        <v>54</v>
      </c>
      <c r="H626" t="s">
        <v>420</v>
      </c>
      <c r="I626" t="s">
        <v>15</v>
      </c>
      <c r="J626" t="s">
        <v>16</v>
      </c>
      <c r="K626">
        <v>240.60999999999601</v>
      </c>
    </row>
    <row r="627" spans="1:11" hidden="1" x14ac:dyDescent="0.25">
      <c r="A627" s="70">
        <v>625</v>
      </c>
      <c r="B627" t="s">
        <v>1129</v>
      </c>
      <c r="C627" t="s">
        <v>1130</v>
      </c>
      <c r="D627" t="s">
        <v>379</v>
      </c>
      <c r="E627">
        <v>12.02</v>
      </c>
      <c r="F627" t="s">
        <v>20</v>
      </c>
      <c r="G627" t="s">
        <v>80</v>
      </c>
      <c r="H627" t="s">
        <v>420</v>
      </c>
      <c r="I627" t="s">
        <v>15</v>
      </c>
      <c r="J627" t="s">
        <v>23</v>
      </c>
      <c r="K627">
        <v>252.62999999999599</v>
      </c>
    </row>
    <row r="628" spans="1:11" x14ac:dyDescent="0.25">
      <c r="A628" s="70">
        <v>626</v>
      </c>
      <c r="B628" t="s">
        <v>1131</v>
      </c>
      <c r="C628" t="s">
        <v>1130</v>
      </c>
      <c r="D628" t="s">
        <v>912</v>
      </c>
      <c r="E628">
        <v>9.99</v>
      </c>
      <c r="F628" t="s">
        <v>20</v>
      </c>
      <c r="G628" t="s">
        <v>25</v>
      </c>
      <c r="H628" t="s">
        <v>911</v>
      </c>
      <c r="I628" t="s">
        <v>22</v>
      </c>
      <c r="J628" t="s">
        <v>23</v>
      </c>
      <c r="K628">
        <v>262.61999999999603</v>
      </c>
    </row>
    <row r="629" spans="1:11" hidden="1" x14ac:dyDescent="0.25">
      <c r="A629" s="70">
        <v>627</v>
      </c>
      <c r="B629" t="s">
        <v>1131</v>
      </c>
      <c r="C629" t="s">
        <v>1130</v>
      </c>
      <c r="D629" t="s">
        <v>408</v>
      </c>
      <c r="E629">
        <v>25</v>
      </c>
      <c r="F629" t="s">
        <v>56</v>
      </c>
      <c r="G629" t="s">
        <v>409</v>
      </c>
      <c r="H629" t="s">
        <v>911</v>
      </c>
      <c r="I629" t="s">
        <v>22</v>
      </c>
      <c r="J629" t="s">
        <v>32</v>
      </c>
      <c r="K629">
        <v>287.61999999999603</v>
      </c>
    </row>
    <row r="630" spans="1:11" hidden="1" x14ac:dyDescent="0.25">
      <c r="A630" s="70">
        <v>628</v>
      </c>
      <c r="B630" t="s">
        <v>1131</v>
      </c>
      <c r="C630" t="s">
        <v>1130</v>
      </c>
      <c r="D630" t="s">
        <v>19</v>
      </c>
      <c r="E630">
        <v>10.59</v>
      </c>
      <c r="F630" t="s">
        <v>20</v>
      </c>
      <c r="G630" t="s">
        <v>21</v>
      </c>
      <c r="H630" t="s">
        <v>911</v>
      </c>
      <c r="I630" t="s">
        <v>22</v>
      </c>
      <c r="J630" t="s">
        <v>23</v>
      </c>
      <c r="K630">
        <v>298.209999999996</v>
      </c>
    </row>
    <row r="631" spans="1:11" hidden="1" x14ac:dyDescent="0.25">
      <c r="A631" s="70">
        <v>629</v>
      </c>
      <c r="B631" t="s">
        <v>1131</v>
      </c>
      <c r="C631" t="s">
        <v>1130</v>
      </c>
      <c r="D631" t="s">
        <v>915</v>
      </c>
      <c r="E631">
        <v>39.79</v>
      </c>
      <c r="F631" t="s">
        <v>20</v>
      </c>
      <c r="G631" t="s">
        <v>916</v>
      </c>
      <c r="H631" t="s">
        <v>911</v>
      </c>
      <c r="I631" t="s">
        <v>15</v>
      </c>
      <c r="J631" t="s">
        <v>60</v>
      </c>
      <c r="K631">
        <v>337.99999999999602</v>
      </c>
    </row>
    <row r="632" spans="1:11" hidden="1" x14ac:dyDescent="0.25">
      <c r="A632" s="70">
        <v>630</v>
      </c>
      <c r="B632" t="s">
        <v>1131</v>
      </c>
      <c r="C632" t="s">
        <v>1130</v>
      </c>
      <c r="D632" t="s">
        <v>913</v>
      </c>
      <c r="E632">
        <v>20</v>
      </c>
      <c r="F632" t="s">
        <v>106</v>
      </c>
      <c r="G632" t="s">
        <v>107</v>
      </c>
      <c r="H632" t="s">
        <v>911</v>
      </c>
      <c r="I632" t="s">
        <v>15</v>
      </c>
      <c r="J632" t="s">
        <v>66</v>
      </c>
      <c r="K632">
        <v>357.99999999999602</v>
      </c>
    </row>
    <row r="633" spans="1:11" hidden="1" x14ac:dyDescent="0.25">
      <c r="A633" s="70">
        <v>631</v>
      </c>
      <c r="B633" t="s">
        <v>1131</v>
      </c>
      <c r="C633" t="s">
        <v>1131</v>
      </c>
      <c r="D633" t="s">
        <v>914</v>
      </c>
      <c r="E633">
        <v>19.54</v>
      </c>
      <c r="F633" t="s">
        <v>20</v>
      </c>
      <c r="G633" t="s">
        <v>27</v>
      </c>
      <c r="H633" t="s">
        <v>911</v>
      </c>
      <c r="I633" t="s">
        <v>15</v>
      </c>
      <c r="J633" t="s">
        <v>32</v>
      </c>
      <c r="K633">
        <v>377.53999999999598</v>
      </c>
    </row>
    <row r="634" spans="1:11" hidden="1" x14ac:dyDescent="0.25">
      <c r="A634" s="70">
        <v>632</v>
      </c>
      <c r="B634" t="s">
        <v>1132</v>
      </c>
      <c r="C634" t="s">
        <v>1132</v>
      </c>
      <c r="D634" t="s">
        <v>319</v>
      </c>
      <c r="E634">
        <v>61.69</v>
      </c>
      <c r="F634" t="s">
        <v>320</v>
      </c>
      <c r="G634" t="s">
        <v>321</v>
      </c>
      <c r="H634" t="s">
        <v>911</v>
      </c>
      <c r="I634" t="s">
        <v>15</v>
      </c>
      <c r="J634" t="s">
        <v>973</v>
      </c>
      <c r="K634">
        <v>439.22999999999598</v>
      </c>
    </row>
    <row r="635" spans="1:11" hidden="1" x14ac:dyDescent="0.25">
      <c r="A635" s="70">
        <v>633</v>
      </c>
      <c r="B635" t="s">
        <v>1132</v>
      </c>
      <c r="C635" t="s">
        <v>1130</v>
      </c>
      <c r="D635" t="s">
        <v>924</v>
      </c>
      <c r="E635">
        <v>32.56</v>
      </c>
      <c r="F635" t="s">
        <v>20</v>
      </c>
      <c r="G635" t="s">
        <v>27</v>
      </c>
      <c r="H635" t="s">
        <v>911</v>
      </c>
      <c r="I635" t="s">
        <v>15</v>
      </c>
      <c r="J635" t="s">
        <v>32</v>
      </c>
      <c r="K635">
        <v>471.78999999999598</v>
      </c>
    </row>
    <row r="636" spans="1:11" hidden="1" x14ac:dyDescent="0.25">
      <c r="A636" s="70">
        <v>634</v>
      </c>
      <c r="B636" t="s">
        <v>1132</v>
      </c>
      <c r="C636" t="s">
        <v>1130</v>
      </c>
      <c r="D636" t="s">
        <v>77</v>
      </c>
      <c r="E636">
        <v>10</v>
      </c>
      <c r="F636" t="s">
        <v>20</v>
      </c>
      <c r="G636" t="s">
        <v>78</v>
      </c>
      <c r="H636" t="s">
        <v>911</v>
      </c>
      <c r="I636" t="s">
        <v>22</v>
      </c>
      <c r="J636" t="s">
        <v>23</v>
      </c>
      <c r="K636">
        <v>481.78999999999598</v>
      </c>
    </row>
    <row r="637" spans="1:11" hidden="1" x14ac:dyDescent="0.25">
      <c r="A637" s="70">
        <v>635</v>
      </c>
      <c r="B637" t="s">
        <v>1130</v>
      </c>
      <c r="C637" t="s">
        <v>1130</v>
      </c>
      <c r="D637" t="s">
        <v>930</v>
      </c>
      <c r="E637">
        <v>96.65</v>
      </c>
      <c r="F637" t="s">
        <v>20</v>
      </c>
      <c r="G637" t="s">
        <v>277</v>
      </c>
      <c r="H637" t="s">
        <v>911</v>
      </c>
      <c r="I637" t="s">
        <v>15</v>
      </c>
      <c r="J637" t="s">
        <v>32</v>
      </c>
      <c r="K637">
        <v>578.43999999999608</v>
      </c>
    </row>
    <row r="638" spans="1:11" hidden="1" x14ac:dyDescent="0.25">
      <c r="A638" s="70">
        <v>636</v>
      </c>
      <c r="B638" t="s">
        <v>1130</v>
      </c>
      <c r="C638" t="s">
        <v>1130</v>
      </c>
      <c r="D638" t="s">
        <v>43</v>
      </c>
      <c r="E638">
        <v>-53.05</v>
      </c>
      <c r="F638" t="s">
        <v>44</v>
      </c>
      <c r="G638" t="s">
        <v>45</v>
      </c>
      <c r="H638" t="s">
        <v>911</v>
      </c>
      <c r="I638" t="s">
        <v>15</v>
      </c>
      <c r="J638" t="s">
        <v>973</v>
      </c>
      <c r="K638">
        <v>525.38999999999612</v>
      </c>
    </row>
    <row r="639" spans="1:11" hidden="1" x14ac:dyDescent="0.25">
      <c r="A639" s="70">
        <v>637</v>
      </c>
      <c r="B639" t="s">
        <v>1130</v>
      </c>
      <c r="C639" t="s">
        <v>1130</v>
      </c>
      <c r="D639" t="s">
        <v>379</v>
      </c>
      <c r="E639">
        <v>12.65</v>
      </c>
      <c r="F639" t="s">
        <v>20</v>
      </c>
      <c r="G639" t="s">
        <v>80</v>
      </c>
      <c r="H639" t="s">
        <v>911</v>
      </c>
      <c r="I639" t="s">
        <v>15</v>
      </c>
      <c r="J639" t="s">
        <v>23</v>
      </c>
      <c r="K639">
        <v>538.0399999999961</v>
      </c>
    </row>
    <row r="640" spans="1:11" hidden="1" x14ac:dyDescent="0.25">
      <c r="A640" s="70">
        <v>638</v>
      </c>
      <c r="B640" t="s">
        <v>1130</v>
      </c>
      <c r="C640" t="s">
        <v>1130</v>
      </c>
      <c r="D640" t="s">
        <v>36</v>
      </c>
      <c r="E640">
        <v>-268.79000000000002</v>
      </c>
      <c r="F640" t="s">
        <v>37</v>
      </c>
      <c r="G640" t="s">
        <v>38</v>
      </c>
      <c r="H640" t="s">
        <v>911</v>
      </c>
      <c r="I640" t="s">
        <v>15</v>
      </c>
      <c r="J640" t="s">
        <v>973</v>
      </c>
      <c r="K640">
        <v>269.24999999999608</v>
      </c>
    </row>
    <row r="641" spans="1:11" hidden="1" x14ac:dyDescent="0.25">
      <c r="A641" s="70">
        <v>639</v>
      </c>
      <c r="B641" t="s">
        <v>1130</v>
      </c>
      <c r="C641" t="s">
        <v>1130</v>
      </c>
      <c r="D641" t="s">
        <v>108</v>
      </c>
      <c r="E641">
        <v>79.66</v>
      </c>
      <c r="F641" t="s">
        <v>20</v>
      </c>
      <c r="G641" t="s">
        <v>109</v>
      </c>
      <c r="H641" t="s">
        <v>911</v>
      </c>
      <c r="I641" t="s">
        <v>22</v>
      </c>
      <c r="J641" t="s">
        <v>110</v>
      </c>
      <c r="K641">
        <v>348.9099999999961</v>
      </c>
    </row>
    <row r="642" spans="1:11" hidden="1" x14ac:dyDescent="0.25">
      <c r="A642" s="70">
        <v>640</v>
      </c>
      <c r="B642" t="s">
        <v>1133</v>
      </c>
      <c r="C642" t="s">
        <v>1133</v>
      </c>
      <c r="D642" t="s">
        <v>931</v>
      </c>
      <c r="E642">
        <v>14.96</v>
      </c>
      <c r="F642" t="s">
        <v>53</v>
      </c>
      <c r="G642" t="s">
        <v>72</v>
      </c>
      <c r="H642" t="s">
        <v>911</v>
      </c>
      <c r="I642" t="s">
        <v>15</v>
      </c>
      <c r="J642" t="s">
        <v>32</v>
      </c>
      <c r="K642">
        <v>363.86999999999608</v>
      </c>
    </row>
    <row r="643" spans="1:11" hidden="1" x14ac:dyDescent="0.25">
      <c r="A643" s="70">
        <v>641</v>
      </c>
      <c r="B643" t="s">
        <v>1134</v>
      </c>
      <c r="C643" t="s">
        <v>1134</v>
      </c>
      <c r="D643" t="s">
        <v>341</v>
      </c>
      <c r="E643">
        <v>55.34</v>
      </c>
      <c r="F643" t="s">
        <v>20</v>
      </c>
      <c r="G643" t="s">
        <v>72</v>
      </c>
      <c r="H643" t="s">
        <v>911</v>
      </c>
      <c r="I643" t="s">
        <v>15</v>
      </c>
      <c r="J643" t="s">
        <v>32</v>
      </c>
      <c r="K643">
        <v>419.20999999999611</v>
      </c>
    </row>
    <row r="644" spans="1:11" hidden="1" x14ac:dyDescent="0.25">
      <c r="A644" s="70">
        <v>642</v>
      </c>
      <c r="B644" t="s">
        <v>1134</v>
      </c>
      <c r="C644" t="s">
        <v>1134</v>
      </c>
      <c r="D644" t="s">
        <v>353</v>
      </c>
      <c r="E644">
        <v>9.99</v>
      </c>
      <c r="F644" t="s">
        <v>30</v>
      </c>
      <c r="G644" t="s">
        <v>76</v>
      </c>
      <c r="H644" t="s">
        <v>911</v>
      </c>
      <c r="I644" t="s">
        <v>15</v>
      </c>
      <c r="J644" t="s">
        <v>42</v>
      </c>
      <c r="K644">
        <v>429.19999999999612</v>
      </c>
    </row>
    <row r="645" spans="1:11" hidden="1" x14ac:dyDescent="0.25">
      <c r="A645" s="70">
        <v>643</v>
      </c>
      <c r="B645" t="s">
        <v>1134</v>
      </c>
      <c r="C645" t="s">
        <v>1134</v>
      </c>
      <c r="D645" t="s">
        <v>104</v>
      </c>
      <c r="E645">
        <v>28.21</v>
      </c>
      <c r="F645" t="s">
        <v>53</v>
      </c>
      <c r="G645" t="s">
        <v>54</v>
      </c>
      <c r="H645" t="s">
        <v>911</v>
      </c>
      <c r="I645" t="s">
        <v>15</v>
      </c>
      <c r="J645" t="s">
        <v>16</v>
      </c>
      <c r="K645">
        <v>457.40999999999599</v>
      </c>
    </row>
    <row r="646" spans="1:11" hidden="1" x14ac:dyDescent="0.25">
      <c r="A646" s="70">
        <v>644</v>
      </c>
      <c r="B646" t="s">
        <v>1135</v>
      </c>
      <c r="C646" t="s">
        <v>1135</v>
      </c>
      <c r="D646" t="s">
        <v>932</v>
      </c>
      <c r="E646">
        <v>104.4</v>
      </c>
      <c r="F646" t="s">
        <v>12</v>
      </c>
      <c r="G646" t="s">
        <v>18</v>
      </c>
      <c r="H646" t="s">
        <v>911</v>
      </c>
      <c r="I646" t="s">
        <v>15</v>
      </c>
      <c r="J646" t="s">
        <v>16</v>
      </c>
      <c r="K646">
        <v>561.80999999999608</v>
      </c>
    </row>
    <row r="647" spans="1:11" hidden="1" x14ac:dyDescent="0.25">
      <c r="A647" s="70">
        <v>645</v>
      </c>
      <c r="B647" t="s">
        <v>1136</v>
      </c>
      <c r="C647" t="s">
        <v>1136</v>
      </c>
      <c r="D647" t="s">
        <v>933</v>
      </c>
      <c r="E647">
        <v>32.479999999999997</v>
      </c>
      <c r="F647" t="s">
        <v>12</v>
      </c>
      <c r="G647" t="s">
        <v>13</v>
      </c>
      <c r="H647" t="s">
        <v>911</v>
      </c>
      <c r="I647" t="s">
        <v>15</v>
      </c>
      <c r="J647" t="s">
        <v>16</v>
      </c>
      <c r="K647">
        <v>594.2899999999961</v>
      </c>
    </row>
    <row r="648" spans="1:11" hidden="1" x14ac:dyDescent="0.25">
      <c r="A648" s="70">
        <v>646</v>
      </c>
      <c r="B648" t="s">
        <v>1137</v>
      </c>
      <c r="C648" t="s">
        <v>1137</v>
      </c>
      <c r="D648" t="s">
        <v>934</v>
      </c>
      <c r="E648">
        <v>8</v>
      </c>
      <c r="F648" t="s">
        <v>30</v>
      </c>
      <c r="G648" t="s">
        <v>41</v>
      </c>
      <c r="H648" t="s">
        <v>911</v>
      </c>
      <c r="I648" t="s">
        <v>15</v>
      </c>
      <c r="J648" t="s">
        <v>42</v>
      </c>
      <c r="K648">
        <v>602.2899999999961</v>
      </c>
    </row>
    <row r="649" spans="1:11" hidden="1" x14ac:dyDescent="0.25">
      <c r="A649" s="70">
        <v>647</v>
      </c>
      <c r="B649" t="s">
        <v>1137</v>
      </c>
      <c r="C649" t="s">
        <v>1137</v>
      </c>
      <c r="D649" t="s">
        <v>934</v>
      </c>
      <c r="E649">
        <v>14.05</v>
      </c>
      <c r="F649" t="s">
        <v>30</v>
      </c>
      <c r="G649" t="s">
        <v>41</v>
      </c>
      <c r="H649" t="s">
        <v>911</v>
      </c>
      <c r="I649" t="s">
        <v>15</v>
      </c>
      <c r="J649" t="s">
        <v>42</v>
      </c>
      <c r="K649">
        <v>616.33999999999605</v>
      </c>
    </row>
    <row r="650" spans="1:11" hidden="1" x14ac:dyDescent="0.25">
      <c r="A650" s="70">
        <v>648</v>
      </c>
      <c r="B650" t="s">
        <v>1137</v>
      </c>
      <c r="C650" t="s">
        <v>1137</v>
      </c>
      <c r="D650" t="s">
        <v>935</v>
      </c>
      <c r="E650">
        <v>110.33</v>
      </c>
      <c r="F650" t="s">
        <v>106</v>
      </c>
      <c r="G650" t="s">
        <v>107</v>
      </c>
      <c r="H650" t="s">
        <v>911</v>
      </c>
      <c r="I650" t="s">
        <v>15</v>
      </c>
      <c r="J650" t="s">
        <v>66</v>
      </c>
      <c r="K650">
        <v>726.66999999999609</v>
      </c>
    </row>
    <row r="651" spans="1:11" hidden="1" x14ac:dyDescent="0.25">
      <c r="A651" s="70">
        <v>649</v>
      </c>
      <c r="B651" t="s">
        <v>1137</v>
      </c>
      <c r="C651" t="s">
        <v>1137</v>
      </c>
      <c r="D651" t="s">
        <v>905</v>
      </c>
      <c r="E651">
        <v>24.26</v>
      </c>
      <c r="F651" t="s">
        <v>12</v>
      </c>
      <c r="G651" t="s">
        <v>13</v>
      </c>
      <c r="H651" t="s">
        <v>911</v>
      </c>
      <c r="I651" t="s">
        <v>15</v>
      </c>
      <c r="J651" t="s">
        <v>16</v>
      </c>
      <c r="K651">
        <v>750.92999999999608</v>
      </c>
    </row>
    <row r="652" spans="1:11" hidden="1" x14ac:dyDescent="0.25">
      <c r="A652" s="70">
        <v>650</v>
      </c>
      <c r="B652" t="s">
        <v>1137</v>
      </c>
      <c r="C652" t="s">
        <v>1137</v>
      </c>
      <c r="D652" t="s">
        <v>266</v>
      </c>
      <c r="E652">
        <v>4.3600000000000003</v>
      </c>
      <c r="F652" t="s">
        <v>20</v>
      </c>
      <c r="G652" t="s">
        <v>34</v>
      </c>
      <c r="H652" t="s">
        <v>911</v>
      </c>
      <c r="I652" t="s">
        <v>15</v>
      </c>
      <c r="J652" t="s">
        <v>32</v>
      </c>
      <c r="K652">
        <v>755.2899999999961</v>
      </c>
    </row>
    <row r="653" spans="1:11" hidden="1" x14ac:dyDescent="0.25">
      <c r="A653" s="70">
        <v>651</v>
      </c>
      <c r="B653" t="s">
        <v>1138</v>
      </c>
      <c r="C653" t="s">
        <v>1138</v>
      </c>
      <c r="D653" t="s">
        <v>921</v>
      </c>
      <c r="E653">
        <v>106.07</v>
      </c>
      <c r="F653" t="s">
        <v>20</v>
      </c>
      <c r="G653" t="s">
        <v>223</v>
      </c>
      <c r="H653" t="s">
        <v>911</v>
      </c>
      <c r="I653" t="s">
        <v>15</v>
      </c>
      <c r="J653" t="s">
        <v>32</v>
      </c>
      <c r="K653">
        <v>861.35999999999603</v>
      </c>
    </row>
    <row r="654" spans="1:11" hidden="1" x14ac:dyDescent="0.25">
      <c r="A654" s="70">
        <v>652</v>
      </c>
      <c r="B654" t="s">
        <v>1138</v>
      </c>
      <c r="C654" t="s">
        <v>1138</v>
      </c>
      <c r="D654" t="s">
        <v>936</v>
      </c>
      <c r="E654">
        <v>40.770000000000003</v>
      </c>
      <c r="F654" t="s">
        <v>53</v>
      </c>
      <c r="G654" t="s">
        <v>54</v>
      </c>
      <c r="H654" t="s">
        <v>911</v>
      </c>
      <c r="I654" t="s">
        <v>15</v>
      </c>
      <c r="J654" t="s">
        <v>16</v>
      </c>
      <c r="K654">
        <v>902.12999999999602</v>
      </c>
    </row>
    <row r="655" spans="1:11" hidden="1" x14ac:dyDescent="0.25">
      <c r="A655" s="70">
        <v>653</v>
      </c>
      <c r="B655" t="s">
        <v>1138</v>
      </c>
      <c r="C655" t="s">
        <v>1138</v>
      </c>
      <c r="D655" t="s">
        <v>454</v>
      </c>
      <c r="E655">
        <v>47.74</v>
      </c>
      <c r="F655" t="s">
        <v>455</v>
      </c>
      <c r="G655" t="s">
        <v>456</v>
      </c>
      <c r="H655" t="s">
        <v>911</v>
      </c>
      <c r="I655" t="s">
        <v>15</v>
      </c>
      <c r="J655" t="s">
        <v>245</v>
      </c>
      <c r="K655">
        <v>949.86999999999603</v>
      </c>
    </row>
    <row r="656" spans="1:11" hidden="1" x14ac:dyDescent="0.25">
      <c r="A656" s="70">
        <v>654</v>
      </c>
      <c r="B656" t="s">
        <v>1139</v>
      </c>
      <c r="C656" t="s">
        <v>1139</v>
      </c>
      <c r="D656" t="s">
        <v>917</v>
      </c>
      <c r="E656">
        <v>15.89</v>
      </c>
      <c r="F656" t="s">
        <v>20</v>
      </c>
      <c r="G656" t="s">
        <v>49</v>
      </c>
      <c r="H656" t="s">
        <v>911</v>
      </c>
      <c r="I656" t="s">
        <v>22</v>
      </c>
      <c r="J656" t="s">
        <v>23</v>
      </c>
      <c r="K656">
        <v>965.75999999999601</v>
      </c>
    </row>
    <row r="657" spans="1:11" hidden="1" x14ac:dyDescent="0.25">
      <c r="A657" s="70">
        <v>655</v>
      </c>
      <c r="B657" t="s">
        <v>1139</v>
      </c>
      <c r="C657" t="s">
        <v>1140</v>
      </c>
      <c r="D657" t="s">
        <v>379</v>
      </c>
      <c r="E657">
        <v>-3.72</v>
      </c>
      <c r="F657" t="s">
        <v>37</v>
      </c>
      <c r="G657" t="s">
        <v>80</v>
      </c>
      <c r="H657" t="s">
        <v>911</v>
      </c>
      <c r="I657" t="s">
        <v>15</v>
      </c>
      <c r="J657" t="s">
        <v>23</v>
      </c>
      <c r="K657">
        <v>962.03999999999598</v>
      </c>
    </row>
    <row r="658" spans="1:11" hidden="1" x14ac:dyDescent="0.25">
      <c r="A658" s="70">
        <v>656</v>
      </c>
      <c r="B658" t="s">
        <v>1140</v>
      </c>
      <c r="C658" t="s">
        <v>1140</v>
      </c>
      <c r="D658" t="s">
        <v>427</v>
      </c>
      <c r="E658">
        <v>20.38</v>
      </c>
      <c r="F658" t="s">
        <v>12</v>
      </c>
      <c r="G658" t="s">
        <v>13</v>
      </c>
      <c r="H658" t="s">
        <v>911</v>
      </c>
      <c r="I658" t="s">
        <v>15</v>
      </c>
      <c r="J658" t="s">
        <v>16</v>
      </c>
      <c r="K658">
        <v>982.41999999999598</v>
      </c>
    </row>
    <row r="659" spans="1:11" hidden="1" x14ac:dyDescent="0.25">
      <c r="A659" s="70">
        <v>657</v>
      </c>
      <c r="B659" t="s">
        <v>1141</v>
      </c>
      <c r="C659" t="s">
        <v>1141</v>
      </c>
      <c r="D659" t="s">
        <v>918</v>
      </c>
      <c r="E659">
        <v>20.9</v>
      </c>
      <c r="F659" t="s">
        <v>12</v>
      </c>
      <c r="G659" t="s">
        <v>13</v>
      </c>
      <c r="H659" t="s">
        <v>911</v>
      </c>
      <c r="I659" t="s">
        <v>15</v>
      </c>
      <c r="J659" t="s">
        <v>16</v>
      </c>
      <c r="K659">
        <v>1003.319999999996</v>
      </c>
    </row>
    <row r="660" spans="1:11" hidden="1" x14ac:dyDescent="0.25">
      <c r="A660" s="70">
        <v>658</v>
      </c>
      <c r="B660" t="s">
        <v>1141</v>
      </c>
      <c r="C660" t="s">
        <v>1141</v>
      </c>
      <c r="D660" t="s">
        <v>104</v>
      </c>
      <c r="E660">
        <v>45.8</v>
      </c>
      <c r="F660" t="s">
        <v>53</v>
      </c>
      <c r="G660" t="s">
        <v>54</v>
      </c>
      <c r="H660" t="s">
        <v>911</v>
      </c>
      <c r="I660" t="s">
        <v>15</v>
      </c>
      <c r="J660" t="s">
        <v>16</v>
      </c>
      <c r="K660">
        <v>1049.119999999996</v>
      </c>
    </row>
    <row r="661" spans="1:11" hidden="1" x14ac:dyDescent="0.25">
      <c r="A661" s="70">
        <v>659</v>
      </c>
      <c r="B661" t="s">
        <v>1142</v>
      </c>
      <c r="C661" t="s">
        <v>1142</v>
      </c>
      <c r="D661" t="s">
        <v>36</v>
      </c>
      <c r="E661">
        <v>-962.04</v>
      </c>
      <c r="F661" t="s">
        <v>37</v>
      </c>
      <c r="G661" t="s">
        <v>38</v>
      </c>
      <c r="H661" t="s">
        <v>911</v>
      </c>
      <c r="I661" t="s">
        <v>15</v>
      </c>
      <c r="J661" t="s">
        <v>973</v>
      </c>
      <c r="K661">
        <v>87.079999999996062</v>
      </c>
    </row>
    <row r="662" spans="1:11" hidden="1" x14ac:dyDescent="0.25">
      <c r="A662" s="70">
        <v>660</v>
      </c>
      <c r="B662" t="s">
        <v>1142</v>
      </c>
      <c r="C662" t="s">
        <v>1142</v>
      </c>
      <c r="D662" t="s">
        <v>919</v>
      </c>
      <c r="E662">
        <v>9.75</v>
      </c>
      <c r="F662" t="s">
        <v>455</v>
      </c>
      <c r="G662" t="s">
        <v>456</v>
      </c>
      <c r="H662" t="s">
        <v>911</v>
      </c>
      <c r="I662" t="s">
        <v>15</v>
      </c>
      <c r="J662" t="s">
        <v>245</v>
      </c>
      <c r="K662">
        <v>96.829999999996062</v>
      </c>
    </row>
    <row r="663" spans="1:11" hidden="1" x14ac:dyDescent="0.25">
      <c r="A663" s="70">
        <v>661</v>
      </c>
      <c r="B663" t="s">
        <v>1143</v>
      </c>
      <c r="C663" t="s">
        <v>1143</v>
      </c>
      <c r="D663" t="s">
        <v>304</v>
      </c>
      <c r="E663">
        <v>10.85</v>
      </c>
      <c r="F663" t="s">
        <v>56</v>
      </c>
      <c r="G663" t="s">
        <v>305</v>
      </c>
      <c r="H663" t="s">
        <v>911</v>
      </c>
      <c r="I663" t="s">
        <v>22</v>
      </c>
      <c r="J663" t="s">
        <v>23</v>
      </c>
      <c r="K663">
        <v>107.6799999999961</v>
      </c>
    </row>
    <row r="664" spans="1:11" hidden="1" x14ac:dyDescent="0.25">
      <c r="A664" s="70">
        <v>662</v>
      </c>
      <c r="B664" t="s">
        <v>1143</v>
      </c>
      <c r="C664" t="s">
        <v>1143</v>
      </c>
      <c r="D664" t="s">
        <v>920</v>
      </c>
      <c r="E664">
        <v>16.13</v>
      </c>
      <c r="F664" t="s">
        <v>12</v>
      </c>
      <c r="G664" t="s">
        <v>185</v>
      </c>
      <c r="H664" t="s">
        <v>911</v>
      </c>
      <c r="I664" t="s">
        <v>15</v>
      </c>
      <c r="J664" t="s">
        <v>16</v>
      </c>
      <c r="K664">
        <v>123.80999999999609</v>
      </c>
    </row>
    <row r="665" spans="1:11" hidden="1" x14ac:dyDescent="0.25">
      <c r="A665" s="70">
        <v>663</v>
      </c>
      <c r="B665" t="s">
        <v>1143</v>
      </c>
      <c r="C665" t="s">
        <v>1144</v>
      </c>
      <c r="D665" t="s">
        <v>921</v>
      </c>
      <c r="E665">
        <v>-106.07</v>
      </c>
      <c r="F665" t="s">
        <v>37</v>
      </c>
      <c r="G665" t="s">
        <v>223</v>
      </c>
      <c r="H665" t="s">
        <v>911</v>
      </c>
      <c r="I665" t="s">
        <v>15</v>
      </c>
      <c r="J665" t="s">
        <v>32</v>
      </c>
      <c r="K665">
        <v>17.739999999996058</v>
      </c>
    </row>
    <row r="666" spans="1:11" hidden="1" x14ac:dyDescent="0.25">
      <c r="A666" s="70">
        <v>664</v>
      </c>
      <c r="B666" t="s">
        <v>1145</v>
      </c>
      <c r="C666" t="s">
        <v>1145</v>
      </c>
      <c r="D666" t="s">
        <v>922</v>
      </c>
      <c r="E666">
        <v>5.29</v>
      </c>
      <c r="F666" t="s">
        <v>20</v>
      </c>
      <c r="G666" t="s">
        <v>68</v>
      </c>
      <c r="H666" t="s">
        <v>911</v>
      </c>
      <c r="I666" t="s">
        <v>22</v>
      </c>
      <c r="J666" t="s">
        <v>23</v>
      </c>
      <c r="K666">
        <v>23.029999999996061</v>
      </c>
    </row>
    <row r="667" spans="1:11" hidden="1" x14ac:dyDescent="0.25">
      <c r="A667" s="70">
        <v>665</v>
      </c>
      <c r="B667" t="s">
        <v>1145</v>
      </c>
      <c r="C667" t="s">
        <v>1145</v>
      </c>
      <c r="D667" t="s">
        <v>104</v>
      </c>
      <c r="E667">
        <v>9.91</v>
      </c>
      <c r="F667" t="s">
        <v>53</v>
      </c>
      <c r="G667" t="s">
        <v>54</v>
      </c>
      <c r="H667" t="s">
        <v>911</v>
      </c>
      <c r="I667" t="s">
        <v>15</v>
      </c>
      <c r="J667" t="s">
        <v>16</v>
      </c>
      <c r="K667">
        <v>32.939999999996061</v>
      </c>
    </row>
    <row r="668" spans="1:11" hidden="1" x14ac:dyDescent="0.25">
      <c r="A668" s="70">
        <v>666</v>
      </c>
      <c r="B668" t="s">
        <v>1145</v>
      </c>
      <c r="C668" t="s">
        <v>1145</v>
      </c>
      <c r="D668" t="s">
        <v>64</v>
      </c>
      <c r="E668">
        <v>70</v>
      </c>
      <c r="F668" t="s">
        <v>20</v>
      </c>
      <c r="G668" t="s">
        <v>65</v>
      </c>
      <c r="H668" t="s">
        <v>911</v>
      </c>
      <c r="I668" t="s">
        <v>15</v>
      </c>
      <c r="J668" t="s">
        <v>66</v>
      </c>
      <c r="K668">
        <v>102.9399999999961</v>
      </c>
    </row>
    <row r="669" spans="1:11" hidden="1" x14ac:dyDescent="0.25">
      <c r="A669" s="70">
        <v>667</v>
      </c>
      <c r="B669" t="s">
        <v>1146</v>
      </c>
      <c r="C669" t="s">
        <v>1146</v>
      </c>
      <c r="D669" t="s">
        <v>923</v>
      </c>
      <c r="E669">
        <v>33</v>
      </c>
      <c r="F669" t="s">
        <v>248</v>
      </c>
      <c r="G669" t="s">
        <v>94</v>
      </c>
      <c r="H669" t="s">
        <v>911</v>
      </c>
      <c r="I669" t="s">
        <v>15</v>
      </c>
      <c r="J669" t="s">
        <v>32</v>
      </c>
      <c r="K669">
        <v>135.9399999999961</v>
      </c>
    </row>
    <row r="670" spans="1:11" hidden="1" x14ac:dyDescent="0.25">
      <c r="A670" s="70">
        <v>668</v>
      </c>
      <c r="B670" t="s">
        <v>1147</v>
      </c>
      <c r="C670" t="s">
        <v>1147</v>
      </c>
      <c r="D670" t="s">
        <v>104</v>
      </c>
      <c r="E670">
        <v>1.17</v>
      </c>
      <c r="F670" t="s">
        <v>53</v>
      </c>
      <c r="G670" t="s">
        <v>54</v>
      </c>
      <c r="H670" t="s">
        <v>911</v>
      </c>
      <c r="I670" t="s">
        <v>15</v>
      </c>
      <c r="J670" t="s">
        <v>16</v>
      </c>
      <c r="K670">
        <v>137.10999999999609</v>
      </c>
    </row>
    <row r="671" spans="1:11" hidden="1" x14ac:dyDescent="0.25">
      <c r="A671" s="70">
        <v>669</v>
      </c>
      <c r="B671" t="s">
        <v>1147</v>
      </c>
      <c r="C671" t="s">
        <v>1147</v>
      </c>
      <c r="D671" t="s">
        <v>104</v>
      </c>
      <c r="E671">
        <v>26.19</v>
      </c>
      <c r="F671" t="s">
        <v>53</v>
      </c>
      <c r="G671" t="s">
        <v>54</v>
      </c>
      <c r="H671" t="s">
        <v>911</v>
      </c>
      <c r="I671" t="s">
        <v>15</v>
      </c>
      <c r="J671" t="s">
        <v>16</v>
      </c>
      <c r="K671">
        <v>163.29999999999609</v>
      </c>
    </row>
    <row r="672" spans="1:11" hidden="1" x14ac:dyDescent="0.25">
      <c r="A672" s="70">
        <v>670</v>
      </c>
      <c r="B672" t="s">
        <v>1148</v>
      </c>
      <c r="C672" t="s">
        <v>1148</v>
      </c>
      <c r="D672" t="s">
        <v>926</v>
      </c>
      <c r="E672">
        <v>57.09</v>
      </c>
      <c r="F672" t="s">
        <v>12</v>
      </c>
      <c r="G672" t="s">
        <v>18</v>
      </c>
      <c r="H672" t="s">
        <v>911</v>
      </c>
      <c r="I672" t="s">
        <v>15</v>
      </c>
      <c r="J672" t="s">
        <v>16</v>
      </c>
      <c r="K672">
        <v>220.38999999999609</v>
      </c>
    </row>
    <row r="673" spans="1:11" hidden="1" x14ac:dyDescent="0.25">
      <c r="A673" s="70">
        <v>671</v>
      </c>
      <c r="B673" t="s">
        <v>1148</v>
      </c>
      <c r="C673" t="s">
        <v>1148</v>
      </c>
      <c r="D673" t="s">
        <v>925</v>
      </c>
      <c r="E673">
        <v>5.74</v>
      </c>
      <c r="F673" t="s">
        <v>20</v>
      </c>
      <c r="G673" t="s">
        <v>34</v>
      </c>
      <c r="H673" t="s">
        <v>911</v>
      </c>
      <c r="I673" t="s">
        <v>15</v>
      </c>
      <c r="J673" t="s">
        <v>32</v>
      </c>
      <c r="K673">
        <v>226.1299999999961</v>
      </c>
    </row>
    <row r="674" spans="1:11" hidden="1" x14ac:dyDescent="0.25">
      <c r="A674" s="70">
        <v>672</v>
      </c>
      <c r="B674" t="s">
        <v>1148</v>
      </c>
      <c r="C674" t="s">
        <v>1148</v>
      </c>
      <c r="D674" t="s">
        <v>927</v>
      </c>
      <c r="E674">
        <v>104.17</v>
      </c>
      <c r="F674" t="s">
        <v>12</v>
      </c>
      <c r="G674" t="s">
        <v>13</v>
      </c>
      <c r="H674" t="s">
        <v>911</v>
      </c>
      <c r="I674" t="s">
        <v>15</v>
      </c>
      <c r="J674" t="s">
        <v>16</v>
      </c>
      <c r="K674">
        <v>330.29999999999609</v>
      </c>
    </row>
    <row r="675" spans="1:11" hidden="1" x14ac:dyDescent="0.25">
      <c r="A675" s="70">
        <v>673</v>
      </c>
      <c r="B675" t="s">
        <v>1149</v>
      </c>
      <c r="C675" t="s">
        <v>1149</v>
      </c>
      <c r="D675" t="s">
        <v>928</v>
      </c>
      <c r="E675">
        <v>25.75</v>
      </c>
      <c r="F675" t="s">
        <v>20</v>
      </c>
      <c r="G675" t="s">
        <v>688</v>
      </c>
      <c r="H675" t="s">
        <v>911</v>
      </c>
      <c r="I675" t="s">
        <v>15</v>
      </c>
      <c r="J675" t="s">
        <v>127</v>
      </c>
      <c r="K675">
        <v>356.04999999999609</v>
      </c>
    </row>
    <row r="676" spans="1:11" hidden="1" x14ac:dyDescent="0.25">
      <c r="A676" s="70">
        <v>674</v>
      </c>
      <c r="B676" t="s">
        <v>1150</v>
      </c>
      <c r="C676" t="s">
        <v>1150</v>
      </c>
      <c r="D676" t="s">
        <v>239</v>
      </c>
      <c r="E676">
        <v>22.6</v>
      </c>
      <c r="F676" t="s">
        <v>12</v>
      </c>
      <c r="G676" t="s">
        <v>13</v>
      </c>
      <c r="H676" t="s">
        <v>911</v>
      </c>
      <c r="I676" t="s">
        <v>15</v>
      </c>
      <c r="J676" t="s">
        <v>16</v>
      </c>
      <c r="K676">
        <v>378.64999999999611</v>
      </c>
    </row>
    <row r="677" spans="1:11" hidden="1" x14ac:dyDescent="0.25">
      <c r="A677" s="70">
        <v>675</v>
      </c>
      <c r="B677" t="s">
        <v>1150</v>
      </c>
      <c r="C677" t="s">
        <v>1150</v>
      </c>
      <c r="D677" t="s">
        <v>929</v>
      </c>
      <c r="E677">
        <v>36.119999999999997</v>
      </c>
      <c r="F677" t="s">
        <v>20</v>
      </c>
      <c r="G677" t="s">
        <v>277</v>
      </c>
      <c r="H677" t="s">
        <v>911</v>
      </c>
      <c r="I677" t="s">
        <v>15</v>
      </c>
      <c r="J677" t="s">
        <v>32</v>
      </c>
      <c r="K677">
        <v>414.76999999999612</v>
      </c>
    </row>
    <row r="678" spans="1:11" hidden="1" x14ac:dyDescent="0.25">
      <c r="A678" s="70">
        <v>676</v>
      </c>
      <c r="B678" t="s">
        <v>1151</v>
      </c>
      <c r="C678" t="s">
        <v>1151</v>
      </c>
      <c r="D678" t="s">
        <v>35</v>
      </c>
      <c r="E678">
        <v>18.149999999999999</v>
      </c>
      <c r="F678" t="s">
        <v>12</v>
      </c>
      <c r="G678" t="s">
        <v>13</v>
      </c>
      <c r="H678" t="s">
        <v>911</v>
      </c>
      <c r="I678" t="s">
        <v>15</v>
      </c>
      <c r="J678" t="s">
        <v>16</v>
      </c>
      <c r="K678">
        <v>432.91999999999609</v>
      </c>
    </row>
    <row r="679" spans="1:11" hidden="1" x14ac:dyDescent="0.25">
      <c r="A679" s="70">
        <v>677</v>
      </c>
      <c r="B679" t="s">
        <v>1152</v>
      </c>
      <c r="C679" t="s">
        <v>1152</v>
      </c>
      <c r="D679" t="s">
        <v>310</v>
      </c>
      <c r="E679">
        <v>2.17</v>
      </c>
      <c r="F679" t="s">
        <v>12</v>
      </c>
      <c r="G679" t="s">
        <v>13</v>
      </c>
      <c r="H679" t="s">
        <v>911</v>
      </c>
      <c r="I679" t="s">
        <v>15</v>
      </c>
      <c r="J679" t="s">
        <v>16</v>
      </c>
      <c r="K679">
        <v>435.08999999999611</v>
      </c>
    </row>
    <row r="680" spans="1:11" hidden="1" x14ac:dyDescent="0.25">
      <c r="A680" s="70">
        <v>678</v>
      </c>
      <c r="B680" t="s">
        <v>1152</v>
      </c>
      <c r="C680" t="s">
        <v>1152</v>
      </c>
      <c r="D680" t="s">
        <v>310</v>
      </c>
      <c r="E680">
        <v>16.79</v>
      </c>
      <c r="F680" t="s">
        <v>12</v>
      </c>
      <c r="G680" t="s">
        <v>13</v>
      </c>
      <c r="H680" t="s">
        <v>911</v>
      </c>
      <c r="I680" t="s">
        <v>15</v>
      </c>
      <c r="J680" t="s">
        <v>16</v>
      </c>
      <c r="K680">
        <v>451.87999999999607</v>
      </c>
    </row>
    <row r="681" spans="1:11" hidden="1" x14ac:dyDescent="0.25">
      <c r="A681" s="70">
        <v>679</v>
      </c>
      <c r="B681" t="s">
        <v>1152</v>
      </c>
      <c r="C681" t="s">
        <v>1152</v>
      </c>
      <c r="D681" t="s">
        <v>266</v>
      </c>
      <c r="E681">
        <v>34.79</v>
      </c>
      <c r="F681" t="s">
        <v>20</v>
      </c>
      <c r="G681" t="s">
        <v>34</v>
      </c>
      <c r="H681" t="s">
        <v>911</v>
      </c>
      <c r="I681" t="s">
        <v>15</v>
      </c>
      <c r="J681" t="s">
        <v>32</v>
      </c>
      <c r="K681">
        <v>486.66999999999621</v>
      </c>
    </row>
    <row r="682" spans="1:11" hidden="1" x14ac:dyDescent="0.25">
      <c r="A682" s="70">
        <v>680</v>
      </c>
      <c r="B682" t="s">
        <v>1153</v>
      </c>
      <c r="C682" t="s">
        <v>1153</v>
      </c>
      <c r="D682" t="s">
        <v>478</v>
      </c>
      <c r="E682">
        <v>14.85</v>
      </c>
      <c r="F682" t="s">
        <v>12</v>
      </c>
      <c r="G682" t="s">
        <v>13</v>
      </c>
      <c r="H682" t="s">
        <v>911</v>
      </c>
      <c r="I682" t="s">
        <v>15</v>
      </c>
      <c r="J682" t="s">
        <v>16</v>
      </c>
      <c r="K682">
        <v>501.51999999999617</v>
      </c>
    </row>
    <row r="683" spans="1:11" hidden="1" x14ac:dyDescent="0.25">
      <c r="A683" s="70">
        <v>681</v>
      </c>
      <c r="B683" t="s">
        <v>1154</v>
      </c>
      <c r="C683" t="s">
        <v>1154</v>
      </c>
      <c r="D683" t="s">
        <v>1155</v>
      </c>
      <c r="E683">
        <v>82.34</v>
      </c>
      <c r="F683" t="s">
        <v>12</v>
      </c>
      <c r="G683" t="s">
        <v>18</v>
      </c>
      <c r="H683" t="s">
        <v>911</v>
      </c>
      <c r="I683" t="s">
        <v>15</v>
      </c>
      <c r="J683" t="s">
        <v>16</v>
      </c>
      <c r="K683">
        <v>583.85999999999615</v>
      </c>
    </row>
    <row r="684" spans="1:11" hidden="1" x14ac:dyDescent="0.25">
      <c r="A684" s="70">
        <v>682</v>
      </c>
      <c r="B684" t="s">
        <v>1156</v>
      </c>
      <c r="C684" t="s">
        <v>1156</v>
      </c>
      <c r="D684" t="s">
        <v>1157</v>
      </c>
      <c r="E684">
        <v>3.17</v>
      </c>
      <c r="F684" t="s">
        <v>20</v>
      </c>
      <c r="G684" t="s">
        <v>337</v>
      </c>
      <c r="H684" t="s">
        <v>911</v>
      </c>
      <c r="I684" t="s">
        <v>22</v>
      </c>
      <c r="J684" t="s">
        <v>23</v>
      </c>
      <c r="K684">
        <v>587.02999999999611</v>
      </c>
    </row>
    <row r="685" spans="1:11" hidden="1" x14ac:dyDescent="0.25">
      <c r="A685" s="70">
        <v>683</v>
      </c>
      <c r="B685" t="s">
        <v>1156</v>
      </c>
      <c r="C685" t="s">
        <v>1156</v>
      </c>
      <c r="D685" t="s">
        <v>36</v>
      </c>
      <c r="E685">
        <v>-451.88</v>
      </c>
      <c r="F685" t="s">
        <v>37</v>
      </c>
      <c r="G685" t="s">
        <v>38</v>
      </c>
      <c r="H685" t="s">
        <v>911</v>
      </c>
      <c r="I685" t="s">
        <v>15</v>
      </c>
      <c r="J685" t="s">
        <v>973</v>
      </c>
      <c r="K685">
        <v>135.14999999999611</v>
      </c>
    </row>
    <row r="686" spans="1:11" hidden="1" x14ac:dyDescent="0.25">
      <c r="A686" s="70">
        <v>684</v>
      </c>
      <c r="B686" t="s">
        <v>1156</v>
      </c>
      <c r="C686" t="s">
        <v>1156</v>
      </c>
      <c r="D686" t="s">
        <v>1158</v>
      </c>
      <c r="E686">
        <v>35.520000000000003</v>
      </c>
      <c r="F686" t="s">
        <v>12</v>
      </c>
      <c r="G686" t="s">
        <v>18</v>
      </c>
      <c r="H686" t="s">
        <v>911</v>
      </c>
      <c r="I686" t="s">
        <v>15</v>
      </c>
      <c r="J686" t="s">
        <v>16</v>
      </c>
      <c r="K686">
        <v>170.66999999999609</v>
      </c>
    </row>
    <row r="687" spans="1:11" hidden="1" x14ac:dyDescent="0.25">
      <c r="A687" s="70">
        <v>685</v>
      </c>
      <c r="B687" t="s">
        <v>1159</v>
      </c>
      <c r="C687" t="s">
        <v>1159</v>
      </c>
      <c r="D687" t="s">
        <v>454</v>
      </c>
      <c r="E687">
        <v>139.99</v>
      </c>
      <c r="F687" t="s">
        <v>455</v>
      </c>
      <c r="G687" t="s">
        <v>456</v>
      </c>
      <c r="H687" t="s">
        <v>911</v>
      </c>
      <c r="I687" t="s">
        <v>15</v>
      </c>
      <c r="J687" t="s">
        <v>245</v>
      </c>
      <c r="K687">
        <v>310.6599999999961</v>
      </c>
    </row>
    <row r="688" spans="1:11" hidden="1" x14ac:dyDescent="0.25">
      <c r="A688" s="70">
        <v>686</v>
      </c>
      <c r="B688" t="s">
        <v>1159</v>
      </c>
      <c r="C688" t="s">
        <v>1159</v>
      </c>
      <c r="D688" t="s">
        <v>931</v>
      </c>
      <c r="E688">
        <v>53.26</v>
      </c>
      <c r="F688" t="s">
        <v>53</v>
      </c>
      <c r="G688" t="s">
        <v>72</v>
      </c>
      <c r="H688" t="s">
        <v>911</v>
      </c>
      <c r="I688" t="s">
        <v>15</v>
      </c>
      <c r="J688" t="s">
        <v>32</v>
      </c>
      <c r="K688">
        <v>363.91999999999609</v>
      </c>
    </row>
    <row r="689" spans="1:11" hidden="1" x14ac:dyDescent="0.25">
      <c r="A689" s="70">
        <v>687</v>
      </c>
      <c r="B689" t="s">
        <v>1159</v>
      </c>
      <c r="C689" t="s">
        <v>1159</v>
      </c>
      <c r="D689" t="s">
        <v>1160</v>
      </c>
      <c r="E689">
        <v>21.29</v>
      </c>
      <c r="F689" t="s">
        <v>20</v>
      </c>
      <c r="G689" t="s">
        <v>1161</v>
      </c>
      <c r="H689" t="s">
        <v>911</v>
      </c>
      <c r="I689" t="s">
        <v>15</v>
      </c>
      <c r="J689" t="s">
        <v>32</v>
      </c>
      <c r="K689">
        <v>385.20999999999611</v>
      </c>
    </row>
    <row r="690" spans="1:11" hidden="1" x14ac:dyDescent="0.25">
      <c r="A690" s="70">
        <v>688</v>
      </c>
      <c r="B690" t="s">
        <v>1159</v>
      </c>
      <c r="C690" t="s">
        <v>1159</v>
      </c>
      <c r="D690" t="s">
        <v>1162</v>
      </c>
      <c r="E690">
        <v>18.43</v>
      </c>
      <c r="F690" t="s">
        <v>12</v>
      </c>
      <c r="G690" t="s">
        <v>13</v>
      </c>
      <c r="H690" t="s">
        <v>911</v>
      </c>
      <c r="I690" t="s">
        <v>15</v>
      </c>
      <c r="J690" t="s">
        <v>16</v>
      </c>
      <c r="K690">
        <v>403.63999999999612</v>
      </c>
    </row>
    <row r="691" spans="1:11" hidden="1" x14ac:dyDescent="0.25">
      <c r="A691" s="70">
        <v>689</v>
      </c>
      <c r="B691" t="s">
        <v>1163</v>
      </c>
      <c r="C691" t="s">
        <v>1163</v>
      </c>
      <c r="D691" t="s">
        <v>1164</v>
      </c>
      <c r="E691">
        <v>18.43</v>
      </c>
      <c r="F691" t="s">
        <v>12</v>
      </c>
      <c r="G691" t="s">
        <v>13</v>
      </c>
      <c r="H691" t="s">
        <v>911</v>
      </c>
      <c r="I691" t="s">
        <v>15</v>
      </c>
      <c r="J691" t="s">
        <v>16</v>
      </c>
      <c r="K691">
        <v>422.06999999999613</v>
      </c>
    </row>
    <row r="692" spans="1:11" hidden="1" x14ac:dyDescent="0.25">
      <c r="A692" s="70">
        <v>690</v>
      </c>
      <c r="B692" t="s">
        <v>1163</v>
      </c>
      <c r="C692" t="s">
        <v>1163</v>
      </c>
      <c r="D692" t="s">
        <v>1165</v>
      </c>
      <c r="E692">
        <v>34.57</v>
      </c>
      <c r="F692" t="s">
        <v>12</v>
      </c>
      <c r="G692" t="s">
        <v>13</v>
      </c>
      <c r="H692" t="s">
        <v>911</v>
      </c>
      <c r="I692" t="s">
        <v>15</v>
      </c>
      <c r="J692" t="s">
        <v>16</v>
      </c>
      <c r="K692">
        <v>456.63999999999612</v>
      </c>
    </row>
    <row r="693" spans="1:11" hidden="1" x14ac:dyDescent="0.25">
      <c r="A693" s="70">
        <v>691</v>
      </c>
      <c r="B693" t="s">
        <v>1163</v>
      </c>
      <c r="C693" t="s">
        <v>1163</v>
      </c>
      <c r="D693" t="s">
        <v>266</v>
      </c>
      <c r="E693">
        <v>84.21</v>
      </c>
      <c r="F693" t="s">
        <v>20</v>
      </c>
      <c r="G693" t="s">
        <v>34</v>
      </c>
      <c r="H693" t="s">
        <v>911</v>
      </c>
      <c r="I693" t="s">
        <v>15</v>
      </c>
      <c r="J693" t="s">
        <v>32</v>
      </c>
      <c r="K693">
        <v>540.84999999999616</v>
      </c>
    </row>
    <row r="694" spans="1:11" hidden="1" x14ac:dyDescent="0.25">
      <c r="A694" s="70">
        <v>692</v>
      </c>
      <c r="B694" t="s">
        <v>1166</v>
      </c>
      <c r="C694" t="s">
        <v>1167</v>
      </c>
      <c r="D694" t="s">
        <v>379</v>
      </c>
      <c r="E694">
        <v>17</v>
      </c>
      <c r="F694" t="s">
        <v>20</v>
      </c>
      <c r="G694" t="s">
        <v>80</v>
      </c>
      <c r="H694" t="s">
        <v>911</v>
      </c>
      <c r="I694" t="s">
        <v>15</v>
      </c>
      <c r="J694" t="s">
        <v>23</v>
      </c>
      <c r="K694">
        <v>557.84999999999616</v>
      </c>
    </row>
    <row r="695" spans="1:11" hidden="1" x14ac:dyDescent="0.25">
      <c r="A695" s="70">
        <v>693</v>
      </c>
      <c r="B695" t="s">
        <v>1168</v>
      </c>
      <c r="C695" t="s">
        <v>1168</v>
      </c>
      <c r="D695" t="s">
        <v>1169</v>
      </c>
      <c r="E695">
        <v>10</v>
      </c>
      <c r="F695" t="s">
        <v>20</v>
      </c>
      <c r="G695" t="s">
        <v>94</v>
      </c>
      <c r="H695" t="s">
        <v>1170</v>
      </c>
      <c r="I695" t="s">
        <v>15</v>
      </c>
      <c r="J695" t="s">
        <v>32</v>
      </c>
      <c r="K695">
        <v>567.84999999999616</v>
      </c>
    </row>
    <row r="696" spans="1:11" hidden="1" x14ac:dyDescent="0.25">
      <c r="A696" s="70">
        <v>694</v>
      </c>
      <c r="B696" t="s">
        <v>1168</v>
      </c>
      <c r="C696" t="s">
        <v>1167</v>
      </c>
      <c r="D696" t="s">
        <v>19</v>
      </c>
      <c r="E696">
        <v>10.59</v>
      </c>
      <c r="F696" t="s">
        <v>20</v>
      </c>
      <c r="G696" t="s">
        <v>21</v>
      </c>
      <c r="H696" t="s">
        <v>1170</v>
      </c>
      <c r="I696" t="s">
        <v>22</v>
      </c>
      <c r="J696" t="s">
        <v>23</v>
      </c>
      <c r="K696">
        <v>578.43999999999619</v>
      </c>
    </row>
    <row r="697" spans="1:11" hidden="1" x14ac:dyDescent="0.25">
      <c r="A697" s="70">
        <v>695</v>
      </c>
      <c r="B697" t="s">
        <v>1168</v>
      </c>
      <c r="C697" t="s">
        <v>1167</v>
      </c>
      <c r="D697" t="s">
        <v>408</v>
      </c>
      <c r="E697">
        <v>25</v>
      </c>
      <c r="F697" t="s">
        <v>56</v>
      </c>
      <c r="G697" t="s">
        <v>409</v>
      </c>
      <c r="H697" t="s">
        <v>1170</v>
      </c>
      <c r="I697" t="s">
        <v>22</v>
      </c>
      <c r="J697" t="s">
        <v>32</v>
      </c>
      <c r="K697">
        <v>603.43999999999619</v>
      </c>
    </row>
    <row r="698" spans="1:11" x14ac:dyDescent="0.25">
      <c r="A698" s="70">
        <v>696</v>
      </c>
      <c r="B698" t="s">
        <v>1168</v>
      </c>
      <c r="C698" t="s">
        <v>1167</v>
      </c>
      <c r="D698" t="s">
        <v>1171</v>
      </c>
      <c r="E698">
        <v>9.99</v>
      </c>
      <c r="F698" t="s">
        <v>20</v>
      </c>
      <c r="G698" t="s">
        <v>25</v>
      </c>
      <c r="H698" t="s">
        <v>1170</v>
      </c>
      <c r="I698" t="s">
        <v>22</v>
      </c>
      <c r="J698" t="s">
        <v>23</v>
      </c>
      <c r="K698">
        <v>613.4299999999962</v>
      </c>
    </row>
    <row r="699" spans="1:11" hidden="1" x14ac:dyDescent="0.25">
      <c r="A699" s="70">
        <v>697</v>
      </c>
      <c r="B699" t="s">
        <v>1172</v>
      </c>
      <c r="C699" t="s">
        <v>1167</v>
      </c>
      <c r="D699" t="s">
        <v>1173</v>
      </c>
      <c r="E699">
        <v>568.73</v>
      </c>
      <c r="F699" t="s">
        <v>30</v>
      </c>
      <c r="G699" t="s">
        <v>916</v>
      </c>
      <c r="H699" t="s">
        <v>1170</v>
      </c>
      <c r="I699" t="s">
        <v>15</v>
      </c>
      <c r="J699" t="s">
        <v>60</v>
      </c>
      <c r="K699">
        <v>1182.159999999996</v>
      </c>
    </row>
    <row r="700" spans="1:11" hidden="1" x14ac:dyDescent="0.25">
      <c r="A700" s="70">
        <v>698</v>
      </c>
      <c r="B700" t="s">
        <v>1172</v>
      </c>
      <c r="C700" t="s">
        <v>1167</v>
      </c>
      <c r="D700" t="s">
        <v>341</v>
      </c>
      <c r="E700">
        <v>7.95</v>
      </c>
      <c r="F700" t="s">
        <v>20</v>
      </c>
      <c r="G700" t="s">
        <v>72</v>
      </c>
      <c r="H700" t="s">
        <v>1170</v>
      </c>
      <c r="I700" t="s">
        <v>15</v>
      </c>
      <c r="J700" t="s">
        <v>32</v>
      </c>
      <c r="K700">
        <v>1190.109999999996</v>
      </c>
    </row>
    <row r="701" spans="1:11" hidden="1" x14ac:dyDescent="0.25">
      <c r="A701" s="70">
        <v>699</v>
      </c>
      <c r="B701" t="s">
        <v>1172</v>
      </c>
      <c r="C701" t="s">
        <v>1167</v>
      </c>
      <c r="D701" t="s">
        <v>77</v>
      </c>
      <c r="E701">
        <v>10</v>
      </c>
      <c r="F701" t="s">
        <v>20</v>
      </c>
      <c r="G701" t="s">
        <v>78</v>
      </c>
      <c r="H701" t="s">
        <v>1170</v>
      </c>
      <c r="I701" t="s">
        <v>22</v>
      </c>
      <c r="J701" t="s">
        <v>23</v>
      </c>
      <c r="K701">
        <v>1200.109999999996</v>
      </c>
    </row>
    <row r="702" spans="1:11" hidden="1" x14ac:dyDescent="0.25">
      <c r="A702" s="70">
        <v>700</v>
      </c>
      <c r="B702" t="s">
        <v>1172</v>
      </c>
      <c r="C702" t="s">
        <v>1167</v>
      </c>
      <c r="D702" t="s">
        <v>1173</v>
      </c>
      <c r="E702">
        <v>322.52</v>
      </c>
      <c r="F702" t="s">
        <v>30</v>
      </c>
      <c r="G702" t="s">
        <v>916</v>
      </c>
      <c r="H702" t="s">
        <v>1170</v>
      </c>
      <c r="I702" t="s">
        <v>15</v>
      </c>
      <c r="J702" t="s">
        <v>60</v>
      </c>
      <c r="K702">
        <v>1522.629999999996</v>
      </c>
    </row>
    <row r="703" spans="1:11" hidden="1" x14ac:dyDescent="0.25">
      <c r="A703" s="70">
        <v>701</v>
      </c>
      <c r="B703" t="s">
        <v>1172</v>
      </c>
      <c r="C703" t="s">
        <v>1167</v>
      </c>
      <c r="D703" t="s">
        <v>1174</v>
      </c>
      <c r="E703">
        <v>14.86</v>
      </c>
      <c r="F703" t="s">
        <v>40</v>
      </c>
      <c r="G703" t="s">
        <v>41</v>
      </c>
      <c r="H703" t="s">
        <v>1170</v>
      </c>
      <c r="I703" t="s">
        <v>15</v>
      </c>
      <c r="J703" t="s">
        <v>42</v>
      </c>
      <c r="K703">
        <v>1537.4899999999959</v>
      </c>
    </row>
    <row r="704" spans="1:11" hidden="1" x14ac:dyDescent="0.25">
      <c r="A704" s="70">
        <v>702</v>
      </c>
      <c r="B704" t="s">
        <v>1172</v>
      </c>
      <c r="C704" t="s">
        <v>1167</v>
      </c>
      <c r="D704" t="s">
        <v>1175</v>
      </c>
      <c r="E704">
        <v>114.84</v>
      </c>
      <c r="F704" t="s">
        <v>40</v>
      </c>
      <c r="G704" t="s">
        <v>41</v>
      </c>
      <c r="H704" t="s">
        <v>1170</v>
      </c>
      <c r="I704" t="s">
        <v>15</v>
      </c>
      <c r="J704" t="s">
        <v>42</v>
      </c>
      <c r="K704">
        <v>1652.3299999999961</v>
      </c>
    </row>
    <row r="705" spans="1:11" hidden="1" x14ac:dyDescent="0.25">
      <c r="A705" s="70">
        <v>703</v>
      </c>
      <c r="B705" t="s">
        <v>1172</v>
      </c>
      <c r="C705" t="s">
        <v>1167</v>
      </c>
      <c r="D705" t="s">
        <v>1174</v>
      </c>
      <c r="E705">
        <v>64.8</v>
      </c>
      <c r="F705" t="s">
        <v>40</v>
      </c>
      <c r="G705" t="s">
        <v>41</v>
      </c>
      <c r="H705" t="s">
        <v>1170</v>
      </c>
      <c r="I705" t="s">
        <v>15</v>
      </c>
      <c r="J705" t="s">
        <v>42</v>
      </c>
      <c r="K705">
        <v>1717.129999999996</v>
      </c>
    </row>
    <row r="706" spans="1:11" hidden="1" x14ac:dyDescent="0.25">
      <c r="A706" s="70">
        <v>704</v>
      </c>
      <c r="B706" t="s">
        <v>1167</v>
      </c>
      <c r="C706" t="s">
        <v>1167</v>
      </c>
      <c r="D706" t="s">
        <v>1176</v>
      </c>
      <c r="E706">
        <v>46.99</v>
      </c>
      <c r="F706" t="s">
        <v>12</v>
      </c>
      <c r="G706" t="s">
        <v>13</v>
      </c>
      <c r="H706" t="s">
        <v>1170</v>
      </c>
      <c r="I706" t="s">
        <v>15</v>
      </c>
      <c r="J706" t="s">
        <v>16</v>
      </c>
      <c r="K706">
        <v>1764.119999999996</v>
      </c>
    </row>
    <row r="707" spans="1:11" hidden="1" x14ac:dyDescent="0.25">
      <c r="A707" s="70">
        <v>705</v>
      </c>
      <c r="B707" t="s">
        <v>1167</v>
      </c>
      <c r="C707" t="s">
        <v>1167</v>
      </c>
      <c r="D707" t="s">
        <v>1177</v>
      </c>
      <c r="E707">
        <v>7.5</v>
      </c>
      <c r="F707" t="s">
        <v>12</v>
      </c>
      <c r="G707" t="s">
        <v>18</v>
      </c>
      <c r="H707" t="s">
        <v>1170</v>
      </c>
      <c r="I707" t="s">
        <v>15</v>
      </c>
      <c r="J707" t="s">
        <v>16</v>
      </c>
      <c r="K707">
        <v>1771.619999999996</v>
      </c>
    </row>
    <row r="708" spans="1:11" hidden="1" x14ac:dyDescent="0.25">
      <c r="A708" s="70">
        <v>706</v>
      </c>
      <c r="B708" t="s">
        <v>1167</v>
      </c>
      <c r="C708" t="s">
        <v>1167</v>
      </c>
      <c r="D708" t="s">
        <v>108</v>
      </c>
      <c r="E708">
        <v>80.08</v>
      </c>
      <c r="F708" t="s">
        <v>20</v>
      </c>
      <c r="G708" t="s">
        <v>109</v>
      </c>
      <c r="H708" t="s">
        <v>1170</v>
      </c>
      <c r="I708" t="s">
        <v>22</v>
      </c>
      <c r="J708" t="s">
        <v>110</v>
      </c>
      <c r="K708">
        <v>1851.699999999996</v>
      </c>
    </row>
    <row r="709" spans="1:11" hidden="1" x14ac:dyDescent="0.25">
      <c r="A709" s="70">
        <v>707</v>
      </c>
      <c r="B709" t="s">
        <v>1167</v>
      </c>
      <c r="C709" t="s">
        <v>1167</v>
      </c>
      <c r="D709" t="s">
        <v>1178</v>
      </c>
      <c r="E709">
        <v>141.28</v>
      </c>
      <c r="F709" t="s">
        <v>56</v>
      </c>
      <c r="G709" t="s">
        <v>916</v>
      </c>
      <c r="H709" t="s">
        <v>1170</v>
      </c>
      <c r="I709" t="s">
        <v>15</v>
      </c>
      <c r="J709" t="s">
        <v>60</v>
      </c>
      <c r="K709">
        <v>1992.9799999999959</v>
      </c>
    </row>
    <row r="710" spans="1:11" hidden="1" x14ac:dyDescent="0.25">
      <c r="A710" s="70">
        <v>708</v>
      </c>
      <c r="B710" t="s">
        <v>1179</v>
      </c>
      <c r="C710" t="s">
        <v>1179</v>
      </c>
      <c r="D710" t="s">
        <v>1180</v>
      </c>
      <c r="E710">
        <v>13.52</v>
      </c>
      <c r="F710" t="s">
        <v>106</v>
      </c>
      <c r="G710" t="s">
        <v>107</v>
      </c>
      <c r="H710" t="s">
        <v>1170</v>
      </c>
      <c r="I710" t="s">
        <v>15</v>
      </c>
      <c r="J710" t="s">
        <v>66</v>
      </c>
      <c r="K710">
        <v>2006.4999999999959</v>
      </c>
    </row>
    <row r="711" spans="1:11" hidden="1" x14ac:dyDescent="0.25">
      <c r="A711" s="70">
        <v>709</v>
      </c>
      <c r="B711" t="s">
        <v>1179</v>
      </c>
      <c r="C711" t="s">
        <v>1179</v>
      </c>
      <c r="D711" t="s">
        <v>1181</v>
      </c>
      <c r="E711">
        <v>53.8</v>
      </c>
      <c r="F711" t="s">
        <v>40</v>
      </c>
      <c r="G711" t="s">
        <v>41</v>
      </c>
      <c r="H711" t="s">
        <v>1170</v>
      </c>
      <c r="I711" t="s">
        <v>15</v>
      </c>
      <c r="J711" t="s">
        <v>42</v>
      </c>
      <c r="K711">
        <v>2060.2999999999961</v>
      </c>
    </row>
    <row r="712" spans="1:11" hidden="1" x14ac:dyDescent="0.25">
      <c r="A712" s="70">
        <v>710</v>
      </c>
      <c r="B712" t="s">
        <v>1179</v>
      </c>
      <c r="C712" t="s">
        <v>1179</v>
      </c>
      <c r="D712" t="s">
        <v>1182</v>
      </c>
      <c r="E712">
        <v>193.51</v>
      </c>
      <c r="F712" t="s">
        <v>56</v>
      </c>
      <c r="G712" t="s">
        <v>1183</v>
      </c>
      <c r="H712" t="s">
        <v>1170</v>
      </c>
      <c r="I712" t="s">
        <v>15</v>
      </c>
      <c r="J712" t="s">
        <v>66</v>
      </c>
      <c r="K712">
        <v>2253.8099999999959</v>
      </c>
    </row>
    <row r="713" spans="1:11" hidden="1" x14ac:dyDescent="0.25">
      <c r="A713" s="70">
        <v>711</v>
      </c>
      <c r="B713" t="s">
        <v>1179</v>
      </c>
      <c r="C713" t="s">
        <v>1179</v>
      </c>
      <c r="D713" t="s">
        <v>1184</v>
      </c>
      <c r="E713">
        <v>25.4</v>
      </c>
      <c r="F713" t="s">
        <v>53</v>
      </c>
      <c r="G713" t="s">
        <v>54</v>
      </c>
      <c r="H713" t="s">
        <v>1170</v>
      </c>
      <c r="I713" t="s">
        <v>15</v>
      </c>
      <c r="J713" t="s">
        <v>16</v>
      </c>
      <c r="K713">
        <v>2279.2099999999959</v>
      </c>
    </row>
    <row r="714" spans="1:11" hidden="1" x14ac:dyDescent="0.25">
      <c r="A714" s="70">
        <v>712</v>
      </c>
      <c r="B714" t="s">
        <v>1179</v>
      </c>
      <c r="C714" t="s">
        <v>1179</v>
      </c>
      <c r="D714" t="s">
        <v>1185</v>
      </c>
      <c r="E714">
        <v>36.020000000000003</v>
      </c>
      <c r="F714" t="s">
        <v>12</v>
      </c>
      <c r="G714" t="s">
        <v>18</v>
      </c>
      <c r="H714" t="s">
        <v>1170</v>
      </c>
      <c r="I714" t="s">
        <v>15</v>
      </c>
      <c r="J714" t="s">
        <v>16</v>
      </c>
      <c r="K714">
        <v>2315.2299999999959</v>
      </c>
    </row>
    <row r="715" spans="1:11" hidden="1" x14ac:dyDescent="0.25">
      <c r="A715" s="70">
        <v>713</v>
      </c>
      <c r="B715" t="s">
        <v>1179</v>
      </c>
      <c r="C715" t="s">
        <v>1179</v>
      </c>
      <c r="D715" t="s">
        <v>1185</v>
      </c>
      <c r="E715">
        <v>44.94</v>
      </c>
      <c r="F715" t="s">
        <v>12</v>
      </c>
      <c r="G715" t="s">
        <v>18</v>
      </c>
      <c r="H715" t="s">
        <v>1170</v>
      </c>
      <c r="I715" t="s">
        <v>15</v>
      </c>
      <c r="J715" t="s">
        <v>16</v>
      </c>
      <c r="K715">
        <v>2360.169999999996</v>
      </c>
    </row>
    <row r="716" spans="1:11" hidden="1" x14ac:dyDescent="0.25">
      <c r="A716" s="70">
        <v>714</v>
      </c>
      <c r="B716" t="s">
        <v>1179</v>
      </c>
      <c r="C716" t="s">
        <v>1179</v>
      </c>
      <c r="D716" t="s">
        <v>1186</v>
      </c>
      <c r="E716">
        <v>48.53</v>
      </c>
      <c r="F716" t="s">
        <v>12</v>
      </c>
      <c r="G716" t="s">
        <v>18</v>
      </c>
      <c r="H716" t="s">
        <v>1170</v>
      </c>
      <c r="I716" t="s">
        <v>15</v>
      </c>
      <c r="J716" t="s">
        <v>16</v>
      </c>
      <c r="K716">
        <v>2408.6999999999962</v>
      </c>
    </row>
    <row r="717" spans="1:11" hidden="1" x14ac:dyDescent="0.25">
      <c r="A717" s="70">
        <v>715</v>
      </c>
      <c r="B717" t="s">
        <v>1187</v>
      </c>
      <c r="C717" t="s">
        <v>1187</v>
      </c>
      <c r="D717" t="s">
        <v>1188</v>
      </c>
      <c r="E717">
        <v>1.1000000000000001</v>
      </c>
      <c r="F717" t="s">
        <v>158</v>
      </c>
      <c r="G717" t="s">
        <v>916</v>
      </c>
      <c r="H717" t="s">
        <v>1170</v>
      </c>
      <c r="I717" t="s">
        <v>15</v>
      </c>
      <c r="J717" t="s">
        <v>60</v>
      </c>
      <c r="K717">
        <v>2409.7999999999961</v>
      </c>
    </row>
    <row r="718" spans="1:11" hidden="1" x14ac:dyDescent="0.25">
      <c r="A718" s="70">
        <v>716</v>
      </c>
      <c r="B718" t="s">
        <v>1187</v>
      </c>
      <c r="C718" t="s">
        <v>1187</v>
      </c>
      <c r="D718" t="s">
        <v>396</v>
      </c>
      <c r="E718">
        <v>22.01</v>
      </c>
      <c r="F718" t="s">
        <v>30</v>
      </c>
      <c r="G718" t="s">
        <v>76</v>
      </c>
      <c r="H718" t="s">
        <v>1170</v>
      </c>
      <c r="I718" t="s">
        <v>15</v>
      </c>
      <c r="J718" t="s">
        <v>42</v>
      </c>
      <c r="K718">
        <v>2431.8099999999959</v>
      </c>
    </row>
    <row r="719" spans="1:11" hidden="1" x14ac:dyDescent="0.25">
      <c r="A719" s="70">
        <v>717</v>
      </c>
      <c r="B719" t="s">
        <v>1187</v>
      </c>
      <c r="C719" t="s">
        <v>1187</v>
      </c>
      <c r="D719" t="s">
        <v>1189</v>
      </c>
      <c r="E719">
        <v>83.92</v>
      </c>
      <c r="F719" t="s">
        <v>40</v>
      </c>
      <c r="G719" t="s">
        <v>41</v>
      </c>
      <c r="H719" t="s">
        <v>1170</v>
      </c>
      <c r="I719" t="s">
        <v>15</v>
      </c>
      <c r="J719" t="s">
        <v>42</v>
      </c>
      <c r="K719">
        <v>2515.7299999999959</v>
      </c>
    </row>
    <row r="720" spans="1:11" hidden="1" x14ac:dyDescent="0.25">
      <c r="A720" s="70">
        <v>718</v>
      </c>
      <c r="B720" t="s">
        <v>1187</v>
      </c>
      <c r="C720" t="s">
        <v>1187</v>
      </c>
      <c r="D720" t="s">
        <v>1190</v>
      </c>
      <c r="E720">
        <v>31.85</v>
      </c>
      <c r="F720" t="s">
        <v>12</v>
      </c>
      <c r="G720" t="s">
        <v>18</v>
      </c>
      <c r="H720" t="s">
        <v>1170</v>
      </c>
      <c r="I720" t="s">
        <v>15</v>
      </c>
      <c r="J720" t="s">
        <v>16</v>
      </c>
      <c r="K720">
        <v>2547.5799999999958</v>
      </c>
    </row>
    <row r="721" spans="1:11" hidden="1" x14ac:dyDescent="0.25">
      <c r="A721" s="70">
        <v>719</v>
      </c>
      <c r="B721" t="s">
        <v>1191</v>
      </c>
      <c r="C721" t="s">
        <v>1191</v>
      </c>
      <c r="D721" t="s">
        <v>326</v>
      </c>
      <c r="E721">
        <v>8.1999999999999993</v>
      </c>
      <c r="F721" t="s">
        <v>12</v>
      </c>
      <c r="G721" t="s">
        <v>185</v>
      </c>
      <c r="H721" t="s">
        <v>1170</v>
      </c>
      <c r="I721" t="s">
        <v>15</v>
      </c>
      <c r="J721" t="s">
        <v>16</v>
      </c>
      <c r="K721">
        <v>2555.7799999999961</v>
      </c>
    </row>
    <row r="722" spans="1:11" hidden="1" x14ac:dyDescent="0.25">
      <c r="A722" s="70">
        <v>720</v>
      </c>
      <c r="B722" t="s">
        <v>1191</v>
      </c>
      <c r="C722" t="s">
        <v>1191</v>
      </c>
      <c r="D722" t="s">
        <v>1192</v>
      </c>
      <c r="E722">
        <v>43.43</v>
      </c>
      <c r="F722" t="s">
        <v>20</v>
      </c>
      <c r="G722" t="s">
        <v>362</v>
      </c>
      <c r="H722" t="s">
        <v>1170</v>
      </c>
      <c r="I722" t="s">
        <v>15</v>
      </c>
      <c r="J722" t="s">
        <v>23</v>
      </c>
      <c r="K722">
        <v>2599.2099999999959</v>
      </c>
    </row>
    <row r="723" spans="1:11" hidden="1" x14ac:dyDescent="0.25">
      <c r="A723" s="70">
        <v>721</v>
      </c>
      <c r="B723" t="s">
        <v>1191</v>
      </c>
      <c r="C723" t="s">
        <v>1191</v>
      </c>
      <c r="D723" t="s">
        <v>1178</v>
      </c>
      <c r="E723">
        <v>85.56</v>
      </c>
      <c r="F723" t="s">
        <v>56</v>
      </c>
      <c r="G723" t="s">
        <v>916</v>
      </c>
      <c r="H723" t="s">
        <v>1170</v>
      </c>
      <c r="I723" t="s">
        <v>15</v>
      </c>
      <c r="J723" t="s">
        <v>60</v>
      </c>
      <c r="K723">
        <v>2684.7699999999959</v>
      </c>
    </row>
    <row r="724" spans="1:11" hidden="1" x14ac:dyDescent="0.25">
      <c r="A724" s="70">
        <v>722</v>
      </c>
      <c r="B724" t="s">
        <v>1191</v>
      </c>
      <c r="C724" t="s">
        <v>1191</v>
      </c>
      <c r="D724" t="s">
        <v>255</v>
      </c>
      <c r="E724">
        <v>21.97</v>
      </c>
      <c r="F724" t="s">
        <v>30</v>
      </c>
      <c r="G724" t="s">
        <v>76</v>
      </c>
      <c r="H724" t="s">
        <v>1170</v>
      </c>
      <c r="I724" t="s">
        <v>15</v>
      </c>
      <c r="J724" t="s">
        <v>42</v>
      </c>
      <c r="K724">
        <v>2706.7399999999961</v>
      </c>
    </row>
    <row r="725" spans="1:11" hidden="1" x14ac:dyDescent="0.25">
      <c r="A725" s="70">
        <v>723</v>
      </c>
      <c r="B725" t="s">
        <v>1193</v>
      </c>
      <c r="C725" t="s">
        <v>1193</v>
      </c>
      <c r="D725" t="s">
        <v>36</v>
      </c>
      <c r="E725">
        <v>-2485.63</v>
      </c>
      <c r="F725" t="s">
        <v>37</v>
      </c>
      <c r="G725" t="s">
        <v>38</v>
      </c>
      <c r="H725" t="s">
        <v>1170</v>
      </c>
      <c r="I725" t="s">
        <v>15</v>
      </c>
      <c r="J725" t="s">
        <v>973</v>
      </c>
      <c r="K725">
        <v>221.10999999999561</v>
      </c>
    </row>
    <row r="726" spans="1:11" hidden="1" x14ac:dyDescent="0.25">
      <c r="A726" s="70">
        <v>724</v>
      </c>
      <c r="B726" t="s">
        <v>1193</v>
      </c>
      <c r="C726" t="s">
        <v>1193</v>
      </c>
      <c r="D726" t="s">
        <v>1194</v>
      </c>
      <c r="E726">
        <v>16.170000000000002</v>
      </c>
      <c r="F726" t="s">
        <v>12</v>
      </c>
      <c r="G726" t="s">
        <v>13</v>
      </c>
      <c r="H726" t="s">
        <v>1170</v>
      </c>
      <c r="I726" t="s">
        <v>15</v>
      </c>
      <c r="J726" t="s">
        <v>16</v>
      </c>
      <c r="K726">
        <v>237.2799999999956</v>
      </c>
    </row>
    <row r="727" spans="1:11" hidden="1" x14ac:dyDescent="0.25">
      <c r="A727" s="70">
        <v>725</v>
      </c>
      <c r="B727" t="s">
        <v>1195</v>
      </c>
      <c r="C727" t="s">
        <v>1195</v>
      </c>
      <c r="D727" t="s">
        <v>1196</v>
      </c>
      <c r="E727">
        <v>11.72</v>
      </c>
      <c r="F727" t="s">
        <v>12</v>
      </c>
      <c r="G727" t="s">
        <v>13</v>
      </c>
      <c r="H727" t="s">
        <v>1170</v>
      </c>
      <c r="I727" t="s">
        <v>15</v>
      </c>
      <c r="J727" t="s">
        <v>16</v>
      </c>
      <c r="K727">
        <v>248.99999999999559</v>
      </c>
    </row>
    <row r="728" spans="1:11" hidden="1" x14ac:dyDescent="0.25">
      <c r="A728" s="70">
        <v>726</v>
      </c>
      <c r="B728" t="s">
        <v>1195</v>
      </c>
      <c r="C728" t="s">
        <v>1195</v>
      </c>
      <c r="D728" t="s">
        <v>1197</v>
      </c>
      <c r="E728">
        <v>62.16</v>
      </c>
      <c r="F728" t="s">
        <v>53</v>
      </c>
      <c r="G728" t="s">
        <v>54</v>
      </c>
      <c r="H728" t="s">
        <v>1170</v>
      </c>
      <c r="I728" t="s">
        <v>15</v>
      </c>
      <c r="J728" t="s">
        <v>16</v>
      </c>
      <c r="K728">
        <v>311.15999999999559</v>
      </c>
    </row>
    <row r="729" spans="1:11" hidden="1" x14ac:dyDescent="0.25">
      <c r="A729" s="70">
        <v>727</v>
      </c>
      <c r="B729" t="s">
        <v>1198</v>
      </c>
      <c r="C729" t="s">
        <v>1198</v>
      </c>
      <c r="D729" t="s">
        <v>1199</v>
      </c>
      <c r="E729">
        <v>75.2</v>
      </c>
      <c r="F729" t="s">
        <v>12</v>
      </c>
      <c r="G729" t="s">
        <v>18</v>
      </c>
      <c r="H729" t="s">
        <v>1170</v>
      </c>
      <c r="I729" t="s">
        <v>15</v>
      </c>
      <c r="J729" t="s">
        <v>16</v>
      </c>
      <c r="K729">
        <v>386.35999999999558</v>
      </c>
    </row>
    <row r="730" spans="1:11" hidden="1" x14ac:dyDescent="0.25">
      <c r="A730" s="70">
        <v>728</v>
      </c>
      <c r="B730" t="s">
        <v>1198</v>
      </c>
      <c r="C730" t="s">
        <v>1198</v>
      </c>
      <c r="D730" t="s">
        <v>1200</v>
      </c>
      <c r="E730">
        <v>64.989999999999995</v>
      </c>
      <c r="F730" t="s">
        <v>56</v>
      </c>
      <c r="G730" t="s">
        <v>130</v>
      </c>
      <c r="H730" t="s">
        <v>1170</v>
      </c>
      <c r="I730" t="s">
        <v>22</v>
      </c>
      <c r="J730" t="s">
        <v>23</v>
      </c>
      <c r="K730">
        <v>451.34999999999559</v>
      </c>
    </row>
    <row r="731" spans="1:11" hidden="1" x14ac:dyDescent="0.25">
      <c r="A731" s="70">
        <v>729</v>
      </c>
      <c r="B731" t="s">
        <v>1201</v>
      </c>
      <c r="C731" t="s">
        <v>1201</v>
      </c>
      <c r="D731" t="s">
        <v>1202</v>
      </c>
      <c r="E731">
        <v>12.17</v>
      </c>
      <c r="F731" t="s">
        <v>12</v>
      </c>
      <c r="G731" t="s">
        <v>13</v>
      </c>
      <c r="H731" t="s">
        <v>1170</v>
      </c>
      <c r="I731" t="s">
        <v>15</v>
      </c>
      <c r="J731" t="s">
        <v>16</v>
      </c>
      <c r="K731">
        <v>463.5199999999956</v>
      </c>
    </row>
    <row r="732" spans="1:11" hidden="1" x14ac:dyDescent="0.25">
      <c r="A732" s="70">
        <v>730</v>
      </c>
      <c r="B732" t="s">
        <v>1203</v>
      </c>
      <c r="C732" t="s">
        <v>1203</v>
      </c>
      <c r="D732" t="s">
        <v>1204</v>
      </c>
      <c r="E732">
        <v>27.6</v>
      </c>
      <c r="F732" t="s">
        <v>12</v>
      </c>
      <c r="G732" t="s">
        <v>18</v>
      </c>
      <c r="H732" t="s">
        <v>1170</v>
      </c>
      <c r="I732" t="s">
        <v>15</v>
      </c>
      <c r="J732" t="s">
        <v>16</v>
      </c>
      <c r="K732">
        <v>491.11999999999563</v>
      </c>
    </row>
    <row r="733" spans="1:11" hidden="1" x14ac:dyDescent="0.25">
      <c r="A733" s="70">
        <v>731</v>
      </c>
      <c r="B733" t="s">
        <v>1203</v>
      </c>
      <c r="C733" t="s">
        <v>1203</v>
      </c>
      <c r="D733" t="s">
        <v>1205</v>
      </c>
      <c r="E733">
        <v>18.760000000000002</v>
      </c>
      <c r="F733" t="s">
        <v>12</v>
      </c>
      <c r="G733" t="s">
        <v>18</v>
      </c>
      <c r="H733" t="s">
        <v>1170</v>
      </c>
      <c r="I733" t="s">
        <v>15</v>
      </c>
      <c r="J733" t="s">
        <v>16</v>
      </c>
      <c r="K733">
        <v>509.87999999999562</v>
      </c>
    </row>
    <row r="734" spans="1:11" hidden="1" x14ac:dyDescent="0.25">
      <c r="A734" s="70">
        <v>732</v>
      </c>
      <c r="B734" t="s">
        <v>1206</v>
      </c>
      <c r="C734" t="s">
        <v>1206</v>
      </c>
      <c r="D734" t="s">
        <v>1207</v>
      </c>
      <c r="E734">
        <v>14.95</v>
      </c>
      <c r="F734" t="s">
        <v>53</v>
      </c>
      <c r="G734" t="s">
        <v>18</v>
      </c>
      <c r="H734" t="s">
        <v>1170</v>
      </c>
      <c r="I734" t="s">
        <v>15</v>
      </c>
      <c r="J734" t="s">
        <v>16</v>
      </c>
      <c r="K734">
        <v>524.82999999999561</v>
      </c>
    </row>
    <row r="735" spans="1:11" hidden="1" x14ac:dyDescent="0.25">
      <c r="A735" s="70">
        <v>733</v>
      </c>
      <c r="B735" t="s">
        <v>1206</v>
      </c>
      <c r="C735" t="s">
        <v>1206</v>
      </c>
      <c r="D735" t="s">
        <v>361</v>
      </c>
      <c r="E735">
        <v>59.99</v>
      </c>
      <c r="F735" t="s">
        <v>30</v>
      </c>
      <c r="G735" t="s">
        <v>362</v>
      </c>
      <c r="H735" t="s">
        <v>1170</v>
      </c>
      <c r="I735" t="s">
        <v>15</v>
      </c>
      <c r="J735" t="s">
        <v>23</v>
      </c>
      <c r="K735">
        <v>584.81999999999562</v>
      </c>
    </row>
    <row r="736" spans="1:11" hidden="1" x14ac:dyDescent="0.25">
      <c r="A736" s="70">
        <v>734</v>
      </c>
      <c r="B736" t="s">
        <v>1208</v>
      </c>
      <c r="C736" t="s">
        <v>1208</v>
      </c>
      <c r="D736" t="s">
        <v>1209</v>
      </c>
      <c r="E736">
        <v>8.64</v>
      </c>
      <c r="F736" t="s">
        <v>12</v>
      </c>
      <c r="G736" t="s">
        <v>13</v>
      </c>
      <c r="H736" t="s">
        <v>1170</v>
      </c>
      <c r="I736" t="s">
        <v>15</v>
      </c>
      <c r="J736" t="s">
        <v>16</v>
      </c>
      <c r="K736">
        <v>593.4599999999956</v>
      </c>
    </row>
    <row r="737" spans="1:11" hidden="1" x14ac:dyDescent="0.25">
      <c r="A737" s="70">
        <v>735</v>
      </c>
      <c r="B737" t="s">
        <v>1210</v>
      </c>
      <c r="C737" t="s">
        <v>1210</v>
      </c>
      <c r="D737" t="s">
        <v>1211</v>
      </c>
      <c r="E737">
        <v>15.89</v>
      </c>
      <c r="F737" t="s">
        <v>20</v>
      </c>
      <c r="G737" t="s">
        <v>49</v>
      </c>
      <c r="H737" t="s">
        <v>1170</v>
      </c>
      <c r="I737" t="s">
        <v>22</v>
      </c>
      <c r="J737" t="s">
        <v>23</v>
      </c>
      <c r="K737">
        <v>609.34999999999559</v>
      </c>
    </row>
    <row r="738" spans="1:11" hidden="1" x14ac:dyDescent="0.25">
      <c r="A738" s="70">
        <v>736</v>
      </c>
      <c r="B738" t="s">
        <v>1210</v>
      </c>
      <c r="C738" t="s">
        <v>1210</v>
      </c>
      <c r="D738" t="s">
        <v>1184</v>
      </c>
      <c r="E738">
        <v>21.7</v>
      </c>
      <c r="F738" t="s">
        <v>53</v>
      </c>
      <c r="G738" t="s">
        <v>54</v>
      </c>
      <c r="H738" t="s">
        <v>1170</v>
      </c>
      <c r="I738" t="s">
        <v>15</v>
      </c>
      <c r="J738" t="s">
        <v>16</v>
      </c>
      <c r="K738">
        <v>631.04999999999563</v>
      </c>
    </row>
    <row r="739" spans="1:11" hidden="1" x14ac:dyDescent="0.25">
      <c r="A739" s="70">
        <v>737</v>
      </c>
      <c r="B739" t="s">
        <v>1210</v>
      </c>
      <c r="C739" t="s">
        <v>1210</v>
      </c>
      <c r="D739" t="s">
        <v>1212</v>
      </c>
      <c r="E739">
        <v>37</v>
      </c>
      <c r="F739" t="s">
        <v>12</v>
      </c>
      <c r="G739" t="s">
        <v>18</v>
      </c>
      <c r="H739" t="s">
        <v>1170</v>
      </c>
      <c r="I739" t="s">
        <v>15</v>
      </c>
      <c r="J739" t="s">
        <v>16</v>
      </c>
      <c r="K739">
        <v>668.04999999999563</v>
      </c>
    </row>
    <row r="740" spans="1:11" hidden="1" x14ac:dyDescent="0.25">
      <c r="A740" s="70">
        <v>738</v>
      </c>
      <c r="B740" t="s">
        <v>1213</v>
      </c>
      <c r="C740" t="s">
        <v>1213</v>
      </c>
      <c r="D740" t="s">
        <v>1214</v>
      </c>
      <c r="E740">
        <v>53.72</v>
      </c>
      <c r="F740" t="s">
        <v>20</v>
      </c>
      <c r="H740" t="s">
        <v>1170</v>
      </c>
      <c r="I740" t="s">
        <v>15</v>
      </c>
      <c r="K740">
        <v>721.76999999999566</v>
      </c>
    </row>
    <row r="741" spans="1:11" hidden="1" x14ac:dyDescent="0.25">
      <c r="A741" s="70">
        <v>739</v>
      </c>
      <c r="B741" t="s">
        <v>1213</v>
      </c>
      <c r="C741" t="s">
        <v>1213</v>
      </c>
      <c r="D741" t="s">
        <v>1215</v>
      </c>
      <c r="E741">
        <v>42</v>
      </c>
      <c r="F741" t="s">
        <v>12</v>
      </c>
      <c r="G741" t="s">
        <v>18</v>
      </c>
      <c r="H741" t="s">
        <v>1170</v>
      </c>
      <c r="I741" t="s">
        <v>15</v>
      </c>
      <c r="J741" t="s">
        <v>16</v>
      </c>
      <c r="K741">
        <v>763.76999999999566</v>
      </c>
    </row>
    <row r="742" spans="1:11" hidden="1" x14ac:dyDescent="0.25">
      <c r="A742" s="70">
        <v>740</v>
      </c>
      <c r="B742" t="s">
        <v>1216</v>
      </c>
      <c r="C742" t="s">
        <v>1216</v>
      </c>
      <c r="D742" t="s">
        <v>1199</v>
      </c>
      <c r="E742">
        <v>102.7</v>
      </c>
      <c r="F742" t="s">
        <v>12</v>
      </c>
      <c r="G742" t="s">
        <v>18</v>
      </c>
      <c r="H742" t="s">
        <v>1170</v>
      </c>
      <c r="I742" t="s">
        <v>15</v>
      </c>
      <c r="J742" t="s">
        <v>16</v>
      </c>
      <c r="K742">
        <v>866.46999999999571</v>
      </c>
    </row>
    <row r="743" spans="1:11" hidden="1" x14ac:dyDescent="0.25">
      <c r="A743" s="70">
        <v>741</v>
      </c>
      <c r="B743" t="s">
        <v>1217</v>
      </c>
      <c r="C743" t="s">
        <v>1217</v>
      </c>
      <c r="D743" t="s">
        <v>64</v>
      </c>
      <c r="E743">
        <v>70</v>
      </c>
      <c r="F743" t="s">
        <v>20</v>
      </c>
      <c r="G743" t="s">
        <v>65</v>
      </c>
      <c r="H743" t="s">
        <v>1170</v>
      </c>
      <c r="I743" t="s">
        <v>15</v>
      </c>
      <c r="J743" t="s">
        <v>66</v>
      </c>
      <c r="K743">
        <v>936.46999999999571</v>
      </c>
    </row>
    <row r="744" spans="1:11" hidden="1" x14ac:dyDescent="0.25">
      <c r="A744" s="70">
        <v>742</v>
      </c>
      <c r="B744" t="s">
        <v>1217</v>
      </c>
      <c r="C744" t="s">
        <v>1217</v>
      </c>
      <c r="D744" t="s">
        <v>1218</v>
      </c>
      <c r="E744">
        <v>27.89</v>
      </c>
      <c r="F744" t="s">
        <v>53</v>
      </c>
      <c r="G744" t="s">
        <v>72</v>
      </c>
      <c r="H744" t="s">
        <v>1170</v>
      </c>
      <c r="I744" t="s">
        <v>15</v>
      </c>
      <c r="J744" t="s">
        <v>32</v>
      </c>
      <c r="K744">
        <v>964.35999999999569</v>
      </c>
    </row>
    <row r="745" spans="1:11" hidden="1" x14ac:dyDescent="0.25">
      <c r="A745" s="70">
        <v>743</v>
      </c>
      <c r="B745" t="s">
        <v>1217</v>
      </c>
      <c r="C745" t="s">
        <v>1217</v>
      </c>
      <c r="D745" t="s">
        <v>1219</v>
      </c>
      <c r="E745">
        <v>14.83</v>
      </c>
      <c r="F745" t="s">
        <v>12</v>
      </c>
      <c r="G745" t="s">
        <v>18</v>
      </c>
      <c r="H745" t="s">
        <v>1170</v>
      </c>
      <c r="I745" t="s">
        <v>15</v>
      </c>
      <c r="J745" t="s">
        <v>16</v>
      </c>
      <c r="K745">
        <v>979.18999999999573</v>
      </c>
    </row>
    <row r="746" spans="1:11" hidden="1" x14ac:dyDescent="0.25">
      <c r="A746" s="70">
        <v>744</v>
      </c>
      <c r="B746" t="s">
        <v>1217</v>
      </c>
      <c r="C746" t="s">
        <v>1217</v>
      </c>
      <c r="D746" t="s">
        <v>58</v>
      </c>
      <c r="E746">
        <v>5.29</v>
      </c>
      <c r="F746" t="s">
        <v>20</v>
      </c>
      <c r="G746" t="s">
        <v>68</v>
      </c>
      <c r="H746" t="s">
        <v>1170</v>
      </c>
      <c r="I746" t="s">
        <v>22</v>
      </c>
      <c r="J746" t="s">
        <v>23</v>
      </c>
      <c r="K746">
        <v>984.4799999999957</v>
      </c>
    </row>
    <row r="747" spans="1:11" hidden="1" x14ac:dyDescent="0.25">
      <c r="A747" s="70">
        <v>745</v>
      </c>
      <c r="B747" t="s">
        <v>1217</v>
      </c>
      <c r="C747" t="s">
        <v>1217</v>
      </c>
      <c r="D747" t="s">
        <v>1220</v>
      </c>
      <c r="E747">
        <v>110.21</v>
      </c>
      <c r="F747" t="s">
        <v>20</v>
      </c>
      <c r="G747" t="s">
        <v>27</v>
      </c>
      <c r="H747" t="s">
        <v>1170</v>
      </c>
      <c r="I747" t="s">
        <v>15</v>
      </c>
      <c r="J747" t="s">
        <v>32</v>
      </c>
      <c r="K747">
        <v>1094.689999999996</v>
      </c>
    </row>
    <row r="748" spans="1:11" hidden="1" x14ac:dyDescent="0.25">
      <c r="A748" s="70">
        <v>746</v>
      </c>
      <c r="B748" t="s">
        <v>1221</v>
      </c>
      <c r="C748" t="s">
        <v>1221</v>
      </c>
      <c r="D748" t="s">
        <v>1222</v>
      </c>
      <c r="E748">
        <v>34.520000000000003</v>
      </c>
      <c r="F748" t="s">
        <v>53</v>
      </c>
      <c r="G748" t="s">
        <v>54</v>
      </c>
      <c r="H748" t="s">
        <v>1170</v>
      </c>
      <c r="I748" t="s">
        <v>15</v>
      </c>
      <c r="J748" t="s">
        <v>16</v>
      </c>
      <c r="K748">
        <v>1129.2099999999959</v>
      </c>
    </row>
    <row r="749" spans="1:11" hidden="1" x14ac:dyDescent="0.25">
      <c r="A749" s="70">
        <v>747</v>
      </c>
      <c r="B749" t="s">
        <v>1221</v>
      </c>
      <c r="C749" t="s">
        <v>1221</v>
      </c>
      <c r="D749" t="s">
        <v>36</v>
      </c>
      <c r="E749">
        <v>-763.77</v>
      </c>
      <c r="F749" t="s">
        <v>37</v>
      </c>
      <c r="G749" t="s">
        <v>38</v>
      </c>
      <c r="H749" t="s">
        <v>1170</v>
      </c>
      <c r="I749" t="s">
        <v>15</v>
      </c>
      <c r="J749" t="s">
        <v>973</v>
      </c>
      <c r="K749">
        <v>365.43999999999568</v>
      </c>
    </row>
    <row r="750" spans="1:11" hidden="1" x14ac:dyDescent="0.25">
      <c r="A750" s="70">
        <v>748</v>
      </c>
      <c r="B750" t="s">
        <v>1221</v>
      </c>
      <c r="C750" t="s">
        <v>1221</v>
      </c>
      <c r="D750" t="s">
        <v>1223</v>
      </c>
      <c r="E750">
        <v>15.59</v>
      </c>
      <c r="F750" t="s">
        <v>53</v>
      </c>
      <c r="G750" t="s">
        <v>54</v>
      </c>
      <c r="H750" t="s">
        <v>1170</v>
      </c>
      <c r="I750" t="s">
        <v>15</v>
      </c>
      <c r="J750" t="s">
        <v>16</v>
      </c>
      <c r="K750">
        <v>381.02999999999571</v>
      </c>
    </row>
    <row r="751" spans="1:11" hidden="1" x14ac:dyDescent="0.25">
      <c r="A751" s="70">
        <v>749</v>
      </c>
      <c r="B751" t="s">
        <v>1224</v>
      </c>
      <c r="C751" t="s">
        <v>1224</v>
      </c>
      <c r="D751" t="s">
        <v>1225</v>
      </c>
      <c r="E751">
        <v>21.48</v>
      </c>
      <c r="F751" t="s">
        <v>20</v>
      </c>
      <c r="G751" t="s">
        <v>27</v>
      </c>
      <c r="H751" t="s">
        <v>1170</v>
      </c>
      <c r="I751" t="s">
        <v>15</v>
      </c>
      <c r="J751" t="s">
        <v>32</v>
      </c>
      <c r="K751">
        <v>402.50999999999573</v>
      </c>
    </row>
    <row r="752" spans="1:11" hidden="1" x14ac:dyDescent="0.25">
      <c r="A752" s="70">
        <v>750</v>
      </c>
      <c r="B752" t="s">
        <v>1224</v>
      </c>
      <c r="C752" t="s">
        <v>1224</v>
      </c>
      <c r="D752" t="s">
        <v>1226</v>
      </c>
      <c r="E752">
        <v>58.12</v>
      </c>
      <c r="F752" t="s">
        <v>20</v>
      </c>
      <c r="G752" t="s">
        <v>27</v>
      </c>
      <c r="H752" t="s">
        <v>1170</v>
      </c>
      <c r="I752" t="s">
        <v>15</v>
      </c>
      <c r="J752" t="s">
        <v>32</v>
      </c>
      <c r="K752">
        <v>460.62999999999568</v>
      </c>
    </row>
    <row r="753" spans="1:11" hidden="1" x14ac:dyDescent="0.25">
      <c r="A753" s="70">
        <v>751</v>
      </c>
      <c r="B753" t="s">
        <v>1227</v>
      </c>
      <c r="C753" t="s">
        <v>1227</v>
      </c>
      <c r="D753" t="s">
        <v>379</v>
      </c>
      <c r="E753">
        <v>7.13</v>
      </c>
      <c r="F753" t="s">
        <v>20</v>
      </c>
      <c r="G753" t="s">
        <v>80</v>
      </c>
      <c r="H753" t="s">
        <v>1170</v>
      </c>
      <c r="I753" t="s">
        <v>15</v>
      </c>
      <c r="J753" t="s">
        <v>23</v>
      </c>
      <c r="K753">
        <v>467.75999999999573</v>
      </c>
    </row>
    <row r="754" spans="1:11" hidden="1" x14ac:dyDescent="0.25">
      <c r="A754" s="70">
        <v>752</v>
      </c>
      <c r="B754" t="s">
        <v>1228</v>
      </c>
      <c r="C754" t="s">
        <v>1228</v>
      </c>
      <c r="D754" t="s">
        <v>1229</v>
      </c>
      <c r="E754">
        <v>13.6</v>
      </c>
      <c r="F754" t="s">
        <v>12</v>
      </c>
      <c r="G754" t="s">
        <v>13</v>
      </c>
      <c r="H754" t="s">
        <v>1170</v>
      </c>
      <c r="I754" t="s">
        <v>15</v>
      </c>
      <c r="J754" t="s">
        <v>16</v>
      </c>
      <c r="K754">
        <v>481.35999999999581</v>
      </c>
    </row>
    <row r="755" spans="1:11" hidden="1" x14ac:dyDescent="0.25">
      <c r="A755" s="70">
        <v>753</v>
      </c>
      <c r="B755" t="s">
        <v>1228</v>
      </c>
      <c r="C755" t="s">
        <v>1228</v>
      </c>
      <c r="D755" t="s">
        <v>1230</v>
      </c>
      <c r="E755">
        <v>84.26</v>
      </c>
      <c r="F755" t="s">
        <v>30</v>
      </c>
      <c r="G755" t="s">
        <v>916</v>
      </c>
      <c r="H755" t="s">
        <v>1170</v>
      </c>
      <c r="I755" t="s">
        <v>15</v>
      </c>
      <c r="J755" t="s">
        <v>60</v>
      </c>
      <c r="K755">
        <v>565.6199999999958</v>
      </c>
    </row>
    <row r="756" spans="1:11" hidden="1" x14ac:dyDescent="0.25">
      <c r="A756" s="70">
        <v>754</v>
      </c>
      <c r="B756" t="s">
        <v>1231</v>
      </c>
      <c r="C756" t="s">
        <v>1231</v>
      </c>
      <c r="D756" t="s">
        <v>1232</v>
      </c>
      <c r="E756">
        <v>36.5</v>
      </c>
      <c r="F756" t="s">
        <v>30</v>
      </c>
      <c r="G756" t="s">
        <v>135</v>
      </c>
      <c r="H756" t="s">
        <v>1170</v>
      </c>
      <c r="I756" t="s">
        <v>15</v>
      </c>
      <c r="J756" t="s">
        <v>23</v>
      </c>
      <c r="K756">
        <v>602.1199999999958</v>
      </c>
    </row>
    <row r="757" spans="1:11" hidden="1" x14ac:dyDescent="0.25">
      <c r="A757" s="70">
        <v>755</v>
      </c>
      <c r="B757" t="s">
        <v>1231</v>
      </c>
      <c r="C757" t="s">
        <v>1231</v>
      </c>
      <c r="D757" t="s">
        <v>1233</v>
      </c>
      <c r="E757">
        <v>67.33</v>
      </c>
      <c r="F757" t="s">
        <v>20</v>
      </c>
      <c r="G757" t="s">
        <v>72</v>
      </c>
      <c r="H757" t="s">
        <v>1170</v>
      </c>
      <c r="I757" t="s">
        <v>15</v>
      </c>
      <c r="J757" t="s">
        <v>32</v>
      </c>
      <c r="K757">
        <v>669.44999999999584</v>
      </c>
    </row>
    <row r="758" spans="1:11" hidden="1" x14ac:dyDescent="0.25">
      <c r="A758" s="70">
        <v>756</v>
      </c>
      <c r="B758" t="s">
        <v>1234</v>
      </c>
      <c r="C758" t="s">
        <v>1234</v>
      </c>
      <c r="D758" t="s">
        <v>1235</v>
      </c>
      <c r="E758">
        <v>13.75</v>
      </c>
      <c r="F758" t="s">
        <v>12</v>
      </c>
      <c r="G758" t="s">
        <v>18</v>
      </c>
      <c r="H758" t="s">
        <v>1170</v>
      </c>
      <c r="I758" t="s">
        <v>15</v>
      </c>
      <c r="J758" t="s">
        <v>16</v>
      </c>
      <c r="K758">
        <v>683.19999999999584</v>
      </c>
    </row>
    <row r="759" spans="1:11" hidden="1" x14ac:dyDescent="0.25">
      <c r="A759" s="70">
        <v>757</v>
      </c>
      <c r="B759" t="s">
        <v>1234</v>
      </c>
      <c r="C759" t="s">
        <v>1234</v>
      </c>
      <c r="D759" t="s">
        <v>1236</v>
      </c>
      <c r="E759">
        <v>43.72</v>
      </c>
      <c r="F759" t="s">
        <v>20</v>
      </c>
      <c r="G759" t="s">
        <v>135</v>
      </c>
      <c r="H759" t="s">
        <v>1170</v>
      </c>
      <c r="I759" t="s">
        <v>15</v>
      </c>
      <c r="J759" t="s">
        <v>23</v>
      </c>
      <c r="K759">
        <v>726.91999999999587</v>
      </c>
    </row>
    <row r="760" spans="1:11" hidden="1" x14ac:dyDescent="0.25">
      <c r="A760" s="70">
        <v>758</v>
      </c>
      <c r="B760" t="s">
        <v>1234</v>
      </c>
      <c r="C760" t="s">
        <v>1234</v>
      </c>
      <c r="D760" t="s">
        <v>1237</v>
      </c>
      <c r="E760">
        <v>85.76</v>
      </c>
      <c r="F760" t="s">
        <v>154</v>
      </c>
      <c r="G760" t="s">
        <v>155</v>
      </c>
      <c r="H760" t="s">
        <v>1170</v>
      </c>
      <c r="I760" t="s">
        <v>15</v>
      </c>
      <c r="J760" t="s">
        <v>156</v>
      </c>
      <c r="K760">
        <v>812.67999999999586</v>
      </c>
    </row>
    <row r="761" spans="1:11" hidden="1" x14ac:dyDescent="0.25">
      <c r="A761" s="70">
        <v>759</v>
      </c>
      <c r="B761" t="s">
        <v>1238</v>
      </c>
      <c r="C761" t="s">
        <v>1238</v>
      </c>
      <c r="D761" t="s">
        <v>1239</v>
      </c>
      <c r="E761">
        <v>3.17</v>
      </c>
      <c r="F761" t="s">
        <v>20</v>
      </c>
      <c r="G761" t="s">
        <v>337</v>
      </c>
      <c r="H761" t="s">
        <v>1170</v>
      </c>
      <c r="I761" t="s">
        <v>22</v>
      </c>
      <c r="J761" t="s">
        <v>23</v>
      </c>
      <c r="K761">
        <v>815.84999999999582</v>
      </c>
    </row>
    <row r="762" spans="1:11" hidden="1" x14ac:dyDescent="0.25">
      <c r="A762" s="70">
        <v>760</v>
      </c>
      <c r="B762" t="s">
        <v>1238</v>
      </c>
      <c r="C762" t="s">
        <v>1238</v>
      </c>
      <c r="D762" t="s">
        <v>1240</v>
      </c>
      <c r="E762">
        <v>5.91</v>
      </c>
      <c r="F762" t="s">
        <v>53</v>
      </c>
      <c r="G762" t="s">
        <v>72</v>
      </c>
      <c r="H762" t="s">
        <v>1170</v>
      </c>
      <c r="I762" t="s">
        <v>15</v>
      </c>
      <c r="J762" t="s">
        <v>32</v>
      </c>
      <c r="K762">
        <v>821.75999999999578</v>
      </c>
    </row>
    <row r="763" spans="1:11" hidden="1" x14ac:dyDescent="0.25">
      <c r="A763" s="70">
        <v>761</v>
      </c>
      <c r="B763" t="s">
        <v>1238</v>
      </c>
      <c r="C763" t="s">
        <v>1238</v>
      </c>
      <c r="D763" t="s">
        <v>1218</v>
      </c>
      <c r="E763">
        <v>80.3</v>
      </c>
      <c r="F763" t="s">
        <v>53</v>
      </c>
      <c r="G763" t="s">
        <v>72</v>
      </c>
      <c r="H763" t="s">
        <v>1170</v>
      </c>
      <c r="I763" t="s">
        <v>15</v>
      </c>
      <c r="J763" t="s">
        <v>32</v>
      </c>
      <c r="K763">
        <v>902.05999999999574</v>
      </c>
    </row>
    <row r="764" spans="1:11" hidden="1" x14ac:dyDescent="0.25">
      <c r="A764" s="70">
        <v>762</v>
      </c>
      <c r="B764" t="s">
        <v>1241</v>
      </c>
      <c r="C764" t="s">
        <v>1241</v>
      </c>
      <c r="D764" t="s">
        <v>1242</v>
      </c>
      <c r="E764">
        <v>8</v>
      </c>
      <c r="F764" t="s">
        <v>56</v>
      </c>
      <c r="G764" t="s">
        <v>203</v>
      </c>
      <c r="H764" t="s">
        <v>1170</v>
      </c>
      <c r="I764" t="s">
        <v>15</v>
      </c>
      <c r="J764" t="s">
        <v>42</v>
      </c>
      <c r="K764">
        <v>910.05999999999574</v>
      </c>
    </row>
    <row r="765" spans="1:11" hidden="1" x14ac:dyDescent="0.25">
      <c r="A765" s="70">
        <v>763</v>
      </c>
      <c r="B765" t="s">
        <v>1241</v>
      </c>
      <c r="C765" t="s">
        <v>1241</v>
      </c>
      <c r="D765" t="s">
        <v>36</v>
      </c>
      <c r="E765">
        <v>-815.85</v>
      </c>
      <c r="F765" t="s">
        <v>37</v>
      </c>
      <c r="G765" t="s">
        <v>38</v>
      </c>
      <c r="H765" t="s">
        <v>1170</v>
      </c>
      <c r="I765" t="s">
        <v>15</v>
      </c>
      <c r="J765" t="s">
        <v>973</v>
      </c>
      <c r="K765">
        <v>94.209999999995716</v>
      </c>
    </row>
    <row r="766" spans="1:11" hidden="1" x14ac:dyDescent="0.25">
      <c r="A766" s="70">
        <v>764</v>
      </c>
      <c r="B766" t="s">
        <v>1243</v>
      </c>
      <c r="C766" t="s">
        <v>1243</v>
      </c>
      <c r="D766" t="s">
        <v>1244</v>
      </c>
      <c r="E766">
        <v>23.94</v>
      </c>
      <c r="F766" t="s">
        <v>12</v>
      </c>
      <c r="G766" t="s">
        <v>18</v>
      </c>
      <c r="H766" t="s">
        <v>1170</v>
      </c>
      <c r="I766" t="s">
        <v>15</v>
      </c>
      <c r="J766" t="s">
        <v>16</v>
      </c>
      <c r="K766">
        <v>118.1499999999957</v>
      </c>
    </row>
    <row r="767" spans="1:11" hidden="1" x14ac:dyDescent="0.25">
      <c r="A767" s="70">
        <v>765</v>
      </c>
      <c r="B767" t="s">
        <v>1245</v>
      </c>
      <c r="C767" t="s">
        <v>1245</v>
      </c>
      <c r="D767" t="s">
        <v>1169</v>
      </c>
      <c r="E767">
        <v>10</v>
      </c>
      <c r="F767" t="s">
        <v>20</v>
      </c>
      <c r="G767" t="s">
        <v>94</v>
      </c>
      <c r="H767" t="s">
        <v>1246</v>
      </c>
      <c r="I767" t="s">
        <v>15</v>
      </c>
      <c r="J767" t="s">
        <v>32</v>
      </c>
      <c r="K767">
        <v>128.14999999999571</v>
      </c>
    </row>
    <row r="768" spans="1:11" hidden="1" x14ac:dyDescent="0.25">
      <c r="A768" s="70">
        <v>766</v>
      </c>
      <c r="B768" t="s">
        <v>1245</v>
      </c>
      <c r="C768" t="s">
        <v>1245</v>
      </c>
      <c r="D768" t="s">
        <v>1247</v>
      </c>
      <c r="E768">
        <v>39.74</v>
      </c>
      <c r="F768" t="s">
        <v>12</v>
      </c>
      <c r="G768" t="s">
        <v>185</v>
      </c>
      <c r="H768" t="s">
        <v>1246</v>
      </c>
      <c r="I768" t="s">
        <v>15</v>
      </c>
      <c r="J768" t="s">
        <v>16</v>
      </c>
      <c r="K768">
        <v>167.88999999999569</v>
      </c>
    </row>
    <row r="769" spans="1:11" hidden="1" x14ac:dyDescent="0.25">
      <c r="A769" s="70">
        <v>767</v>
      </c>
      <c r="B769" t="s">
        <v>1245</v>
      </c>
      <c r="C769" t="s">
        <v>1248</v>
      </c>
      <c r="D769" t="s">
        <v>19</v>
      </c>
      <c r="E769">
        <v>10.59</v>
      </c>
      <c r="F769" t="s">
        <v>20</v>
      </c>
      <c r="G769" t="s">
        <v>21</v>
      </c>
      <c r="H769" t="s">
        <v>1246</v>
      </c>
      <c r="I769" t="s">
        <v>22</v>
      </c>
      <c r="J769" t="s">
        <v>23</v>
      </c>
      <c r="K769">
        <v>178.4799999999957</v>
      </c>
    </row>
    <row r="770" spans="1:11" hidden="1" x14ac:dyDescent="0.25">
      <c r="A770" s="70">
        <v>768</v>
      </c>
      <c r="B770" t="s">
        <v>1245</v>
      </c>
      <c r="C770" t="s">
        <v>1248</v>
      </c>
      <c r="D770" t="s">
        <v>408</v>
      </c>
      <c r="E770">
        <v>25</v>
      </c>
      <c r="F770" t="s">
        <v>56</v>
      </c>
      <c r="G770" t="s">
        <v>409</v>
      </c>
      <c r="H770" t="s">
        <v>1246</v>
      </c>
      <c r="I770" t="s">
        <v>22</v>
      </c>
      <c r="J770" t="s">
        <v>32</v>
      </c>
      <c r="K770">
        <v>203.4799999999957</v>
      </c>
    </row>
    <row r="771" spans="1:11" x14ac:dyDescent="0.25">
      <c r="A771" s="70">
        <v>769</v>
      </c>
      <c r="B771" t="s">
        <v>1245</v>
      </c>
      <c r="C771" t="s">
        <v>1248</v>
      </c>
      <c r="D771" t="s">
        <v>1249</v>
      </c>
      <c r="E771">
        <v>9.99</v>
      </c>
      <c r="F771" t="s">
        <v>20</v>
      </c>
      <c r="G771" t="s">
        <v>25</v>
      </c>
      <c r="H771" t="s">
        <v>1246</v>
      </c>
      <c r="I771" t="s">
        <v>22</v>
      </c>
      <c r="J771" t="s">
        <v>23</v>
      </c>
      <c r="K771">
        <v>213.46999999999571</v>
      </c>
    </row>
    <row r="772" spans="1:11" hidden="1" x14ac:dyDescent="0.25">
      <c r="A772" s="70">
        <v>770</v>
      </c>
      <c r="B772" t="s">
        <v>1250</v>
      </c>
      <c r="C772" t="s">
        <v>1248</v>
      </c>
      <c r="D772" t="s">
        <v>77</v>
      </c>
      <c r="E772">
        <v>10</v>
      </c>
      <c r="F772" t="s">
        <v>20</v>
      </c>
      <c r="G772" t="s">
        <v>78</v>
      </c>
      <c r="H772" t="s">
        <v>1246</v>
      </c>
      <c r="I772" t="s">
        <v>22</v>
      </c>
      <c r="J772" t="s">
        <v>23</v>
      </c>
      <c r="K772">
        <v>223.46999999999571</v>
      </c>
    </row>
    <row r="773" spans="1:11" hidden="1" x14ac:dyDescent="0.25">
      <c r="A773" s="70">
        <v>771</v>
      </c>
      <c r="B773" t="s">
        <v>1250</v>
      </c>
      <c r="C773" t="s">
        <v>1248</v>
      </c>
      <c r="D773" t="s">
        <v>1251</v>
      </c>
      <c r="E773">
        <v>21.88</v>
      </c>
      <c r="F773" t="s">
        <v>56</v>
      </c>
      <c r="G773" t="s">
        <v>142</v>
      </c>
      <c r="H773" t="s">
        <v>1246</v>
      </c>
      <c r="I773" t="s">
        <v>15</v>
      </c>
      <c r="J773" t="s">
        <v>42</v>
      </c>
      <c r="K773">
        <v>245.3499999999957</v>
      </c>
    </row>
    <row r="774" spans="1:11" hidden="1" x14ac:dyDescent="0.25">
      <c r="A774" s="70">
        <v>772</v>
      </c>
      <c r="B774" t="s">
        <v>1250</v>
      </c>
      <c r="C774" t="s">
        <v>1248</v>
      </c>
      <c r="D774" t="s">
        <v>1252</v>
      </c>
      <c r="E774">
        <v>133.19999999999999</v>
      </c>
      <c r="F774" t="s">
        <v>30</v>
      </c>
      <c r="G774" t="s">
        <v>142</v>
      </c>
      <c r="H774" t="s">
        <v>1246</v>
      </c>
      <c r="I774" t="s">
        <v>15</v>
      </c>
      <c r="J774" t="s">
        <v>42</v>
      </c>
      <c r="K774">
        <v>378.54999999999569</v>
      </c>
    </row>
    <row r="775" spans="1:11" hidden="1" x14ac:dyDescent="0.25">
      <c r="A775" s="70">
        <v>773</v>
      </c>
      <c r="B775" t="s">
        <v>1248</v>
      </c>
      <c r="C775" t="s">
        <v>1248</v>
      </c>
      <c r="D775" t="s">
        <v>1253</v>
      </c>
      <c r="E775">
        <v>15.89</v>
      </c>
      <c r="F775" t="s">
        <v>56</v>
      </c>
      <c r="G775" t="s">
        <v>130</v>
      </c>
      <c r="H775" t="s">
        <v>1246</v>
      </c>
      <c r="I775" t="s">
        <v>22</v>
      </c>
      <c r="J775" t="s">
        <v>23</v>
      </c>
      <c r="K775">
        <v>394.43999999999568</v>
      </c>
    </row>
    <row r="776" spans="1:11" hidden="1" x14ac:dyDescent="0.25">
      <c r="A776" s="70">
        <v>774</v>
      </c>
      <c r="B776" t="s">
        <v>1254</v>
      </c>
      <c r="C776" t="s">
        <v>1254</v>
      </c>
      <c r="D776" t="s">
        <v>1182</v>
      </c>
      <c r="E776">
        <v>161.6</v>
      </c>
      <c r="F776" t="s">
        <v>56</v>
      </c>
      <c r="G776" t="s">
        <v>1183</v>
      </c>
      <c r="H776" t="s">
        <v>1246</v>
      </c>
      <c r="I776" t="s">
        <v>15</v>
      </c>
      <c r="J776" t="s">
        <v>66</v>
      </c>
      <c r="K776">
        <v>556.03999999999576</v>
      </c>
    </row>
    <row r="777" spans="1:11" hidden="1" x14ac:dyDescent="0.25">
      <c r="A777" s="70">
        <v>775</v>
      </c>
      <c r="B777" t="s">
        <v>1254</v>
      </c>
      <c r="C777" t="s">
        <v>1254</v>
      </c>
      <c r="D777" t="s">
        <v>1255</v>
      </c>
      <c r="E777">
        <v>22.19</v>
      </c>
      <c r="F777" t="s">
        <v>12</v>
      </c>
      <c r="G777" t="s">
        <v>18</v>
      </c>
      <c r="H777" t="s">
        <v>1246</v>
      </c>
      <c r="I777" t="s">
        <v>15</v>
      </c>
      <c r="J777" t="s">
        <v>16</v>
      </c>
      <c r="K777">
        <v>578.22999999999581</v>
      </c>
    </row>
    <row r="778" spans="1:11" hidden="1" x14ac:dyDescent="0.25">
      <c r="A778" s="70">
        <v>776</v>
      </c>
      <c r="B778" t="s">
        <v>1254</v>
      </c>
      <c r="C778" t="s">
        <v>1254</v>
      </c>
      <c r="D778" t="s">
        <v>108</v>
      </c>
      <c r="E778">
        <v>80.08</v>
      </c>
      <c r="F778" t="s">
        <v>20</v>
      </c>
      <c r="G778" t="s">
        <v>109</v>
      </c>
      <c r="H778" t="s">
        <v>1246</v>
      </c>
      <c r="I778" t="s">
        <v>22</v>
      </c>
      <c r="J778" t="s">
        <v>110</v>
      </c>
      <c r="K778">
        <v>658.30999999999585</v>
      </c>
    </row>
    <row r="779" spans="1:11" hidden="1" x14ac:dyDescent="0.25">
      <c r="A779" s="70">
        <v>777</v>
      </c>
      <c r="B779" t="s">
        <v>1256</v>
      </c>
      <c r="C779" t="s">
        <v>1256</v>
      </c>
      <c r="D779" t="s">
        <v>1257</v>
      </c>
      <c r="E779">
        <v>76.31</v>
      </c>
      <c r="F779" t="s">
        <v>20</v>
      </c>
      <c r="H779" t="s">
        <v>1246</v>
      </c>
      <c r="I779" t="s">
        <v>15</v>
      </c>
      <c r="K779">
        <v>734.6199999999958</v>
      </c>
    </row>
    <row r="780" spans="1:11" hidden="1" x14ac:dyDescent="0.25">
      <c r="A780" s="70">
        <v>778</v>
      </c>
      <c r="B780" t="s">
        <v>1256</v>
      </c>
      <c r="C780" t="s">
        <v>1256</v>
      </c>
      <c r="D780" t="s">
        <v>1258</v>
      </c>
      <c r="E780">
        <v>41.86</v>
      </c>
      <c r="F780" t="s">
        <v>12</v>
      </c>
      <c r="G780" t="s">
        <v>18</v>
      </c>
      <c r="H780" t="s">
        <v>1246</v>
      </c>
      <c r="I780" t="s">
        <v>15</v>
      </c>
      <c r="J780" t="s">
        <v>16</v>
      </c>
      <c r="K780">
        <v>776.47999999999581</v>
      </c>
    </row>
    <row r="781" spans="1:11" hidden="1" x14ac:dyDescent="0.25">
      <c r="A781" s="70">
        <v>779</v>
      </c>
      <c r="B781" t="s">
        <v>1259</v>
      </c>
      <c r="C781" t="s">
        <v>1259</v>
      </c>
      <c r="D781" t="s">
        <v>1260</v>
      </c>
      <c r="E781">
        <v>9.99</v>
      </c>
      <c r="F781" t="s">
        <v>20</v>
      </c>
      <c r="H781" t="s">
        <v>1246</v>
      </c>
      <c r="I781" t="s">
        <v>15</v>
      </c>
      <c r="K781">
        <v>786.46999999999582</v>
      </c>
    </row>
    <row r="782" spans="1:11" hidden="1" x14ac:dyDescent="0.25">
      <c r="A782" s="70">
        <v>780</v>
      </c>
      <c r="B782" t="s">
        <v>1261</v>
      </c>
      <c r="C782" t="s">
        <v>1261</v>
      </c>
      <c r="D782" t="s">
        <v>1262</v>
      </c>
      <c r="E782">
        <v>553.89</v>
      </c>
      <c r="F782" t="s">
        <v>20</v>
      </c>
      <c r="H782" t="s">
        <v>1246</v>
      </c>
      <c r="I782" t="s">
        <v>15</v>
      </c>
      <c r="K782">
        <v>1340.359999999996</v>
      </c>
    </row>
    <row r="783" spans="1:11" hidden="1" x14ac:dyDescent="0.25">
      <c r="A783" s="70">
        <v>781</v>
      </c>
      <c r="B783" t="s">
        <v>1261</v>
      </c>
      <c r="C783" t="s">
        <v>1261</v>
      </c>
      <c r="D783" t="s">
        <v>379</v>
      </c>
      <c r="E783">
        <v>6.37</v>
      </c>
      <c r="F783" t="s">
        <v>20</v>
      </c>
      <c r="G783" t="s">
        <v>80</v>
      </c>
      <c r="H783" t="s">
        <v>1246</v>
      </c>
      <c r="I783" t="s">
        <v>15</v>
      </c>
      <c r="J783" t="s">
        <v>23</v>
      </c>
      <c r="K783">
        <v>1346.7299999999959</v>
      </c>
    </row>
    <row r="784" spans="1:11" hidden="1" x14ac:dyDescent="0.25">
      <c r="A784" s="70">
        <v>782</v>
      </c>
      <c r="B784" t="s">
        <v>1263</v>
      </c>
      <c r="C784" t="s">
        <v>1263</v>
      </c>
      <c r="D784" t="s">
        <v>1264</v>
      </c>
      <c r="E784">
        <v>12.52</v>
      </c>
      <c r="F784" t="s">
        <v>12</v>
      </c>
      <c r="G784" t="s">
        <v>18</v>
      </c>
      <c r="H784" t="s">
        <v>1246</v>
      </c>
      <c r="I784" t="s">
        <v>15</v>
      </c>
      <c r="J784" t="s">
        <v>16</v>
      </c>
      <c r="K784">
        <v>1359.2499999999959</v>
      </c>
    </row>
    <row r="785" spans="1:11" hidden="1" x14ac:dyDescent="0.25">
      <c r="A785" s="70">
        <v>783</v>
      </c>
      <c r="B785" t="s">
        <v>1263</v>
      </c>
      <c r="C785" t="s">
        <v>1263</v>
      </c>
      <c r="D785" t="s">
        <v>36</v>
      </c>
      <c r="E785">
        <v>-1340.36</v>
      </c>
      <c r="F785" t="s">
        <v>37</v>
      </c>
      <c r="G785" t="s">
        <v>38</v>
      </c>
      <c r="H785" t="s">
        <v>1246</v>
      </c>
      <c r="I785" t="s">
        <v>15</v>
      </c>
      <c r="J785" t="s">
        <v>973</v>
      </c>
      <c r="K785">
        <v>18.88999999999578</v>
      </c>
    </row>
    <row r="786" spans="1:11" hidden="1" x14ac:dyDescent="0.25">
      <c r="A786" s="70">
        <v>784</v>
      </c>
      <c r="B786" t="s">
        <v>1265</v>
      </c>
      <c r="C786" t="s">
        <v>1265</v>
      </c>
      <c r="D786" t="s">
        <v>1266</v>
      </c>
      <c r="E786">
        <v>17.100000000000001</v>
      </c>
      <c r="F786" t="s">
        <v>12</v>
      </c>
      <c r="G786" t="s">
        <v>18</v>
      </c>
      <c r="H786" t="s">
        <v>1246</v>
      </c>
      <c r="I786" t="s">
        <v>15</v>
      </c>
      <c r="J786" t="s">
        <v>16</v>
      </c>
      <c r="K786">
        <v>35.989999999995781</v>
      </c>
    </row>
    <row r="787" spans="1:11" hidden="1" x14ac:dyDescent="0.25">
      <c r="A787" s="70">
        <v>785</v>
      </c>
      <c r="B787" t="s">
        <v>1265</v>
      </c>
      <c r="C787" t="s">
        <v>1265</v>
      </c>
      <c r="D787" t="s">
        <v>1194</v>
      </c>
      <c r="E787">
        <v>11</v>
      </c>
      <c r="F787" t="s">
        <v>12</v>
      </c>
      <c r="G787" t="s">
        <v>13</v>
      </c>
      <c r="H787" t="s">
        <v>1246</v>
      </c>
      <c r="I787" t="s">
        <v>15</v>
      </c>
      <c r="J787" t="s">
        <v>16</v>
      </c>
      <c r="K787">
        <v>46.989999999995781</v>
      </c>
    </row>
    <row r="788" spans="1:11" hidden="1" x14ac:dyDescent="0.25">
      <c r="A788" s="70">
        <v>786</v>
      </c>
      <c r="B788" t="s">
        <v>1265</v>
      </c>
      <c r="C788" t="s">
        <v>1265</v>
      </c>
      <c r="D788" t="s">
        <v>1267</v>
      </c>
      <c r="E788">
        <v>64.989999999999995</v>
      </c>
      <c r="F788" t="s">
        <v>56</v>
      </c>
      <c r="G788" t="s">
        <v>130</v>
      </c>
      <c r="H788" t="s">
        <v>1246</v>
      </c>
      <c r="I788" t="s">
        <v>22</v>
      </c>
      <c r="J788" t="s">
        <v>23</v>
      </c>
      <c r="K788">
        <v>111.9799999999958</v>
      </c>
    </row>
    <row r="789" spans="1:11" hidden="1" x14ac:dyDescent="0.25">
      <c r="A789" s="70">
        <v>787</v>
      </c>
      <c r="B789" t="s">
        <v>1268</v>
      </c>
      <c r="C789" t="s">
        <v>1268</v>
      </c>
      <c r="D789" t="s">
        <v>1269</v>
      </c>
      <c r="E789">
        <v>255.92</v>
      </c>
      <c r="F789" t="s">
        <v>20</v>
      </c>
      <c r="G789" t="s">
        <v>1270</v>
      </c>
      <c r="H789" t="s">
        <v>1246</v>
      </c>
      <c r="I789" t="s">
        <v>15</v>
      </c>
      <c r="J789" t="s">
        <v>23</v>
      </c>
      <c r="K789">
        <v>367.89999999999583</v>
      </c>
    </row>
    <row r="790" spans="1:11" hidden="1" x14ac:dyDescent="0.25">
      <c r="A790" s="70">
        <v>788</v>
      </c>
      <c r="B790" t="s">
        <v>1268</v>
      </c>
      <c r="C790" t="s">
        <v>1268</v>
      </c>
      <c r="D790" t="s">
        <v>1271</v>
      </c>
      <c r="E790">
        <v>8.64</v>
      </c>
      <c r="F790" t="s">
        <v>12</v>
      </c>
      <c r="G790" t="s">
        <v>13</v>
      </c>
      <c r="H790" t="s">
        <v>1246</v>
      </c>
      <c r="I790" t="s">
        <v>15</v>
      </c>
      <c r="J790" t="s">
        <v>16</v>
      </c>
      <c r="K790">
        <v>376.53999999999581</v>
      </c>
    </row>
    <row r="791" spans="1:11" hidden="1" x14ac:dyDescent="0.25">
      <c r="A791" s="70">
        <v>789</v>
      </c>
      <c r="B791" t="s">
        <v>1268</v>
      </c>
      <c r="C791" t="s">
        <v>1268</v>
      </c>
      <c r="D791" t="s">
        <v>1272</v>
      </c>
      <c r="E791">
        <v>64.52</v>
      </c>
      <c r="F791" t="s">
        <v>20</v>
      </c>
      <c r="G791" t="s">
        <v>456</v>
      </c>
      <c r="H791" t="s">
        <v>1246</v>
      </c>
      <c r="I791" t="s">
        <v>15</v>
      </c>
      <c r="J791" t="s">
        <v>245</v>
      </c>
      <c r="K791">
        <v>441.05999999999568</v>
      </c>
    </row>
    <row r="792" spans="1:11" hidden="1" x14ac:dyDescent="0.25">
      <c r="A792" s="70">
        <v>790</v>
      </c>
      <c r="B792" t="s">
        <v>1273</v>
      </c>
      <c r="C792" t="s">
        <v>1273</v>
      </c>
      <c r="D792" t="s">
        <v>1274</v>
      </c>
      <c r="E792">
        <v>15.89</v>
      </c>
      <c r="F792" t="s">
        <v>20</v>
      </c>
      <c r="G792" t="s">
        <v>49</v>
      </c>
      <c r="H792" t="s">
        <v>1246</v>
      </c>
      <c r="I792" t="s">
        <v>22</v>
      </c>
      <c r="J792" t="s">
        <v>23</v>
      </c>
      <c r="K792">
        <v>456.94999999999573</v>
      </c>
    </row>
    <row r="793" spans="1:11" hidden="1" x14ac:dyDescent="0.25">
      <c r="A793" s="70">
        <v>791</v>
      </c>
      <c r="B793" t="s">
        <v>1273</v>
      </c>
      <c r="C793" t="s">
        <v>1273</v>
      </c>
      <c r="D793" t="s">
        <v>1269</v>
      </c>
      <c r="E793">
        <v>114.8</v>
      </c>
      <c r="F793" t="s">
        <v>20</v>
      </c>
      <c r="G793" t="s">
        <v>1270</v>
      </c>
      <c r="H793" t="s">
        <v>1246</v>
      </c>
      <c r="I793" t="s">
        <v>15</v>
      </c>
      <c r="J793" t="s">
        <v>23</v>
      </c>
      <c r="K793">
        <v>571.74999999999568</v>
      </c>
    </row>
    <row r="794" spans="1:11" hidden="1" x14ac:dyDescent="0.25">
      <c r="A794" s="70">
        <v>792</v>
      </c>
      <c r="B794" t="s">
        <v>1273</v>
      </c>
      <c r="C794" t="s">
        <v>1273</v>
      </c>
      <c r="D794" t="s">
        <v>1275</v>
      </c>
      <c r="E794">
        <v>27.17</v>
      </c>
      <c r="F794" t="s">
        <v>20</v>
      </c>
      <c r="G794" t="s">
        <v>34</v>
      </c>
      <c r="H794" t="s">
        <v>1246</v>
      </c>
      <c r="I794" t="s">
        <v>15</v>
      </c>
      <c r="J794" t="s">
        <v>32</v>
      </c>
      <c r="K794">
        <v>598.91999999999564</v>
      </c>
    </row>
    <row r="795" spans="1:11" hidden="1" x14ac:dyDescent="0.25">
      <c r="A795" s="70">
        <v>793</v>
      </c>
      <c r="B795" t="s">
        <v>1276</v>
      </c>
      <c r="C795" t="s">
        <v>1276</v>
      </c>
      <c r="D795" t="s">
        <v>1194</v>
      </c>
      <c r="E795">
        <v>11.78</v>
      </c>
      <c r="F795" t="s">
        <v>12</v>
      </c>
      <c r="G795" t="s">
        <v>13</v>
      </c>
      <c r="H795" t="s">
        <v>1246</v>
      </c>
      <c r="I795" t="s">
        <v>15</v>
      </c>
      <c r="J795" t="s">
        <v>16</v>
      </c>
      <c r="K795">
        <v>610.69999999999561</v>
      </c>
    </row>
    <row r="796" spans="1:11" hidden="1" x14ac:dyDescent="0.25">
      <c r="A796" s="70">
        <v>794</v>
      </c>
      <c r="B796" t="s">
        <v>1277</v>
      </c>
      <c r="C796" t="s">
        <v>1277</v>
      </c>
      <c r="D796" t="s">
        <v>1278</v>
      </c>
      <c r="E796">
        <v>55.84</v>
      </c>
      <c r="F796" t="s">
        <v>12</v>
      </c>
      <c r="G796" t="s">
        <v>13</v>
      </c>
      <c r="H796" t="s">
        <v>1246</v>
      </c>
      <c r="I796" t="s">
        <v>15</v>
      </c>
      <c r="J796" t="s">
        <v>16</v>
      </c>
      <c r="K796">
        <v>666.53999999999564</v>
      </c>
    </row>
    <row r="797" spans="1:11" hidden="1" x14ac:dyDescent="0.25">
      <c r="A797" s="70">
        <v>795</v>
      </c>
      <c r="B797" t="s">
        <v>1279</v>
      </c>
      <c r="C797" t="s">
        <v>1279</v>
      </c>
      <c r="D797" t="s">
        <v>1280</v>
      </c>
      <c r="E797">
        <v>60.05</v>
      </c>
      <c r="F797" t="s">
        <v>40</v>
      </c>
      <c r="G797" t="s">
        <v>41</v>
      </c>
      <c r="H797" t="s">
        <v>1246</v>
      </c>
      <c r="I797" t="s">
        <v>15</v>
      </c>
      <c r="J797" t="s">
        <v>42</v>
      </c>
      <c r="K797">
        <v>726.5899999999956</v>
      </c>
    </row>
    <row r="798" spans="1:11" hidden="1" x14ac:dyDescent="0.25">
      <c r="A798" s="70">
        <v>796</v>
      </c>
      <c r="B798" t="s">
        <v>1279</v>
      </c>
      <c r="C798" t="s">
        <v>1279</v>
      </c>
      <c r="D798" t="s">
        <v>1281</v>
      </c>
      <c r="E798">
        <v>18.27</v>
      </c>
      <c r="F798" t="s">
        <v>20</v>
      </c>
      <c r="G798" t="s">
        <v>76</v>
      </c>
      <c r="H798" t="s">
        <v>1246</v>
      </c>
      <c r="I798" t="s">
        <v>15</v>
      </c>
      <c r="J798" t="s">
        <v>42</v>
      </c>
      <c r="K798">
        <v>744.85999999999558</v>
      </c>
    </row>
    <row r="799" spans="1:11" x14ac:dyDescent="0.25">
      <c r="A799" s="70">
        <v>797</v>
      </c>
      <c r="B799" t="s">
        <v>1279</v>
      </c>
      <c r="C799" t="s">
        <v>1279</v>
      </c>
      <c r="D799" t="s">
        <v>1282</v>
      </c>
      <c r="E799">
        <v>4.99</v>
      </c>
      <c r="F799" t="s">
        <v>20</v>
      </c>
      <c r="G799" t="s">
        <v>25</v>
      </c>
      <c r="H799" t="s">
        <v>1246</v>
      </c>
      <c r="I799" t="s">
        <v>22</v>
      </c>
      <c r="J799" t="s">
        <v>23</v>
      </c>
      <c r="K799">
        <v>749.84999999999559</v>
      </c>
    </row>
    <row r="800" spans="1:11" hidden="1" x14ac:dyDescent="0.25">
      <c r="A800" s="70">
        <v>798</v>
      </c>
      <c r="B800" t="s">
        <v>1279</v>
      </c>
      <c r="C800" t="s">
        <v>1279</v>
      </c>
      <c r="D800" t="s">
        <v>1283</v>
      </c>
      <c r="E800">
        <v>109</v>
      </c>
      <c r="F800" t="s">
        <v>20</v>
      </c>
      <c r="G800" t="s">
        <v>94</v>
      </c>
      <c r="H800" t="s">
        <v>1246</v>
      </c>
      <c r="I800" t="s">
        <v>15</v>
      </c>
      <c r="J800" t="s">
        <v>32</v>
      </c>
      <c r="K800">
        <v>858.84999999999559</v>
      </c>
    </row>
    <row r="801" spans="1:11" hidden="1" x14ac:dyDescent="0.25">
      <c r="A801" s="70">
        <v>799</v>
      </c>
      <c r="B801" t="s">
        <v>1284</v>
      </c>
      <c r="C801" t="s">
        <v>1284</v>
      </c>
      <c r="D801" t="s">
        <v>1285</v>
      </c>
      <c r="E801">
        <v>5.3</v>
      </c>
      <c r="F801" t="s">
        <v>20</v>
      </c>
      <c r="G801" t="s">
        <v>80</v>
      </c>
      <c r="H801" t="s">
        <v>1246</v>
      </c>
      <c r="I801" t="s">
        <v>15</v>
      </c>
      <c r="J801" t="s">
        <v>23</v>
      </c>
      <c r="K801">
        <v>864.14999999999554</v>
      </c>
    </row>
    <row r="802" spans="1:11" hidden="1" x14ac:dyDescent="0.25">
      <c r="A802" s="70">
        <v>800</v>
      </c>
      <c r="B802" t="s">
        <v>1284</v>
      </c>
      <c r="C802" t="s">
        <v>1284</v>
      </c>
      <c r="D802" t="s">
        <v>1286</v>
      </c>
      <c r="E802">
        <v>15</v>
      </c>
      <c r="F802" t="s">
        <v>12</v>
      </c>
      <c r="G802" t="s">
        <v>18</v>
      </c>
      <c r="H802" t="s">
        <v>1246</v>
      </c>
      <c r="I802" t="s">
        <v>15</v>
      </c>
      <c r="J802" t="s">
        <v>16</v>
      </c>
      <c r="K802">
        <v>879.14999999999554</v>
      </c>
    </row>
    <row r="803" spans="1:11" hidden="1" x14ac:dyDescent="0.25">
      <c r="A803" s="70">
        <v>801</v>
      </c>
      <c r="B803" t="s">
        <v>1284</v>
      </c>
      <c r="C803" t="s">
        <v>1284</v>
      </c>
      <c r="D803" t="s">
        <v>1285</v>
      </c>
      <c r="E803">
        <v>10.52</v>
      </c>
      <c r="F803" t="s">
        <v>20</v>
      </c>
      <c r="G803" t="s">
        <v>80</v>
      </c>
      <c r="H803" t="s">
        <v>1246</v>
      </c>
      <c r="I803" t="s">
        <v>15</v>
      </c>
      <c r="J803" t="s">
        <v>23</v>
      </c>
      <c r="K803">
        <v>889.66999999999553</v>
      </c>
    </row>
    <row r="804" spans="1:11" hidden="1" x14ac:dyDescent="0.25">
      <c r="A804" s="70">
        <v>802</v>
      </c>
      <c r="B804" t="s">
        <v>1284</v>
      </c>
      <c r="C804" t="s">
        <v>1284</v>
      </c>
      <c r="D804" t="s">
        <v>379</v>
      </c>
      <c r="E804">
        <v>6.37</v>
      </c>
      <c r="F804" t="s">
        <v>20</v>
      </c>
      <c r="G804" t="s">
        <v>80</v>
      </c>
      <c r="H804" t="s">
        <v>1246</v>
      </c>
      <c r="I804" t="s">
        <v>15</v>
      </c>
      <c r="J804" t="s">
        <v>23</v>
      </c>
      <c r="K804">
        <v>896.03999999999553</v>
      </c>
    </row>
    <row r="805" spans="1:11" hidden="1" x14ac:dyDescent="0.25">
      <c r="A805" s="70">
        <v>803</v>
      </c>
      <c r="B805" t="s">
        <v>1284</v>
      </c>
      <c r="C805" t="s">
        <v>1284</v>
      </c>
      <c r="D805" t="s">
        <v>1285</v>
      </c>
      <c r="E805">
        <v>7.97</v>
      </c>
      <c r="F805" t="s">
        <v>20</v>
      </c>
      <c r="G805" t="s">
        <v>80</v>
      </c>
      <c r="H805" t="s">
        <v>1246</v>
      </c>
      <c r="I805" t="s">
        <v>15</v>
      </c>
      <c r="J805" t="s">
        <v>23</v>
      </c>
      <c r="K805">
        <v>904.00999999999556</v>
      </c>
    </row>
    <row r="806" spans="1:11" hidden="1" x14ac:dyDescent="0.25">
      <c r="A806" s="70">
        <v>804</v>
      </c>
      <c r="B806" t="s">
        <v>1284</v>
      </c>
      <c r="C806" t="s">
        <v>1284</v>
      </c>
      <c r="D806" t="s">
        <v>1285</v>
      </c>
      <c r="E806">
        <v>9.56</v>
      </c>
      <c r="F806" t="s">
        <v>20</v>
      </c>
      <c r="G806" t="s">
        <v>80</v>
      </c>
      <c r="H806" t="s">
        <v>1246</v>
      </c>
      <c r="I806" t="s">
        <v>15</v>
      </c>
      <c r="J806" t="s">
        <v>23</v>
      </c>
      <c r="K806">
        <v>913.5699999999955</v>
      </c>
    </row>
    <row r="807" spans="1:11" hidden="1" x14ac:dyDescent="0.25">
      <c r="A807" s="70">
        <v>805</v>
      </c>
      <c r="B807" t="s">
        <v>1287</v>
      </c>
      <c r="C807" t="s">
        <v>1287</v>
      </c>
      <c r="D807" t="s">
        <v>58</v>
      </c>
      <c r="E807">
        <v>5.29</v>
      </c>
      <c r="F807" t="s">
        <v>20</v>
      </c>
      <c r="G807" t="s">
        <v>68</v>
      </c>
      <c r="H807" t="s">
        <v>1246</v>
      </c>
      <c r="I807" t="s">
        <v>22</v>
      </c>
      <c r="J807" t="s">
        <v>23</v>
      </c>
      <c r="K807">
        <v>918.85999999999547</v>
      </c>
    </row>
    <row r="808" spans="1:11" hidden="1" x14ac:dyDescent="0.25">
      <c r="A808" s="70">
        <v>806</v>
      </c>
      <c r="B808" t="s">
        <v>1287</v>
      </c>
      <c r="C808" t="s">
        <v>1287</v>
      </c>
      <c r="D808" t="s">
        <v>1288</v>
      </c>
      <c r="E808">
        <v>24.99</v>
      </c>
      <c r="F808" t="s">
        <v>20</v>
      </c>
      <c r="G808" t="s">
        <v>1289</v>
      </c>
      <c r="H808" t="s">
        <v>1246</v>
      </c>
      <c r="I808" t="s">
        <v>15</v>
      </c>
      <c r="J808" t="s">
        <v>32</v>
      </c>
      <c r="K808">
        <v>943.84999999999548</v>
      </c>
    </row>
    <row r="809" spans="1:11" hidden="1" x14ac:dyDescent="0.25">
      <c r="A809" s="70">
        <v>807</v>
      </c>
      <c r="B809" t="s">
        <v>1287</v>
      </c>
      <c r="C809" t="s">
        <v>1287</v>
      </c>
      <c r="D809" t="s">
        <v>1218</v>
      </c>
      <c r="E809">
        <v>13.36</v>
      </c>
      <c r="F809" t="s">
        <v>53</v>
      </c>
      <c r="G809" t="s">
        <v>72</v>
      </c>
      <c r="H809" t="s">
        <v>1246</v>
      </c>
      <c r="I809" t="s">
        <v>15</v>
      </c>
      <c r="J809" t="s">
        <v>32</v>
      </c>
      <c r="K809">
        <v>957.20999999999549</v>
      </c>
    </row>
    <row r="810" spans="1:11" hidden="1" x14ac:dyDescent="0.25">
      <c r="A810" s="70">
        <v>808</v>
      </c>
      <c r="B810" t="s">
        <v>1287</v>
      </c>
      <c r="C810" t="s">
        <v>1287</v>
      </c>
      <c r="D810" t="s">
        <v>64</v>
      </c>
      <c r="E810">
        <v>70</v>
      </c>
      <c r="F810" t="s">
        <v>20</v>
      </c>
      <c r="G810" t="s">
        <v>65</v>
      </c>
      <c r="H810" t="s">
        <v>1246</v>
      </c>
      <c r="I810" t="s">
        <v>15</v>
      </c>
      <c r="J810" t="s">
        <v>66</v>
      </c>
      <c r="K810">
        <v>1027.209999999995</v>
      </c>
    </row>
    <row r="811" spans="1:11" hidden="1" x14ac:dyDescent="0.25">
      <c r="A811" s="70">
        <v>809</v>
      </c>
      <c r="B811" t="s">
        <v>1287</v>
      </c>
      <c r="C811" t="s">
        <v>1287</v>
      </c>
      <c r="D811" t="s">
        <v>1290</v>
      </c>
      <c r="E811">
        <v>164.1</v>
      </c>
      <c r="F811" t="s">
        <v>20</v>
      </c>
      <c r="G811" t="s">
        <v>223</v>
      </c>
      <c r="H811" t="s">
        <v>1246</v>
      </c>
      <c r="I811" t="s">
        <v>15</v>
      </c>
      <c r="J811" t="s">
        <v>32</v>
      </c>
      <c r="K811">
        <v>1191.3099999999949</v>
      </c>
    </row>
    <row r="812" spans="1:11" hidden="1" x14ac:dyDescent="0.25">
      <c r="A812" s="70">
        <v>810</v>
      </c>
      <c r="B812" t="s">
        <v>1291</v>
      </c>
      <c r="C812" t="s">
        <v>1291</v>
      </c>
      <c r="D812" t="s">
        <v>418</v>
      </c>
      <c r="E812">
        <v>23.26</v>
      </c>
      <c r="F812" t="s">
        <v>12</v>
      </c>
      <c r="G812" t="s">
        <v>18</v>
      </c>
      <c r="H812" t="s">
        <v>1246</v>
      </c>
      <c r="I812" t="s">
        <v>15</v>
      </c>
      <c r="J812" t="s">
        <v>16</v>
      </c>
      <c r="K812">
        <v>1214.5699999999949</v>
      </c>
    </row>
    <row r="813" spans="1:11" hidden="1" x14ac:dyDescent="0.25">
      <c r="A813" s="70">
        <v>811</v>
      </c>
      <c r="B813" t="s">
        <v>1292</v>
      </c>
      <c r="C813" t="s">
        <v>1292</v>
      </c>
      <c r="D813" t="s">
        <v>1293</v>
      </c>
      <c r="E813">
        <v>22.58</v>
      </c>
      <c r="F813" t="s">
        <v>53</v>
      </c>
      <c r="G813" t="s">
        <v>54</v>
      </c>
      <c r="H813" t="s">
        <v>1246</v>
      </c>
      <c r="I813" t="s">
        <v>15</v>
      </c>
      <c r="J813" t="s">
        <v>16</v>
      </c>
      <c r="K813">
        <v>1237.1499999999951</v>
      </c>
    </row>
    <row r="814" spans="1:11" hidden="1" x14ac:dyDescent="0.25">
      <c r="A814" s="70">
        <v>812</v>
      </c>
      <c r="B814" t="s">
        <v>1292</v>
      </c>
      <c r="C814" t="s">
        <v>1292</v>
      </c>
      <c r="D814" t="s">
        <v>1294</v>
      </c>
      <c r="E814">
        <v>13.13</v>
      </c>
      <c r="F814" t="s">
        <v>20</v>
      </c>
      <c r="G814" t="s">
        <v>1295</v>
      </c>
      <c r="H814" t="s">
        <v>1246</v>
      </c>
      <c r="I814" t="s">
        <v>15</v>
      </c>
      <c r="J814" t="s">
        <v>32</v>
      </c>
      <c r="K814">
        <v>1250.279999999995</v>
      </c>
    </row>
    <row r="815" spans="1:11" hidden="1" x14ac:dyDescent="0.25">
      <c r="A815" s="70">
        <v>813</v>
      </c>
      <c r="B815" t="s">
        <v>1296</v>
      </c>
      <c r="C815" t="s">
        <v>1296</v>
      </c>
      <c r="D815" t="s">
        <v>1297</v>
      </c>
      <c r="E815">
        <v>45</v>
      </c>
      <c r="F815" t="s">
        <v>56</v>
      </c>
      <c r="G815" t="s">
        <v>18</v>
      </c>
      <c r="H815" t="s">
        <v>1246</v>
      </c>
      <c r="I815" t="s">
        <v>15</v>
      </c>
      <c r="J815" t="s">
        <v>16</v>
      </c>
      <c r="K815">
        <v>1295.279999999995</v>
      </c>
    </row>
    <row r="816" spans="1:11" hidden="1" x14ac:dyDescent="0.25">
      <c r="A816" s="70">
        <v>814</v>
      </c>
      <c r="B816" t="s">
        <v>1298</v>
      </c>
      <c r="C816" t="s">
        <v>1298</v>
      </c>
      <c r="D816" t="s">
        <v>36</v>
      </c>
      <c r="E816">
        <v>-1227.7</v>
      </c>
      <c r="F816" t="s">
        <v>37</v>
      </c>
      <c r="G816" t="s">
        <v>38</v>
      </c>
      <c r="H816" t="s">
        <v>1246</v>
      </c>
      <c r="I816" t="s">
        <v>15</v>
      </c>
      <c r="J816" t="s">
        <v>973</v>
      </c>
      <c r="K816">
        <v>67.57999999999538</v>
      </c>
    </row>
    <row r="817" spans="1:11" hidden="1" x14ac:dyDescent="0.25">
      <c r="A817" s="70">
        <v>815</v>
      </c>
      <c r="B817" t="s">
        <v>1298</v>
      </c>
      <c r="C817" t="s">
        <v>1298</v>
      </c>
      <c r="D817" t="s">
        <v>1299</v>
      </c>
      <c r="E817">
        <v>21.09</v>
      </c>
      <c r="F817" t="s">
        <v>12</v>
      </c>
      <c r="G817" t="s">
        <v>18</v>
      </c>
      <c r="H817" t="s">
        <v>1246</v>
      </c>
      <c r="I817" t="s">
        <v>15</v>
      </c>
      <c r="J817" t="s">
        <v>16</v>
      </c>
      <c r="K817">
        <v>88.669999999995383</v>
      </c>
    </row>
    <row r="818" spans="1:11" hidden="1" x14ac:dyDescent="0.25">
      <c r="A818" s="70">
        <v>816</v>
      </c>
      <c r="B818" t="s">
        <v>1298</v>
      </c>
      <c r="C818" t="s">
        <v>1298</v>
      </c>
      <c r="D818" t="s">
        <v>1300</v>
      </c>
      <c r="E818">
        <v>9.91</v>
      </c>
      <c r="F818" t="s">
        <v>12</v>
      </c>
      <c r="G818" t="s">
        <v>18</v>
      </c>
      <c r="H818" t="s">
        <v>1246</v>
      </c>
      <c r="I818" t="s">
        <v>15</v>
      </c>
      <c r="J818" t="s">
        <v>16</v>
      </c>
      <c r="K818">
        <v>98.57999999999538</v>
      </c>
    </row>
    <row r="819" spans="1:11" hidden="1" x14ac:dyDescent="0.25">
      <c r="A819" s="70">
        <v>817</v>
      </c>
      <c r="B819" t="s">
        <v>1301</v>
      </c>
      <c r="C819" t="s">
        <v>1301</v>
      </c>
      <c r="D819" t="s">
        <v>255</v>
      </c>
      <c r="E819">
        <v>5</v>
      </c>
      <c r="F819" t="s">
        <v>30</v>
      </c>
      <c r="G819" t="s">
        <v>76</v>
      </c>
      <c r="H819" t="s">
        <v>1246</v>
      </c>
      <c r="I819" t="s">
        <v>15</v>
      </c>
      <c r="J819" t="s">
        <v>42</v>
      </c>
      <c r="K819">
        <v>103.57999999999539</v>
      </c>
    </row>
    <row r="820" spans="1:11" hidden="1" x14ac:dyDescent="0.25">
      <c r="A820" s="70">
        <v>818</v>
      </c>
      <c r="B820" t="s">
        <v>1301</v>
      </c>
      <c r="C820" t="s">
        <v>1301</v>
      </c>
      <c r="D820" t="s">
        <v>255</v>
      </c>
      <c r="E820">
        <v>19.96</v>
      </c>
      <c r="F820" t="s">
        <v>30</v>
      </c>
      <c r="G820" t="s">
        <v>76</v>
      </c>
      <c r="H820" t="s">
        <v>1246</v>
      </c>
      <c r="I820" t="s">
        <v>15</v>
      </c>
      <c r="J820" t="s">
        <v>42</v>
      </c>
      <c r="K820">
        <v>123.5399999999954</v>
      </c>
    </row>
    <row r="821" spans="1:11" hidden="1" x14ac:dyDescent="0.25">
      <c r="A821" s="70">
        <v>819</v>
      </c>
      <c r="B821" t="s">
        <v>1301</v>
      </c>
      <c r="C821" t="s">
        <v>1301</v>
      </c>
      <c r="D821" t="s">
        <v>255</v>
      </c>
      <c r="E821">
        <v>15.91</v>
      </c>
      <c r="F821" t="s">
        <v>30</v>
      </c>
      <c r="G821" t="s">
        <v>76</v>
      </c>
      <c r="H821" t="s">
        <v>1246</v>
      </c>
      <c r="I821" t="s">
        <v>15</v>
      </c>
      <c r="J821" t="s">
        <v>42</v>
      </c>
      <c r="K821">
        <v>139.44999999999541</v>
      </c>
    </row>
    <row r="822" spans="1:11" hidden="1" x14ac:dyDescent="0.25">
      <c r="A822" s="70">
        <v>820</v>
      </c>
      <c r="B822" t="s">
        <v>1301</v>
      </c>
      <c r="C822" t="s">
        <v>1301</v>
      </c>
      <c r="D822" t="s">
        <v>255</v>
      </c>
      <c r="E822">
        <v>5</v>
      </c>
      <c r="F822" t="s">
        <v>30</v>
      </c>
      <c r="G822" t="s">
        <v>76</v>
      </c>
      <c r="H822" t="s">
        <v>1246</v>
      </c>
      <c r="I822" t="s">
        <v>15</v>
      </c>
      <c r="J822" t="s">
        <v>42</v>
      </c>
      <c r="K822">
        <v>144.44999999999541</v>
      </c>
    </row>
    <row r="823" spans="1:11" hidden="1" x14ac:dyDescent="0.25">
      <c r="A823" s="70">
        <v>821</v>
      </c>
      <c r="B823" t="s">
        <v>1301</v>
      </c>
      <c r="C823" t="s">
        <v>1301</v>
      </c>
      <c r="D823" t="s">
        <v>1302</v>
      </c>
      <c r="E823">
        <v>120.11</v>
      </c>
      <c r="F823" t="s">
        <v>12</v>
      </c>
      <c r="G823" t="s">
        <v>18</v>
      </c>
      <c r="H823" t="s">
        <v>1246</v>
      </c>
      <c r="I823" t="s">
        <v>15</v>
      </c>
      <c r="J823" t="s">
        <v>16</v>
      </c>
      <c r="K823">
        <v>264.5599999999954</v>
      </c>
    </row>
    <row r="824" spans="1:11" hidden="1" x14ac:dyDescent="0.25">
      <c r="A824" s="70">
        <v>822</v>
      </c>
      <c r="B824" t="s">
        <v>1301</v>
      </c>
      <c r="C824" t="s">
        <v>1301</v>
      </c>
      <c r="D824" t="s">
        <v>1303</v>
      </c>
      <c r="E824">
        <v>23.9</v>
      </c>
      <c r="F824" t="s">
        <v>30</v>
      </c>
      <c r="G824" t="s">
        <v>76</v>
      </c>
      <c r="H824" t="s">
        <v>1246</v>
      </c>
      <c r="I824" t="s">
        <v>15</v>
      </c>
      <c r="J824" t="s">
        <v>42</v>
      </c>
      <c r="K824">
        <v>288.45999999999538</v>
      </c>
    </row>
    <row r="825" spans="1:11" hidden="1" x14ac:dyDescent="0.25">
      <c r="A825" s="70">
        <v>823</v>
      </c>
      <c r="B825" t="s">
        <v>1301</v>
      </c>
      <c r="C825" t="s">
        <v>1301</v>
      </c>
      <c r="D825" t="s">
        <v>1304</v>
      </c>
      <c r="E825">
        <v>138.53</v>
      </c>
      <c r="F825" t="s">
        <v>30</v>
      </c>
      <c r="G825" t="s">
        <v>1305</v>
      </c>
      <c r="H825" t="s">
        <v>1246</v>
      </c>
      <c r="I825" t="s">
        <v>15</v>
      </c>
      <c r="J825" t="s">
        <v>245</v>
      </c>
      <c r="K825">
        <v>426.98999999999529</v>
      </c>
    </row>
    <row r="826" spans="1:11" hidden="1" x14ac:dyDescent="0.25">
      <c r="A826" s="70">
        <v>824</v>
      </c>
      <c r="B826" t="s">
        <v>1301</v>
      </c>
      <c r="C826" t="s">
        <v>1301</v>
      </c>
      <c r="D826" t="s">
        <v>1306</v>
      </c>
      <c r="E826">
        <v>54.45</v>
      </c>
      <c r="F826" t="s">
        <v>30</v>
      </c>
      <c r="H826" t="s">
        <v>1246</v>
      </c>
      <c r="I826" t="s">
        <v>15</v>
      </c>
      <c r="K826">
        <v>481.43999999999528</v>
      </c>
    </row>
    <row r="827" spans="1:11" hidden="1" x14ac:dyDescent="0.25">
      <c r="A827" s="70">
        <v>825</v>
      </c>
      <c r="B827" t="s">
        <v>1301</v>
      </c>
      <c r="C827" t="s">
        <v>1301</v>
      </c>
      <c r="D827" t="s">
        <v>1307</v>
      </c>
      <c r="E827">
        <v>19.72</v>
      </c>
      <c r="F827" t="s">
        <v>30</v>
      </c>
      <c r="G827" t="s">
        <v>147</v>
      </c>
      <c r="H827" t="s">
        <v>1246</v>
      </c>
      <c r="I827" t="s">
        <v>15</v>
      </c>
      <c r="J827" t="s">
        <v>23</v>
      </c>
      <c r="K827">
        <v>501.15999999999531</v>
      </c>
    </row>
    <row r="828" spans="1:11" hidden="1" x14ac:dyDescent="0.25">
      <c r="A828" s="70">
        <v>826</v>
      </c>
      <c r="B828" t="s">
        <v>1301</v>
      </c>
      <c r="C828" t="s">
        <v>1301</v>
      </c>
      <c r="D828" t="s">
        <v>1308</v>
      </c>
      <c r="E828">
        <v>120.27</v>
      </c>
      <c r="F828" t="s">
        <v>30</v>
      </c>
      <c r="G828" t="s">
        <v>1309</v>
      </c>
      <c r="H828" t="s">
        <v>1246</v>
      </c>
      <c r="I828" t="s">
        <v>15</v>
      </c>
      <c r="J828" t="s">
        <v>23</v>
      </c>
      <c r="K828">
        <v>621.42999999999529</v>
      </c>
    </row>
    <row r="829" spans="1:11" hidden="1" x14ac:dyDescent="0.25">
      <c r="A829" s="70">
        <v>827</v>
      </c>
      <c r="B829" t="s">
        <v>1301</v>
      </c>
      <c r="C829" t="s">
        <v>1301</v>
      </c>
      <c r="D829" t="s">
        <v>1308</v>
      </c>
      <c r="E829">
        <v>46.46</v>
      </c>
      <c r="F829" t="s">
        <v>30</v>
      </c>
      <c r="G829" t="s">
        <v>1309</v>
      </c>
      <c r="H829" t="s">
        <v>1246</v>
      </c>
      <c r="I829" t="s">
        <v>15</v>
      </c>
      <c r="J829" t="s">
        <v>23</v>
      </c>
      <c r="K829">
        <v>667.88999999999533</v>
      </c>
    </row>
    <row r="830" spans="1:11" hidden="1" x14ac:dyDescent="0.25">
      <c r="A830" s="70">
        <v>828</v>
      </c>
      <c r="B830" t="s">
        <v>1301</v>
      </c>
      <c r="C830" t="s">
        <v>1301</v>
      </c>
      <c r="D830" t="s">
        <v>393</v>
      </c>
      <c r="E830">
        <v>69</v>
      </c>
      <c r="F830" t="s">
        <v>30</v>
      </c>
      <c r="G830" t="s">
        <v>394</v>
      </c>
      <c r="H830" t="s">
        <v>1246</v>
      </c>
      <c r="I830" t="s">
        <v>15</v>
      </c>
      <c r="J830" t="s">
        <v>42</v>
      </c>
      <c r="K830">
        <v>736.88999999999533</v>
      </c>
    </row>
    <row r="831" spans="1:11" hidden="1" x14ac:dyDescent="0.25">
      <c r="A831" s="70">
        <v>829</v>
      </c>
      <c r="B831" t="s">
        <v>1310</v>
      </c>
      <c r="C831" t="s">
        <v>1310</v>
      </c>
      <c r="D831" t="s">
        <v>1311</v>
      </c>
      <c r="E831">
        <v>29</v>
      </c>
      <c r="F831" t="s">
        <v>56</v>
      </c>
      <c r="G831" t="s">
        <v>277</v>
      </c>
      <c r="H831" t="s">
        <v>1246</v>
      </c>
      <c r="I831" t="s">
        <v>15</v>
      </c>
      <c r="J831" t="s">
        <v>32</v>
      </c>
      <c r="K831">
        <v>765.88999999999533</v>
      </c>
    </row>
    <row r="832" spans="1:11" hidden="1" x14ac:dyDescent="0.25">
      <c r="A832" s="70">
        <v>830</v>
      </c>
      <c r="B832" t="s">
        <v>1310</v>
      </c>
      <c r="C832" t="s">
        <v>1310</v>
      </c>
      <c r="D832" t="s">
        <v>1303</v>
      </c>
      <c r="E832">
        <v>21.99</v>
      </c>
      <c r="F832" t="s">
        <v>30</v>
      </c>
      <c r="G832" t="s">
        <v>76</v>
      </c>
      <c r="H832" t="s">
        <v>1246</v>
      </c>
      <c r="I832" t="s">
        <v>15</v>
      </c>
      <c r="J832" t="s">
        <v>42</v>
      </c>
      <c r="K832">
        <v>787.87999999999533</v>
      </c>
    </row>
    <row r="833" spans="1:11" hidden="1" x14ac:dyDescent="0.25">
      <c r="A833" s="70">
        <v>831</v>
      </c>
      <c r="B833" t="s">
        <v>1310</v>
      </c>
      <c r="C833" t="s">
        <v>1310</v>
      </c>
      <c r="D833" t="s">
        <v>1303</v>
      </c>
      <c r="E833">
        <v>15.9</v>
      </c>
      <c r="F833" t="s">
        <v>30</v>
      </c>
      <c r="G833" t="s">
        <v>76</v>
      </c>
      <c r="H833" t="s">
        <v>1246</v>
      </c>
      <c r="I833" t="s">
        <v>15</v>
      </c>
      <c r="J833" t="s">
        <v>42</v>
      </c>
      <c r="K833">
        <v>803.77999999999531</v>
      </c>
    </row>
    <row r="834" spans="1:11" hidden="1" x14ac:dyDescent="0.25">
      <c r="A834" s="70">
        <v>832</v>
      </c>
      <c r="B834" t="s">
        <v>1310</v>
      </c>
      <c r="C834" t="s">
        <v>1310</v>
      </c>
      <c r="D834" t="s">
        <v>1312</v>
      </c>
      <c r="E834">
        <v>7.93</v>
      </c>
      <c r="F834" t="s">
        <v>53</v>
      </c>
      <c r="G834" t="s">
        <v>72</v>
      </c>
      <c r="H834" t="s">
        <v>1246</v>
      </c>
      <c r="I834" t="s">
        <v>15</v>
      </c>
      <c r="J834" t="s">
        <v>32</v>
      </c>
      <c r="K834">
        <v>811.70999999999526</v>
      </c>
    </row>
    <row r="835" spans="1:11" hidden="1" x14ac:dyDescent="0.25">
      <c r="A835" s="70">
        <v>833</v>
      </c>
      <c r="B835" t="s">
        <v>1310</v>
      </c>
      <c r="C835" t="s">
        <v>1310</v>
      </c>
      <c r="D835" t="s">
        <v>1313</v>
      </c>
      <c r="E835">
        <v>11.04</v>
      </c>
      <c r="F835" t="s">
        <v>12</v>
      </c>
      <c r="G835" t="s">
        <v>18</v>
      </c>
      <c r="H835" t="s">
        <v>1246</v>
      </c>
      <c r="I835" t="s">
        <v>15</v>
      </c>
      <c r="J835" t="s">
        <v>16</v>
      </c>
      <c r="K835">
        <v>822.74999999999523</v>
      </c>
    </row>
    <row r="836" spans="1:11" hidden="1" x14ac:dyDescent="0.25">
      <c r="A836" s="70">
        <v>834</v>
      </c>
      <c r="B836" t="s">
        <v>1310</v>
      </c>
      <c r="C836" t="s">
        <v>1310</v>
      </c>
      <c r="D836" t="s">
        <v>1314</v>
      </c>
      <c r="E836">
        <v>13.5</v>
      </c>
      <c r="F836" t="s">
        <v>20</v>
      </c>
      <c r="G836" t="s">
        <v>18</v>
      </c>
      <c r="H836" t="s">
        <v>1246</v>
      </c>
      <c r="I836" t="s">
        <v>15</v>
      </c>
      <c r="J836" t="s">
        <v>16</v>
      </c>
      <c r="K836">
        <v>836.24999999999523</v>
      </c>
    </row>
    <row r="837" spans="1:11" hidden="1" x14ac:dyDescent="0.25">
      <c r="A837" s="70">
        <v>835</v>
      </c>
      <c r="B837" t="s">
        <v>1310</v>
      </c>
      <c r="C837" t="s">
        <v>1310</v>
      </c>
      <c r="D837" t="s">
        <v>1315</v>
      </c>
      <c r="E837">
        <v>55.75</v>
      </c>
      <c r="F837" t="s">
        <v>12</v>
      </c>
      <c r="G837" t="s">
        <v>18</v>
      </c>
      <c r="H837" t="s">
        <v>1246</v>
      </c>
      <c r="I837" t="s">
        <v>15</v>
      </c>
      <c r="J837" t="s">
        <v>16</v>
      </c>
      <c r="K837">
        <v>891.99999999999523</v>
      </c>
    </row>
    <row r="838" spans="1:11" hidden="1" x14ac:dyDescent="0.25">
      <c r="A838" s="70">
        <v>836</v>
      </c>
      <c r="B838" t="s">
        <v>1310</v>
      </c>
      <c r="C838" t="s">
        <v>1310</v>
      </c>
      <c r="D838" t="s">
        <v>1316</v>
      </c>
      <c r="E838">
        <v>32.700000000000003</v>
      </c>
      <c r="F838" t="s">
        <v>12</v>
      </c>
      <c r="G838" t="s">
        <v>13</v>
      </c>
      <c r="H838" t="s">
        <v>1246</v>
      </c>
      <c r="I838" t="s">
        <v>15</v>
      </c>
      <c r="J838" t="s">
        <v>16</v>
      </c>
      <c r="K838">
        <v>924.69999999999527</v>
      </c>
    </row>
    <row r="839" spans="1:11" hidden="1" x14ac:dyDescent="0.25">
      <c r="A839" s="70">
        <v>837</v>
      </c>
      <c r="B839" t="s">
        <v>1317</v>
      </c>
      <c r="C839" t="s">
        <v>1317</v>
      </c>
      <c r="D839" t="s">
        <v>1318</v>
      </c>
      <c r="E839">
        <v>9.44</v>
      </c>
      <c r="F839" t="s">
        <v>20</v>
      </c>
      <c r="G839" t="s">
        <v>18</v>
      </c>
      <c r="H839" t="s">
        <v>1246</v>
      </c>
      <c r="I839" t="s">
        <v>15</v>
      </c>
      <c r="J839" t="s">
        <v>16</v>
      </c>
      <c r="K839">
        <v>934.13999999999533</v>
      </c>
    </row>
    <row r="840" spans="1:11" hidden="1" x14ac:dyDescent="0.25">
      <c r="A840" s="70">
        <v>838</v>
      </c>
      <c r="B840" t="s">
        <v>1317</v>
      </c>
      <c r="C840" t="s">
        <v>1317</v>
      </c>
      <c r="D840" t="s">
        <v>1311</v>
      </c>
      <c r="E840">
        <v>29</v>
      </c>
      <c r="F840" t="s">
        <v>56</v>
      </c>
      <c r="G840" t="s">
        <v>277</v>
      </c>
      <c r="H840" t="s">
        <v>1246</v>
      </c>
      <c r="I840" t="s">
        <v>15</v>
      </c>
      <c r="J840" t="s">
        <v>32</v>
      </c>
      <c r="K840">
        <v>963.13999999999533</v>
      </c>
    </row>
    <row r="841" spans="1:11" hidden="1" x14ac:dyDescent="0.25">
      <c r="A841" s="70">
        <v>839</v>
      </c>
      <c r="B841" t="s">
        <v>1317</v>
      </c>
      <c r="C841" t="s">
        <v>1317</v>
      </c>
      <c r="D841" t="s">
        <v>1311</v>
      </c>
      <c r="E841">
        <v>29</v>
      </c>
      <c r="F841" t="s">
        <v>56</v>
      </c>
      <c r="G841" t="s">
        <v>277</v>
      </c>
      <c r="H841" t="s">
        <v>1246</v>
      </c>
      <c r="I841" t="s">
        <v>15</v>
      </c>
      <c r="J841" t="s">
        <v>32</v>
      </c>
      <c r="K841">
        <v>992.13999999999533</v>
      </c>
    </row>
    <row r="842" spans="1:11" hidden="1" x14ac:dyDescent="0.25">
      <c r="A842" s="70">
        <v>840</v>
      </c>
      <c r="B842" t="s">
        <v>1317</v>
      </c>
      <c r="C842" t="s">
        <v>1317</v>
      </c>
      <c r="D842" t="s">
        <v>1303</v>
      </c>
      <c r="E842">
        <v>25.11</v>
      </c>
      <c r="F842" t="s">
        <v>30</v>
      </c>
      <c r="G842" t="s">
        <v>76</v>
      </c>
      <c r="H842" t="s">
        <v>1246</v>
      </c>
      <c r="I842" t="s">
        <v>15</v>
      </c>
      <c r="J842" t="s">
        <v>42</v>
      </c>
      <c r="K842">
        <v>1017.249999999995</v>
      </c>
    </row>
    <row r="843" spans="1:11" hidden="1" x14ac:dyDescent="0.25">
      <c r="A843" s="70">
        <v>841</v>
      </c>
      <c r="B843" t="s">
        <v>1317</v>
      </c>
      <c r="C843" t="s">
        <v>1317</v>
      </c>
      <c r="D843" t="s">
        <v>1319</v>
      </c>
      <c r="E843">
        <v>33.799999999999997</v>
      </c>
      <c r="F843" t="s">
        <v>12</v>
      </c>
      <c r="G843" t="s">
        <v>18</v>
      </c>
      <c r="H843" t="s">
        <v>1246</v>
      </c>
      <c r="I843" t="s">
        <v>15</v>
      </c>
      <c r="J843" t="s">
        <v>16</v>
      </c>
      <c r="K843">
        <v>1051.049999999995</v>
      </c>
    </row>
    <row r="844" spans="1:11" hidden="1" x14ac:dyDescent="0.25">
      <c r="A844" s="70">
        <v>842</v>
      </c>
      <c r="B844" t="s">
        <v>1317</v>
      </c>
      <c r="C844" t="s">
        <v>1317</v>
      </c>
      <c r="D844" t="s">
        <v>1303</v>
      </c>
      <c r="E844">
        <v>3</v>
      </c>
      <c r="F844" t="s">
        <v>30</v>
      </c>
      <c r="G844" t="s">
        <v>76</v>
      </c>
      <c r="H844" t="s">
        <v>1246</v>
      </c>
      <c r="I844" t="s">
        <v>15</v>
      </c>
      <c r="J844" t="s">
        <v>42</v>
      </c>
      <c r="K844">
        <v>1054.049999999995</v>
      </c>
    </row>
    <row r="845" spans="1:11" hidden="1" x14ac:dyDescent="0.25">
      <c r="A845" s="70">
        <v>843</v>
      </c>
      <c r="B845" t="s">
        <v>1317</v>
      </c>
      <c r="C845" t="s">
        <v>1317</v>
      </c>
      <c r="D845" t="s">
        <v>1320</v>
      </c>
      <c r="E845">
        <v>10.98</v>
      </c>
      <c r="F845" t="s">
        <v>20</v>
      </c>
      <c r="G845" t="s">
        <v>18</v>
      </c>
      <c r="H845" t="s">
        <v>1246</v>
      </c>
      <c r="I845" t="s">
        <v>15</v>
      </c>
      <c r="J845" t="s">
        <v>16</v>
      </c>
      <c r="K845">
        <v>1065.029999999995</v>
      </c>
    </row>
    <row r="846" spans="1:11" hidden="1" x14ac:dyDescent="0.25">
      <c r="A846" s="70">
        <v>844</v>
      </c>
      <c r="B846" t="s">
        <v>1317</v>
      </c>
      <c r="C846" t="s">
        <v>1317</v>
      </c>
      <c r="D846" t="s">
        <v>1321</v>
      </c>
      <c r="E846">
        <v>44.03</v>
      </c>
      <c r="F846" t="s">
        <v>20</v>
      </c>
      <c r="G846" t="s">
        <v>18</v>
      </c>
      <c r="H846" t="s">
        <v>1246</v>
      </c>
      <c r="I846" t="s">
        <v>15</v>
      </c>
      <c r="J846" t="s">
        <v>16</v>
      </c>
      <c r="K846">
        <v>1109.0599999999949</v>
      </c>
    </row>
    <row r="847" spans="1:11" hidden="1" x14ac:dyDescent="0.25">
      <c r="A847" s="70">
        <v>845</v>
      </c>
      <c r="B847" t="s">
        <v>1317</v>
      </c>
      <c r="C847" t="s">
        <v>1317</v>
      </c>
      <c r="D847" t="s">
        <v>1303</v>
      </c>
      <c r="E847">
        <v>16.98</v>
      </c>
      <c r="F847" t="s">
        <v>30</v>
      </c>
      <c r="G847" t="s">
        <v>76</v>
      </c>
      <c r="H847" t="s">
        <v>1246</v>
      </c>
      <c r="I847" t="s">
        <v>15</v>
      </c>
      <c r="J847" t="s">
        <v>42</v>
      </c>
      <c r="K847">
        <v>1126.039999999995</v>
      </c>
    </row>
    <row r="848" spans="1:11" hidden="1" x14ac:dyDescent="0.25">
      <c r="A848" s="70">
        <v>846</v>
      </c>
      <c r="B848" t="s">
        <v>1322</v>
      </c>
      <c r="C848" t="s">
        <v>1322</v>
      </c>
      <c r="D848" t="s">
        <v>379</v>
      </c>
      <c r="E848">
        <v>10.62</v>
      </c>
      <c r="F848" t="s">
        <v>20</v>
      </c>
      <c r="G848" t="s">
        <v>80</v>
      </c>
      <c r="H848" t="s">
        <v>1246</v>
      </c>
      <c r="I848" t="s">
        <v>15</v>
      </c>
      <c r="J848" t="s">
        <v>23</v>
      </c>
      <c r="K848">
        <v>1136.6599999999951</v>
      </c>
    </row>
    <row r="849" spans="1:11" hidden="1" x14ac:dyDescent="0.25">
      <c r="A849" s="70">
        <v>847</v>
      </c>
      <c r="B849" t="s">
        <v>1322</v>
      </c>
      <c r="C849" t="s">
        <v>1322</v>
      </c>
      <c r="D849" t="s">
        <v>1303</v>
      </c>
      <c r="E849">
        <v>58.54</v>
      </c>
      <c r="F849" t="s">
        <v>30</v>
      </c>
      <c r="G849" t="s">
        <v>76</v>
      </c>
      <c r="H849" t="s">
        <v>1246</v>
      </c>
      <c r="I849" t="s">
        <v>15</v>
      </c>
      <c r="J849" t="s">
        <v>42</v>
      </c>
      <c r="K849">
        <v>1195.199999999995</v>
      </c>
    </row>
    <row r="850" spans="1:11" hidden="1" x14ac:dyDescent="0.25">
      <c r="A850" s="70">
        <v>848</v>
      </c>
      <c r="B850" t="s">
        <v>1323</v>
      </c>
      <c r="C850" t="s">
        <v>1323</v>
      </c>
      <c r="D850" t="s">
        <v>58</v>
      </c>
      <c r="E850">
        <v>3.17</v>
      </c>
      <c r="F850" t="s">
        <v>20</v>
      </c>
      <c r="G850" t="s">
        <v>337</v>
      </c>
      <c r="H850" t="s">
        <v>1246</v>
      </c>
      <c r="I850" t="s">
        <v>22</v>
      </c>
      <c r="J850" t="s">
        <v>23</v>
      </c>
      <c r="K850">
        <v>1198.3699999999949</v>
      </c>
    </row>
    <row r="851" spans="1:11" hidden="1" x14ac:dyDescent="0.25">
      <c r="A851" s="70">
        <v>849</v>
      </c>
      <c r="B851" t="s">
        <v>1323</v>
      </c>
      <c r="C851" t="s">
        <v>1323</v>
      </c>
      <c r="D851" t="s">
        <v>1194</v>
      </c>
      <c r="E851">
        <v>15.62</v>
      </c>
      <c r="F851" t="s">
        <v>12</v>
      </c>
      <c r="G851" t="s">
        <v>13</v>
      </c>
      <c r="H851" t="s">
        <v>1246</v>
      </c>
      <c r="I851" t="s">
        <v>15</v>
      </c>
      <c r="J851" t="s">
        <v>16</v>
      </c>
      <c r="K851">
        <v>1213.989999999995</v>
      </c>
    </row>
    <row r="852" spans="1:11" hidden="1" x14ac:dyDescent="0.25">
      <c r="A852" s="70">
        <v>850</v>
      </c>
      <c r="B852" t="s">
        <v>1324</v>
      </c>
      <c r="C852" t="s">
        <v>1324</v>
      </c>
      <c r="D852" t="s">
        <v>1194</v>
      </c>
      <c r="E852">
        <v>12.06</v>
      </c>
      <c r="F852" t="s">
        <v>12</v>
      </c>
      <c r="G852" t="s">
        <v>13</v>
      </c>
      <c r="H852" t="s">
        <v>1246</v>
      </c>
      <c r="I852" t="s">
        <v>15</v>
      </c>
      <c r="J852" t="s">
        <v>16</v>
      </c>
      <c r="K852">
        <v>1226.049999999995</v>
      </c>
    </row>
    <row r="853" spans="1:11" hidden="1" x14ac:dyDescent="0.25">
      <c r="A853" s="70">
        <v>851</v>
      </c>
      <c r="B853" t="s">
        <v>1324</v>
      </c>
      <c r="C853" t="s">
        <v>1324</v>
      </c>
      <c r="D853" t="s">
        <v>414</v>
      </c>
      <c r="E853">
        <v>18.23</v>
      </c>
      <c r="F853" t="s">
        <v>53</v>
      </c>
      <c r="G853" t="s">
        <v>54</v>
      </c>
      <c r="H853" t="s">
        <v>1246</v>
      </c>
      <c r="I853" t="s">
        <v>15</v>
      </c>
      <c r="J853" t="s">
        <v>16</v>
      </c>
      <c r="K853">
        <v>1244.279999999995</v>
      </c>
    </row>
    <row r="854" spans="1:11" hidden="1" x14ac:dyDescent="0.25">
      <c r="A854" s="70">
        <v>852</v>
      </c>
      <c r="B854" t="s">
        <v>1324</v>
      </c>
      <c r="C854" t="s">
        <v>1324</v>
      </c>
      <c r="D854" t="s">
        <v>1218</v>
      </c>
      <c r="E854">
        <v>83.77</v>
      </c>
      <c r="F854" t="s">
        <v>53</v>
      </c>
      <c r="G854" t="s">
        <v>72</v>
      </c>
      <c r="H854" t="s">
        <v>1246</v>
      </c>
      <c r="I854" t="s">
        <v>15</v>
      </c>
      <c r="J854" t="s">
        <v>32</v>
      </c>
      <c r="K854">
        <v>1328.049999999995</v>
      </c>
    </row>
    <row r="855" spans="1:11" hidden="1" x14ac:dyDescent="0.25">
      <c r="A855" s="70">
        <v>853</v>
      </c>
      <c r="B855" t="s">
        <v>1325</v>
      </c>
      <c r="C855" t="s">
        <v>1325</v>
      </c>
      <c r="D855" t="s">
        <v>1326</v>
      </c>
      <c r="E855">
        <v>7.4</v>
      </c>
      <c r="F855" t="s">
        <v>12</v>
      </c>
      <c r="G855" t="s">
        <v>18</v>
      </c>
      <c r="H855" t="s">
        <v>1246</v>
      </c>
      <c r="I855" t="s">
        <v>15</v>
      </c>
      <c r="J855" t="s">
        <v>16</v>
      </c>
      <c r="K855">
        <v>1335.449999999995</v>
      </c>
    </row>
    <row r="856" spans="1:11" hidden="1" x14ac:dyDescent="0.25">
      <c r="A856" s="70">
        <v>854</v>
      </c>
      <c r="B856" t="s">
        <v>1325</v>
      </c>
      <c r="C856" t="s">
        <v>1325</v>
      </c>
      <c r="D856" t="s">
        <v>1327</v>
      </c>
      <c r="E856">
        <v>42.83</v>
      </c>
      <c r="F856" t="s">
        <v>20</v>
      </c>
      <c r="G856" t="s">
        <v>1328</v>
      </c>
      <c r="H856" t="s">
        <v>1246</v>
      </c>
      <c r="I856" t="s">
        <v>15</v>
      </c>
      <c r="J856" t="s">
        <v>32</v>
      </c>
      <c r="K856">
        <v>1378.279999999995</v>
      </c>
    </row>
    <row r="857" spans="1:11" hidden="1" x14ac:dyDescent="0.25">
      <c r="A857" s="70">
        <v>855</v>
      </c>
      <c r="B857" t="s">
        <v>1325</v>
      </c>
      <c r="C857" t="s">
        <v>1325</v>
      </c>
      <c r="D857" t="s">
        <v>1329</v>
      </c>
      <c r="E857">
        <v>141.87</v>
      </c>
      <c r="F857" t="s">
        <v>20</v>
      </c>
      <c r="G857" t="s">
        <v>1270</v>
      </c>
      <c r="H857" t="s">
        <v>1246</v>
      </c>
      <c r="I857" t="s">
        <v>15</v>
      </c>
      <c r="J857" t="s">
        <v>23</v>
      </c>
      <c r="K857">
        <v>1520.1499999999951</v>
      </c>
    </row>
    <row r="858" spans="1:11" hidden="1" x14ac:dyDescent="0.25">
      <c r="A858" s="70">
        <v>856</v>
      </c>
      <c r="B858" t="s">
        <v>1325</v>
      </c>
      <c r="C858" t="s">
        <v>1325</v>
      </c>
      <c r="D858" t="s">
        <v>1330</v>
      </c>
      <c r="E858">
        <v>25.04</v>
      </c>
      <c r="F858" t="s">
        <v>20</v>
      </c>
      <c r="G858" t="s">
        <v>27</v>
      </c>
      <c r="H858" t="s">
        <v>1246</v>
      </c>
      <c r="I858" t="s">
        <v>15</v>
      </c>
      <c r="J858" t="s">
        <v>32</v>
      </c>
      <c r="K858">
        <v>1545.1899999999951</v>
      </c>
    </row>
    <row r="859" spans="1:11" hidden="1" x14ac:dyDescent="0.25">
      <c r="A859" s="70">
        <v>857</v>
      </c>
      <c r="B859" t="s">
        <v>1325</v>
      </c>
      <c r="C859" t="s">
        <v>1325</v>
      </c>
      <c r="D859" t="s">
        <v>1331</v>
      </c>
      <c r="E859">
        <v>51.94</v>
      </c>
      <c r="F859" t="s">
        <v>40</v>
      </c>
      <c r="G859" t="s">
        <v>41</v>
      </c>
      <c r="H859" t="s">
        <v>1246</v>
      </c>
      <c r="I859" t="s">
        <v>15</v>
      </c>
      <c r="J859" t="s">
        <v>42</v>
      </c>
      <c r="K859">
        <v>1597.1299999999951</v>
      </c>
    </row>
    <row r="860" spans="1:11" hidden="1" x14ac:dyDescent="0.25">
      <c r="A860" s="70">
        <v>858</v>
      </c>
      <c r="B860" t="s">
        <v>1332</v>
      </c>
      <c r="C860" t="s">
        <v>1332</v>
      </c>
      <c r="D860" t="s">
        <v>1333</v>
      </c>
      <c r="E860">
        <v>95.58</v>
      </c>
      <c r="F860" t="s">
        <v>20</v>
      </c>
      <c r="G860" t="s">
        <v>1328</v>
      </c>
      <c r="H860" t="s">
        <v>1246</v>
      </c>
      <c r="I860" t="s">
        <v>15</v>
      </c>
      <c r="J860" t="s">
        <v>32</v>
      </c>
      <c r="K860">
        <v>1692.709999999995</v>
      </c>
    </row>
    <row r="861" spans="1:11" hidden="1" x14ac:dyDescent="0.25">
      <c r="A861" s="70">
        <v>859</v>
      </c>
      <c r="B861" t="s">
        <v>1332</v>
      </c>
      <c r="C861" t="s">
        <v>1332</v>
      </c>
      <c r="D861" t="s">
        <v>1334</v>
      </c>
      <c r="E861">
        <v>14.25</v>
      </c>
      <c r="F861" t="s">
        <v>12</v>
      </c>
      <c r="G861" t="s">
        <v>13</v>
      </c>
      <c r="H861" t="s">
        <v>1246</v>
      </c>
      <c r="I861" t="s">
        <v>15</v>
      </c>
      <c r="J861" t="s">
        <v>16</v>
      </c>
      <c r="K861">
        <v>1706.959999999995</v>
      </c>
    </row>
    <row r="862" spans="1:11" hidden="1" x14ac:dyDescent="0.25">
      <c r="A862" s="70">
        <v>860</v>
      </c>
      <c r="B862" t="s">
        <v>1332</v>
      </c>
      <c r="C862" t="s">
        <v>1332</v>
      </c>
      <c r="D862" t="s">
        <v>1335</v>
      </c>
      <c r="E862">
        <v>7.2</v>
      </c>
      <c r="F862" t="s">
        <v>455</v>
      </c>
      <c r="G862" t="s">
        <v>456</v>
      </c>
      <c r="H862" t="s">
        <v>1246</v>
      </c>
      <c r="I862" t="s">
        <v>15</v>
      </c>
      <c r="J862" t="s">
        <v>245</v>
      </c>
      <c r="K862">
        <v>1714.1599999999951</v>
      </c>
    </row>
    <row r="863" spans="1:11" hidden="1" x14ac:dyDescent="0.25">
      <c r="A863" s="70">
        <v>861</v>
      </c>
      <c r="B863" t="s">
        <v>1336</v>
      </c>
      <c r="C863" t="s">
        <v>1336</v>
      </c>
      <c r="D863" t="s">
        <v>1169</v>
      </c>
      <c r="E863">
        <v>10</v>
      </c>
      <c r="F863" t="s">
        <v>20</v>
      </c>
      <c r="G863" t="s">
        <v>94</v>
      </c>
      <c r="H863" t="s">
        <v>1337</v>
      </c>
      <c r="I863" t="s">
        <v>15</v>
      </c>
      <c r="J863" t="s">
        <v>32</v>
      </c>
      <c r="K863">
        <v>1724.1599999999951</v>
      </c>
    </row>
    <row r="864" spans="1:11" hidden="1" x14ac:dyDescent="0.25">
      <c r="A864" s="70">
        <v>862</v>
      </c>
      <c r="B864" t="s">
        <v>1336</v>
      </c>
      <c r="C864" t="s">
        <v>1336</v>
      </c>
      <c r="D864" t="s">
        <v>1334</v>
      </c>
      <c r="E864">
        <v>12.61</v>
      </c>
      <c r="F864" t="s">
        <v>12</v>
      </c>
      <c r="G864" t="s">
        <v>13</v>
      </c>
      <c r="H864" t="s">
        <v>1337</v>
      </c>
      <c r="I864" t="s">
        <v>15</v>
      </c>
      <c r="J864" t="s">
        <v>16</v>
      </c>
      <c r="K864">
        <v>1736.769999999995</v>
      </c>
    </row>
    <row r="865" spans="1:11" hidden="1" x14ac:dyDescent="0.25">
      <c r="A865" s="70">
        <v>863</v>
      </c>
      <c r="B865" t="s">
        <v>1336</v>
      </c>
      <c r="C865" t="s">
        <v>1336</v>
      </c>
      <c r="D865" t="s">
        <v>1338</v>
      </c>
      <c r="E865">
        <v>12.84</v>
      </c>
      <c r="F865" t="s">
        <v>12</v>
      </c>
      <c r="G865" t="s">
        <v>18</v>
      </c>
      <c r="H865" t="s">
        <v>1337</v>
      </c>
      <c r="I865" t="s">
        <v>15</v>
      </c>
      <c r="J865" t="s">
        <v>16</v>
      </c>
      <c r="K865">
        <v>1749.6099999999949</v>
      </c>
    </row>
    <row r="866" spans="1:11" hidden="1" x14ac:dyDescent="0.25">
      <c r="A866" s="70">
        <v>864</v>
      </c>
      <c r="B866" t="s">
        <v>1336</v>
      </c>
      <c r="C866" t="s">
        <v>1339</v>
      </c>
      <c r="D866" t="s">
        <v>19</v>
      </c>
      <c r="E866">
        <v>10.59</v>
      </c>
      <c r="F866" t="s">
        <v>20</v>
      </c>
      <c r="G866" t="s">
        <v>21</v>
      </c>
      <c r="H866" t="s">
        <v>1337</v>
      </c>
      <c r="I866" t="s">
        <v>22</v>
      </c>
      <c r="J866" t="s">
        <v>23</v>
      </c>
      <c r="K866">
        <v>1760.199999999995</v>
      </c>
    </row>
    <row r="867" spans="1:11" hidden="1" x14ac:dyDescent="0.25">
      <c r="A867" s="70">
        <v>865</v>
      </c>
      <c r="B867" t="s">
        <v>1336</v>
      </c>
      <c r="C867" t="s">
        <v>1339</v>
      </c>
      <c r="D867" t="s">
        <v>408</v>
      </c>
      <c r="E867">
        <v>25</v>
      </c>
      <c r="F867" t="s">
        <v>56</v>
      </c>
      <c r="G867" t="s">
        <v>409</v>
      </c>
      <c r="H867" t="s">
        <v>1337</v>
      </c>
      <c r="I867" t="s">
        <v>22</v>
      </c>
      <c r="J867" t="s">
        <v>32</v>
      </c>
      <c r="K867">
        <v>1785.199999999995</v>
      </c>
    </row>
    <row r="868" spans="1:11" x14ac:dyDescent="0.25">
      <c r="A868" s="70">
        <v>866</v>
      </c>
      <c r="B868" t="s">
        <v>1336</v>
      </c>
      <c r="C868" t="s">
        <v>1339</v>
      </c>
      <c r="D868" t="s">
        <v>1340</v>
      </c>
      <c r="E868">
        <v>9.99</v>
      </c>
      <c r="F868" t="s">
        <v>20</v>
      </c>
      <c r="G868" t="s">
        <v>25</v>
      </c>
      <c r="H868" t="s">
        <v>1337</v>
      </c>
      <c r="I868" t="s">
        <v>22</v>
      </c>
      <c r="J868" t="s">
        <v>23</v>
      </c>
      <c r="K868">
        <v>1795.1899999999951</v>
      </c>
    </row>
    <row r="869" spans="1:11" hidden="1" x14ac:dyDescent="0.25">
      <c r="A869" s="70">
        <v>867</v>
      </c>
      <c r="B869" t="s">
        <v>1341</v>
      </c>
      <c r="C869" t="s">
        <v>1339</v>
      </c>
      <c r="D869" t="s">
        <v>77</v>
      </c>
      <c r="E869">
        <v>10</v>
      </c>
      <c r="F869" t="s">
        <v>20</v>
      </c>
      <c r="G869" t="s">
        <v>78</v>
      </c>
      <c r="H869" t="s">
        <v>1337</v>
      </c>
      <c r="I869" t="s">
        <v>22</v>
      </c>
      <c r="J869" t="s">
        <v>23</v>
      </c>
      <c r="K869">
        <v>1805.1899999999951</v>
      </c>
    </row>
    <row r="870" spans="1:11" hidden="1" x14ac:dyDescent="0.25">
      <c r="A870" s="70">
        <v>868</v>
      </c>
      <c r="B870" t="s">
        <v>1339</v>
      </c>
      <c r="C870" t="s">
        <v>1339</v>
      </c>
      <c r="D870" t="s">
        <v>108</v>
      </c>
      <c r="E870">
        <v>80.08</v>
      </c>
      <c r="F870" t="s">
        <v>20</v>
      </c>
      <c r="G870" t="s">
        <v>109</v>
      </c>
      <c r="H870" t="s">
        <v>1337</v>
      </c>
      <c r="I870" t="s">
        <v>22</v>
      </c>
      <c r="J870" t="s">
        <v>110</v>
      </c>
      <c r="K870">
        <v>1885.269999999995</v>
      </c>
    </row>
    <row r="871" spans="1:11" hidden="1" x14ac:dyDescent="0.25">
      <c r="A871" s="70">
        <v>869</v>
      </c>
      <c r="B871" t="s">
        <v>1339</v>
      </c>
      <c r="C871" t="s">
        <v>1339</v>
      </c>
      <c r="D871" t="s">
        <v>1334</v>
      </c>
      <c r="E871">
        <v>14.25</v>
      </c>
      <c r="F871" t="s">
        <v>12</v>
      </c>
      <c r="G871" t="s">
        <v>13</v>
      </c>
      <c r="H871" t="s">
        <v>1337</v>
      </c>
      <c r="I871" t="s">
        <v>15</v>
      </c>
      <c r="J871" t="s">
        <v>16</v>
      </c>
      <c r="K871">
        <v>1899.519999999995</v>
      </c>
    </row>
    <row r="872" spans="1:11" hidden="1" x14ac:dyDescent="0.25">
      <c r="A872" s="70">
        <v>870</v>
      </c>
      <c r="B872" t="s">
        <v>1339</v>
      </c>
      <c r="C872" t="s">
        <v>1339</v>
      </c>
      <c r="D872" t="s">
        <v>1342</v>
      </c>
      <c r="E872">
        <v>35</v>
      </c>
      <c r="F872" t="s">
        <v>20</v>
      </c>
      <c r="G872" t="s">
        <v>1343</v>
      </c>
      <c r="H872" t="s">
        <v>1337</v>
      </c>
      <c r="I872" t="s">
        <v>15</v>
      </c>
      <c r="J872" t="s">
        <v>32</v>
      </c>
      <c r="K872">
        <v>1934.519999999995</v>
      </c>
    </row>
    <row r="873" spans="1:11" hidden="1" x14ac:dyDescent="0.25">
      <c r="A873" s="70">
        <v>871</v>
      </c>
      <c r="B873" t="s">
        <v>1339</v>
      </c>
      <c r="C873" t="s">
        <v>1339</v>
      </c>
      <c r="D873" t="s">
        <v>1344</v>
      </c>
      <c r="E873">
        <v>4.37</v>
      </c>
      <c r="F873" t="s">
        <v>56</v>
      </c>
      <c r="G873" t="s">
        <v>1345</v>
      </c>
      <c r="H873" t="s">
        <v>1337</v>
      </c>
      <c r="I873" t="s">
        <v>15</v>
      </c>
      <c r="J873" t="s">
        <v>60</v>
      </c>
      <c r="K873">
        <v>1938.8899999999951</v>
      </c>
    </row>
    <row r="874" spans="1:11" hidden="1" x14ac:dyDescent="0.25">
      <c r="A874" s="70">
        <v>872</v>
      </c>
      <c r="B874" t="s">
        <v>1339</v>
      </c>
      <c r="C874" t="s">
        <v>1339</v>
      </c>
      <c r="D874" t="s">
        <v>1346</v>
      </c>
      <c r="E874">
        <v>15.89</v>
      </c>
      <c r="F874" t="s">
        <v>56</v>
      </c>
      <c r="G874" t="s">
        <v>1347</v>
      </c>
      <c r="H874" t="s">
        <v>1337</v>
      </c>
      <c r="I874" t="s">
        <v>15</v>
      </c>
      <c r="J874" t="s">
        <v>23</v>
      </c>
      <c r="K874">
        <v>1954.779999999995</v>
      </c>
    </row>
    <row r="875" spans="1:11" hidden="1" x14ac:dyDescent="0.25">
      <c r="A875" s="70">
        <v>873</v>
      </c>
      <c r="B875" t="s">
        <v>1339</v>
      </c>
      <c r="C875" t="s">
        <v>1339</v>
      </c>
      <c r="D875" t="s">
        <v>36</v>
      </c>
      <c r="E875">
        <v>-1749.61</v>
      </c>
      <c r="F875" t="s">
        <v>37</v>
      </c>
      <c r="G875" t="s">
        <v>38</v>
      </c>
      <c r="H875" t="s">
        <v>1337</v>
      </c>
      <c r="I875" t="s">
        <v>15</v>
      </c>
      <c r="J875" t="s">
        <v>973</v>
      </c>
      <c r="K875">
        <v>205.16999999999479</v>
      </c>
    </row>
    <row r="876" spans="1:11" hidden="1" x14ac:dyDescent="0.25">
      <c r="A876" s="70">
        <v>874</v>
      </c>
      <c r="B876" t="s">
        <v>1348</v>
      </c>
      <c r="C876" t="s">
        <v>1348</v>
      </c>
      <c r="D876" t="s">
        <v>1349</v>
      </c>
      <c r="E876">
        <v>23.94</v>
      </c>
      <c r="F876" t="s">
        <v>12</v>
      </c>
      <c r="G876" t="s">
        <v>18</v>
      </c>
      <c r="H876" t="s">
        <v>1337</v>
      </c>
      <c r="I876" t="s">
        <v>15</v>
      </c>
      <c r="J876" t="s">
        <v>16</v>
      </c>
      <c r="K876">
        <v>229.10999999999481</v>
      </c>
    </row>
    <row r="877" spans="1:11" hidden="1" x14ac:dyDescent="0.25">
      <c r="A877" s="70">
        <v>875</v>
      </c>
      <c r="B877" t="s">
        <v>1348</v>
      </c>
      <c r="C877" t="s">
        <v>1348</v>
      </c>
      <c r="D877" t="s">
        <v>1182</v>
      </c>
      <c r="E877">
        <v>161.6</v>
      </c>
      <c r="F877" t="s">
        <v>56</v>
      </c>
      <c r="G877" t="s">
        <v>1183</v>
      </c>
      <c r="H877" t="s">
        <v>1337</v>
      </c>
      <c r="I877" t="s">
        <v>15</v>
      </c>
      <c r="J877" t="s">
        <v>66</v>
      </c>
      <c r="K877">
        <v>390.70999999999481</v>
      </c>
    </row>
    <row r="878" spans="1:11" hidden="1" x14ac:dyDescent="0.25">
      <c r="A878" s="70">
        <v>876</v>
      </c>
      <c r="B878" t="s">
        <v>1348</v>
      </c>
      <c r="C878" t="s">
        <v>1348</v>
      </c>
      <c r="D878" t="s">
        <v>1350</v>
      </c>
      <c r="E878">
        <v>20.25</v>
      </c>
      <c r="F878" t="s">
        <v>56</v>
      </c>
      <c r="G878" t="s">
        <v>1345</v>
      </c>
      <c r="H878" t="s">
        <v>1337</v>
      </c>
      <c r="I878" t="s">
        <v>15</v>
      </c>
      <c r="J878" t="s">
        <v>60</v>
      </c>
      <c r="K878">
        <v>410.95999999999481</v>
      </c>
    </row>
    <row r="879" spans="1:11" hidden="1" x14ac:dyDescent="0.25">
      <c r="A879" s="70">
        <v>877</v>
      </c>
      <c r="B879" t="s">
        <v>1348</v>
      </c>
      <c r="C879" t="s">
        <v>1348</v>
      </c>
      <c r="D879" t="s">
        <v>1351</v>
      </c>
      <c r="E879">
        <v>10.9</v>
      </c>
      <c r="F879" t="s">
        <v>20</v>
      </c>
      <c r="G879" t="s">
        <v>76</v>
      </c>
      <c r="H879" t="s">
        <v>1337</v>
      </c>
      <c r="I879" t="s">
        <v>15</v>
      </c>
      <c r="J879" t="s">
        <v>42</v>
      </c>
      <c r="K879">
        <v>421.85999999999478</v>
      </c>
    </row>
    <row r="880" spans="1:11" hidden="1" x14ac:dyDescent="0.25">
      <c r="A880" s="70">
        <v>878</v>
      </c>
      <c r="B880" t="s">
        <v>1348</v>
      </c>
      <c r="C880" t="s">
        <v>1348</v>
      </c>
      <c r="D880" t="s">
        <v>1311</v>
      </c>
      <c r="E880">
        <v>29</v>
      </c>
      <c r="F880" t="s">
        <v>56</v>
      </c>
      <c r="G880" t="s">
        <v>277</v>
      </c>
      <c r="H880" t="s">
        <v>1337</v>
      </c>
      <c r="I880" t="s">
        <v>15</v>
      </c>
      <c r="J880" t="s">
        <v>32</v>
      </c>
      <c r="K880">
        <v>450.85999999999478</v>
      </c>
    </row>
    <row r="881" spans="1:11" hidden="1" x14ac:dyDescent="0.25">
      <c r="A881" s="70">
        <v>879</v>
      </c>
      <c r="B881" t="s">
        <v>1352</v>
      </c>
      <c r="C881" t="s">
        <v>1352</v>
      </c>
      <c r="D881" t="s">
        <v>1353</v>
      </c>
      <c r="E881">
        <v>97.45</v>
      </c>
      <c r="F881" t="s">
        <v>12</v>
      </c>
      <c r="G881" t="s">
        <v>18</v>
      </c>
      <c r="H881" t="s">
        <v>1337</v>
      </c>
      <c r="I881" t="s">
        <v>15</v>
      </c>
      <c r="J881" t="s">
        <v>16</v>
      </c>
      <c r="K881">
        <v>548.30999999999483</v>
      </c>
    </row>
    <row r="882" spans="1:11" hidden="1" x14ac:dyDescent="0.25">
      <c r="A882" s="70">
        <v>880</v>
      </c>
      <c r="B882" t="s">
        <v>1352</v>
      </c>
      <c r="C882" t="s">
        <v>1352</v>
      </c>
      <c r="D882" t="s">
        <v>1354</v>
      </c>
      <c r="E882">
        <v>8.4</v>
      </c>
      <c r="F882" t="s">
        <v>12</v>
      </c>
      <c r="G882" t="s">
        <v>18</v>
      </c>
      <c r="H882" t="s">
        <v>1337</v>
      </c>
      <c r="I882" t="s">
        <v>15</v>
      </c>
      <c r="J882" t="s">
        <v>16</v>
      </c>
      <c r="K882">
        <v>556.70999999999481</v>
      </c>
    </row>
    <row r="883" spans="1:11" hidden="1" x14ac:dyDescent="0.25">
      <c r="A883" s="70">
        <v>881</v>
      </c>
      <c r="B883" t="s">
        <v>1355</v>
      </c>
      <c r="C883" t="s">
        <v>1355</v>
      </c>
      <c r="D883" t="s">
        <v>1356</v>
      </c>
      <c r="E883">
        <v>9.99</v>
      </c>
      <c r="F883" t="s">
        <v>20</v>
      </c>
      <c r="H883" t="s">
        <v>1337</v>
      </c>
      <c r="I883" t="s">
        <v>15</v>
      </c>
      <c r="K883">
        <v>566.69999999999482</v>
      </c>
    </row>
    <row r="884" spans="1:11" hidden="1" x14ac:dyDescent="0.25">
      <c r="A884" s="70">
        <v>882</v>
      </c>
      <c r="B884" t="s">
        <v>1357</v>
      </c>
      <c r="C884" t="s">
        <v>1357</v>
      </c>
      <c r="D884" t="s">
        <v>1223</v>
      </c>
      <c r="E884">
        <v>16.59</v>
      </c>
      <c r="F884" t="s">
        <v>53</v>
      </c>
      <c r="G884" t="s">
        <v>54</v>
      </c>
      <c r="H884" t="s">
        <v>1337</v>
      </c>
      <c r="I884" t="s">
        <v>15</v>
      </c>
      <c r="J884" t="s">
        <v>16</v>
      </c>
      <c r="K884">
        <v>583.28999999999485</v>
      </c>
    </row>
    <row r="885" spans="1:11" hidden="1" x14ac:dyDescent="0.25">
      <c r="A885" s="70">
        <v>883</v>
      </c>
      <c r="B885" t="s">
        <v>1357</v>
      </c>
      <c r="C885" t="s">
        <v>1357</v>
      </c>
      <c r="D885" t="s">
        <v>1358</v>
      </c>
      <c r="E885">
        <v>15.67</v>
      </c>
      <c r="F885" t="s">
        <v>12</v>
      </c>
      <c r="G885" t="s">
        <v>18</v>
      </c>
      <c r="H885" t="s">
        <v>1337</v>
      </c>
      <c r="I885" t="s">
        <v>15</v>
      </c>
      <c r="J885" t="s">
        <v>16</v>
      </c>
      <c r="K885">
        <v>598.95999999999481</v>
      </c>
    </row>
    <row r="886" spans="1:11" hidden="1" x14ac:dyDescent="0.25">
      <c r="A886" s="70">
        <v>884</v>
      </c>
      <c r="B886" t="s">
        <v>1359</v>
      </c>
      <c r="C886" t="s">
        <v>1359</v>
      </c>
      <c r="D886" t="s">
        <v>1360</v>
      </c>
      <c r="E886">
        <v>158</v>
      </c>
      <c r="F886" t="s">
        <v>30</v>
      </c>
      <c r="G886" t="s">
        <v>18</v>
      </c>
      <c r="H886" t="s">
        <v>1337</v>
      </c>
      <c r="I886" t="s">
        <v>15</v>
      </c>
      <c r="J886" t="s">
        <v>16</v>
      </c>
      <c r="K886">
        <v>756.95999999999481</v>
      </c>
    </row>
    <row r="887" spans="1:11" hidden="1" x14ac:dyDescent="0.25">
      <c r="A887" s="70">
        <v>885</v>
      </c>
      <c r="B887" t="s">
        <v>1361</v>
      </c>
      <c r="C887" t="s">
        <v>1361</v>
      </c>
      <c r="D887" t="s">
        <v>1362</v>
      </c>
      <c r="E887">
        <v>117.27</v>
      </c>
      <c r="F887" t="s">
        <v>20</v>
      </c>
      <c r="G887" t="s">
        <v>27</v>
      </c>
      <c r="H887" t="s">
        <v>1337</v>
      </c>
      <c r="I887" t="s">
        <v>15</v>
      </c>
      <c r="J887" t="s">
        <v>32</v>
      </c>
      <c r="K887">
        <v>874.22999999999479</v>
      </c>
    </row>
    <row r="888" spans="1:11" hidden="1" x14ac:dyDescent="0.25">
      <c r="A888" s="70">
        <v>886</v>
      </c>
      <c r="B888" t="s">
        <v>1361</v>
      </c>
      <c r="C888" t="s">
        <v>1361</v>
      </c>
      <c r="D888" t="s">
        <v>1363</v>
      </c>
      <c r="E888">
        <v>71.67</v>
      </c>
      <c r="F888" t="s">
        <v>30</v>
      </c>
      <c r="H888" t="s">
        <v>1337</v>
      </c>
      <c r="I888" t="s">
        <v>15</v>
      </c>
      <c r="K888">
        <v>945.89999999999475</v>
      </c>
    </row>
    <row r="889" spans="1:11" hidden="1" x14ac:dyDescent="0.25">
      <c r="A889" s="70">
        <v>887</v>
      </c>
      <c r="B889" t="s">
        <v>1361</v>
      </c>
      <c r="C889" t="s">
        <v>1361</v>
      </c>
      <c r="D889" t="s">
        <v>1364</v>
      </c>
      <c r="E889">
        <v>36.46</v>
      </c>
      <c r="F889" t="s">
        <v>20</v>
      </c>
      <c r="G889" t="s">
        <v>1270</v>
      </c>
      <c r="H889" t="s">
        <v>1337</v>
      </c>
      <c r="I889" t="s">
        <v>15</v>
      </c>
      <c r="J889" t="s">
        <v>23</v>
      </c>
      <c r="K889">
        <v>982.35999999999478</v>
      </c>
    </row>
    <row r="890" spans="1:11" hidden="1" x14ac:dyDescent="0.25">
      <c r="A890" s="70">
        <v>888</v>
      </c>
      <c r="B890" t="s">
        <v>1361</v>
      </c>
      <c r="C890" t="s">
        <v>1361</v>
      </c>
      <c r="D890" t="s">
        <v>1365</v>
      </c>
      <c r="E890">
        <v>48.65</v>
      </c>
      <c r="F890" t="s">
        <v>40</v>
      </c>
      <c r="G890" t="s">
        <v>41</v>
      </c>
      <c r="H890" t="s">
        <v>1337</v>
      </c>
      <c r="I890" t="s">
        <v>15</v>
      </c>
      <c r="J890" t="s">
        <v>42</v>
      </c>
      <c r="K890">
        <v>1031.009999999995</v>
      </c>
    </row>
    <row r="891" spans="1:11" hidden="1" x14ac:dyDescent="0.25">
      <c r="A891" s="70">
        <v>889</v>
      </c>
      <c r="B891" t="s">
        <v>1361</v>
      </c>
      <c r="C891" t="s">
        <v>1361</v>
      </c>
      <c r="D891" t="s">
        <v>1366</v>
      </c>
      <c r="E891">
        <v>64.989999999999995</v>
      </c>
      <c r="F891" t="s">
        <v>56</v>
      </c>
      <c r="G891" t="s">
        <v>130</v>
      </c>
      <c r="H891" t="s">
        <v>1337</v>
      </c>
      <c r="I891" t="s">
        <v>22</v>
      </c>
      <c r="J891" t="s">
        <v>23</v>
      </c>
      <c r="K891">
        <v>1095.999999999995</v>
      </c>
    </row>
    <row r="892" spans="1:11" hidden="1" x14ac:dyDescent="0.25">
      <c r="A892" s="70">
        <v>890</v>
      </c>
      <c r="B892" t="s">
        <v>1361</v>
      </c>
      <c r="C892" t="s">
        <v>1361</v>
      </c>
      <c r="D892" t="s">
        <v>418</v>
      </c>
      <c r="E892">
        <v>16.75</v>
      </c>
      <c r="F892" t="s">
        <v>12</v>
      </c>
      <c r="G892" t="s">
        <v>18</v>
      </c>
      <c r="H892" t="s">
        <v>1337</v>
      </c>
      <c r="I892" t="s">
        <v>15</v>
      </c>
      <c r="J892" t="s">
        <v>16</v>
      </c>
      <c r="K892">
        <v>1112.749999999995</v>
      </c>
    </row>
    <row r="893" spans="1:11" hidden="1" x14ac:dyDescent="0.25">
      <c r="A893" s="70">
        <v>891</v>
      </c>
      <c r="B893" t="s">
        <v>1367</v>
      </c>
      <c r="C893" t="s">
        <v>1367</v>
      </c>
      <c r="D893" t="s">
        <v>344</v>
      </c>
      <c r="E893">
        <v>30.28</v>
      </c>
      <c r="F893" t="s">
        <v>20</v>
      </c>
      <c r="G893" t="s">
        <v>34</v>
      </c>
      <c r="H893" t="s">
        <v>1337</v>
      </c>
      <c r="I893" t="s">
        <v>15</v>
      </c>
      <c r="J893" t="s">
        <v>32</v>
      </c>
      <c r="K893">
        <v>1143.029999999995</v>
      </c>
    </row>
    <row r="894" spans="1:11" hidden="1" x14ac:dyDescent="0.25">
      <c r="A894" s="70">
        <v>892</v>
      </c>
      <c r="B894" t="s">
        <v>1368</v>
      </c>
      <c r="C894" t="s">
        <v>1368</v>
      </c>
      <c r="D894" t="s">
        <v>1369</v>
      </c>
      <c r="E894">
        <v>37.119999999999997</v>
      </c>
      <c r="F894" t="s">
        <v>20</v>
      </c>
      <c r="G894" t="s">
        <v>456</v>
      </c>
      <c r="H894" t="s">
        <v>1337</v>
      </c>
      <c r="I894" t="s">
        <v>15</v>
      </c>
      <c r="J894" t="s">
        <v>245</v>
      </c>
      <c r="K894">
        <v>1180.1499999999951</v>
      </c>
    </row>
    <row r="895" spans="1:11" hidden="1" x14ac:dyDescent="0.25">
      <c r="A895" s="70">
        <v>893</v>
      </c>
      <c r="B895" t="s">
        <v>1368</v>
      </c>
      <c r="C895" t="s">
        <v>1368</v>
      </c>
      <c r="D895" t="s">
        <v>1370</v>
      </c>
      <c r="E895">
        <v>7.74</v>
      </c>
      <c r="F895" t="s">
        <v>12</v>
      </c>
      <c r="G895" t="s">
        <v>18</v>
      </c>
      <c r="H895" t="s">
        <v>1337</v>
      </c>
      <c r="I895" t="s">
        <v>15</v>
      </c>
      <c r="J895" t="s">
        <v>16</v>
      </c>
      <c r="K895">
        <v>1187.8899999999951</v>
      </c>
    </row>
    <row r="896" spans="1:11" hidden="1" x14ac:dyDescent="0.25">
      <c r="A896" s="70">
        <v>894</v>
      </c>
      <c r="B896" t="s">
        <v>1368</v>
      </c>
      <c r="C896" t="s">
        <v>1368</v>
      </c>
      <c r="D896" t="s">
        <v>1371</v>
      </c>
      <c r="E896">
        <v>6.12</v>
      </c>
      <c r="F896" t="s">
        <v>12</v>
      </c>
      <c r="G896" t="s">
        <v>18</v>
      </c>
      <c r="H896" t="s">
        <v>1337</v>
      </c>
      <c r="I896" t="s">
        <v>15</v>
      </c>
      <c r="J896" t="s">
        <v>16</v>
      </c>
      <c r="K896">
        <v>1194.009999999995</v>
      </c>
    </row>
    <row r="897" spans="1:11" hidden="1" x14ac:dyDescent="0.25">
      <c r="A897" s="70">
        <v>895</v>
      </c>
      <c r="B897" t="s">
        <v>1368</v>
      </c>
      <c r="C897" t="s">
        <v>1368</v>
      </c>
      <c r="D897" t="s">
        <v>1372</v>
      </c>
      <c r="E897">
        <v>37.090000000000003</v>
      </c>
      <c r="F897" t="s">
        <v>20</v>
      </c>
      <c r="H897" t="s">
        <v>1337</v>
      </c>
      <c r="I897" t="s">
        <v>15</v>
      </c>
      <c r="K897">
        <v>1231.099999999994</v>
      </c>
    </row>
    <row r="898" spans="1:11" hidden="1" x14ac:dyDescent="0.25">
      <c r="A898" s="70">
        <v>896</v>
      </c>
      <c r="B898" t="s">
        <v>1368</v>
      </c>
      <c r="C898" t="s">
        <v>1368</v>
      </c>
      <c r="D898" t="s">
        <v>1373</v>
      </c>
      <c r="E898">
        <v>26.49</v>
      </c>
      <c r="F898" t="s">
        <v>20</v>
      </c>
      <c r="G898" t="s">
        <v>59</v>
      </c>
      <c r="H898" t="s">
        <v>1337</v>
      </c>
      <c r="I898" t="s">
        <v>15</v>
      </c>
      <c r="J898" t="s">
        <v>60</v>
      </c>
      <c r="K898">
        <v>1257.589999999994</v>
      </c>
    </row>
    <row r="899" spans="1:11" hidden="1" x14ac:dyDescent="0.25">
      <c r="A899" s="70">
        <v>897</v>
      </c>
      <c r="B899" t="s">
        <v>1368</v>
      </c>
      <c r="C899" t="s">
        <v>1368</v>
      </c>
      <c r="D899" t="s">
        <v>1374</v>
      </c>
      <c r="E899">
        <v>31.79</v>
      </c>
      <c r="F899" t="s">
        <v>12</v>
      </c>
      <c r="G899" t="s">
        <v>147</v>
      </c>
      <c r="H899" t="s">
        <v>1337</v>
      </c>
      <c r="I899" t="s">
        <v>15</v>
      </c>
      <c r="J899" t="s">
        <v>23</v>
      </c>
      <c r="K899">
        <v>1289.379999999994</v>
      </c>
    </row>
    <row r="900" spans="1:11" hidden="1" x14ac:dyDescent="0.25">
      <c r="A900" s="70">
        <v>898</v>
      </c>
      <c r="B900" t="s">
        <v>1375</v>
      </c>
      <c r="C900" t="s">
        <v>1375</v>
      </c>
      <c r="D900" t="s">
        <v>1376</v>
      </c>
      <c r="E900">
        <v>29.59</v>
      </c>
      <c r="F900" t="s">
        <v>20</v>
      </c>
      <c r="G900" t="s">
        <v>27</v>
      </c>
      <c r="H900" t="s">
        <v>1337</v>
      </c>
      <c r="I900" t="s">
        <v>15</v>
      </c>
      <c r="J900" t="s">
        <v>32</v>
      </c>
      <c r="K900">
        <v>1318.9699999999939</v>
      </c>
    </row>
    <row r="901" spans="1:11" hidden="1" x14ac:dyDescent="0.25">
      <c r="A901" s="70">
        <v>899</v>
      </c>
      <c r="B901" t="s">
        <v>1375</v>
      </c>
      <c r="C901" t="s">
        <v>1375</v>
      </c>
      <c r="D901" t="s">
        <v>1377</v>
      </c>
      <c r="E901">
        <v>119.4</v>
      </c>
      <c r="F901" t="s">
        <v>56</v>
      </c>
      <c r="G901" t="s">
        <v>94</v>
      </c>
      <c r="H901" t="s">
        <v>1337</v>
      </c>
      <c r="I901" t="s">
        <v>15</v>
      </c>
      <c r="J901" t="s">
        <v>32</v>
      </c>
      <c r="K901">
        <v>1438.369999999994</v>
      </c>
    </row>
    <row r="902" spans="1:11" hidden="1" x14ac:dyDescent="0.25">
      <c r="A902" s="70">
        <v>900</v>
      </c>
      <c r="B902" t="s">
        <v>1378</v>
      </c>
      <c r="C902" t="s">
        <v>1378</v>
      </c>
      <c r="D902" t="s">
        <v>1334</v>
      </c>
      <c r="E902">
        <v>11.78</v>
      </c>
      <c r="F902" t="s">
        <v>12</v>
      </c>
      <c r="G902" t="s">
        <v>13</v>
      </c>
      <c r="H902" t="s">
        <v>1337</v>
      </c>
      <c r="I902" t="s">
        <v>15</v>
      </c>
      <c r="J902" t="s">
        <v>16</v>
      </c>
      <c r="K902">
        <v>1450.149999999994</v>
      </c>
    </row>
    <row r="903" spans="1:11" hidden="1" x14ac:dyDescent="0.25">
      <c r="A903" s="70">
        <v>901</v>
      </c>
      <c r="B903" t="s">
        <v>1379</v>
      </c>
      <c r="C903" t="s">
        <v>1379</v>
      </c>
      <c r="D903" t="s">
        <v>1380</v>
      </c>
      <c r="E903">
        <v>15.37</v>
      </c>
      <c r="F903" t="s">
        <v>12</v>
      </c>
      <c r="G903" t="s">
        <v>18</v>
      </c>
      <c r="H903" t="s">
        <v>1337</v>
      </c>
      <c r="I903" t="s">
        <v>15</v>
      </c>
      <c r="J903" t="s">
        <v>16</v>
      </c>
      <c r="K903">
        <v>1465.5199999999941</v>
      </c>
    </row>
    <row r="904" spans="1:11" hidden="1" x14ac:dyDescent="0.25">
      <c r="A904" s="70">
        <v>902</v>
      </c>
      <c r="B904" t="s">
        <v>1379</v>
      </c>
      <c r="C904" t="s">
        <v>1379</v>
      </c>
      <c r="D904" t="s">
        <v>1381</v>
      </c>
      <c r="E904">
        <v>8.35</v>
      </c>
      <c r="F904" t="s">
        <v>20</v>
      </c>
      <c r="G904" t="s">
        <v>382</v>
      </c>
      <c r="H904" t="s">
        <v>1337</v>
      </c>
      <c r="I904" t="s">
        <v>15</v>
      </c>
      <c r="J904" t="s">
        <v>42</v>
      </c>
      <c r="K904">
        <v>1473.869999999994</v>
      </c>
    </row>
    <row r="905" spans="1:11" hidden="1" x14ac:dyDescent="0.25">
      <c r="A905" s="70">
        <v>903</v>
      </c>
      <c r="B905" t="s">
        <v>1379</v>
      </c>
      <c r="C905" t="s">
        <v>1379</v>
      </c>
      <c r="D905" t="s">
        <v>1382</v>
      </c>
      <c r="E905">
        <v>150.34</v>
      </c>
      <c r="F905" t="s">
        <v>12</v>
      </c>
      <c r="G905" t="s">
        <v>18</v>
      </c>
      <c r="H905" t="s">
        <v>1337</v>
      </c>
      <c r="I905" t="s">
        <v>15</v>
      </c>
      <c r="J905" t="s">
        <v>16</v>
      </c>
      <c r="K905">
        <v>1624.2099999999939</v>
      </c>
    </row>
    <row r="906" spans="1:11" hidden="1" x14ac:dyDescent="0.25">
      <c r="A906" s="70">
        <v>904</v>
      </c>
      <c r="B906" t="s">
        <v>1379</v>
      </c>
      <c r="C906" t="s">
        <v>1379</v>
      </c>
      <c r="D906" t="s">
        <v>266</v>
      </c>
      <c r="E906">
        <v>30.82</v>
      </c>
      <c r="F906" t="s">
        <v>20</v>
      </c>
      <c r="G906" t="s">
        <v>34</v>
      </c>
      <c r="H906" t="s">
        <v>1337</v>
      </c>
      <c r="I906" t="s">
        <v>15</v>
      </c>
      <c r="J906" t="s">
        <v>32</v>
      </c>
      <c r="K906">
        <v>1655.0299999999941</v>
      </c>
    </row>
    <row r="907" spans="1:11" x14ac:dyDescent="0.25">
      <c r="A907" s="70">
        <v>905</v>
      </c>
      <c r="B907" t="s">
        <v>1383</v>
      </c>
      <c r="C907" t="s">
        <v>1383</v>
      </c>
      <c r="D907" t="s">
        <v>1384</v>
      </c>
      <c r="E907">
        <v>4.99</v>
      </c>
      <c r="F907" t="s">
        <v>20</v>
      </c>
      <c r="G907" t="s">
        <v>25</v>
      </c>
      <c r="H907" t="s">
        <v>1337</v>
      </c>
      <c r="I907" t="s">
        <v>22</v>
      </c>
      <c r="J907" t="s">
        <v>23</v>
      </c>
      <c r="K907">
        <v>1660.0199999999941</v>
      </c>
    </row>
    <row r="908" spans="1:11" hidden="1" x14ac:dyDescent="0.25">
      <c r="A908" s="70">
        <v>906</v>
      </c>
      <c r="B908" t="s">
        <v>1383</v>
      </c>
      <c r="C908" t="s">
        <v>1383</v>
      </c>
      <c r="D908" t="s">
        <v>928</v>
      </c>
      <c r="E908">
        <v>103</v>
      </c>
      <c r="F908" t="s">
        <v>20</v>
      </c>
      <c r="G908" t="s">
        <v>688</v>
      </c>
      <c r="H908" t="s">
        <v>1337</v>
      </c>
      <c r="I908" t="s">
        <v>15</v>
      </c>
      <c r="J908" t="s">
        <v>127</v>
      </c>
      <c r="K908">
        <v>1763.0199999999941</v>
      </c>
    </row>
    <row r="909" spans="1:11" hidden="1" x14ac:dyDescent="0.25">
      <c r="A909" s="70">
        <v>907</v>
      </c>
      <c r="B909" t="s">
        <v>1383</v>
      </c>
      <c r="C909" t="s">
        <v>1383</v>
      </c>
      <c r="D909" t="s">
        <v>1385</v>
      </c>
      <c r="E909">
        <v>8.15</v>
      </c>
      <c r="F909" t="s">
        <v>12</v>
      </c>
      <c r="G909" t="s">
        <v>18</v>
      </c>
      <c r="H909" t="s">
        <v>1337</v>
      </c>
      <c r="I909" t="s">
        <v>15</v>
      </c>
      <c r="J909" t="s">
        <v>16</v>
      </c>
      <c r="K909">
        <v>1771.1699999999939</v>
      </c>
    </row>
    <row r="910" spans="1:11" hidden="1" x14ac:dyDescent="0.25">
      <c r="A910" s="70">
        <v>908</v>
      </c>
      <c r="B910" t="s">
        <v>1386</v>
      </c>
      <c r="C910" t="s">
        <v>1386</v>
      </c>
      <c r="D910" t="s">
        <v>1387</v>
      </c>
      <c r="E910">
        <v>15.89</v>
      </c>
      <c r="F910" t="s">
        <v>20</v>
      </c>
      <c r="G910" t="s">
        <v>49</v>
      </c>
      <c r="H910" t="s">
        <v>1337</v>
      </c>
      <c r="I910" t="s">
        <v>22</v>
      </c>
      <c r="J910" t="s">
        <v>23</v>
      </c>
      <c r="K910">
        <v>1787.059999999994</v>
      </c>
    </row>
    <row r="911" spans="1:11" hidden="1" x14ac:dyDescent="0.25">
      <c r="A911" s="70">
        <v>909</v>
      </c>
      <c r="B911" t="s">
        <v>1388</v>
      </c>
      <c r="C911" t="s">
        <v>1388</v>
      </c>
      <c r="D911" t="s">
        <v>1389</v>
      </c>
      <c r="E911">
        <v>73.849999999999994</v>
      </c>
      <c r="F911" t="s">
        <v>12</v>
      </c>
      <c r="G911" t="s">
        <v>18</v>
      </c>
      <c r="H911" t="s">
        <v>1337</v>
      </c>
      <c r="I911" t="s">
        <v>15</v>
      </c>
      <c r="J911" t="s">
        <v>16</v>
      </c>
      <c r="K911">
        <v>1860.9099999999939</v>
      </c>
    </row>
    <row r="912" spans="1:11" hidden="1" x14ac:dyDescent="0.25">
      <c r="A912" s="70">
        <v>910</v>
      </c>
      <c r="B912" t="s">
        <v>1388</v>
      </c>
      <c r="C912" t="s">
        <v>1388</v>
      </c>
      <c r="D912" t="s">
        <v>1311</v>
      </c>
      <c r="E912">
        <v>39</v>
      </c>
      <c r="F912" t="s">
        <v>56</v>
      </c>
      <c r="G912" t="s">
        <v>277</v>
      </c>
      <c r="H912" t="s">
        <v>1337</v>
      </c>
      <c r="I912" t="s">
        <v>15</v>
      </c>
      <c r="J912" t="s">
        <v>32</v>
      </c>
      <c r="K912">
        <v>1899.9099999999939</v>
      </c>
    </row>
    <row r="913" spans="1:11" hidden="1" x14ac:dyDescent="0.25">
      <c r="A913" s="70">
        <v>911</v>
      </c>
      <c r="B913" t="s">
        <v>1390</v>
      </c>
      <c r="C913" t="s">
        <v>1390</v>
      </c>
      <c r="D913" t="s">
        <v>1391</v>
      </c>
      <c r="E913">
        <v>5.29</v>
      </c>
      <c r="F913" t="s">
        <v>20</v>
      </c>
      <c r="G913" t="s">
        <v>68</v>
      </c>
      <c r="H913" t="s">
        <v>1337</v>
      </c>
      <c r="I913" t="s">
        <v>22</v>
      </c>
      <c r="J913" t="s">
        <v>23</v>
      </c>
      <c r="K913">
        <v>1905.1999999999939</v>
      </c>
    </row>
    <row r="914" spans="1:11" hidden="1" x14ac:dyDescent="0.25">
      <c r="A914" s="70">
        <v>912</v>
      </c>
      <c r="B914" t="s">
        <v>1390</v>
      </c>
      <c r="C914" t="s">
        <v>1390</v>
      </c>
      <c r="D914" t="s">
        <v>36</v>
      </c>
      <c r="E914">
        <v>-1787.06</v>
      </c>
      <c r="F914" t="s">
        <v>37</v>
      </c>
      <c r="G914" t="s">
        <v>38</v>
      </c>
      <c r="H914" t="s">
        <v>1337</v>
      </c>
      <c r="I914" t="s">
        <v>15</v>
      </c>
      <c r="J914" t="s">
        <v>973</v>
      </c>
      <c r="K914">
        <v>118.1399999999942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A64B-C50E-42D5-AEFC-0536C9F2775B}">
  <sheetPr>
    <tabColor theme="5"/>
  </sheetPr>
  <dimension ref="A1:C680"/>
  <sheetViews>
    <sheetView workbookViewId="0">
      <selection activeCell="C86" sqref="C86"/>
    </sheetView>
  </sheetViews>
  <sheetFormatPr defaultRowHeight="15" x14ac:dyDescent="0.25"/>
  <cols>
    <col min="2" max="2" width="10.5703125" bestFit="1" customWidth="1"/>
    <col min="3" max="3" width="13.7109375" bestFit="1" customWidth="1"/>
  </cols>
  <sheetData>
    <row r="1" spans="1:3" x14ac:dyDescent="0.25">
      <c r="A1" s="11" t="s">
        <v>6</v>
      </c>
      <c r="B1" s="11" t="s">
        <v>502</v>
      </c>
      <c r="C1" s="53" t="s">
        <v>9</v>
      </c>
    </row>
    <row r="2" spans="1:3" x14ac:dyDescent="0.25">
      <c r="A2" s="2" t="s">
        <v>14</v>
      </c>
      <c r="B2" s="18"/>
      <c r="C2" s="63">
        <v>3581.67</v>
      </c>
    </row>
    <row r="3" spans="1:3" x14ac:dyDescent="0.25">
      <c r="A3" s="2" t="s">
        <v>14</v>
      </c>
      <c r="B3" s="18"/>
      <c r="C3" s="63">
        <v>3599.69</v>
      </c>
    </row>
    <row r="4" spans="1:3" x14ac:dyDescent="0.25">
      <c r="A4" s="2" t="s">
        <v>14</v>
      </c>
      <c r="B4" s="18">
        <v>-1800</v>
      </c>
      <c r="C4" s="63">
        <v>3659.69</v>
      </c>
    </row>
    <row r="5" spans="1:3" x14ac:dyDescent="0.25">
      <c r="A5" s="2" t="s">
        <v>14</v>
      </c>
      <c r="B5" s="18"/>
      <c r="C5" s="63">
        <v>3674.52</v>
      </c>
    </row>
    <row r="6" spans="1:3" x14ac:dyDescent="0.25">
      <c r="A6" s="2" t="s">
        <v>14</v>
      </c>
      <c r="B6" s="18"/>
      <c r="C6" s="63">
        <v>3684.51</v>
      </c>
    </row>
    <row r="7" spans="1:3" x14ac:dyDescent="0.25">
      <c r="A7" s="2" t="s">
        <v>14</v>
      </c>
      <c r="B7" s="18"/>
      <c r="C7" s="63">
        <v>3694.6</v>
      </c>
    </row>
    <row r="8" spans="1:3" x14ac:dyDescent="0.25">
      <c r="A8" s="2" t="s">
        <v>14</v>
      </c>
      <c r="B8" s="18"/>
      <c r="C8" s="63">
        <v>3744.58</v>
      </c>
    </row>
    <row r="9" spans="1:3" x14ac:dyDescent="0.25">
      <c r="A9" s="2" t="s">
        <v>14</v>
      </c>
      <c r="B9" s="18"/>
      <c r="C9" s="63">
        <v>3954.58</v>
      </c>
    </row>
    <row r="10" spans="1:3" x14ac:dyDescent="0.25">
      <c r="A10" s="2" t="s">
        <v>14</v>
      </c>
      <c r="B10" s="18"/>
      <c r="C10" s="63">
        <v>3974.38</v>
      </c>
    </row>
    <row r="11" spans="1:3" x14ac:dyDescent="0.25">
      <c r="A11" s="2" t="s">
        <v>14</v>
      </c>
      <c r="B11" s="18"/>
      <c r="C11" s="63">
        <v>3989.48</v>
      </c>
    </row>
    <row r="12" spans="1:3" x14ac:dyDescent="0.25">
      <c r="A12" s="2" t="s">
        <v>14</v>
      </c>
      <c r="B12" s="18"/>
      <c r="C12" s="63">
        <v>1794.56</v>
      </c>
    </row>
    <row r="13" spans="1:3" x14ac:dyDescent="0.25">
      <c r="A13" s="2" t="s">
        <v>14</v>
      </c>
      <c r="B13" s="18"/>
      <c r="C13" s="63">
        <v>1825.45</v>
      </c>
    </row>
    <row r="14" spans="1:3" x14ac:dyDescent="0.25">
      <c r="A14" s="2" t="s">
        <v>14</v>
      </c>
      <c r="B14" s="18"/>
      <c r="C14" s="63">
        <v>1796.37</v>
      </c>
    </row>
    <row r="15" spans="1:3" x14ac:dyDescent="0.25">
      <c r="A15" s="2" t="s">
        <v>14</v>
      </c>
      <c r="B15" s="18"/>
      <c r="C15" s="63">
        <v>1856.37</v>
      </c>
    </row>
    <row r="16" spans="1:3" x14ac:dyDescent="0.25">
      <c r="A16" s="2" t="s">
        <v>14</v>
      </c>
      <c r="B16" s="18"/>
      <c r="C16" s="63">
        <v>1862.66</v>
      </c>
    </row>
    <row r="17" spans="1:3" x14ac:dyDescent="0.25">
      <c r="A17" s="2" t="s">
        <v>14</v>
      </c>
      <c r="B17" s="18"/>
      <c r="C17" s="63">
        <v>1878.55</v>
      </c>
    </row>
    <row r="18" spans="1:3" x14ac:dyDescent="0.25">
      <c r="A18" s="2" t="s">
        <v>14</v>
      </c>
      <c r="B18" s="18"/>
      <c r="C18" s="63">
        <v>1913.57</v>
      </c>
    </row>
    <row r="19" spans="1:3" x14ac:dyDescent="0.25">
      <c r="A19" s="2" t="s">
        <v>14</v>
      </c>
      <c r="B19" s="18"/>
      <c r="C19" s="63">
        <v>1935.06</v>
      </c>
    </row>
    <row r="20" spans="1:3" x14ac:dyDescent="0.25">
      <c r="A20" s="2" t="s">
        <v>14</v>
      </c>
      <c r="B20" s="18"/>
      <c r="C20" s="63">
        <v>1987.47</v>
      </c>
    </row>
    <row r="21" spans="1:3" x14ac:dyDescent="0.25">
      <c r="A21" s="2" t="s">
        <v>14</v>
      </c>
      <c r="B21" s="18"/>
      <c r="C21" s="63">
        <v>2013.96</v>
      </c>
    </row>
    <row r="22" spans="1:3" x14ac:dyDescent="0.25">
      <c r="A22" s="2" t="s">
        <v>14</v>
      </c>
      <c r="B22" s="18"/>
      <c r="C22" s="63">
        <v>2075.96</v>
      </c>
    </row>
    <row r="23" spans="1:3" x14ac:dyDescent="0.25">
      <c r="A23" s="2" t="s">
        <v>14</v>
      </c>
      <c r="B23" s="18"/>
      <c r="C23" s="63">
        <v>2078.9499999999998</v>
      </c>
    </row>
    <row r="24" spans="1:3" x14ac:dyDescent="0.25">
      <c r="A24" s="2" t="s">
        <v>14</v>
      </c>
      <c r="B24" s="18"/>
      <c r="C24" s="63">
        <v>2091.63</v>
      </c>
    </row>
    <row r="25" spans="1:3" x14ac:dyDescent="0.25">
      <c r="A25" s="2" t="s">
        <v>14</v>
      </c>
      <c r="B25" s="18"/>
      <c r="C25" s="63">
        <v>2115.7800000000002</v>
      </c>
    </row>
    <row r="26" spans="1:3" x14ac:dyDescent="0.25">
      <c r="A26" s="2" t="s">
        <v>14</v>
      </c>
      <c r="B26" s="18"/>
      <c r="C26" s="63">
        <v>2185.7800000000002</v>
      </c>
    </row>
    <row r="27" spans="1:3" x14ac:dyDescent="0.25">
      <c r="A27" s="2" t="s">
        <v>14</v>
      </c>
      <c r="B27" s="18"/>
      <c r="C27" s="63">
        <v>2191.0700000000002</v>
      </c>
    </row>
    <row r="28" spans="1:3" x14ac:dyDescent="0.25">
      <c r="A28" s="2" t="s">
        <v>14</v>
      </c>
      <c r="B28" s="18"/>
      <c r="C28" s="63">
        <v>2373.52</v>
      </c>
    </row>
    <row r="29" spans="1:3" x14ac:dyDescent="0.25">
      <c r="A29" s="2" t="s">
        <v>14</v>
      </c>
      <c r="B29" s="18"/>
      <c r="C29" s="63">
        <v>2527.4</v>
      </c>
    </row>
    <row r="30" spans="1:3" x14ac:dyDescent="0.25">
      <c r="A30" s="2" t="s">
        <v>14</v>
      </c>
      <c r="B30" s="18"/>
      <c r="C30" s="63">
        <v>2551.11</v>
      </c>
    </row>
    <row r="31" spans="1:3" x14ac:dyDescent="0.25">
      <c r="A31" s="2" t="s">
        <v>14</v>
      </c>
      <c r="B31" s="18"/>
      <c r="C31" s="63">
        <v>2563.73</v>
      </c>
    </row>
    <row r="32" spans="1:3" x14ac:dyDescent="0.25">
      <c r="A32" s="2" t="s">
        <v>14</v>
      </c>
      <c r="B32" s="18"/>
      <c r="C32" s="63">
        <v>2573.73</v>
      </c>
    </row>
    <row r="33" spans="1:3" x14ac:dyDescent="0.25">
      <c r="A33" s="2" t="s">
        <v>14</v>
      </c>
      <c r="B33" s="18">
        <f t="shared" ref="B33:B88" si="0">(C32-C33)*-1</f>
        <v>-1800.0000000000005</v>
      </c>
      <c r="C33" s="63">
        <v>773.72999999999956</v>
      </c>
    </row>
    <row r="34" spans="1:3" x14ac:dyDescent="0.25">
      <c r="A34" s="2" t="s">
        <v>14</v>
      </c>
      <c r="B34" s="18"/>
      <c r="C34" s="63">
        <v>786.71999999999957</v>
      </c>
    </row>
    <row r="35" spans="1:3" x14ac:dyDescent="0.25">
      <c r="A35" s="2" t="s">
        <v>14</v>
      </c>
      <c r="B35" s="18"/>
      <c r="C35" s="63">
        <v>797.71999999999957</v>
      </c>
    </row>
    <row r="36" spans="1:3" x14ac:dyDescent="0.25">
      <c r="A36" s="2" t="s">
        <v>14</v>
      </c>
      <c r="B36" s="18"/>
      <c r="C36" s="63">
        <v>802.70999999999958</v>
      </c>
    </row>
    <row r="37" spans="1:3" x14ac:dyDescent="0.25">
      <c r="A37" s="2" t="s">
        <v>14</v>
      </c>
      <c r="B37" s="18"/>
      <c r="C37" s="63">
        <v>835.14999999999964</v>
      </c>
    </row>
    <row r="38" spans="1:3" x14ac:dyDescent="0.25">
      <c r="A38" s="2" t="s">
        <v>14</v>
      </c>
      <c r="B38" s="18"/>
      <c r="C38" s="63">
        <v>841.97999999999968</v>
      </c>
    </row>
    <row r="39" spans="1:3" x14ac:dyDescent="0.25">
      <c r="A39" s="2" t="s">
        <v>14</v>
      </c>
      <c r="B39" s="18"/>
      <c r="C39" s="63">
        <v>849.33999999999969</v>
      </c>
    </row>
    <row r="40" spans="1:3" x14ac:dyDescent="0.25">
      <c r="A40" s="2" t="s">
        <v>14</v>
      </c>
      <c r="B40" s="18"/>
      <c r="C40" s="63">
        <v>879.3299999999997</v>
      </c>
    </row>
    <row r="41" spans="1:3" x14ac:dyDescent="0.25">
      <c r="A41" s="2" t="s">
        <v>14</v>
      </c>
      <c r="B41" s="18"/>
      <c r="C41" s="63">
        <v>902.11999999999966</v>
      </c>
    </row>
    <row r="42" spans="1:3" x14ac:dyDescent="0.25">
      <c r="A42" s="2" t="s">
        <v>14</v>
      </c>
      <c r="B42" s="18"/>
      <c r="C42" s="63">
        <v>935.09999999999968</v>
      </c>
    </row>
    <row r="43" spans="1:3" x14ac:dyDescent="0.25">
      <c r="A43" s="2" t="s">
        <v>14</v>
      </c>
      <c r="B43" s="18"/>
      <c r="C43" s="63">
        <v>965.09999999999968</v>
      </c>
    </row>
    <row r="44" spans="1:3" x14ac:dyDescent="0.25">
      <c r="A44" s="2" t="s">
        <v>14</v>
      </c>
      <c r="B44" s="18"/>
      <c r="C44" s="63">
        <v>1044.0999999999999</v>
      </c>
    </row>
    <row r="45" spans="1:3" x14ac:dyDescent="0.25">
      <c r="A45" s="2" t="s">
        <v>14</v>
      </c>
      <c r="B45" s="18"/>
      <c r="C45" s="63">
        <v>1074.0999999999999</v>
      </c>
    </row>
    <row r="46" spans="1:3" x14ac:dyDescent="0.25">
      <c r="A46" s="2" t="s">
        <v>14</v>
      </c>
      <c r="B46" s="18"/>
      <c r="C46" s="63">
        <v>1284.0999999999999</v>
      </c>
    </row>
    <row r="47" spans="1:3" x14ac:dyDescent="0.25">
      <c r="A47" s="2" t="s">
        <v>14</v>
      </c>
      <c r="B47" s="18"/>
      <c r="C47" s="63">
        <v>1285.97</v>
      </c>
    </row>
    <row r="48" spans="1:3" x14ac:dyDescent="0.25">
      <c r="A48" s="2" t="s">
        <v>14</v>
      </c>
      <c r="B48" s="18"/>
      <c r="C48" s="63">
        <v>1288.1400000000001</v>
      </c>
    </row>
    <row r="49" spans="1:3" x14ac:dyDescent="0.25">
      <c r="A49" s="2" t="s">
        <v>14</v>
      </c>
      <c r="B49" s="18"/>
      <c r="C49" s="63">
        <v>1297.1400000000001</v>
      </c>
    </row>
    <row r="50" spans="1:3" x14ac:dyDescent="0.25">
      <c r="A50" s="2" t="s">
        <v>14</v>
      </c>
      <c r="B50" s="18"/>
      <c r="C50" s="63">
        <v>1304</v>
      </c>
    </row>
    <row r="51" spans="1:3" x14ac:dyDescent="0.25">
      <c r="A51" s="2" t="s">
        <v>14</v>
      </c>
      <c r="B51" s="18"/>
      <c r="C51" s="63">
        <v>1309.67</v>
      </c>
    </row>
    <row r="52" spans="1:3" x14ac:dyDescent="0.25">
      <c r="A52" s="2" t="s">
        <v>14</v>
      </c>
      <c r="B52" s="18"/>
      <c r="C52" s="63">
        <v>1313.82</v>
      </c>
    </row>
    <row r="53" spans="1:3" x14ac:dyDescent="0.25">
      <c r="A53" s="2" t="s">
        <v>14</v>
      </c>
      <c r="B53" s="18"/>
      <c r="C53" s="63">
        <v>1338.18</v>
      </c>
    </row>
    <row r="54" spans="1:3" x14ac:dyDescent="0.25">
      <c r="A54" s="2" t="s">
        <v>14</v>
      </c>
      <c r="B54" s="18"/>
      <c r="C54" s="63">
        <v>1345.01</v>
      </c>
    </row>
    <row r="55" spans="1:3" x14ac:dyDescent="0.25">
      <c r="A55" s="2" t="s">
        <v>14</v>
      </c>
      <c r="B55" s="18"/>
      <c r="C55" s="63">
        <v>1355.799999999999</v>
      </c>
    </row>
    <row r="56" spans="1:3" x14ac:dyDescent="0.25">
      <c r="A56" s="2" t="s">
        <v>14</v>
      </c>
      <c r="B56" s="18"/>
      <c r="C56" s="63">
        <v>1385.799999999999</v>
      </c>
    </row>
    <row r="57" spans="1:3" x14ac:dyDescent="0.25">
      <c r="A57" s="2" t="s">
        <v>14</v>
      </c>
      <c r="B57" s="18"/>
      <c r="C57" s="63">
        <v>1420.18</v>
      </c>
    </row>
    <row r="58" spans="1:3" x14ac:dyDescent="0.25">
      <c r="A58" s="2" t="s">
        <v>14</v>
      </c>
      <c r="B58" s="18"/>
      <c r="C58" s="63">
        <v>1433.17</v>
      </c>
    </row>
    <row r="59" spans="1:3" x14ac:dyDescent="0.25">
      <c r="A59" s="2" t="s">
        <v>14</v>
      </c>
      <c r="B59" s="18"/>
      <c r="C59" s="63">
        <v>1438.18</v>
      </c>
    </row>
    <row r="60" spans="1:3" x14ac:dyDescent="0.25">
      <c r="A60" s="2" t="s">
        <v>14</v>
      </c>
      <c r="B60" s="18"/>
      <c r="C60" s="63">
        <v>1448.49</v>
      </c>
    </row>
    <row r="61" spans="1:3" x14ac:dyDescent="0.25">
      <c r="A61" s="2" t="s">
        <v>14</v>
      </c>
      <c r="B61" s="18"/>
      <c r="C61" s="63">
        <v>1492.95</v>
      </c>
    </row>
    <row r="62" spans="1:3" x14ac:dyDescent="0.25">
      <c r="A62" s="2" t="s">
        <v>14</v>
      </c>
      <c r="B62" s="18"/>
      <c r="C62" s="63">
        <v>1572.329999999999</v>
      </c>
    </row>
    <row r="63" spans="1:3" x14ac:dyDescent="0.25">
      <c r="A63" s="2" t="s">
        <v>14</v>
      </c>
      <c r="B63" s="18"/>
      <c r="C63" s="63">
        <v>1614.6699999999989</v>
      </c>
    </row>
    <row r="64" spans="1:3" x14ac:dyDescent="0.25">
      <c r="A64" s="2" t="s">
        <v>14</v>
      </c>
      <c r="B64" s="18"/>
      <c r="C64" s="63">
        <v>1622.6699999999989</v>
      </c>
    </row>
    <row r="65" spans="1:3" x14ac:dyDescent="0.25">
      <c r="A65" s="2" t="s">
        <v>14</v>
      </c>
      <c r="B65" s="18"/>
      <c r="C65" s="63">
        <v>1627.6599999999989</v>
      </c>
    </row>
    <row r="66" spans="1:3" x14ac:dyDescent="0.25">
      <c r="A66" s="2" t="s">
        <v>14</v>
      </c>
      <c r="B66" s="18"/>
      <c r="C66" s="63">
        <v>1657.589999999999</v>
      </c>
    </row>
    <row r="67" spans="1:3" x14ac:dyDescent="0.25">
      <c r="A67" s="2" t="s">
        <v>14</v>
      </c>
      <c r="B67" s="18"/>
      <c r="C67" s="63">
        <v>1690.1699999999989</v>
      </c>
    </row>
    <row r="68" spans="1:3" x14ac:dyDescent="0.25">
      <c r="A68" s="2" t="s">
        <v>14</v>
      </c>
      <c r="B68" s="18"/>
      <c r="C68" s="63">
        <v>1710.1699999999989</v>
      </c>
    </row>
    <row r="69" spans="1:3" x14ac:dyDescent="0.25">
      <c r="A69" s="2" t="s">
        <v>14</v>
      </c>
      <c r="B69" s="18"/>
      <c r="C69" s="63">
        <v>1712.6599999999989</v>
      </c>
    </row>
    <row r="70" spans="1:3" x14ac:dyDescent="0.25">
      <c r="A70" s="2" t="s">
        <v>117</v>
      </c>
      <c r="B70" s="18"/>
      <c r="C70" s="63">
        <v>1749.379999999999</v>
      </c>
    </row>
    <row r="71" spans="1:3" x14ac:dyDescent="0.25">
      <c r="A71" s="2" t="s">
        <v>117</v>
      </c>
      <c r="B71" s="18"/>
      <c r="C71" s="63">
        <v>1793.329999999999</v>
      </c>
    </row>
    <row r="72" spans="1:3" x14ac:dyDescent="0.25">
      <c r="A72" s="2" t="s">
        <v>117</v>
      </c>
      <c r="B72" s="18"/>
      <c r="C72" s="63">
        <v>1808.1599999999989</v>
      </c>
    </row>
    <row r="73" spans="1:3" x14ac:dyDescent="0.25">
      <c r="A73" s="2" t="s">
        <v>117</v>
      </c>
      <c r="B73" s="18"/>
      <c r="C73" s="63">
        <v>1887.349999999999</v>
      </c>
    </row>
    <row r="74" spans="1:3" x14ac:dyDescent="0.25">
      <c r="A74" s="2" t="s">
        <v>117</v>
      </c>
      <c r="B74" s="18"/>
      <c r="C74" s="63">
        <v>1897.339999999999</v>
      </c>
    </row>
    <row r="75" spans="1:3" x14ac:dyDescent="0.25">
      <c r="A75" s="2" t="s">
        <v>117</v>
      </c>
      <c r="B75" s="18">
        <f t="shared" si="0"/>
        <v>-1733.3299999999995</v>
      </c>
      <c r="C75" s="63">
        <v>164.00999999999951</v>
      </c>
    </row>
    <row r="76" spans="1:3" x14ac:dyDescent="0.25">
      <c r="A76" s="2" t="s">
        <v>117</v>
      </c>
      <c r="B76" s="18"/>
      <c r="C76" s="63">
        <v>179.89999999999949</v>
      </c>
    </row>
    <row r="77" spans="1:3" x14ac:dyDescent="0.25">
      <c r="A77" s="2" t="s">
        <v>117</v>
      </c>
      <c r="B77" s="18">
        <f t="shared" si="0"/>
        <v>-5</v>
      </c>
      <c r="C77" s="63">
        <v>174.89999999999949</v>
      </c>
    </row>
    <row r="78" spans="1:3" x14ac:dyDescent="0.25">
      <c r="A78" s="2" t="s">
        <v>117</v>
      </c>
      <c r="B78" s="18"/>
      <c r="C78" s="63">
        <v>184.09999999999951</v>
      </c>
    </row>
    <row r="79" spans="1:3" x14ac:dyDescent="0.25">
      <c r="A79" s="2" t="s">
        <v>117</v>
      </c>
      <c r="B79" s="18"/>
      <c r="C79" s="63">
        <v>204.09999999999951</v>
      </c>
    </row>
    <row r="80" spans="1:3" x14ac:dyDescent="0.25">
      <c r="A80" s="2" t="s">
        <v>117</v>
      </c>
      <c r="B80" s="18"/>
      <c r="C80" s="63">
        <v>218.2099999999995</v>
      </c>
    </row>
    <row r="81" spans="1:3" x14ac:dyDescent="0.25">
      <c r="A81" s="2" t="s">
        <v>117</v>
      </c>
      <c r="B81" s="18"/>
      <c r="C81" s="63">
        <v>233.19999999999951</v>
      </c>
    </row>
    <row r="82" spans="1:3" x14ac:dyDescent="0.25">
      <c r="A82" s="2" t="s">
        <v>117</v>
      </c>
      <c r="B82" s="18"/>
      <c r="C82" s="63">
        <v>259.78999999999951</v>
      </c>
    </row>
    <row r="83" spans="1:3" x14ac:dyDescent="0.25">
      <c r="A83" s="2" t="s">
        <v>117</v>
      </c>
      <c r="B83" s="18"/>
      <c r="C83" s="63">
        <v>308.78999999999951</v>
      </c>
    </row>
    <row r="84" spans="1:3" x14ac:dyDescent="0.25">
      <c r="A84" s="2" t="s">
        <v>117</v>
      </c>
      <c r="B84" s="18"/>
      <c r="C84" s="63">
        <v>320.78999999999951</v>
      </c>
    </row>
    <row r="85" spans="1:3" x14ac:dyDescent="0.25">
      <c r="A85" s="2" t="s">
        <v>117</v>
      </c>
      <c r="B85" s="18"/>
      <c r="C85" s="63">
        <v>390.78999999999951</v>
      </c>
    </row>
    <row r="86" spans="1:3" x14ac:dyDescent="0.25">
      <c r="A86" s="2" t="s">
        <v>117</v>
      </c>
      <c r="B86" s="18"/>
      <c r="C86" s="63">
        <v>396.07999999999947</v>
      </c>
    </row>
    <row r="87" spans="1:3" x14ac:dyDescent="0.25">
      <c r="A87" s="2" t="s">
        <v>117</v>
      </c>
      <c r="B87" s="18"/>
      <c r="C87" s="63">
        <v>406.07999999999947</v>
      </c>
    </row>
    <row r="88" spans="1:3" x14ac:dyDescent="0.25">
      <c r="A88" s="2" t="s">
        <v>117</v>
      </c>
      <c r="B88" s="18">
        <f t="shared" si="0"/>
        <v>-771.09999999999991</v>
      </c>
      <c r="C88" s="63">
        <v>-365.02000000000049</v>
      </c>
    </row>
    <row r="89" spans="1:3" x14ac:dyDescent="0.25">
      <c r="A89" s="2" t="s">
        <v>117</v>
      </c>
      <c r="B89" s="18">
        <f t="shared" ref="B89:B120" si="1">(C88-C89)*-1</f>
        <v>-29.29000000000002</v>
      </c>
      <c r="C89" s="63">
        <v>-394.31000000000051</v>
      </c>
    </row>
    <row r="90" spans="1:3" x14ac:dyDescent="0.25">
      <c r="A90" s="2" t="s">
        <v>117</v>
      </c>
      <c r="B90" s="18"/>
      <c r="C90" s="63">
        <v>-323.73000000000047</v>
      </c>
    </row>
    <row r="91" spans="1:3" x14ac:dyDescent="0.25">
      <c r="A91" s="2" t="s">
        <v>117</v>
      </c>
      <c r="B91" s="18"/>
      <c r="C91" s="63">
        <v>-312.73000000000047</v>
      </c>
    </row>
    <row r="92" spans="1:3" x14ac:dyDescent="0.25">
      <c r="A92" s="2" t="s">
        <v>117</v>
      </c>
      <c r="B92" s="18"/>
      <c r="C92" s="63">
        <v>-282.73000000000047</v>
      </c>
    </row>
    <row r="93" spans="1:3" x14ac:dyDescent="0.25">
      <c r="A93" s="2" t="s">
        <v>117</v>
      </c>
      <c r="B93" s="18"/>
      <c r="C93" s="63">
        <v>-268.5700000000005</v>
      </c>
    </row>
    <row r="94" spans="1:3" x14ac:dyDescent="0.25">
      <c r="A94" s="2" t="s">
        <v>117</v>
      </c>
      <c r="B94" s="18"/>
      <c r="C94" s="63">
        <v>-266.9500000000005</v>
      </c>
    </row>
    <row r="95" spans="1:3" x14ac:dyDescent="0.25">
      <c r="A95" s="2" t="s">
        <v>117</v>
      </c>
      <c r="B95" s="18"/>
      <c r="C95" s="63">
        <v>-140.25000000000051</v>
      </c>
    </row>
    <row r="96" spans="1:3" x14ac:dyDescent="0.25">
      <c r="A96" s="2" t="s">
        <v>117</v>
      </c>
      <c r="B96" s="18"/>
      <c r="C96" s="63">
        <v>-10.070000000000499</v>
      </c>
    </row>
    <row r="97" spans="1:3" x14ac:dyDescent="0.25">
      <c r="A97" s="2" t="s">
        <v>117</v>
      </c>
      <c r="B97" s="18"/>
      <c r="C97" s="63">
        <v>-0.75000000000050449</v>
      </c>
    </row>
    <row r="98" spans="1:3" x14ac:dyDescent="0.25">
      <c r="A98" s="2" t="s">
        <v>117</v>
      </c>
      <c r="B98" s="18"/>
      <c r="C98" s="63">
        <v>17.249999999999499</v>
      </c>
    </row>
    <row r="99" spans="1:3" x14ac:dyDescent="0.25">
      <c r="A99" s="2" t="s">
        <v>117</v>
      </c>
      <c r="B99" s="18"/>
      <c r="C99" s="63">
        <v>47.239999999999498</v>
      </c>
    </row>
    <row r="100" spans="1:3" x14ac:dyDescent="0.25">
      <c r="A100" s="2" t="s">
        <v>117</v>
      </c>
      <c r="B100" s="18"/>
      <c r="C100" s="63">
        <v>52.179999999999502</v>
      </c>
    </row>
    <row r="101" spans="1:3" x14ac:dyDescent="0.25">
      <c r="A101" s="2" t="s">
        <v>117</v>
      </c>
      <c r="B101" s="18"/>
      <c r="C101" s="63">
        <v>101.3099999999995</v>
      </c>
    </row>
    <row r="102" spans="1:3" x14ac:dyDescent="0.25">
      <c r="A102" s="2" t="s">
        <v>117</v>
      </c>
      <c r="B102" s="18"/>
      <c r="C102" s="63">
        <v>120.19999999999951</v>
      </c>
    </row>
    <row r="103" spans="1:3" x14ac:dyDescent="0.25">
      <c r="A103" s="2" t="s">
        <v>117</v>
      </c>
      <c r="B103" s="18"/>
      <c r="C103" s="63">
        <v>161.56999999999951</v>
      </c>
    </row>
    <row r="104" spans="1:3" x14ac:dyDescent="0.25">
      <c r="A104" s="2" t="s">
        <v>117</v>
      </c>
      <c r="B104" s="18"/>
      <c r="C104" s="63">
        <v>192.58999999999949</v>
      </c>
    </row>
    <row r="105" spans="1:3" x14ac:dyDescent="0.25">
      <c r="A105" s="2" t="s">
        <v>117</v>
      </c>
      <c r="B105" s="18"/>
      <c r="C105" s="63">
        <v>271.96999999999952</v>
      </c>
    </row>
    <row r="106" spans="1:3" x14ac:dyDescent="0.25">
      <c r="A106" s="2" t="s">
        <v>117</v>
      </c>
      <c r="B106" s="18"/>
      <c r="C106" s="63">
        <v>284.95999999999952</v>
      </c>
    </row>
    <row r="107" spans="1:3" x14ac:dyDescent="0.25">
      <c r="A107" s="2" t="s">
        <v>117</v>
      </c>
      <c r="B107" s="18"/>
      <c r="C107" s="63">
        <v>298.68999999999949</v>
      </c>
    </row>
    <row r="108" spans="1:3" x14ac:dyDescent="0.25">
      <c r="A108" s="2" t="s">
        <v>117</v>
      </c>
      <c r="B108" s="18"/>
      <c r="C108" s="63">
        <v>309.27999999999952</v>
      </c>
    </row>
    <row r="109" spans="1:3" x14ac:dyDescent="0.25">
      <c r="A109" s="2" t="s">
        <v>117</v>
      </c>
      <c r="B109" s="18"/>
      <c r="C109" s="63">
        <v>642.46999999999946</v>
      </c>
    </row>
    <row r="110" spans="1:3" x14ac:dyDescent="0.25">
      <c r="A110" s="2" t="s">
        <v>117</v>
      </c>
      <c r="B110" s="18"/>
      <c r="C110" s="63">
        <v>647.46999999999946</v>
      </c>
    </row>
    <row r="111" spans="1:3" x14ac:dyDescent="0.25">
      <c r="A111" s="2" t="s">
        <v>117</v>
      </c>
      <c r="B111" s="18"/>
      <c r="C111" s="63">
        <v>664.53999999999951</v>
      </c>
    </row>
    <row r="112" spans="1:3" x14ac:dyDescent="0.25">
      <c r="A112" s="2" t="s">
        <v>117</v>
      </c>
      <c r="B112" s="18"/>
      <c r="C112" s="63">
        <v>669.19999999999948</v>
      </c>
    </row>
    <row r="113" spans="1:3" x14ac:dyDescent="0.25">
      <c r="A113" s="2" t="s">
        <v>145</v>
      </c>
      <c r="B113" s="18"/>
      <c r="C113" s="63">
        <v>674.18999999999949</v>
      </c>
    </row>
    <row r="114" spans="1:3" x14ac:dyDescent="0.25">
      <c r="A114" s="2" t="s">
        <v>145</v>
      </c>
      <c r="B114" s="18"/>
      <c r="C114" s="63">
        <v>691.77999999999952</v>
      </c>
    </row>
    <row r="115" spans="1:3" x14ac:dyDescent="0.25">
      <c r="A115" s="2" t="s">
        <v>145</v>
      </c>
      <c r="B115" s="18"/>
      <c r="C115" s="63">
        <v>701.76999999999953</v>
      </c>
    </row>
    <row r="116" spans="1:3" x14ac:dyDescent="0.25">
      <c r="A116" s="2" t="s">
        <v>145</v>
      </c>
      <c r="B116" s="18"/>
      <c r="C116" s="63">
        <v>718.18999999999949</v>
      </c>
    </row>
    <row r="117" spans="1:3" x14ac:dyDescent="0.25">
      <c r="A117" s="2" t="s">
        <v>145</v>
      </c>
      <c r="B117" s="18"/>
      <c r="C117" s="63">
        <v>729.15999999999951</v>
      </c>
    </row>
    <row r="118" spans="1:3" x14ac:dyDescent="0.25">
      <c r="A118" s="2" t="s">
        <v>145</v>
      </c>
      <c r="B118" s="18"/>
      <c r="C118" s="63">
        <v>767.57999999999947</v>
      </c>
    </row>
    <row r="119" spans="1:3" x14ac:dyDescent="0.25">
      <c r="A119" s="2" t="s">
        <v>145</v>
      </c>
      <c r="B119" s="18"/>
      <c r="C119" s="63">
        <v>778.5499999999995</v>
      </c>
    </row>
    <row r="120" spans="1:3" x14ac:dyDescent="0.25">
      <c r="A120" s="2" t="s">
        <v>145</v>
      </c>
      <c r="B120" s="18">
        <f t="shared" si="1"/>
        <v>-734.55</v>
      </c>
      <c r="C120" s="63">
        <v>43.999999999999552</v>
      </c>
    </row>
    <row r="121" spans="1:3" x14ac:dyDescent="0.25">
      <c r="A121" s="2" t="s">
        <v>145</v>
      </c>
      <c r="B121" s="18"/>
      <c r="C121" s="63">
        <v>78.999999999999545</v>
      </c>
    </row>
    <row r="122" spans="1:3" x14ac:dyDescent="0.25">
      <c r="A122" s="2" t="s">
        <v>145</v>
      </c>
      <c r="B122" s="18"/>
      <c r="C122" s="63">
        <v>100.11999999999949</v>
      </c>
    </row>
    <row r="123" spans="1:3" x14ac:dyDescent="0.25">
      <c r="A123" s="2" t="s">
        <v>145</v>
      </c>
      <c r="B123" s="18"/>
      <c r="C123" s="63">
        <v>125.03999999999959</v>
      </c>
    </row>
    <row r="124" spans="1:3" x14ac:dyDescent="0.25">
      <c r="A124" s="2" t="s">
        <v>145</v>
      </c>
      <c r="B124" s="18"/>
      <c r="C124" s="63">
        <v>130.16999999999959</v>
      </c>
    </row>
    <row r="125" spans="1:3" x14ac:dyDescent="0.25">
      <c r="A125" s="2" t="s">
        <v>145</v>
      </c>
      <c r="B125" s="18"/>
      <c r="C125" s="63">
        <v>162.74999999999949</v>
      </c>
    </row>
    <row r="126" spans="1:3" x14ac:dyDescent="0.25">
      <c r="A126" s="2" t="s">
        <v>145</v>
      </c>
      <c r="B126" s="18"/>
      <c r="C126" s="63">
        <v>178.6399999999995</v>
      </c>
    </row>
    <row r="127" spans="1:3" x14ac:dyDescent="0.25">
      <c r="A127" s="2" t="s">
        <v>145</v>
      </c>
      <c r="B127" s="18"/>
      <c r="C127" s="63">
        <v>189.22999999999951</v>
      </c>
    </row>
    <row r="128" spans="1:3" x14ac:dyDescent="0.25">
      <c r="A128" s="2" t="s">
        <v>145</v>
      </c>
      <c r="B128" s="18"/>
      <c r="C128" s="63">
        <v>229.22999999999951</v>
      </c>
    </row>
    <row r="129" spans="1:3" x14ac:dyDescent="0.25">
      <c r="A129" s="2" t="s">
        <v>145</v>
      </c>
      <c r="B129" s="18"/>
      <c r="C129" s="63">
        <v>234.4199999999995</v>
      </c>
    </row>
    <row r="130" spans="1:3" x14ac:dyDescent="0.25">
      <c r="A130" s="2" t="s">
        <v>145</v>
      </c>
      <c r="B130" s="18"/>
      <c r="C130" s="63">
        <v>267.54999999999961</v>
      </c>
    </row>
    <row r="131" spans="1:3" x14ac:dyDescent="0.25">
      <c r="A131" s="2" t="s">
        <v>145</v>
      </c>
      <c r="B131" s="18"/>
      <c r="C131" s="63">
        <v>297.54999999999961</v>
      </c>
    </row>
    <row r="132" spans="1:3" x14ac:dyDescent="0.25">
      <c r="A132" s="2" t="s">
        <v>145</v>
      </c>
      <c r="B132" s="18"/>
      <c r="C132" s="63">
        <v>359.32999999999959</v>
      </c>
    </row>
    <row r="133" spans="1:3" x14ac:dyDescent="0.25">
      <c r="A133" s="2" t="s">
        <v>145</v>
      </c>
      <c r="B133" s="18"/>
      <c r="C133" s="63">
        <v>413.32999999999959</v>
      </c>
    </row>
    <row r="134" spans="1:3" x14ac:dyDescent="0.25">
      <c r="A134" s="2" t="s">
        <v>145</v>
      </c>
      <c r="B134" s="18"/>
      <c r="C134" s="63">
        <v>435.32999999999959</v>
      </c>
    </row>
    <row r="135" spans="1:3" x14ac:dyDescent="0.25">
      <c r="A135" s="2" t="s">
        <v>145</v>
      </c>
      <c r="B135" s="18"/>
      <c r="C135" s="63">
        <v>446.82999999999959</v>
      </c>
    </row>
    <row r="136" spans="1:3" x14ac:dyDescent="0.25">
      <c r="A136" s="2" t="s">
        <v>145</v>
      </c>
      <c r="B136" s="18"/>
      <c r="C136" s="63">
        <v>496.25999999999959</v>
      </c>
    </row>
    <row r="137" spans="1:3" x14ac:dyDescent="0.25">
      <c r="A137" s="2" t="s">
        <v>145</v>
      </c>
      <c r="B137" s="18"/>
      <c r="C137" s="63">
        <v>504.78999999999962</v>
      </c>
    </row>
    <row r="138" spans="1:3" x14ac:dyDescent="0.25">
      <c r="A138" s="2" t="s">
        <v>145</v>
      </c>
      <c r="B138" s="18"/>
      <c r="C138" s="63">
        <v>584.6899999999996</v>
      </c>
    </row>
    <row r="139" spans="1:3" x14ac:dyDescent="0.25">
      <c r="A139" s="2" t="s">
        <v>145</v>
      </c>
      <c r="B139" s="18"/>
      <c r="C139" s="63">
        <v>633.01999999999964</v>
      </c>
    </row>
    <row r="140" spans="1:3" x14ac:dyDescent="0.25">
      <c r="A140" s="2" t="s">
        <v>145</v>
      </c>
      <c r="B140" s="18"/>
      <c r="C140" s="63">
        <v>681.24999999999966</v>
      </c>
    </row>
    <row r="141" spans="1:3" x14ac:dyDescent="0.25">
      <c r="A141" s="2" t="s">
        <v>145</v>
      </c>
      <c r="B141" s="18"/>
      <c r="C141" s="63">
        <v>741.24999999999966</v>
      </c>
    </row>
    <row r="142" spans="1:3" x14ac:dyDescent="0.25">
      <c r="A142" s="2" t="s">
        <v>145</v>
      </c>
      <c r="B142" s="18"/>
      <c r="C142" s="63">
        <v>771.24999999999966</v>
      </c>
    </row>
    <row r="143" spans="1:3" x14ac:dyDescent="0.25">
      <c r="A143" s="2" t="s">
        <v>145</v>
      </c>
      <c r="B143" s="18"/>
      <c r="C143" s="63">
        <v>786.23999999999967</v>
      </c>
    </row>
    <row r="144" spans="1:3" x14ac:dyDescent="0.25">
      <c r="A144" s="2" t="s">
        <v>145</v>
      </c>
      <c r="B144" s="18"/>
      <c r="C144" s="63">
        <v>787.09999999999968</v>
      </c>
    </row>
    <row r="145" spans="1:3" x14ac:dyDescent="0.25">
      <c r="A145" s="2" t="s">
        <v>145</v>
      </c>
      <c r="B145" s="18"/>
      <c r="C145" s="63">
        <v>796.3299999999997</v>
      </c>
    </row>
    <row r="146" spans="1:3" x14ac:dyDescent="0.25">
      <c r="A146" s="2" t="s">
        <v>145</v>
      </c>
      <c r="B146" s="18"/>
      <c r="C146" s="63">
        <v>816.17999999999972</v>
      </c>
    </row>
    <row r="147" spans="1:3" x14ac:dyDescent="0.25">
      <c r="A147" s="2" t="s">
        <v>145</v>
      </c>
      <c r="B147" s="18"/>
      <c r="C147" s="63">
        <v>883.12999999999977</v>
      </c>
    </row>
    <row r="148" spans="1:3" x14ac:dyDescent="0.25">
      <c r="A148" s="2" t="s">
        <v>145</v>
      </c>
      <c r="B148" s="18"/>
      <c r="C148" s="63">
        <v>930.72999999999979</v>
      </c>
    </row>
    <row r="149" spans="1:3" x14ac:dyDescent="0.25">
      <c r="A149" s="2" t="s">
        <v>145</v>
      </c>
      <c r="B149" s="18"/>
      <c r="C149" s="63">
        <v>942.72999999999979</v>
      </c>
    </row>
    <row r="150" spans="1:3" x14ac:dyDescent="0.25">
      <c r="A150" s="2" t="s">
        <v>145</v>
      </c>
      <c r="B150" s="18"/>
      <c r="C150" s="63">
        <v>963.5899999999998</v>
      </c>
    </row>
    <row r="151" spans="1:3" x14ac:dyDescent="0.25">
      <c r="A151" s="2" t="s">
        <v>145</v>
      </c>
      <c r="B151" s="18"/>
      <c r="C151" s="63">
        <v>969.57999999999981</v>
      </c>
    </row>
    <row r="152" spans="1:3" x14ac:dyDescent="0.25">
      <c r="A152" s="2" t="s">
        <v>145</v>
      </c>
      <c r="B152" s="18"/>
      <c r="C152" s="63">
        <v>1039.58</v>
      </c>
    </row>
    <row r="153" spans="1:3" x14ac:dyDescent="0.25">
      <c r="A153" s="2" t="s">
        <v>145</v>
      </c>
      <c r="B153" s="18"/>
      <c r="C153" s="63">
        <v>1049.58</v>
      </c>
    </row>
    <row r="154" spans="1:3" x14ac:dyDescent="0.25">
      <c r="A154" s="2" t="s">
        <v>145</v>
      </c>
      <c r="B154" s="18"/>
      <c r="C154" s="63">
        <v>1175.78</v>
      </c>
    </row>
    <row r="155" spans="1:3" x14ac:dyDescent="0.25">
      <c r="A155" s="2" t="s">
        <v>145</v>
      </c>
      <c r="B155" s="18"/>
      <c r="C155" s="63">
        <v>1181.07</v>
      </c>
    </row>
    <row r="156" spans="1:3" x14ac:dyDescent="0.25">
      <c r="A156" s="2" t="s">
        <v>145</v>
      </c>
      <c r="B156" s="18"/>
      <c r="C156" s="63">
        <v>1238.97</v>
      </c>
    </row>
    <row r="157" spans="1:3" x14ac:dyDescent="0.25">
      <c r="A157" s="2" t="s">
        <v>145</v>
      </c>
      <c r="B157" s="18"/>
      <c r="C157" s="63">
        <v>1338.97</v>
      </c>
    </row>
    <row r="158" spans="1:3" x14ac:dyDescent="0.25">
      <c r="A158" s="2" t="s">
        <v>145</v>
      </c>
      <c r="B158" s="18"/>
      <c r="C158" s="63">
        <v>1353.17</v>
      </c>
    </row>
    <row r="159" spans="1:3" x14ac:dyDescent="0.25">
      <c r="A159" s="2" t="s">
        <v>145</v>
      </c>
      <c r="B159" s="18"/>
      <c r="C159" s="63">
        <v>1390.67</v>
      </c>
    </row>
    <row r="160" spans="1:3" x14ac:dyDescent="0.25">
      <c r="A160" s="2" t="s">
        <v>145</v>
      </c>
      <c r="B160" s="18"/>
      <c r="C160" s="63">
        <v>1400.67</v>
      </c>
    </row>
    <row r="161" spans="1:3" x14ac:dyDescent="0.25">
      <c r="A161" s="2" t="s">
        <v>145</v>
      </c>
      <c r="B161" s="18"/>
      <c r="C161" s="63">
        <v>1427.66</v>
      </c>
    </row>
    <row r="162" spans="1:3" x14ac:dyDescent="0.25">
      <c r="A162" s="2" t="s">
        <v>145</v>
      </c>
      <c r="B162" s="18"/>
      <c r="C162" s="63">
        <v>1467.82</v>
      </c>
    </row>
    <row r="163" spans="1:3" x14ac:dyDescent="0.25">
      <c r="A163" s="2" t="s">
        <v>145</v>
      </c>
      <c r="B163" s="18"/>
      <c r="C163" s="63">
        <v>1797.63</v>
      </c>
    </row>
    <row r="164" spans="1:3" x14ac:dyDescent="0.25">
      <c r="A164" s="2" t="s">
        <v>145</v>
      </c>
      <c r="B164" s="18"/>
      <c r="C164" s="63">
        <v>1851.92</v>
      </c>
    </row>
    <row r="165" spans="1:3" x14ac:dyDescent="0.25">
      <c r="A165" s="2" t="s">
        <v>145</v>
      </c>
      <c r="B165" s="18"/>
      <c r="C165" s="63">
        <v>1865.08</v>
      </c>
    </row>
    <row r="166" spans="1:3" x14ac:dyDescent="0.25">
      <c r="A166" s="2" t="s">
        <v>145</v>
      </c>
      <c r="B166" s="18">
        <f t="shared" ref="B166:B171" si="2">(C165-C166)*-1</f>
        <v>-734.55</v>
      </c>
      <c r="C166" s="63">
        <v>1130.53</v>
      </c>
    </row>
    <row r="167" spans="1:3" x14ac:dyDescent="0.25">
      <c r="A167" s="2" t="s">
        <v>145</v>
      </c>
      <c r="B167" s="18"/>
      <c r="C167" s="63">
        <v>1369.76</v>
      </c>
    </row>
    <row r="168" spans="1:3" x14ac:dyDescent="0.25">
      <c r="A168" s="2" t="s">
        <v>145</v>
      </c>
      <c r="B168" s="18"/>
      <c r="C168" s="63">
        <v>1401.29</v>
      </c>
    </row>
    <row r="169" spans="1:3" x14ac:dyDescent="0.25">
      <c r="A169" s="2" t="s">
        <v>145</v>
      </c>
      <c r="B169" s="18"/>
      <c r="C169" s="63">
        <v>1416.29</v>
      </c>
    </row>
    <row r="170" spans="1:3" x14ac:dyDescent="0.25">
      <c r="A170" s="2" t="s">
        <v>145</v>
      </c>
      <c r="B170" s="18"/>
      <c r="C170" s="63">
        <v>1426.7</v>
      </c>
    </row>
    <row r="171" spans="1:3" x14ac:dyDescent="0.25">
      <c r="A171" s="2" t="s">
        <v>145</v>
      </c>
      <c r="B171" s="18">
        <f t="shared" si="2"/>
        <v>-499.99999999999977</v>
      </c>
      <c r="C171" s="63">
        <v>926.70000000000027</v>
      </c>
    </row>
    <row r="172" spans="1:3" x14ac:dyDescent="0.25">
      <c r="A172" s="2" t="s">
        <v>145</v>
      </c>
      <c r="B172" s="18"/>
      <c r="C172" s="63">
        <v>1318.7</v>
      </c>
    </row>
    <row r="173" spans="1:3" x14ac:dyDescent="0.25">
      <c r="A173" s="2" t="s">
        <v>145</v>
      </c>
      <c r="B173" s="18"/>
      <c r="C173" s="63">
        <v>1337.82</v>
      </c>
    </row>
    <row r="174" spans="1:3" x14ac:dyDescent="0.25">
      <c r="A174" s="2" t="s">
        <v>145</v>
      </c>
      <c r="B174" s="18"/>
      <c r="C174" s="63">
        <v>1353.82</v>
      </c>
    </row>
    <row r="175" spans="1:3" x14ac:dyDescent="0.25">
      <c r="A175" s="2" t="s">
        <v>145</v>
      </c>
      <c r="B175" s="18"/>
      <c r="C175" s="63">
        <v>1365.82</v>
      </c>
    </row>
    <row r="176" spans="1:3" x14ac:dyDescent="0.25">
      <c r="A176" s="2" t="s">
        <v>145</v>
      </c>
      <c r="B176" s="18"/>
      <c r="C176" s="63">
        <v>1375.82</v>
      </c>
    </row>
    <row r="177" spans="1:3" x14ac:dyDescent="0.25">
      <c r="A177" s="2" t="s">
        <v>145</v>
      </c>
      <c r="B177" s="18"/>
      <c r="C177" s="63">
        <v>1420.02</v>
      </c>
    </row>
    <row r="178" spans="1:3" x14ac:dyDescent="0.25">
      <c r="A178" s="2" t="s">
        <v>145</v>
      </c>
      <c r="B178" s="18"/>
      <c r="C178" s="63">
        <v>1423.83</v>
      </c>
    </row>
    <row r="179" spans="1:3" x14ac:dyDescent="0.25">
      <c r="A179" s="2" t="s">
        <v>145</v>
      </c>
      <c r="B179" s="18"/>
      <c r="C179" s="63">
        <v>1448.4</v>
      </c>
    </row>
    <row r="180" spans="1:3" x14ac:dyDescent="0.25">
      <c r="A180" s="2" t="s">
        <v>145</v>
      </c>
      <c r="B180" s="18"/>
      <c r="C180" s="63">
        <v>1525.4</v>
      </c>
    </row>
    <row r="181" spans="1:3" x14ac:dyDescent="0.25">
      <c r="A181" s="2" t="s">
        <v>145</v>
      </c>
      <c r="B181" s="18"/>
      <c r="C181" s="63">
        <v>1567.21</v>
      </c>
    </row>
    <row r="182" spans="1:3" x14ac:dyDescent="0.25">
      <c r="A182" s="2" t="s">
        <v>145</v>
      </c>
      <c r="B182" s="18"/>
      <c r="C182" s="63">
        <v>1580.3</v>
      </c>
    </row>
    <row r="183" spans="1:3" x14ac:dyDescent="0.25">
      <c r="A183" s="2" t="s">
        <v>145</v>
      </c>
      <c r="B183" s="18"/>
      <c r="C183" s="63">
        <v>1617.87</v>
      </c>
    </row>
    <row r="184" spans="1:3" x14ac:dyDescent="0.25">
      <c r="A184" s="2" t="s">
        <v>145</v>
      </c>
      <c r="B184" s="18"/>
      <c r="C184" s="63">
        <v>1698.09</v>
      </c>
    </row>
    <row r="185" spans="1:3" x14ac:dyDescent="0.25">
      <c r="A185" s="2" t="s">
        <v>145</v>
      </c>
      <c r="B185" s="18"/>
      <c r="C185" s="63">
        <v>1711.08</v>
      </c>
    </row>
    <row r="186" spans="1:3" x14ac:dyDescent="0.25">
      <c r="A186" s="2" t="s">
        <v>145</v>
      </c>
      <c r="B186" s="18"/>
      <c r="C186" s="63">
        <v>1713.87</v>
      </c>
    </row>
    <row r="187" spans="1:3" x14ac:dyDescent="0.25">
      <c r="A187" s="2" t="s">
        <v>145</v>
      </c>
      <c r="B187" s="18"/>
      <c r="C187" s="63">
        <v>1723.35</v>
      </c>
    </row>
    <row r="188" spans="1:3" x14ac:dyDescent="0.25">
      <c r="A188" s="2" t="s">
        <v>145</v>
      </c>
      <c r="B188" s="18"/>
      <c r="C188" s="63">
        <v>1802.73</v>
      </c>
    </row>
    <row r="189" spans="1:3" x14ac:dyDescent="0.25">
      <c r="A189" s="2" t="s">
        <v>145</v>
      </c>
      <c r="B189" s="18"/>
      <c r="C189" s="63">
        <v>1882.72</v>
      </c>
    </row>
    <row r="190" spans="1:3" x14ac:dyDescent="0.25">
      <c r="A190" s="2" t="s">
        <v>145</v>
      </c>
      <c r="B190" s="18"/>
      <c r="C190" s="63">
        <v>1912.55</v>
      </c>
    </row>
    <row r="191" spans="1:3" x14ac:dyDescent="0.25">
      <c r="A191" s="2" t="s">
        <v>145</v>
      </c>
      <c r="B191" s="18"/>
      <c r="C191" s="63">
        <v>1924.49</v>
      </c>
    </row>
    <row r="192" spans="1:3" x14ac:dyDescent="0.25">
      <c r="A192" s="2" t="s">
        <v>145</v>
      </c>
      <c r="B192" s="18"/>
      <c r="C192" s="63">
        <v>1945.71</v>
      </c>
    </row>
    <row r="193" spans="1:3" x14ac:dyDescent="0.25">
      <c r="A193" s="2" t="s">
        <v>145</v>
      </c>
      <c r="B193" s="18"/>
      <c r="C193" s="63">
        <v>1970.71</v>
      </c>
    </row>
    <row r="194" spans="1:3" x14ac:dyDescent="0.25">
      <c r="A194" s="2" t="s">
        <v>145</v>
      </c>
      <c r="B194" s="18"/>
      <c r="C194" s="63">
        <v>2012.71</v>
      </c>
    </row>
    <row r="195" spans="1:3" x14ac:dyDescent="0.25">
      <c r="A195" s="2" t="s">
        <v>145</v>
      </c>
      <c r="B195" s="18"/>
      <c r="C195" s="63">
        <v>2018.73</v>
      </c>
    </row>
    <row r="196" spans="1:3" x14ac:dyDescent="0.25">
      <c r="A196" s="2" t="s">
        <v>145</v>
      </c>
      <c r="B196" s="18"/>
      <c r="C196" s="63">
        <v>2296.34</v>
      </c>
    </row>
    <row r="197" spans="1:3" x14ac:dyDescent="0.25">
      <c r="A197" s="2" t="s">
        <v>145</v>
      </c>
      <c r="B197" s="18"/>
      <c r="C197" s="63">
        <v>2343.85</v>
      </c>
    </row>
    <row r="198" spans="1:3" x14ac:dyDescent="0.25">
      <c r="A198" s="2" t="s">
        <v>145</v>
      </c>
      <c r="B198" s="18"/>
      <c r="C198" s="63">
        <v>2356.37</v>
      </c>
    </row>
    <row r="199" spans="1:3" x14ac:dyDescent="0.25">
      <c r="A199" s="2" t="s">
        <v>145</v>
      </c>
      <c r="B199" s="18"/>
      <c r="C199" s="63">
        <v>2361.36</v>
      </c>
    </row>
    <row r="200" spans="1:3" x14ac:dyDescent="0.25">
      <c r="A200" s="2" t="s">
        <v>145</v>
      </c>
      <c r="B200" s="18"/>
      <c r="C200" s="63">
        <v>2439.02</v>
      </c>
    </row>
    <row r="201" spans="1:3" x14ac:dyDescent="0.25">
      <c r="A201" s="2" t="s">
        <v>145</v>
      </c>
      <c r="B201" s="18"/>
      <c r="C201" s="63">
        <v>2519.66</v>
      </c>
    </row>
    <row r="202" spans="1:3" x14ac:dyDescent="0.25">
      <c r="A202" s="2" t="s">
        <v>145</v>
      </c>
      <c r="B202" s="18"/>
      <c r="C202" s="63">
        <v>2523.66</v>
      </c>
    </row>
    <row r="203" spans="1:3" x14ac:dyDescent="0.25">
      <c r="A203" s="2" t="s">
        <v>145</v>
      </c>
      <c r="B203" s="18"/>
      <c r="C203" s="63">
        <v>2575.46</v>
      </c>
    </row>
    <row r="204" spans="1:3" x14ac:dyDescent="0.25">
      <c r="A204" s="2" t="s">
        <v>233</v>
      </c>
      <c r="B204" s="18"/>
      <c r="C204" s="63">
        <v>2610.46</v>
      </c>
    </row>
    <row r="205" spans="1:3" x14ac:dyDescent="0.25">
      <c r="A205" s="2" t="s">
        <v>233</v>
      </c>
      <c r="B205" s="18"/>
      <c r="C205" s="63">
        <v>2626.88</v>
      </c>
    </row>
    <row r="206" spans="1:3" x14ac:dyDescent="0.25">
      <c r="A206" s="2" t="s">
        <v>233</v>
      </c>
      <c r="B206" s="18"/>
      <c r="C206" s="63">
        <v>2636.87</v>
      </c>
    </row>
    <row r="207" spans="1:3" x14ac:dyDescent="0.25">
      <c r="A207" s="2" t="s">
        <v>233</v>
      </c>
      <c r="B207" s="18"/>
      <c r="C207" s="63">
        <v>2649.77</v>
      </c>
    </row>
    <row r="208" spans="1:3" x14ac:dyDescent="0.25">
      <c r="A208" s="2" t="s">
        <v>233</v>
      </c>
      <c r="B208" s="18"/>
      <c r="C208" s="63">
        <v>2665.66</v>
      </c>
    </row>
    <row r="209" spans="1:3" x14ac:dyDescent="0.25">
      <c r="A209" s="2" t="s">
        <v>233</v>
      </c>
      <c r="B209" s="18"/>
      <c r="C209" s="63">
        <v>2675.65</v>
      </c>
    </row>
    <row r="210" spans="1:3" x14ac:dyDescent="0.25">
      <c r="A210" s="2" t="s">
        <v>233</v>
      </c>
      <c r="B210" s="18"/>
      <c r="C210" s="63">
        <v>2686.84</v>
      </c>
    </row>
    <row r="211" spans="1:3" x14ac:dyDescent="0.25">
      <c r="A211" s="2" t="s">
        <v>233</v>
      </c>
      <c r="B211" s="18"/>
      <c r="C211" s="63">
        <v>2691.84</v>
      </c>
    </row>
    <row r="212" spans="1:3" x14ac:dyDescent="0.25">
      <c r="A212" s="2" t="s">
        <v>233</v>
      </c>
      <c r="B212" s="18"/>
      <c r="C212" s="63">
        <v>2749.39</v>
      </c>
    </row>
    <row r="213" spans="1:3" x14ac:dyDescent="0.25">
      <c r="A213" s="2" t="s">
        <v>233</v>
      </c>
      <c r="B213" s="18"/>
      <c r="C213" s="63">
        <v>2757.39</v>
      </c>
    </row>
    <row r="214" spans="1:3" x14ac:dyDescent="0.25">
      <c r="A214" s="2" t="s">
        <v>233</v>
      </c>
      <c r="B214" s="18"/>
      <c r="C214" s="63">
        <v>2799.82</v>
      </c>
    </row>
    <row r="215" spans="1:3" x14ac:dyDescent="0.25">
      <c r="A215" s="2" t="s">
        <v>233</v>
      </c>
      <c r="B215" s="18"/>
      <c r="C215" s="63">
        <v>2814.68</v>
      </c>
    </row>
    <row r="216" spans="1:3" x14ac:dyDescent="0.25">
      <c r="A216" s="2" t="s">
        <v>233</v>
      </c>
      <c r="B216" s="18"/>
      <c r="C216" s="63">
        <v>2819.68</v>
      </c>
    </row>
    <row r="217" spans="1:3" x14ac:dyDescent="0.25">
      <c r="A217" s="2" t="s">
        <v>233</v>
      </c>
      <c r="B217" s="18"/>
      <c r="C217" s="63">
        <v>2835.57</v>
      </c>
    </row>
    <row r="218" spans="1:3" x14ac:dyDescent="0.25">
      <c r="A218" s="2" t="s">
        <v>233</v>
      </c>
      <c r="B218" s="18"/>
      <c r="C218" s="63">
        <v>2865.57</v>
      </c>
    </row>
    <row r="219" spans="1:3" x14ac:dyDescent="0.25">
      <c r="A219" s="2" t="s">
        <v>233</v>
      </c>
      <c r="B219" s="18"/>
      <c r="C219" s="63">
        <v>2929.23</v>
      </c>
    </row>
    <row r="220" spans="1:3" x14ac:dyDescent="0.25">
      <c r="A220" s="2" t="s">
        <v>233</v>
      </c>
      <c r="B220" s="18"/>
      <c r="C220" s="63">
        <v>2950.94</v>
      </c>
    </row>
    <row r="221" spans="1:3" x14ac:dyDescent="0.25">
      <c r="A221" s="2" t="s">
        <v>233</v>
      </c>
      <c r="B221" s="18"/>
      <c r="C221" s="63">
        <v>3002.25</v>
      </c>
    </row>
    <row r="222" spans="1:3" x14ac:dyDescent="0.25">
      <c r="A222" s="2" t="s">
        <v>233</v>
      </c>
      <c r="B222" s="18"/>
      <c r="C222" s="63">
        <v>3010.15</v>
      </c>
    </row>
    <row r="223" spans="1:3" x14ac:dyDescent="0.25">
      <c r="A223" s="2" t="s">
        <v>233</v>
      </c>
      <c r="B223" s="18"/>
      <c r="C223" s="63">
        <v>3039.329999999999</v>
      </c>
    </row>
    <row r="224" spans="1:3" x14ac:dyDescent="0.25">
      <c r="A224" s="2" t="s">
        <v>233</v>
      </c>
      <c r="B224" s="18"/>
      <c r="C224" s="63">
        <v>3071.119999999999</v>
      </c>
    </row>
    <row r="225" spans="1:3" x14ac:dyDescent="0.25">
      <c r="A225" s="2" t="s">
        <v>233</v>
      </c>
      <c r="B225" s="18"/>
      <c r="C225" s="63">
        <v>3089.5899999999988</v>
      </c>
    </row>
    <row r="226" spans="1:3" x14ac:dyDescent="0.25">
      <c r="A226" s="2" t="s">
        <v>233</v>
      </c>
      <c r="B226" s="18"/>
      <c r="C226" s="63">
        <v>3104.579999999999</v>
      </c>
    </row>
    <row r="227" spans="1:3" x14ac:dyDescent="0.25">
      <c r="A227" s="2" t="s">
        <v>233</v>
      </c>
      <c r="B227" s="18"/>
      <c r="C227" s="63">
        <v>3176.1299999999992</v>
      </c>
    </row>
    <row r="228" spans="1:3" x14ac:dyDescent="0.25">
      <c r="A228" s="2" t="s">
        <v>233</v>
      </c>
      <c r="B228" s="18"/>
      <c r="C228" s="63">
        <v>3246.1299999999992</v>
      </c>
    </row>
    <row r="229" spans="1:3" x14ac:dyDescent="0.25">
      <c r="A229" s="2" t="s">
        <v>233</v>
      </c>
      <c r="B229" s="18"/>
      <c r="C229" s="63">
        <v>3284.559999999999</v>
      </c>
    </row>
    <row r="230" spans="1:3" x14ac:dyDescent="0.25">
      <c r="A230" s="2" t="s">
        <v>233</v>
      </c>
      <c r="B230" s="18"/>
      <c r="C230" s="63">
        <v>3334.0399999999991</v>
      </c>
    </row>
    <row r="231" spans="1:3" x14ac:dyDescent="0.25">
      <c r="A231" s="2" t="s">
        <v>233</v>
      </c>
      <c r="B231" s="18"/>
      <c r="C231" s="63">
        <v>3338.2999999999988</v>
      </c>
    </row>
    <row r="232" spans="1:3" x14ac:dyDescent="0.25">
      <c r="A232" s="2" t="s">
        <v>233</v>
      </c>
      <c r="B232" s="18"/>
      <c r="C232" s="63">
        <v>3371.8599999999992</v>
      </c>
    </row>
    <row r="233" spans="1:3" x14ac:dyDescent="0.25">
      <c r="A233" s="2" t="s">
        <v>233</v>
      </c>
      <c r="B233" s="18"/>
      <c r="C233" s="63">
        <v>3377.0899999999988</v>
      </c>
    </row>
    <row r="234" spans="1:3" x14ac:dyDescent="0.25">
      <c r="A234" s="2" t="s">
        <v>233</v>
      </c>
      <c r="B234" s="18"/>
      <c r="C234" s="63">
        <v>3386.6899999999991</v>
      </c>
    </row>
    <row r="235" spans="1:3" x14ac:dyDescent="0.25">
      <c r="A235" s="2" t="s">
        <v>233</v>
      </c>
      <c r="B235" s="18"/>
      <c r="C235" s="63">
        <v>3412.8599999999992</v>
      </c>
    </row>
    <row r="236" spans="1:3" x14ac:dyDescent="0.25">
      <c r="A236" s="2" t="s">
        <v>233</v>
      </c>
      <c r="B236" s="18"/>
      <c r="C236" s="63">
        <v>3443.5699999999988</v>
      </c>
    </row>
    <row r="237" spans="1:3" x14ac:dyDescent="0.25">
      <c r="A237" s="2" t="s">
        <v>233</v>
      </c>
      <c r="B237" s="18"/>
      <c r="C237" s="63">
        <v>3448.1699999999992</v>
      </c>
    </row>
    <row r="238" spans="1:3" x14ac:dyDescent="0.25">
      <c r="A238" s="2" t="s">
        <v>233</v>
      </c>
      <c r="B238" s="18"/>
      <c r="C238" s="63">
        <v>3453.1999999999989</v>
      </c>
    </row>
    <row r="239" spans="1:3" x14ac:dyDescent="0.25">
      <c r="A239" s="2" t="s">
        <v>233</v>
      </c>
      <c r="B239" s="18"/>
      <c r="C239" s="63">
        <v>3488.4499999999989</v>
      </c>
    </row>
    <row r="240" spans="1:3" x14ac:dyDescent="0.25">
      <c r="A240" s="2" t="s">
        <v>233</v>
      </c>
      <c r="B240" s="18"/>
      <c r="C240" s="63">
        <v>3493.6699999999992</v>
      </c>
    </row>
    <row r="241" spans="1:3" x14ac:dyDescent="0.25">
      <c r="A241" s="2" t="s">
        <v>233</v>
      </c>
      <c r="B241" s="18"/>
      <c r="C241" s="63">
        <v>3523.6699999999992</v>
      </c>
    </row>
    <row r="242" spans="1:3" x14ac:dyDescent="0.25">
      <c r="A242" s="2" t="s">
        <v>233</v>
      </c>
      <c r="B242" s="18"/>
      <c r="C242" s="63">
        <v>3593.6699999999992</v>
      </c>
    </row>
    <row r="243" spans="1:3" x14ac:dyDescent="0.25">
      <c r="A243" s="2" t="s">
        <v>233</v>
      </c>
      <c r="B243" s="18"/>
      <c r="C243" s="63">
        <v>3693.6699999999992</v>
      </c>
    </row>
    <row r="244" spans="1:3" x14ac:dyDescent="0.25">
      <c r="A244" s="2" t="s">
        <v>233</v>
      </c>
      <c r="B244" s="18"/>
      <c r="C244" s="63">
        <v>3713.5299999999988</v>
      </c>
    </row>
    <row r="245" spans="1:3" x14ac:dyDescent="0.25">
      <c r="A245" s="2" t="s">
        <v>233</v>
      </c>
      <c r="B245" s="18"/>
      <c r="C245" s="63">
        <v>3723.5299999999988</v>
      </c>
    </row>
    <row r="246" spans="1:3" x14ac:dyDescent="0.25">
      <c r="A246" s="2" t="s">
        <v>233</v>
      </c>
      <c r="B246" s="18"/>
      <c r="C246" s="63">
        <v>3728.8199999999988</v>
      </c>
    </row>
    <row r="247" spans="1:3" x14ac:dyDescent="0.25">
      <c r="A247" s="2" t="s">
        <v>233</v>
      </c>
      <c r="B247" s="18"/>
      <c r="C247" s="63">
        <v>3776.1599999999989</v>
      </c>
    </row>
    <row r="248" spans="1:3" x14ac:dyDescent="0.25">
      <c r="A248" s="2" t="s">
        <v>233</v>
      </c>
      <c r="B248" s="18"/>
      <c r="C248" s="63">
        <v>3823.619999999999</v>
      </c>
    </row>
    <row r="249" spans="1:3" x14ac:dyDescent="0.25">
      <c r="A249" s="2" t="s">
        <v>233</v>
      </c>
      <c r="B249" s="18"/>
      <c r="C249" s="63">
        <v>3833.619999999999</v>
      </c>
    </row>
    <row r="250" spans="1:3" x14ac:dyDescent="0.25">
      <c r="A250" s="2" t="s">
        <v>233</v>
      </c>
      <c r="B250" s="18"/>
      <c r="C250" s="63">
        <v>3904.1999999999989</v>
      </c>
    </row>
    <row r="251" spans="1:3" x14ac:dyDescent="0.25">
      <c r="A251" s="2" t="s">
        <v>233</v>
      </c>
      <c r="B251" s="18"/>
      <c r="C251" s="63">
        <v>3955.4499999999989</v>
      </c>
    </row>
    <row r="252" spans="1:3" x14ac:dyDescent="0.25">
      <c r="A252" s="2" t="s">
        <v>233</v>
      </c>
      <c r="B252" s="18"/>
      <c r="C252" s="63">
        <v>3989</v>
      </c>
    </row>
    <row r="253" spans="1:3" x14ac:dyDescent="0.25">
      <c r="A253" s="2" t="s">
        <v>233</v>
      </c>
      <c r="B253" s="18"/>
      <c r="C253" s="63">
        <v>4008.26</v>
      </c>
    </row>
    <row r="254" spans="1:3" x14ac:dyDescent="0.25">
      <c r="A254" s="2" t="s">
        <v>233</v>
      </c>
      <c r="B254" s="18"/>
      <c r="C254" s="63">
        <v>4025.95</v>
      </c>
    </row>
    <row r="255" spans="1:3" x14ac:dyDescent="0.25">
      <c r="A255" s="2" t="s">
        <v>233</v>
      </c>
      <c r="B255" s="18"/>
      <c r="C255" s="63">
        <v>4033.95</v>
      </c>
    </row>
    <row r="256" spans="1:3" x14ac:dyDescent="0.25">
      <c r="A256" s="2" t="s">
        <v>233</v>
      </c>
      <c r="B256" s="18"/>
      <c r="C256" s="63">
        <v>4042.57</v>
      </c>
    </row>
    <row r="257" spans="1:3" x14ac:dyDescent="0.25">
      <c r="A257" s="2" t="s">
        <v>233</v>
      </c>
      <c r="B257" s="18"/>
      <c r="C257" s="63">
        <v>4053.19</v>
      </c>
    </row>
    <row r="258" spans="1:3" x14ac:dyDescent="0.25">
      <c r="A258" s="2" t="s">
        <v>233</v>
      </c>
      <c r="B258" s="18"/>
      <c r="C258" s="63">
        <v>4060.619999999999</v>
      </c>
    </row>
    <row r="259" spans="1:3" x14ac:dyDescent="0.25">
      <c r="A259" s="2" t="s">
        <v>233</v>
      </c>
      <c r="B259" s="18"/>
      <c r="C259" s="63">
        <v>4071.2399999999989</v>
      </c>
    </row>
    <row r="260" spans="1:3" x14ac:dyDescent="0.25">
      <c r="A260" s="2" t="s">
        <v>233</v>
      </c>
      <c r="B260" s="18"/>
      <c r="C260" s="63">
        <v>4091.829999999999</v>
      </c>
    </row>
    <row r="261" spans="1:3" x14ac:dyDescent="0.25">
      <c r="A261" s="2" t="s">
        <v>233</v>
      </c>
      <c r="B261" s="18"/>
      <c r="C261" s="63">
        <v>4124.3999999999996</v>
      </c>
    </row>
    <row r="262" spans="1:3" x14ac:dyDescent="0.25">
      <c r="A262" s="2" t="s">
        <v>233</v>
      </c>
      <c r="B262" s="18"/>
      <c r="C262" s="63">
        <v>4148.3999999999996</v>
      </c>
    </row>
    <row r="263" spans="1:3" x14ac:dyDescent="0.25">
      <c r="A263" s="2" t="s">
        <v>233</v>
      </c>
      <c r="B263" s="18"/>
      <c r="C263" s="63">
        <v>4160.9699999999993</v>
      </c>
    </row>
    <row r="264" spans="1:3" x14ac:dyDescent="0.25">
      <c r="A264" s="2" t="s">
        <v>233</v>
      </c>
      <c r="B264" s="18"/>
      <c r="C264" s="63">
        <v>4191.329999999999</v>
      </c>
    </row>
    <row r="265" spans="1:3" x14ac:dyDescent="0.25">
      <c r="A265" s="2" t="s">
        <v>233</v>
      </c>
      <c r="B265" s="18"/>
      <c r="C265" s="63">
        <v>4206.5199999999986</v>
      </c>
    </row>
    <row r="266" spans="1:3" x14ac:dyDescent="0.25">
      <c r="A266" s="2" t="s">
        <v>233</v>
      </c>
      <c r="B266" s="18"/>
      <c r="C266" s="63">
        <v>4210.1099999999988</v>
      </c>
    </row>
    <row r="267" spans="1:3" x14ac:dyDescent="0.25">
      <c r="A267" s="2" t="s">
        <v>233</v>
      </c>
      <c r="B267" s="18"/>
      <c r="C267" s="63">
        <v>4231.0699999999988</v>
      </c>
    </row>
    <row r="268" spans="1:3" x14ac:dyDescent="0.25">
      <c r="A268" s="2" t="s">
        <v>233</v>
      </c>
      <c r="B268" s="18"/>
      <c r="C268" s="63">
        <v>4237.2999999999984</v>
      </c>
    </row>
    <row r="269" spans="1:3" x14ac:dyDescent="0.25">
      <c r="A269" s="2" t="s">
        <v>233</v>
      </c>
      <c r="B269" s="18"/>
      <c r="C269" s="63">
        <v>4244.7299999999987</v>
      </c>
    </row>
    <row r="270" spans="1:3" x14ac:dyDescent="0.25">
      <c r="A270" s="2" t="s">
        <v>233</v>
      </c>
      <c r="B270" s="18"/>
      <c r="C270" s="63">
        <v>4272.5699999999988</v>
      </c>
    </row>
    <row r="271" spans="1:3" x14ac:dyDescent="0.25">
      <c r="A271" s="2" t="s">
        <v>233</v>
      </c>
      <c r="B271" s="18"/>
      <c r="C271" s="63">
        <v>4322.5699999999988</v>
      </c>
    </row>
    <row r="272" spans="1:3" x14ac:dyDescent="0.25">
      <c r="A272" s="2" t="s">
        <v>233</v>
      </c>
      <c r="B272" s="18"/>
      <c r="C272" s="63">
        <v>4352.5699999999988</v>
      </c>
    </row>
    <row r="273" spans="1:3" x14ac:dyDescent="0.25">
      <c r="A273" s="2" t="s">
        <v>233</v>
      </c>
      <c r="B273" s="18"/>
      <c r="C273" s="63">
        <v>4368.8499999999995</v>
      </c>
    </row>
    <row r="274" spans="1:3" x14ac:dyDescent="0.25">
      <c r="A274" s="2" t="s">
        <v>233</v>
      </c>
      <c r="B274" s="18"/>
      <c r="C274" s="63">
        <v>4437.8499999999995</v>
      </c>
    </row>
    <row r="275" spans="1:3" x14ac:dyDescent="0.25">
      <c r="A275" s="2" t="s">
        <v>233</v>
      </c>
      <c r="B275" s="18"/>
      <c r="C275" s="63">
        <v>4450.8399999999983</v>
      </c>
    </row>
    <row r="276" spans="1:3" x14ac:dyDescent="0.25">
      <c r="A276" s="2" t="s">
        <v>233</v>
      </c>
      <c r="B276" s="18"/>
      <c r="C276" s="63">
        <v>4494.2699999999986</v>
      </c>
    </row>
    <row r="277" spans="1:3" x14ac:dyDescent="0.25">
      <c r="A277" s="2" t="s">
        <v>233</v>
      </c>
      <c r="B277" s="18"/>
      <c r="C277" s="63">
        <v>4544.5899999999983</v>
      </c>
    </row>
    <row r="278" spans="1:3" x14ac:dyDescent="0.25">
      <c r="A278" s="2" t="s">
        <v>233</v>
      </c>
      <c r="B278" s="18"/>
      <c r="C278" s="63">
        <v>4562.2199999999984</v>
      </c>
    </row>
    <row r="279" spans="1:3" x14ac:dyDescent="0.25">
      <c r="A279" s="2" t="s">
        <v>233</v>
      </c>
      <c r="B279" s="18"/>
      <c r="C279" s="63">
        <v>4641.5999999999995</v>
      </c>
    </row>
    <row r="280" spans="1:3" x14ac:dyDescent="0.25">
      <c r="A280" s="2" t="s">
        <v>233</v>
      </c>
      <c r="B280" s="18"/>
      <c r="C280" s="63">
        <v>4685.5999999999995</v>
      </c>
    </row>
    <row r="281" spans="1:3" x14ac:dyDescent="0.25">
      <c r="A281" s="2" t="s">
        <v>233</v>
      </c>
      <c r="B281" s="18"/>
      <c r="C281" s="63">
        <v>4696.1899999999987</v>
      </c>
    </row>
    <row r="282" spans="1:3" x14ac:dyDescent="0.25">
      <c r="A282" s="2" t="s">
        <v>233</v>
      </c>
      <c r="B282" s="18"/>
      <c r="C282" s="63">
        <v>4700.9499999999989</v>
      </c>
    </row>
    <row r="283" spans="1:3" x14ac:dyDescent="0.25">
      <c r="A283" s="2" t="s">
        <v>233</v>
      </c>
      <c r="B283" s="18"/>
      <c r="C283" s="63">
        <v>4733.4999999999991</v>
      </c>
    </row>
    <row r="284" spans="1:3" x14ac:dyDescent="0.25">
      <c r="A284" s="2" t="s">
        <v>233</v>
      </c>
      <c r="B284" s="18"/>
      <c r="C284" s="63">
        <v>4744.6299999999992</v>
      </c>
    </row>
    <row r="285" spans="1:3" x14ac:dyDescent="0.25">
      <c r="A285" s="2" t="s">
        <v>233</v>
      </c>
      <c r="B285" s="18"/>
      <c r="C285" s="63">
        <v>4844.6299999999992</v>
      </c>
    </row>
    <row r="286" spans="1:3" x14ac:dyDescent="0.25">
      <c r="A286" s="2" t="s">
        <v>233</v>
      </c>
      <c r="B286" s="18">
        <f t="shared" ref="B286:B336" si="3">(C285-C286)*-1</f>
        <v>-934.85000000000036</v>
      </c>
      <c r="C286" s="63">
        <v>3909.7799999999988</v>
      </c>
    </row>
    <row r="287" spans="1:3" x14ac:dyDescent="0.25">
      <c r="A287" s="2" t="s">
        <v>233</v>
      </c>
      <c r="B287" s="18">
        <f t="shared" si="3"/>
        <v>-65.149999999999636</v>
      </c>
      <c r="C287" s="63">
        <v>3844.6299999999992</v>
      </c>
    </row>
    <row r="288" spans="1:3" x14ac:dyDescent="0.25">
      <c r="A288" s="2" t="s">
        <v>233</v>
      </c>
      <c r="B288" s="18"/>
      <c r="C288" s="63">
        <v>3894.6299999999992</v>
      </c>
    </row>
    <row r="289" spans="1:3" x14ac:dyDescent="0.25">
      <c r="A289" s="2" t="s">
        <v>233</v>
      </c>
      <c r="B289" s="18"/>
      <c r="C289" s="63">
        <v>3953.1499999999992</v>
      </c>
    </row>
    <row r="290" spans="1:3" x14ac:dyDescent="0.25">
      <c r="A290" s="2" t="s">
        <v>233</v>
      </c>
      <c r="B290" s="18"/>
      <c r="C290" s="63">
        <v>3958.139999999999</v>
      </c>
    </row>
    <row r="291" spans="1:3" x14ac:dyDescent="0.25">
      <c r="A291" s="2" t="s">
        <v>233</v>
      </c>
      <c r="B291" s="18"/>
      <c r="C291" s="63">
        <v>3981.4899999999989</v>
      </c>
    </row>
    <row r="292" spans="1:3" x14ac:dyDescent="0.25">
      <c r="A292" s="2" t="s">
        <v>233</v>
      </c>
      <c r="B292" s="18"/>
      <c r="C292" s="63">
        <v>3994.1299999999992</v>
      </c>
    </row>
    <row r="293" spans="1:3" x14ac:dyDescent="0.25">
      <c r="A293" s="2" t="s">
        <v>233</v>
      </c>
      <c r="B293" s="18"/>
      <c r="C293" s="63">
        <v>3999.6599999999989</v>
      </c>
    </row>
    <row r="294" spans="1:3" x14ac:dyDescent="0.25">
      <c r="A294" s="2" t="s">
        <v>233</v>
      </c>
      <c r="B294" s="18"/>
      <c r="C294" s="63">
        <v>4012.559999999999</v>
      </c>
    </row>
    <row r="295" spans="1:3" x14ac:dyDescent="0.25">
      <c r="A295" s="2" t="s">
        <v>233</v>
      </c>
      <c r="B295" s="18"/>
      <c r="C295" s="63">
        <v>4185.2299999999987</v>
      </c>
    </row>
    <row r="296" spans="1:3" x14ac:dyDescent="0.25">
      <c r="A296" s="2" t="s">
        <v>290</v>
      </c>
      <c r="B296" s="18"/>
      <c r="C296" s="63">
        <v>4200.7299999999987</v>
      </c>
    </row>
    <row r="297" spans="1:3" x14ac:dyDescent="0.25">
      <c r="A297" s="2" t="s">
        <v>290</v>
      </c>
      <c r="B297" s="18"/>
      <c r="C297" s="63">
        <v>4211.3199999999988</v>
      </c>
    </row>
    <row r="298" spans="1:3" x14ac:dyDescent="0.25">
      <c r="A298" s="2" t="s">
        <v>290</v>
      </c>
      <c r="B298" s="18"/>
      <c r="C298" s="63">
        <v>4221.3099999999986</v>
      </c>
    </row>
    <row r="299" spans="1:3" x14ac:dyDescent="0.25">
      <c r="A299" s="2" t="s">
        <v>290</v>
      </c>
      <c r="B299" s="18"/>
      <c r="C299" s="63">
        <v>4266.9799999999987</v>
      </c>
    </row>
    <row r="300" spans="1:3" x14ac:dyDescent="0.25">
      <c r="A300" s="2" t="s">
        <v>290</v>
      </c>
      <c r="B300" s="18"/>
      <c r="C300" s="63">
        <v>4287.7699999999986</v>
      </c>
    </row>
    <row r="301" spans="1:3" x14ac:dyDescent="0.25">
      <c r="A301" s="2" t="s">
        <v>290</v>
      </c>
      <c r="B301" s="18"/>
      <c r="C301" s="63">
        <v>4305.0999999999995</v>
      </c>
    </row>
    <row r="302" spans="1:3" x14ac:dyDescent="0.25">
      <c r="A302" s="2" t="s">
        <v>290</v>
      </c>
      <c r="B302" s="18"/>
      <c r="C302" s="63">
        <v>4344.2099999999982</v>
      </c>
    </row>
    <row r="303" spans="1:3" x14ac:dyDescent="0.25">
      <c r="A303" s="2" t="s">
        <v>290</v>
      </c>
      <c r="B303" s="18"/>
      <c r="C303" s="63">
        <v>4374.1899999999978</v>
      </c>
    </row>
    <row r="304" spans="1:3" x14ac:dyDescent="0.25">
      <c r="A304" s="2" t="s">
        <v>290</v>
      </c>
      <c r="B304" s="18"/>
      <c r="C304" s="63">
        <v>4384.8099999999977</v>
      </c>
    </row>
    <row r="305" spans="1:3" x14ac:dyDescent="0.25">
      <c r="A305" s="2" t="s">
        <v>290</v>
      </c>
      <c r="B305" s="18"/>
      <c r="C305" s="63">
        <v>4406.4799999999977</v>
      </c>
    </row>
    <row r="306" spans="1:3" x14ac:dyDescent="0.25">
      <c r="A306" s="2" t="s">
        <v>290</v>
      </c>
      <c r="B306" s="18"/>
      <c r="C306" s="63">
        <v>4443.9799999999977</v>
      </c>
    </row>
    <row r="307" spans="1:3" x14ac:dyDescent="0.25">
      <c r="A307" s="2" t="s">
        <v>290</v>
      </c>
      <c r="B307" s="18"/>
      <c r="C307" s="63">
        <v>4456.199999999998</v>
      </c>
    </row>
    <row r="308" spans="1:3" x14ac:dyDescent="0.25">
      <c r="A308" s="2" t="s">
        <v>290</v>
      </c>
      <c r="B308" s="18"/>
      <c r="C308" s="63">
        <v>4472.0899999999983</v>
      </c>
    </row>
    <row r="309" spans="1:3" x14ac:dyDescent="0.25">
      <c r="A309" s="2" t="s">
        <v>290</v>
      </c>
      <c r="B309" s="18"/>
      <c r="C309" s="63">
        <v>4478.6899999999987</v>
      </c>
    </row>
    <row r="310" spans="1:3" x14ac:dyDescent="0.25">
      <c r="A310" s="2" t="s">
        <v>290</v>
      </c>
      <c r="B310" s="18"/>
      <c r="C310" s="63">
        <v>4526.3899999999994</v>
      </c>
    </row>
    <row r="311" spans="1:3" x14ac:dyDescent="0.25">
      <c r="A311" s="2" t="s">
        <v>290</v>
      </c>
      <c r="B311" s="18"/>
      <c r="C311" s="63">
        <v>4531.3899999999994</v>
      </c>
    </row>
    <row r="312" spans="1:3" x14ac:dyDescent="0.25">
      <c r="A312" s="2" t="s">
        <v>290</v>
      </c>
      <c r="B312" s="18"/>
      <c r="C312" s="63">
        <v>4549.7099999999982</v>
      </c>
    </row>
    <row r="313" spans="1:3" x14ac:dyDescent="0.25">
      <c r="A313" s="2" t="s">
        <v>290</v>
      </c>
      <c r="B313" s="18"/>
      <c r="C313" s="63">
        <v>4577.8899999999994</v>
      </c>
    </row>
    <row r="314" spans="1:3" x14ac:dyDescent="0.25">
      <c r="A314" s="2" t="s">
        <v>290</v>
      </c>
      <c r="B314" s="18"/>
      <c r="C314" s="63">
        <v>4598.5899999999983</v>
      </c>
    </row>
    <row r="315" spans="1:3" x14ac:dyDescent="0.25">
      <c r="A315" s="2" t="s">
        <v>290</v>
      </c>
      <c r="B315" s="18"/>
      <c r="C315" s="63">
        <v>4628.5899999999983</v>
      </c>
    </row>
    <row r="316" spans="1:3" x14ac:dyDescent="0.25">
      <c r="A316" s="2" t="s">
        <v>290</v>
      </c>
      <c r="B316" s="18"/>
      <c r="C316" s="63">
        <v>4637.9999999999982</v>
      </c>
    </row>
    <row r="317" spans="1:3" x14ac:dyDescent="0.25">
      <c r="A317" s="2" t="s">
        <v>290</v>
      </c>
      <c r="B317" s="18"/>
      <c r="C317" s="63">
        <v>4647.9999999999982</v>
      </c>
    </row>
    <row r="318" spans="1:3" x14ac:dyDescent="0.25">
      <c r="A318" s="2" t="s">
        <v>290</v>
      </c>
      <c r="B318" s="18"/>
      <c r="C318" s="63">
        <v>4652.0799999999981</v>
      </c>
    </row>
    <row r="319" spans="1:3" x14ac:dyDescent="0.25">
      <c r="A319" s="2" t="s">
        <v>290</v>
      </c>
      <c r="B319" s="18"/>
      <c r="C319" s="63">
        <v>4659.5099999999984</v>
      </c>
    </row>
    <row r="320" spans="1:3" x14ac:dyDescent="0.25">
      <c r="A320" s="2" t="s">
        <v>290</v>
      </c>
      <c r="B320" s="18"/>
      <c r="C320" s="63">
        <v>4670.3599999999988</v>
      </c>
    </row>
    <row r="321" spans="1:3" x14ac:dyDescent="0.25">
      <c r="A321" s="2" t="s">
        <v>290</v>
      </c>
      <c r="B321" s="18"/>
      <c r="C321" s="63">
        <v>4743.7599999999984</v>
      </c>
    </row>
    <row r="322" spans="1:3" x14ac:dyDescent="0.25">
      <c r="A322" s="2" t="s">
        <v>290</v>
      </c>
      <c r="B322" s="18"/>
      <c r="C322" s="63">
        <v>4750.0199999999986</v>
      </c>
    </row>
    <row r="323" spans="1:3" x14ac:dyDescent="0.25">
      <c r="A323" s="2" t="s">
        <v>290</v>
      </c>
      <c r="B323" s="18"/>
      <c r="C323" s="63">
        <v>4758.5199999999986</v>
      </c>
    </row>
    <row r="324" spans="1:3" x14ac:dyDescent="0.25">
      <c r="A324" s="2" t="s">
        <v>290</v>
      </c>
      <c r="B324" s="18"/>
      <c r="C324" s="63">
        <v>4770.1699999999983</v>
      </c>
    </row>
    <row r="325" spans="1:3" x14ac:dyDescent="0.25">
      <c r="A325" s="2" t="s">
        <v>290</v>
      </c>
      <c r="B325" s="18"/>
      <c r="C325" s="63">
        <v>4773.1699999999983</v>
      </c>
    </row>
    <row r="326" spans="1:3" x14ac:dyDescent="0.25">
      <c r="A326" s="2" t="s">
        <v>290</v>
      </c>
      <c r="B326" s="18"/>
      <c r="C326" s="63">
        <v>4792.7299999999987</v>
      </c>
    </row>
    <row r="327" spans="1:3" x14ac:dyDescent="0.25">
      <c r="A327" s="2" t="s">
        <v>290</v>
      </c>
      <c r="B327" s="18"/>
      <c r="C327" s="63">
        <v>4862.7299999999987</v>
      </c>
    </row>
    <row r="328" spans="1:3" x14ac:dyDescent="0.25">
      <c r="A328" s="2" t="s">
        <v>290</v>
      </c>
      <c r="B328" s="18"/>
      <c r="C328" s="63">
        <v>4901.8199999999988</v>
      </c>
    </row>
    <row r="329" spans="1:3" x14ac:dyDescent="0.25">
      <c r="A329" s="2" t="s">
        <v>290</v>
      </c>
      <c r="B329" s="18"/>
      <c r="C329" s="63">
        <v>4920.1099999999988</v>
      </c>
    </row>
    <row r="330" spans="1:3" x14ac:dyDescent="0.25">
      <c r="A330" s="2" t="s">
        <v>290</v>
      </c>
      <c r="B330" s="18"/>
      <c r="C330" s="63">
        <v>4939.6799999999976</v>
      </c>
    </row>
    <row r="331" spans="1:3" x14ac:dyDescent="0.25">
      <c r="A331" s="2" t="s">
        <v>290</v>
      </c>
      <c r="B331" s="18"/>
      <c r="C331" s="63">
        <v>4962.9799999999987</v>
      </c>
    </row>
    <row r="332" spans="1:3" x14ac:dyDescent="0.25">
      <c r="A332" s="2" t="s">
        <v>290</v>
      </c>
      <c r="B332" s="18"/>
      <c r="C332" s="63">
        <v>5028.1599999999989</v>
      </c>
    </row>
    <row r="333" spans="1:3" x14ac:dyDescent="0.25">
      <c r="A333" s="2" t="s">
        <v>290</v>
      </c>
      <c r="B333" s="18"/>
      <c r="C333" s="63">
        <v>5059.0999999999995</v>
      </c>
    </row>
    <row r="334" spans="1:3" x14ac:dyDescent="0.25">
      <c r="A334" s="2" t="s">
        <v>290</v>
      </c>
      <c r="B334" s="18"/>
      <c r="C334" s="63">
        <v>5085.9499999999989</v>
      </c>
    </row>
    <row r="335" spans="1:3" x14ac:dyDescent="0.25">
      <c r="A335" s="2" t="s">
        <v>290</v>
      </c>
      <c r="B335" s="18">
        <f t="shared" si="3"/>
        <v>-41.229999999999563</v>
      </c>
      <c r="C335" s="63">
        <v>5044.7199999999993</v>
      </c>
    </row>
    <row r="336" spans="1:3" x14ac:dyDescent="0.25">
      <c r="A336" s="2" t="s">
        <v>290</v>
      </c>
      <c r="B336" s="18">
        <f t="shared" si="3"/>
        <v>-1000.0000000000005</v>
      </c>
      <c r="C336" s="63">
        <v>4044.7199999999989</v>
      </c>
    </row>
    <row r="337" spans="1:3" x14ac:dyDescent="0.25">
      <c r="A337" s="2" t="s">
        <v>290</v>
      </c>
      <c r="B337" s="18"/>
      <c r="C337" s="63">
        <v>4055.3399999999988</v>
      </c>
    </row>
    <row r="338" spans="1:3" x14ac:dyDescent="0.25">
      <c r="A338" s="2" t="s">
        <v>290</v>
      </c>
      <c r="B338" s="18"/>
      <c r="C338" s="63">
        <v>4060.6299999999992</v>
      </c>
    </row>
    <row r="339" spans="1:3" x14ac:dyDescent="0.25">
      <c r="A339" s="2" t="s">
        <v>290</v>
      </c>
      <c r="B339" s="18"/>
      <c r="C339" s="63">
        <v>4098.1299999999992</v>
      </c>
    </row>
    <row r="340" spans="1:3" x14ac:dyDescent="0.25">
      <c r="A340" s="2" t="s">
        <v>290</v>
      </c>
      <c r="B340" s="18"/>
      <c r="C340" s="63">
        <v>4247.1299999999992</v>
      </c>
    </row>
    <row r="341" spans="1:3" x14ac:dyDescent="0.25">
      <c r="A341" s="2" t="s">
        <v>290</v>
      </c>
      <c r="B341" s="18"/>
      <c r="C341" s="63">
        <v>4257.1299999999992</v>
      </c>
    </row>
    <row r="342" spans="1:3" x14ac:dyDescent="0.25">
      <c r="A342" s="2" t="s">
        <v>290</v>
      </c>
      <c r="B342" s="18"/>
      <c r="C342" s="63">
        <v>4260.9199999999992</v>
      </c>
    </row>
    <row r="343" spans="1:3" x14ac:dyDescent="0.25">
      <c r="A343" s="2" t="s">
        <v>290</v>
      </c>
      <c r="B343" s="18"/>
      <c r="C343" s="63">
        <v>4261.9999999999991</v>
      </c>
    </row>
    <row r="344" spans="1:3" x14ac:dyDescent="0.25">
      <c r="A344" s="2" t="s">
        <v>290</v>
      </c>
      <c r="B344" s="18"/>
      <c r="C344" s="63">
        <v>4289.4099999999989</v>
      </c>
    </row>
    <row r="345" spans="1:3" x14ac:dyDescent="0.25">
      <c r="A345" s="2" t="s">
        <v>290</v>
      </c>
      <c r="B345" s="18"/>
      <c r="C345" s="63">
        <v>4370.0099999999993</v>
      </c>
    </row>
    <row r="346" spans="1:3" x14ac:dyDescent="0.25">
      <c r="A346" s="2" t="s">
        <v>290</v>
      </c>
      <c r="B346" s="18"/>
      <c r="C346" s="63">
        <v>4420.4899999999989</v>
      </c>
    </row>
    <row r="347" spans="1:3" x14ac:dyDescent="0.25">
      <c r="A347" s="2" t="s">
        <v>290</v>
      </c>
      <c r="B347" s="18"/>
      <c r="C347" s="63">
        <v>4468.5399999999991</v>
      </c>
    </row>
    <row r="348" spans="1:3" x14ac:dyDescent="0.25">
      <c r="A348" s="2" t="s">
        <v>290</v>
      </c>
      <c r="B348" s="18"/>
      <c r="C348" s="63">
        <v>4473.8399999999992</v>
      </c>
    </row>
    <row r="349" spans="1:3" x14ac:dyDescent="0.25">
      <c r="A349" s="2" t="s">
        <v>290</v>
      </c>
      <c r="B349" s="18"/>
      <c r="C349" s="63">
        <v>4500.8999999999996</v>
      </c>
    </row>
    <row r="350" spans="1:3" x14ac:dyDescent="0.25">
      <c r="A350" s="2" t="s">
        <v>290</v>
      </c>
      <c r="B350" s="18"/>
      <c r="C350" s="63">
        <v>4571.4799999999996</v>
      </c>
    </row>
    <row r="351" spans="1:3" x14ac:dyDescent="0.25">
      <c r="A351" s="2" t="s">
        <v>290</v>
      </c>
      <c r="B351" s="18"/>
      <c r="C351" s="63">
        <v>4578.6799999999994</v>
      </c>
    </row>
    <row r="352" spans="1:3" x14ac:dyDescent="0.25">
      <c r="A352" s="2" t="s">
        <v>290</v>
      </c>
      <c r="B352" s="18"/>
      <c r="C352" s="63">
        <v>4588.07</v>
      </c>
    </row>
    <row r="353" spans="1:3" x14ac:dyDescent="0.25">
      <c r="A353" s="2" t="s">
        <v>290</v>
      </c>
      <c r="B353" s="18"/>
      <c r="C353" s="63">
        <v>4600.67</v>
      </c>
    </row>
    <row r="354" spans="1:3" x14ac:dyDescent="0.25">
      <c r="A354" s="2" t="s">
        <v>290</v>
      </c>
      <c r="B354" s="18"/>
      <c r="C354" s="63">
        <v>4605.0200000000004</v>
      </c>
    </row>
    <row r="355" spans="1:3" x14ac:dyDescent="0.25">
      <c r="A355" s="2" t="s">
        <v>290</v>
      </c>
      <c r="B355" s="18"/>
      <c r="C355" s="63">
        <v>4635.1000000000004</v>
      </c>
    </row>
    <row r="356" spans="1:3" x14ac:dyDescent="0.25">
      <c r="A356" s="2" t="s">
        <v>290</v>
      </c>
      <c r="B356" s="18"/>
      <c r="C356" s="63">
        <v>4642.76</v>
      </c>
    </row>
    <row r="357" spans="1:3" x14ac:dyDescent="0.25">
      <c r="A357" s="2" t="s">
        <v>290</v>
      </c>
      <c r="B357" s="18"/>
      <c r="C357" s="63">
        <v>4652.45</v>
      </c>
    </row>
    <row r="358" spans="1:3" x14ac:dyDescent="0.25">
      <c r="A358" s="2" t="s">
        <v>290</v>
      </c>
      <c r="B358" s="18"/>
      <c r="C358" s="63">
        <v>4665.5999999999995</v>
      </c>
    </row>
    <row r="359" spans="1:3" x14ac:dyDescent="0.25">
      <c r="A359" s="2" t="s">
        <v>290</v>
      </c>
      <c r="B359" s="18"/>
      <c r="C359" s="63">
        <v>4674.99</v>
      </c>
    </row>
    <row r="360" spans="1:3" x14ac:dyDescent="0.25">
      <c r="A360" s="2" t="s">
        <v>290</v>
      </c>
      <c r="B360" s="18"/>
      <c r="C360" s="63">
        <v>4682.6499999999996</v>
      </c>
    </row>
    <row r="361" spans="1:3" x14ac:dyDescent="0.25">
      <c r="A361" s="2" t="s">
        <v>290</v>
      </c>
      <c r="B361" s="18"/>
      <c r="C361" s="63">
        <v>4686.21</v>
      </c>
    </row>
    <row r="362" spans="1:3" x14ac:dyDescent="0.25">
      <c r="A362" s="2" t="s">
        <v>290</v>
      </c>
      <c r="B362" s="18"/>
      <c r="C362" s="63">
        <v>4707.8599999999997</v>
      </c>
    </row>
    <row r="363" spans="1:3" x14ac:dyDescent="0.25">
      <c r="A363" s="2" t="s">
        <v>290</v>
      </c>
      <c r="B363" s="18"/>
      <c r="C363" s="63">
        <v>4717.6099999999997</v>
      </c>
    </row>
    <row r="364" spans="1:3" x14ac:dyDescent="0.25">
      <c r="A364" s="2" t="s">
        <v>290</v>
      </c>
      <c r="B364" s="18"/>
      <c r="C364" s="63">
        <v>4756.5999999999995</v>
      </c>
    </row>
    <row r="365" spans="1:3" x14ac:dyDescent="0.25">
      <c r="A365" s="2" t="s">
        <v>290</v>
      </c>
      <c r="B365" s="18"/>
      <c r="C365" s="63">
        <v>4759.7700000000004</v>
      </c>
    </row>
    <row r="366" spans="1:3" x14ac:dyDescent="0.25">
      <c r="A366" s="2" t="s">
        <v>290</v>
      </c>
      <c r="B366" s="18"/>
      <c r="C366" s="63">
        <v>4776.0499999999993</v>
      </c>
    </row>
    <row r="367" spans="1:3" x14ac:dyDescent="0.25">
      <c r="A367" s="2" t="s">
        <v>290</v>
      </c>
      <c r="B367" s="18"/>
      <c r="C367" s="63">
        <v>4925.0499999999993</v>
      </c>
    </row>
    <row r="368" spans="1:3" x14ac:dyDescent="0.25">
      <c r="A368" s="2" t="s">
        <v>290</v>
      </c>
      <c r="B368" s="18"/>
      <c r="C368" s="63">
        <v>5136.619999999999</v>
      </c>
    </row>
    <row r="369" spans="1:3" x14ac:dyDescent="0.25">
      <c r="A369" s="2" t="s">
        <v>290</v>
      </c>
      <c r="B369" s="18"/>
      <c r="C369" s="63">
        <v>5215.9999999999991</v>
      </c>
    </row>
    <row r="370" spans="1:3" x14ac:dyDescent="0.25">
      <c r="A370" s="2" t="s">
        <v>290</v>
      </c>
      <c r="B370" s="18"/>
      <c r="C370" s="63">
        <v>5223.9699999999993</v>
      </c>
    </row>
    <row r="371" spans="1:3" x14ac:dyDescent="0.25">
      <c r="A371" s="2" t="s">
        <v>290</v>
      </c>
      <c r="B371" s="18"/>
      <c r="C371" s="63">
        <v>5254.369999999999</v>
      </c>
    </row>
    <row r="372" spans="1:3" x14ac:dyDescent="0.25">
      <c r="A372" s="2" t="s">
        <v>290</v>
      </c>
      <c r="B372" s="18"/>
      <c r="C372" s="63">
        <v>5297.3499999999995</v>
      </c>
    </row>
    <row r="373" spans="1:3" x14ac:dyDescent="0.25">
      <c r="A373" s="2" t="s">
        <v>290</v>
      </c>
      <c r="B373" s="18"/>
      <c r="C373" s="63">
        <v>5340.7799999999988</v>
      </c>
    </row>
    <row r="374" spans="1:3" x14ac:dyDescent="0.25">
      <c r="A374" s="2" t="s">
        <v>290</v>
      </c>
      <c r="B374" s="18"/>
      <c r="C374" s="63">
        <v>5358.2999999999993</v>
      </c>
    </row>
    <row r="375" spans="1:3" x14ac:dyDescent="0.25">
      <c r="A375" s="2" t="s">
        <v>290</v>
      </c>
      <c r="B375" s="18"/>
      <c r="C375" s="63">
        <v>5390.44</v>
      </c>
    </row>
    <row r="376" spans="1:3" x14ac:dyDescent="0.25">
      <c r="A376" s="2" t="s">
        <v>290</v>
      </c>
      <c r="B376" s="18"/>
      <c r="C376" s="63">
        <v>5403.7999999999993</v>
      </c>
    </row>
    <row r="377" spans="1:3" x14ac:dyDescent="0.25">
      <c r="A377" s="2" t="s">
        <v>290</v>
      </c>
      <c r="B377" s="18"/>
      <c r="C377" s="63">
        <v>5409.2099999999991</v>
      </c>
    </row>
    <row r="378" spans="1:3" x14ac:dyDescent="0.25">
      <c r="A378" s="2" t="s">
        <v>290</v>
      </c>
      <c r="B378" s="18"/>
      <c r="C378" s="63">
        <v>5441.7799999999988</v>
      </c>
    </row>
    <row r="379" spans="1:3" x14ac:dyDescent="0.25">
      <c r="A379" s="2" t="s">
        <v>290</v>
      </c>
      <c r="B379" s="18"/>
      <c r="C379" s="63">
        <v>5548.1799999999976</v>
      </c>
    </row>
    <row r="380" spans="1:3" x14ac:dyDescent="0.25">
      <c r="A380" s="2" t="s">
        <v>290</v>
      </c>
      <c r="B380" s="18"/>
      <c r="C380" s="63">
        <v>5558.1799999999976</v>
      </c>
    </row>
    <row r="381" spans="1:3" x14ac:dyDescent="0.25">
      <c r="A381" s="2" t="s">
        <v>290</v>
      </c>
      <c r="B381" s="18"/>
      <c r="C381" s="63">
        <v>5590.7499999999982</v>
      </c>
    </row>
    <row r="382" spans="1:3" x14ac:dyDescent="0.25">
      <c r="A382" s="2" t="s">
        <v>290</v>
      </c>
      <c r="B382" s="18"/>
      <c r="C382" s="63">
        <v>5623.3199999999979</v>
      </c>
    </row>
    <row r="383" spans="1:3" x14ac:dyDescent="0.25">
      <c r="A383" s="2" t="s">
        <v>290</v>
      </c>
      <c r="B383" s="18"/>
      <c r="C383" s="63">
        <v>5640.1299999999983</v>
      </c>
    </row>
    <row r="384" spans="1:3" x14ac:dyDescent="0.25">
      <c r="A384" s="2" t="s">
        <v>290</v>
      </c>
      <c r="B384" s="18"/>
      <c r="C384" s="63">
        <v>5661.8399999999983</v>
      </c>
    </row>
    <row r="385" spans="1:3" x14ac:dyDescent="0.25">
      <c r="A385" s="2" t="s">
        <v>290</v>
      </c>
      <c r="B385" s="18"/>
      <c r="C385" s="63">
        <v>5675.0899999999983</v>
      </c>
    </row>
    <row r="386" spans="1:3" x14ac:dyDescent="0.25">
      <c r="A386" s="2" t="s">
        <v>290</v>
      </c>
      <c r="B386" s="18">
        <f t="shared" ref="B386" si="4">(C385-C386)*-1</f>
        <v>-1000</v>
      </c>
      <c r="C386" s="63">
        <v>4675.0899999999983</v>
      </c>
    </row>
    <row r="387" spans="1:3" x14ac:dyDescent="0.25">
      <c r="A387" s="2" t="s">
        <v>290</v>
      </c>
      <c r="B387" s="18"/>
      <c r="C387" s="63">
        <v>4703.0799999999981</v>
      </c>
    </row>
    <row r="388" spans="1:3" x14ac:dyDescent="0.25">
      <c r="A388" s="2" t="s">
        <v>290</v>
      </c>
      <c r="B388" s="18"/>
      <c r="C388" s="63">
        <v>4714.8799999999983</v>
      </c>
    </row>
    <row r="389" spans="1:3" x14ac:dyDescent="0.25">
      <c r="A389" s="2" t="s">
        <v>290</v>
      </c>
      <c r="B389" s="18"/>
      <c r="C389" s="63">
        <v>4719.8799999999983</v>
      </c>
    </row>
    <row r="390" spans="1:3" x14ac:dyDescent="0.25">
      <c r="A390" s="2" t="s">
        <v>290</v>
      </c>
      <c r="B390" s="18"/>
      <c r="C390" s="63">
        <v>4724.8799999999983</v>
      </c>
    </row>
    <row r="391" spans="1:3" x14ac:dyDescent="0.25">
      <c r="A391" s="2" t="s">
        <v>290</v>
      </c>
      <c r="B391" s="18"/>
      <c r="C391" s="63">
        <v>4771.6399999999994</v>
      </c>
    </row>
    <row r="392" spans="1:3" x14ac:dyDescent="0.25">
      <c r="A392" s="2" t="s">
        <v>290</v>
      </c>
      <c r="B392" s="18"/>
      <c r="C392" s="63">
        <v>4781.6299999999983</v>
      </c>
    </row>
    <row r="393" spans="1:3" x14ac:dyDescent="0.25">
      <c r="A393" s="2" t="s">
        <v>290</v>
      </c>
      <c r="B393" s="18"/>
      <c r="C393" s="63">
        <v>4789.5299999999979</v>
      </c>
    </row>
    <row r="394" spans="1:3" x14ac:dyDescent="0.25">
      <c r="A394" s="2" t="s">
        <v>290</v>
      </c>
      <c r="B394" s="18"/>
      <c r="C394" s="63">
        <v>4805.3899999999976</v>
      </c>
    </row>
    <row r="395" spans="1:3" x14ac:dyDescent="0.25">
      <c r="A395" s="2" t="s">
        <v>290</v>
      </c>
      <c r="B395" s="18"/>
      <c r="C395" s="63">
        <v>4810.3899999999976</v>
      </c>
    </row>
    <row r="396" spans="1:3" x14ac:dyDescent="0.25">
      <c r="A396" s="2" t="s">
        <v>290</v>
      </c>
      <c r="B396" s="18"/>
      <c r="C396" s="63">
        <v>4829.7999999999975</v>
      </c>
    </row>
    <row r="397" spans="1:3" x14ac:dyDescent="0.25">
      <c r="A397" s="2" t="s">
        <v>290</v>
      </c>
      <c r="B397" s="18"/>
      <c r="C397" s="63">
        <v>4866.1599999999971</v>
      </c>
    </row>
    <row r="398" spans="1:3" x14ac:dyDescent="0.25">
      <c r="A398" s="2" t="s">
        <v>290</v>
      </c>
      <c r="B398" s="18"/>
      <c r="C398" s="63">
        <v>4876.1599999999971</v>
      </c>
    </row>
    <row r="399" spans="1:3" x14ac:dyDescent="0.25">
      <c r="A399" s="2" t="s">
        <v>290</v>
      </c>
      <c r="B399" s="18"/>
      <c r="C399" s="63">
        <v>4924.8799999999974</v>
      </c>
    </row>
    <row r="400" spans="1:3" x14ac:dyDescent="0.25">
      <c r="A400" s="2" t="s">
        <v>290</v>
      </c>
      <c r="B400" s="18"/>
      <c r="C400" s="63">
        <v>5010.6399999999976</v>
      </c>
    </row>
    <row r="401" spans="1:3" x14ac:dyDescent="0.25">
      <c r="A401" s="2" t="s">
        <v>290</v>
      </c>
      <c r="B401" s="18"/>
      <c r="C401" s="63">
        <v>5072.6399999999976</v>
      </c>
    </row>
    <row r="402" spans="1:3" x14ac:dyDescent="0.25">
      <c r="A402" s="2" t="s">
        <v>290</v>
      </c>
      <c r="B402" s="18"/>
      <c r="C402" s="63">
        <v>5850.6399999999976</v>
      </c>
    </row>
    <row r="403" spans="1:3" x14ac:dyDescent="0.25">
      <c r="A403" s="2" t="s">
        <v>290</v>
      </c>
      <c r="B403" s="18"/>
      <c r="C403" s="63">
        <v>5912.2599999999966</v>
      </c>
    </row>
    <row r="404" spans="1:3" x14ac:dyDescent="0.25">
      <c r="A404" s="2" t="s">
        <v>290</v>
      </c>
      <c r="B404" s="18"/>
      <c r="C404" s="63">
        <v>5982.2599999999966</v>
      </c>
    </row>
    <row r="405" spans="1:3" x14ac:dyDescent="0.25">
      <c r="A405" s="2" t="s">
        <v>290</v>
      </c>
      <c r="B405" s="18"/>
      <c r="C405" s="63">
        <v>5987.2599999999966</v>
      </c>
    </row>
    <row r="406" spans="1:3" x14ac:dyDescent="0.25">
      <c r="A406" s="2" t="s">
        <v>290</v>
      </c>
      <c r="B406" s="18"/>
      <c r="C406" s="63">
        <v>6041.5399999999972</v>
      </c>
    </row>
    <row r="407" spans="1:3" x14ac:dyDescent="0.25">
      <c r="A407" s="2" t="s">
        <v>290</v>
      </c>
      <c r="B407" s="18"/>
      <c r="C407" s="63">
        <v>6055.1999999999971</v>
      </c>
    </row>
    <row r="408" spans="1:3" x14ac:dyDescent="0.25">
      <c r="A408" s="2" t="s">
        <v>290</v>
      </c>
      <c r="B408" s="18"/>
      <c r="C408" s="63">
        <v>6119.9299999999967</v>
      </c>
    </row>
    <row r="409" spans="1:3" x14ac:dyDescent="0.25">
      <c r="A409" s="2" t="s">
        <v>290</v>
      </c>
      <c r="B409" s="18"/>
      <c r="C409" s="63">
        <v>6126.3599999999969</v>
      </c>
    </row>
    <row r="410" spans="1:3" x14ac:dyDescent="0.25">
      <c r="A410" s="2" t="s">
        <v>290</v>
      </c>
      <c r="B410" s="18"/>
      <c r="C410" s="63">
        <v>6134.2599999999966</v>
      </c>
    </row>
    <row r="411" spans="1:3" x14ac:dyDescent="0.25">
      <c r="A411" s="2" t="s">
        <v>364</v>
      </c>
      <c r="B411" s="18"/>
      <c r="C411" s="63">
        <v>6147.1199999999963</v>
      </c>
    </row>
    <row r="412" spans="1:3" x14ac:dyDescent="0.25">
      <c r="A412" s="2" t="s">
        <v>364</v>
      </c>
      <c r="B412" s="18"/>
      <c r="C412" s="63">
        <v>6157.7099999999964</v>
      </c>
    </row>
    <row r="413" spans="1:3" x14ac:dyDescent="0.25">
      <c r="A413" s="2" t="s">
        <v>364</v>
      </c>
      <c r="B413" s="18"/>
      <c r="C413" s="63">
        <v>6167.6999999999962</v>
      </c>
    </row>
    <row r="414" spans="1:3" x14ac:dyDescent="0.25">
      <c r="A414" s="2" t="s">
        <v>364</v>
      </c>
      <c r="B414" s="18"/>
      <c r="C414" s="63">
        <v>6183.5899999999974</v>
      </c>
    </row>
    <row r="415" spans="1:3" x14ac:dyDescent="0.25">
      <c r="A415" s="2" t="s">
        <v>364</v>
      </c>
      <c r="B415" s="18"/>
      <c r="C415" s="63">
        <v>6192.0899999999974</v>
      </c>
    </row>
    <row r="416" spans="1:3" x14ac:dyDescent="0.25">
      <c r="A416" s="2" t="s">
        <v>364</v>
      </c>
      <c r="B416" s="18"/>
      <c r="C416" s="63">
        <v>6202.7099999999964</v>
      </c>
    </row>
    <row r="417" spans="1:3" x14ac:dyDescent="0.25">
      <c r="A417" s="2" t="s">
        <v>364</v>
      </c>
      <c r="B417" s="18"/>
      <c r="C417" s="63">
        <v>6246.9499999999962</v>
      </c>
    </row>
    <row r="418" spans="1:3" x14ac:dyDescent="0.25">
      <c r="A418" s="2" t="s">
        <v>364</v>
      </c>
      <c r="B418" s="18"/>
      <c r="C418" s="63">
        <v>6337.9499999999962</v>
      </c>
    </row>
    <row r="419" spans="1:3" x14ac:dyDescent="0.25">
      <c r="A419" s="2" t="s">
        <v>364</v>
      </c>
      <c r="B419" s="18"/>
      <c r="C419" s="63">
        <v>6492.189999999996</v>
      </c>
    </row>
    <row r="420" spans="1:3" x14ac:dyDescent="0.25">
      <c r="A420" s="2" t="s">
        <v>364</v>
      </c>
      <c r="B420" s="18"/>
      <c r="C420" s="63">
        <v>6520.1699999999964</v>
      </c>
    </row>
    <row r="421" spans="1:3" x14ac:dyDescent="0.25">
      <c r="A421" s="2" t="s">
        <v>364</v>
      </c>
      <c r="B421" s="18"/>
      <c r="C421" s="63">
        <v>6630.1699999999964</v>
      </c>
    </row>
    <row r="422" spans="1:3" x14ac:dyDescent="0.25">
      <c r="A422" s="2" t="s">
        <v>364</v>
      </c>
      <c r="B422" s="18"/>
      <c r="C422" s="63">
        <v>6655.1399999999958</v>
      </c>
    </row>
    <row r="423" spans="1:3" x14ac:dyDescent="0.25">
      <c r="A423" s="2" t="s">
        <v>364</v>
      </c>
      <c r="B423" s="18"/>
      <c r="C423" s="63">
        <v>6671.4199999999964</v>
      </c>
    </row>
    <row r="424" spans="1:3" x14ac:dyDescent="0.25">
      <c r="A424" s="2" t="s">
        <v>364</v>
      </c>
      <c r="B424" s="18"/>
      <c r="C424" s="63">
        <v>6683.3599999999951</v>
      </c>
    </row>
    <row r="425" spans="1:3" x14ac:dyDescent="0.25">
      <c r="A425" s="2" t="s">
        <v>364</v>
      </c>
      <c r="B425" s="18"/>
      <c r="C425" s="63">
        <v>6695.2999999999947</v>
      </c>
    </row>
    <row r="426" spans="1:3" x14ac:dyDescent="0.25">
      <c r="A426" s="2" t="s">
        <v>364</v>
      </c>
      <c r="B426" s="18"/>
      <c r="C426" s="63">
        <v>6711.5799999999936</v>
      </c>
    </row>
    <row r="427" spans="1:3" x14ac:dyDescent="0.25">
      <c r="A427" s="2" t="s">
        <v>364</v>
      </c>
      <c r="B427" s="18"/>
      <c r="C427" s="63">
        <v>6719.1699999999946</v>
      </c>
    </row>
    <row r="428" spans="1:3" x14ac:dyDescent="0.25">
      <c r="A428" s="2" t="s">
        <v>364</v>
      </c>
      <c r="B428" s="18"/>
      <c r="C428" s="63">
        <v>6734.3599999999942</v>
      </c>
    </row>
    <row r="429" spans="1:3" x14ac:dyDescent="0.25">
      <c r="A429" s="2" t="s">
        <v>364</v>
      </c>
      <c r="B429" s="18"/>
      <c r="C429" s="63">
        <v>6761.5399999999954</v>
      </c>
    </row>
    <row r="430" spans="1:3" x14ac:dyDescent="0.25">
      <c r="A430" s="2" t="s">
        <v>364</v>
      </c>
      <c r="B430" s="18"/>
      <c r="C430" s="63">
        <v>6765.3299999999936</v>
      </c>
    </row>
    <row r="431" spans="1:3" x14ac:dyDescent="0.25">
      <c r="A431" s="2" t="s">
        <v>364</v>
      </c>
      <c r="B431" s="18"/>
      <c r="C431" s="63">
        <v>6824.6499999999942</v>
      </c>
    </row>
    <row r="432" spans="1:3" x14ac:dyDescent="0.25">
      <c r="A432" s="2" t="s">
        <v>364</v>
      </c>
      <c r="B432" s="18"/>
      <c r="C432" s="63">
        <v>6835.4999999999955</v>
      </c>
    </row>
    <row r="433" spans="1:3" x14ac:dyDescent="0.25">
      <c r="A433" s="2" t="s">
        <v>364</v>
      </c>
      <c r="B433" s="18"/>
      <c r="C433" s="63">
        <v>6842.9299999999948</v>
      </c>
    </row>
    <row r="434" spans="1:3" x14ac:dyDescent="0.25">
      <c r="A434" s="2" t="s">
        <v>364</v>
      </c>
      <c r="B434" s="18"/>
      <c r="C434" s="63">
        <v>6880.9299999999948</v>
      </c>
    </row>
    <row r="435" spans="1:3" x14ac:dyDescent="0.25">
      <c r="A435" s="2" t="s">
        <v>364</v>
      </c>
      <c r="B435" s="18">
        <f t="shared" ref="B435:B453" si="5">(C434-C435)*-1</f>
        <v>-2000</v>
      </c>
      <c r="C435" s="63">
        <v>4880.9299999999948</v>
      </c>
    </row>
    <row r="436" spans="1:3" x14ac:dyDescent="0.25">
      <c r="A436" s="2" t="s">
        <v>364</v>
      </c>
      <c r="B436" s="18"/>
      <c r="C436" s="63">
        <v>4889.4299999999948</v>
      </c>
    </row>
    <row r="437" spans="1:3" x14ac:dyDescent="0.25">
      <c r="A437" s="2" t="s">
        <v>364</v>
      </c>
      <c r="B437" s="18"/>
      <c r="C437" s="63">
        <v>4894.7199999999948</v>
      </c>
    </row>
    <row r="438" spans="1:3" x14ac:dyDescent="0.25">
      <c r="A438" s="2" t="s">
        <v>364</v>
      </c>
      <c r="B438" s="18"/>
      <c r="C438" s="63">
        <v>4898.979999999995</v>
      </c>
    </row>
    <row r="439" spans="1:3" x14ac:dyDescent="0.25">
      <c r="A439" s="2" t="s">
        <v>364</v>
      </c>
      <c r="B439" s="18"/>
      <c r="C439" s="63">
        <v>4968.979999999995</v>
      </c>
    </row>
    <row r="440" spans="1:3" x14ac:dyDescent="0.25">
      <c r="A440" s="2" t="s">
        <v>364</v>
      </c>
      <c r="B440" s="18"/>
      <c r="C440" s="63">
        <v>5061.9099999999953</v>
      </c>
    </row>
    <row r="441" spans="1:3" x14ac:dyDescent="0.25">
      <c r="A441" s="2" t="s">
        <v>364</v>
      </c>
      <c r="B441" s="18"/>
      <c r="C441" s="63">
        <v>5072.5299999999952</v>
      </c>
    </row>
    <row r="442" spans="1:3" x14ac:dyDescent="0.25">
      <c r="A442" s="2" t="s">
        <v>364</v>
      </c>
      <c r="B442" s="18"/>
      <c r="C442" s="63">
        <v>5171.769999999995</v>
      </c>
    </row>
    <row r="443" spans="1:3" x14ac:dyDescent="0.25">
      <c r="A443" s="2" t="s">
        <v>364</v>
      </c>
      <c r="B443" s="18"/>
      <c r="C443" s="63">
        <v>5181.769999999995</v>
      </c>
    </row>
    <row r="444" spans="1:3" x14ac:dyDescent="0.25">
      <c r="A444" s="2" t="s">
        <v>364</v>
      </c>
      <c r="B444" s="18"/>
      <c r="C444" s="63">
        <v>5190.1299999999947</v>
      </c>
    </row>
    <row r="445" spans="1:3" x14ac:dyDescent="0.25">
      <c r="A445" s="2" t="s">
        <v>364</v>
      </c>
      <c r="B445" s="18"/>
      <c r="C445" s="63">
        <v>5198.1299999999947</v>
      </c>
    </row>
    <row r="446" spans="1:3" x14ac:dyDescent="0.25">
      <c r="A446" s="2" t="s">
        <v>364</v>
      </c>
      <c r="B446" s="18"/>
      <c r="C446" s="63">
        <v>5206.1299999999947</v>
      </c>
    </row>
    <row r="447" spans="1:3" x14ac:dyDescent="0.25">
      <c r="A447" s="2" t="s">
        <v>364</v>
      </c>
      <c r="B447" s="18"/>
      <c r="C447" s="63">
        <v>5230.9099999999944</v>
      </c>
    </row>
    <row r="448" spans="1:3" x14ac:dyDescent="0.25">
      <c r="A448" s="2" t="s">
        <v>364</v>
      </c>
      <c r="B448" s="18"/>
      <c r="C448" s="63">
        <v>5331.6899999999941</v>
      </c>
    </row>
    <row r="449" spans="1:3" x14ac:dyDescent="0.25">
      <c r="A449" s="2" t="s">
        <v>364</v>
      </c>
      <c r="B449" s="18"/>
      <c r="C449" s="63">
        <v>5571.4199999999937</v>
      </c>
    </row>
    <row r="450" spans="1:3" x14ac:dyDescent="0.25">
      <c r="A450" s="2" t="s">
        <v>364</v>
      </c>
      <c r="B450" s="18"/>
      <c r="C450" s="63">
        <v>5594.4199999999937</v>
      </c>
    </row>
    <row r="451" spans="1:3" x14ac:dyDescent="0.25">
      <c r="A451" s="2" t="s">
        <v>364</v>
      </c>
      <c r="B451" s="18"/>
      <c r="C451" s="63">
        <v>5625.2899999999936</v>
      </c>
    </row>
    <row r="452" spans="1:3" x14ac:dyDescent="0.25">
      <c r="A452" s="2" t="s">
        <v>364</v>
      </c>
      <c r="B452" s="18"/>
      <c r="C452" s="63">
        <v>5639.3399999999938</v>
      </c>
    </row>
    <row r="453" spans="1:3" x14ac:dyDescent="0.25">
      <c r="A453" s="2" t="s">
        <v>364</v>
      </c>
      <c r="B453" s="18">
        <f t="shared" si="5"/>
        <v>-8</v>
      </c>
      <c r="C453" s="63">
        <v>5631.3399999999938</v>
      </c>
    </row>
    <row r="454" spans="1:3" x14ac:dyDescent="0.25">
      <c r="A454" s="2" t="s">
        <v>364</v>
      </c>
      <c r="B454" s="18"/>
      <c r="C454" s="63">
        <v>5676.5799999999936</v>
      </c>
    </row>
    <row r="455" spans="1:3" x14ac:dyDescent="0.25">
      <c r="A455" s="2" t="s">
        <v>364</v>
      </c>
      <c r="B455" s="18"/>
      <c r="C455" s="63">
        <v>5679.9299999999939</v>
      </c>
    </row>
    <row r="456" spans="1:3" x14ac:dyDescent="0.25">
      <c r="A456" s="2" t="s">
        <v>364</v>
      </c>
      <c r="B456" s="18"/>
      <c r="C456" s="63">
        <v>5799.6299999999937</v>
      </c>
    </row>
    <row r="457" spans="1:3" x14ac:dyDescent="0.25">
      <c r="A457" s="2" t="s">
        <v>364</v>
      </c>
      <c r="B457" s="18"/>
      <c r="C457" s="63">
        <v>6097.6299999999937</v>
      </c>
    </row>
    <row r="458" spans="1:3" x14ac:dyDescent="0.25">
      <c r="A458" s="2" t="s">
        <v>364</v>
      </c>
      <c r="B458" s="18"/>
      <c r="C458" s="63">
        <v>6129.5899999999938</v>
      </c>
    </row>
    <row r="459" spans="1:3" x14ac:dyDescent="0.25">
      <c r="A459" s="2" t="s">
        <v>364</v>
      </c>
      <c r="B459" s="18"/>
      <c r="C459" s="63">
        <v>6169.2799999999934</v>
      </c>
    </row>
    <row r="460" spans="1:3" x14ac:dyDescent="0.25">
      <c r="A460" s="2" t="s">
        <v>364</v>
      </c>
      <c r="B460" s="18"/>
      <c r="C460" s="63">
        <v>6276.7799999999934</v>
      </c>
    </row>
    <row r="461" spans="1:3" x14ac:dyDescent="0.25">
      <c r="A461" s="2" t="s">
        <v>364</v>
      </c>
      <c r="B461" s="18"/>
      <c r="C461" s="63">
        <v>6286.9799999999932</v>
      </c>
    </row>
    <row r="462" spans="1:3" x14ac:dyDescent="0.25">
      <c r="A462" s="2" t="s">
        <v>364</v>
      </c>
      <c r="B462" s="18"/>
      <c r="C462" s="63">
        <v>6300.0099999999929</v>
      </c>
    </row>
    <row r="463" spans="1:3" x14ac:dyDescent="0.25">
      <c r="A463" s="2" t="s">
        <v>364</v>
      </c>
      <c r="B463" s="18"/>
      <c r="C463" s="63">
        <v>6344.0099999999929</v>
      </c>
    </row>
    <row r="464" spans="1:3" x14ac:dyDescent="0.25">
      <c r="A464" s="2" t="s">
        <v>364</v>
      </c>
      <c r="B464" s="18"/>
      <c r="C464" s="63">
        <v>6365.2799999999934</v>
      </c>
    </row>
    <row r="465" spans="1:3" x14ac:dyDescent="0.25">
      <c r="A465" s="2" t="s">
        <v>364</v>
      </c>
      <c r="B465" s="18"/>
      <c r="C465" s="63">
        <v>6389.5399999999936</v>
      </c>
    </row>
    <row r="466" spans="1:3" x14ac:dyDescent="0.25">
      <c r="A466" s="2" t="s">
        <v>364</v>
      </c>
      <c r="B466" s="18"/>
      <c r="C466" s="63">
        <v>6425.4399999999932</v>
      </c>
    </row>
    <row r="467" spans="1:3" x14ac:dyDescent="0.25">
      <c r="A467" s="2" t="s">
        <v>364</v>
      </c>
      <c r="B467" s="18"/>
      <c r="C467" s="63">
        <v>6455.2899999999936</v>
      </c>
    </row>
    <row r="468" spans="1:3" x14ac:dyDescent="0.25">
      <c r="A468" s="2" t="s">
        <v>364</v>
      </c>
      <c r="B468" s="18"/>
      <c r="C468" s="63">
        <v>6483.2799999999934</v>
      </c>
    </row>
    <row r="469" spans="1:3" x14ac:dyDescent="0.25">
      <c r="A469" s="2" t="s">
        <v>364</v>
      </c>
      <c r="B469" s="18"/>
      <c r="C469" s="63">
        <v>6492.3699999999944</v>
      </c>
    </row>
    <row r="470" spans="1:3" x14ac:dyDescent="0.25">
      <c r="A470" s="2" t="s">
        <v>364</v>
      </c>
      <c r="B470" s="18"/>
      <c r="C470" s="63">
        <v>6575.3699999999944</v>
      </c>
    </row>
    <row r="471" spans="1:3" x14ac:dyDescent="0.25">
      <c r="A471" s="2" t="s">
        <v>364</v>
      </c>
      <c r="B471" s="18"/>
      <c r="C471" s="63">
        <v>6605.389999999994</v>
      </c>
    </row>
    <row r="472" spans="1:3" x14ac:dyDescent="0.25">
      <c r="A472" s="2" t="s">
        <v>364</v>
      </c>
      <c r="B472" s="18"/>
      <c r="C472" s="63">
        <v>6632.4499999999944</v>
      </c>
    </row>
    <row r="473" spans="1:3" x14ac:dyDescent="0.25">
      <c r="A473" s="2" t="s">
        <v>364</v>
      </c>
      <c r="B473" s="18"/>
      <c r="C473" s="63">
        <v>6646.349999999994</v>
      </c>
    </row>
    <row r="474" spans="1:3" x14ac:dyDescent="0.25">
      <c r="A474" s="2" t="s">
        <v>364</v>
      </c>
      <c r="B474" s="18"/>
      <c r="C474" s="63">
        <v>6671.349999999994</v>
      </c>
    </row>
    <row r="475" spans="1:3" x14ac:dyDescent="0.25">
      <c r="A475" s="2" t="s">
        <v>364</v>
      </c>
      <c r="B475" s="18"/>
      <c r="C475" s="63">
        <v>6685.059999999994</v>
      </c>
    </row>
    <row r="476" spans="1:3" x14ac:dyDescent="0.25">
      <c r="A476" s="2" t="s">
        <v>364</v>
      </c>
      <c r="B476" s="18"/>
      <c r="C476" s="63">
        <v>6693.7599999999939</v>
      </c>
    </row>
    <row r="477" spans="1:3" x14ac:dyDescent="0.25">
      <c r="A477" s="2" t="s">
        <v>364</v>
      </c>
      <c r="B477" s="18"/>
      <c r="C477" s="63">
        <v>6714.4899999999934</v>
      </c>
    </row>
    <row r="478" spans="1:3" x14ac:dyDescent="0.25">
      <c r="A478" s="2" t="s">
        <v>364</v>
      </c>
      <c r="B478" s="18"/>
      <c r="C478" s="63">
        <v>6734.8099999999931</v>
      </c>
    </row>
    <row r="479" spans="1:3" x14ac:dyDescent="0.25">
      <c r="A479" s="2" t="s">
        <v>364</v>
      </c>
      <c r="B479" s="18"/>
      <c r="C479" s="63">
        <v>6746.6099999999933</v>
      </c>
    </row>
    <row r="480" spans="1:3" x14ac:dyDescent="0.25">
      <c r="A480" s="2" t="s">
        <v>364</v>
      </c>
      <c r="B480" s="18"/>
      <c r="C480" s="63">
        <v>6749.7799999999934</v>
      </c>
    </row>
    <row r="481" spans="1:3" x14ac:dyDescent="0.25">
      <c r="A481" s="2" t="s">
        <v>364</v>
      </c>
      <c r="B481" s="18"/>
      <c r="C481" s="63">
        <v>6829.1599999999926</v>
      </c>
    </row>
    <row r="482" spans="1:3" x14ac:dyDescent="0.25">
      <c r="A482" s="2" t="s">
        <v>364</v>
      </c>
      <c r="B482" s="18">
        <f t="shared" ref="B482:B516" si="6">(C481-C482)*-1</f>
        <v>-1000</v>
      </c>
      <c r="C482" s="63">
        <v>5829.1599999999926</v>
      </c>
    </row>
    <row r="483" spans="1:3" x14ac:dyDescent="0.25">
      <c r="A483" s="2" t="s">
        <v>364</v>
      </c>
      <c r="B483" s="18">
        <f t="shared" si="6"/>
        <v>-1000</v>
      </c>
      <c r="C483" s="63">
        <v>4829.1599999999926</v>
      </c>
    </row>
    <row r="484" spans="1:3" x14ac:dyDescent="0.25">
      <c r="A484" s="2" t="s">
        <v>364</v>
      </c>
      <c r="B484" s="18"/>
      <c r="C484" s="63">
        <v>4850.3499999999931</v>
      </c>
    </row>
    <row r="485" spans="1:3" x14ac:dyDescent="0.25">
      <c r="A485" s="2" t="s">
        <v>364</v>
      </c>
      <c r="B485" s="18"/>
      <c r="C485" s="63">
        <v>4856.8499999999931</v>
      </c>
    </row>
    <row r="486" spans="1:3" x14ac:dyDescent="0.25">
      <c r="A486" s="2" t="s">
        <v>364</v>
      </c>
      <c r="B486" s="18"/>
      <c r="C486" s="63">
        <v>4866.1699999999928</v>
      </c>
    </row>
    <row r="487" spans="1:3" x14ac:dyDescent="0.25">
      <c r="A487" s="2" t="s">
        <v>364</v>
      </c>
      <c r="B487" s="18"/>
      <c r="C487" s="63">
        <v>4876.1599999999926</v>
      </c>
    </row>
    <row r="488" spans="1:3" x14ac:dyDescent="0.25">
      <c r="A488" s="2" t="s">
        <v>364</v>
      </c>
      <c r="B488" s="18"/>
      <c r="C488" s="63">
        <v>4882.5299999999916</v>
      </c>
    </row>
    <row r="489" spans="1:3" x14ac:dyDescent="0.25">
      <c r="A489" s="2" t="s">
        <v>364</v>
      </c>
      <c r="B489" s="18"/>
      <c r="C489" s="63">
        <v>4895.2799999999916</v>
      </c>
    </row>
    <row r="490" spans="1:3" x14ac:dyDescent="0.25">
      <c r="A490" s="2" t="s">
        <v>364</v>
      </c>
      <c r="B490" s="18"/>
      <c r="C490" s="63">
        <v>5329.2299999999923</v>
      </c>
    </row>
    <row r="491" spans="1:3" x14ac:dyDescent="0.25">
      <c r="A491" s="2" t="s">
        <v>364</v>
      </c>
      <c r="B491" s="18"/>
      <c r="C491" s="63">
        <v>5380.6399999999921</v>
      </c>
    </row>
    <row r="492" spans="1:3" x14ac:dyDescent="0.25">
      <c r="A492" s="2" t="s">
        <v>364</v>
      </c>
      <c r="B492" s="18"/>
      <c r="C492" s="63">
        <v>5388.5699999999924</v>
      </c>
    </row>
    <row r="493" spans="1:3" x14ac:dyDescent="0.25">
      <c r="A493" s="2" t="s">
        <v>364</v>
      </c>
      <c r="B493" s="18"/>
      <c r="C493" s="63">
        <v>5441.0199999999923</v>
      </c>
    </row>
    <row r="494" spans="1:3" x14ac:dyDescent="0.25">
      <c r="A494" s="2" t="s">
        <v>364</v>
      </c>
      <c r="B494" s="18"/>
      <c r="C494" s="63">
        <v>5454.3799999999919</v>
      </c>
    </row>
    <row r="495" spans="1:3" x14ac:dyDescent="0.25">
      <c r="A495" s="2" t="s">
        <v>420</v>
      </c>
      <c r="B495" s="18"/>
      <c r="C495" s="63">
        <v>5473.1799999999921</v>
      </c>
    </row>
    <row r="496" spans="1:3" x14ac:dyDescent="0.25">
      <c r="A496" s="2" t="s">
        <v>420</v>
      </c>
      <c r="B496" s="18"/>
      <c r="C496" s="63">
        <v>5483.7699999999923</v>
      </c>
    </row>
    <row r="497" spans="1:3" x14ac:dyDescent="0.25">
      <c r="A497" s="2" t="s">
        <v>420</v>
      </c>
      <c r="B497" s="18"/>
      <c r="C497" s="63">
        <v>5508.7699999999923</v>
      </c>
    </row>
    <row r="498" spans="1:3" x14ac:dyDescent="0.25">
      <c r="A498" s="2" t="s">
        <v>420</v>
      </c>
      <c r="B498" s="18"/>
      <c r="C498" s="63">
        <v>5518.759999999992</v>
      </c>
    </row>
    <row r="499" spans="1:3" x14ac:dyDescent="0.25">
      <c r="A499" s="2" t="s">
        <v>420</v>
      </c>
      <c r="B499" s="18"/>
      <c r="C499" s="63">
        <v>5524.0799999999917</v>
      </c>
    </row>
    <row r="500" spans="1:3" x14ac:dyDescent="0.25">
      <c r="A500" s="2" t="s">
        <v>420</v>
      </c>
      <c r="B500" s="18"/>
      <c r="C500" s="63">
        <v>5530.0299999999916</v>
      </c>
    </row>
    <row r="501" spans="1:3" x14ac:dyDescent="0.25">
      <c r="A501" s="2" t="s">
        <v>420</v>
      </c>
      <c r="B501" s="18"/>
      <c r="C501" s="63">
        <v>5586.0099999999911</v>
      </c>
    </row>
    <row r="502" spans="1:3" x14ac:dyDescent="0.25">
      <c r="A502" s="2" t="s">
        <v>420</v>
      </c>
      <c r="B502" s="18"/>
      <c r="C502" s="63">
        <v>5596.6399999999912</v>
      </c>
    </row>
    <row r="503" spans="1:3" x14ac:dyDescent="0.25">
      <c r="A503" s="2" t="s">
        <v>420</v>
      </c>
      <c r="B503" s="18"/>
      <c r="C503" s="63">
        <v>5666.3599999999906</v>
      </c>
    </row>
    <row r="504" spans="1:3" x14ac:dyDescent="0.25">
      <c r="A504" s="2" t="s">
        <v>420</v>
      </c>
      <c r="B504" s="18"/>
      <c r="C504" s="63">
        <v>5682.1299999999919</v>
      </c>
    </row>
    <row r="505" spans="1:3" x14ac:dyDescent="0.25">
      <c r="A505" s="2" t="s">
        <v>420</v>
      </c>
      <c r="B505" s="18"/>
      <c r="C505" s="63">
        <v>5701.4399999999923</v>
      </c>
    </row>
    <row r="506" spans="1:3" x14ac:dyDescent="0.25">
      <c r="A506" s="2" t="s">
        <v>420</v>
      </c>
      <c r="B506" s="18"/>
      <c r="C506" s="63">
        <v>5738.6699999999919</v>
      </c>
    </row>
    <row r="507" spans="1:3" x14ac:dyDescent="0.25">
      <c r="A507" s="2" t="s">
        <v>420</v>
      </c>
      <c r="B507" s="18"/>
      <c r="C507" s="63">
        <v>5798.9199999999919</v>
      </c>
    </row>
    <row r="508" spans="1:3" x14ac:dyDescent="0.25">
      <c r="A508" s="2" t="s">
        <v>420</v>
      </c>
      <c r="B508" s="18"/>
      <c r="C508" s="63">
        <v>5802.6399999999921</v>
      </c>
    </row>
    <row r="509" spans="1:3" x14ac:dyDescent="0.25">
      <c r="A509" s="2" t="s">
        <v>420</v>
      </c>
      <c r="B509" s="18"/>
      <c r="C509" s="63">
        <v>5806.8899999999921</v>
      </c>
    </row>
    <row r="510" spans="1:3" x14ac:dyDescent="0.25">
      <c r="A510" s="2" t="s">
        <v>420</v>
      </c>
      <c r="B510" s="18"/>
      <c r="C510" s="63">
        <v>5819.9699999999921</v>
      </c>
    </row>
    <row r="511" spans="1:3" x14ac:dyDescent="0.25">
      <c r="A511" s="2" t="s">
        <v>420</v>
      </c>
      <c r="B511" s="18"/>
      <c r="C511" s="63">
        <v>5841.4799999999923</v>
      </c>
    </row>
    <row r="512" spans="1:3" x14ac:dyDescent="0.25">
      <c r="A512" s="2" t="s">
        <v>420</v>
      </c>
      <c r="B512" s="18"/>
      <c r="C512" s="63">
        <v>5855.8499999999922</v>
      </c>
    </row>
    <row r="513" spans="1:3" x14ac:dyDescent="0.25">
      <c r="A513" s="2" t="s">
        <v>420</v>
      </c>
      <c r="B513" s="18"/>
      <c r="C513" s="63">
        <v>5859.0399999999918</v>
      </c>
    </row>
    <row r="514" spans="1:3" x14ac:dyDescent="0.25">
      <c r="A514" s="2" t="s">
        <v>420</v>
      </c>
      <c r="B514" s="18"/>
      <c r="C514" s="63">
        <v>5870.759999999992</v>
      </c>
    </row>
    <row r="515" spans="1:3" x14ac:dyDescent="0.25">
      <c r="A515" s="2" t="s">
        <v>420</v>
      </c>
      <c r="B515" s="18"/>
      <c r="C515" s="63">
        <v>5881.3899999999921</v>
      </c>
    </row>
    <row r="516" spans="1:3" x14ac:dyDescent="0.25">
      <c r="A516" s="2" t="s">
        <v>420</v>
      </c>
      <c r="B516" s="18">
        <f t="shared" si="6"/>
        <v>-2600</v>
      </c>
      <c r="C516" s="63">
        <v>3281.3899999999921</v>
      </c>
    </row>
    <row r="517" spans="1:3" x14ac:dyDescent="0.25">
      <c r="A517" s="2" t="s">
        <v>420</v>
      </c>
      <c r="B517" s="18"/>
      <c r="C517" s="63">
        <v>3340.7399999999921</v>
      </c>
    </row>
    <row r="518" spans="1:3" x14ac:dyDescent="0.25">
      <c r="A518" s="2" t="s">
        <v>420</v>
      </c>
      <c r="B518" s="18"/>
      <c r="C518" s="63">
        <v>3356.6299999999919</v>
      </c>
    </row>
    <row r="519" spans="1:3" x14ac:dyDescent="0.25">
      <c r="A519" s="2" t="s">
        <v>420</v>
      </c>
      <c r="B519" s="18"/>
      <c r="C519" s="63">
        <v>3408.069999999992</v>
      </c>
    </row>
    <row r="520" spans="1:3" x14ac:dyDescent="0.25">
      <c r="A520" s="2" t="s">
        <v>420</v>
      </c>
      <c r="B520" s="18"/>
      <c r="C520" s="63">
        <v>3428.4499999999921</v>
      </c>
    </row>
    <row r="521" spans="1:3" x14ac:dyDescent="0.25">
      <c r="A521" s="2" t="s">
        <v>420</v>
      </c>
      <c r="B521" s="18"/>
      <c r="C521" s="63">
        <v>3439.0799999999922</v>
      </c>
    </row>
    <row r="522" spans="1:3" x14ac:dyDescent="0.25">
      <c r="A522" s="2" t="s">
        <v>420</v>
      </c>
      <c r="B522" s="18"/>
      <c r="C522" s="63">
        <v>3446.0599999999922</v>
      </c>
    </row>
    <row r="523" spans="1:3" x14ac:dyDescent="0.25">
      <c r="A523" s="2" t="s">
        <v>420</v>
      </c>
      <c r="B523" s="18"/>
      <c r="C523" s="63">
        <v>3456.0599999999922</v>
      </c>
    </row>
    <row r="524" spans="1:3" x14ac:dyDescent="0.25">
      <c r="A524" s="2" t="s">
        <v>420</v>
      </c>
      <c r="B524" s="18"/>
      <c r="C524" s="63">
        <v>3506.2899999999918</v>
      </c>
    </row>
    <row r="525" spans="1:3" x14ac:dyDescent="0.25">
      <c r="A525" s="2" t="s">
        <v>420</v>
      </c>
      <c r="B525" s="18"/>
      <c r="C525" s="63">
        <v>3548.9999999999918</v>
      </c>
    </row>
    <row r="526" spans="1:3" x14ac:dyDescent="0.25">
      <c r="A526" s="2" t="s">
        <v>420</v>
      </c>
      <c r="B526" s="18"/>
      <c r="C526" s="63">
        <v>3559.8499999999922</v>
      </c>
    </row>
    <row r="527" spans="1:3" x14ac:dyDescent="0.25">
      <c r="A527" s="2" t="s">
        <v>420</v>
      </c>
      <c r="B527" s="18"/>
      <c r="C527" s="63">
        <v>3599.8499999999922</v>
      </c>
    </row>
    <row r="528" spans="1:3" x14ac:dyDescent="0.25">
      <c r="A528" s="2" t="s">
        <v>420</v>
      </c>
      <c r="B528" s="18"/>
      <c r="C528" s="63">
        <v>3619.8499999999922</v>
      </c>
    </row>
    <row r="529" spans="1:3" x14ac:dyDescent="0.25">
      <c r="A529" s="2" t="s">
        <v>420</v>
      </c>
      <c r="B529" s="18"/>
      <c r="C529" s="63">
        <v>3630.4699999999921</v>
      </c>
    </row>
    <row r="530" spans="1:3" x14ac:dyDescent="0.25">
      <c r="A530" s="2" t="s">
        <v>420</v>
      </c>
      <c r="B530" s="18"/>
      <c r="C530" s="63">
        <v>3662.9699999999921</v>
      </c>
    </row>
    <row r="531" spans="1:3" x14ac:dyDescent="0.25">
      <c r="A531" s="2" t="s">
        <v>420</v>
      </c>
      <c r="B531" s="18"/>
      <c r="C531" s="63">
        <v>3680.5199999999918</v>
      </c>
    </row>
    <row r="532" spans="1:3" x14ac:dyDescent="0.25">
      <c r="A532" s="2" t="s">
        <v>420</v>
      </c>
      <c r="B532" s="18"/>
      <c r="C532" s="63">
        <v>3692.2899999999918</v>
      </c>
    </row>
    <row r="533" spans="1:3" x14ac:dyDescent="0.25">
      <c r="A533" s="2" t="s">
        <v>420</v>
      </c>
      <c r="B533" s="18"/>
      <c r="C533" s="63">
        <v>3720.4499999999921</v>
      </c>
    </row>
    <row r="534" spans="1:3" x14ac:dyDescent="0.25">
      <c r="A534" s="2" t="s">
        <v>420</v>
      </c>
      <c r="B534" s="18"/>
      <c r="C534" s="63">
        <v>3799.4499999999921</v>
      </c>
    </row>
    <row r="535" spans="1:3" x14ac:dyDescent="0.25">
      <c r="A535" s="2" t="s">
        <v>420</v>
      </c>
      <c r="B535" s="18"/>
      <c r="C535" s="63">
        <v>3800.799999999992</v>
      </c>
    </row>
    <row r="536" spans="1:3" x14ac:dyDescent="0.25">
      <c r="A536" s="2" t="s">
        <v>420</v>
      </c>
      <c r="B536" s="18"/>
      <c r="C536" s="63">
        <v>3870.799999999992</v>
      </c>
    </row>
    <row r="537" spans="1:3" x14ac:dyDescent="0.25">
      <c r="A537" s="2" t="s">
        <v>420</v>
      </c>
      <c r="B537" s="18"/>
      <c r="C537" s="63">
        <v>3881.4299999999921</v>
      </c>
    </row>
    <row r="538" spans="1:3" x14ac:dyDescent="0.25">
      <c r="A538" s="2" t="s">
        <v>420</v>
      </c>
      <c r="B538" s="18"/>
      <c r="C538" s="63">
        <v>3891.4299999999921</v>
      </c>
    </row>
    <row r="539" spans="1:3" x14ac:dyDescent="0.25">
      <c r="A539" s="2" t="s">
        <v>420</v>
      </c>
      <c r="B539" s="18"/>
      <c r="C539" s="63">
        <v>3921.4299999999921</v>
      </c>
    </row>
    <row r="540" spans="1:3" x14ac:dyDescent="0.25">
      <c r="A540" s="2" t="s">
        <v>420</v>
      </c>
      <c r="B540" s="18"/>
      <c r="C540" s="63">
        <v>3947.5799999999922</v>
      </c>
    </row>
    <row r="541" spans="1:3" x14ac:dyDescent="0.25">
      <c r="A541" s="2" t="s">
        <v>420</v>
      </c>
      <c r="B541" s="18"/>
      <c r="C541" s="63">
        <v>3952.9599999999919</v>
      </c>
    </row>
    <row r="542" spans="1:3" x14ac:dyDescent="0.25">
      <c r="A542" s="2" t="s">
        <v>420</v>
      </c>
      <c r="B542" s="18"/>
      <c r="C542" s="63">
        <v>3974.1799999999921</v>
      </c>
    </row>
    <row r="543" spans="1:3" x14ac:dyDescent="0.25">
      <c r="A543" s="2" t="s">
        <v>420</v>
      </c>
      <c r="B543" s="18"/>
      <c r="C543" s="63">
        <v>3992.4399999999919</v>
      </c>
    </row>
    <row r="544" spans="1:3" x14ac:dyDescent="0.25">
      <c r="A544" s="2" t="s">
        <v>420</v>
      </c>
      <c r="B544" s="18"/>
      <c r="C544" s="63">
        <v>3997.5399999999918</v>
      </c>
    </row>
    <row r="545" spans="1:3" x14ac:dyDescent="0.25">
      <c r="A545" s="2" t="s">
        <v>420</v>
      </c>
      <c r="B545" s="18"/>
      <c r="C545" s="63">
        <v>4412.5399999999918</v>
      </c>
    </row>
    <row r="546" spans="1:3" x14ac:dyDescent="0.25">
      <c r="A546" s="2" t="s">
        <v>420</v>
      </c>
      <c r="B546" s="18"/>
      <c r="C546" s="63">
        <v>4417.8299999999917</v>
      </c>
    </row>
    <row r="547" spans="1:3" x14ac:dyDescent="0.25">
      <c r="A547" s="2" t="s">
        <v>420</v>
      </c>
      <c r="B547" s="18"/>
      <c r="C547" s="63">
        <v>4434.6299999999919</v>
      </c>
    </row>
    <row r="548" spans="1:3" x14ac:dyDescent="0.25">
      <c r="A548" s="2" t="s">
        <v>420</v>
      </c>
      <c r="B548" s="18"/>
      <c r="C548" s="63">
        <v>4472.7299999999923</v>
      </c>
    </row>
    <row r="549" spans="1:3" x14ac:dyDescent="0.25">
      <c r="A549" s="2" t="s">
        <v>420</v>
      </c>
      <c r="B549" s="18"/>
      <c r="C549" s="63">
        <v>4477.9099999999926</v>
      </c>
    </row>
    <row r="550" spans="1:3" x14ac:dyDescent="0.25">
      <c r="A550" s="2" t="s">
        <v>420</v>
      </c>
      <c r="B550" s="18"/>
      <c r="C550" s="63">
        <v>4577.0999999999922</v>
      </c>
    </row>
    <row r="551" spans="1:3" x14ac:dyDescent="0.25">
      <c r="A551" s="2" t="s">
        <v>420</v>
      </c>
      <c r="B551" s="18"/>
      <c r="C551" s="63">
        <v>4587.0999999999922</v>
      </c>
    </row>
    <row r="552" spans="1:3" x14ac:dyDescent="0.25">
      <c r="A552" s="2" t="s">
        <v>420</v>
      </c>
      <c r="B552" s="18"/>
      <c r="C552" s="63">
        <v>4641.3799999999919</v>
      </c>
    </row>
    <row r="553" spans="1:3" x14ac:dyDescent="0.25">
      <c r="A553" s="2" t="s">
        <v>420</v>
      </c>
      <c r="B553" s="18"/>
      <c r="C553" s="63">
        <v>4657.3299999999917</v>
      </c>
    </row>
    <row r="554" spans="1:3" x14ac:dyDescent="0.25">
      <c r="A554" s="2" t="s">
        <v>420</v>
      </c>
      <c r="B554" s="18"/>
      <c r="C554" s="63">
        <v>4744.3299999999917</v>
      </c>
    </row>
    <row r="555" spans="1:3" x14ac:dyDescent="0.25">
      <c r="A555" s="2" t="s">
        <v>420</v>
      </c>
      <c r="B555" s="18"/>
      <c r="C555" s="63">
        <v>4758.9999999999918</v>
      </c>
    </row>
    <row r="556" spans="1:3" x14ac:dyDescent="0.25">
      <c r="A556" s="2" t="s">
        <v>420</v>
      </c>
      <c r="B556" s="18"/>
      <c r="C556" s="63">
        <v>4791.2099999999919</v>
      </c>
    </row>
    <row r="557" spans="1:3" x14ac:dyDescent="0.25">
      <c r="A557" s="2" t="s">
        <v>420</v>
      </c>
      <c r="B557" s="18"/>
      <c r="C557" s="63">
        <v>4802.2299999999923</v>
      </c>
    </row>
    <row r="558" spans="1:3" x14ac:dyDescent="0.25">
      <c r="A558" s="2" t="s">
        <v>420</v>
      </c>
      <c r="B558" s="18"/>
      <c r="C558" s="63">
        <v>4837.2299999999923</v>
      </c>
    </row>
    <row r="559" spans="1:3" x14ac:dyDescent="0.25">
      <c r="A559" s="2" t="s">
        <v>420</v>
      </c>
      <c r="B559" s="18"/>
      <c r="C559" s="63">
        <v>4869.2899999999927</v>
      </c>
    </row>
    <row r="560" spans="1:3" x14ac:dyDescent="0.25">
      <c r="A560" s="2" t="s">
        <v>420</v>
      </c>
      <c r="B560" s="18"/>
      <c r="C560" s="63">
        <v>4905.6099999999924</v>
      </c>
    </row>
    <row r="561" spans="1:3" x14ac:dyDescent="0.25">
      <c r="A561" s="2" t="s">
        <v>420</v>
      </c>
      <c r="B561" s="18"/>
      <c r="C561" s="63">
        <v>4985.6099999999924</v>
      </c>
    </row>
    <row r="562" spans="1:3" x14ac:dyDescent="0.25">
      <c r="A562" s="2" t="s">
        <v>420</v>
      </c>
      <c r="B562" s="18"/>
      <c r="C562" s="63">
        <v>4994.6099999999924</v>
      </c>
    </row>
    <row r="563" spans="1:3" x14ac:dyDescent="0.25">
      <c r="A563" s="2" t="s">
        <v>420</v>
      </c>
      <c r="B563" s="18"/>
      <c r="C563" s="63">
        <v>5000.0199999999923</v>
      </c>
    </row>
    <row r="564" spans="1:3" x14ac:dyDescent="0.25">
      <c r="A564" s="2" t="s">
        <v>420</v>
      </c>
      <c r="B564" s="18"/>
      <c r="C564" s="63">
        <v>5026.0199999999923</v>
      </c>
    </row>
    <row r="565" spans="1:3" x14ac:dyDescent="0.25">
      <c r="A565" s="2" t="s">
        <v>420</v>
      </c>
      <c r="B565" s="18"/>
      <c r="C565" s="63">
        <v>5031.1399999999921</v>
      </c>
    </row>
    <row r="566" spans="1:3" x14ac:dyDescent="0.25">
      <c r="A566" s="2" t="s">
        <v>420</v>
      </c>
      <c r="B566" s="18"/>
      <c r="C566" s="63">
        <v>5034.9799999999923</v>
      </c>
    </row>
    <row r="567" spans="1:3" x14ac:dyDescent="0.25">
      <c r="A567" s="2" t="s">
        <v>420</v>
      </c>
      <c r="B567" s="18"/>
      <c r="C567" s="63">
        <v>5043.9799999999923</v>
      </c>
    </row>
    <row r="568" spans="1:3" x14ac:dyDescent="0.25">
      <c r="A568" s="2" t="s">
        <v>420</v>
      </c>
      <c r="B568" s="18"/>
      <c r="C568" s="63">
        <v>5055.339999999992</v>
      </c>
    </row>
    <row r="569" spans="1:3" x14ac:dyDescent="0.25">
      <c r="A569" s="2" t="s">
        <v>420</v>
      </c>
      <c r="B569" s="18"/>
      <c r="C569" s="63">
        <v>5109.3499999999922</v>
      </c>
    </row>
    <row r="570" spans="1:3" x14ac:dyDescent="0.25">
      <c r="A570" s="2" t="s">
        <v>420</v>
      </c>
      <c r="B570" s="18"/>
      <c r="C570" s="63">
        <v>5249.3499999999922</v>
      </c>
    </row>
    <row r="571" spans="1:3" x14ac:dyDescent="0.25">
      <c r="A571" s="2" t="s">
        <v>420</v>
      </c>
      <c r="B571" s="18"/>
      <c r="C571" s="63">
        <v>5275.3499999999922</v>
      </c>
    </row>
    <row r="572" spans="1:3" x14ac:dyDescent="0.25">
      <c r="A572" s="2" t="s">
        <v>420</v>
      </c>
      <c r="B572" s="18"/>
      <c r="C572" s="63">
        <v>5285.9699999999921</v>
      </c>
    </row>
    <row r="573" spans="1:3" x14ac:dyDescent="0.25">
      <c r="A573" s="2" t="s">
        <v>420</v>
      </c>
      <c r="B573" s="18"/>
      <c r="C573" s="63">
        <v>5296.589999999992</v>
      </c>
    </row>
    <row r="574" spans="1:3" x14ac:dyDescent="0.25">
      <c r="A574" s="2" t="s">
        <v>420</v>
      </c>
      <c r="B574" s="18"/>
      <c r="C574" s="63">
        <v>5304.0199999999923</v>
      </c>
    </row>
    <row r="575" spans="1:3" x14ac:dyDescent="0.25">
      <c r="A575" s="2" t="s">
        <v>420</v>
      </c>
      <c r="B575" s="18"/>
      <c r="C575" s="63">
        <v>5350.089999999992</v>
      </c>
    </row>
    <row r="576" spans="1:3" x14ac:dyDescent="0.25">
      <c r="A576" s="2" t="s">
        <v>420</v>
      </c>
      <c r="B576" s="18"/>
      <c r="C576" s="63">
        <v>5368.049999999992</v>
      </c>
    </row>
    <row r="577" spans="1:3" x14ac:dyDescent="0.25">
      <c r="A577" s="2" t="s">
        <v>420</v>
      </c>
      <c r="B577" s="18"/>
      <c r="C577" s="63">
        <v>5378.6799999999921</v>
      </c>
    </row>
    <row r="578" spans="1:3" x14ac:dyDescent="0.25">
      <c r="A578" s="2" t="s">
        <v>420</v>
      </c>
      <c r="B578" s="18"/>
      <c r="C578" s="63">
        <v>5383.9799999999923</v>
      </c>
    </row>
    <row r="579" spans="1:3" x14ac:dyDescent="0.25">
      <c r="A579" s="2" t="s">
        <v>420</v>
      </c>
      <c r="B579" s="18"/>
      <c r="C579" s="63">
        <v>5398.1699999999919</v>
      </c>
    </row>
    <row r="580" spans="1:3" x14ac:dyDescent="0.25">
      <c r="A580" s="2" t="s">
        <v>420</v>
      </c>
      <c r="B580" s="18"/>
      <c r="C580" s="63">
        <v>5400.1699999999919</v>
      </c>
    </row>
    <row r="581" spans="1:3" x14ac:dyDescent="0.25">
      <c r="A581" s="2" t="s">
        <v>420</v>
      </c>
      <c r="B581" s="18"/>
      <c r="C581" s="63">
        <v>5416.1199999999917</v>
      </c>
    </row>
    <row r="582" spans="1:3" x14ac:dyDescent="0.25">
      <c r="A582" s="2" t="s">
        <v>420</v>
      </c>
      <c r="B582" s="18"/>
      <c r="C582" s="63">
        <v>5422.339999999992</v>
      </c>
    </row>
    <row r="583" spans="1:3" x14ac:dyDescent="0.25">
      <c r="A583" s="2" t="s">
        <v>420</v>
      </c>
      <c r="B583" s="18"/>
      <c r="C583" s="63">
        <v>5442.4799999999923</v>
      </c>
    </row>
    <row r="584" spans="1:3" x14ac:dyDescent="0.25">
      <c r="A584" s="2" t="s">
        <v>420</v>
      </c>
      <c r="B584" s="18"/>
      <c r="C584" s="63">
        <v>5448.8599999999924</v>
      </c>
    </row>
    <row r="585" spans="1:3" x14ac:dyDescent="0.25">
      <c r="A585" s="2" t="s">
        <v>420</v>
      </c>
      <c r="B585" s="18"/>
      <c r="C585" s="63">
        <v>5488.8599999999924</v>
      </c>
    </row>
    <row r="586" spans="1:3" x14ac:dyDescent="0.25">
      <c r="A586" s="2" t="s">
        <v>420</v>
      </c>
      <c r="B586" s="18"/>
      <c r="C586" s="63">
        <v>5492.0299999999916</v>
      </c>
    </row>
    <row r="587" spans="1:3" x14ac:dyDescent="0.25">
      <c r="A587" s="2" t="s">
        <v>420</v>
      </c>
      <c r="B587" s="18"/>
      <c r="C587" s="63">
        <v>5513.0299999999916</v>
      </c>
    </row>
    <row r="588" spans="1:3" x14ac:dyDescent="0.25">
      <c r="A588" s="2" t="s">
        <v>420</v>
      </c>
      <c r="B588" s="18"/>
      <c r="C588" s="63">
        <v>5530.1699999999928</v>
      </c>
    </row>
    <row r="589" spans="1:3" x14ac:dyDescent="0.25">
      <c r="A589" s="2" t="s">
        <v>420</v>
      </c>
      <c r="B589" s="18"/>
      <c r="C589" s="63">
        <v>5558.8299999999927</v>
      </c>
    </row>
    <row r="590" spans="1:3" x14ac:dyDescent="0.25">
      <c r="A590" s="2" t="s">
        <v>420</v>
      </c>
      <c r="B590" s="18"/>
      <c r="C590" s="63">
        <v>5586.7299999999923</v>
      </c>
    </row>
    <row r="591" spans="1:3" x14ac:dyDescent="0.25">
      <c r="A591" s="2" t="s">
        <v>420</v>
      </c>
      <c r="B591" s="18"/>
      <c r="C591" s="63">
        <v>5594.3299999999927</v>
      </c>
    </row>
    <row r="592" spans="1:3" x14ac:dyDescent="0.25">
      <c r="A592" s="2" t="s">
        <v>420</v>
      </c>
      <c r="B592" s="18">
        <f t="shared" ref="B592" si="7">(C591-C592)*-1</f>
        <v>-1000</v>
      </c>
      <c r="C592" s="63">
        <v>4594.3299999999927</v>
      </c>
    </row>
    <row r="593" spans="1:3" x14ac:dyDescent="0.25">
      <c r="A593" s="2" t="s">
        <v>420</v>
      </c>
      <c r="B593" s="18"/>
      <c r="C593" s="63">
        <v>4624.3299999999927</v>
      </c>
    </row>
    <row r="594" spans="1:3" x14ac:dyDescent="0.25">
      <c r="A594" s="2" t="s">
        <v>420</v>
      </c>
      <c r="B594" s="18"/>
      <c r="C594" s="63">
        <v>4636.3799999999928</v>
      </c>
    </row>
    <row r="595" spans="1:3" x14ac:dyDescent="0.25">
      <c r="A595" s="2" t="s">
        <v>420</v>
      </c>
      <c r="B595" s="18"/>
      <c r="C595" s="63">
        <v>4641.1399999999931</v>
      </c>
    </row>
    <row r="596" spans="1:3" x14ac:dyDescent="0.25">
      <c r="A596" s="2" t="s">
        <v>420</v>
      </c>
      <c r="B596" s="18"/>
      <c r="C596" s="63">
        <v>4650.3399999999929</v>
      </c>
    </row>
    <row r="597" spans="1:3" x14ac:dyDescent="0.25">
      <c r="A597" s="2" t="s">
        <v>420</v>
      </c>
      <c r="B597" s="18"/>
      <c r="C597" s="63">
        <v>4670.3399999999929</v>
      </c>
    </row>
    <row r="598" spans="1:3" x14ac:dyDescent="0.25">
      <c r="A598" s="2" t="s">
        <v>420</v>
      </c>
      <c r="B598" s="18"/>
      <c r="C598" s="63">
        <v>4711.0099999999929</v>
      </c>
    </row>
    <row r="599" spans="1:3" x14ac:dyDescent="0.25">
      <c r="A599" s="2" t="s">
        <v>420</v>
      </c>
      <c r="B599" s="18"/>
      <c r="C599" s="63">
        <v>4748.1099999999933</v>
      </c>
    </row>
    <row r="600" spans="1:3" x14ac:dyDescent="0.25">
      <c r="A600" s="2" t="s">
        <v>420</v>
      </c>
      <c r="B600" s="18"/>
      <c r="C600" s="63">
        <v>4760.1299999999937</v>
      </c>
    </row>
    <row r="601" spans="1:3" x14ac:dyDescent="0.25">
      <c r="A601" s="2" t="s">
        <v>420</v>
      </c>
      <c r="B601" s="18">
        <f t="shared" ref="B601:B663" si="8">(C600-C601)*-1</f>
        <v>-81.420000000000073</v>
      </c>
      <c r="C601" s="63">
        <v>4678.7099999999937</v>
      </c>
    </row>
    <row r="602" spans="1:3" x14ac:dyDescent="0.25">
      <c r="A602" s="2" t="s">
        <v>420</v>
      </c>
      <c r="B602" s="18">
        <f t="shared" si="8"/>
        <v>-5258.68</v>
      </c>
      <c r="C602" s="63">
        <v>-579.97000000000662</v>
      </c>
    </row>
    <row r="603" spans="1:3" x14ac:dyDescent="0.25">
      <c r="A603" s="2" t="s">
        <v>420</v>
      </c>
      <c r="B603" s="18"/>
      <c r="C603" s="63">
        <v>-558.41000000000668</v>
      </c>
    </row>
    <row r="604" spans="1:3" x14ac:dyDescent="0.25">
      <c r="A604" s="2" t="s">
        <v>420</v>
      </c>
      <c r="B604" s="18"/>
      <c r="C604" s="63">
        <v>-545.79000000000667</v>
      </c>
    </row>
    <row r="605" spans="1:3" x14ac:dyDescent="0.25">
      <c r="A605" s="2" t="s">
        <v>420</v>
      </c>
      <c r="B605" s="18"/>
      <c r="C605" s="63">
        <v>-501.29000000000673</v>
      </c>
    </row>
    <row r="606" spans="1:3" x14ac:dyDescent="0.25">
      <c r="A606" s="2" t="s">
        <v>420</v>
      </c>
      <c r="B606" s="18"/>
      <c r="C606" s="63">
        <v>-482.75000000000671</v>
      </c>
    </row>
    <row r="607" spans="1:3" x14ac:dyDescent="0.25">
      <c r="A607" s="2" t="s">
        <v>420</v>
      </c>
      <c r="B607" s="18"/>
      <c r="C607" s="63">
        <v>-389.44000000000659</v>
      </c>
    </row>
    <row r="608" spans="1:3" x14ac:dyDescent="0.25">
      <c r="A608" s="2" t="s">
        <v>420</v>
      </c>
      <c r="B608" s="18"/>
      <c r="C608" s="63">
        <v>-379.45000000000658</v>
      </c>
    </row>
    <row r="609" spans="1:3" x14ac:dyDescent="0.25">
      <c r="A609" s="2" t="s">
        <v>420</v>
      </c>
      <c r="B609" s="18"/>
      <c r="C609" s="63">
        <v>-370.47000000000662</v>
      </c>
    </row>
    <row r="610" spans="1:3" x14ac:dyDescent="0.25">
      <c r="A610" s="2" t="s">
        <v>420</v>
      </c>
      <c r="B610" s="18"/>
      <c r="C610" s="63">
        <v>-345.48000000000661</v>
      </c>
    </row>
    <row r="611" spans="1:3" x14ac:dyDescent="0.25">
      <c r="A611" s="2" t="s">
        <v>420</v>
      </c>
      <c r="B611" s="18"/>
      <c r="C611" s="63">
        <v>-340.8100000000066</v>
      </c>
    </row>
    <row r="612" spans="1:3" x14ac:dyDescent="0.25">
      <c r="A612" s="2" t="s">
        <v>420</v>
      </c>
      <c r="B612" s="18"/>
      <c r="C612" s="63">
        <v>-335.72000000000662</v>
      </c>
    </row>
    <row r="613" spans="1:3" x14ac:dyDescent="0.25">
      <c r="A613" s="2" t="s">
        <v>420</v>
      </c>
      <c r="B613" s="18"/>
      <c r="C613" s="63">
        <v>-204.42000000000661</v>
      </c>
    </row>
    <row r="614" spans="1:3" x14ac:dyDescent="0.25">
      <c r="A614" s="2" t="s">
        <v>420</v>
      </c>
      <c r="B614" s="18"/>
      <c r="C614" s="63">
        <v>-192.28000000000659</v>
      </c>
    </row>
    <row r="615" spans="1:3" x14ac:dyDescent="0.25">
      <c r="A615" s="2" t="s">
        <v>420</v>
      </c>
      <c r="B615" s="18"/>
      <c r="C615" s="63">
        <v>-136.9300000000066</v>
      </c>
    </row>
    <row r="616" spans="1:3" x14ac:dyDescent="0.25">
      <c r="A616" s="2" t="s">
        <v>420</v>
      </c>
      <c r="B616" s="18"/>
      <c r="C616" s="63">
        <v>-32.930000000006629</v>
      </c>
    </row>
    <row r="617" spans="1:3" x14ac:dyDescent="0.25">
      <c r="A617" s="2" t="s">
        <v>420</v>
      </c>
      <c r="B617" s="18"/>
      <c r="C617" s="63">
        <v>46.729999999993368</v>
      </c>
    </row>
    <row r="618" spans="1:3" x14ac:dyDescent="0.25">
      <c r="A618" s="2" t="s">
        <v>420</v>
      </c>
      <c r="B618" s="18"/>
      <c r="C618" s="63">
        <v>47.729999999993368</v>
      </c>
    </row>
    <row r="619" spans="1:3" x14ac:dyDescent="0.25">
      <c r="A619" s="2" t="s">
        <v>420</v>
      </c>
      <c r="B619" s="18">
        <f t="shared" si="8"/>
        <v>-1</v>
      </c>
      <c r="C619" s="63">
        <v>46.729999999993368</v>
      </c>
    </row>
    <row r="620" spans="1:3" x14ac:dyDescent="0.25">
      <c r="A620" s="2" t="s">
        <v>420</v>
      </c>
      <c r="B620" s="18"/>
      <c r="C620" s="63">
        <v>52.149999999993369</v>
      </c>
    </row>
    <row r="621" spans="1:3" x14ac:dyDescent="0.25">
      <c r="A621" s="2" t="s">
        <v>420</v>
      </c>
      <c r="B621" s="18"/>
      <c r="C621" s="63">
        <v>76.029999999993365</v>
      </c>
    </row>
    <row r="622" spans="1:3" x14ac:dyDescent="0.25">
      <c r="A622" s="2" t="s">
        <v>420</v>
      </c>
      <c r="B622" s="18"/>
      <c r="C622" s="63">
        <v>96.029999999993365</v>
      </c>
    </row>
    <row r="623" spans="1:3" x14ac:dyDescent="0.25">
      <c r="A623" s="2" t="s">
        <v>420</v>
      </c>
      <c r="B623" s="18"/>
      <c r="C623" s="63">
        <v>104.52999999999339</v>
      </c>
    </row>
    <row r="624" spans="1:3" x14ac:dyDescent="0.25">
      <c r="A624" s="2" t="s">
        <v>420</v>
      </c>
      <c r="B624" s="18"/>
      <c r="C624" s="63">
        <v>156.02999999999341</v>
      </c>
    </row>
    <row r="625" spans="1:3" x14ac:dyDescent="0.25">
      <c r="A625" s="2" t="s">
        <v>420</v>
      </c>
      <c r="B625" s="18"/>
      <c r="C625" s="63">
        <v>161.3499999999934</v>
      </c>
    </row>
    <row r="626" spans="1:3" x14ac:dyDescent="0.25">
      <c r="A626" s="2" t="s">
        <v>420</v>
      </c>
      <c r="B626" s="18"/>
      <c r="C626" s="63">
        <v>174.6299999999934</v>
      </c>
    </row>
    <row r="627" spans="1:3" x14ac:dyDescent="0.25">
      <c r="A627" s="2" t="s">
        <v>911</v>
      </c>
      <c r="B627" s="18"/>
      <c r="C627" s="63">
        <v>252.6299999999934</v>
      </c>
    </row>
    <row r="628" spans="1:3" x14ac:dyDescent="0.25">
      <c r="A628" s="2" t="s">
        <v>911</v>
      </c>
      <c r="B628" s="18"/>
      <c r="C628" s="63">
        <v>277.6299999999934</v>
      </c>
    </row>
    <row r="629" spans="1:3" x14ac:dyDescent="0.25">
      <c r="A629" s="2" t="s">
        <v>911</v>
      </c>
      <c r="B629" s="18"/>
      <c r="C629" s="63">
        <v>287.61999999999341</v>
      </c>
    </row>
    <row r="630" spans="1:3" x14ac:dyDescent="0.25">
      <c r="A630" s="2" t="s">
        <v>911</v>
      </c>
      <c r="B630" s="18"/>
      <c r="C630" s="63">
        <v>298.20999999999339</v>
      </c>
    </row>
    <row r="631" spans="1:3" x14ac:dyDescent="0.25">
      <c r="A631" s="2" t="s">
        <v>911</v>
      </c>
      <c r="B631" s="18"/>
      <c r="C631" s="63">
        <v>318.20999999999339</v>
      </c>
    </row>
    <row r="632" spans="1:3" x14ac:dyDescent="0.25">
      <c r="A632" s="2" t="s">
        <v>911</v>
      </c>
      <c r="B632" s="18"/>
      <c r="C632" s="63">
        <v>337.74999999999341</v>
      </c>
    </row>
    <row r="633" spans="1:3" x14ac:dyDescent="0.25">
      <c r="A633" s="2" t="s">
        <v>911</v>
      </c>
      <c r="B633" s="18"/>
      <c r="C633" s="63">
        <v>377.53999999999343</v>
      </c>
    </row>
    <row r="634" spans="1:3" x14ac:dyDescent="0.25">
      <c r="A634" s="2" t="s">
        <v>911</v>
      </c>
      <c r="B634" s="18"/>
      <c r="C634" s="63">
        <v>393.42999999999341</v>
      </c>
    </row>
    <row r="635" spans="1:3" x14ac:dyDescent="0.25">
      <c r="A635" s="2" t="s">
        <v>911</v>
      </c>
      <c r="B635" s="18">
        <f t="shared" si="8"/>
        <v>-3.7200000000000273</v>
      </c>
      <c r="C635" s="63">
        <v>389.70999999999339</v>
      </c>
    </row>
    <row r="636" spans="1:3" x14ac:dyDescent="0.25">
      <c r="A636" s="2" t="s">
        <v>911</v>
      </c>
      <c r="B636" s="18"/>
      <c r="C636" s="63">
        <v>410.08999999999338</v>
      </c>
    </row>
    <row r="637" spans="1:3" x14ac:dyDescent="0.25">
      <c r="A637" s="2" t="s">
        <v>911</v>
      </c>
      <c r="B637" s="18"/>
      <c r="C637" s="63">
        <v>430.98999999999342</v>
      </c>
    </row>
    <row r="638" spans="1:3" x14ac:dyDescent="0.25">
      <c r="A638" s="2" t="s">
        <v>911</v>
      </c>
      <c r="B638" s="18"/>
      <c r="C638" s="63">
        <v>476.78999999999343</v>
      </c>
    </row>
    <row r="639" spans="1:3" x14ac:dyDescent="0.25">
      <c r="A639" s="2" t="s">
        <v>911</v>
      </c>
      <c r="B639" s="18">
        <f t="shared" si="8"/>
        <v>-962.04</v>
      </c>
      <c r="C639" s="63">
        <v>-485.25000000000659</v>
      </c>
    </row>
    <row r="640" spans="1:3" x14ac:dyDescent="0.25">
      <c r="A640" s="2" t="s">
        <v>911</v>
      </c>
      <c r="B640" s="18"/>
      <c r="C640" s="63">
        <v>-475.50000000000659</v>
      </c>
    </row>
    <row r="641" spans="1:3" x14ac:dyDescent="0.25">
      <c r="A641" s="2" t="s">
        <v>911</v>
      </c>
      <c r="B641" s="18"/>
      <c r="C641" s="63">
        <v>-464.65000000000663</v>
      </c>
    </row>
    <row r="642" spans="1:3" x14ac:dyDescent="0.25">
      <c r="A642" s="2" t="s">
        <v>911</v>
      </c>
      <c r="B642" s="18"/>
      <c r="C642" s="63">
        <v>-448.52000000000658</v>
      </c>
    </row>
    <row r="643" spans="1:3" x14ac:dyDescent="0.25">
      <c r="A643" s="2" t="s">
        <v>911</v>
      </c>
      <c r="B643" s="18">
        <f t="shared" si="8"/>
        <v>-106.06999999999994</v>
      </c>
      <c r="C643" s="63">
        <v>-554.59000000000651</v>
      </c>
    </row>
    <row r="644" spans="1:3" x14ac:dyDescent="0.25">
      <c r="A644" s="2" t="s">
        <v>911</v>
      </c>
      <c r="B644" s="18"/>
      <c r="C644" s="63">
        <v>-549.30000000000655</v>
      </c>
    </row>
    <row r="645" spans="1:3" x14ac:dyDescent="0.25">
      <c r="A645" s="2" t="s">
        <v>911</v>
      </c>
      <c r="B645" s="18"/>
      <c r="C645" s="63">
        <v>-479.30000000000649</v>
      </c>
    </row>
    <row r="646" spans="1:3" x14ac:dyDescent="0.25">
      <c r="A646" s="2" t="s">
        <v>911</v>
      </c>
      <c r="B646" s="18"/>
      <c r="C646" s="63">
        <v>-469.39000000000652</v>
      </c>
    </row>
    <row r="647" spans="1:3" x14ac:dyDescent="0.25">
      <c r="A647" s="2" t="s">
        <v>911</v>
      </c>
      <c r="B647" s="18"/>
      <c r="C647" s="63">
        <v>-436.39000000000652</v>
      </c>
    </row>
    <row r="648" spans="1:3" x14ac:dyDescent="0.25">
      <c r="A648" s="2" t="s">
        <v>911</v>
      </c>
      <c r="B648" s="18"/>
      <c r="C648" s="63">
        <v>-410.20000000000653</v>
      </c>
    </row>
    <row r="649" spans="1:3" x14ac:dyDescent="0.25">
      <c r="A649" s="2" t="s">
        <v>911</v>
      </c>
      <c r="B649" s="18"/>
      <c r="C649" s="63">
        <v>-409.03000000000651</v>
      </c>
    </row>
    <row r="650" spans="1:3" x14ac:dyDescent="0.25">
      <c r="A650" s="2" t="s">
        <v>911</v>
      </c>
      <c r="B650" s="18"/>
      <c r="C650" s="63">
        <v>-347.34000000000651</v>
      </c>
    </row>
    <row r="651" spans="1:3" x14ac:dyDescent="0.25">
      <c r="A651" s="2" t="s">
        <v>911</v>
      </c>
      <c r="B651" s="18"/>
      <c r="C651" s="63">
        <v>-337.34000000000651</v>
      </c>
    </row>
    <row r="652" spans="1:3" x14ac:dyDescent="0.25">
      <c r="A652" s="2" t="s">
        <v>911</v>
      </c>
      <c r="B652" s="18"/>
      <c r="C652" s="63">
        <v>-304.78000000000651</v>
      </c>
    </row>
    <row r="653" spans="1:3" x14ac:dyDescent="0.25">
      <c r="A653" s="2" t="s">
        <v>911</v>
      </c>
      <c r="B653" s="18"/>
      <c r="C653" s="63">
        <v>-299.0400000000065</v>
      </c>
    </row>
    <row r="654" spans="1:3" x14ac:dyDescent="0.25">
      <c r="A654" s="2" t="s">
        <v>911</v>
      </c>
      <c r="B654" s="18"/>
      <c r="C654" s="63">
        <v>-241.9500000000065</v>
      </c>
    </row>
    <row r="655" spans="1:3" x14ac:dyDescent="0.25">
      <c r="A655" s="2" t="s">
        <v>911</v>
      </c>
      <c r="B655" s="18"/>
      <c r="C655" s="63">
        <v>-137.78000000000651</v>
      </c>
    </row>
    <row r="656" spans="1:3" x14ac:dyDescent="0.25">
      <c r="A656" s="2" t="s">
        <v>911</v>
      </c>
      <c r="B656" s="18"/>
      <c r="C656" s="63">
        <v>-112.0300000000065</v>
      </c>
    </row>
    <row r="657" spans="1:3" x14ac:dyDescent="0.25">
      <c r="A657" s="2" t="s">
        <v>911</v>
      </c>
      <c r="B657" s="18"/>
      <c r="C657" s="63">
        <v>-89.430000000006515</v>
      </c>
    </row>
    <row r="658" spans="1:3" x14ac:dyDescent="0.25">
      <c r="A658" s="2" t="s">
        <v>911</v>
      </c>
      <c r="B658" s="18"/>
      <c r="C658" s="63">
        <v>-53.310000000006518</v>
      </c>
    </row>
    <row r="659" spans="1:3" x14ac:dyDescent="0.25">
      <c r="A659" s="2" t="s">
        <v>911</v>
      </c>
      <c r="B659" s="18"/>
      <c r="C659" s="63">
        <v>-35.160000000006519</v>
      </c>
    </row>
    <row r="660" spans="1:3" x14ac:dyDescent="0.25">
      <c r="A660" s="2" t="s">
        <v>911</v>
      </c>
      <c r="B660" s="18"/>
      <c r="C660" s="63">
        <v>-32.990000000006518</v>
      </c>
    </row>
    <row r="661" spans="1:3" x14ac:dyDescent="0.25">
      <c r="A661" s="2" t="s">
        <v>911</v>
      </c>
      <c r="B661" s="18"/>
      <c r="C661" s="63">
        <v>-16.200000000006519</v>
      </c>
    </row>
    <row r="662" spans="1:3" x14ac:dyDescent="0.25">
      <c r="A662" s="2" t="s">
        <v>911</v>
      </c>
      <c r="B662" s="18"/>
      <c r="C662" s="63">
        <v>80.44999999999348</v>
      </c>
    </row>
    <row r="663" spans="1:3" x14ac:dyDescent="0.25">
      <c r="A663" s="2" t="s">
        <v>911</v>
      </c>
      <c r="B663" s="18">
        <f t="shared" si="8"/>
        <v>-53.05</v>
      </c>
      <c r="C663" s="63">
        <v>27.399999999993479</v>
      </c>
    </row>
    <row r="664" spans="1:3" x14ac:dyDescent="0.25">
      <c r="A664" s="2" t="s">
        <v>911</v>
      </c>
      <c r="B664" s="18"/>
      <c r="C664" s="63">
        <v>40.049999999993481</v>
      </c>
    </row>
    <row r="665" spans="1:3" x14ac:dyDescent="0.25">
      <c r="A665" s="2" t="s">
        <v>911</v>
      </c>
      <c r="B665" s="18">
        <f t="shared" ref="B665" si="9">(C664-C665)*-1</f>
        <v>-268.78999999999996</v>
      </c>
      <c r="C665" s="63">
        <v>-228.74000000000649</v>
      </c>
    </row>
    <row r="666" spans="1:3" x14ac:dyDescent="0.25">
      <c r="A666" s="2" t="s">
        <v>911</v>
      </c>
      <c r="B666" s="18"/>
      <c r="C666" s="63">
        <v>-149.08000000000649</v>
      </c>
    </row>
    <row r="667" spans="1:3" x14ac:dyDescent="0.25">
      <c r="A667" s="2" t="s">
        <v>911</v>
      </c>
      <c r="B667" s="18"/>
      <c r="C667" s="63">
        <v>-134.12000000000651</v>
      </c>
    </row>
    <row r="668" spans="1:3" x14ac:dyDescent="0.25">
      <c r="A668" s="2" t="s">
        <v>911</v>
      </c>
      <c r="B668" s="18"/>
      <c r="C668" s="63">
        <v>-124.1300000000065</v>
      </c>
    </row>
    <row r="669" spans="1:3" x14ac:dyDescent="0.25">
      <c r="A669" s="2" t="s">
        <v>911</v>
      </c>
      <c r="B669" s="18"/>
      <c r="C669" s="63">
        <v>-95.920000000006553</v>
      </c>
    </row>
    <row r="670" spans="1:3" x14ac:dyDescent="0.25">
      <c r="A670" s="2" t="s">
        <v>911</v>
      </c>
      <c r="B670" s="18"/>
      <c r="C670" s="63">
        <v>-40.580000000006549</v>
      </c>
    </row>
    <row r="671" spans="1:3" x14ac:dyDescent="0.25">
      <c r="A671" s="2" t="s">
        <v>911</v>
      </c>
      <c r="B671" s="18"/>
      <c r="C671" s="63">
        <v>63.819999999993463</v>
      </c>
    </row>
    <row r="672" spans="1:3" x14ac:dyDescent="0.25">
      <c r="A672" s="2" t="s">
        <v>911</v>
      </c>
      <c r="B672" s="18"/>
      <c r="C672" s="63">
        <v>96.299999999993446</v>
      </c>
    </row>
    <row r="673" spans="1:3" x14ac:dyDescent="0.25">
      <c r="A673" s="2" t="s">
        <v>911</v>
      </c>
      <c r="B673" s="18"/>
      <c r="C673" s="63">
        <v>104.2999999999934</v>
      </c>
    </row>
    <row r="674" spans="1:3" x14ac:dyDescent="0.25">
      <c r="A674" s="2" t="s">
        <v>911</v>
      </c>
      <c r="B674" s="18"/>
      <c r="C674" s="63">
        <v>118.3499999999934</v>
      </c>
    </row>
    <row r="675" spans="1:3" x14ac:dyDescent="0.25">
      <c r="A675" s="2" t="s">
        <v>911</v>
      </c>
      <c r="B675" s="18"/>
      <c r="C675" s="63">
        <v>228.67999999999341</v>
      </c>
    </row>
    <row r="676" spans="1:3" x14ac:dyDescent="0.25">
      <c r="A676" s="2" t="s">
        <v>911</v>
      </c>
      <c r="B676" s="18"/>
      <c r="C676" s="63">
        <v>252.9399999999934</v>
      </c>
    </row>
    <row r="677" spans="1:3" x14ac:dyDescent="0.25">
      <c r="A677" s="2" t="s">
        <v>911</v>
      </c>
      <c r="B677" s="18"/>
      <c r="C677" s="63">
        <v>257.29999999999342</v>
      </c>
    </row>
    <row r="678" spans="1:3" x14ac:dyDescent="0.25">
      <c r="A678" s="2" t="s">
        <v>911</v>
      </c>
      <c r="B678" s="18"/>
      <c r="C678" s="63">
        <v>305.03999999999343</v>
      </c>
    </row>
    <row r="679" spans="1:3" x14ac:dyDescent="0.25">
      <c r="A679" s="3" t="s">
        <v>911</v>
      </c>
      <c r="B679" s="18"/>
      <c r="C679" s="63">
        <v>411.10999999999342</v>
      </c>
    </row>
    <row r="680" spans="1:3" x14ac:dyDescent="0.25">
      <c r="A680" s="3" t="s">
        <v>911</v>
      </c>
      <c r="B680" s="18"/>
      <c r="C680" s="64">
        <v>451.8799999999934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2FA8-9ADA-4AE0-9A85-141024D4D677}">
  <sheetPr>
    <tabColor theme="5"/>
  </sheetPr>
  <dimension ref="A1:G13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5703125" customWidth="1"/>
    <col min="3" max="3" width="62" bestFit="1" customWidth="1"/>
    <col min="4" max="4" width="10.5703125" bestFit="1" customWidth="1"/>
    <col min="5" max="5" width="13" customWidth="1"/>
    <col min="6" max="6" width="10.28515625" customWidth="1"/>
    <col min="7" max="7" width="13" customWidth="1"/>
    <col min="8" max="8" width="9.7109375" customWidth="1"/>
  </cols>
  <sheetData>
    <row r="1" spans="1:7" x14ac:dyDescent="0.25">
      <c r="A1" t="s">
        <v>488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</row>
    <row r="2" spans="1:7" x14ac:dyDescent="0.25">
      <c r="A2" s="9">
        <v>44571</v>
      </c>
      <c r="B2" s="9">
        <v>44571</v>
      </c>
      <c r="C2" t="s">
        <v>499</v>
      </c>
      <c r="D2" s="10">
        <v>2286</v>
      </c>
      <c r="E2" t="s">
        <v>500</v>
      </c>
      <c r="F2" s="9" t="str">
        <f t="shared" ref="F2:F13" si="0">MONTH(A2)&amp;"/"&amp;YEAR(A2)</f>
        <v>1/2022</v>
      </c>
      <c r="G2" t="s">
        <v>156</v>
      </c>
    </row>
    <row r="3" spans="1:7" x14ac:dyDescent="0.25">
      <c r="A3" s="9">
        <v>44574</v>
      </c>
      <c r="B3" s="9">
        <v>44574</v>
      </c>
      <c r="C3" t="s">
        <v>498</v>
      </c>
      <c r="D3" s="10">
        <v>-1000</v>
      </c>
      <c r="E3" t="s">
        <v>502</v>
      </c>
      <c r="F3" s="9" t="str">
        <f t="shared" si="0"/>
        <v>1/2022</v>
      </c>
    </row>
    <row r="4" spans="1:7" x14ac:dyDescent="0.25">
      <c r="A4" s="9">
        <v>44599</v>
      </c>
      <c r="B4" s="9">
        <v>44599</v>
      </c>
      <c r="C4" t="s">
        <v>493</v>
      </c>
      <c r="D4" s="10">
        <v>21.35</v>
      </c>
      <c r="E4" t="s">
        <v>504</v>
      </c>
      <c r="F4" s="9" t="str">
        <f t="shared" si="0"/>
        <v>2/2022</v>
      </c>
      <c r="G4" t="s">
        <v>156</v>
      </c>
    </row>
    <row r="5" spans="1:7" x14ac:dyDescent="0.25">
      <c r="A5" s="9">
        <v>44602</v>
      </c>
      <c r="B5" s="9">
        <v>44602</v>
      </c>
      <c r="C5" t="s">
        <v>497</v>
      </c>
      <c r="D5" s="10">
        <v>-307.35000000000002</v>
      </c>
      <c r="E5" t="s">
        <v>502</v>
      </c>
      <c r="F5" s="9" t="str">
        <f t="shared" si="0"/>
        <v>2/2022</v>
      </c>
    </row>
    <row r="6" spans="1:7" x14ac:dyDescent="0.25">
      <c r="A6" s="9">
        <v>44611</v>
      </c>
      <c r="B6" s="9">
        <v>44611</v>
      </c>
      <c r="C6" t="s">
        <v>496</v>
      </c>
      <c r="D6" s="10">
        <v>-1000</v>
      </c>
      <c r="E6" t="s">
        <v>502</v>
      </c>
      <c r="F6" s="9" t="str">
        <f t="shared" si="0"/>
        <v>2/2022</v>
      </c>
    </row>
    <row r="7" spans="1:7" x14ac:dyDescent="0.25">
      <c r="A7" s="9">
        <v>44645</v>
      </c>
      <c r="B7" s="9">
        <v>44645</v>
      </c>
      <c r="C7" t="s">
        <v>495</v>
      </c>
      <c r="D7" s="10">
        <v>2121.16</v>
      </c>
      <c r="E7" t="s">
        <v>501</v>
      </c>
      <c r="F7" s="9" t="str">
        <f t="shared" si="0"/>
        <v>3/2022</v>
      </c>
      <c r="G7" t="s">
        <v>156</v>
      </c>
    </row>
    <row r="8" spans="1:7" x14ac:dyDescent="0.25">
      <c r="A8" s="9">
        <v>44658</v>
      </c>
      <c r="B8" s="9">
        <v>44658</v>
      </c>
      <c r="C8" t="s">
        <v>494</v>
      </c>
      <c r="D8" s="10">
        <v>-1000</v>
      </c>
      <c r="E8" t="s">
        <v>502</v>
      </c>
      <c r="F8" s="9" t="str">
        <f t="shared" si="0"/>
        <v>4/2022</v>
      </c>
    </row>
    <row r="9" spans="1:7" x14ac:dyDescent="0.25">
      <c r="A9" s="9">
        <v>44659</v>
      </c>
      <c r="B9" s="9">
        <v>44659</v>
      </c>
      <c r="C9" t="s">
        <v>493</v>
      </c>
      <c r="D9" s="10">
        <v>18.61</v>
      </c>
      <c r="E9" t="s">
        <v>504</v>
      </c>
      <c r="F9" s="9" t="str">
        <f t="shared" si="0"/>
        <v>4/2022</v>
      </c>
    </row>
    <row r="10" spans="1:7" x14ac:dyDescent="0.25">
      <c r="A10" s="9">
        <v>44677</v>
      </c>
      <c r="B10" s="9">
        <v>44677</v>
      </c>
      <c r="C10" t="s">
        <v>492</v>
      </c>
      <c r="D10" s="10">
        <v>-139.77000000000001</v>
      </c>
      <c r="E10" t="s">
        <v>502</v>
      </c>
      <c r="F10" s="9" t="str">
        <f t="shared" si="0"/>
        <v>4/2022</v>
      </c>
    </row>
    <row r="11" spans="1:7" x14ac:dyDescent="0.25">
      <c r="A11" s="9">
        <v>44686</v>
      </c>
      <c r="B11" s="9">
        <v>44686</v>
      </c>
      <c r="C11" t="s">
        <v>491</v>
      </c>
      <c r="D11" s="10">
        <v>-1000</v>
      </c>
      <c r="E11" t="s">
        <v>502</v>
      </c>
      <c r="F11" s="9" t="str">
        <f t="shared" si="0"/>
        <v>5/2022</v>
      </c>
    </row>
    <row r="12" spans="1:7" x14ac:dyDescent="0.25">
      <c r="A12" s="9">
        <v>44760</v>
      </c>
      <c r="B12" s="9">
        <v>44760</v>
      </c>
      <c r="C12" t="s">
        <v>490</v>
      </c>
      <c r="D12" s="10">
        <v>-504.86</v>
      </c>
      <c r="E12" t="s">
        <v>514</v>
      </c>
      <c r="F12" s="9" t="str">
        <f t="shared" si="0"/>
        <v>7/2022</v>
      </c>
    </row>
    <row r="13" spans="1:7" x14ac:dyDescent="0.25">
      <c r="A13" s="9">
        <v>44763</v>
      </c>
      <c r="B13" s="9">
        <v>44763</v>
      </c>
      <c r="C13" t="s">
        <v>489</v>
      </c>
      <c r="D13" s="10">
        <v>504.86</v>
      </c>
      <c r="E13" t="s">
        <v>503</v>
      </c>
      <c r="F13" s="9" t="str">
        <f t="shared" si="0"/>
        <v>7/2022</v>
      </c>
      <c r="G13" t="s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BE5D-98CC-4007-BBF8-FFC4CB6E9F54}">
  <sheetPr>
    <tabColor theme="5"/>
  </sheetPr>
  <dimension ref="A1:G9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140625" bestFit="1" customWidth="1"/>
    <col min="3" max="3" width="43.7109375" bestFit="1" customWidth="1"/>
    <col min="4" max="4" width="15.5703125" bestFit="1" customWidth="1"/>
    <col min="5" max="5" width="13" customWidth="1"/>
    <col min="6" max="6" width="18.28515625" bestFit="1" customWidth="1"/>
    <col min="7" max="7" width="24.85546875" bestFit="1" customWidth="1"/>
  </cols>
  <sheetData>
    <row r="1" spans="1:7" ht="15.75" thickBot="1" x14ac:dyDescent="0.3">
      <c r="A1" s="13" t="s">
        <v>488</v>
      </c>
      <c r="B1" s="14" t="s">
        <v>3</v>
      </c>
      <c r="C1" s="14" t="s">
        <v>2</v>
      </c>
      <c r="D1" s="15" t="s">
        <v>4</v>
      </c>
      <c r="E1" s="14" t="s">
        <v>5</v>
      </c>
      <c r="F1" s="14" t="s">
        <v>6</v>
      </c>
      <c r="G1" s="15" t="s">
        <v>8</v>
      </c>
    </row>
    <row r="2" spans="1:7" ht="15.75" thickTop="1" x14ac:dyDescent="0.25">
      <c r="A2" s="9">
        <v>44697</v>
      </c>
      <c r="B2" s="10">
        <v>582.53</v>
      </c>
      <c r="C2" t="s">
        <v>507</v>
      </c>
      <c r="D2" t="s">
        <v>506</v>
      </c>
      <c r="E2" t="s">
        <v>94</v>
      </c>
      <c r="F2" t="str">
        <f>MONTH(A2)&amp;"/"&amp;YEAR(A2)</f>
        <v>5/2022</v>
      </c>
      <c r="G2" t="s">
        <v>32</v>
      </c>
    </row>
    <row r="3" spans="1:7" x14ac:dyDescent="0.25">
      <c r="A3" s="9">
        <v>44714</v>
      </c>
      <c r="B3" s="10">
        <v>-974.91</v>
      </c>
      <c r="C3" t="s">
        <v>505</v>
      </c>
      <c r="D3" t="s">
        <v>38</v>
      </c>
      <c r="E3" t="s">
        <v>38</v>
      </c>
      <c r="F3" t="str">
        <f t="shared" ref="F3:F9" si="0">MONTH(A3)&amp;"/"&amp;YEAR(A3)</f>
        <v>6/2022</v>
      </c>
    </row>
    <row r="4" spans="1:7" x14ac:dyDescent="0.25">
      <c r="A4" s="9">
        <v>44702</v>
      </c>
      <c r="B4" s="10">
        <v>12</v>
      </c>
      <c r="C4" t="s">
        <v>508</v>
      </c>
      <c r="D4" t="s">
        <v>506</v>
      </c>
      <c r="E4" t="s">
        <v>512</v>
      </c>
      <c r="F4" t="str">
        <f t="shared" si="0"/>
        <v>5/2022</v>
      </c>
      <c r="G4" t="s">
        <v>23</v>
      </c>
    </row>
    <row r="5" spans="1:7" x14ac:dyDescent="0.25">
      <c r="A5" s="9">
        <v>44702</v>
      </c>
      <c r="B5" s="10">
        <v>9.6</v>
      </c>
      <c r="C5" t="s">
        <v>508</v>
      </c>
      <c r="D5" t="s">
        <v>506</v>
      </c>
      <c r="E5" t="s">
        <v>512</v>
      </c>
      <c r="F5" t="str">
        <f t="shared" si="0"/>
        <v>5/2022</v>
      </c>
      <c r="G5" t="s">
        <v>23</v>
      </c>
    </row>
    <row r="6" spans="1:7" x14ac:dyDescent="0.25">
      <c r="A6" s="9">
        <v>44702</v>
      </c>
      <c r="B6" s="10">
        <v>26.14</v>
      </c>
      <c r="C6" t="s">
        <v>508</v>
      </c>
      <c r="D6" t="s">
        <v>506</v>
      </c>
      <c r="E6" t="s">
        <v>512</v>
      </c>
      <c r="F6" t="str">
        <f t="shared" si="0"/>
        <v>5/2022</v>
      </c>
      <c r="G6" t="s">
        <v>23</v>
      </c>
    </row>
    <row r="7" spans="1:7" x14ac:dyDescent="0.25">
      <c r="A7" s="9">
        <v>44702</v>
      </c>
      <c r="B7" s="10">
        <v>299.8</v>
      </c>
      <c r="C7" t="s">
        <v>509</v>
      </c>
      <c r="D7" t="s">
        <v>506</v>
      </c>
      <c r="E7" t="s">
        <v>512</v>
      </c>
      <c r="F7" t="str">
        <f t="shared" si="0"/>
        <v>5/2022</v>
      </c>
      <c r="G7" t="s">
        <v>23</v>
      </c>
    </row>
    <row r="8" spans="1:7" x14ac:dyDescent="0.25">
      <c r="A8" s="9">
        <v>44703</v>
      </c>
      <c r="B8" s="10">
        <v>32</v>
      </c>
      <c r="C8" t="s">
        <v>510</v>
      </c>
      <c r="D8" t="s">
        <v>506</v>
      </c>
      <c r="E8" t="s">
        <v>513</v>
      </c>
      <c r="F8" t="str">
        <f t="shared" si="0"/>
        <v>5/2022</v>
      </c>
      <c r="G8" t="s">
        <v>16</v>
      </c>
    </row>
    <row r="9" spans="1:7" x14ac:dyDescent="0.25">
      <c r="A9" s="9">
        <v>44703</v>
      </c>
      <c r="B9" s="10">
        <v>12.84</v>
      </c>
      <c r="C9" t="s">
        <v>511</v>
      </c>
      <c r="D9" t="s">
        <v>506</v>
      </c>
      <c r="E9" t="s">
        <v>185</v>
      </c>
      <c r="F9" t="str">
        <f t="shared" si="0"/>
        <v>5/2022</v>
      </c>
      <c r="G9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8DA-BD4A-4F52-9B6E-4A14DEE43F64}">
  <sheetPr>
    <tabColor theme="5"/>
  </sheetPr>
  <dimension ref="A1:G182"/>
  <sheetViews>
    <sheetView topLeftCell="A142" workbookViewId="0">
      <selection activeCell="E182" sqref="E182"/>
    </sheetView>
  </sheetViews>
  <sheetFormatPr defaultRowHeight="15" x14ac:dyDescent="0.25"/>
  <cols>
    <col min="1" max="1" width="12.42578125" customWidth="1"/>
    <col min="2" max="2" width="16.140625" customWidth="1"/>
    <col min="3" max="3" width="10.5703125" customWidth="1"/>
    <col min="4" max="4" width="124" bestFit="1" customWidth="1"/>
    <col min="5" max="5" width="13" customWidth="1"/>
    <col min="6" max="6" width="9.7109375" customWidth="1"/>
    <col min="7" max="7" width="24.85546875" bestFit="1" customWidth="1"/>
  </cols>
  <sheetData>
    <row r="1" spans="1:7" ht="15.75" thickBot="1" x14ac:dyDescent="0.3">
      <c r="A1" t="s">
        <v>515</v>
      </c>
      <c r="B1" t="s">
        <v>674</v>
      </c>
      <c r="C1" t="s">
        <v>3</v>
      </c>
      <c r="D1" t="s">
        <v>2</v>
      </c>
      <c r="E1" s="16" t="s">
        <v>5</v>
      </c>
      <c r="F1" s="16" t="s">
        <v>6</v>
      </c>
      <c r="G1" s="17" t="s">
        <v>8</v>
      </c>
    </row>
    <row r="2" spans="1:7" ht="15.75" thickTop="1" x14ac:dyDescent="0.25">
      <c r="A2" s="9">
        <v>44564</v>
      </c>
      <c r="B2" s="19">
        <v>-1800</v>
      </c>
      <c r="C2" s="10">
        <f t="shared" ref="C2:C33" si="0">IF(SIGN(B2)=-1, B2*-1, B2)</f>
        <v>1800</v>
      </c>
      <c r="D2" t="s">
        <v>668</v>
      </c>
      <c r="E2" t="s">
        <v>676</v>
      </c>
      <c r="F2" t="str">
        <f t="shared" ref="F2:F33" si="1">MONTH(A2)&amp;"/"&amp;YEAR(A2)</f>
        <v>1/2022</v>
      </c>
      <c r="G2" s="4" t="s">
        <v>685</v>
      </c>
    </row>
    <row r="3" spans="1:7" x14ac:dyDescent="0.25">
      <c r="A3" s="9">
        <v>44564</v>
      </c>
      <c r="B3" s="19">
        <v>-241.99</v>
      </c>
      <c r="C3" s="10">
        <f t="shared" si="0"/>
        <v>241.99</v>
      </c>
      <c r="D3" t="s">
        <v>669</v>
      </c>
      <c r="E3" t="s">
        <v>684</v>
      </c>
      <c r="F3" t="str">
        <f t="shared" si="1"/>
        <v>1/2022</v>
      </c>
      <c r="G3" s="4" t="s">
        <v>685</v>
      </c>
    </row>
    <row r="4" spans="1:7" x14ac:dyDescent="0.25">
      <c r="A4" s="9">
        <v>44564</v>
      </c>
      <c r="B4" s="19">
        <v>-10</v>
      </c>
      <c r="C4" s="10">
        <f t="shared" si="0"/>
        <v>10</v>
      </c>
      <c r="D4" t="s">
        <v>670</v>
      </c>
      <c r="E4" t="s">
        <v>187</v>
      </c>
      <c r="F4" t="str">
        <f t="shared" si="1"/>
        <v>1/2022</v>
      </c>
      <c r="G4" s="4">
        <f>IFERROR(VLOOKUP('Wells Fargo'!E159,dis_table[[#All],[Short_Desc]:[CumAmount]],4,0),0)</f>
        <v>0</v>
      </c>
    </row>
    <row r="5" spans="1:7" x14ac:dyDescent="0.25">
      <c r="A5" s="9">
        <v>44564</v>
      </c>
      <c r="B5" s="19">
        <v>194</v>
      </c>
      <c r="C5" s="10">
        <f t="shared" si="0"/>
        <v>194</v>
      </c>
      <c r="D5" t="s">
        <v>673</v>
      </c>
      <c r="E5" t="s">
        <v>703</v>
      </c>
      <c r="F5" t="str">
        <f t="shared" si="1"/>
        <v>1/2022</v>
      </c>
      <c r="G5" s="4">
        <v>0</v>
      </c>
    </row>
    <row r="6" spans="1:7" x14ac:dyDescent="0.25">
      <c r="A6" s="9">
        <v>44564</v>
      </c>
      <c r="B6" s="19">
        <v>-485</v>
      </c>
      <c r="C6" s="10">
        <f t="shared" si="0"/>
        <v>485</v>
      </c>
      <c r="D6" t="s">
        <v>671</v>
      </c>
      <c r="E6" t="s">
        <v>677</v>
      </c>
      <c r="F6" t="str">
        <f t="shared" si="1"/>
        <v>1/2022</v>
      </c>
      <c r="G6" s="4" t="s">
        <v>127</v>
      </c>
    </row>
    <row r="7" spans="1:7" x14ac:dyDescent="0.25">
      <c r="A7" s="9">
        <v>44564</v>
      </c>
      <c r="B7" s="19">
        <v>477.73</v>
      </c>
      <c r="C7" s="10">
        <f t="shared" si="0"/>
        <v>477.73</v>
      </c>
      <c r="D7" t="s">
        <v>672</v>
      </c>
      <c r="E7" t="s">
        <v>694</v>
      </c>
      <c r="F7" t="str">
        <f t="shared" si="1"/>
        <v>1/2022</v>
      </c>
      <c r="G7" s="4" t="s">
        <v>127</v>
      </c>
    </row>
    <row r="8" spans="1:7" x14ac:dyDescent="0.25">
      <c r="A8" s="9">
        <v>44568</v>
      </c>
      <c r="B8" s="19">
        <v>30.89</v>
      </c>
      <c r="C8" s="10">
        <f t="shared" si="0"/>
        <v>30.89</v>
      </c>
      <c r="D8" t="s">
        <v>666</v>
      </c>
      <c r="E8" t="s">
        <v>694</v>
      </c>
      <c r="F8" t="str">
        <f t="shared" si="1"/>
        <v>1/2022</v>
      </c>
      <c r="G8" s="4" t="s">
        <v>66</v>
      </c>
    </row>
    <row r="9" spans="1:7" x14ac:dyDescent="0.25">
      <c r="A9" s="9">
        <v>44568</v>
      </c>
      <c r="B9" s="19">
        <v>23.27</v>
      </c>
      <c r="C9" s="10">
        <f t="shared" si="0"/>
        <v>23.27</v>
      </c>
      <c r="D9" t="s">
        <v>667</v>
      </c>
      <c r="E9" t="s">
        <v>31</v>
      </c>
      <c r="F9" t="str">
        <f t="shared" si="1"/>
        <v>1/2022</v>
      </c>
      <c r="G9" s="4">
        <f>IFERROR(VLOOKUP('Wells Fargo'!E156,dis_table[[#All],[Short_Desc]:[CumAmount]],4,0),0)</f>
        <v>0</v>
      </c>
    </row>
    <row r="10" spans="1:7" x14ac:dyDescent="0.25">
      <c r="A10" s="9">
        <v>44571</v>
      </c>
      <c r="B10" s="19">
        <v>234.58</v>
      </c>
      <c r="C10" s="10">
        <f t="shared" si="0"/>
        <v>234.58</v>
      </c>
      <c r="D10" t="s">
        <v>664</v>
      </c>
      <c r="E10" t="s">
        <v>686</v>
      </c>
      <c r="F10" t="str">
        <f t="shared" si="1"/>
        <v>1/2022</v>
      </c>
      <c r="G10" s="4" t="s">
        <v>66</v>
      </c>
    </row>
    <row r="11" spans="1:7" x14ac:dyDescent="0.25">
      <c r="A11" s="9">
        <v>44571</v>
      </c>
      <c r="B11" s="19">
        <v>50</v>
      </c>
      <c r="C11" s="10">
        <f t="shared" si="0"/>
        <v>50</v>
      </c>
      <c r="D11" t="s">
        <v>665</v>
      </c>
      <c r="E11" t="s">
        <v>701</v>
      </c>
      <c r="F11" t="str">
        <f t="shared" si="1"/>
        <v>1/2022</v>
      </c>
      <c r="G11" t="s">
        <v>23</v>
      </c>
    </row>
    <row r="12" spans="1:7" x14ac:dyDescent="0.25">
      <c r="A12" s="9">
        <v>44572</v>
      </c>
      <c r="B12" s="19">
        <v>-100</v>
      </c>
      <c r="C12" s="10">
        <f t="shared" si="0"/>
        <v>100</v>
      </c>
      <c r="D12" t="s">
        <v>663</v>
      </c>
      <c r="E12" t="s">
        <v>688</v>
      </c>
      <c r="F12" t="str">
        <f t="shared" si="1"/>
        <v>1/2022</v>
      </c>
      <c r="G12" s="4" t="s">
        <v>127</v>
      </c>
    </row>
    <row r="13" spans="1:7" x14ac:dyDescent="0.25">
      <c r="A13" s="9">
        <v>44574</v>
      </c>
      <c r="B13" s="19">
        <v>-2194.92</v>
      </c>
      <c r="C13" s="10">
        <f t="shared" si="0"/>
        <v>2194.92</v>
      </c>
      <c r="D13" t="s">
        <v>661</v>
      </c>
      <c r="E13" t="s">
        <v>676</v>
      </c>
      <c r="F13" t="str">
        <f t="shared" si="1"/>
        <v>1/2022</v>
      </c>
      <c r="G13" s="4" t="s">
        <v>685</v>
      </c>
    </row>
    <row r="14" spans="1:7" x14ac:dyDescent="0.25">
      <c r="A14" s="9">
        <v>44574</v>
      </c>
      <c r="B14" s="19">
        <v>3898.5</v>
      </c>
      <c r="C14" s="10">
        <f t="shared" si="0"/>
        <v>3898.5</v>
      </c>
      <c r="D14" t="s">
        <v>662</v>
      </c>
      <c r="E14" t="s">
        <v>675</v>
      </c>
      <c r="F14" t="str">
        <f t="shared" si="1"/>
        <v>1/2022</v>
      </c>
      <c r="G14" s="4" t="s">
        <v>679</v>
      </c>
    </row>
    <row r="15" spans="1:7" x14ac:dyDescent="0.25">
      <c r="A15" s="9">
        <v>44575</v>
      </c>
      <c r="B15" s="19">
        <v>-1000</v>
      </c>
      <c r="C15" s="10">
        <f t="shared" si="0"/>
        <v>1000</v>
      </c>
      <c r="D15" t="s">
        <v>659</v>
      </c>
      <c r="E15" t="s">
        <v>689</v>
      </c>
      <c r="F15" t="str">
        <f t="shared" si="1"/>
        <v>1/2022</v>
      </c>
      <c r="G15" s="4" t="s">
        <v>685</v>
      </c>
    </row>
    <row r="16" spans="1:7" x14ac:dyDescent="0.25">
      <c r="A16" s="9">
        <v>44575</v>
      </c>
      <c r="B16" s="19">
        <v>-2.5</v>
      </c>
      <c r="C16" s="10">
        <f t="shared" si="0"/>
        <v>2.5</v>
      </c>
      <c r="D16" t="s">
        <v>619</v>
      </c>
      <c r="E16" t="s">
        <v>703</v>
      </c>
      <c r="F16" t="str">
        <f t="shared" si="1"/>
        <v>1/2022</v>
      </c>
      <c r="G16" s="4">
        <f>IFERROR(VLOOKUP('Wells Fargo'!E148,dis_table[[#All],[Short_Desc]:[CumAmount]],4,0),0)</f>
        <v>0</v>
      </c>
    </row>
    <row r="17" spans="1:7" x14ac:dyDescent="0.25">
      <c r="A17" s="9">
        <v>44575</v>
      </c>
      <c r="B17" s="19">
        <v>-103.5</v>
      </c>
      <c r="C17" s="10">
        <f t="shared" si="0"/>
        <v>103.5</v>
      </c>
      <c r="D17" t="s">
        <v>660</v>
      </c>
      <c r="E17" t="s">
        <v>703</v>
      </c>
      <c r="F17" t="str">
        <f t="shared" si="1"/>
        <v>1/2022</v>
      </c>
      <c r="G17" s="4">
        <v>0</v>
      </c>
    </row>
    <row r="18" spans="1:7" x14ac:dyDescent="0.25">
      <c r="A18" s="9">
        <v>44579</v>
      </c>
      <c r="B18" s="19">
        <v>-48.5</v>
      </c>
      <c r="C18" s="10">
        <f t="shared" si="0"/>
        <v>48.5</v>
      </c>
      <c r="D18" t="s">
        <v>653</v>
      </c>
      <c r="E18" t="s">
        <v>703</v>
      </c>
      <c r="F18" t="str">
        <f t="shared" si="1"/>
        <v>1/2022</v>
      </c>
      <c r="G18" s="4">
        <f>IFERROR(VLOOKUP('Wells Fargo'!E140,dis_table[[#All],[Short_Desc]:[CumAmount]],4,0),0)</f>
        <v>0</v>
      </c>
    </row>
    <row r="19" spans="1:7" x14ac:dyDescent="0.25">
      <c r="A19" s="9">
        <v>44579</v>
      </c>
      <c r="B19" s="19">
        <v>-2.5</v>
      </c>
      <c r="C19" s="10">
        <f t="shared" si="0"/>
        <v>2.5</v>
      </c>
      <c r="D19" t="s">
        <v>619</v>
      </c>
      <c r="E19" t="s">
        <v>703</v>
      </c>
      <c r="F19" t="str">
        <f t="shared" si="1"/>
        <v>1/2022</v>
      </c>
      <c r="G19" s="4">
        <f>IFERROR(VLOOKUP('Wells Fargo'!E144,dis_table[[#All],[Short_Desc]:[CumAmount]],4,0),0)</f>
        <v>0</v>
      </c>
    </row>
    <row r="20" spans="1:7" x14ac:dyDescent="0.25">
      <c r="A20" s="9">
        <v>44579</v>
      </c>
      <c r="B20" s="19">
        <v>-10</v>
      </c>
      <c r="C20" s="10">
        <f t="shared" si="0"/>
        <v>10</v>
      </c>
      <c r="D20" t="s">
        <v>651</v>
      </c>
      <c r="E20" t="s">
        <v>13</v>
      </c>
      <c r="F20" t="str">
        <f t="shared" si="1"/>
        <v>1/2022</v>
      </c>
      <c r="G20" s="4" t="str">
        <f>IFERROR(VLOOKUP('Wells Fargo'!E137,dis_table[[#All],[Short_Desc]:[CumAmount]],4,0),0)</f>
        <v>Misc</v>
      </c>
    </row>
    <row r="21" spans="1:7" x14ac:dyDescent="0.25">
      <c r="A21" s="9">
        <v>44579</v>
      </c>
      <c r="B21" s="19">
        <v>-20</v>
      </c>
      <c r="C21" s="10">
        <f t="shared" si="0"/>
        <v>20</v>
      </c>
      <c r="D21" t="s">
        <v>652</v>
      </c>
      <c r="E21" t="s">
        <v>13</v>
      </c>
      <c r="F21" t="str">
        <f t="shared" si="1"/>
        <v>1/2022</v>
      </c>
      <c r="G21" s="4" t="str">
        <f>IFERROR(VLOOKUP('Wells Fargo'!E138,dis_table[[#All],[Short_Desc]:[CumAmount]],4,0),0)</f>
        <v>Personal_Spending</v>
      </c>
    </row>
    <row r="22" spans="1:7" x14ac:dyDescent="0.25">
      <c r="A22" s="9">
        <v>44579</v>
      </c>
      <c r="B22" s="19">
        <v>-2.5</v>
      </c>
      <c r="C22" s="10">
        <f t="shared" si="0"/>
        <v>2.5</v>
      </c>
      <c r="D22" t="s">
        <v>619</v>
      </c>
      <c r="E22" t="s">
        <v>703</v>
      </c>
      <c r="F22" t="str">
        <f t="shared" si="1"/>
        <v>1/2022</v>
      </c>
      <c r="G22" s="4" t="str">
        <f>IFERROR(VLOOKUP('Wells Fargo'!E139,dis_table[[#All],[Short_Desc]:[CumAmount]],4,0),0)</f>
        <v>People</v>
      </c>
    </row>
    <row r="23" spans="1:7" x14ac:dyDescent="0.25">
      <c r="A23" s="9">
        <v>44579</v>
      </c>
      <c r="B23" s="19">
        <v>-54.04</v>
      </c>
      <c r="C23" s="10">
        <f t="shared" si="0"/>
        <v>54.04</v>
      </c>
      <c r="D23" t="s">
        <v>654</v>
      </c>
      <c r="E23" t="s">
        <v>41</v>
      </c>
      <c r="F23" t="str">
        <f t="shared" si="1"/>
        <v>1/2022</v>
      </c>
      <c r="G23" s="4">
        <f>IFERROR(VLOOKUP('Wells Fargo'!E141,dis_table[[#All],[Short_Desc]:[CumAmount]],4,0),0)</f>
        <v>0</v>
      </c>
    </row>
    <row r="24" spans="1:7" x14ac:dyDescent="0.25">
      <c r="A24" s="9">
        <v>44579</v>
      </c>
      <c r="B24" s="19">
        <v>-21.54</v>
      </c>
      <c r="C24" s="10">
        <f t="shared" si="0"/>
        <v>21.54</v>
      </c>
      <c r="D24" t="s">
        <v>655</v>
      </c>
      <c r="E24" t="s">
        <v>57</v>
      </c>
      <c r="F24" t="str">
        <f t="shared" si="1"/>
        <v>1/2022</v>
      </c>
      <c r="G24" s="4">
        <f>IFERROR(VLOOKUP('Wells Fargo'!E142,dis_table[[#All],[Short_Desc]:[CumAmount]],4,0),0)</f>
        <v>0</v>
      </c>
    </row>
    <row r="25" spans="1:7" x14ac:dyDescent="0.25">
      <c r="A25" s="9">
        <v>44579</v>
      </c>
      <c r="B25" s="19">
        <v>-6.99</v>
      </c>
      <c r="C25" s="10">
        <f t="shared" si="0"/>
        <v>6.99</v>
      </c>
      <c r="D25" t="s">
        <v>656</v>
      </c>
      <c r="E25" t="s">
        <v>57</v>
      </c>
      <c r="F25" t="str">
        <f t="shared" si="1"/>
        <v>1/2022</v>
      </c>
      <c r="G25" s="4" t="str">
        <f>IFERROR(VLOOKUP('Wells Fargo'!E143,dis_table[[#All],[Short_Desc]:[CumAmount]],4,0),0)</f>
        <v>People</v>
      </c>
    </row>
    <row r="26" spans="1:7" x14ac:dyDescent="0.25">
      <c r="A26" s="9">
        <v>44579</v>
      </c>
      <c r="B26" s="19">
        <v>-42.75</v>
      </c>
      <c r="C26" s="10">
        <f t="shared" si="0"/>
        <v>42.75</v>
      </c>
      <c r="D26" t="s">
        <v>657</v>
      </c>
      <c r="E26" t="s">
        <v>703</v>
      </c>
      <c r="F26" t="str">
        <f t="shared" si="1"/>
        <v>1/2022</v>
      </c>
      <c r="G26" s="4">
        <f>IFERROR(VLOOKUP('Wells Fargo'!E145,dis_table[[#All],[Short_Desc]:[CumAmount]],4,0),0)</f>
        <v>0</v>
      </c>
    </row>
    <row r="27" spans="1:7" x14ac:dyDescent="0.25">
      <c r="A27" s="9">
        <v>44579</v>
      </c>
      <c r="B27" s="19">
        <v>-40</v>
      </c>
      <c r="C27" s="10">
        <f t="shared" si="0"/>
        <v>40</v>
      </c>
      <c r="D27" t="s">
        <v>658</v>
      </c>
      <c r="E27" t="s">
        <v>18</v>
      </c>
      <c r="F27" t="str">
        <f t="shared" si="1"/>
        <v>1/2022</v>
      </c>
      <c r="G27" s="4" t="s">
        <v>16</v>
      </c>
    </row>
    <row r="28" spans="1:7" x14ac:dyDescent="0.25">
      <c r="A28" s="9">
        <v>44579</v>
      </c>
      <c r="B28" s="19">
        <v>-576.01</v>
      </c>
      <c r="C28" s="10">
        <f t="shared" si="0"/>
        <v>576.01</v>
      </c>
      <c r="D28" t="s">
        <v>649</v>
      </c>
      <c r="E28" t="s">
        <v>701</v>
      </c>
      <c r="F28" t="str">
        <f t="shared" si="1"/>
        <v>1/2022</v>
      </c>
      <c r="G28" t="s">
        <v>23</v>
      </c>
    </row>
    <row r="29" spans="1:7" x14ac:dyDescent="0.25">
      <c r="A29" s="9">
        <v>44579</v>
      </c>
      <c r="B29" s="19">
        <v>-68.33</v>
      </c>
      <c r="C29" s="10">
        <f t="shared" si="0"/>
        <v>68.33</v>
      </c>
      <c r="D29" t="s">
        <v>650</v>
      </c>
      <c r="E29" t="s">
        <v>702</v>
      </c>
      <c r="F29" t="str">
        <f t="shared" si="1"/>
        <v>1/2022</v>
      </c>
      <c r="G29" t="s">
        <v>23</v>
      </c>
    </row>
    <row r="30" spans="1:7" x14ac:dyDescent="0.25">
      <c r="A30" s="9">
        <v>44585</v>
      </c>
      <c r="B30" s="19">
        <v>-70</v>
      </c>
      <c r="C30" s="10">
        <f t="shared" si="0"/>
        <v>70</v>
      </c>
      <c r="D30" t="s">
        <v>648</v>
      </c>
      <c r="E30" t="s">
        <v>699</v>
      </c>
      <c r="F30" t="str">
        <f t="shared" si="1"/>
        <v>1/2022</v>
      </c>
      <c r="G30" s="4" t="s">
        <v>32</v>
      </c>
    </row>
    <row r="31" spans="1:7" x14ac:dyDescent="0.25">
      <c r="A31" s="9">
        <v>44588</v>
      </c>
      <c r="B31" s="19">
        <v>-1866.67</v>
      </c>
      <c r="C31" s="10">
        <f t="shared" si="0"/>
        <v>1866.67</v>
      </c>
      <c r="D31" t="s">
        <v>645</v>
      </c>
      <c r="E31" t="s">
        <v>678</v>
      </c>
      <c r="F31" t="str">
        <f t="shared" si="1"/>
        <v>1/2022</v>
      </c>
      <c r="G31" s="4" t="s">
        <v>245</v>
      </c>
    </row>
    <row r="32" spans="1:7" x14ac:dyDescent="0.25">
      <c r="A32" s="9">
        <v>44588</v>
      </c>
      <c r="B32" s="19">
        <v>933.33</v>
      </c>
      <c r="C32" s="10">
        <f t="shared" si="0"/>
        <v>933.33</v>
      </c>
      <c r="D32" t="s">
        <v>646</v>
      </c>
      <c r="E32" t="s">
        <v>694</v>
      </c>
      <c r="F32" t="str">
        <f t="shared" si="1"/>
        <v>1/2022</v>
      </c>
      <c r="G32" s="4" t="s">
        <v>245</v>
      </c>
    </row>
    <row r="33" spans="1:7" x14ac:dyDescent="0.25">
      <c r="A33" s="9">
        <v>44588</v>
      </c>
      <c r="B33" s="19">
        <v>1718.36</v>
      </c>
      <c r="C33" s="10">
        <f t="shared" si="0"/>
        <v>1718.36</v>
      </c>
      <c r="D33" t="s">
        <v>647</v>
      </c>
      <c r="E33" t="s">
        <v>675</v>
      </c>
      <c r="F33" t="str">
        <f t="shared" si="1"/>
        <v>1/2022</v>
      </c>
      <c r="G33" s="4" t="s">
        <v>679</v>
      </c>
    </row>
    <row r="34" spans="1:7" x14ac:dyDescent="0.25">
      <c r="A34" s="9">
        <v>44592</v>
      </c>
      <c r="B34" s="19">
        <v>-120</v>
      </c>
      <c r="C34" s="10">
        <f t="shared" ref="C34:C65" si="2">IF(SIGN(B34)=-1, B34*-1, B34)</f>
        <v>120</v>
      </c>
      <c r="D34" t="s">
        <v>644</v>
      </c>
      <c r="E34" t="s">
        <v>681</v>
      </c>
      <c r="F34" t="str">
        <f t="shared" ref="F34:F65" si="3">MONTH(A34)&amp;"/"&amp;YEAR(A34)</f>
        <v>1/2022</v>
      </c>
      <c r="G34" s="4" t="s">
        <v>127</v>
      </c>
    </row>
    <row r="35" spans="1:7" x14ac:dyDescent="0.25">
      <c r="A35" s="9">
        <v>44592</v>
      </c>
      <c r="B35" s="19">
        <v>-20</v>
      </c>
      <c r="C35" s="10">
        <f t="shared" si="2"/>
        <v>20</v>
      </c>
      <c r="D35" t="s">
        <v>643</v>
      </c>
      <c r="E35" t="s">
        <v>677</v>
      </c>
      <c r="F35" t="str">
        <f t="shared" si="3"/>
        <v>1/2022</v>
      </c>
      <c r="G35" s="4" t="s">
        <v>127</v>
      </c>
    </row>
    <row r="36" spans="1:7" x14ac:dyDescent="0.25">
      <c r="A36" s="9">
        <v>44592</v>
      </c>
      <c r="B36" s="19">
        <v>-29</v>
      </c>
      <c r="C36" s="10">
        <f t="shared" si="2"/>
        <v>29</v>
      </c>
      <c r="D36" t="s">
        <v>642</v>
      </c>
      <c r="E36" t="s">
        <v>695</v>
      </c>
      <c r="F36" t="str">
        <f t="shared" si="3"/>
        <v>1/2022</v>
      </c>
      <c r="G36" t="s">
        <v>23</v>
      </c>
    </row>
    <row r="37" spans="1:7" x14ac:dyDescent="0.25">
      <c r="A37" s="9">
        <v>44599</v>
      </c>
      <c r="B37" s="19">
        <v>120</v>
      </c>
      <c r="C37" s="10">
        <f t="shared" si="2"/>
        <v>120</v>
      </c>
      <c r="D37" t="s">
        <v>641</v>
      </c>
      <c r="E37" t="s">
        <v>681</v>
      </c>
      <c r="F37" t="str">
        <f t="shared" si="3"/>
        <v>2/2022</v>
      </c>
      <c r="G37" s="4" t="s">
        <v>127</v>
      </c>
    </row>
    <row r="38" spans="1:7" x14ac:dyDescent="0.25">
      <c r="A38" s="9">
        <v>44602</v>
      </c>
      <c r="B38" s="19">
        <v>-1733.33</v>
      </c>
      <c r="C38" s="10">
        <f t="shared" si="2"/>
        <v>1733.33</v>
      </c>
      <c r="D38" t="s">
        <v>636</v>
      </c>
      <c r="E38" t="s">
        <v>676</v>
      </c>
      <c r="F38" t="str">
        <f t="shared" si="3"/>
        <v>2/2022</v>
      </c>
      <c r="G38" s="4">
        <f>IFERROR(VLOOKUP('Wells Fargo'!E122,dis_table[[#All],[Short_Desc]:[CumAmount]],4,0),0)</f>
        <v>0</v>
      </c>
    </row>
    <row r="39" spans="1:7" x14ac:dyDescent="0.25">
      <c r="A39" s="9">
        <v>44602</v>
      </c>
      <c r="B39" s="19">
        <v>-70</v>
      </c>
      <c r="C39" s="10">
        <f t="shared" si="2"/>
        <v>70</v>
      </c>
      <c r="D39" t="s">
        <v>637</v>
      </c>
      <c r="E39" t="s">
        <v>700</v>
      </c>
      <c r="F39" t="str">
        <f t="shared" si="3"/>
        <v>2/2022</v>
      </c>
      <c r="G39" s="4" t="s">
        <v>32</v>
      </c>
    </row>
    <row r="40" spans="1:7" x14ac:dyDescent="0.25">
      <c r="A40" s="9">
        <v>44602</v>
      </c>
      <c r="B40" s="19">
        <v>662.38</v>
      </c>
      <c r="C40" s="10">
        <f t="shared" si="2"/>
        <v>662.38</v>
      </c>
      <c r="D40" t="s">
        <v>638</v>
      </c>
      <c r="E40" t="s">
        <v>694</v>
      </c>
      <c r="F40" t="str">
        <f t="shared" si="3"/>
        <v>2/2022</v>
      </c>
      <c r="G40" s="4" t="s">
        <v>245</v>
      </c>
    </row>
    <row r="41" spans="1:7" x14ac:dyDescent="0.25">
      <c r="A41" s="9">
        <v>44602</v>
      </c>
      <c r="B41" s="19">
        <v>68.58</v>
      </c>
      <c r="C41" s="10">
        <f t="shared" si="2"/>
        <v>68.58</v>
      </c>
      <c r="D41" t="s">
        <v>639</v>
      </c>
      <c r="E41" t="s">
        <v>686</v>
      </c>
      <c r="F41" t="str">
        <f t="shared" si="3"/>
        <v>2/2022</v>
      </c>
      <c r="G41" s="4" t="s">
        <v>66</v>
      </c>
    </row>
    <row r="42" spans="1:7" x14ac:dyDescent="0.25">
      <c r="A42" s="9">
        <v>44602</v>
      </c>
      <c r="B42" s="19">
        <v>1718.36</v>
      </c>
      <c r="C42" s="10">
        <f t="shared" si="2"/>
        <v>1718.36</v>
      </c>
      <c r="D42" t="s">
        <v>640</v>
      </c>
      <c r="E42" t="s">
        <v>675</v>
      </c>
      <c r="F42" t="str">
        <f t="shared" si="3"/>
        <v>2/2022</v>
      </c>
      <c r="G42" s="4" t="s">
        <v>679</v>
      </c>
    </row>
    <row r="43" spans="1:7" x14ac:dyDescent="0.25">
      <c r="A43" s="9">
        <v>44603</v>
      </c>
      <c r="B43" s="19">
        <v>-70</v>
      </c>
      <c r="C43" s="10">
        <f t="shared" si="2"/>
        <v>70</v>
      </c>
      <c r="D43" t="s">
        <v>634</v>
      </c>
      <c r="E43" t="s">
        <v>699</v>
      </c>
      <c r="F43" t="str">
        <f t="shared" si="3"/>
        <v>2/2022</v>
      </c>
      <c r="G43" s="4" t="s">
        <v>32</v>
      </c>
    </row>
    <row r="44" spans="1:7" x14ac:dyDescent="0.25">
      <c r="A44" s="9">
        <v>44603</v>
      </c>
      <c r="B44" s="19">
        <v>-307.35000000000002</v>
      </c>
      <c r="C44" s="10">
        <f t="shared" si="2"/>
        <v>307.35000000000002</v>
      </c>
      <c r="D44" t="s">
        <v>635</v>
      </c>
      <c r="E44" t="s">
        <v>689</v>
      </c>
      <c r="F44" t="str">
        <f t="shared" si="3"/>
        <v>2/2022</v>
      </c>
      <c r="G44" s="4" t="s">
        <v>685</v>
      </c>
    </row>
    <row r="45" spans="1:7" x14ac:dyDescent="0.25">
      <c r="A45" s="9">
        <v>44606</v>
      </c>
      <c r="B45" s="19">
        <v>-100</v>
      </c>
      <c r="C45" s="10">
        <f t="shared" si="2"/>
        <v>100</v>
      </c>
      <c r="D45" t="s">
        <v>633</v>
      </c>
      <c r="E45" t="s">
        <v>703</v>
      </c>
      <c r="F45" t="str">
        <f t="shared" si="3"/>
        <v>2/2022</v>
      </c>
      <c r="G45" s="4">
        <f>IFERROR(VLOOKUP('Wells Fargo'!E119,dis_table[[#All],[Short_Desc]:[CumAmount]],4,0),0)</f>
        <v>0</v>
      </c>
    </row>
    <row r="46" spans="1:7" x14ac:dyDescent="0.25">
      <c r="A46" s="9">
        <v>44610</v>
      </c>
      <c r="B46" s="19">
        <v>-70</v>
      </c>
      <c r="C46" s="10">
        <f t="shared" si="2"/>
        <v>70</v>
      </c>
      <c r="D46" t="s">
        <v>632</v>
      </c>
      <c r="E46" t="s">
        <v>699</v>
      </c>
      <c r="F46" t="str">
        <f t="shared" si="3"/>
        <v>2/2022</v>
      </c>
      <c r="G46" s="4" t="s">
        <v>32</v>
      </c>
    </row>
    <row r="47" spans="1:7" x14ac:dyDescent="0.25">
      <c r="A47" s="9">
        <v>44614</v>
      </c>
      <c r="B47" s="19">
        <v>-205.75</v>
      </c>
      <c r="C47" s="10">
        <f t="shared" si="2"/>
        <v>205.75</v>
      </c>
      <c r="D47" t="s">
        <v>627</v>
      </c>
      <c r="E47" t="s">
        <v>70</v>
      </c>
      <c r="F47" t="str">
        <f t="shared" si="3"/>
        <v>2/2022</v>
      </c>
      <c r="G47" s="4" t="s">
        <v>66</v>
      </c>
    </row>
    <row r="48" spans="1:7" x14ac:dyDescent="0.25">
      <c r="A48" s="9">
        <v>44614</v>
      </c>
      <c r="B48" s="19">
        <v>-1000</v>
      </c>
      <c r="C48" s="10">
        <f t="shared" si="2"/>
        <v>1000</v>
      </c>
      <c r="D48" t="s">
        <v>628</v>
      </c>
      <c r="E48" t="s">
        <v>689</v>
      </c>
      <c r="F48" t="str">
        <f t="shared" si="3"/>
        <v>2/2022</v>
      </c>
      <c r="G48" s="4" t="s">
        <v>685</v>
      </c>
    </row>
    <row r="49" spans="1:7" x14ac:dyDescent="0.25">
      <c r="A49" s="9">
        <v>44614</v>
      </c>
      <c r="B49" s="19">
        <v>-771.1</v>
      </c>
      <c r="C49" s="10">
        <f t="shared" si="2"/>
        <v>771.1</v>
      </c>
      <c r="D49" t="s">
        <v>629</v>
      </c>
      <c r="E49" t="s">
        <v>676</v>
      </c>
      <c r="F49" t="str">
        <f t="shared" si="3"/>
        <v>2/2022</v>
      </c>
      <c r="G49" s="4" t="str">
        <f>IFERROR(VLOOKUP('Wells Fargo'!E115,dis_table[[#All],[Short_Desc]:[CumAmount]],4,0),0)</f>
        <v>People</v>
      </c>
    </row>
    <row r="50" spans="1:7" x14ac:dyDescent="0.25">
      <c r="A50" s="9">
        <v>44614</v>
      </c>
      <c r="B50" s="19">
        <v>520.85</v>
      </c>
      <c r="C50" s="10">
        <f t="shared" si="2"/>
        <v>520.85</v>
      </c>
      <c r="D50" t="s">
        <v>630</v>
      </c>
      <c r="E50" t="s">
        <v>705</v>
      </c>
      <c r="F50" t="str">
        <f t="shared" si="3"/>
        <v>2/2022</v>
      </c>
      <c r="G50" s="4" t="s">
        <v>679</v>
      </c>
    </row>
    <row r="51" spans="1:7" x14ac:dyDescent="0.25">
      <c r="A51" s="9">
        <v>44614</v>
      </c>
      <c r="B51" s="19">
        <v>1257</v>
      </c>
      <c r="C51" s="10">
        <f t="shared" si="2"/>
        <v>1257</v>
      </c>
      <c r="D51" t="s">
        <v>631</v>
      </c>
      <c r="E51" t="s">
        <v>705</v>
      </c>
      <c r="F51" t="str">
        <f t="shared" si="3"/>
        <v>2/2022</v>
      </c>
      <c r="G51" s="4" t="s">
        <v>679</v>
      </c>
    </row>
    <row r="52" spans="1:7" x14ac:dyDescent="0.25">
      <c r="A52" s="9">
        <v>44614</v>
      </c>
      <c r="B52" s="19">
        <v>-189.21</v>
      </c>
      <c r="C52" s="10">
        <f t="shared" si="2"/>
        <v>189.21</v>
      </c>
      <c r="D52" t="s">
        <v>626</v>
      </c>
      <c r="E52" t="s">
        <v>694</v>
      </c>
      <c r="F52" t="str">
        <f t="shared" si="3"/>
        <v>2/2022</v>
      </c>
      <c r="G52" s="4" t="s">
        <v>127</v>
      </c>
    </row>
    <row r="53" spans="1:7" x14ac:dyDescent="0.25">
      <c r="A53" s="9">
        <v>44616</v>
      </c>
      <c r="B53" s="19">
        <v>2176.2199999999998</v>
      </c>
      <c r="C53" s="10">
        <f t="shared" si="2"/>
        <v>2176.2199999999998</v>
      </c>
      <c r="D53" t="s">
        <v>624</v>
      </c>
      <c r="E53" t="s">
        <v>675</v>
      </c>
      <c r="F53" t="str">
        <f t="shared" si="3"/>
        <v>2/2022</v>
      </c>
      <c r="G53" s="4" t="s">
        <v>679</v>
      </c>
    </row>
    <row r="54" spans="1:7" x14ac:dyDescent="0.25">
      <c r="A54" s="9">
        <v>44616</v>
      </c>
      <c r="B54" s="19">
        <v>100</v>
      </c>
      <c r="C54" s="10">
        <f t="shared" si="2"/>
        <v>100</v>
      </c>
      <c r="D54" t="s">
        <v>625</v>
      </c>
      <c r="E54" t="s">
        <v>706</v>
      </c>
      <c r="F54" t="str">
        <f t="shared" si="3"/>
        <v>2/2022</v>
      </c>
      <c r="G54" s="4" t="s">
        <v>679</v>
      </c>
    </row>
    <row r="55" spans="1:7" x14ac:dyDescent="0.25">
      <c r="A55" s="9">
        <v>44617</v>
      </c>
      <c r="B55" s="19">
        <v>1424</v>
      </c>
      <c r="C55" s="10">
        <f t="shared" si="2"/>
        <v>1424</v>
      </c>
      <c r="D55" t="s">
        <v>623</v>
      </c>
      <c r="E55" t="s">
        <v>705</v>
      </c>
      <c r="F55" t="str">
        <f t="shared" si="3"/>
        <v>2/2022</v>
      </c>
      <c r="G55" s="4" t="s">
        <v>679</v>
      </c>
    </row>
    <row r="56" spans="1:7" x14ac:dyDescent="0.25">
      <c r="A56" s="9">
        <v>44617</v>
      </c>
      <c r="B56" s="19">
        <v>-1400</v>
      </c>
      <c r="C56" s="10">
        <f t="shared" si="2"/>
        <v>1400</v>
      </c>
      <c r="D56" t="s">
        <v>622</v>
      </c>
      <c r="E56" t="s">
        <v>694</v>
      </c>
      <c r="F56" t="str">
        <f t="shared" si="3"/>
        <v>2/2022</v>
      </c>
      <c r="G56" s="4" t="s">
        <v>127</v>
      </c>
    </row>
    <row r="57" spans="1:7" x14ac:dyDescent="0.25">
      <c r="A57" s="9">
        <v>44620</v>
      </c>
      <c r="B57" s="19">
        <v>-1866.67</v>
      </c>
      <c r="C57" s="10">
        <f t="shared" si="2"/>
        <v>1866.67</v>
      </c>
      <c r="D57" t="s">
        <v>617</v>
      </c>
      <c r="E57" t="s">
        <v>678</v>
      </c>
      <c r="F57" t="str">
        <f t="shared" si="3"/>
        <v>2/2022</v>
      </c>
      <c r="G57" s="4" t="s">
        <v>245</v>
      </c>
    </row>
    <row r="58" spans="1:7" x14ac:dyDescent="0.25">
      <c r="A58" s="9">
        <v>44620</v>
      </c>
      <c r="B58" s="19">
        <v>-2.5</v>
      </c>
      <c r="C58" s="10">
        <f t="shared" si="2"/>
        <v>2.5</v>
      </c>
      <c r="D58" t="s">
        <v>619</v>
      </c>
      <c r="E58" t="s">
        <v>703</v>
      </c>
      <c r="F58" t="str">
        <f t="shared" si="3"/>
        <v>2/2022</v>
      </c>
      <c r="G58" s="4">
        <f>IFERROR(VLOOKUP('Wells Fargo'!E105,dis_table[[#All],[Short_Desc]:[CumAmount]],4,0),0)</f>
        <v>0</v>
      </c>
    </row>
    <row r="59" spans="1:7" x14ac:dyDescent="0.25">
      <c r="A59" s="9">
        <v>44620</v>
      </c>
      <c r="B59" s="19">
        <v>-42</v>
      </c>
      <c r="C59" s="10">
        <f t="shared" si="2"/>
        <v>42</v>
      </c>
      <c r="D59" t="s">
        <v>620</v>
      </c>
      <c r="E59" t="s">
        <v>703</v>
      </c>
      <c r="F59" t="str">
        <f t="shared" si="3"/>
        <v>2/2022</v>
      </c>
      <c r="G59" s="4">
        <f>IFERROR(VLOOKUP('Wells Fargo'!E106,dis_table[[#All],[Short_Desc]:[CumAmount]],4,0),0)</f>
        <v>0</v>
      </c>
    </row>
    <row r="60" spans="1:7" x14ac:dyDescent="0.25">
      <c r="A60" s="9">
        <v>44620</v>
      </c>
      <c r="B60" s="19">
        <v>485</v>
      </c>
      <c r="C60" s="10">
        <f t="shared" si="2"/>
        <v>485</v>
      </c>
      <c r="D60" t="s">
        <v>621</v>
      </c>
      <c r="E60" t="s">
        <v>677</v>
      </c>
      <c r="F60" t="str">
        <f t="shared" si="3"/>
        <v>2/2022</v>
      </c>
      <c r="G60" s="4" t="s">
        <v>127</v>
      </c>
    </row>
    <row r="61" spans="1:7" x14ac:dyDescent="0.25">
      <c r="A61" s="9">
        <v>44620</v>
      </c>
      <c r="B61" s="19">
        <v>-485</v>
      </c>
      <c r="C61" s="10">
        <f t="shared" si="2"/>
        <v>485</v>
      </c>
      <c r="D61" t="s">
        <v>618</v>
      </c>
      <c r="E61" t="s">
        <v>694</v>
      </c>
      <c r="F61" t="str">
        <f t="shared" si="3"/>
        <v>2/2022</v>
      </c>
      <c r="G61" s="4" t="s">
        <v>127</v>
      </c>
    </row>
    <row r="62" spans="1:7" x14ac:dyDescent="0.25">
      <c r="A62" s="9">
        <v>44621</v>
      </c>
      <c r="B62" s="19">
        <v>-62</v>
      </c>
      <c r="C62" s="10">
        <f t="shared" si="2"/>
        <v>62</v>
      </c>
      <c r="D62" t="s">
        <v>616</v>
      </c>
      <c r="E62" t="s">
        <v>694</v>
      </c>
      <c r="F62" t="str">
        <f t="shared" si="3"/>
        <v>3/2022</v>
      </c>
      <c r="G62" s="4" t="s">
        <v>66</v>
      </c>
    </row>
    <row r="63" spans="1:7" x14ac:dyDescent="0.25">
      <c r="A63" s="9">
        <v>44630</v>
      </c>
      <c r="B63" s="19">
        <v>-734.55</v>
      </c>
      <c r="C63" s="10">
        <f t="shared" si="2"/>
        <v>734.55</v>
      </c>
      <c r="D63" t="s">
        <v>614</v>
      </c>
      <c r="E63" t="s">
        <v>676</v>
      </c>
      <c r="F63" t="str">
        <f t="shared" si="3"/>
        <v>3/2022</v>
      </c>
      <c r="G63" s="4" t="s">
        <v>685</v>
      </c>
    </row>
    <row r="64" spans="1:7" x14ac:dyDescent="0.25">
      <c r="A64" s="9">
        <v>44630</v>
      </c>
      <c r="B64" s="19">
        <v>2240.0700000000002</v>
      </c>
      <c r="C64" s="10">
        <f t="shared" si="2"/>
        <v>2240.0700000000002</v>
      </c>
      <c r="D64" t="s">
        <v>615</v>
      </c>
      <c r="E64" t="s">
        <v>675</v>
      </c>
      <c r="F64" t="str">
        <f t="shared" si="3"/>
        <v>3/2022</v>
      </c>
      <c r="G64" s="4" t="s">
        <v>679</v>
      </c>
    </row>
    <row r="65" spans="1:7" x14ac:dyDescent="0.25">
      <c r="A65" s="9">
        <v>44630</v>
      </c>
      <c r="B65" s="19">
        <v>-1500</v>
      </c>
      <c r="C65" s="10">
        <f t="shared" si="2"/>
        <v>1500</v>
      </c>
      <c r="D65" t="s">
        <v>613</v>
      </c>
      <c r="E65" t="s">
        <v>694</v>
      </c>
      <c r="F65" t="str">
        <f t="shared" si="3"/>
        <v>3/2022</v>
      </c>
      <c r="G65" s="4" t="s">
        <v>127</v>
      </c>
    </row>
    <row r="66" spans="1:7" x14ac:dyDescent="0.25">
      <c r="A66" s="9">
        <v>44638</v>
      </c>
      <c r="B66" s="19">
        <v>-60</v>
      </c>
      <c r="C66" s="10">
        <f t="shared" ref="C66:C97" si="4">IF(SIGN(B66)=-1, B66*-1, B66)</f>
        <v>60</v>
      </c>
      <c r="D66" t="s">
        <v>612</v>
      </c>
      <c r="E66" t="s">
        <v>680</v>
      </c>
      <c r="F66" t="str">
        <f t="shared" ref="F66:F97" si="5">MONTH(A66)&amp;"/"&amp;YEAR(A66)</f>
        <v>3/2022</v>
      </c>
      <c r="G66" s="4" t="s">
        <v>127</v>
      </c>
    </row>
    <row r="67" spans="1:7" x14ac:dyDescent="0.25">
      <c r="A67" s="9">
        <v>44641</v>
      </c>
      <c r="B67" s="19">
        <v>33</v>
      </c>
      <c r="C67" s="10">
        <f t="shared" si="4"/>
        <v>33</v>
      </c>
      <c r="D67" t="s">
        <v>611</v>
      </c>
      <c r="E67" t="s">
        <v>693</v>
      </c>
      <c r="F67" t="str">
        <f t="shared" si="5"/>
        <v>3/2022</v>
      </c>
      <c r="G67" s="4" t="s">
        <v>16</v>
      </c>
    </row>
    <row r="68" spans="1:7" x14ac:dyDescent="0.25">
      <c r="A68" s="9">
        <v>44641</v>
      </c>
      <c r="B68" s="19">
        <v>137.51</v>
      </c>
      <c r="C68" s="10">
        <f t="shared" si="4"/>
        <v>137.51</v>
      </c>
      <c r="D68" t="s">
        <v>610</v>
      </c>
      <c r="E68" t="s">
        <v>683</v>
      </c>
      <c r="F68" t="str">
        <f t="shared" si="5"/>
        <v>3/2022</v>
      </c>
      <c r="G68" s="4" t="s">
        <v>127</v>
      </c>
    </row>
    <row r="69" spans="1:7" x14ac:dyDescent="0.25">
      <c r="A69" s="9">
        <v>44642</v>
      </c>
      <c r="B69" s="19">
        <v>-734.55</v>
      </c>
      <c r="C69" s="10">
        <f t="shared" si="4"/>
        <v>734.55</v>
      </c>
      <c r="D69" t="s">
        <v>606</v>
      </c>
      <c r="E69" t="s">
        <v>676</v>
      </c>
      <c r="F69" t="str">
        <f t="shared" si="5"/>
        <v>3/2022</v>
      </c>
      <c r="G69" s="4" t="s">
        <v>685</v>
      </c>
    </row>
    <row r="70" spans="1:7" x14ac:dyDescent="0.25">
      <c r="A70" s="9">
        <v>44642</v>
      </c>
      <c r="B70" s="19">
        <v>-146.16999999999999</v>
      </c>
      <c r="C70" s="10">
        <f t="shared" si="4"/>
        <v>146.16999999999999</v>
      </c>
      <c r="D70" t="s">
        <v>607</v>
      </c>
      <c r="E70" t="s">
        <v>70</v>
      </c>
      <c r="F70" t="str">
        <f t="shared" si="5"/>
        <v>3/2022</v>
      </c>
      <c r="G70" s="4" t="s">
        <v>66</v>
      </c>
    </row>
    <row r="71" spans="1:7" x14ac:dyDescent="0.25">
      <c r="A71" s="9">
        <v>44642</v>
      </c>
      <c r="B71" s="19">
        <v>-43.16</v>
      </c>
      <c r="C71" s="10">
        <f t="shared" si="4"/>
        <v>43.16</v>
      </c>
      <c r="D71" t="s">
        <v>608</v>
      </c>
      <c r="E71" t="s">
        <v>41</v>
      </c>
      <c r="F71" t="str">
        <f t="shared" si="5"/>
        <v>3/2022</v>
      </c>
      <c r="G71" s="4">
        <f>IFERROR(VLOOKUP('Wells Fargo'!E94,dis_table[[#All],[Short_Desc]:[CumAmount]],4,0),0)</f>
        <v>0</v>
      </c>
    </row>
    <row r="72" spans="1:7" x14ac:dyDescent="0.25">
      <c r="A72" s="9">
        <v>44642</v>
      </c>
      <c r="B72" s="19">
        <v>66</v>
      </c>
      <c r="C72" s="10">
        <f t="shared" si="4"/>
        <v>66</v>
      </c>
      <c r="D72" t="s">
        <v>609</v>
      </c>
      <c r="E72" t="s">
        <v>694</v>
      </c>
      <c r="F72" t="str">
        <f t="shared" si="5"/>
        <v>3/2022</v>
      </c>
      <c r="G72" s="4" t="s">
        <v>127</v>
      </c>
    </row>
    <row r="73" spans="1:7" x14ac:dyDescent="0.25">
      <c r="A73" s="9">
        <v>44644</v>
      </c>
      <c r="B73" s="19">
        <v>-1400</v>
      </c>
      <c r="C73" s="10">
        <f t="shared" si="4"/>
        <v>1400</v>
      </c>
      <c r="D73" t="s">
        <v>603</v>
      </c>
      <c r="E73" t="s">
        <v>678</v>
      </c>
      <c r="F73" t="str">
        <f t="shared" si="5"/>
        <v>3/2022</v>
      </c>
      <c r="G73" s="4" t="s">
        <v>245</v>
      </c>
    </row>
    <row r="74" spans="1:7" x14ac:dyDescent="0.25">
      <c r="A74" s="9">
        <v>44644</v>
      </c>
      <c r="B74" s="19">
        <v>-500</v>
      </c>
      <c r="C74" s="10">
        <f t="shared" si="4"/>
        <v>500</v>
      </c>
      <c r="D74" t="s">
        <v>604</v>
      </c>
      <c r="E74" t="s">
        <v>676</v>
      </c>
      <c r="F74" t="str">
        <f t="shared" si="5"/>
        <v>3/2022</v>
      </c>
      <c r="G74" s="4" t="s">
        <v>685</v>
      </c>
    </row>
    <row r="75" spans="1:7" x14ac:dyDescent="0.25">
      <c r="A75" s="9">
        <v>44644</v>
      </c>
      <c r="B75" s="19">
        <v>2240.0700000000002</v>
      </c>
      <c r="C75" s="10">
        <f t="shared" si="4"/>
        <v>2240.0700000000002</v>
      </c>
      <c r="D75" t="s">
        <v>605</v>
      </c>
      <c r="E75" t="s">
        <v>675</v>
      </c>
      <c r="F75" t="str">
        <f t="shared" si="5"/>
        <v>3/2022</v>
      </c>
      <c r="G75" s="4" t="s">
        <v>679</v>
      </c>
    </row>
    <row r="76" spans="1:7" x14ac:dyDescent="0.25">
      <c r="A76" s="9">
        <v>44645</v>
      </c>
      <c r="B76" s="19">
        <v>-52</v>
      </c>
      <c r="C76" s="10">
        <f t="shared" si="4"/>
        <v>52</v>
      </c>
      <c r="D76" t="s">
        <v>602</v>
      </c>
      <c r="E76" t="s">
        <v>695</v>
      </c>
      <c r="F76" t="str">
        <f t="shared" si="5"/>
        <v>3/2022</v>
      </c>
      <c r="G76" t="s">
        <v>23</v>
      </c>
    </row>
    <row r="77" spans="1:7" x14ac:dyDescent="0.25">
      <c r="A77" s="9">
        <v>44648</v>
      </c>
      <c r="B77" s="19">
        <v>-5</v>
      </c>
      <c r="C77" s="10">
        <f t="shared" si="4"/>
        <v>5</v>
      </c>
      <c r="D77" t="s">
        <v>600</v>
      </c>
      <c r="E77" t="s">
        <v>682</v>
      </c>
      <c r="F77" t="str">
        <f t="shared" si="5"/>
        <v>3/2022</v>
      </c>
      <c r="G77" s="4" t="s">
        <v>127</v>
      </c>
    </row>
    <row r="78" spans="1:7" x14ac:dyDescent="0.25">
      <c r="A78" s="9">
        <v>44648</v>
      </c>
      <c r="B78" s="19">
        <v>-100</v>
      </c>
      <c r="C78" s="10">
        <f t="shared" si="4"/>
        <v>100</v>
      </c>
      <c r="D78" t="s">
        <v>601</v>
      </c>
      <c r="E78" t="s">
        <v>692</v>
      </c>
      <c r="F78" t="str">
        <f t="shared" si="5"/>
        <v>3/2022</v>
      </c>
      <c r="G78" s="4" t="s">
        <v>127</v>
      </c>
    </row>
    <row r="79" spans="1:7" x14ac:dyDescent="0.25">
      <c r="A79" s="9">
        <v>44649</v>
      </c>
      <c r="B79" s="19">
        <v>-70.650000000000006</v>
      </c>
      <c r="C79" s="10">
        <f t="shared" si="4"/>
        <v>70.650000000000006</v>
      </c>
      <c r="D79" t="s">
        <v>597</v>
      </c>
      <c r="E79" t="s">
        <v>686</v>
      </c>
      <c r="F79" t="str">
        <f t="shared" si="5"/>
        <v>3/2022</v>
      </c>
      <c r="G79" s="4" t="s">
        <v>66</v>
      </c>
    </row>
    <row r="80" spans="1:7" x14ac:dyDescent="0.25">
      <c r="A80" s="9">
        <v>44649</v>
      </c>
      <c r="B80" s="19">
        <v>49.32</v>
      </c>
      <c r="C80" s="10">
        <f t="shared" si="4"/>
        <v>49.32</v>
      </c>
      <c r="D80" t="s">
        <v>599</v>
      </c>
      <c r="E80" t="s">
        <v>686</v>
      </c>
      <c r="F80" t="str">
        <f t="shared" si="5"/>
        <v>3/2022</v>
      </c>
      <c r="G80" s="4" t="s">
        <v>66</v>
      </c>
    </row>
    <row r="81" spans="1:7" x14ac:dyDescent="0.25">
      <c r="A81" s="9">
        <v>44649</v>
      </c>
      <c r="B81" s="19">
        <v>87.4</v>
      </c>
      <c r="C81" s="10">
        <f t="shared" si="4"/>
        <v>87.4</v>
      </c>
      <c r="D81" t="s">
        <v>598</v>
      </c>
      <c r="E81" t="s">
        <v>683</v>
      </c>
      <c r="F81" t="str">
        <f t="shared" si="5"/>
        <v>3/2022</v>
      </c>
      <c r="G81" s="4" t="s">
        <v>127</v>
      </c>
    </row>
    <row r="82" spans="1:7" x14ac:dyDescent="0.25">
      <c r="A82" s="9">
        <v>44651</v>
      </c>
      <c r="B82" s="19">
        <v>-10</v>
      </c>
      <c r="C82" s="10">
        <f t="shared" si="4"/>
        <v>10</v>
      </c>
      <c r="D82" t="s">
        <v>596</v>
      </c>
      <c r="E82" t="s">
        <v>688</v>
      </c>
      <c r="F82" t="str">
        <f t="shared" si="5"/>
        <v>3/2022</v>
      </c>
      <c r="G82" s="4" t="s">
        <v>127</v>
      </c>
    </row>
    <row r="83" spans="1:7" x14ac:dyDescent="0.25">
      <c r="A83" s="9">
        <v>44652</v>
      </c>
      <c r="B83" s="19">
        <v>-45</v>
      </c>
      <c r="C83" s="10">
        <f t="shared" si="4"/>
        <v>45</v>
      </c>
      <c r="D83" t="s">
        <v>595</v>
      </c>
      <c r="E83" t="s">
        <v>688</v>
      </c>
      <c r="F83" t="str">
        <f t="shared" si="5"/>
        <v>4/2022</v>
      </c>
      <c r="G83" s="4" t="s">
        <v>127</v>
      </c>
    </row>
    <row r="84" spans="1:7" x14ac:dyDescent="0.25">
      <c r="A84" s="9">
        <v>44655</v>
      </c>
      <c r="B84" s="19">
        <v>-8</v>
      </c>
      <c r="C84" s="10">
        <f t="shared" si="4"/>
        <v>8</v>
      </c>
      <c r="D84" t="s">
        <v>594</v>
      </c>
      <c r="E84" t="s">
        <v>688</v>
      </c>
      <c r="F84" t="str">
        <f t="shared" si="5"/>
        <v>4/2022</v>
      </c>
      <c r="G84" s="4" t="s">
        <v>127</v>
      </c>
    </row>
    <row r="85" spans="1:7" x14ac:dyDescent="0.25">
      <c r="A85" s="9">
        <v>44655</v>
      </c>
      <c r="B85" s="19">
        <v>-38.71</v>
      </c>
      <c r="C85" s="10">
        <f t="shared" si="4"/>
        <v>38.71</v>
      </c>
      <c r="D85" t="s">
        <v>593</v>
      </c>
      <c r="E85" t="s">
        <v>54</v>
      </c>
      <c r="F85" t="str">
        <f t="shared" si="5"/>
        <v>4/2022</v>
      </c>
      <c r="G85" s="4">
        <f>IFERROR(VLOOKUP('Wells Fargo'!E79,dis_table[[#All],[Short_Desc]:[CumAmount]],4,0),0)</f>
        <v>0</v>
      </c>
    </row>
    <row r="86" spans="1:7" x14ac:dyDescent="0.25">
      <c r="A86" s="9">
        <v>44655</v>
      </c>
      <c r="B86" s="19">
        <v>-100</v>
      </c>
      <c r="C86" s="10">
        <f t="shared" si="4"/>
        <v>100</v>
      </c>
      <c r="D86" t="s">
        <v>592</v>
      </c>
      <c r="E86" t="s">
        <v>677</v>
      </c>
      <c r="F86" t="str">
        <f t="shared" si="5"/>
        <v>4/2022</v>
      </c>
      <c r="G86" s="4" t="s">
        <v>127</v>
      </c>
    </row>
    <row r="87" spans="1:7" x14ac:dyDescent="0.25">
      <c r="A87" s="9">
        <v>44656</v>
      </c>
      <c r="B87" s="19">
        <v>-5.41</v>
      </c>
      <c r="C87" s="10">
        <f t="shared" si="4"/>
        <v>5.41</v>
      </c>
      <c r="D87" t="s">
        <v>590</v>
      </c>
      <c r="E87" t="s">
        <v>59</v>
      </c>
      <c r="F87" t="str">
        <f t="shared" si="5"/>
        <v>4/2022</v>
      </c>
      <c r="G87" s="4">
        <f>IFERROR(VLOOKUP('Wells Fargo'!E76,dis_table[[#All],[Short_Desc]:[CumAmount]],4,0),0)</f>
        <v>0</v>
      </c>
    </row>
    <row r="88" spans="1:7" x14ac:dyDescent="0.25">
      <c r="A88" s="9">
        <v>44656</v>
      </c>
      <c r="B88" s="19">
        <v>-10.78</v>
      </c>
      <c r="C88" s="10">
        <f t="shared" si="4"/>
        <v>10.78</v>
      </c>
      <c r="D88" t="s">
        <v>591</v>
      </c>
      <c r="E88" t="s">
        <v>59</v>
      </c>
      <c r="F88" t="str">
        <f t="shared" si="5"/>
        <v>4/2022</v>
      </c>
      <c r="G88" s="4">
        <f>IFERROR(VLOOKUP('Wells Fargo'!E77,dis_table[[#All],[Short_Desc]:[CumAmount]],4,0),0)</f>
        <v>0</v>
      </c>
    </row>
    <row r="89" spans="1:7" x14ac:dyDescent="0.25">
      <c r="A89" s="9">
        <v>44657</v>
      </c>
      <c r="B89" s="19">
        <v>-40</v>
      </c>
      <c r="C89" s="10">
        <f t="shared" si="4"/>
        <v>40</v>
      </c>
      <c r="D89" t="s">
        <v>589</v>
      </c>
      <c r="E89" t="s">
        <v>688</v>
      </c>
      <c r="F89" t="str">
        <f t="shared" si="5"/>
        <v>4/2022</v>
      </c>
      <c r="G89" s="4" t="s">
        <v>127</v>
      </c>
    </row>
    <row r="90" spans="1:7" x14ac:dyDescent="0.25">
      <c r="A90" s="9">
        <v>44658</v>
      </c>
      <c r="B90" s="19">
        <v>-934.85</v>
      </c>
      <c r="C90" s="10">
        <f t="shared" si="4"/>
        <v>934.85</v>
      </c>
      <c r="D90" t="s">
        <v>587</v>
      </c>
      <c r="E90" t="s">
        <v>676</v>
      </c>
      <c r="F90" t="str">
        <f t="shared" si="5"/>
        <v>4/2022</v>
      </c>
      <c r="G90" s="4" t="s">
        <v>685</v>
      </c>
    </row>
    <row r="91" spans="1:7" x14ac:dyDescent="0.25">
      <c r="A91" s="9">
        <v>44658</v>
      </c>
      <c r="B91" s="19">
        <v>2240.08</v>
      </c>
      <c r="C91" s="10">
        <f t="shared" si="4"/>
        <v>2240.08</v>
      </c>
      <c r="D91" t="s">
        <v>588</v>
      </c>
      <c r="E91" t="s">
        <v>675</v>
      </c>
      <c r="F91" t="str">
        <f t="shared" si="5"/>
        <v>4/2022</v>
      </c>
      <c r="G91" s="4" t="s">
        <v>679</v>
      </c>
    </row>
    <row r="92" spans="1:7" x14ac:dyDescent="0.25">
      <c r="A92" s="9">
        <v>44659</v>
      </c>
      <c r="B92" s="19">
        <v>-35</v>
      </c>
      <c r="C92" s="10">
        <f t="shared" si="4"/>
        <v>35</v>
      </c>
      <c r="D92" t="s">
        <v>586</v>
      </c>
      <c r="E92" t="s">
        <v>691</v>
      </c>
      <c r="F92" t="str">
        <f t="shared" si="5"/>
        <v>4/2022</v>
      </c>
      <c r="G92" s="4" t="s">
        <v>127</v>
      </c>
    </row>
    <row r="93" spans="1:7" x14ac:dyDescent="0.25">
      <c r="A93" s="9">
        <v>44659</v>
      </c>
      <c r="B93" s="19">
        <v>-1000</v>
      </c>
      <c r="C93" s="10">
        <f t="shared" si="4"/>
        <v>1000</v>
      </c>
      <c r="D93" t="s">
        <v>584</v>
      </c>
      <c r="E93" t="s">
        <v>689</v>
      </c>
      <c r="F93" t="str">
        <f t="shared" si="5"/>
        <v>4/2022</v>
      </c>
      <c r="G93" s="4" t="s">
        <v>685</v>
      </c>
    </row>
    <row r="94" spans="1:7" x14ac:dyDescent="0.25">
      <c r="A94" s="9">
        <v>44659</v>
      </c>
      <c r="B94" s="19">
        <v>-200</v>
      </c>
      <c r="C94" s="10">
        <f t="shared" si="4"/>
        <v>200</v>
      </c>
      <c r="D94" t="s">
        <v>585</v>
      </c>
      <c r="E94" t="s">
        <v>677</v>
      </c>
      <c r="F94" t="str">
        <f t="shared" si="5"/>
        <v>4/2022</v>
      </c>
      <c r="G94" s="4" t="s">
        <v>127</v>
      </c>
    </row>
    <row r="95" spans="1:7" x14ac:dyDescent="0.25">
      <c r="A95" s="9">
        <v>44666</v>
      </c>
      <c r="B95" s="19">
        <v>-50</v>
      </c>
      <c r="C95" s="10">
        <f t="shared" si="4"/>
        <v>50</v>
      </c>
      <c r="D95" t="s">
        <v>582</v>
      </c>
      <c r="E95" t="s">
        <v>70</v>
      </c>
      <c r="F95" t="str">
        <f t="shared" si="5"/>
        <v>4/2022</v>
      </c>
      <c r="G95" s="4" t="s">
        <v>66</v>
      </c>
    </row>
    <row r="96" spans="1:7" x14ac:dyDescent="0.25">
      <c r="A96" s="9">
        <v>44666</v>
      </c>
      <c r="B96" s="19">
        <v>63</v>
      </c>
      <c r="C96" s="10">
        <f t="shared" si="4"/>
        <v>63</v>
      </c>
      <c r="D96" t="s">
        <v>583</v>
      </c>
      <c r="E96" t="s">
        <v>739</v>
      </c>
      <c r="F96" t="str">
        <f t="shared" si="5"/>
        <v>4/2022</v>
      </c>
      <c r="G96" s="4" t="s">
        <v>679</v>
      </c>
    </row>
    <row r="97" spans="1:7" x14ac:dyDescent="0.25">
      <c r="A97" s="9">
        <v>44671</v>
      </c>
      <c r="B97" s="19">
        <v>-147.97</v>
      </c>
      <c r="C97" s="10">
        <f t="shared" si="4"/>
        <v>147.97</v>
      </c>
      <c r="D97" t="s">
        <v>581</v>
      </c>
      <c r="E97" t="s">
        <v>70</v>
      </c>
      <c r="F97" t="str">
        <f t="shared" si="5"/>
        <v>4/2022</v>
      </c>
      <c r="G97" s="4" t="s">
        <v>66</v>
      </c>
    </row>
    <row r="98" spans="1:7" x14ac:dyDescent="0.25">
      <c r="A98" s="9">
        <v>44672</v>
      </c>
      <c r="B98" s="19">
        <v>-1400</v>
      </c>
      <c r="C98" s="10">
        <f t="shared" ref="C98:C129" si="6">IF(SIGN(B98)=-1, B98*-1, B98)</f>
        <v>1400</v>
      </c>
      <c r="D98" t="s">
        <v>579</v>
      </c>
      <c r="E98" t="s">
        <v>678</v>
      </c>
      <c r="F98" t="str">
        <f t="shared" ref="F98:F129" si="7">MONTH(A98)&amp;"/"&amp;YEAR(A98)</f>
        <v>4/2022</v>
      </c>
      <c r="G98" s="4" t="s">
        <v>245</v>
      </c>
    </row>
    <row r="99" spans="1:7" x14ac:dyDescent="0.25">
      <c r="A99" s="9">
        <v>44672</v>
      </c>
      <c r="B99" s="19">
        <v>2240.0700000000002</v>
      </c>
      <c r="C99" s="10">
        <f t="shared" si="6"/>
        <v>2240.0700000000002</v>
      </c>
      <c r="D99" t="s">
        <v>580</v>
      </c>
      <c r="E99" t="s">
        <v>675</v>
      </c>
      <c r="F99" t="str">
        <f t="shared" si="7"/>
        <v>4/2022</v>
      </c>
      <c r="G99" s="4" t="s">
        <v>679</v>
      </c>
    </row>
    <row r="100" spans="1:7" x14ac:dyDescent="0.25">
      <c r="A100" s="9">
        <v>44676</v>
      </c>
      <c r="B100" s="19">
        <v>-59</v>
      </c>
      <c r="C100" s="10">
        <f t="shared" si="6"/>
        <v>59</v>
      </c>
      <c r="D100" t="s">
        <v>577</v>
      </c>
      <c r="E100" t="s">
        <v>698</v>
      </c>
      <c r="F100" t="str">
        <f t="shared" si="7"/>
        <v>4/2022</v>
      </c>
      <c r="G100" t="s">
        <v>23</v>
      </c>
    </row>
    <row r="101" spans="1:7" x14ac:dyDescent="0.25">
      <c r="A101" s="9">
        <v>44676</v>
      </c>
      <c r="B101" s="19">
        <v>-130</v>
      </c>
      <c r="C101" s="10">
        <f t="shared" si="6"/>
        <v>130</v>
      </c>
      <c r="D101" t="s">
        <v>578</v>
      </c>
      <c r="E101" t="s">
        <v>677</v>
      </c>
      <c r="F101" t="str">
        <f t="shared" si="7"/>
        <v>4/2022</v>
      </c>
      <c r="G101" s="4" t="s">
        <v>127</v>
      </c>
    </row>
    <row r="102" spans="1:7" x14ac:dyDescent="0.25">
      <c r="A102" s="9">
        <v>44677</v>
      </c>
      <c r="B102" s="19">
        <v>-50</v>
      </c>
      <c r="C102" s="10">
        <f t="shared" si="6"/>
        <v>50</v>
      </c>
      <c r="D102" t="s">
        <v>573</v>
      </c>
      <c r="E102" t="s">
        <v>682</v>
      </c>
      <c r="F102" t="str">
        <f t="shared" si="7"/>
        <v>4/2022</v>
      </c>
      <c r="G102" s="4" t="s">
        <v>127</v>
      </c>
    </row>
    <row r="103" spans="1:7" x14ac:dyDescent="0.25">
      <c r="A103" s="9">
        <v>44677</v>
      </c>
      <c r="B103" s="19">
        <v>-50</v>
      </c>
      <c r="C103" s="10">
        <f t="shared" si="6"/>
        <v>50</v>
      </c>
      <c r="D103" t="s">
        <v>574</v>
      </c>
      <c r="E103" t="s">
        <v>682</v>
      </c>
      <c r="F103" t="str">
        <f t="shared" si="7"/>
        <v>4/2022</v>
      </c>
      <c r="G103" s="4" t="s">
        <v>127</v>
      </c>
    </row>
    <row r="104" spans="1:7" x14ac:dyDescent="0.25">
      <c r="A104" s="9">
        <v>44677</v>
      </c>
      <c r="B104" s="19">
        <v>-5</v>
      </c>
      <c r="C104" s="10">
        <f t="shared" si="6"/>
        <v>5</v>
      </c>
      <c r="D104" t="s">
        <v>575</v>
      </c>
      <c r="E104" t="s">
        <v>682</v>
      </c>
      <c r="F104" t="str">
        <f t="shared" si="7"/>
        <v>4/2022</v>
      </c>
      <c r="G104" s="4" t="s">
        <v>127</v>
      </c>
    </row>
    <row r="105" spans="1:7" x14ac:dyDescent="0.25">
      <c r="A105" s="9">
        <v>44677</v>
      </c>
      <c r="B105" s="19">
        <v>-5</v>
      </c>
      <c r="C105" s="10">
        <f t="shared" si="6"/>
        <v>5</v>
      </c>
      <c r="D105" t="s">
        <v>576</v>
      </c>
      <c r="E105" t="s">
        <v>682</v>
      </c>
      <c r="F105" t="str">
        <f t="shared" si="7"/>
        <v>4/2022</v>
      </c>
      <c r="G105" s="4" t="s">
        <v>127</v>
      </c>
    </row>
    <row r="106" spans="1:7" x14ac:dyDescent="0.25">
      <c r="A106" s="9">
        <v>44678</v>
      </c>
      <c r="B106" s="19">
        <v>-139.77000000000001</v>
      </c>
      <c r="C106" s="10">
        <f t="shared" si="6"/>
        <v>139.77000000000001</v>
      </c>
      <c r="D106" t="s">
        <v>572</v>
      </c>
      <c r="E106" t="s">
        <v>689</v>
      </c>
      <c r="F106" t="str">
        <f t="shared" si="7"/>
        <v>4/2022</v>
      </c>
      <c r="G106" s="4" t="s">
        <v>685</v>
      </c>
    </row>
    <row r="107" spans="1:7" x14ac:dyDescent="0.25">
      <c r="A107" s="9">
        <v>44683</v>
      </c>
      <c r="B107" s="19">
        <v>-433.31</v>
      </c>
      <c r="C107" s="10">
        <f t="shared" si="6"/>
        <v>433.31</v>
      </c>
      <c r="D107" t="s">
        <v>569</v>
      </c>
      <c r="E107" t="s">
        <v>690</v>
      </c>
      <c r="F107" t="str">
        <f t="shared" si="7"/>
        <v>5/2022</v>
      </c>
      <c r="G107" s="20" t="s">
        <v>23</v>
      </c>
    </row>
    <row r="108" spans="1:7" x14ac:dyDescent="0.25">
      <c r="A108" s="9">
        <v>44683</v>
      </c>
      <c r="B108" s="19">
        <v>88.42</v>
      </c>
      <c r="C108" s="10">
        <f t="shared" si="6"/>
        <v>88.42</v>
      </c>
      <c r="D108" t="s">
        <v>571</v>
      </c>
      <c r="E108" t="s">
        <v>59</v>
      </c>
      <c r="F108" t="str">
        <f t="shared" si="7"/>
        <v>5/2022</v>
      </c>
      <c r="G108" s="4">
        <f>IFERROR(VLOOKUP('Wells Fargo'!E57,dis_table[[#All],[Short_Desc]:[CumAmount]],4,0),0)</f>
        <v>0</v>
      </c>
    </row>
    <row r="109" spans="1:7" x14ac:dyDescent="0.25">
      <c r="A109" s="9">
        <v>44683</v>
      </c>
      <c r="B109" s="19">
        <v>66.010000000000005</v>
      </c>
      <c r="C109" s="10">
        <f t="shared" si="6"/>
        <v>66.010000000000005</v>
      </c>
      <c r="D109" t="s">
        <v>570</v>
      </c>
      <c r="E109" t="s">
        <v>683</v>
      </c>
      <c r="F109" t="str">
        <f t="shared" si="7"/>
        <v>5/2022</v>
      </c>
      <c r="G109" s="4" t="s">
        <v>127</v>
      </c>
    </row>
    <row r="110" spans="1:7" x14ac:dyDescent="0.25">
      <c r="A110" s="9">
        <v>44686</v>
      </c>
      <c r="B110" s="19">
        <v>-1000</v>
      </c>
      <c r="C110" s="10">
        <f t="shared" si="6"/>
        <v>1000</v>
      </c>
      <c r="D110" t="s">
        <v>566</v>
      </c>
      <c r="E110" t="s">
        <v>676</v>
      </c>
      <c r="F110" t="str">
        <f t="shared" si="7"/>
        <v>5/2022</v>
      </c>
      <c r="G110" s="4" t="s">
        <v>685</v>
      </c>
    </row>
    <row r="111" spans="1:7" x14ac:dyDescent="0.25">
      <c r="A111" s="9">
        <v>44686</v>
      </c>
      <c r="B111" s="19">
        <v>-5.41</v>
      </c>
      <c r="C111" s="10">
        <f t="shared" si="6"/>
        <v>5.41</v>
      </c>
      <c r="D111" t="s">
        <v>567</v>
      </c>
      <c r="E111" t="s">
        <v>59</v>
      </c>
      <c r="F111" t="str">
        <f t="shared" si="7"/>
        <v>5/2022</v>
      </c>
      <c r="G111" s="4">
        <f>IFERROR(VLOOKUP('Wells Fargo'!E53,dis_table[[#All],[Short_Desc]:[CumAmount]],4,0),0)</f>
        <v>0</v>
      </c>
    </row>
    <row r="112" spans="1:7" x14ac:dyDescent="0.25">
      <c r="A112" s="9">
        <v>44686</v>
      </c>
      <c r="B112" s="19">
        <v>2482.89</v>
      </c>
      <c r="C112" s="10">
        <f t="shared" si="6"/>
        <v>2482.89</v>
      </c>
      <c r="D112" t="s">
        <v>568</v>
      </c>
      <c r="E112" t="s">
        <v>675</v>
      </c>
      <c r="F112" t="str">
        <f t="shared" si="7"/>
        <v>5/2022</v>
      </c>
      <c r="G112" s="4" t="s">
        <v>679</v>
      </c>
    </row>
    <row r="113" spans="1:7" x14ac:dyDescent="0.25">
      <c r="A113" s="9">
        <v>44687</v>
      </c>
      <c r="B113" s="19">
        <v>-1000</v>
      </c>
      <c r="C113" s="10">
        <f t="shared" si="6"/>
        <v>1000</v>
      </c>
      <c r="D113" t="s">
        <v>565</v>
      </c>
      <c r="E113" t="s">
        <v>689</v>
      </c>
      <c r="F113" t="str">
        <f t="shared" si="7"/>
        <v>5/2022</v>
      </c>
      <c r="G113" s="4" t="s">
        <v>685</v>
      </c>
    </row>
    <row r="114" spans="1:7" x14ac:dyDescent="0.25">
      <c r="A114" s="9">
        <v>44690</v>
      </c>
      <c r="B114" s="19">
        <v>-30</v>
      </c>
      <c r="C114" s="10">
        <f t="shared" si="6"/>
        <v>30</v>
      </c>
      <c r="D114" t="s">
        <v>561</v>
      </c>
      <c r="E114" t="s">
        <v>688</v>
      </c>
      <c r="F114" t="str">
        <f t="shared" si="7"/>
        <v>5/2022</v>
      </c>
      <c r="G114" s="4" t="s">
        <v>127</v>
      </c>
    </row>
    <row r="115" spans="1:7" x14ac:dyDescent="0.25">
      <c r="A115" s="9">
        <v>44690</v>
      </c>
      <c r="B115" s="19">
        <v>-10</v>
      </c>
      <c r="C115" s="10">
        <f t="shared" si="6"/>
        <v>10</v>
      </c>
      <c r="D115" t="s">
        <v>562</v>
      </c>
      <c r="E115" t="s">
        <v>688</v>
      </c>
      <c r="F115" t="str">
        <f t="shared" si="7"/>
        <v>5/2022</v>
      </c>
      <c r="G115" s="4" t="s">
        <v>127</v>
      </c>
    </row>
    <row r="116" spans="1:7" x14ac:dyDescent="0.25">
      <c r="A116" s="9">
        <v>44690</v>
      </c>
      <c r="B116" s="19">
        <v>-100</v>
      </c>
      <c r="C116" s="10">
        <f t="shared" si="6"/>
        <v>100</v>
      </c>
      <c r="D116" t="s">
        <v>560</v>
      </c>
      <c r="E116" t="s">
        <v>677</v>
      </c>
      <c r="F116" t="str">
        <f t="shared" si="7"/>
        <v>5/2022</v>
      </c>
      <c r="G116" s="4" t="s">
        <v>127</v>
      </c>
    </row>
    <row r="117" spans="1:7" x14ac:dyDescent="0.25">
      <c r="A117" s="9">
        <v>44690</v>
      </c>
      <c r="B117" s="19">
        <v>-16</v>
      </c>
      <c r="C117" s="10">
        <f t="shared" si="6"/>
        <v>16</v>
      </c>
      <c r="D117" t="s">
        <v>563</v>
      </c>
      <c r="E117" t="s">
        <v>147</v>
      </c>
      <c r="F117" t="str">
        <f t="shared" si="7"/>
        <v>5/2022</v>
      </c>
      <c r="G117" s="4">
        <f>IFERROR(VLOOKUP('Wells Fargo'!E49,dis_table[[#All],[Short_Desc]:[CumAmount]],4,0),0)</f>
        <v>0</v>
      </c>
    </row>
    <row r="118" spans="1:7" x14ac:dyDescent="0.25">
      <c r="A118" s="9">
        <v>44690</v>
      </c>
      <c r="B118" s="19">
        <v>-75</v>
      </c>
      <c r="C118" s="10">
        <f t="shared" si="6"/>
        <v>75</v>
      </c>
      <c r="D118" t="s">
        <v>559</v>
      </c>
      <c r="E118" t="s">
        <v>697</v>
      </c>
      <c r="F118" t="str">
        <f t="shared" si="7"/>
        <v>5/2022</v>
      </c>
      <c r="G118" t="s">
        <v>23</v>
      </c>
    </row>
    <row r="119" spans="1:7" x14ac:dyDescent="0.25">
      <c r="A119" s="9">
        <v>44690</v>
      </c>
      <c r="B119" s="19">
        <v>389</v>
      </c>
      <c r="C119" s="10">
        <f t="shared" si="6"/>
        <v>389</v>
      </c>
      <c r="D119" t="s">
        <v>564</v>
      </c>
      <c r="E119" t="s">
        <v>697</v>
      </c>
      <c r="F119" t="str">
        <f t="shared" si="7"/>
        <v>5/2022</v>
      </c>
      <c r="G119" t="s">
        <v>23</v>
      </c>
    </row>
    <row r="120" spans="1:7" x14ac:dyDescent="0.25">
      <c r="A120" s="9">
        <v>44692</v>
      </c>
      <c r="B120" s="19">
        <v>-25</v>
      </c>
      <c r="C120" s="10">
        <f t="shared" si="6"/>
        <v>25</v>
      </c>
      <c r="D120" t="s">
        <v>556</v>
      </c>
      <c r="E120" t="s">
        <v>687</v>
      </c>
      <c r="F120" t="str">
        <f t="shared" si="7"/>
        <v>5/2022</v>
      </c>
      <c r="G120" s="20" t="s">
        <v>23</v>
      </c>
    </row>
    <row r="121" spans="1:7" x14ac:dyDescent="0.25">
      <c r="A121" s="9">
        <v>44692</v>
      </c>
      <c r="B121" s="19">
        <v>-25</v>
      </c>
      <c r="C121" s="10">
        <f t="shared" si="6"/>
        <v>25</v>
      </c>
      <c r="D121" t="s">
        <v>557</v>
      </c>
      <c r="E121" t="s">
        <v>687</v>
      </c>
      <c r="F121" t="str">
        <f t="shared" si="7"/>
        <v>5/2022</v>
      </c>
      <c r="G121" s="20" t="s">
        <v>23</v>
      </c>
    </row>
    <row r="122" spans="1:7" x14ac:dyDescent="0.25">
      <c r="A122" s="9">
        <v>44692</v>
      </c>
      <c r="B122" s="19">
        <v>-25</v>
      </c>
      <c r="C122" s="10">
        <f t="shared" si="6"/>
        <v>25</v>
      </c>
      <c r="D122" t="s">
        <v>558</v>
      </c>
      <c r="E122" t="s">
        <v>687</v>
      </c>
      <c r="F122" t="str">
        <f t="shared" si="7"/>
        <v>5/2022</v>
      </c>
      <c r="G122" s="20" t="s">
        <v>23</v>
      </c>
    </row>
    <row r="123" spans="1:7" x14ac:dyDescent="0.25">
      <c r="A123" s="9">
        <v>44694</v>
      </c>
      <c r="B123" s="19">
        <v>-77</v>
      </c>
      <c r="C123" s="10">
        <f t="shared" si="6"/>
        <v>77</v>
      </c>
      <c r="D123" t="s">
        <v>555</v>
      </c>
      <c r="E123" t="s">
        <v>696</v>
      </c>
      <c r="F123" t="str">
        <f t="shared" si="7"/>
        <v>5/2022</v>
      </c>
      <c r="G123" s="4" t="s">
        <v>127</v>
      </c>
    </row>
    <row r="124" spans="1:7" x14ac:dyDescent="0.25">
      <c r="A124" s="9">
        <v>44698</v>
      </c>
      <c r="B124" s="19">
        <v>-50</v>
      </c>
      <c r="C124" s="10">
        <f t="shared" si="6"/>
        <v>50</v>
      </c>
      <c r="D124" t="s">
        <v>554</v>
      </c>
      <c r="E124" t="s">
        <v>686</v>
      </c>
      <c r="F124" t="str">
        <f t="shared" si="7"/>
        <v>5/2022</v>
      </c>
      <c r="G124" s="4" t="s">
        <v>66</v>
      </c>
    </row>
    <row r="125" spans="1:7" x14ac:dyDescent="0.25">
      <c r="A125" s="9">
        <v>44700</v>
      </c>
      <c r="B125" s="19">
        <v>-1400</v>
      </c>
      <c r="C125" s="10">
        <f t="shared" si="6"/>
        <v>1400</v>
      </c>
      <c r="D125" t="s">
        <v>551</v>
      </c>
      <c r="E125" t="s">
        <v>678</v>
      </c>
      <c r="F125" t="str">
        <f t="shared" si="7"/>
        <v>5/2022</v>
      </c>
      <c r="G125" s="4" t="s">
        <v>245</v>
      </c>
    </row>
    <row r="126" spans="1:7" x14ac:dyDescent="0.25">
      <c r="A126" s="9">
        <v>44700</v>
      </c>
      <c r="B126" s="19">
        <v>-1000</v>
      </c>
      <c r="C126" s="10">
        <f t="shared" si="6"/>
        <v>1000</v>
      </c>
      <c r="D126" t="s">
        <v>552</v>
      </c>
      <c r="E126" t="s">
        <v>676</v>
      </c>
      <c r="F126" t="str">
        <f t="shared" si="7"/>
        <v>5/2022</v>
      </c>
      <c r="G126" s="4" t="s">
        <v>685</v>
      </c>
    </row>
    <row r="127" spans="1:7" x14ac:dyDescent="0.25">
      <c r="A127" s="9">
        <v>44700</v>
      </c>
      <c r="B127" s="19">
        <v>2482.9</v>
      </c>
      <c r="C127" s="10">
        <f t="shared" si="6"/>
        <v>2482.9</v>
      </c>
      <c r="D127" t="s">
        <v>553</v>
      </c>
      <c r="E127" t="s">
        <v>675</v>
      </c>
      <c r="F127" t="str">
        <f t="shared" si="7"/>
        <v>5/2022</v>
      </c>
      <c r="G127" s="4" t="s">
        <v>679</v>
      </c>
    </row>
    <row r="128" spans="1:7" x14ac:dyDescent="0.25">
      <c r="A128" s="9">
        <v>44701</v>
      </c>
      <c r="B128" s="19">
        <v>-400</v>
      </c>
      <c r="C128" s="10">
        <f t="shared" si="6"/>
        <v>400</v>
      </c>
      <c r="D128" t="s">
        <v>550</v>
      </c>
      <c r="E128" t="s">
        <v>677</v>
      </c>
      <c r="F128" t="str">
        <f t="shared" si="7"/>
        <v>5/2022</v>
      </c>
      <c r="G128" s="4" t="s">
        <v>127</v>
      </c>
    </row>
    <row r="129" spans="1:7" x14ac:dyDescent="0.25">
      <c r="A129" s="9">
        <v>44701</v>
      </c>
      <c r="B129" s="19">
        <v>-143.04</v>
      </c>
      <c r="C129" s="10">
        <f t="shared" si="6"/>
        <v>143.04</v>
      </c>
      <c r="D129" t="s">
        <v>549</v>
      </c>
      <c r="E129" t="s">
        <v>70</v>
      </c>
      <c r="F129" t="str">
        <f t="shared" si="7"/>
        <v>5/2022</v>
      </c>
      <c r="G129" s="4" t="s">
        <v>66</v>
      </c>
    </row>
    <row r="130" spans="1:7" x14ac:dyDescent="0.25">
      <c r="A130" s="9">
        <v>44704</v>
      </c>
      <c r="B130" s="19">
        <v>-82.52</v>
      </c>
      <c r="C130" s="10">
        <f t="shared" ref="C130:C161" si="8">IF(SIGN(B130)=-1, B130*-1, B130)</f>
        <v>82.52</v>
      </c>
      <c r="D130" t="s">
        <v>546</v>
      </c>
      <c r="E130" t="s">
        <v>695</v>
      </c>
      <c r="F130" t="str">
        <f t="shared" ref="F130:F162" si="9">MONTH(A130)&amp;"/"&amp;YEAR(A130)</f>
        <v>5/2022</v>
      </c>
      <c r="G130" t="s">
        <v>23</v>
      </c>
    </row>
    <row r="131" spans="1:7" x14ac:dyDescent="0.25">
      <c r="A131" s="9">
        <v>44704</v>
      </c>
      <c r="B131" s="19">
        <v>-82.52</v>
      </c>
      <c r="C131" s="10">
        <f t="shared" si="8"/>
        <v>82.52</v>
      </c>
      <c r="D131" t="s">
        <v>547</v>
      </c>
      <c r="E131" t="s">
        <v>514</v>
      </c>
      <c r="F131" t="str">
        <f t="shared" si="9"/>
        <v>5/2022</v>
      </c>
      <c r="G131" s="4">
        <f>IFERROR(VLOOKUP('Wells Fargo'!E33,dis_table[[#All],[Short_Desc]:[CumAmount]],4,0),0)</f>
        <v>0</v>
      </c>
    </row>
    <row r="132" spans="1:7" x14ac:dyDescent="0.25">
      <c r="A132" s="9">
        <v>44704</v>
      </c>
      <c r="B132" s="19">
        <v>82.52</v>
      </c>
      <c r="C132" s="10">
        <f t="shared" si="8"/>
        <v>82.52</v>
      </c>
      <c r="D132" t="s">
        <v>548</v>
      </c>
      <c r="E132" t="s">
        <v>514</v>
      </c>
      <c r="F132" t="str">
        <f t="shared" si="9"/>
        <v>5/2022</v>
      </c>
      <c r="G132" s="4" t="str">
        <f>IFERROR(VLOOKUP('Wells Fargo'!E34,dis_table[[#All],[Short_Desc]:[CumAmount]],4,0),0)</f>
        <v>People</v>
      </c>
    </row>
    <row r="133" spans="1:7" x14ac:dyDescent="0.25">
      <c r="A133" s="9">
        <v>44714</v>
      </c>
      <c r="B133" s="19">
        <v>2482.9</v>
      </c>
      <c r="C133" s="10">
        <f t="shared" si="8"/>
        <v>2482.9</v>
      </c>
      <c r="D133" t="s">
        <v>545</v>
      </c>
      <c r="E133" t="s">
        <v>675</v>
      </c>
      <c r="F133" t="str">
        <f t="shared" si="9"/>
        <v>6/2022</v>
      </c>
      <c r="G133" s="4" t="s">
        <v>679</v>
      </c>
    </row>
    <row r="134" spans="1:7" x14ac:dyDescent="0.25">
      <c r="A134" s="9">
        <v>44715</v>
      </c>
      <c r="B134" s="19">
        <v>-1000</v>
      </c>
      <c r="C134" s="10">
        <f t="shared" si="8"/>
        <v>1000</v>
      </c>
      <c r="D134" t="s">
        <v>544</v>
      </c>
      <c r="E134" t="s">
        <v>676</v>
      </c>
      <c r="F134" t="str">
        <f t="shared" si="9"/>
        <v>6/2022</v>
      </c>
      <c r="G134" s="4" t="s">
        <v>685</v>
      </c>
    </row>
    <row r="135" spans="1:7" x14ac:dyDescent="0.25">
      <c r="A135" s="9">
        <v>44718</v>
      </c>
      <c r="B135" s="19">
        <v>-200</v>
      </c>
      <c r="C135" s="10">
        <f t="shared" si="8"/>
        <v>200</v>
      </c>
      <c r="D135" t="s">
        <v>541</v>
      </c>
      <c r="E135" t="s">
        <v>677</v>
      </c>
      <c r="F135" t="str">
        <f t="shared" si="9"/>
        <v>6/2022</v>
      </c>
      <c r="G135" s="4" t="s">
        <v>127</v>
      </c>
    </row>
    <row r="136" spans="1:7" x14ac:dyDescent="0.25">
      <c r="A136" s="9">
        <v>44718</v>
      </c>
      <c r="B136" s="19">
        <v>-974.91</v>
      </c>
      <c r="C136" s="10">
        <f t="shared" si="8"/>
        <v>974.91</v>
      </c>
      <c r="D136" t="s">
        <v>540</v>
      </c>
      <c r="E136" t="s">
        <v>684</v>
      </c>
      <c r="F136" t="str">
        <f t="shared" si="9"/>
        <v>6/2022</v>
      </c>
      <c r="G136" s="4" t="s">
        <v>685</v>
      </c>
    </row>
    <row r="137" spans="1:7" x14ac:dyDescent="0.25">
      <c r="A137" s="9">
        <v>44718</v>
      </c>
      <c r="B137" s="19">
        <v>-5.41</v>
      </c>
      <c r="C137" s="10">
        <f t="shared" si="8"/>
        <v>5.41</v>
      </c>
      <c r="D137" t="s">
        <v>542</v>
      </c>
      <c r="E137" t="s">
        <v>59</v>
      </c>
      <c r="F137" t="str">
        <f t="shared" si="9"/>
        <v>6/2022</v>
      </c>
      <c r="G137" s="4">
        <f>IFERROR(VLOOKUP('Wells Fargo'!E28,dis_table[[#All],[Short_Desc]:[CumAmount]],4,0),0)</f>
        <v>0</v>
      </c>
    </row>
    <row r="138" spans="1:7" x14ac:dyDescent="0.25">
      <c r="A138" s="9">
        <v>44718</v>
      </c>
      <c r="B138" s="19">
        <v>-67.45</v>
      </c>
      <c r="C138" s="10">
        <f t="shared" si="8"/>
        <v>67.45</v>
      </c>
      <c r="D138" t="s">
        <v>543</v>
      </c>
      <c r="E138" t="s">
        <v>34</v>
      </c>
      <c r="F138" t="str">
        <f t="shared" si="9"/>
        <v>6/2022</v>
      </c>
      <c r="G138" s="4">
        <f>IFERROR(VLOOKUP('Wells Fargo'!E29,dis_table[[#All],[Short_Desc]:[CumAmount]],4,0),0)</f>
        <v>0</v>
      </c>
    </row>
    <row r="139" spans="1:7" x14ac:dyDescent="0.25">
      <c r="A139" s="9">
        <v>44725</v>
      </c>
      <c r="B139" s="19">
        <v>-60</v>
      </c>
      <c r="C139" s="10">
        <f t="shared" si="8"/>
        <v>60</v>
      </c>
      <c r="D139" t="s">
        <v>537</v>
      </c>
      <c r="E139" t="s">
        <v>681</v>
      </c>
      <c r="F139" t="str">
        <f t="shared" si="9"/>
        <v>6/2022</v>
      </c>
      <c r="G139" s="4" t="s">
        <v>127</v>
      </c>
    </row>
    <row r="140" spans="1:7" x14ac:dyDescent="0.25">
      <c r="A140" s="9">
        <v>44725</v>
      </c>
      <c r="B140" s="19">
        <v>-20</v>
      </c>
      <c r="C140" s="10">
        <f t="shared" si="8"/>
        <v>20</v>
      </c>
      <c r="D140" t="s">
        <v>536</v>
      </c>
      <c r="E140" t="s">
        <v>682</v>
      </c>
      <c r="F140" t="str">
        <f t="shared" si="9"/>
        <v>6/2022</v>
      </c>
      <c r="G140" s="4" t="s">
        <v>127</v>
      </c>
    </row>
    <row r="141" spans="1:7" x14ac:dyDescent="0.25">
      <c r="A141" s="9">
        <v>44725</v>
      </c>
      <c r="B141" s="19">
        <v>50</v>
      </c>
      <c r="C141" s="10">
        <f t="shared" si="8"/>
        <v>50</v>
      </c>
      <c r="D141" t="s">
        <v>538</v>
      </c>
      <c r="E141" t="s">
        <v>677</v>
      </c>
      <c r="F141" t="str">
        <f t="shared" si="9"/>
        <v>6/2022</v>
      </c>
      <c r="G141" s="4" t="s">
        <v>127</v>
      </c>
    </row>
    <row r="142" spans="1:7" x14ac:dyDescent="0.25">
      <c r="A142" s="9">
        <v>44725</v>
      </c>
      <c r="B142" s="19">
        <v>150</v>
      </c>
      <c r="C142" s="10">
        <f t="shared" si="8"/>
        <v>150</v>
      </c>
      <c r="D142" t="s">
        <v>539</v>
      </c>
      <c r="E142" t="s">
        <v>677</v>
      </c>
      <c r="F142" t="str">
        <f t="shared" si="9"/>
        <v>6/2022</v>
      </c>
      <c r="G142" s="4" t="s">
        <v>127</v>
      </c>
    </row>
    <row r="143" spans="1:7" x14ac:dyDescent="0.25">
      <c r="A143" s="9">
        <v>44727</v>
      </c>
      <c r="B143" s="19">
        <v>-50</v>
      </c>
      <c r="C143" s="10">
        <f t="shared" si="8"/>
        <v>50</v>
      </c>
      <c r="D143" t="s">
        <v>535</v>
      </c>
      <c r="E143" t="s">
        <v>681</v>
      </c>
      <c r="F143" t="str">
        <f t="shared" si="9"/>
        <v>6/2022</v>
      </c>
      <c r="G143" s="4" t="s">
        <v>127</v>
      </c>
    </row>
    <row r="144" spans="1:7" x14ac:dyDescent="0.25">
      <c r="A144" s="9">
        <v>44727</v>
      </c>
      <c r="B144" s="19">
        <v>-50</v>
      </c>
      <c r="C144" s="10">
        <f t="shared" si="8"/>
        <v>50</v>
      </c>
      <c r="D144" t="s">
        <v>534</v>
      </c>
      <c r="E144" t="s">
        <v>680</v>
      </c>
      <c r="F144" t="str">
        <f t="shared" si="9"/>
        <v>6/2022</v>
      </c>
      <c r="G144" s="4" t="s">
        <v>127</v>
      </c>
    </row>
    <row r="145" spans="1:7" x14ac:dyDescent="0.25">
      <c r="A145" s="9">
        <v>44728</v>
      </c>
      <c r="B145" s="19">
        <v>-2000</v>
      </c>
      <c r="C145" s="10">
        <f t="shared" si="8"/>
        <v>2000</v>
      </c>
      <c r="D145" t="s">
        <v>531</v>
      </c>
      <c r="E145" t="s">
        <v>676</v>
      </c>
      <c r="F145" t="str">
        <f t="shared" si="9"/>
        <v>6/2022</v>
      </c>
      <c r="G145" s="4" t="s">
        <v>685</v>
      </c>
    </row>
    <row r="146" spans="1:7" x14ac:dyDescent="0.25">
      <c r="A146" s="9">
        <v>44728</v>
      </c>
      <c r="B146" s="19">
        <v>2482.89</v>
      </c>
      <c r="C146" s="10">
        <f t="shared" si="8"/>
        <v>2482.89</v>
      </c>
      <c r="D146" t="s">
        <v>533</v>
      </c>
      <c r="E146" t="s">
        <v>675</v>
      </c>
      <c r="F146" t="str">
        <f t="shared" si="9"/>
        <v>6/2022</v>
      </c>
      <c r="G146" s="4" t="s">
        <v>679</v>
      </c>
    </row>
    <row r="147" spans="1:7" x14ac:dyDescent="0.25">
      <c r="A147" s="9">
        <v>44728</v>
      </c>
      <c r="B147" s="19">
        <v>-186.07</v>
      </c>
      <c r="C147" s="10">
        <f t="shared" si="8"/>
        <v>186.07</v>
      </c>
      <c r="D147" t="s">
        <v>532</v>
      </c>
      <c r="E147" t="s">
        <v>694</v>
      </c>
      <c r="F147" t="str">
        <f t="shared" si="9"/>
        <v>6/2022</v>
      </c>
      <c r="G147" s="4" t="s">
        <v>127</v>
      </c>
    </row>
    <row r="148" spans="1:7" x14ac:dyDescent="0.25">
      <c r="A148" s="9">
        <v>44729</v>
      </c>
      <c r="B148" s="19">
        <v>400</v>
      </c>
      <c r="C148" s="10">
        <f t="shared" si="8"/>
        <v>400</v>
      </c>
      <c r="D148" t="s">
        <v>530</v>
      </c>
      <c r="E148" t="s">
        <v>677</v>
      </c>
      <c r="F148" t="str">
        <f t="shared" si="9"/>
        <v>6/2022</v>
      </c>
      <c r="G148" s="4" t="s">
        <v>127</v>
      </c>
    </row>
    <row r="149" spans="1:7" x14ac:dyDescent="0.25">
      <c r="A149" s="9">
        <v>44733</v>
      </c>
      <c r="B149" s="19">
        <v>-100</v>
      </c>
      <c r="C149" s="10">
        <f t="shared" si="8"/>
        <v>100</v>
      </c>
      <c r="D149" t="s">
        <v>529</v>
      </c>
      <c r="E149" t="s">
        <v>682</v>
      </c>
      <c r="F149" t="str">
        <f t="shared" si="9"/>
        <v>6/2022</v>
      </c>
      <c r="G149" s="4" t="s">
        <v>127</v>
      </c>
    </row>
    <row r="150" spans="1:7" x14ac:dyDescent="0.25">
      <c r="A150" s="9">
        <v>44733</v>
      </c>
      <c r="B150" s="19">
        <v>-238.5</v>
      </c>
      <c r="C150" s="10">
        <f t="shared" si="8"/>
        <v>238.5</v>
      </c>
      <c r="D150" t="s">
        <v>527</v>
      </c>
      <c r="E150" t="s">
        <v>70</v>
      </c>
      <c r="F150" t="str">
        <f t="shared" si="9"/>
        <v>6/2022</v>
      </c>
      <c r="G150" s="4" t="s">
        <v>66</v>
      </c>
    </row>
    <row r="151" spans="1:7" x14ac:dyDescent="0.25">
      <c r="A151" s="9">
        <v>44733</v>
      </c>
      <c r="B151" s="19">
        <v>-10</v>
      </c>
      <c r="C151" s="10">
        <f t="shared" si="8"/>
        <v>10</v>
      </c>
      <c r="D151" t="s">
        <v>528</v>
      </c>
      <c r="E151" t="s">
        <v>703</v>
      </c>
      <c r="F151" t="str">
        <f t="shared" si="9"/>
        <v>6/2022</v>
      </c>
      <c r="G151" s="4">
        <f>IFERROR(VLOOKUP('Wells Fargo'!E14,dis_table[[#All],[Short_Desc]:[CumAmount]],4,0),0)</f>
        <v>0</v>
      </c>
    </row>
    <row r="152" spans="1:7" x14ac:dyDescent="0.25">
      <c r="A152" s="9">
        <v>44735</v>
      </c>
      <c r="B152" s="19">
        <v>-33.270000000000003</v>
      </c>
      <c r="C152" s="10">
        <f t="shared" si="8"/>
        <v>33.270000000000003</v>
      </c>
      <c r="D152" t="s">
        <v>526</v>
      </c>
      <c r="E152" t="s">
        <v>686</v>
      </c>
      <c r="F152" t="str">
        <f t="shared" si="9"/>
        <v>6/2022</v>
      </c>
      <c r="G152" s="4" t="s">
        <v>66</v>
      </c>
    </row>
    <row r="153" spans="1:7" x14ac:dyDescent="0.25">
      <c r="A153" s="9">
        <v>44742</v>
      </c>
      <c r="B153" s="19">
        <v>-1400</v>
      </c>
      <c r="C153" s="10">
        <f t="shared" si="8"/>
        <v>1400</v>
      </c>
      <c r="D153" t="s">
        <v>523</v>
      </c>
      <c r="E153" t="s">
        <v>678</v>
      </c>
      <c r="F153" t="str">
        <f t="shared" si="9"/>
        <v>6/2022</v>
      </c>
      <c r="G153" s="4" t="s">
        <v>245</v>
      </c>
    </row>
    <row r="154" spans="1:7" x14ac:dyDescent="0.25">
      <c r="A154" s="9">
        <v>44742</v>
      </c>
      <c r="B154" s="19">
        <v>-1000</v>
      </c>
      <c r="C154" s="10">
        <f t="shared" si="8"/>
        <v>1000</v>
      </c>
      <c r="D154" t="s">
        <v>524</v>
      </c>
      <c r="E154" t="s">
        <v>676</v>
      </c>
      <c r="F154" t="str">
        <f t="shared" si="9"/>
        <v>6/2022</v>
      </c>
      <c r="G154" s="4" t="s">
        <v>685</v>
      </c>
    </row>
    <row r="155" spans="1:7" x14ac:dyDescent="0.25">
      <c r="A155" s="9">
        <v>44742</v>
      </c>
      <c r="B155" s="19">
        <v>2482.9</v>
      </c>
      <c r="C155" s="10">
        <f t="shared" si="8"/>
        <v>2482.9</v>
      </c>
      <c r="D155" t="s">
        <v>525</v>
      </c>
      <c r="E155" t="s">
        <v>675</v>
      </c>
      <c r="F155" t="str">
        <f t="shared" si="9"/>
        <v>6/2022</v>
      </c>
      <c r="G155" s="4" t="s">
        <v>679</v>
      </c>
    </row>
    <row r="156" spans="1:7" x14ac:dyDescent="0.25">
      <c r="A156" s="9">
        <v>44747</v>
      </c>
      <c r="B156" s="19">
        <v>-100</v>
      </c>
      <c r="C156" s="10">
        <f t="shared" si="8"/>
        <v>100</v>
      </c>
      <c r="D156" t="s">
        <v>522</v>
      </c>
      <c r="E156" t="s">
        <v>677</v>
      </c>
      <c r="F156" t="str">
        <f t="shared" si="9"/>
        <v>7/2022</v>
      </c>
      <c r="G156" s="4" t="s">
        <v>127</v>
      </c>
    </row>
    <row r="157" spans="1:7" x14ac:dyDescent="0.25">
      <c r="A157" s="9">
        <v>44755</v>
      </c>
      <c r="B157" s="19">
        <v>-64</v>
      </c>
      <c r="C157" s="10">
        <f t="shared" si="8"/>
        <v>64</v>
      </c>
      <c r="D157" t="s">
        <v>521</v>
      </c>
      <c r="E157" t="s">
        <v>704</v>
      </c>
      <c r="F157" t="str">
        <f t="shared" si="9"/>
        <v>7/2022</v>
      </c>
      <c r="G157" s="4" t="s">
        <v>42</v>
      </c>
    </row>
    <row r="158" spans="1:7" x14ac:dyDescent="0.25">
      <c r="A158" s="9">
        <v>44756</v>
      </c>
      <c r="B158" s="19">
        <v>-2600</v>
      </c>
      <c r="C158" s="10">
        <f t="shared" si="8"/>
        <v>2600</v>
      </c>
      <c r="D158" t="s">
        <v>519</v>
      </c>
      <c r="E158" t="s">
        <v>676</v>
      </c>
      <c r="F158" t="str">
        <f t="shared" si="9"/>
        <v>7/2022</v>
      </c>
      <c r="G158" s="4" t="s">
        <v>685</v>
      </c>
    </row>
    <row r="159" spans="1:7" x14ac:dyDescent="0.25">
      <c r="A159" s="9">
        <v>44756</v>
      </c>
      <c r="B159" s="19">
        <v>2482.89</v>
      </c>
      <c r="C159" s="10">
        <f t="shared" si="8"/>
        <v>2482.89</v>
      </c>
      <c r="D159" t="s">
        <v>520</v>
      </c>
      <c r="E159" t="s">
        <v>675</v>
      </c>
      <c r="F159" t="str">
        <f t="shared" si="9"/>
        <v>7/2022</v>
      </c>
      <c r="G159" s="4" t="s">
        <v>679</v>
      </c>
    </row>
    <row r="160" spans="1:7" x14ac:dyDescent="0.25">
      <c r="A160" s="9">
        <v>44760</v>
      </c>
      <c r="B160" s="19">
        <v>-25.48</v>
      </c>
      <c r="C160" s="10">
        <f t="shared" si="8"/>
        <v>25.48</v>
      </c>
      <c r="D160" t="s">
        <v>518</v>
      </c>
      <c r="E160" t="s">
        <v>31</v>
      </c>
      <c r="F160" t="str">
        <f t="shared" si="9"/>
        <v>7/2022</v>
      </c>
      <c r="G160" s="4" t="str">
        <f>IFERROR(VLOOKUP('Wells Fargo'!E4,dis_table[[#All],[Short_Desc]:[CumAmount]],4,0),0)</f>
        <v>Recreation_Entertainment</v>
      </c>
    </row>
    <row r="161" spans="1:7" x14ac:dyDescent="0.25">
      <c r="A161" s="9">
        <v>44762</v>
      </c>
      <c r="B161" s="19">
        <v>-44.33</v>
      </c>
      <c r="C161" s="10">
        <f t="shared" si="8"/>
        <v>44.33</v>
      </c>
      <c r="D161" t="s">
        <v>517</v>
      </c>
      <c r="E161" t="s">
        <v>41</v>
      </c>
      <c r="F161" t="str">
        <f t="shared" si="9"/>
        <v>7/2022</v>
      </c>
      <c r="G161" s="4">
        <f>IFERROR(VLOOKUP('Wells Fargo'!E3,dis_table[[#All],[Short_Desc]:[CumAmount]],4,0),0)</f>
        <v>0</v>
      </c>
    </row>
    <row r="162" spans="1:7" x14ac:dyDescent="0.25">
      <c r="A162" s="9">
        <v>44763</v>
      </c>
      <c r="B162" s="19">
        <v>-202.46</v>
      </c>
      <c r="C162" s="10">
        <f t="shared" ref="C162" si="10">IF(SIGN(B162)=-1, B162*-1, B162)</f>
        <v>202.46</v>
      </c>
      <c r="D162" t="s">
        <v>516</v>
      </c>
      <c r="E162" t="s">
        <v>70</v>
      </c>
      <c r="F162" t="str">
        <f t="shared" si="9"/>
        <v>7/2022</v>
      </c>
      <c r="G162" s="4" t="s">
        <v>66</v>
      </c>
    </row>
    <row r="163" spans="1:7" x14ac:dyDescent="0.25">
      <c r="A163" s="9">
        <v>44767</v>
      </c>
      <c r="B163" s="19">
        <v>100</v>
      </c>
      <c r="C163" s="10">
        <f t="shared" ref="C163:C182" si="11">IF(SIGN(B163)=-1, B163*-1, B163)</f>
        <v>100</v>
      </c>
      <c r="D163" t="s">
        <v>950</v>
      </c>
      <c r="E163" t="s">
        <v>677</v>
      </c>
      <c r="F163" t="str">
        <f t="shared" ref="F163:F182" si="12">MONTH(A163)&amp;"/"&amp;YEAR(A163)</f>
        <v>7/2022</v>
      </c>
      <c r="G163" s="4" t="s">
        <v>127</v>
      </c>
    </row>
    <row r="164" spans="1:7" x14ac:dyDescent="0.25">
      <c r="A164" s="9">
        <v>44770</v>
      </c>
      <c r="B164" s="19">
        <v>-1400</v>
      </c>
      <c r="C164" s="10">
        <f t="shared" si="11"/>
        <v>1400</v>
      </c>
      <c r="D164" t="s">
        <v>951</v>
      </c>
      <c r="E164" t="s">
        <v>678</v>
      </c>
      <c r="F164" t="str">
        <f t="shared" si="12"/>
        <v>7/2022</v>
      </c>
      <c r="G164" s="4" t="s">
        <v>245</v>
      </c>
    </row>
    <row r="165" spans="1:7" x14ac:dyDescent="0.25">
      <c r="A165" s="9">
        <v>44770</v>
      </c>
      <c r="B165" s="19">
        <v>2482.9</v>
      </c>
      <c r="C165" s="10">
        <f t="shared" si="11"/>
        <v>2482.9</v>
      </c>
      <c r="D165" t="s">
        <v>952</v>
      </c>
      <c r="E165" t="s">
        <v>675</v>
      </c>
      <c r="F165" t="str">
        <f t="shared" si="12"/>
        <v>7/2022</v>
      </c>
      <c r="G165" s="4" t="s">
        <v>679</v>
      </c>
    </row>
    <row r="166" spans="1:7" x14ac:dyDescent="0.25">
      <c r="A166" s="9">
        <v>44771</v>
      </c>
      <c r="B166" s="19">
        <v>-1000</v>
      </c>
      <c r="C166" s="10">
        <f t="shared" si="11"/>
        <v>1000</v>
      </c>
      <c r="D166" t="s">
        <v>953</v>
      </c>
      <c r="E166" t="s">
        <v>676</v>
      </c>
      <c r="F166" t="str">
        <f t="shared" si="12"/>
        <v>7/2022</v>
      </c>
      <c r="G166" s="4" t="s">
        <v>685</v>
      </c>
    </row>
    <row r="167" spans="1:7" x14ac:dyDescent="0.25">
      <c r="A167" s="9">
        <v>44774</v>
      </c>
      <c r="B167" s="19">
        <v>504.86</v>
      </c>
      <c r="C167" s="10">
        <f t="shared" si="11"/>
        <v>504.86</v>
      </c>
      <c r="D167" t="s">
        <v>954</v>
      </c>
      <c r="F167" t="str">
        <f t="shared" si="12"/>
        <v>8/2022</v>
      </c>
      <c r="G167" s="4"/>
    </row>
    <row r="168" spans="1:7" x14ac:dyDescent="0.25">
      <c r="A168" s="9">
        <v>44775</v>
      </c>
      <c r="B168" s="19">
        <v>-33</v>
      </c>
      <c r="C168" s="10">
        <f t="shared" si="11"/>
        <v>33</v>
      </c>
      <c r="D168" t="s">
        <v>955</v>
      </c>
      <c r="F168" t="str">
        <f t="shared" si="12"/>
        <v>8/2022</v>
      </c>
      <c r="G168" s="4"/>
    </row>
    <row r="169" spans="1:7" x14ac:dyDescent="0.25">
      <c r="A169" s="9">
        <v>44776</v>
      </c>
      <c r="B169" s="19">
        <v>-268.79000000000002</v>
      </c>
      <c r="C169" s="10">
        <f t="shared" si="11"/>
        <v>268.79000000000002</v>
      </c>
      <c r="D169" t="s">
        <v>956</v>
      </c>
      <c r="E169" t="s">
        <v>676</v>
      </c>
      <c r="F169" t="str">
        <f t="shared" si="12"/>
        <v>8/2022</v>
      </c>
      <c r="G169" s="4" t="s">
        <v>685</v>
      </c>
    </row>
    <row r="170" spans="1:7" x14ac:dyDescent="0.25">
      <c r="A170" s="9">
        <v>44781</v>
      </c>
      <c r="B170" s="19">
        <v>-36.06</v>
      </c>
      <c r="C170" s="10">
        <f t="shared" si="11"/>
        <v>36.06</v>
      </c>
      <c r="D170" t="s">
        <v>957</v>
      </c>
      <c r="F170" t="str">
        <f t="shared" si="12"/>
        <v>8/2022</v>
      </c>
      <c r="G170" s="4"/>
    </row>
    <row r="171" spans="1:7" x14ac:dyDescent="0.25">
      <c r="A171" s="9">
        <v>44781</v>
      </c>
      <c r="B171" s="19">
        <v>-24.95</v>
      </c>
      <c r="C171" s="10">
        <f t="shared" si="11"/>
        <v>24.95</v>
      </c>
      <c r="D171" t="s">
        <v>958</v>
      </c>
      <c r="F171" t="str">
        <f t="shared" si="12"/>
        <v>8/2022</v>
      </c>
      <c r="G171" s="4"/>
    </row>
    <row r="172" spans="1:7" x14ac:dyDescent="0.25">
      <c r="A172" s="9">
        <v>44784</v>
      </c>
      <c r="B172" s="19">
        <v>2482.9</v>
      </c>
      <c r="C172" s="10">
        <f t="shared" si="11"/>
        <v>2482.9</v>
      </c>
      <c r="D172" t="s">
        <v>959</v>
      </c>
      <c r="E172" t="s">
        <v>675</v>
      </c>
      <c r="F172" t="str">
        <f t="shared" si="12"/>
        <v>8/2022</v>
      </c>
      <c r="G172" s="4" t="s">
        <v>679</v>
      </c>
    </row>
    <row r="173" spans="1:7" x14ac:dyDescent="0.25">
      <c r="A173" s="9">
        <v>44788</v>
      </c>
      <c r="B173" s="19">
        <v>-962.04</v>
      </c>
      <c r="C173" s="10">
        <f t="shared" si="11"/>
        <v>962.04</v>
      </c>
      <c r="D173" t="s">
        <v>960</v>
      </c>
      <c r="E173" t="s">
        <v>676</v>
      </c>
      <c r="F173" t="str">
        <f t="shared" si="12"/>
        <v>8/2022</v>
      </c>
      <c r="G173" s="4" t="s">
        <v>685</v>
      </c>
    </row>
    <row r="174" spans="1:7" x14ac:dyDescent="0.25">
      <c r="A174" s="9">
        <v>44788</v>
      </c>
      <c r="B174" s="19">
        <v>-39.520000000000003</v>
      </c>
      <c r="C174" s="10">
        <f t="shared" si="11"/>
        <v>39.520000000000003</v>
      </c>
      <c r="D174" t="s">
        <v>961</v>
      </c>
      <c r="F174" t="str">
        <f t="shared" si="12"/>
        <v>8/2022</v>
      </c>
      <c r="G174" s="4"/>
    </row>
    <row r="175" spans="1:7" x14ac:dyDescent="0.25">
      <c r="A175" s="9">
        <v>44790</v>
      </c>
      <c r="B175" s="19">
        <v>-25.48</v>
      </c>
      <c r="C175" s="10">
        <f t="shared" si="11"/>
        <v>25.48</v>
      </c>
      <c r="D175" t="s">
        <v>962</v>
      </c>
      <c r="E175" t="s">
        <v>31</v>
      </c>
      <c r="F175" t="str">
        <f t="shared" si="12"/>
        <v>8/2022</v>
      </c>
      <c r="G175" s="4" t="s">
        <v>23</v>
      </c>
    </row>
    <row r="176" spans="1:7" x14ac:dyDescent="0.25">
      <c r="A176" s="9">
        <v>44790</v>
      </c>
      <c r="B176" s="19">
        <v>100</v>
      </c>
      <c r="C176" s="10">
        <f t="shared" si="11"/>
        <v>100</v>
      </c>
      <c r="D176" t="s">
        <v>963</v>
      </c>
      <c r="F176" t="str">
        <f t="shared" si="12"/>
        <v>8/2022</v>
      </c>
      <c r="G176" s="4"/>
    </row>
    <row r="177" spans="1:7" x14ac:dyDescent="0.25">
      <c r="A177" s="9">
        <v>44795</v>
      </c>
      <c r="B177" s="19">
        <v>-278.58999999999997</v>
      </c>
      <c r="C177" s="10">
        <f t="shared" si="11"/>
        <v>278.58999999999997</v>
      </c>
      <c r="D177" t="s">
        <v>964</v>
      </c>
      <c r="E177" t="s">
        <v>70</v>
      </c>
      <c r="F177" t="str">
        <f t="shared" si="12"/>
        <v>8/2022</v>
      </c>
      <c r="G177" s="4" t="s">
        <v>66</v>
      </c>
    </row>
    <row r="178" spans="1:7" x14ac:dyDescent="0.25">
      <c r="A178" s="9">
        <v>44797</v>
      </c>
      <c r="B178" s="19">
        <v>-1000</v>
      </c>
      <c r="C178" s="10">
        <f t="shared" si="11"/>
        <v>1000</v>
      </c>
      <c r="D178" t="s">
        <v>965</v>
      </c>
      <c r="E178" t="s">
        <v>189</v>
      </c>
      <c r="F178" t="str">
        <f t="shared" si="12"/>
        <v>8/2022</v>
      </c>
      <c r="G178" s="4" t="s">
        <v>127</v>
      </c>
    </row>
    <row r="179" spans="1:7" x14ac:dyDescent="0.25">
      <c r="A179" s="9">
        <v>44798</v>
      </c>
      <c r="B179" s="19">
        <v>99.74</v>
      </c>
      <c r="C179" s="10">
        <f t="shared" si="11"/>
        <v>99.74</v>
      </c>
      <c r="D179" t="s">
        <v>966</v>
      </c>
      <c r="F179" t="str">
        <f t="shared" si="12"/>
        <v>8/2022</v>
      </c>
      <c r="G179" s="4"/>
    </row>
    <row r="180" spans="1:7" x14ac:dyDescent="0.25">
      <c r="A180" s="9">
        <v>44798</v>
      </c>
      <c r="B180" s="19">
        <v>1952.12</v>
      </c>
      <c r="C180" s="10">
        <f t="shared" si="11"/>
        <v>1952.12</v>
      </c>
      <c r="D180" t="s">
        <v>967</v>
      </c>
      <c r="E180" t="s">
        <v>675</v>
      </c>
      <c r="F180" t="str">
        <f t="shared" si="12"/>
        <v>8/2022</v>
      </c>
      <c r="G180" s="4" t="s">
        <v>679</v>
      </c>
    </row>
    <row r="181" spans="1:7" x14ac:dyDescent="0.25">
      <c r="A181" s="9">
        <v>44799</v>
      </c>
      <c r="B181" s="19">
        <v>-1073.3399999999999</v>
      </c>
      <c r="C181" s="10">
        <f t="shared" si="11"/>
        <v>1073.3399999999999</v>
      </c>
      <c r="D181" t="s">
        <v>968</v>
      </c>
      <c r="E181" t="s">
        <v>678</v>
      </c>
      <c r="F181" t="str">
        <f t="shared" si="12"/>
        <v>8/2022</v>
      </c>
      <c r="G181" s="4" t="s">
        <v>245</v>
      </c>
    </row>
    <row r="182" spans="1:7" x14ac:dyDescent="0.25">
      <c r="A182" s="9">
        <v>44799</v>
      </c>
      <c r="B182" s="67">
        <v>200</v>
      </c>
      <c r="C182" s="10">
        <f t="shared" si="11"/>
        <v>200</v>
      </c>
      <c r="D182" t="s">
        <v>969</v>
      </c>
      <c r="F182" t="str">
        <f t="shared" si="12"/>
        <v>8/2022</v>
      </c>
      <c r="G182" s="6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9265-E786-4413-81B1-B423C89FCBAB}">
  <sheetPr>
    <tabColor rgb="FFC00000"/>
  </sheetPr>
  <dimension ref="A1:D68"/>
  <sheetViews>
    <sheetView topLeftCell="A35" workbookViewId="0">
      <selection activeCell="B69" sqref="B69"/>
    </sheetView>
  </sheetViews>
  <sheetFormatPr defaultRowHeight="15" x14ac:dyDescent="0.25"/>
  <cols>
    <col min="2" max="2" width="44.85546875" bestFit="1" customWidth="1"/>
    <col min="3" max="3" width="14.140625" style="36" bestFit="1" customWidth="1"/>
    <col min="4" max="4" width="40.5703125" bestFit="1" customWidth="1"/>
  </cols>
  <sheetData>
    <row r="1" spans="1:4" ht="13.5" customHeight="1" x14ac:dyDescent="0.25">
      <c r="A1" s="27" t="s">
        <v>6</v>
      </c>
      <c r="B1" s="30" t="s">
        <v>2</v>
      </c>
      <c r="C1" s="33" t="s">
        <v>3</v>
      </c>
      <c r="D1" s="30" t="s">
        <v>4</v>
      </c>
    </row>
    <row r="2" spans="1:4" ht="13.5" customHeight="1" x14ac:dyDescent="0.25">
      <c r="A2" s="28" t="s">
        <v>854</v>
      </c>
      <c r="B2" s="31" t="s">
        <v>855</v>
      </c>
      <c r="C2" s="34">
        <v>17.809999999999999</v>
      </c>
      <c r="D2" s="31" t="s">
        <v>755</v>
      </c>
    </row>
    <row r="3" spans="1:4" ht="13.5" customHeight="1" x14ac:dyDescent="0.25">
      <c r="A3" s="28" t="s">
        <v>851</v>
      </c>
      <c r="B3" s="31" t="s">
        <v>852</v>
      </c>
      <c r="C3" s="34">
        <v>32.409999999999997</v>
      </c>
      <c r="D3" s="31" t="s">
        <v>760</v>
      </c>
    </row>
    <row r="4" spans="1:4" ht="13.5" customHeight="1" x14ac:dyDescent="0.25">
      <c r="A4" s="29" t="s">
        <v>851</v>
      </c>
      <c r="B4" s="32" t="s">
        <v>853</v>
      </c>
      <c r="C4" s="35">
        <v>26.04</v>
      </c>
      <c r="D4" s="32" t="s">
        <v>829</v>
      </c>
    </row>
    <row r="5" spans="1:4" ht="13.5" customHeight="1" x14ac:dyDescent="0.25">
      <c r="A5" s="29" t="s">
        <v>848</v>
      </c>
      <c r="B5" s="32" t="s">
        <v>849</v>
      </c>
      <c r="C5" s="35">
        <v>378.17</v>
      </c>
      <c r="D5" s="32" t="s">
        <v>850</v>
      </c>
    </row>
    <row r="6" spans="1:4" ht="13.5" customHeight="1" x14ac:dyDescent="0.25">
      <c r="A6" s="29" t="s">
        <v>841</v>
      </c>
      <c r="B6" s="32" t="s">
        <v>842</v>
      </c>
      <c r="C6" s="35">
        <v>5</v>
      </c>
      <c r="D6" s="32" t="s">
        <v>760</v>
      </c>
    </row>
    <row r="7" spans="1:4" ht="13.5" customHeight="1" x14ac:dyDescent="0.25">
      <c r="A7" s="28" t="s">
        <v>841</v>
      </c>
      <c r="B7" s="31" t="s">
        <v>843</v>
      </c>
      <c r="C7" s="34">
        <v>152.80000000000001</v>
      </c>
      <c r="D7" s="31" t="s">
        <v>844</v>
      </c>
    </row>
    <row r="8" spans="1:4" ht="13.5" customHeight="1" x14ac:dyDescent="0.25">
      <c r="A8" s="29" t="s">
        <v>841</v>
      </c>
      <c r="B8" s="32" t="s">
        <v>845</v>
      </c>
      <c r="C8" s="35">
        <v>15.7</v>
      </c>
      <c r="D8" s="32" t="s">
        <v>760</v>
      </c>
    </row>
    <row r="9" spans="1:4" ht="13.5" customHeight="1" x14ac:dyDescent="0.25">
      <c r="A9" s="28" t="s">
        <v>841</v>
      </c>
      <c r="B9" s="31" t="s">
        <v>846</v>
      </c>
      <c r="C9" s="34">
        <v>37.4</v>
      </c>
      <c r="D9" s="31" t="s">
        <v>847</v>
      </c>
    </row>
    <row r="10" spans="1:4" ht="13.5" customHeight="1" x14ac:dyDescent="0.25">
      <c r="A10" s="28" t="s">
        <v>839</v>
      </c>
      <c r="B10" s="31" t="s">
        <v>840</v>
      </c>
      <c r="C10" s="34">
        <v>40.869999999999997</v>
      </c>
      <c r="D10" s="31" t="s">
        <v>760</v>
      </c>
    </row>
    <row r="11" spans="1:4" ht="13.5" customHeight="1" x14ac:dyDescent="0.25">
      <c r="A11" s="29" t="s">
        <v>836</v>
      </c>
      <c r="B11" s="32" t="s">
        <v>837</v>
      </c>
      <c r="C11" s="35">
        <v>3.19</v>
      </c>
      <c r="D11" s="32" t="s">
        <v>838</v>
      </c>
    </row>
    <row r="12" spans="1:4" ht="13.5" customHeight="1" x14ac:dyDescent="0.25">
      <c r="A12" s="29" t="s">
        <v>833</v>
      </c>
      <c r="B12" s="32" t="s">
        <v>834</v>
      </c>
      <c r="C12" s="35">
        <v>4.33</v>
      </c>
      <c r="D12" s="32" t="s">
        <v>780</v>
      </c>
    </row>
    <row r="13" spans="1:4" ht="13.5" customHeight="1" x14ac:dyDescent="0.25">
      <c r="A13" s="28" t="s">
        <v>833</v>
      </c>
      <c r="B13" s="31" t="s">
        <v>835</v>
      </c>
      <c r="C13" s="34">
        <v>67</v>
      </c>
      <c r="D13" s="31" t="s">
        <v>794</v>
      </c>
    </row>
    <row r="14" spans="1:4" ht="13.5" customHeight="1" x14ac:dyDescent="0.25">
      <c r="A14" s="28" t="s">
        <v>826</v>
      </c>
      <c r="B14" s="31" t="s">
        <v>827</v>
      </c>
      <c r="C14" s="34">
        <v>21.46</v>
      </c>
      <c r="D14" s="31" t="s">
        <v>755</v>
      </c>
    </row>
    <row r="15" spans="1:4" ht="13.5" customHeight="1" x14ac:dyDescent="0.25">
      <c r="A15" s="29" t="s">
        <v>826</v>
      </c>
      <c r="B15" s="32" t="s">
        <v>828</v>
      </c>
      <c r="C15" s="35">
        <v>33.64</v>
      </c>
      <c r="D15" s="32" t="s">
        <v>829</v>
      </c>
    </row>
    <row r="16" spans="1:4" ht="13.5" customHeight="1" x14ac:dyDescent="0.25">
      <c r="A16" s="28" t="s">
        <v>826</v>
      </c>
      <c r="B16" s="31" t="s">
        <v>830</v>
      </c>
      <c r="C16" s="34">
        <v>42.37</v>
      </c>
      <c r="D16" s="31" t="s">
        <v>764</v>
      </c>
    </row>
    <row r="17" spans="1:4" ht="13.5" customHeight="1" x14ac:dyDescent="0.25">
      <c r="A17" s="29" t="s">
        <v>826</v>
      </c>
      <c r="B17" s="32" t="s">
        <v>831</v>
      </c>
      <c r="C17" s="35">
        <v>30</v>
      </c>
      <c r="D17" s="32" t="s">
        <v>760</v>
      </c>
    </row>
    <row r="18" spans="1:4" ht="13.5" customHeight="1" x14ac:dyDescent="0.25">
      <c r="A18" s="28" t="s">
        <v>826</v>
      </c>
      <c r="B18" s="31" t="s">
        <v>832</v>
      </c>
      <c r="C18" s="34">
        <v>71.709999999999994</v>
      </c>
      <c r="D18" s="31" t="s">
        <v>764</v>
      </c>
    </row>
    <row r="19" spans="1:4" ht="13.5" customHeight="1" x14ac:dyDescent="0.25">
      <c r="A19" s="29" t="s">
        <v>824</v>
      </c>
      <c r="B19" s="32" t="s">
        <v>825</v>
      </c>
      <c r="C19" s="35">
        <v>86.32</v>
      </c>
      <c r="D19" s="32" t="s">
        <v>775</v>
      </c>
    </row>
    <row r="20" spans="1:4" ht="13.5" customHeight="1" x14ac:dyDescent="0.25">
      <c r="A20" s="28" t="s">
        <v>822</v>
      </c>
      <c r="B20" s="31" t="s">
        <v>823</v>
      </c>
      <c r="C20" s="34">
        <v>15</v>
      </c>
      <c r="D20" s="31" t="s">
        <v>787</v>
      </c>
    </row>
    <row r="21" spans="1:4" ht="13.5" customHeight="1" x14ac:dyDescent="0.25">
      <c r="A21" s="29" t="s">
        <v>820</v>
      </c>
      <c r="B21" s="32" t="s">
        <v>821</v>
      </c>
      <c r="C21" s="35">
        <v>50</v>
      </c>
      <c r="D21" s="32" t="s">
        <v>760</v>
      </c>
    </row>
    <row r="22" spans="1:4" ht="13.5" customHeight="1" x14ac:dyDescent="0.25">
      <c r="A22" s="28" t="s">
        <v>819</v>
      </c>
      <c r="B22" s="31" t="s">
        <v>813</v>
      </c>
      <c r="C22" s="34">
        <v>9.33</v>
      </c>
      <c r="D22" s="31" t="s">
        <v>755</v>
      </c>
    </row>
    <row r="23" spans="1:4" ht="13.5" customHeight="1" x14ac:dyDescent="0.25">
      <c r="A23" s="29" t="s">
        <v>816</v>
      </c>
      <c r="B23" s="32" t="s">
        <v>817</v>
      </c>
      <c r="C23" s="35">
        <v>50</v>
      </c>
      <c r="D23" s="32" t="s">
        <v>760</v>
      </c>
    </row>
    <row r="24" spans="1:4" ht="13.5" customHeight="1" x14ac:dyDescent="0.25">
      <c r="A24" s="28" t="s">
        <v>816</v>
      </c>
      <c r="B24" s="31" t="s">
        <v>818</v>
      </c>
      <c r="C24" s="34">
        <v>5.42</v>
      </c>
      <c r="D24" s="31" t="s">
        <v>760</v>
      </c>
    </row>
    <row r="25" spans="1:4" ht="13.5" customHeight="1" x14ac:dyDescent="0.25">
      <c r="A25" s="29" t="s">
        <v>816</v>
      </c>
      <c r="B25" s="32" t="s">
        <v>818</v>
      </c>
      <c r="C25" s="35">
        <v>25.34</v>
      </c>
      <c r="D25" s="32" t="s">
        <v>760</v>
      </c>
    </row>
    <row r="26" spans="1:4" ht="13.5" customHeight="1" x14ac:dyDescent="0.25">
      <c r="A26" s="28" t="s">
        <v>814</v>
      </c>
      <c r="B26" s="31" t="s">
        <v>815</v>
      </c>
      <c r="C26" s="34">
        <v>50</v>
      </c>
      <c r="D26" s="31" t="s">
        <v>760</v>
      </c>
    </row>
    <row r="27" spans="1:4" ht="13.5" customHeight="1" x14ac:dyDescent="0.25">
      <c r="A27" s="28" t="s">
        <v>811</v>
      </c>
      <c r="B27" s="31" t="s">
        <v>812</v>
      </c>
      <c r="C27" s="34">
        <v>9.11</v>
      </c>
      <c r="D27" s="31" t="s">
        <v>755</v>
      </c>
    </row>
    <row r="28" spans="1:4" ht="13.5" customHeight="1" x14ac:dyDescent="0.25">
      <c r="A28" s="29" t="s">
        <v>811</v>
      </c>
      <c r="B28" s="32" t="s">
        <v>813</v>
      </c>
      <c r="C28" s="35">
        <v>18.66</v>
      </c>
      <c r="D28" s="32" t="s">
        <v>755</v>
      </c>
    </row>
    <row r="29" spans="1:4" ht="13.5" customHeight="1" x14ac:dyDescent="0.25">
      <c r="A29" s="29" t="s">
        <v>810</v>
      </c>
      <c r="B29" s="32" t="s">
        <v>791</v>
      </c>
      <c r="C29" s="35">
        <v>104.01</v>
      </c>
      <c r="D29" s="32" t="s">
        <v>767</v>
      </c>
    </row>
    <row r="30" spans="1:4" ht="13.5" customHeight="1" x14ac:dyDescent="0.25">
      <c r="A30" s="29" t="s">
        <v>805</v>
      </c>
      <c r="B30" s="32" t="s">
        <v>806</v>
      </c>
      <c r="C30" s="35">
        <v>8.0500000000000007</v>
      </c>
      <c r="D30" s="32" t="s">
        <v>755</v>
      </c>
    </row>
    <row r="31" spans="1:4" ht="13.5" customHeight="1" x14ac:dyDescent="0.25">
      <c r="A31" s="28" t="s">
        <v>805</v>
      </c>
      <c r="B31" s="31" t="s">
        <v>807</v>
      </c>
      <c r="C31" s="34">
        <v>50</v>
      </c>
      <c r="D31" s="31" t="s">
        <v>760</v>
      </c>
    </row>
    <row r="32" spans="1:4" ht="13.5" customHeight="1" x14ac:dyDescent="0.25">
      <c r="A32" s="29" t="s">
        <v>805</v>
      </c>
      <c r="B32" s="32" t="s">
        <v>808</v>
      </c>
      <c r="C32" s="35">
        <v>78.599999999999994</v>
      </c>
      <c r="D32" s="32" t="s">
        <v>767</v>
      </c>
    </row>
    <row r="33" spans="1:4" ht="13.5" customHeight="1" x14ac:dyDescent="0.25">
      <c r="A33" s="28" t="s">
        <v>805</v>
      </c>
      <c r="B33" s="31" t="s">
        <v>809</v>
      </c>
      <c r="C33" s="34">
        <v>88.45</v>
      </c>
      <c r="D33" s="31" t="s">
        <v>764</v>
      </c>
    </row>
    <row r="34" spans="1:4" ht="13.5" customHeight="1" x14ac:dyDescent="0.25">
      <c r="A34" s="28" t="s">
        <v>803</v>
      </c>
      <c r="B34" s="31" t="s">
        <v>804</v>
      </c>
      <c r="C34" s="34">
        <v>80</v>
      </c>
      <c r="D34" s="31" t="s">
        <v>760</v>
      </c>
    </row>
    <row r="35" spans="1:4" ht="13.5" customHeight="1" x14ac:dyDescent="0.25">
      <c r="A35" s="28" t="s">
        <v>801</v>
      </c>
      <c r="B35" s="31" t="s">
        <v>802</v>
      </c>
      <c r="C35" s="34">
        <v>56.28</v>
      </c>
      <c r="D35" s="31" t="s">
        <v>760</v>
      </c>
    </row>
    <row r="36" spans="1:4" ht="13.5" customHeight="1" x14ac:dyDescent="0.25">
      <c r="A36" s="29" t="s">
        <v>801</v>
      </c>
      <c r="B36" s="32" t="s">
        <v>802</v>
      </c>
      <c r="C36" s="35">
        <v>92.37</v>
      </c>
      <c r="D36" s="32" t="s">
        <v>760</v>
      </c>
    </row>
    <row r="37" spans="1:4" ht="13.5" customHeight="1" x14ac:dyDescent="0.25">
      <c r="A37" s="29" t="s">
        <v>796</v>
      </c>
      <c r="B37" s="32" t="s">
        <v>797</v>
      </c>
      <c r="C37" s="35">
        <v>11.85</v>
      </c>
      <c r="D37" s="32" t="s">
        <v>749</v>
      </c>
    </row>
    <row r="38" spans="1:4" ht="13.5" customHeight="1" x14ac:dyDescent="0.25">
      <c r="A38" s="28" t="s">
        <v>796</v>
      </c>
      <c r="B38" s="31" t="s">
        <v>798</v>
      </c>
      <c r="C38" s="34">
        <v>80</v>
      </c>
      <c r="D38" s="31" t="s">
        <v>760</v>
      </c>
    </row>
    <row r="39" spans="1:4" ht="13.5" customHeight="1" x14ac:dyDescent="0.25">
      <c r="A39" s="29" t="s">
        <v>796</v>
      </c>
      <c r="B39" s="32" t="s">
        <v>799</v>
      </c>
      <c r="C39" s="35">
        <v>19.399999999999999</v>
      </c>
      <c r="D39" s="32" t="s">
        <v>800</v>
      </c>
    </row>
    <row r="40" spans="1:4" ht="13.5" customHeight="1" x14ac:dyDescent="0.25">
      <c r="A40" s="28" t="s">
        <v>796</v>
      </c>
      <c r="B40" s="31" t="s">
        <v>799</v>
      </c>
      <c r="C40" s="34">
        <v>35.56</v>
      </c>
      <c r="D40" s="31" t="s">
        <v>800</v>
      </c>
    </row>
    <row r="41" spans="1:4" ht="13.5" customHeight="1" x14ac:dyDescent="0.25">
      <c r="A41" s="29" t="s">
        <v>796</v>
      </c>
      <c r="B41" s="32" t="s">
        <v>799</v>
      </c>
      <c r="C41" s="35">
        <v>40.270000000000003</v>
      </c>
      <c r="D41" s="32" t="s">
        <v>800</v>
      </c>
    </row>
    <row r="42" spans="1:4" ht="13.5" customHeight="1" x14ac:dyDescent="0.25">
      <c r="A42" s="28" t="s">
        <v>792</v>
      </c>
      <c r="B42" s="31" t="s">
        <v>793</v>
      </c>
      <c r="C42" s="34">
        <v>25</v>
      </c>
      <c r="D42" s="31" t="s">
        <v>794</v>
      </c>
    </row>
    <row r="43" spans="1:4" ht="13.5" customHeight="1" x14ac:dyDescent="0.25">
      <c r="A43" s="29" t="s">
        <v>792</v>
      </c>
      <c r="B43" s="32" t="s">
        <v>793</v>
      </c>
      <c r="C43" s="35">
        <v>150</v>
      </c>
      <c r="D43" s="32" t="s">
        <v>794</v>
      </c>
    </row>
    <row r="44" spans="1:4" ht="13.5" customHeight="1" x14ac:dyDescent="0.25">
      <c r="A44" s="28" t="s">
        <v>792</v>
      </c>
      <c r="B44" s="31" t="s">
        <v>795</v>
      </c>
      <c r="C44" s="34">
        <v>19</v>
      </c>
      <c r="D44" s="31" t="s">
        <v>764</v>
      </c>
    </row>
    <row r="45" spans="1:4" ht="13.5" customHeight="1" x14ac:dyDescent="0.25">
      <c r="A45" s="28" t="s">
        <v>790</v>
      </c>
      <c r="B45" s="31" t="s">
        <v>791</v>
      </c>
      <c r="C45" s="34">
        <v>58.13</v>
      </c>
      <c r="D45" s="31" t="s">
        <v>767</v>
      </c>
    </row>
    <row r="46" spans="1:4" ht="13.5" customHeight="1" x14ac:dyDescent="0.25">
      <c r="A46" s="29" t="s">
        <v>790</v>
      </c>
      <c r="B46" s="32" t="s">
        <v>791</v>
      </c>
      <c r="C46" s="35">
        <v>269.60000000000002</v>
      </c>
      <c r="D46" s="32" t="s">
        <v>767</v>
      </c>
    </row>
    <row r="47" spans="1:4" ht="13.5" customHeight="1" x14ac:dyDescent="0.25">
      <c r="A47" s="29" t="s">
        <v>788</v>
      </c>
      <c r="B47" s="32" t="s">
        <v>789</v>
      </c>
      <c r="C47" s="35">
        <v>17.350000000000001</v>
      </c>
      <c r="D47" s="32" t="s">
        <v>787</v>
      </c>
    </row>
    <row r="48" spans="1:4" ht="13.5" customHeight="1" x14ac:dyDescent="0.25">
      <c r="A48" s="28" t="s">
        <v>785</v>
      </c>
      <c r="B48" s="31" t="s">
        <v>786</v>
      </c>
      <c r="C48" s="34">
        <v>29</v>
      </c>
      <c r="D48" s="31" t="s">
        <v>787</v>
      </c>
    </row>
    <row r="49" spans="1:4" ht="13.5" customHeight="1" x14ac:dyDescent="0.25">
      <c r="A49" s="29" t="s">
        <v>783</v>
      </c>
      <c r="B49" s="32" t="s">
        <v>784</v>
      </c>
      <c r="C49" s="35">
        <v>268.60000000000002</v>
      </c>
      <c r="D49" s="32" t="s">
        <v>767</v>
      </c>
    </row>
    <row r="50" spans="1:4" ht="13.5" customHeight="1" x14ac:dyDescent="0.25">
      <c r="A50" s="28" t="s">
        <v>781</v>
      </c>
      <c r="B50" s="31" t="s">
        <v>782</v>
      </c>
      <c r="C50" s="34">
        <v>85</v>
      </c>
      <c r="D50" s="31" t="s">
        <v>780</v>
      </c>
    </row>
    <row r="51" spans="1:4" ht="13.5" customHeight="1" x14ac:dyDescent="0.25">
      <c r="A51" s="29" t="s">
        <v>778</v>
      </c>
      <c r="B51" s="32" t="s">
        <v>779</v>
      </c>
      <c r="C51" s="35">
        <v>-85</v>
      </c>
      <c r="D51" s="32" t="s">
        <v>780</v>
      </c>
    </row>
    <row r="52" spans="1:4" ht="13.5" customHeight="1" x14ac:dyDescent="0.25">
      <c r="A52" s="28" t="s">
        <v>776</v>
      </c>
      <c r="B52" s="31" t="s">
        <v>777</v>
      </c>
      <c r="C52" s="34">
        <v>76.33</v>
      </c>
      <c r="D52" s="31" t="s">
        <v>764</v>
      </c>
    </row>
    <row r="53" spans="1:4" ht="13.5" customHeight="1" x14ac:dyDescent="0.25">
      <c r="A53" s="37" t="s">
        <v>773</v>
      </c>
      <c r="B53" s="32" t="s">
        <v>774</v>
      </c>
      <c r="C53" s="35">
        <v>66.75</v>
      </c>
      <c r="D53" s="32" t="s">
        <v>775</v>
      </c>
    </row>
    <row r="54" spans="1:4" ht="13.5" customHeight="1" x14ac:dyDescent="0.25">
      <c r="A54" s="38" t="s">
        <v>765</v>
      </c>
      <c r="B54" s="31" t="s">
        <v>766</v>
      </c>
      <c r="C54" s="34">
        <v>30</v>
      </c>
      <c r="D54" s="31" t="s">
        <v>767</v>
      </c>
    </row>
    <row r="55" spans="1:4" ht="13.5" customHeight="1" x14ac:dyDescent="0.25">
      <c r="A55" s="37" t="s">
        <v>765</v>
      </c>
      <c r="B55" s="32" t="s">
        <v>766</v>
      </c>
      <c r="C55" s="35">
        <v>35</v>
      </c>
      <c r="D55" s="32" t="s">
        <v>767</v>
      </c>
    </row>
    <row r="56" spans="1:4" ht="13.5" customHeight="1" x14ac:dyDescent="0.25">
      <c r="A56" s="38" t="s">
        <v>765</v>
      </c>
      <c r="B56" s="31" t="s">
        <v>768</v>
      </c>
      <c r="C56" s="34">
        <v>93.69</v>
      </c>
      <c r="D56" s="31" t="s">
        <v>769</v>
      </c>
    </row>
    <row r="57" spans="1:4" ht="13.5" customHeight="1" x14ac:dyDescent="0.25">
      <c r="A57" s="37" t="s">
        <v>765</v>
      </c>
      <c r="B57" s="32" t="s">
        <v>770</v>
      </c>
      <c r="C57" s="35">
        <v>74.489999999999995</v>
      </c>
      <c r="D57" s="32" t="s">
        <v>771</v>
      </c>
    </row>
    <row r="58" spans="1:4" ht="13.5" customHeight="1" x14ac:dyDescent="0.25">
      <c r="A58" s="38" t="s">
        <v>765</v>
      </c>
      <c r="B58" s="31" t="s">
        <v>772</v>
      </c>
      <c r="C58" s="34">
        <v>17.89</v>
      </c>
      <c r="D58" s="31" t="s">
        <v>760</v>
      </c>
    </row>
    <row r="59" spans="1:4" ht="13.5" customHeight="1" x14ac:dyDescent="0.25">
      <c r="A59" s="37" t="s">
        <v>762</v>
      </c>
      <c r="B59" s="32" t="s">
        <v>763</v>
      </c>
      <c r="C59" s="35">
        <v>11.71</v>
      </c>
      <c r="D59" s="32" t="s">
        <v>764</v>
      </c>
    </row>
    <row r="60" spans="1:4" ht="13.5" customHeight="1" x14ac:dyDescent="0.25">
      <c r="A60" s="38" t="s">
        <v>761</v>
      </c>
      <c r="B60" s="31" t="s">
        <v>751</v>
      </c>
      <c r="C60" s="34">
        <v>42.54</v>
      </c>
      <c r="D60" s="31" t="s">
        <v>752</v>
      </c>
    </row>
    <row r="61" spans="1:4" ht="13.5" customHeight="1" x14ac:dyDescent="0.25">
      <c r="A61" s="37" t="s">
        <v>758</v>
      </c>
      <c r="B61" s="32" t="s">
        <v>759</v>
      </c>
      <c r="C61" s="35">
        <v>5.3</v>
      </c>
      <c r="D61" s="32" t="s">
        <v>760</v>
      </c>
    </row>
    <row r="62" spans="1:4" ht="13.5" customHeight="1" x14ac:dyDescent="0.25">
      <c r="A62" s="38" t="s">
        <v>756</v>
      </c>
      <c r="B62" s="31" t="s">
        <v>757</v>
      </c>
      <c r="C62" s="34">
        <v>40</v>
      </c>
      <c r="D62" s="31" t="s">
        <v>749</v>
      </c>
    </row>
    <row r="63" spans="1:4" ht="13.5" customHeight="1" x14ac:dyDescent="0.25">
      <c r="A63" s="37" t="s">
        <v>753</v>
      </c>
      <c r="B63" s="32" t="s">
        <v>754</v>
      </c>
      <c r="C63" s="35">
        <v>18.5</v>
      </c>
      <c r="D63" s="32" t="s">
        <v>755</v>
      </c>
    </row>
    <row r="64" spans="1:4" ht="13.5" customHeight="1" x14ac:dyDescent="0.25">
      <c r="A64" s="37" t="s">
        <v>750</v>
      </c>
      <c r="B64" s="32" t="s">
        <v>751</v>
      </c>
      <c r="C64" s="35">
        <v>12.97</v>
      </c>
      <c r="D64" s="32" t="s">
        <v>752</v>
      </c>
    </row>
    <row r="65" spans="1:4" ht="13.5" customHeight="1" x14ac:dyDescent="0.25">
      <c r="A65" s="28" t="s">
        <v>750</v>
      </c>
      <c r="B65" s="31" t="s">
        <v>751</v>
      </c>
      <c r="C65" s="34">
        <v>56.52</v>
      </c>
      <c r="D65" s="31" t="s">
        <v>752</v>
      </c>
    </row>
    <row r="66" spans="1:4" ht="13.5" customHeight="1" x14ac:dyDescent="0.25">
      <c r="A66" s="29" t="s">
        <v>745</v>
      </c>
      <c r="B66" s="32" t="s">
        <v>746</v>
      </c>
      <c r="C66" s="35">
        <v>262</v>
      </c>
      <c r="D66" s="32" t="s">
        <v>747</v>
      </c>
    </row>
    <row r="67" spans="1:4" ht="13.5" customHeight="1" x14ac:dyDescent="0.25">
      <c r="A67" s="28" t="s">
        <v>745</v>
      </c>
      <c r="B67" s="31" t="s">
        <v>748</v>
      </c>
      <c r="C67" s="34">
        <v>94.71</v>
      </c>
      <c r="D67" s="31" t="s">
        <v>749</v>
      </c>
    </row>
    <row r="68" spans="1:4" ht="13.5" customHeight="1" x14ac:dyDescent="0.25">
      <c r="A68" s="28" t="s">
        <v>742</v>
      </c>
      <c r="B68" s="31" t="s">
        <v>743</v>
      </c>
      <c r="C68" s="34">
        <v>112.87</v>
      </c>
      <c r="D68" s="31" t="s">
        <v>744</v>
      </c>
    </row>
  </sheetData>
  <autoFilter ref="A1:D1" xr:uid="{897A9265-E786-4413-81B1-B423C89FCBAB}">
    <sortState xmlns:xlrd2="http://schemas.microsoft.com/office/spreadsheetml/2017/richdata2" ref="A2:D68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7AF8-932F-4546-B745-599A449E2D57}">
  <sheetPr>
    <tabColor theme="5"/>
  </sheetPr>
  <dimension ref="A1:I34"/>
  <sheetViews>
    <sheetView zoomScale="85" zoomScaleNormal="85" workbookViewId="0">
      <selection activeCell="I26" sqref="I26"/>
    </sheetView>
  </sheetViews>
  <sheetFormatPr defaultRowHeight="15" x14ac:dyDescent="0.25"/>
  <cols>
    <col min="1" max="1" width="12.42578125" customWidth="1"/>
    <col min="2" max="2" width="44" bestFit="1" customWidth="1"/>
    <col min="3" max="3" width="19.5703125" customWidth="1"/>
    <col min="4" max="4" width="16.85546875" customWidth="1"/>
    <col min="5" max="5" width="14.7109375" customWidth="1"/>
    <col min="6" max="6" width="10.28515625" customWidth="1"/>
    <col min="8" max="8" width="13.28515625" bestFit="1" customWidth="1"/>
    <col min="9" max="9" width="25.7109375" bestFit="1" customWidth="1"/>
  </cols>
  <sheetData>
    <row r="1" spans="1:9" x14ac:dyDescent="0.25">
      <c r="A1" t="s">
        <v>515</v>
      </c>
      <c r="B1" t="s">
        <v>2</v>
      </c>
      <c r="C1" t="s">
        <v>737</v>
      </c>
      <c r="D1" t="s">
        <v>735</v>
      </c>
      <c r="E1" t="s">
        <v>736</v>
      </c>
      <c r="F1" t="s">
        <v>3</v>
      </c>
      <c r="G1" t="s">
        <v>6</v>
      </c>
      <c r="H1" t="s">
        <v>5</v>
      </c>
      <c r="I1" t="s">
        <v>8</v>
      </c>
    </row>
    <row r="2" spans="1:9" x14ac:dyDescent="0.25">
      <c r="A2" s="9">
        <v>44725</v>
      </c>
      <c r="B2" t="s">
        <v>708</v>
      </c>
      <c r="C2" s="5"/>
      <c r="D2" s="5">
        <v>11.71</v>
      </c>
      <c r="E2" s="5">
        <f>D2/2</f>
        <v>5.8550000000000004</v>
      </c>
      <c r="F2" s="6">
        <f>E2+C2</f>
        <v>5.8550000000000004</v>
      </c>
      <c r="G2" s="5" t="str">
        <f t="shared" ref="G2:G4" si="0">MONTH(A2)&amp;"/"&amp;YEAR(A2)</f>
        <v>6/2022</v>
      </c>
      <c r="H2" s="5" t="s">
        <v>54</v>
      </c>
      <c r="I2" s="5" t="str">
        <f>VLOOKUP(Table5[[#This Row],[Short_Desc]],dis_table[[#All],[Short_Desc]:[CumAmount]],4,0)</f>
        <v>Food</v>
      </c>
    </row>
    <row r="3" spans="1:9" x14ac:dyDescent="0.25">
      <c r="A3" s="9">
        <v>44727</v>
      </c>
      <c r="B3" t="s">
        <v>709</v>
      </c>
      <c r="C3" s="5"/>
      <c r="D3" s="5">
        <v>42.54</v>
      </c>
      <c r="E3" s="5">
        <f>D3/2</f>
        <v>21.27</v>
      </c>
      <c r="F3" s="6">
        <f t="shared" ref="F3:F33" si="1">E3+C3</f>
        <v>21.27</v>
      </c>
      <c r="G3" s="5" t="str">
        <f t="shared" si="0"/>
        <v>6/2022</v>
      </c>
      <c r="H3" s="5" t="s">
        <v>76</v>
      </c>
      <c r="I3" s="5" t="str">
        <f>VLOOKUP(Table5[[#This Row],[Short_Desc]],dis_table[[#All],[Short_Desc]:[CumAmount]],4,0)</f>
        <v>Transportation</v>
      </c>
    </row>
    <row r="4" spans="1:9" x14ac:dyDescent="0.25">
      <c r="A4" s="9">
        <v>44729</v>
      </c>
      <c r="B4" t="s">
        <v>710</v>
      </c>
      <c r="C4" s="5">
        <v>5.3</v>
      </c>
      <c r="D4" s="5"/>
      <c r="E4" s="5"/>
      <c r="F4" s="6">
        <f t="shared" si="1"/>
        <v>5.3</v>
      </c>
      <c r="G4" s="5" t="str">
        <f t="shared" si="0"/>
        <v>6/2022</v>
      </c>
      <c r="H4" s="5" t="s">
        <v>18</v>
      </c>
      <c r="I4" s="5" t="str">
        <f>VLOOKUP(Table5[[#This Row],[Short_Desc]],dis_table[[#All],[Short_Desc]:[CumAmount]],4,0)</f>
        <v>Food</v>
      </c>
    </row>
    <row r="5" spans="1:9" x14ac:dyDescent="0.25">
      <c r="A5" s="9">
        <v>44731</v>
      </c>
      <c r="B5" t="s">
        <v>711</v>
      </c>
      <c r="C5" s="5">
        <v>18.5</v>
      </c>
      <c r="D5" s="5"/>
      <c r="E5" s="5"/>
      <c r="F5" s="6">
        <f t="shared" si="1"/>
        <v>18.5</v>
      </c>
      <c r="G5" s="5" t="str">
        <f t="shared" ref="G5:G33" si="2">MONTH(A5)&amp;"/"&amp;YEAR(A5)</f>
        <v>6/2022</v>
      </c>
      <c r="H5" s="5" t="s">
        <v>13</v>
      </c>
      <c r="I5" s="5" t="str">
        <f>VLOOKUP(Table5[[#This Row],[Short_Desc]],dis_table[[#All],[Short_Desc]:[CumAmount]],4,0)</f>
        <v>Food</v>
      </c>
    </row>
    <row r="6" spans="1:9" x14ac:dyDescent="0.25">
      <c r="A6" s="9">
        <v>44731</v>
      </c>
      <c r="B6" t="s">
        <v>712</v>
      </c>
      <c r="C6" s="5"/>
      <c r="D6" s="5">
        <v>23.62</v>
      </c>
      <c r="E6" s="5">
        <f t="shared" ref="E6:E13" si="3">D6/2</f>
        <v>11.81</v>
      </c>
      <c r="F6" s="6">
        <f t="shared" si="1"/>
        <v>11.81</v>
      </c>
      <c r="G6" s="5" t="str">
        <f t="shared" si="2"/>
        <v>6/2022</v>
      </c>
      <c r="H6" s="5" t="s">
        <v>13</v>
      </c>
      <c r="I6" s="5" t="str">
        <f>VLOOKUP(Table5[[#This Row],[Short_Desc]],dis_table[[#All],[Short_Desc]:[CumAmount]],4,0)</f>
        <v>Food</v>
      </c>
    </row>
    <row r="7" spans="1:9" x14ac:dyDescent="0.25">
      <c r="A7" s="9">
        <v>44731</v>
      </c>
      <c r="B7" t="s">
        <v>713</v>
      </c>
      <c r="C7" s="5"/>
      <c r="D7" s="5">
        <v>497.04</v>
      </c>
      <c r="E7" s="5">
        <f t="shared" si="3"/>
        <v>248.52</v>
      </c>
      <c r="F7" s="6">
        <f t="shared" si="1"/>
        <v>248.52</v>
      </c>
      <c r="G7" s="5" t="str">
        <f t="shared" si="2"/>
        <v>6/2022</v>
      </c>
      <c r="H7" s="5" t="s">
        <v>738</v>
      </c>
      <c r="I7" t="s">
        <v>23</v>
      </c>
    </row>
    <row r="8" spans="1:9" x14ac:dyDescent="0.25">
      <c r="A8" s="9">
        <v>44732</v>
      </c>
      <c r="B8" t="s">
        <v>709</v>
      </c>
      <c r="C8" s="5"/>
      <c r="D8" s="5">
        <v>56.52</v>
      </c>
      <c r="E8" s="5">
        <f t="shared" si="3"/>
        <v>28.26</v>
      </c>
      <c r="F8" s="6">
        <f t="shared" si="1"/>
        <v>28.26</v>
      </c>
      <c r="G8" s="5" t="str">
        <f t="shared" si="2"/>
        <v>6/2022</v>
      </c>
      <c r="H8" s="5" t="s">
        <v>76</v>
      </c>
      <c r="I8" s="5" t="str">
        <f>VLOOKUP(Table5[[#This Row],[Short_Desc]],dis_table[[#All],[Short_Desc]:[CumAmount]],4,0)</f>
        <v>Transportation</v>
      </c>
    </row>
    <row r="9" spans="1:9" x14ac:dyDescent="0.25">
      <c r="A9" s="9">
        <v>44732</v>
      </c>
      <c r="B9" t="s">
        <v>709</v>
      </c>
      <c r="C9" s="5"/>
      <c r="D9" s="5">
        <v>12.97</v>
      </c>
      <c r="E9" s="5">
        <f t="shared" si="3"/>
        <v>6.4850000000000003</v>
      </c>
      <c r="F9" s="6">
        <f t="shared" si="1"/>
        <v>6.4850000000000003</v>
      </c>
      <c r="G9" s="5" t="str">
        <f t="shared" si="2"/>
        <v>6/2022</v>
      </c>
      <c r="H9" s="5" t="s">
        <v>76</v>
      </c>
      <c r="I9" s="5" t="str">
        <f>VLOOKUP(Table5[[#This Row],[Short_Desc]],dis_table[[#All],[Short_Desc]:[CumAmount]],4,0)</f>
        <v>Transportation</v>
      </c>
    </row>
    <row r="10" spans="1:9" x14ac:dyDescent="0.25">
      <c r="A10" s="9">
        <v>44732</v>
      </c>
      <c r="B10" t="s">
        <v>714</v>
      </c>
      <c r="C10" s="5"/>
      <c r="D10" s="5">
        <v>85</v>
      </c>
      <c r="E10" s="5">
        <f t="shared" si="3"/>
        <v>42.5</v>
      </c>
      <c r="F10" s="6">
        <f t="shared" si="1"/>
        <v>42.5</v>
      </c>
      <c r="G10" s="5" t="str">
        <f t="shared" si="2"/>
        <v>6/2022</v>
      </c>
      <c r="H10" s="5" t="s">
        <v>18</v>
      </c>
      <c r="I10" s="5" t="str">
        <f>VLOOKUP(Table5[[#This Row],[Short_Desc]],dis_table[[#All],[Short_Desc]:[CumAmount]],4,0)</f>
        <v>Food</v>
      </c>
    </row>
    <row r="11" spans="1:9" x14ac:dyDescent="0.25">
      <c r="A11" s="9">
        <v>44732</v>
      </c>
      <c r="B11" t="s">
        <v>715</v>
      </c>
      <c r="C11" s="5"/>
      <c r="D11" s="5">
        <v>58.06</v>
      </c>
      <c r="E11" s="5">
        <f t="shared" si="3"/>
        <v>29.03</v>
      </c>
      <c r="F11" s="6">
        <f t="shared" si="1"/>
        <v>29.03</v>
      </c>
      <c r="G11" s="5" t="str">
        <f t="shared" si="2"/>
        <v>6/2022</v>
      </c>
      <c r="H11" s="5" t="s">
        <v>741</v>
      </c>
      <c r="I11" t="s">
        <v>23</v>
      </c>
    </row>
    <row r="12" spans="1:9" x14ac:dyDescent="0.25">
      <c r="A12" s="9">
        <v>44734</v>
      </c>
      <c r="B12" t="s">
        <v>716</v>
      </c>
      <c r="C12" s="5"/>
      <c r="D12" s="5">
        <v>33.08</v>
      </c>
      <c r="E12" s="5">
        <f t="shared" si="3"/>
        <v>16.54</v>
      </c>
      <c r="F12" s="6">
        <f t="shared" si="1"/>
        <v>16.54</v>
      </c>
      <c r="G12" s="5" t="str">
        <f t="shared" si="2"/>
        <v>6/2022</v>
      </c>
      <c r="H12" s="5" t="s">
        <v>18</v>
      </c>
      <c r="I12" s="5" t="str">
        <f>VLOOKUP(Table5[[#This Row],[Short_Desc]],dis_table[[#All],[Short_Desc]:[CumAmount]],4,0)</f>
        <v>Food</v>
      </c>
    </row>
    <row r="13" spans="1:9" x14ac:dyDescent="0.25">
      <c r="A13" s="9">
        <v>44735</v>
      </c>
      <c r="B13" t="s">
        <v>717</v>
      </c>
      <c r="C13" s="5"/>
      <c r="D13" s="5">
        <v>26.22</v>
      </c>
      <c r="E13" s="5">
        <f t="shared" si="3"/>
        <v>13.11</v>
      </c>
      <c r="F13" s="6">
        <f t="shared" si="1"/>
        <v>13.11</v>
      </c>
      <c r="G13" s="5" t="str">
        <f t="shared" si="2"/>
        <v>6/2022</v>
      </c>
      <c r="H13" s="5" t="s">
        <v>18</v>
      </c>
      <c r="I13" s="5" t="str">
        <f>VLOOKUP(Table5[[#This Row],[Short_Desc]],dis_table[[#All],[Short_Desc]:[CumAmount]],4,0)</f>
        <v>Food</v>
      </c>
    </row>
    <row r="14" spans="1:9" x14ac:dyDescent="0.25">
      <c r="A14" s="9">
        <v>44736</v>
      </c>
      <c r="B14" t="s">
        <v>718</v>
      </c>
      <c r="C14" s="5">
        <v>14.37</v>
      </c>
      <c r="D14" s="5"/>
      <c r="E14" s="5"/>
      <c r="F14" s="6">
        <f t="shared" si="1"/>
        <v>14.37</v>
      </c>
      <c r="G14" s="5" t="str">
        <f t="shared" si="2"/>
        <v>6/2022</v>
      </c>
      <c r="H14" s="5" t="s">
        <v>13</v>
      </c>
      <c r="I14" s="5" t="str">
        <f>VLOOKUP(Table5[[#This Row],[Short_Desc]],dis_table[[#All],[Short_Desc]:[CumAmount]],4,0)</f>
        <v>Food</v>
      </c>
    </row>
    <row r="15" spans="1:9" x14ac:dyDescent="0.25">
      <c r="A15" s="9">
        <v>44736</v>
      </c>
      <c r="B15" t="s">
        <v>719</v>
      </c>
      <c r="C15" s="5"/>
      <c r="D15" s="5">
        <v>32.82</v>
      </c>
      <c r="E15" s="5">
        <f>D15/2</f>
        <v>16.41</v>
      </c>
      <c r="F15" s="6">
        <f t="shared" si="1"/>
        <v>16.41</v>
      </c>
      <c r="G15" s="5" t="str">
        <f t="shared" si="2"/>
        <v>6/2022</v>
      </c>
      <c r="H15" s="5" t="s">
        <v>18</v>
      </c>
      <c r="I15" s="5" t="str">
        <f>VLOOKUP(Table5[[#This Row],[Short_Desc]],dis_table[[#All],[Short_Desc]:[CumAmount]],4,0)</f>
        <v>Food</v>
      </c>
    </row>
    <row r="16" spans="1:9" x14ac:dyDescent="0.25">
      <c r="A16" s="9">
        <v>44736</v>
      </c>
      <c r="B16" t="s">
        <v>720</v>
      </c>
      <c r="C16" s="5">
        <v>711.25</v>
      </c>
      <c r="D16" s="5"/>
      <c r="E16" s="5"/>
      <c r="F16" s="6">
        <f t="shared" si="1"/>
        <v>711.25</v>
      </c>
      <c r="G16" s="5" t="str">
        <f t="shared" si="2"/>
        <v>6/2022</v>
      </c>
      <c r="H16" s="5" t="s">
        <v>740</v>
      </c>
      <c r="I16" t="s">
        <v>32</v>
      </c>
    </row>
    <row r="17" spans="1:9" x14ac:dyDescent="0.25">
      <c r="A17" s="9">
        <v>44736</v>
      </c>
      <c r="B17" t="s">
        <v>721</v>
      </c>
      <c r="C17" s="5"/>
      <c r="D17" s="5">
        <v>145.54</v>
      </c>
      <c r="E17" s="5">
        <f t="shared" ref="E17:E21" si="4">D17/2</f>
        <v>72.77</v>
      </c>
      <c r="F17" s="6">
        <f t="shared" si="1"/>
        <v>72.77</v>
      </c>
      <c r="G17" s="5" t="str">
        <f t="shared" si="2"/>
        <v>6/2022</v>
      </c>
      <c r="H17" s="5" t="s">
        <v>18</v>
      </c>
      <c r="I17" s="5" t="str">
        <f>VLOOKUP(Table5[[#This Row],[Short_Desc]],dis_table[[#All],[Short_Desc]:[CumAmount]],4,0)</f>
        <v>Food</v>
      </c>
    </row>
    <row r="18" spans="1:9" x14ac:dyDescent="0.25">
      <c r="A18" s="9">
        <v>44738</v>
      </c>
      <c r="B18" t="s">
        <v>722</v>
      </c>
      <c r="C18" s="5"/>
      <c r="D18" s="5">
        <v>44</v>
      </c>
      <c r="E18" s="5">
        <f t="shared" si="4"/>
        <v>22</v>
      </c>
      <c r="F18" s="6">
        <f t="shared" si="1"/>
        <v>22</v>
      </c>
      <c r="G18" s="5" t="str">
        <f t="shared" si="2"/>
        <v>6/2022</v>
      </c>
      <c r="H18" s="5" t="s">
        <v>18</v>
      </c>
      <c r="I18" s="5" t="str">
        <f>VLOOKUP(Table5[[#This Row],[Short_Desc]],dis_table[[#All],[Short_Desc]:[CumAmount]],4,0)</f>
        <v>Food</v>
      </c>
    </row>
    <row r="19" spans="1:9" x14ac:dyDescent="0.25">
      <c r="A19" s="9">
        <v>44738</v>
      </c>
      <c r="B19" t="s">
        <v>723</v>
      </c>
      <c r="C19" s="5"/>
      <c r="D19" s="5">
        <v>1751.05</v>
      </c>
      <c r="E19" s="5">
        <f t="shared" si="4"/>
        <v>875.52499999999998</v>
      </c>
      <c r="F19" s="6">
        <f t="shared" si="1"/>
        <v>875.52499999999998</v>
      </c>
      <c r="G19" s="5" t="str">
        <f t="shared" si="2"/>
        <v>6/2022</v>
      </c>
      <c r="H19" s="5" t="s">
        <v>738</v>
      </c>
      <c r="I19" t="s">
        <v>23</v>
      </c>
    </row>
    <row r="20" spans="1:9" x14ac:dyDescent="0.25">
      <c r="A20" s="9">
        <v>44739</v>
      </c>
      <c r="B20" t="s">
        <v>724</v>
      </c>
      <c r="C20" s="5"/>
      <c r="D20" s="5">
        <v>116</v>
      </c>
      <c r="E20" s="5">
        <f t="shared" si="4"/>
        <v>58</v>
      </c>
      <c r="F20" s="6">
        <f t="shared" si="1"/>
        <v>58</v>
      </c>
      <c r="G20" s="5" t="str">
        <f t="shared" si="2"/>
        <v>6/2022</v>
      </c>
      <c r="H20" s="5" t="s">
        <v>738</v>
      </c>
      <c r="I20" t="s">
        <v>23</v>
      </c>
    </row>
    <row r="21" spans="1:9" x14ac:dyDescent="0.25">
      <c r="A21" s="9">
        <v>44740</v>
      </c>
      <c r="B21" t="s">
        <v>725</v>
      </c>
      <c r="C21" s="5"/>
      <c r="D21" s="5">
        <v>25.71</v>
      </c>
      <c r="E21" s="5">
        <f t="shared" si="4"/>
        <v>12.855</v>
      </c>
      <c r="F21" s="6">
        <f t="shared" si="1"/>
        <v>12.855</v>
      </c>
      <c r="G21" s="5" t="str">
        <f t="shared" si="2"/>
        <v>6/2022</v>
      </c>
      <c r="H21" s="5" t="s">
        <v>18</v>
      </c>
      <c r="I21" s="5" t="str">
        <f>VLOOKUP(Table5[[#This Row],[Short_Desc]],dis_table[[#All],[Short_Desc]:[CumAmount]],4,0)</f>
        <v>Food</v>
      </c>
    </row>
    <row r="22" spans="1:9" x14ac:dyDescent="0.25">
      <c r="A22" s="9">
        <v>44741</v>
      </c>
      <c r="B22" t="s">
        <v>726</v>
      </c>
      <c r="C22" s="5"/>
      <c r="D22" s="5">
        <v>34.700000000000003</v>
      </c>
      <c r="E22" s="5">
        <f t="shared" ref="E22:E32" si="5">D22/2</f>
        <v>17.350000000000001</v>
      </c>
      <c r="F22" s="6">
        <f t="shared" si="1"/>
        <v>17.350000000000001</v>
      </c>
      <c r="G22" s="5" t="str">
        <f t="shared" si="2"/>
        <v>6/2022</v>
      </c>
      <c r="H22" s="5" t="s">
        <v>18</v>
      </c>
      <c r="I22" s="5" t="str">
        <f>VLOOKUP(Table5[[#This Row],[Short_Desc]],dis_table[[#All],[Short_Desc]:[CumAmount]],4,0)</f>
        <v>Food</v>
      </c>
    </row>
    <row r="23" spans="1:9" x14ac:dyDescent="0.25">
      <c r="A23" s="9">
        <v>44741</v>
      </c>
      <c r="B23" t="s">
        <v>727</v>
      </c>
      <c r="C23" s="5"/>
      <c r="D23" s="5">
        <v>19.88</v>
      </c>
      <c r="E23" s="5">
        <f t="shared" si="5"/>
        <v>9.94</v>
      </c>
      <c r="F23" s="6">
        <f t="shared" si="1"/>
        <v>9.94</v>
      </c>
      <c r="G23" s="5" t="str">
        <f t="shared" si="2"/>
        <v>6/2022</v>
      </c>
      <c r="H23" s="5" t="s">
        <v>34</v>
      </c>
      <c r="I23" s="5" t="str">
        <f>VLOOKUP(Table5[[#This Row],[Short_Desc]],dis_table[[#All],[Short_Desc]:[CumAmount]],4,0)</f>
        <v>Personal_Spending</v>
      </c>
    </row>
    <row r="24" spans="1:9" x14ac:dyDescent="0.25">
      <c r="A24" s="9">
        <v>44741</v>
      </c>
      <c r="B24" t="s">
        <v>728</v>
      </c>
      <c r="C24" s="5"/>
      <c r="D24" s="5">
        <v>41.7</v>
      </c>
      <c r="E24" s="5">
        <f t="shared" si="5"/>
        <v>20.85</v>
      </c>
      <c r="F24" s="6">
        <f t="shared" si="1"/>
        <v>20.85</v>
      </c>
      <c r="G24" s="5" t="str">
        <f t="shared" si="2"/>
        <v>6/2022</v>
      </c>
      <c r="H24" s="5" t="s">
        <v>13</v>
      </c>
      <c r="I24" s="5" t="str">
        <f>VLOOKUP(Table5[[#This Row],[Short_Desc]],dis_table[[#All],[Short_Desc]:[CumAmount]],4,0)</f>
        <v>Food</v>
      </c>
    </row>
    <row r="25" spans="1:9" x14ac:dyDescent="0.25">
      <c r="A25" s="9">
        <v>44741</v>
      </c>
      <c r="B25" t="s">
        <v>729</v>
      </c>
      <c r="C25" s="5"/>
      <c r="D25" s="5">
        <v>478</v>
      </c>
      <c r="E25" s="5">
        <f t="shared" si="5"/>
        <v>239</v>
      </c>
      <c r="F25" s="6">
        <f t="shared" si="1"/>
        <v>239</v>
      </c>
      <c r="G25" s="5" t="str">
        <f t="shared" si="2"/>
        <v>6/2022</v>
      </c>
      <c r="H25" s="5" t="s">
        <v>738</v>
      </c>
      <c r="I25" t="s">
        <v>23</v>
      </c>
    </row>
    <row r="26" spans="1:9" x14ac:dyDescent="0.25">
      <c r="A26" s="9">
        <v>44742</v>
      </c>
      <c r="B26" t="s">
        <v>727</v>
      </c>
      <c r="C26" s="5"/>
      <c r="D26" s="5">
        <v>46.45</v>
      </c>
      <c r="E26" s="5">
        <f t="shared" si="5"/>
        <v>23.225000000000001</v>
      </c>
      <c r="F26" s="6">
        <f t="shared" si="1"/>
        <v>23.225000000000001</v>
      </c>
      <c r="G26" s="5" t="str">
        <f t="shared" si="2"/>
        <v>6/2022</v>
      </c>
      <c r="H26" s="5" t="s">
        <v>34</v>
      </c>
      <c r="I26" s="5" t="str">
        <f>VLOOKUP(Table5[[#This Row],[Short_Desc]],dis_table[[#All],[Short_Desc]:[CumAmount]],4,0)</f>
        <v>Personal_Spending</v>
      </c>
    </row>
    <row r="27" spans="1:9" x14ac:dyDescent="0.25">
      <c r="A27" s="9">
        <v>44742</v>
      </c>
      <c r="B27" t="s">
        <v>730</v>
      </c>
      <c r="C27" s="5"/>
      <c r="D27" s="5">
        <v>21.28</v>
      </c>
      <c r="E27" s="5">
        <f t="shared" si="5"/>
        <v>10.64</v>
      </c>
      <c r="F27" s="6">
        <f t="shared" si="1"/>
        <v>10.64</v>
      </c>
      <c r="G27" s="5" t="str">
        <f t="shared" si="2"/>
        <v>6/2022</v>
      </c>
      <c r="H27" s="5" t="s">
        <v>18</v>
      </c>
      <c r="I27" s="5" t="str">
        <f>VLOOKUP(Table5[[#This Row],[Short_Desc]],dis_table[[#All],[Short_Desc]:[CumAmount]],4,0)</f>
        <v>Food</v>
      </c>
    </row>
    <row r="28" spans="1:9" x14ac:dyDescent="0.25">
      <c r="A28" s="9">
        <v>44742</v>
      </c>
      <c r="B28" t="s">
        <v>731</v>
      </c>
      <c r="C28" s="5"/>
      <c r="D28" s="5">
        <v>50.88</v>
      </c>
      <c r="E28" s="5">
        <f t="shared" si="5"/>
        <v>25.44</v>
      </c>
      <c r="F28" s="6">
        <f t="shared" si="1"/>
        <v>25.44</v>
      </c>
      <c r="G28" s="5" t="str">
        <f t="shared" si="2"/>
        <v>6/2022</v>
      </c>
      <c r="H28" s="5" t="s">
        <v>18</v>
      </c>
      <c r="I28" s="5" t="str">
        <f>VLOOKUP(Table5[[#This Row],[Short_Desc]],dis_table[[#All],[Short_Desc]:[CumAmount]],4,0)</f>
        <v>Food</v>
      </c>
    </row>
    <row r="29" spans="1:9" x14ac:dyDescent="0.25">
      <c r="A29" s="9">
        <v>44743</v>
      </c>
      <c r="B29" t="s">
        <v>732</v>
      </c>
      <c r="C29" s="5"/>
      <c r="D29" s="5">
        <v>53.5</v>
      </c>
      <c r="E29" s="5">
        <f t="shared" si="5"/>
        <v>26.75</v>
      </c>
      <c r="F29" s="6">
        <f t="shared" si="1"/>
        <v>26.75</v>
      </c>
      <c r="G29" s="5" t="str">
        <f t="shared" si="2"/>
        <v>7/2022</v>
      </c>
      <c r="H29" s="5" t="s">
        <v>13</v>
      </c>
      <c r="I29" s="5" t="str">
        <f>VLOOKUP(Table5[[#This Row],[Short_Desc]],dis_table[[#All],[Short_Desc]:[CumAmount]],4,0)</f>
        <v>Food</v>
      </c>
    </row>
    <row r="30" spans="1:9" x14ac:dyDescent="0.25">
      <c r="A30" s="9">
        <v>44743</v>
      </c>
      <c r="B30" t="s">
        <v>733</v>
      </c>
      <c r="C30" s="5"/>
      <c r="D30" s="5">
        <v>20.41</v>
      </c>
      <c r="E30" s="5">
        <f t="shared" si="5"/>
        <v>10.205</v>
      </c>
      <c r="F30" s="6">
        <f t="shared" si="1"/>
        <v>10.205</v>
      </c>
      <c r="G30" s="5" t="str">
        <f t="shared" si="2"/>
        <v>7/2022</v>
      </c>
      <c r="H30" s="5" t="s">
        <v>13</v>
      </c>
      <c r="I30" s="5" t="str">
        <f>VLOOKUP(Table5[[#This Row],[Short_Desc]],dis_table[[#All],[Short_Desc]:[CumAmount]],4,0)</f>
        <v>Food</v>
      </c>
    </row>
    <row r="31" spans="1:9" x14ac:dyDescent="0.25">
      <c r="A31" s="9">
        <v>44744</v>
      </c>
      <c r="B31" t="s">
        <v>728</v>
      </c>
      <c r="C31" s="5"/>
      <c r="D31" s="5">
        <v>38.5</v>
      </c>
      <c r="E31" s="5">
        <f t="shared" si="5"/>
        <v>19.25</v>
      </c>
      <c r="F31" s="6">
        <f t="shared" si="1"/>
        <v>19.25</v>
      </c>
      <c r="G31" s="5" t="str">
        <f t="shared" si="2"/>
        <v>7/2022</v>
      </c>
      <c r="H31" s="5" t="s">
        <v>13</v>
      </c>
      <c r="I31" s="5" t="str">
        <f>VLOOKUP(Table5[[#This Row],[Short_Desc]],dis_table[[#All],[Short_Desc]:[CumAmount]],4,0)</f>
        <v>Food</v>
      </c>
    </row>
    <row r="32" spans="1:9" x14ac:dyDescent="0.25">
      <c r="A32" s="9">
        <v>44745</v>
      </c>
      <c r="B32" t="s">
        <v>709</v>
      </c>
      <c r="C32" s="5"/>
      <c r="D32" s="5">
        <v>95.86</v>
      </c>
      <c r="E32" s="5">
        <f t="shared" si="5"/>
        <v>47.93</v>
      </c>
      <c r="F32" s="6">
        <f t="shared" si="1"/>
        <v>47.93</v>
      </c>
      <c r="G32" s="5" t="str">
        <f t="shared" si="2"/>
        <v>7/2022</v>
      </c>
      <c r="H32" s="5" t="s">
        <v>76</v>
      </c>
      <c r="I32" s="5" t="str">
        <f>VLOOKUP(Table5[[#This Row],[Short_Desc]],dis_table[[#All],[Short_Desc]:[CumAmount]],4,0)</f>
        <v>Transportation</v>
      </c>
    </row>
    <row r="33" spans="1:9" x14ac:dyDescent="0.25">
      <c r="A33" s="9">
        <v>44745</v>
      </c>
      <c r="B33" t="s">
        <v>734</v>
      </c>
      <c r="C33" s="5">
        <v>9.5399999999999991</v>
      </c>
      <c r="D33" s="5"/>
      <c r="E33" s="5"/>
      <c r="F33" s="6">
        <f t="shared" si="1"/>
        <v>9.5399999999999991</v>
      </c>
      <c r="G33" s="5" t="str">
        <f t="shared" si="2"/>
        <v>7/2022</v>
      </c>
      <c r="H33" s="5" t="s">
        <v>34</v>
      </c>
      <c r="I33" s="5" t="str">
        <f>VLOOKUP(Table5[[#This Row],[Short_Desc]],dis_table[[#All],[Short_Desc]:[CumAmount]],4,0)</f>
        <v>Personal_Spending</v>
      </c>
    </row>
    <row r="34" spans="1:9" x14ac:dyDescent="0.25">
      <c r="A34" s="9"/>
      <c r="C34" s="5"/>
      <c r="D34" s="5"/>
      <c r="E34" s="5"/>
      <c r="F34" s="6">
        <f>SUBTOTAL(109,Table5[Amount])</f>
        <v>2690.4799999999996</v>
      </c>
      <c r="G34" s="5"/>
      <c r="H34" s="5"/>
      <c r="I34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94DE-BE85-46D6-B691-CBD6605A96A7}">
  <sheetPr>
    <tabColor rgb="FFFFC000"/>
  </sheetPr>
  <dimension ref="A2:N34"/>
  <sheetViews>
    <sheetView workbookViewId="0">
      <selection activeCell="K19" sqref="K19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14.42578125" bestFit="1" customWidth="1"/>
    <col min="4" max="4" width="15.42578125" bestFit="1" customWidth="1"/>
    <col min="5" max="5" width="15.42578125" customWidth="1"/>
    <col min="6" max="6" width="10.5703125" bestFit="1" customWidth="1"/>
    <col min="7" max="7" width="12" bestFit="1" customWidth="1"/>
    <col min="8" max="13" width="11.5703125" bestFit="1" customWidth="1"/>
    <col min="14" max="14" width="10.85546875" bestFit="1" customWidth="1"/>
  </cols>
  <sheetData>
    <row r="2" spans="1:14" x14ac:dyDescent="0.25">
      <c r="B2" t="s">
        <v>10</v>
      </c>
      <c r="C2" t="s">
        <v>860</v>
      </c>
      <c r="D2" t="s">
        <v>861</v>
      </c>
      <c r="E2" t="s">
        <v>864</v>
      </c>
      <c r="F2" t="s">
        <v>862</v>
      </c>
    </row>
    <row r="3" spans="1:14" x14ac:dyDescent="0.25">
      <c r="A3" t="s">
        <v>856</v>
      </c>
      <c r="B3" s="5">
        <v>6077.24</v>
      </c>
      <c r="C3" s="5">
        <v>7900</v>
      </c>
      <c r="D3" s="5">
        <f>C3-B3</f>
        <v>1822.7600000000002</v>
      </c>
      <c r="E3" s="5">
        <v>120</v>
      </c>
      <c r="F3" s="39">
        <v>28</v>
      </c>
      <c r="G3">
        <f>B3/E3</f>
        <v>50.643666666666668</v>
      </c>
    </row>
    <row r="4" spans="1:14" x14ac:dyDescent="0.25">
      <c r="A4" t="s">
        <v>857</v>
      </c>
      <c r="B4" s="5">
        <v>0</v>
      </c>
      <c r="C4" s="5">
        <v>7550</v>
      </c>
      <c r="D4" s="5">
        <f t="shared" ref="D4:D5" si="0">C4-B4</f>
        <v>7550</v>
      </c>
      <c r="E4" s="5"/>
      <c r="F4" s="39">
        <v>2</v>
      </c>
    </row>
    <row r="5" spans="1:14" x14ac:dyDescent="0.25">
      <c r="A5" t="s">
        <v>858</v>
      </c>
      <c r="B5" s="5">
        <v>554.09</v>
      </c>
      <c r="C5" s="5">
        <v>4997</v>
      </c>
      <c r="D5" s="5">
        <f t="shared" si="0"/>
        <v>4442.91</v>
      </c>
      <c r="E5" s="5"/>
      <c r="F5" s="40">
        <v>14</v>
      </c>
    </row>
    <row r="6" spans="1:14" x14ac:dyDescent="0.25">
      <c r="A6" t="s">
        <v>859</v>
      </c>
      <c r="B6" s="5">
        <v>505.36</v>
      </c>
      <c r="C6" s="41"/>
      <c r="D6" s="41"/>
      <c r="E6" s="5"/>
      <c r="F6" s="40">
        <v>2</v>
      </c>
    </row>
    <row r="7" spans="1:14" x14ac:dyDescent="0.25">
      <c r="A7" t="s">
        <v>865</v>
      </c>
      <c r="B7" s="5">
        <v>22430.560000000001</v>
      </c>
      <c r="C7" s="41"/>
      <c r="D7" s="41"/>
      <c r="E7" s="5">
        <v>348</v>
      </c>
      <c r="F7" s="40"/>
    </row>
    <row r="8" spans="1:14" x14ac:dyDescent="0.25">
      <c r="A8" t="s">
        <v>866</v>
      </c>
      <c r="B8" s="5">
        <f>Table5[[#Totals],[Amount]]</f>
        <v>2690.4799999999996</v>
      </c>
    </row>
    <row r="10" spans="1:14" x14ac:dyDescent="0.25">
      <c r="B10" s="42"/>
    </row>
    <row r="12" spans="1:14" ht="15.75" thickBot="1" x14ac:dyDescent="0.3">
      <c r="A12" s="21" t="s">
        <v>874</v>
      </c>
      <c r="B12" s="9">
        <v>44771</v>
      </c>
      <c r="C12" s="9">
        <f>B12+14</f>
        <v>44785</v>
      </c>
      <c r="D12" s="9">
        <f t="shared" ref="D12" si="1">C12+14</f>
        <v>44799</v>
      </c>
      <c r="E12" s="9">
        <f t="shared" ref="E12:M12" si="2">D12+14</f>
        <v>44813</v>
      </c>
      <c r="F12" s="9">
        <f t="shared" si="2"/>
        <v>44827</v>
      </c>
      <c r="G12" s="9">
        <f t="shared" si="2"/>
        <v>44841</v>
      </c>
      <c r="H12" s="9">
        <f t="shared" si="2"/>
        <v>44855</v>
      </c>
      <c r="I12" s="9">
        <f t="shared" si="2"/>
        <v>44869</v>
      </c>
      <c r="J12" s="9">
        <f t="shared" si="2"/>
        <v>44883</v>
      </c>
      <c r="K12" s="9">
        <f t="shared" si="2"/>
        <v>44897</v>
      </c>
      <c r="L12" s="9">
        <f t="shared" si="2"/>
        <v>44911</v>
      </c>
      <c r="M12" s="9">
        <f t="shared" si="2"/>
        <v>44925</v>
      </c>
    </row>
    <row r="13" spans="1:14" x14ac:dyDescent="0.25">
      <c r="A13" t="s">
        <v>875</v>
      </c>
      <c r="B13" s="43">
        <v>2482.89</v>
      </c>
      <c r="C13" s="44">
        <v>2482.89</v>
      </c>
      <c r="D13" s="44">
        <v>2482.89</v>
      </c>
      <c r="E13" s="44">
        <v>2482.89</v>
      </c>
      <c r="F13" s="44">
        <v>2482.89</v>
      </c>
      <c r="G13" s="44">
        <v>2482.89</v>
      </c>
      <c r="H13" s="44">
        <v>2482.89</v>
      </c>
      <c r="I13" s="44">
        <v>2482.89</v>
      </c>
      <c r="J13" s="44">
        <v>2482.89</v>
      </c>
      <c r="K13" s="44">
        <v>2482.89</v>
      </c>
      <c r="L13" s="44">
        <v>2482.89</v>
      </c>
      <c r="M13" s="45">
        <v>2482.89</v>
      </c>
      <c r="N13" s="8">
        <f>SUM(B13:M13)</f>
        <v>29794.679999999997</v>
      </c>
    </row>
    <row r="14" spans="1:14" x14ac:dyDescent="0.25">
      <c r="A14" t="s">
        <v>876</v>
      </c>
      <c r="B14" s="46">
        <v>504.86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</row>
    <row r="15" spans="1:14" ht="15.75" thickBot="1" x14ac:dyDescent="0.3">
      <c r="A15" t="s">
        <v>863</v>
      </c>
      <c r="B15" s="49"/>
      <c r="C15" s="50"/>
      <c r="D15" s="50"/>
      <c r="E15" s="50"/>
      <c r="F15" s="50"/>
      <c r="G15" s="50">
        <v>550</v>
      </c>
      <c r="H15" s="50"/>
      <c r="I15" s="50"/>
      <c r="J15" s="50"/>
      <c r="K15" s="50"/>
      <c r="L15" s="50"/>
      <c r="M15" s="51"/>
    </row>
    <row r="16" spans="1:14" x14ac:dyDescent="0.25">
      <c r="B16" s="23">
        <f>SUM(B13:B15)</f>
        <v>2987.75</v>
      </c>
      <c r="C16" s="23">
        <f t="shared" ref="C16:M16" si="3">SUM(C13:C15)+B28</f>
        <v>2993.4</v>
      </c>
      <c r="D16" s="23">
        <f t="shared" si="3"/>
        <v>2916.8399999999997</v>
      </c>
      <c r="E16" s="23">
        <f t="shared" si="3"/>
        <v>2999.7299999999996</v>
      </c>
      <c r="F16" s="23">
        <f t="shared" si="3"/>
        <v>2944.5239999999994</v>
      </c>
      <c r="G16" s="23">
        <f t="shared" si="3"/>
        <v>3439.3179999999993</v>
      </c>
      <c r="H16" s="23">
        <f t="shared" si="3"/>
        <v>3026.1119999999992</v>
      </c>
      <c r="I16" s="23">
        <f t="shared" si="3"/>
        <v>2970.905999999999</v>
      </c>
      <c r="J16" s="23">
        <f t="shared" si="3"/>
        <v>2857.6999999999989</v>
      </c>
      <c r="K16" s="23">
        <f t="shared" si="3"/>
        <v>3340.5899999999988</v>
      </c>
      <c r="L16" s="23">
        <f t="shared" si="3"/>
        <v>3565.4799999999987</v>
      </c>
      <c r="M16" s="23">
        <f t="shared" si="3"/>
        <v>5048.369999999999</v>
      </c>
    </row>
    <row r="18" spans="1:13" ht="15.75" thickBot="1" x14ac:dyDescent="0.3">
      <c r="A18" s="21" t="s">
        <v>873</v>
      </c>
    </row>
    <row r="19" spans="1:13" x14ac:dyDescent="0.25">
      <c r="A19" t="s">
        <v>678</v>
      </c>
      <c r="B19" s="43">
        <v>1400</v>
      </c>
      <c r="C19" s="44"/>
      <c r="D19" s="44">
        <v>1400</v>
      </c>
      <c r="E19" s="44"/>
      <c r="F19" s="44"/>
      <c r="G19" s="44">
        <v>710</v>
      </c>
      <c r="H19" s="44"/>
      <c r="I19" s="44">
        <v>710</v>
      </c>
      <c r="J19" s="44"/>
      <c r="K19" s="44">
        <v>710</v>
      </c>
      <c r="L19" s="44"/>
      <c r="M19" s="45"/>
    </row>
    <row r="20" spans="1:13" x14ac:dyDescent="0.25">
      <c r="A20" t="s">
        <v>856</v>
      </c>
      <c r="B20" s="46">
        <v>1077.24</v>
      </c>
      <c r="C20" s="47">
        <v>1500</v>
      </c>
      <c r="D20" s="47">
        <v>1000</v>
      </c>
      <c r="E20" s="47">
        <v>2000</v>
      </c>
      <c r="F20" s="47">
        <v>2000</v>
      </c>
      <c r="G20" s="47">
        <v>1300</v>
      </c>
      <c r="H20" s="47">
        <v>2000</v>
      </c>
      <c r="I20" s="47">
        <v>1000</v>
      </c>
      <c r="J20" s="47">
        <v>2000</v>
      </c>
      <c r="K20" s="47">
        <v>1200</v>
      </c>
      <c r="L20" s="47">
        <v>1000</v>
      </c>
      <c r="M20" s="48">
        <v>1000</v>
      </c>
    </row>
    <row r="21" spans="1:13" x14ac:dyDescent="0.25">
      <c r="A21" t="s">
        <v>857</v>
      </c>
      <c r="B21" s="46">
        <v>0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8">
        <v>0</v>
      </c>
    </row>
    <row r="22" spans="1:13" x14ac:dyDescent="0.25">
      <c r="A22" t="s">
        <v>858</v>
      </c>
      <c r="B22" s="46"/>
      <c r="C22" s="47">
        <v>554.09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8">
        <v>0</v>
      </c>
    </row>
    <row r="23" spans="1:13" x14ac:dyDescent="0.25">
      <c r="A23" t="s">
        <v>859</v>
      </c>
      <c r="B23" s="46"/>
      <c r="C23" s="47">
        <v>505.36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8">
        <v>0</v>
      </c>
    </row>
    <row r="24" spans="1:13" x14ac:dyDescent="0.25">
      <c r="A24" t="s">
        <v>865</v>
      </c>
      <c r="B24" s="46"/>
      <c r="C24" s="47"/>
      <c r="D24" s="47"/>
      <c r="E24" s="47"/>
      <c r="F24" s="47"/>
      <c r="G24" s="47">
        <f>$E$7</f>
        <v>348</v>
      </c>
      <c r="H24" s="47"/>
      <c r="I24" s="47">
        <f>$E$7</f>
        <v>348</v>
      </c>
      <c r="J24" s="47"/>
      <c r="K24" s="47">
        <f>$E$7</f>
        <v>348</v>
      </c>
      <c r="L24" s="47"/>
      <c r="M24" s="48"/>
    </row>
    <row r="25" spans="1:13" ht="15.75" thickBot="1" x14ac:dyDescent="0.3">
      <c r="A25" t="s">
        <v>866</v>
      </c>
      <c r="B25" s="49"/>
      <c r="C25" s="50"/>
      <c r="D25" s="50"/>
      <c r="E25" s="50">
        <f>B8/5</f>
        <v>538.09599999999989</v>
      </c>
      <c r="F25" s="50">
        <v>538.09599999999989</v>
      </c>
      <c r="G25" s="50">
        <v>538.09599999999989</v>
      </c>
      <c r="H25" s="50">
        <v>538.09599999999989</v>
      </c>
      <c r="I25" s="50">
        <v>538.09599999999989</v>
      </c>
      <c r="J25" s="50"/>
      <c r="K25" s="50"/>
      <c r="L25" s="50"/>
      <c r="M25" s="51"/>
    </row>
    <row r="26" spans="1:13" x14ac:dyDescent="0.25">
      <c r="B26" s="23">
        <f>SUM(B19:B25)</f>
        <v>2477.2399999999998</v>
      </c>
      <c r="C26" s="23">
        <f t="shared" ref="C26:M26" si="4">SUM(C19:C25)</f>
        <v>2559.4500000000003</v>
      </c>
      <c r="D26" s="23">
        <f t="shared" si="4"/>
        <v>2400</v>
      </c>
      <c r="E26" s="23">
        <f t="shared" si="4"/>
        <v>2538.096</v>
      </c>
      <c r="F26" s="23">
        <f t="shared" si="4"/>
        <v>2538.096</v>
      </c>
      <c r="G26" s="23">
        <f t="shared" si="4"/>
        <v>2896.096</v>
      </c>
      <c r="H26" s="23">
        <f t="shared" si="4"/>
        <v>2538.096</v>
      </c>
      <c r="I26" s="23">
        <f t="shared" si="4"/>
        <v>2596.096</v>
      </c>
      <c r="J26" s="23">
        <f t="shared" si="4"/>
        <v>2000</v>
      </c>
      <c r="K26" s="23">
        <f t="shared" si="4"/>
        <v>2258</v>
      </c>
      <c r="L26" s="23">
        <f t="shared" si="4"/>
        <v>1000</v>
      </c>
      <c r="M26" s="23">
        <f t="shared" si="4"/>
        <v>1000</v>
      </c>
    </row>
    <row r="28" spans="1:13" x14ac:dyDescent="0.25">
      <c r="B28" s="23">
        <f t="shared" ref="B28:M28" si="5">B16-B26</f>
        <v>510.51000000000022</v>
      </c>
      <c r="C28" s="23">
        <f t="shared" si="5"/>
        <v>433.94999999999982</v>
      </c>
      <c r="D28" s="23">
        <f t="shared" si="5"/>
        <v>516.83999999999969</v>
      </c>
      <c r="E28" s="23">
        <f t="shared" si="5"/>
        <v>461.63399999999956</v>
      </c>
      <c r="F28" s="23">
        <f t="shared" si="5"/>
        <v>406.42799999999943</v>
      </c>
      <c r="G28" s="23">
        <f t="shared" si="5"/>
        <v>543.2219999999993</v>
      </c>
      <c r="H28" s="23">
        <f t="shared" si="5"/>
        <v>488.01599999999917</v>
      </c>
      <c r="I28" s="23">
        <f t="shared" si="5"/>
        <v>374.80999999999904</v>
      </c>
      <c r="J28" s="23">
        <f t="shared" si="5"/>
        <v>857.69999999999891</v>
      </c>
      <c r="K28" s="23">
        <f t="shared" si="5"/>
        <v>1082.5899999999988</v>
      </c>
      <c r="L28" s="23">
        <f t="shared" si="5"/>
        <v>2565.4799999999987</v>
      </c>
      <c r="M28" s="23">
        <f t="shared" si="5"/>
        <v>4048.369999999999</v>
      </c>
    </row>
    <row r="29" spans="1:13" x14ac:dyDescent="0.25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5">
      <c r="A30" s="21" t="s">
        <v>872</v>
      </c>
    </row>
    <row r="31" spans="1:13" x14ac:dyDescent="0.25">
      <c r="A31" t="s">
        <v>870</v>
      </c>
      <c r="B31" s="23">
        <f>B3</f>
        <v>6077.24</v>
      </c>
      <c r="C31" s="23">
        <f>B34</f>
        <v>6000</v>
      </c>
      <c r="D31" s="23">
        <f t="shared" ref="D31:G31" si="6">C34</f>
        <v>5500</v>
      </c>
      <c r="E31" s="23">
        <f t="shared" si="6"/>
        <v>5500</v>
      </c>
      <c r="F31" s="23">
        <f t="shared" si="6"/>
        <v>4500</v>
      </c>
      <c r="G31" s="23">
        <f t="shared" si="6"/>
        <v>3500</v>
      </c>
      <c r="H31" s="23">
        <f t="shared" ref="H31:M31" si="7">G34</f>
        <v>3200</v>
      </c>
      <c r="I31" s="23">
        <f t="shared" si="7"/>
        <v>2200</v>
      </c>
      <c r="J31" s="23">
        <f t="shared" si="7"/>
        <v>2200</v>
      </c>
      <c r="K31" s="23">
        <f t="shared" si="7"/>
        <v>1200</v>
      </c>
      <c r="L31" s="23">
        <f t="shared" si="7"/>
        <v>1000</v>
      </c>
      <c r="M31" s="23">
        <f t="shared" si="7"/>
        <v>1000</v>
      </c>
    </row>
    <row r="32" spans="1:13" x14ac:dyDescent="0.25">
      <c r="A32" t="s">
        <v>869</v>
      </c>
      <c r="B32" s="23">
        <f>B31-B20</f>
        <v>5000</v>
      </c>
      <c r="C32" s="23">
        <f t="shared" ref="C32:I32" si="8">C31-C20</f>
        <v>4500</v>
      </c>
      <c r="D32" s="23">
        <f t="shared" si="8"/>
        <v>4500</v>
      </c>
      <c r="E32" s="23">
        <f t="shared" si="8"/>
        <v>3500</v>
      </c>
      <c r="F32" s="23">
        <f t="shared" si="8"/>
        <v>2500</v>
      </c>
      <c r="G32" s="23">
        <f t="shared" si="8"/>
        <v>2200</v>
      </c>
      <c r="H32" s="23">
        <f t="shared" si="8"/>
        <v>1200</v>
      </c>
      <c r="I32" s="23">
        <f t="shared" si="8"/>
        <v>1200</v>
      </c>
      <c r="J32" s="23">
        <f t="shared" ref="J32" si="9">J31-J20</f>
        <v>200</v>
      </c>
      <c r="K32" s="23">
        <f t="shared" ref="K32" si="10">K31-K20</f>
        <v>0</v>
      </c>
      <c r="L32" s="23">
        <f t="shared" ref="L32" si="11">L31-L20</f>
        <v>0</v>
      </c>
      <c r="M32" s="23">
        <f t="shared" ref="M32" si="12">M31-M20</f>
        <v>0</v>
      </c>
    </row>
    <row r="33" spans="1:13" x14ac:dyDescent="0.25">
      <c r="A33" t="s">
        <v>868</v>
      </c>
      <c r="B33" s="5">
        <v>1000</v>
      </c>
      <c r="C33" s="5">
        <v>1000</v>
      </c>
      <c r="D33" s="5">
        <v>1000</v>
      </c>
      <c r="E33" s="5">
        <v>1000</v>
      </c>
      <c r="F33" s="5">
        <v>1000</v>
      </c>
      <c r="G33" s="5">
        <v>1000</v>
      </c>
      <c r="H33" s="5">
        <v>1000</v>
      </c>
      <c r="I33" s="5">
        <v>1000</v>
      </c>
      <c r="J33" s="5">
        <v>1000</v>
      </c>
      <c r="K33" s="5">
        <v>1000</v>
      </c>
      <c r="L33" s="5">
        <v>1000</v>
      </c>
      <c r="M33" s="5">
        <v>1000</v>
      </c>
    </row>
    <row r="34" spans="1:13" x14ac:dyDescent="0.25">
      <c r="A34" t="s">
        <v>871</v>
      </c>
      <c r="B34" s="5">
        <f>B32+B33</f>
        <v>6000</v>
      </c>
      <c r="C34" s="5">
        <f t="shared" ref="C34:G34" si="13">C32+C33</f>
        <v>5500</v>
      </c>
      <c r="D34" s="5">
        <f t="shared" si="13"/>
        <v>5500</v>
      </c>
      <c r="E34" s="5">
        <f t="shared" si="13"/>
        <v>4500</v>
      </c>
      <c r="F34" s="5">
        <f t="shared" si="13"/>
        <v>3500</v>
      </c>
      <c r="G34" s="5">
        <f t="shared" si="13"/>
        <v>3200</v>
      </c>
      <c r="H34" s="5">
        <f t="shared" ref="H34" si="14">H32+H33</f>
        <v>2200</v>
      </c>
      <c r="I34" s="5">
        <f t="shared" ref="I34" si="15">I32+I33</f>
        <v>2200</v>
      </c>
      <c r="J34" s="5">
        <f t="shared" ref="J34" si="16">J32+J33</f>
        <v>1200</v>
      </c>
      <c r="K34" s="5">
        <f t="shared" ref="K34" si="17">K32+K33</f>
        <v>1000</v>
      </c>
      <c r="L34" s="5">
        <f t="shared" ref="L34" si="18">L32+L33</f>
        <v>1000</v>
      </c>
      <c r="M34" s="5">
        <f t="shared" ref="M34" si="19">M32+M33</f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5736-7084-4616-B983-2AF76ED36A6A}">
  <sheetPr>
    <tabColor rgb="FF0070C0"/>
  </sheetPr>
  <dimension ref="B2:P28"/>
  <sheetViews>
    <sheetView workbookViewId="0">
      <selection activeCell="E35" sqref="E35"/>
    </sheetView>
  </sheetViews>
  <sheetFormatPr defaultRowHeight="15" x14ac:dyDescent="0.25"/>
  <cols>
    <col min="2" max="2" width="24.85546875" bestFit="1" customWidth="1"/>
    <col min="3" max="14" width="11.28515625" customWidth="1"/>
    <col min="15" max="15" width="9.7109375" customWidth="1"/>
  </cols>
  <sheetData>
    <row r="2" spans="2:16" x14ac:dyDescent="0.25">
      <c r="B2" s="21" t="s">
        <v>867</v>
      </c>
      <c r="C2" t="s">
        <v>14</v>
      </c>
      <c r="D2" t="s">
        <v>117</v>
      </c>
      <c r="E2" t="s">
        <v>145</v>
      </c>
      <c r="F2" t="s">
        <v>233</v>
      </c>
      <c r="G2" t="s">
        <v>290</v>
      </c>
      <c r="H2" t="s">
        <v>364</v>
      </c>
      <c r="I2" t="s">
        <v>420</v>
      </c>
      <c r="J2" s="71" t="s">
        <v>911</v>
      </c>
      <c r="K2" s="72" t="s">
        <v>1170</v>
      </c>
      <c r="L2" s="72" t="s">
        <v>1246</v>
      </c>
      <c r="M2" s="72" t="s">
        <v>1337</v>
      </c>
      <c r="N2" s="72" t="s">
        <v>1392</v>
      </c>
      <c r="O2" t="s">
        <v>487</v>
      </c>
    </row>
    <row r="3" spans="2:16" x14ac:dyDescent="0.25">
      <c r="B3" t="s">
        <v>16</v>
      </c>
      <c r="C3" s="7">
        <f>SUMIFS(dis_table[Amount],dis_table[Category_2],'Category Summary'!$B3,dis_table[Date],'Category Summary'!C$2) +SUMIFS(cc_table[Amount],cc_table[Category_2],'Category Summary'!$B3,cc_table[Date],'Category Summary'!C$2) + SUMIFS(bb_table[Amount],bb_table[Category_2],'Category Summary'!$B3,bb_table[Date],'Category Summary'!C$2) + SUMIFS(Table5[Amount],Table5[Category_2],'Category Summary'!$B3,Table5[Date],'Category Summary'!C$2)+C18*-1</f>
        <v>587.29</v>
      </c>
      <c r="D3" s="7">
        <f>SUMIFS(dis_table[Amount],dis_table[Category_2],'Category Summary'!$B3,dis_table[Date],'Category Summary'!D$2) +SUMIFS(cc_table[Amount],cc_table[Category_2],'Category Summary'!$B3,cc_table[Date],'Category Summary'!D$2) + SUMIFS(bb_table[Amount],bb_table[Category_2],'Category Summary'!$B3,bb_table[Date],'Category Summary'!D$2) + SUMIFS(Table5[Amount],Table5[Category_2],'Category Summary'!$B3,Table5[Date],'Category Summary'!D$2)+D18*-1</f>
        <v>248.29</v>
      </c>
      <c r="E3" s="7">
        <f>SUMIFS(dis_table[Amount],dis_table[Category_2],'Category Summary'!$B3,dis_table[Date],'Category Summary'!E$2) +SUMIFS(cc_table[Amount],cc_table[Category_2],'Category Summary'!$B3,cc_table[Date],'Category Summary'!E$2) + SUMIFS(bb_table[Amount],bb_table[Category_2],'Category Summary'!$B3,bb_table[Date],'Category Summary'!E$2) + SUMIFS(Table5[Amount],Table5[Category_2],'Category Summary'!$B3,Table5[Date],'Category Summary'!E$2)+E18*-1</f>
        <v>1231.2499999999998</v>
      </c>
      <c r="F3" s="7">
        <f>SUMIFS(dis_table[Amount],dis_table[Category_2],'Category Summary'!$B3,dis_table[Date],'Category Summary'!F$2) +SUMIFS(cc_table[Amount],cc_table[Category_2],'Category Summary'!$B3,cc_table[Date],'Category Summary'!F$2) + SUMIFS(bb_table[Amount],bb_table[Category_2],'Category Summary'!$B3,bb_table[Date],'Category Summary'!F$2) + SUMIFS(Table5[Amount],Table5[Category_2],'Category Summary'!$B3,Table5[Date],'Category Summary'!F$2)+F18*-1</f>
        <v>945.31000000000029</v>
      </c>
      <c r="G3" s="7">
        <f>SUMIFS(dis_table[Amount],dis_table[Category_2],'Category Summary'!$B3,dis_table[Date],'Category Summary'!G$2) +SUMIFS(cc_table[Amount],cc_table[Category_2],'Category Summary'!$B3,cc_table[Date],'Category Summary'!G$2) + SUMIFS(bb_table[Amount],bb_table[Category_2],'Category Summary'!$B3,bb_table[Date],'Category Summary'!G$2) + SUMIFS(Table5[Amount],Table5[Category_2],'Category Summary'!$B3,Table5[Date],'Category Summary'!G$2)+G18*-1</f>
        <v>766.29</v>
      </c>
      <c r="H3" s="7">
        <f>SUMIFS(dis_table[Amount],dis_table[Category_2],'Category Summary'!$B3,dis_table[Date],'Category Summary'!H$2) +SUMIFS(cc_table[Amount],cc_table[Category_2],'Category Summary'!$B3,cc_table[Date],'Category Summary'!H$2) + SUMIFS(bb_table[Amount],bb_table[Category_2],'Category Summary'!$B3,bb_table[Date],'Category Summary'!H$2) + SUMIFS(Table5[Amount],Table5[Category_2],'Category Summary'!$B3,Table5[Date],'Category Summary'!H$2)+H18*-1</f>
        <v>945.77000000000021</v>
      </c>
      <c r="I3" s="7">
        <f>SUMIFS(dis_table[Amount],dis_table[Category_2],'Category Summary'!$B3,dis_table[Date],'Category Summary'!I$2) +SUMIFS(cc_table[Amount],cc_table[Category_2],'Category Summary'!$B3,cc_table[Date],'Category Summary'!I$2) + SUMIFS(bb_table[Amount],bb_table[Category_2],'Category Summary'!$B3,bb_table[Date],'Category Summary'!I$2) + SUMIFS(Table5[Amount],Table5[Category_2],'Category Summary'!$B3,Table5[Date],'Category Summary'!I$2)+I18*-1</f>
        <v>1137.425</v>
      </c>
      <c r="J3" s="7">
        <f>SUMIFS(dis_table[Amount],dis_table[Category_2],'Category Summary'!$B3,dis_table[Date],'Category Summary'!J$2) +SUMIFS(cc_table[Amount],cc_table[Category_2],'Category Summary'!$B3,cc_table[Date],'Category Summary'!J$2) + SUMIFS(bb_table[Amount],bb_table[Category_2],'Category Summary'!$B3,bb_table[Date],'Category Summary'!J$2) + SUMIFS(Table5[Amount],Table5[Category_2],'Category Summary'!$B3,Table5[Date],'Category Summary'!J$2)+J18*-1</f>
        <v>795.70999999999992</v>
      </c>
      <c r="K3" s="7">
        <f>SUMIFS(dis_table[Amount],dis_table[Category_2],'Category Summary'!$B3,dis_table[Date],'Category Summary'!K$2) +SUMIFS(cc_table[Amount],cc_table[Category_2],'Category Summary'!$B3,cc_table[Date],'Category Summary'!K$2) + SUMIFS(bb_table[Amount],bb_table[Category_2],'Category Summary'!$B3,bb_table[Date],'Category Summary'!K$2) + SUMIFS(Table5[Amount],Table5[Category_2],'Category Summary'!$B3,Table5[Date],'Category Summary'!K$2)+K18*-1</f>
        <v>816.43000000000018</v>
      </c>
      <c r="L3" s="7">
        <f>SUMIFS(dis_table[Amount],dis_table[Category_2],'Category Summary'!$B3,dis_table[Date],'Category Summary'!L$2) +SUMIFS(cc_table[Amount],cc_table[Category_2],'Category Summary'!$B3,cc_table[Date],'Category Summary'!L$2) + SUMIFS(bb_table[Amount],bb_table[Category_2],'Category Summary'!$B3,bb_table[Date],'Category Summary'!L$2) + SUMIFS(Table5[Amount],Table5[Category_2],'Category Summary'!$B3,Table5[Date],'Category Summary'!L$2)+L18*-1</f>
        <v>756.42000000000007</v>
      </c>
      <c r="M3" s="7">
        <f>SUMIFS(dis_table[Amount],dis_table[Category_2],'Category Summary'!$B3,dis_table[Date],'Category Summary'!M$2) +SUMIFS(cc_table[Amount],cc_table[Category_2],'Category Summary'!$B3,cc_table[Date],'Category Summary'!M$2) + SUMIFS(bb_table[Amount],bb_table[Category_2],'Category Summary'!$B3,bb_table[Date],'Category Summary'!M$2) + SUMIFS(Table5[Amount],Table5[Category_2],'Category Summary'!$B3,Table5[Date],'Category Summary'!M$2)+M18*-1</f>
        <v>649.85</v>
      </c>
      <c r="N3" s="7">
        <f>SUMIFS(dis_table[Category_2],dis_table[Amount],'Category Summary'!$B3,dis_table[Post Date],'Category Summary'!N$2) +SUMIFS(cc_table[Post Date],cc_table[Short_Desc],'Category Summary'!$B3,cc_table[Amount],'Category Summary'!N$2) + SUMIFS(bb_table[Category_2],bb_table[Short_Desc],'Category Summary'!$B3,bb_table[Category],'Category Summary'!N$2) + SUMIFS(Table5[Description],Table5[Split Amount],'Category Summary'!$B3,Table5[Individual Amount],'Category Summary'!N$2)+N18*-1</f>
        <v>0</v>
      </c>
      <c r="O3" s="12">
        <f>SUM(C3:N3)</f>
        <v>8880.0350000000017</v>
      </c>
      <c r="P3" s="25">
        <f>O3/$O$27</f>
        <v>0.22643417306591429</v>
      </c>
    </row>
    <row r="4" spans="2:16" x14ac:dyDescent="0.25">
      <c r="B4" t="s">
        <v>23</v>
      </c>
      <c r="C4" s="7">
        <f>SUMIFS(dis_table[Amount],dis_table[Category_2],'Category Summary'!$B4,dis_table[Date],'Category Summary'!C$2) +SUMIFS(cc_table[Amount],cc_table[Category_2],'Category Summary'!$B4,cc_table[Date],'Category Summary'!C$2) + SUMIFS(bb_table[Amount],bb_table[Category_2],'Category Summary'!$B4,bb_table[Date],'Category Summary'!C$2) + SUMIFS(Table5[Amount],Table5[Category_2],'Category Summary'!$B4,Table5[Date],'Category Summary'!C$2)+C19*-1</f>
        <v>849.09</v>
      </c>
      <c r="D4" s="7">
        <f>SUMIFS(dis_table[Amount],dis_table[Category_2],'Category Summary'!$B4,dis_table[Date],'Category Summary'!D$2) +SUMIFS(cc_table[Amount],cc_table[Category_2],'Category Summary'!$B4,cc_table[Date],'Category Summary'!D$2) + SUMIFS(bb_table[Amount],bb_table[Category_2],'Category Summary'!$B4,bb_table[Date],'Category Summary'!D$2) + SUMIFS(Table5[Amount],Table5[Category_2],'Category Summary'!$B4,Table5[Date],'Category Summary'!D$2)+D19*-1</f>
        <v>528.66</v>
      </c>
      <c r="E4" s="7">
        <f>SUMIFS(dis_table[Amount],dis_table[Category_2],'Category Summary'!$B4,dis_table[Date],'Category Summary'!E$2) +SUMIFS(cc_table[Amount],cc_table[Category_2],'Category Summary'!$B4,cc_table[Date],'Category Summary'!E$2) + SUMIFS(bb_table[Amount],bb_table[Category_2],'Category Summary'!$B4,bb_table[Date],'Category Summary'!E$2) + SUMIFS(Table5[Amount],Table5[Category_2],'Category Summary'!$B4,Table5[Date],'Category Summary'!E$2)+E19*-1</f>
        <v>887.46999999999991</v>
      </c>
      <c r="F4" s="7">
        <f>SUMIFS(dis_table[Amount],dis_table[Category_2],'Category Summary'!$B4,dis_table[Date],'Category Summary'!F$2) +SUMIFS(cc_table[Amount],cc_table[Category_2],'Category Summary'!$B4,cc_table[Date],'Category Summary'!F$2) + SUMIFS(bb_table[Amount],bb_table[Category_2],'Category Summary'!$B4,bb_table[Date],'Category Summary'!F$2) + SUMIFS(Table5[Amount],Table5[Category_2],'Category Summary'!$B4,Table5[Date],'Category Summary'!F$2)+F19*-1</f>
        <v>695.0200000000001</v>
      </c>
      <c r="G4" s="7">
        <f>SUMIFS(dis_table[Amount],dis_table[Category_2],'Category Summary'!$B4,dis_table[Date],'Category Summary'!G$2) +SUMIFS(cc_table[Amount],cc_table[Category_2],'Category Summary'!$B4,cc_table[Date],'Category Summary'!G$2) + SUMIFS(bb_table[Amount],bb_table[Category_2],'Category Summary'!$B4,bb_table[Date],'Category Summary'!G$2) + SUMIFS(Table5[Amount],Table5[Category_2],'Category Summary'!$B4,Table5[Date],'Category Summary'!G$2)+G19*-1</f>
        <v>2111.44</v>
      </c>
      <c r="H4" s="7">
        <f>SUMIFS(dis_table[Amount],dis_table[Category_2],'Category Summary'!$B4,dis_table[Date],'Category Summary'!H$2) +SUMIFS(cc_table[Amount],cc_table[Category_2],'Category Summary'!$B4,cc_table[Date],'Category Summary'!H$2) + SUMIFS(bb_table[Amount],bb_table[Category_2],'Category Summary'!$B4,bb_table[Date],'Category Summary'!H$2) + SUMIFS(Table5[Amount],Table5[Category_2],'Category Summary'!$B4,Table5[Date],'Category Summary'!H$2)+H19*-1</f>
        <v>2665.9350000000004</v>
      </c>
      <c r="I4" s="7">
        <f>SUMIFS(dis_table[Amount],dis_table[Category_2],'Category Summary'!$B4,dis_table[Date],'Category Summary'!I$2) +SUMIFS(cc_table[Amount],cc_table[Category_2],'Category Summary'!$B4,cc_table[Date],'Category Summary'!I$2) + SUMIFS(bb_table[Amount],bb_table[Category_2],'Category Summary'!$B4,bb_table[Date],'Category Summary'!I$2) + SUMIFS(Table5[Amount],Table5[Category_2],'Category Summary'!$B4,Table5[Date],'Category Summary'!I$2)+I19*-1</f>
        <v>879.95999999999992</v>
      </c>
      <c r="J4" s="7">
        <f>SUMIFS(dis_table[Amount],dis_table[Category_2],'Category Summary'!$B4,dis_table[Date],'Category Summary'!J$2) +SUMIFS(cc_table[Amount],cc_table[Category_2],'Category Summary'!$B4,cc_table[Date],'Category Summary'!J$2) + SUMIFS(bb_table[Amount],bb_table[Category_2],'Category Summary'!$B4,bb_table[Date],'Category Summary'!J$2) + SUMIFS(Table5[Amount],Table5[Category_2],'Category Summary'!$B4,Table5[Date],'Category Summary'!J$2)+J19*-1</f>
        <v>91.710000000000008</v>
      </c>
      <c r="K4" s="7">
        <f>SUMIFS(dis_table[Amount],dis_table[Category_2],'Category Summary'!$B4,dis_table[Date],'Category Summary'!K$2) +SUMIFS(cc_table[Amount],cc_table[Category_2],'Category Summary'!$B4,cc_table[Date],'Category Summary'!K$2) + SUMIFS(bb_table[Amount],bb_table[Category_2],'Category Summary'!$B4,bb_table[Date],'Category Summary'!K$2) + SUMIFS(Table5[Amount],Table5[Category_2],'Category Summary'!$B4,Table5[Date],'Category Summary'!K$2)+K19*-1</f>
        <v>310.69</v>
      </c>
      <c r="L4" s="7">
        <f>SUMIFS(dis_table[Amount],dis_table[Category_2],'Category Summary'!$B4,dis_table[Date],'Category Summary'!L$2) +SUMIFS(cc_table[Amount],cc_table[Category_2],'Category Summary'!$B4,cc_table[Date],'Category Summary'!L$2) + SUMIFS(bb_table[Amount],bb_table[Category_2],'Category Summary'!$B4,bb_table[Date],'Category Summary'!L$2) + SUMIFS(Table5[Amount],Table5[Category_2],'Category Summary'!$B4,Table5[Date],'Category Summary'!L$2)+L19*-1</f>
        <v>896.55</v>
      </c>
      <c r="M4" s="7">
        <f>SUMIFS(dis_table[Amount],dis_table[Category_2],'Category Summary'!$B4,dis_table[Date],'Category Summary'!M$2) +SUMIFS(cc_table[Amount],cc_table[Category_2],'Category Summary'!$B4,cc_table[Date],'Category Summary'!M$2) + SUMIFS(bb_table[Amount],bb_table[Category_2],'Category Summary'!$B4,bb_table[Date],'Category Summary'!M$2) + SUMIFS(Table5[Amount],Table5[Category_2],'Category Summary'!$B4,Table5[Date],'Category Summary'!M$2)+M19*-1</f>
        <v>205.88000000000002</v>
      </c>
      <c r="N4" s="7">
        <f>SUMIFS(dis_table[Category_2],dis_table[Amount],'Category Summary'!$B4,dis_table[Post Date],'Category Summary'!N$2) +SUMIFS(cc_table[Post Date],cc_table[Short_Desc],'Category Summary'!$B4,cc_table[Amount],'Category Summary'!N$2) + SUMIFS(bb_table[Category_2],bb_table[Short_Desc],'Category Summary'!$B4,bb_table[Category],'Category Summary'!N$2) + SUMIFS(Table5[Description],Table5[Split Amount],'Category Summary'!$B4,Table5[Individual Amount],'Category Summary'!N$2)+N19*-1</f>
        <v>0</v>
      </c>
      <c r="O4" s="12">
        <f t="shared" ref="O4:O12" si="0">SUM(C4:N4)</f>
        <v>10122.404999999999</v>
      </c>
      <c r="P4" s="25">
        <f t="shared" ref="P4:P12" si="1">O4/$O$27</f>
        <v>0.25811366797690272</v>
      </c>
    </row>
    <row r="5" spans="2:16" x14ac:dyDescent="0.25">
      <c r="B5" t="s">
        <v>32</v>
      </c>
      <c r="C5" s="7">
        <f>SUMIFS(dis_table[Amount],dis_table[Category_2],'Category Summary'!$B5,dis_table[Date],'Category Summary'!C$2) +SUMIFS(cc_table[Amount],cc_table[Category_2],'Category Summary'!$B5,cc_table[Date],'Category Summary'!C$2) + SUMIFS(bb_table[Amount],bb_table[Category_2],'Category Summary'!$B5,bb_table[Date],'Category Summary'!C$2) + SUMIFS(Table5[Amount],Table5[Category_2],'Category Summary'!$B5,Table5[Date],'Category Summary'!C$2)+C20*-1</f>
        <v>962.43999999999994</v>
      </c>
      <c r="D5" s="7">
        <f>SUMIFS(dis_table[Amount],dis_table[Category_2],'Category Summary'!$B5,dis_table[Date],'Category Summary'!D$2) +SUMIFS(cc_table[Amount],cc_table[Category_2],'Category Summary'!$B5,cc_table[Date],'Category Summary'!D$2) + SUMIFS(bb_table[Amount],bb_table[Category_2],'Category Summary'!$B5,bb_table[Date],'Category Summary'!D$2) + SUMIFS(Table5[Amount],Table5[Category_2],'Category Summary'!$B5,Table5[Date],'Category Summary'!D$2)+D20*-1</f>
        <v>360.01</v>
      </c>
      <c r="E5" s="7">
        <f>SUMIFS(dis_table[Amount],dis_table[Category_2],'Category Summary'!$B5,dis_table[Date],'Category Summary'!E$2) +SUMIFS(cc_table[Amount],cc_table[Category_2],'Category Summary'!$B5,cc_table[Date],'Category Summary'!E$2) + SUMIFS(bb_table[Amount],bb_table[Category_2],'Category Summary'!$B5,bb_table[Date],'Category Summary'!E$2) + SUMIFS(Table5[Amount],Table5[Category_2],'Category Summary'!$B5,Table5[Date],'Category Summary'!E$2)+E20*-1</f>
        <v>748.11</v>
      </c>
      <c r="F5" s="7">
        <f>SUMIFS(dis_table[Amount],dis_table[Category_2],'Category Summary'!$B5,dis_table[Date],'Category Summary'!F$2) +SUMIFS(cc_table[Amount],cc_table[Category_2],'Category Summary'!$B5,cc_table[Date],'Category Summary'!F$2) + SUMIFS(bb_table[Amount],bb_table[Category_2],'Category Summary'!$B5,bb_table[Date],'Category Summary'!F$2) + SUMIFS(Table5[Amount],Table5[Category_2],'Category Summary'!$B5,Table5[Date],'Category Summary'!F$2)+F20*-1</f>
        <v>463.83</v>
      </c>
      <c r="G5" s="7">
        <f>SUMIFS(dis_table[Amount],dis_table[Category_2],'Category Summary'!$B5,dis_table[Date],'Category Summary'!G$2) +SUMIFS(cc_table[Amount],cc_table[Category_2],'Category Summary'!$B5,cc_table[Date],'Category Summary'!G$2) + SUMIFS(bb_table[Amount],bb_table[Category_2],'Category Summary'!$B5,bb_table[Date],'Category Summary'!G$2) + SUMIFS(Table5[Amount],Table5[Category_2],'Category Summary'!$B5,Table5[Date],'Category Summary'!G$2)+G20*-1</f>
        <v>1469.1099999999997</v>
      </c>
      <c r="H5" s="7">
        <f>SUMIFS(dis_table[Amount],dis_table[Category_2],'Category Summary'!$B5,dis_table[Date],'Category Summary'!H$2) +SUMIFS(cc_table[Amount],cc_table[Category_2],'Category Summary'!$B5,cc_table[Date],'Category Summary'!H$2) + SUMIFS(bb_table[Amount],bb_table[Category_2],'Category Summary'!$B5,bb_table[Date],'Category Summary'!H$2) + SUMIFS(Table5[Amount],Table5[Category_2],'Category Summary'!$B5,Table5[Date],'Category Summary'!H$2)+H20*-1</f>
        <v>1447.6849999999999</v>
      </c>
      <c r="I5" s="7">
        <f>SUMIFS(dis_table[Amount],dis_table[Category_2],'Category Summary'!$B5,dis_table[Date],'Category Summary'!I$2) +SUMIFS(cc_table[Amount],cc_table[Category_2],'Category Summary'!$B5,cc_table[Date],'Category Summary'!I$2) + SUMIFS(bb_table[Amount],bb_table[Category_2],'Category Summary'!$B5,bb_table[Date],'Category Summary'!I$2) + SUMIFS(Table5[Amount],Table5[Category_2],'Category Summary'!$B5,Table5[Date],'Category Summary'!I$2)+I20*-1</f>
        <v>660.28000000000009</v>
      </c>
      <c r="J5" s="7">
        <f>SUMIFS(dis_table[Amount],dis_table[Category_2],'Category Summary'!$B5,dis_table[Date],'Category Summary'!J$2) +SUMIFS(cc_table[Amount],cc_table[Category_2],'Category Summary'!$B5,cc_table[Date],'Category Summary'!J$2) + SUMIFS(bb_table[Amount],bb_table[Category_2],'Category Summary'!$B5,bb_table[Date],'Category Summary'!J$2) + SUMIFS(Table5[Amount],Table5[Category_2],'Category Summary'!$B5,Table5[Date],'Category Summary'!J$2)+J20*-1</f>
        <v>516.82000000000005</v>
      </c>
      <c r="K5" s="7">
        <f>SUMIFS(dis_table[Amount],dis_table[Category_2],'Category Summary'!$B5,dis_table[Date],'Category Summary'!K$2) +SUMIFS(cc_table[Amount],cc_table[Category_2],'Category Summary'!$B5,cc_table[Date],'Category Summary'!K$2) + SUMIFS(bb_table[Amount],bb_table[Category_2],'Category Summary'!$B5,bb_table[Date],'Category Summary'!K$2) + SUMIFS(Table5[Amount],Table5[Category_2],'Category Summary'!$B5,Table5[Date],'Category Summary'!K$2)+K20*-1</f>
        <v>414.19</v>
      </c>
      <c r="L5" s="7">
        <f>SUMIFS(dis_table[Amount],dis_table[Category_2],'Category Summary'!$B5,dis_table[Date],'Category Summary'!L$2) +SUMIFS(cc_table[Amount],cc_table[Category_2],'Category Summary'!$B5,cc_table[Date],'Category Summary'!L$2) + SUMIFS(bb_table[Amount],bb_table[Category_2],'Category Summary'!$B5,bb_table[Date],'Category Summary'!L$2) + SUMIFS(Table5[Amount],Table5[Category_2],'Category Summary'!$B5,Table5[Date],'Category Summary'!L$2)+L20*-1</f>
        <v>728.90000000000009</v>
      </c>
      <c r="M5" s="7">
        <f>SUMIFS(dis_table[Amount],dis_table[Category_2],'Category Summary'!$B5,dis_table[Date],'Category Summary'!M$2) +SUMIFS(cc_table[Amount],cc_table[Category_2],'Category Summary'!$B5,cc_table[Date],'Category Summary'!M$2) + SUMIFS(bb_table[Amount],bb_table[Category_2],'Category Summary'!$B5,bb_table[Date],'Category Summary'!M$2) + SUMIFS(Table5[Amount],Table5[Category_2],'Category Summary'!$B5,Table5[Date],'Category Summary'!M$2)+M20*-1</f>
        <v>465.35999999999996</v>
      </c>
      <c r="N5" s="7">
        <f>SUMIFS(dis_table[Category_2],dis_table[Amount],'Category Summary'!$B5,dis_table[Post Date],'Category Summary'!N$2) +SUMIFS(cc_table[Post Date],cc_table[Short_Desc],'Category Summary'!$B5,cc_table[Amount],'Category Summary'!N$2) + SUMIFS(bb_table[Category_2],bb_table[Short_Desc],'Category Summary'!$B5,bb_table[Category],'Category Summary'!N$2) + SUMIFS(Table5[Description],Table5[Split Amount],'Category Summary'!$B5,Table5[Individual Amount],'Category Summary'!N$2)+N20*-1</f>
        <v>0</v>
      </c>
      <c r="O5" s="12">
        <f t="shared" si="0"/>
        <v>8236.7349999999988</v>
      </c>
      <c r="P5" s="25">
        <f t="shared" si="1"/>
        <v>0.21003050984462029</v>
      </c>
    </row>
    <row r="6" spans="2:16" x14ac:dyDescent="0.25">
      <c r="B6" t="s">
        <v>42</v>
      </c>
      <c r="C6" s="7">
        <f>SUMIFS(dis_table[Amount],dis_table[Category_2],'Category Summary'!$B6,dis_table[Date],'Category Summary'!C$2) +SUMIFS(cc_table[Amount],cc_table[Category_2],'Category Summary'!$B6,cc_table[Date],'Category Summary'!C$2) + SUMIFS(bb_table[Amount],bb_table[Category_2],'Category Summary'!$B6,bb_table[Date],'Category Summary'!C$2) + SUMIFS(Table5[Amount],Table5[Category_2],'Category Summary'!$B6,Table5[Date],'Category Summary'!C$2)+C21*-1</f>
        <v>145.57</v>
      </c>
      <c r="D6" s="7">
        <f>SUMIFS(dis_table[Amount],dis_table[Category_2],'Category Summary'!$B6,dis_table[Date],'Category Summary'!D$2) +SUMIFS(cc_table[Amount],cc_table[Category_2],'Category Summary'!$B6,cc_table[Date],'Category Summary'!D$2) + SUMIFS(bb_table[Amount],bb_table[Category_2],'Category Summary'!$B6,bb_table[Date],'Category Summary'!D$2) + SUMIFS(Table5[Amount],Table5[Category_2],'Category Summary'!$B6,Table5[Date],'Category Summary'!D$2)+D21*-1</f>
        <v>333.19</v>
      </c>
      <c r="E6" s="7">
        <f>SUMIFS(dis_table[Amount],dis_table[Category_2],'Category Summary'!$B6,dis_table[Date],'Category Summary'!E$2) +SUMIFS(cc_table[Amount],cc_table[Category_2],'Category Summary'!$B6,cc_table[Date],'Category Summary'!E$2) + SUMIFS(bb_table[Amount],bb_table[Category_2],'Category Summary'!$B6,bb_table[Date],'Category Summary'!E$2) + SUMIFS(Table5[Amount],Table5[Category_2],'Category Summary'!$B6,Table5[Date],'Category Summary'!E$2)+E21*-1</f>
        <v>307.96000000000004</v>
      </c>
      <c r="F6" s="7">
        <f>SUMIFS(dis_table[Amount],dis_table[Category_2],'Category Summary'!$B6,dis_table[Date],'Category Summary'!F$2) +SUMIFS(cc_table[Amount],cc_table[Category_2],'Category Summary'!$B6,cc_table[Date],'Category Summary'!F$2) + SUMIFS(bb_table[Amount],bb_table[Category_2],'Category Summary'!$B6,bb_table[Date],'Category Summary'!F$2) + SUMIFS(Table5[Amount],Table5[Category_2],'Category Summary'!$B6,Table5[Date],'Category Summary'!F$2)+F21*-1</f>
        <v>316.07000000000005</v>
      </c>
      <c r="G6" s="7">
        <f>SUMIFS(dis_table[Amount],dis_table[Category_2],'Category Summary'!$B6,dis_table[Date],'Category Summary'!G$2) +SUMIFS(cc_table[Amount],cc_table[Category_2],'Category Summary'!$B6,cc_table[Date],'Category Summary'!G$2) + SUMIFS(bb_table[Amount],bb_table[Category_2],'Category Summary'!$B6,bb_table[Date],'Category Summary'!G$2) + SUMIFS(Table5[Amount],Table5[Category_2],'Category Summary'!$B6,Table5[Date],'Category Summary'!G$2)+G21*-1</f>
        <v>682.91000000000008</v>
      </c>
      <c r="H6" s="7">
        <f>SUMIFS(dis_table[Amount],dis_table[Category_2],'Category Summary'!$B6,dis_table[Date],'Category Summary'!H$2) +SUMIFS(cc_table[Amount],cc_table[Category_2],'Category Summary'!$B6,cc_table[Date],'Category Summary'!H$2) + SUMIFS(bb_table[Amount],bb_table[Category_2],'Category Summary'!$B6,bb_table[Date],'Category Summary'!H$2) + SUMIFS(Table5[Amount],Table5[Category_2],'Category Summary'!$B6,Table5[Date],'Category Summary'!H$2)+H21*-1</f>
        <v>511.8549999999999</v>
      </c>
      <c r="I6" s="7">
        <f>SUMIFS(dis_table[Amount],dis_table[Category_2],'Category Summary'!$B6,dis_table[Date],'Category Summary'!I$2) +SUMIFS(cc_table[Amount],cc_table[Category_2],'Category Summary'!$B6,cc_table[Date],'Category Summary'!I$2) + SUMIFS(bb_table[Amount],bb_table[Category_2],'Category Summary'!$B6,bb_table[Date],'Category Summary'!I$2) + SUMIFS(Table5[Amount],Table5[Category_2],'Category Summary'!$B6,Table5[Date],'Category Summary'!I$2)+I21*-1</f>
        <v>869.13</v>
      </c>
      <c r="J6" s="7">
        <f>SUMIFS(dis_table[Amount],dis_table[Category_2],'Category Summary'!$B6,dis_table[Date],'Category Summary'!J$2) +SUMIFS(cc_table[Amount],cc_table[Category_2],'Category Summary'!$B6,cc_table[Date],'Category Summary'!J$2) + SUMIFS(bb_table[Amount],bb_table[Category_2],'Category Summary'!$B6,bb_table[Date],'Category Summary'!J$2) + SUMIFS(Table5[Amount],Table5[Category_2],'Category Summary'!$B6,Table5[Date],'Category Summary'!J$2)+J21*-1</f>
        <v>32.040000000000006</v>
      </c>
      <c r="K6" s="7">
        <f>SUMIFS(dis_table[Amount],dis_table[Category_2],'Category Summary'!$B6,dis_table[Date],'Category Summary'!K$2) +SUMIFS(cc_table[Amount],cc_table[Category_2],'Category Summary'!$B6,cc_table[Date],'Category Summary'!K$2) + SUMIFS(bb_table[Amount],bb_table[Category_2],'Category Summary'!$B6,bb_table[Date],'Category Summary'!K$2) + SUMIFS(Table5[Amount],Table5[Category_2],'Category Summary'!$B6,Table5[Date],'Category Summary'!K$2)+K21*-1</f>
        <v>384.20000000000005</v>
      </c>
      <c r="L6" s="7">
        <f>SUMIFS(dis_table[Amount],dis_table[Category_2],'Category Summary'!$B6,dis_table[Date],'Category Summary'!L$2) +SUMIFS(cc_table[Amount],cc_table[Category_2],'Category Summary'!$B6,cc_table[Date],'Category Summary'!L$2) + SUMIFS(bb_table[Amount],bb_table[Category_2],'Category Summary'!$B6,bb_table[Date],'Category Summary'!L$2) + SUMIFS(Table5[Amount],Table5[Category_2],'Category Summary'!$B6,Table5[Date],'Category Summary'!L$2)+L21*-1</f>
        <v>565.63000000000011</v>
      </c>
      <c r="M6" s="7">
        <f>SUMIFS(dis_table[Amount],dis_table[Category_2],'Category Summary'!$B6,dis_table[Date],'Category Summary'!M$2) +SUMIFS(cc_table[Amount],cc_table[Category_2],'Category Summary'!$B6,cc_table[Date],'Category Summary'!M$2) + SUMIFS(bb_table[Amount],bb_table[Category_2],'Category Summary'!$B6,bb_table[Date],'Category Summary'!M$2) + SUMIFS(Table5[Amount],Table5[Category_2],'Category Summary'!$B6,Table5[Date],'Category Summary'!M$2)+M21*-1</f>
        <v>67.899999999999991</v>
      </c>
      <c r="N6" s="7">
        <f>SUMIFS(dis_table[Category_2],dis_table[Amount],'Category Summary'!$B6,dis_table[Post Date],'Category Summary'!N$2) +SUMIFS(cc_table[Post Date],cc_table[Short_Desc],'Category Summary'!$B6,cc_table[Amount],'Category Summary'!N$2) + SUMIFS(bb_table[Category_2],bb_table[Short_Desc],'Category Summary'!$B6,bb_table[Category],'Category Summary'!N$2) + SUMIFS(Table5[Description],Table5[Split Amount],'Category Summary'!$B6,Table5[Individual Amount],'Category Summary'!N$2)+N21*-1</f>
        <v>0</v>
      </c>
      <c r="O6" s="12">
        <f t="shared" si="0"/>
        <v>4216.4549999999999</v>
      </c>
      <c r="P6" s="25">
        <f t="shared" si="1"/>
        <v>0.10751641195047536</v>
      </c>
    </row>
    <row r="7" spans="2:16" x14ac:dyDescent="0.25">
      <c r="B7" t="s">
        <v>60</v>
      </c>
      <c r="C7" s="7">
        <f>SUMIFS(dis_table[Amount],dis_table[Category_2],'Category Summary'!$B7,dis_table[Date],'Category Summary'!C$2) +SUMIFS(cc_table[Amount],cc_table[Category_2],'Category Summary'!$B7,cc_table[Date],'Category Summary'!C$2) + SUMIFS(bb_table[Amount],bb_table[Category_2],'Category Summary'!$B7,bb_table[Date],'Category Summary'!C$2) + SUMIFS(Table5[Amount],Table5[Category_2],'Category Summary'!$B7,Table5[Date],'Category Summary'!C$2)+C22*-1</f>
        <v>36.489999999999995</v>
      </c>
      <c r="D7" s="7">
        <f>SUMIFS(dis_table[Amount],dis_table[Category_2],'Category Summary'!$B7,dis_table[Date],'Category Summary'!D$2) +SUMIFS(cc_table[Amount],cc_table[Category_2],'Category Summary'!$B7,cc_table[Date],'Category Summary'!D$2) + SUMIFS(bb_table[Amount],bb_table[Category_2],'Category Summary'!$B7,bb_table[Date],'Category Summary'!D$2) + SUMIFS(Table5[Amount],Table5[Category_2],'Category Summary'!$B7,Table5[Date],'Category Summary'!D$2)+D22*-1</f>
        <v>0</v>
      </c>
      <c r="E7" s="7">
        <f>SUMIFS(dis_table[Amount],dis_table[Category_2],'Category Summary'!$B7,dis_table[Date],'Category Summary'!E$2) +SUMIFS(cc_table[Amount],cc_table[Category_2],'Category Summary'!$B7,cc_table[Date],'Category Summary'!E$2) + SUMIFS(bb_table[Amount],bb_table[Category_2],'Category Summary'!$B7,bb_table[Date],'Category Summary'!E$2) + SUMIFS(Table5[Amount],Table5[Category_2],'Category Summary'!$B7,Table5[Date],'Category Summary'!E$2)+E22*-1</f>
        <v>0</v>
      </c>
      <c r="F7" s="7">
        <f>SUMIFS(dis_table[Amount],dis_table[Category_2],'Category Summary'!$B7,dis_table[Date],'Category Summary'!F$2) +SUMIFS(cc_table[Amount],cc_table[Category_2],'Category Summary'!$B7,cc_table[Date],'Category Summary'!F$2) + SUMIFS(bb_table[Amount],bb_table[Category_2],'Category Summary'!$B7,bb_table[Date],'Category Summary'!F$2) + SUMIFS(Table5[Amount],Table5[Category_2],'Category Summary'!$B7,Table5[Date],'Category Summary'!F$2)+F22*-1</f>
        <v>16</v>
      </c>
      <c r="G7" s="7">
        <f>SUMIFS(dis_table[Amount],dis_table[Category_2],'Category Summary'!$B7,dis_table[Date],'Category Summary'!G$2) +SUMIFS(cc_table[Amount],cc_table[Category_2],'Category Summary'!$B7,cc_table[Date],'Category Summary'!G$2) + SUMIFS(bb_table[Amount],bb_table[Category_2],'Category Summary'!$B7,bb_table[Date],'Category Summary'!G$2) + SUMIFS(Table5[Amount],Table5[Category_2],'Category Summary'!$B7,Table5[Date],'Category Summary'!G$2)+G22*-1</f>
        <v>9.75</v>
      </c>
      <c r="H7" s="7">
        <f>SUMIFS(dis_table[Amount],dis_table[Category_2],'Category Summary'!$B7,dis_table[Date],'Category Summary'!H$2) +SUMIFS(cc_table[Amount],cc_table[Category_2],'Category Summary'!$B7,cc_table[Date],'Category Summary'!H$2) + SUMIFS(bb_table[Amount],bb_table[Category_2],'Category Summary'!$B7,bb_table[Date],'Category Summary'!H$2) + SUMIFS(Table5[Amount],Table5[Category_2],'Category Summary'!$B7,Table5[Date],'Category Summary'!H$2)+H22*-1</f>
        <v>83</v>
      </c>
      <c r="I7" s="7">
        <f>SUMIFS(dis_table[Amount],dis_table[Category_2],'Category Summary'!$B7,dis_table[Date],'Category Summary'!I$2) +SUMIFS(cc_table[Amount],cc_table[Category_2],'Category Summary'!$B7,cc_table[Date],'Category Summary'!I$2) + SUMIFS(bb_table[Amount],bb_table[Category_2],'Category Summary'!$B7,bb_table[Date],'Category Summary'!I$2) + SUMIFS(Table5[Amount],Table5[Category_2],'Category Summary'!$B7,Table5[Date],'Category Summary'!I$2)+I22*-1</f>
        <v>5.0999999999999996</v>
      </c>
      <c r="J7" s="7">
        <f>SUMIFS(dis_table[Amount],dis_table[Category_2],'Category Summary'!$B7,dis_table[Date],'Category Summary'!J$2) +SUMIFS(cc_table[Amount],cc_table[Category_2],'Category Summary'!$B7,cc_table[Date],'Category Summary'!J$2) + SUMIFS(bb_table[Amount],bb_table[Category_2],'Category Summary'!$B7,bb_table[Date],'Category Summary'!J$2) + SUMIFS(Table5[Amount],Table5[Category_2],'Category Summary'!$B7,Table5[Date],'Category Summary'!J$2)+J22*-1</f>
        <v>39.79</v>
      </c>
      <c r="K7" s="7">
        <f>SUMIFS(dis_table[Amount],dis_table[Category_2],'Category Summary'!$B7,dis_table[Date],'Category Summary'!K$2) +SUMIFS(cc_table[Amount],cc_table[Category_2],'Category Summary'!$B7,cc_table[Date],'Category Summary'!K$2) + SUMIFS(bb_table[Amount],bb_table[Category_2],'Category Summary'!$B7,bb_table[Date],'Category Summary'!K$2) + SUMIFS(Table5[Amount],Table5[Category_2],'Category Summary'!$B7,Table5[Date],'Category Summary'!K$2)+K22*-1</f>
        <v>1203.4499999999998</v>
      </c>
      <c r="L7" s="7">
        <f>SUMIFS(dis_table[Amount],dis_table[Category_2],'Category Summary'!$B7,dis_table[Date],'Category Summary'!L$2) +SUMIFS(cc_table[Amount],cc_table[Category_2],'Category Summary'!$B7,cc_table[Date],'Category Summary'!L$2) + SUMIFS(bb_table[Amount],bb_table[Category_2],'Category Summary'!$B7,bb_table[Date],'Category Summary'!L$2) + SUMIFS(Table5[Amount],Table5[Category_2],'Category Summary'!$B7,Table5[Date],'Category Summary'!L$2)+L22*-1</f>
        <v>0</v>
      </c>
      <c r="M7" s="7">
        <f>SUMIFS(dis_table[Amount],dis_table[Category_2],'Category Summary'!$B7,dis_table[Date],'Category Summary'!M$2) +SUMIFS(cc_table[Amount],cc_table[Category_2],'Category Summary'!$B7,cc_table[Date],'Category Summary'!M$2) + SUMIFS(bb_table[Amount],bb_table[Category_2],'Category Summary'!$B7,bb_table[Date],'Category Summary'!M$2) + SUMIFS(Table5[Amount],Table5[Category_2],'Category Summary'!$B7,Table5[Date],'Category Summary'!M$2)+M22*-1</f>
        <v>51.11</v>
      </c>
      <c r="N7" s="7">
        <f>SUMIFS(dis_table[Category_2],dis_table[Amount],'Category Summary'!$B7,dis_table[Post Date],'Category Summary'!N$2) +SUMIFS(cc_table[Post Date],cc_table[Short_Desc],'Category Summary'!$B7,cc_table[Amount],'Category Summary'!N$2) + SUMIFS(bb_table[Category_2],bb_table[Short_Desc],'Category Summary'!$B7,bb_table[Category],'Category Summary'!N$2) + SUMIFS(Table5[Description],Table5[Split Amount],'Category Summary'!$B7,Table5[Individual Amount],'Category Summary'!N$2)+N22*-1</f>
        <v>0</v>
      </c>
      <c r="O7" s="12">
        <f t="shared" si="0"/>
        <v>1444.6899999999998</v>
      </c>
      <c r="P7" s="25">
        <f t="shared" si="1"/>
        <v>3.6838501817458555E-2</v>
      </c>
    </row>
    <row r="8" spans="2:16" x14ac:dyDescent="0.25">
      <c r="B8" t="s">
        <v>66</v>
      </c>
      <c r="C8" s="7">
        <f>SUMIFS(dis_table[Amount],dis_table[Category_2],'Category Summary'!$B8,dis_table[Date],'Category Summary'!C$2) +SUMIFS(cc_table[Amount],cc_table[Category_2],'Category Summary'!$B8,cc_table[Date],'Category Summary'!C$2) + SUMIFS(bb_table[Amount],bb_table[Category_2],'Category Summary'!$B8,bb_table[Date],'Category Summary'!C$2) + SUMIFS(Table5[Amount],Table5[Category_2],'Category Summary'!$B8,Table5[Date],'Category Summary'!C$2)+C23*-1</f>
        <v>29.319999999999936</v>
      </c>
      <c r="D8" s="7">
        <f>SUMIFS(dis_table[Amount],dis_table[Category_2],'Category Summary'!$B8,dis_table[Date],'Category Summary'!D$2) +SUMIFS(cc_table[Amount],cc_table[Category_2],'Category Summary'!$B8,cc_table[Date],'Category Summary'!D$2) + SUMIFS(bb_table[Amount],bb_table[Category_2],'Category Summary'!$B8,bb_table[Date],'Category Summary'!D$2) + SUMIFS(Table5[Amount],Table5[Category_2],'Category Summary'!$B8,Table5[Date],'Category Summary'!D$2)+D23*-1</f>
        <v>207.17000000000002</v>
      </c>
      <c r="E8" s="7">
        <f>SUMIFS(dis_table[Amount],dis_table[Category_2],'Category Summary'!$B8,dis_table[Date],'Category Summary'!E$2) +SUMIFS(cc_table[Amount],cc_table[Category_2],'Category Summary'!$B8,cc_table[Date],'Category Summary'!E$2) + SUMIFS(bb_table[Amount],bb_table[Category_2],'Category Summary'!$B8,bb_table[Date],'Category Summary'!E$2) + SUMIFS(Table5[Amount],Table5[Category_2],'Category Summary'!$B8,Table5[Date],'Category Summary'!E$2)+E23*-1</f>
        <v>299.5</v>
      </c>
      <c r="F8" s="7">
        <f>SUMIFS(dis_table[Amount],dis_table[Category_2],'Category Summary'!$B8,dis_table[Date],'Category Summary'!F$2) +SUMIFS(cc_table[Amount],cc_table[Category_2],'Category Summary'!$B8,cc_table[Date],'Category Summary'!F$2) + SUMIFS(bb_table[Amount],bb_table[Category_2],'Category Summary'!$B8,bb_table[Date],'Category Summary'!F$2) + SUMIFS(Table5[Amount],Table5[Category_2],'Category Summary'!$B8,Table5[Date],'Category Summary'!F$2)+F23*-1</f>
        <v>267.97000000000003</v>
      </c>
      <c r="G8" s="7">
        <f>SUMIFS(dis_table[Amount],dis_table[Category_2],'Category Summary'!$B8,dis_table[Date],'Category Summary'!G$2) +SUMIFS(cc_table[Amount],cc_table[Category_2],'Category Summary'!$B8,cc_table[Date],'Category Summary'!G$2) + SUMIFS(bb_table[Amount],bb_table[Category_2],'Category Summary'!$B8,bb_table[Date],'Category Summary'!G$2) + SUMIFS(Table5[Amount],Table5[Category_2],'Category Summary'!$B8,Table5[Date],'Category Summary'!G$2)+G23*-1</f>
        <v>263.03999999999996</v>
      </c>
      <c r="H8" s="7">
        <f>SUMIFS(dis_table[Amount],dis_table[Category_2],'Category Summary'!$B8,dis_table[Date],'Category Summary'!H$2) +SUMIFS(cc_table[Amount],cc_table[Category_2],'Category Summary'!$B8,cc_table[Date],'Category Summary'!H$2) + SUMIFS(bb_table[Amount],bb_table[Category_2],'Category Summary'!$B8,bb_table[Date],'Category Summary'!H$2) + SUMIFS(Table5[Amount],Table5[Category_2],'Category Summary'!$B8,Table5[Date],'Category Summary'!H$2)+H23*-1</f>
        <v>341.77</v>
      </c>
      <c r="I8" s="7">
        <f>SUMIFS(dis_table[Amount],dis_table[Category_2],'Category Summary'!$B8,dis_table[Date],'Category Summary'!I$2) +SUMIFS(cc_table[Amount],cc_table[Category_2],'Category Summary'!$B8,cc_table[Date],'Category Summary'!I$2) + SUMIFS(bb_table[Amount],bb_table[Category_2],'Category Summary'!$B8,bb_table[Date],'Category Summary'!I$2) + SUMIFS(Table5[Amount],Table5[Category_2],'Category Summary'!$B8,Table5[Date],'Category Summary'!I$2)+I23*-1</f>
        <v>293.46000000000004</v>
      </c>
      <c r="J8" s="7">
        <f>SUMIFS(dis_table[Amount],dis_table[Category_2],'Category Summary'!$B8,dis_table[Date],'Category Summary'!J$2) +SUMIFS(cc_table[Amount],cc_table[Category_2],'Category Summary'!$B8,cc_table[Date],'Category Summary'!J$2) + SUMIFS(bb_table[Amount],bb_table[Category_2],'Category Summary'!$B8,bb_table[Date],'Category Summary'!J$2) + SUMIFS(Table5[Amount],Table5[Category_2],'Category Summary'!$B8,Table5[Date],'Category Summary'!J$2)+J23*-1</f>
        <v>200.32999999999998</v>
      </c>
      <c r="K8" s="7">
        <f>SUMIFS(dis_table[Amount],dis_table[Category_2],'Category Summary'!$B8,dis_table[Date],'Category Summary'!K$2) +SUMIFS(cc_table[Amount],cc_table[Category_2],'Category Summary'!$B8,cc_table[Date],'Category Summary'!K$2) + SUMIFS(bb_table[Amount],bb_table[Category_2],'Category Summary'!$B8,bb_table[Date],'Category Summary'!K$2) + SUMIFS(Table5[Amount],Table5[Category_2],'Category Summary'!$B8,Table5[Date],'Category Summary'!K$2)+K23*-1</f>
        <v>277.02999999999997</v>
      </c>
      <c r="L8" s="7">
        <f>SUMIFS(dis_table[Amount],dis_table[Category_2],'Category Summary'!$B8,dis_table[Date],'Category Summary'!L$2) +SUMIFS(cc_table[Amount],cc_table[Category_2],'Category Summary'!$B8,cc_table[Date],'Category Summary'!L$2) + SUMIFS(bb_table[Amount],bb_table[Category_2],'Category Summary'!$B8,bb_table[Date],'Category Summary'!L$2) + SUMIFS(Table5[Amount],Table5[Category_2],'Category Summary'!$B8,Table5[Date],'Category Summary'!L$2)+L23*-1</f>
        <v>231.6</v>
      </c>
      <c r="M8" s="7">
        <f>SUMIFS(dis_table[Amount],dis_table[Category_2],'Category Summary'!$B8,dis_table[Date],'Category Summary'!M$2) +SUMIFS(cc_table[Amount],cc_table[Category_2],'Category Summary'!$B8,cc_table[Date],'Category Summary'!M$2) + SUMIFS(bb_table[Amount],bb_table[Category_2],'Category Summary'!$B8,bb_table[Date],'Category Summary'!M$2) + SUMIFS(Table5[Amount],Table5[Category_2],'Category Summary'!$B8,Table5[Date],'Category Summary'!M$2)+M23*-1</f>
        <v>161.6</v>
      </c>
      <c r="N8" s="7">
        <f>SUMIFS(dis_table[Category_2],dis_table[Amount],'Category Summary'!$B8,dis_table[Post Date],'Category Summary'!N$2) +SUMIFS(cc_table[Post Date],cc_table[Short_Desc],'Category Summary'!$B8,cc_table[Amount],'Category Summary'!N$2) + SUMIFS(bb_table[Category_2],bb_table[Short_Desc],'Category Summary'!$B8,bb_table[Category],'Category Summary'!N$2) + SUMIFS(Table5[Description],Table5[Split Amount],'Category Summary'!$B8,Table5[Individual Amount],'Category Summary'!N$2)+N23*-1</f>
        <v>0</v>
      </c>
      <c r="O8" s="12">
        <f t="shared" si="0"/>
        <v>2572.79</v>
      </c>
      <c r="P8" s="25">
        <f t="shared" si="1"/>
        <v>6.5604198195418545E-2</v>
      </c>
    </row>
    <row r="9" spans="2:16" x14ac:dyDescent="0.25">
      <c r="B9" t="s">
        <v>110</v>
      </c>
      <c r="C9" s="7">
        <f>SUMIFS(dis_table[Amount],dis_table[Category_2],'Category Summary'!$B9,dis_table[Date],'Category Summary'!C$2) +SUMIFS(cc_table[Amount],cc_table[Category_2],'Category Summary'!$B9,cc_table[Date],'Category Summary'!C$2) + SUMIFS(bb_table[Amount],bb_table[Category_2],'Category Summary'!$B9,bb_table[Date],'Category Summary'!C$2) + SUMIFS(Table5[Amount],Table5[Category_2],'Category Summary'!$B9,Table5[Date],'Category Summary'!C$2)</f>
        <v>79.38</v>
      </c>
      <c r="D9" s="7">
        <f>SUMIFS(dis_table[Amount],dis_table[Category_2],'Category Summary'!$B9,dis_table[Date],'Category Summary'!D$2) +SUMIFS(cc_table[Amount],cc_table[Category_2],'Category Summary'!$B9,cc_table[Date],'Category Summary'!D$2) + SUMIFS(bb_table[Amount],bb_table[Category_2],'Category Summary'!$B9,bb_table[Date],'Category Summary'!D$2) + SUMIFS(Table5[Amount],Table5[Category_2],'Category Summary'!$B9,Table5[Date],'Category Summary'!D$2)</f>
        <v>79.38</v>
      </c>
      <c r="E9" s="7">
        <f>SUMIFS(dis_table[Amount],dis_table[Category_2],'Category Summary'!$B9,dis_table[Date],'Category Summary'!E$2) +SUMIFS(cc_table[Amount],cc_table[Category_2],'Category Summary'!$B9,cc_table[Date],'Category Summary'!E$2) + SUMIFS(bb_table[Amount],bb_table[Category_2],'Category Summary'!$B9,bb_table[Date],'Category Summary'!E$2) + SUMIFS(Table5[Amount],Table5[Category_2],'Category Summary'!$B9,Table5[Date],'Category Summary'!E$2)</f>
        <v>79.38</v>
      </c>
      <c r="F9" s="7">
        <f>SUMIFS(dis_table[Amount],dis_table[Category_2],'Category Summary'!$B9,dis_table[Date],'Category Summary'!F$2) +SUMIFS(cc_table[Amount],cc_table[Category_2],'Category Summary'!$B9,cc_table[Date],'Category Summary'!F$2) + SUMIFS(bb_table[Amount],bb_table[Category_2],'Category Summary'!$B9,bb_table[Date],'Category Summary'!F$2) + SUMIFS(Table5[Amount],Table5[Category_2],'Category Summary'!$B9,Table5[Date],'Category Summary'!F$2)</f>
        <v>79.38</v>
      </c>
      <c r="G9" s="7">
        <f>SUMIFS(dis_table[Amount],dis_table[Category_2],'Category Summary'!$B9,dis_table[Date],'Category Summary'!G$2) +SUMIFS(cc_table[Amount],cc_table[Category_2],'Category Summary'!$B9,cc_table[Date],'Category Summary'!G$2) + SUMIFS(bb_table[Amount],bb_table[Category_2],'Category Summary'!$B9,bb_table[Date],'Category Summary'!G$2) + SUMIFS(Table5[Amount],Table5[Category_2],'Category Summary'!$B9,Table5[Date],'Category Summary'!G$2)</f>
        <v>79.38</v>
      </c>
      <c r="H9" s="7">
        <f>SUMIFS(dis_table[Amount],dis_table[Category_2],'Category Summary'!$B9,dis_table[Date],'Category Summary'!H$2) +SUMIFS(cc_table[Amount],cc_table[Category_2],'Category Summary'!$B9,cc_table[Date],'Category Summary'!H$2) + SUMIFS(bb_table[Amount],bb_table[Category_2],'Category Summary'!$B9,bb_table[Date],'Category Summary'!H$2) + SUMIFS(Table5[Amount],Table5[Category_2],'Category Summary'!$B9,Table5[Date],'Category Summary'!H$2)</f>
        <v>79.38</v>
      </c>
      <c r="I9" s="7">
        <f>SUMIFS(dis_table[Amount],dis_table[Category_2],'Category Summary'!$B9,dis_table[Date],'Category Summary'!I$2) +SUMIFS(cc_table[Amount],cc_table[Category_2],'Category Summary'!$B9,cc_table[Date],'Category Summary'!I$2) + SUMIFS(bb_table[Amount],bb_table[Category_2],'Category Summary'!$B9,bb_table[Date],'Category Summary'!I$2) + SUMIFS(Table5[Amount],Table5[Category_2],'Category Summary'!$B9,Table5[Date],'Category Summary'!I$2)</f>
        <v>79.66</v>
      </c>
      <c r="J9" s="7">
        <f>SUMIFS(dis_table[Amount],dis_table[Category_2],'Category Summary'!$B9,dis_table[Date],'Category Summary'!J$2) +SUMIFS(cc_table[Amount],cc_table[Category_2],'Category Summary'!$B9,cc_table[Date],'Category Summary'!J$2) + SUMIFS(bb_table[Amount],bb_table[Category_2],'Category Summary'!$B9,bb_table[Date],'Category Summary'!J$2) + SUMIFS(Table5[Amount],Table5[Category_2],'Category Summary'!$B9,Table5[Date],'Category Summary'!J$2)+J24*-1</f>
        <v>79.66</v>
      </c>
      <c r="K9" s="7">
        <f>SUMIFS(dis_table[Amount],dis_table[Category_2],'Category Summary'!$B9,dis_table[Date],'Category Summary'!K$2) +SUMIFS(cc_table[Amount],cc_table[Category_2],'Category Summary'!$B9,cc_table[Date],'Category Summary'!K$2) + SUMIFS(bb_table[Amount],bb_table[Category_2],'Category Summary'!$B9,bb_table[Date],'Category Summary'!K$2) + SUMIFS(Table5[Amount],Table5[Category_2],'Category Summary'!$B9,Table5[Date],'Category Summary'!K$2)+K24*-1</f>
        <v>80.08</v>
      </c>
      <c r="L9" s="7">
        <f>SUMIFS(dis_table[Amount],dis_table[Category_2],'Category Summary'!$B9,dis_table[Date],'Category Summary'!L$2) +SUMIFS(cc_table[Amount],cc_table[Category_2],'Category Summary'!$B9,cc_table[Date],'Category Summary'!L$2) + SUMIFS(bb_table[Amount],bb_table[Category_2],'Category Summary'!$B9,bb_table[Date],'Category Summary'!L$2) + SUMIFS(Table5[Amount],Table5[Category_2],'Category Summary'!$B9,Table5[Date],'Category Summary'!L$2)+L24*-1</f>
        <v>80.08</v>
      </c>
      <c r="M9" s="7">
        <f>SUMIFS(dis_table[Amount],dis_table[Category_2],'Category Summary'!$B9,dis_table[Date],'Category Summary'!M$2) +SUMIFS(cc_table[Amount],cc_table[Category_2],'Category Summary'!$B9,cc_table[Date],'Category Summary'!M$2) + SUMIFS(bb_table[Amount],bb_table[Category_2],'Category Summary'!$B9,bb_table[Date],'Category Summary'!M$2) + SUMIFS(Table5[Amount],Table5[Category_2],'Category Summary'!$B9,Table5[Date],'Category Summary'!M$2)+M24*-1</f>
        <v>80.08</v>
      </c>
      <c r="N9" s="7">
        <f>SUMIFS(dis_table[Category_2],dis_table[Amount],'Category Summary'!$B9,dis_table[Post Date],'Category Summary'!N$2) +SUMIFS(cc_table[Post Date],cc_table[Short_Desc],'Category Summary'!$B9,cc_table[Amount],'Category Summary'!N$2) + SUMIFS(bb_table[Category_2],bb_table[Short_Desc],'Category Summary'!$B9,bb_table[Category],'Category Summary'!N$2) + SUMIFS(Table5[Description],Table5[Split Amount],'Category Summary'!$B9,Table5[Individual Amount],'Category Summary'!N$2)</f>
        <v>0</v>
      </c>
      <c r="O9" s="12">
        <f t="shared" si="0"/>
        <v>875.84</v>
      </c>
      <c r="P9" s="25">
        <f t="shared" si="1"/>
        <v>2.2333257260590791E-2</v>
      </c>
    </row>
    <row r="10" spans="2:16" x14ac:dyDescent="0.25">
      <c r="B10" t="s">
        <v>127</v>
      </c>
      <c r="C10" s="7">
        <f>SUMIFS(dis_table[Amount],dis_table[Category_2],'Category Summary'!$B10,dis_table[Date],'Category Summary'!C$2) +SUMIFS(cc_table[Amount],cc_table[Category_2],'Category Summary'!$B10,cc_table[Date],'Category Summary'!C$2) + SUMIFS(bb_table[Amount],bb_table[Category_2],'Category Summary'!$B10,bb_table[Date],'Category Summary'!C$2) + SUMIFS(Table5[Amount],Table5[Category_2],'Category Summary'!$B10,Table5[Date],'Category Summary'!C$2)+C24*-1</f>
        <v>256.76</v>
      </c>
      <c r="D10" s="7">
        <f>SUMIFS(dis_table[Amount],dis_table[Category_2],'Category Summary'!$B10,dis_table[Date],'Category Summary'!D$2) +SUMIFS(cc_table[Amount],cc_table[Category_2],'Category Summary'!$B10,cc_table[Date],'Category Summary'!D$2) + SUMIFS(bb_table[Amount],bb_table[Category_2],'Category Summary'!$B10,bb_table[Date],'Category Summary'!D$2) + SUMIFS(Table5[Amount],Table5[Category_2],'Category Summary'!$B10,Table5[Date],'Category Summary'!D$2)+D24*-1</f>
        <v>2289.31</v>
      </c>
      <c r="E10" s="7">
        <f>SUMIFS(dis_table[Amount],dis_table[Category_2],'Category Summary'!$B10,dis_table[Date],'Category Summary'!E$2) +SUMIFS(cc_table[Amount],cc_table[Category_2],'Category Summary'!$B10,cc_table[Date],'Category Summary'!E$2) + SUMIFS(bb_table[Amount],bb_table[Category_2],'Category Summary'!$B10,bb_table[Date],'Category Summary'!E$2) + SUMIFS(Table5[Amount],Table5[Category_2],'Category Summary'!$B10,Table5[Date],'Category Summary'!E$2)+E24*-1</f>
        <v>1552.29</v>
      </c>
      <c r="F10" s="7">
        <f>SUMIFS(dis_table[Amount],dis_table[Category_2],'Category Summary'!$B10,dis_table[Date],'Category Summary'!F$2) +SUMIFS(cc_table[Amount],cc_table[Category_2],'Category Summary'!$B10,cc_table[Date],'Category Summary'!F$2) + SUMIFS(bb_table[Amount],bb_table[Category_2],'Category Summary'!$B10,bb_table[Date],'Category Summary'!F$2) + SUMIFS(Table5[Amount],Table5[Category_2],'Category Summary'!$B10,Table5[Date],'Category Summary'!F$2)+F24*-1</f>
        <v>668</v>
      </c>
      <c r="G10" s="7">
        <f>SUMIFS(dis_table[Amount],dis_table[Category_2],'Category Summary'!$B10,dis_table[Date],'Category Summary'!G$2) +SUMIFS(cc_table[Amount],cc_table[Category_2],'Category Summary'!$B10,cc_table[Date],'Category Summary'!G$2) + SUMIFS(bb_table[Amount],bb_table[Category_2],'Category Summary'!$B10,bb_table[Date],'Category Summary'!G$2) + SUMIFS(Table5[Amount],Table5[Category_2],'Category Summary'!$B10,Table5[Date],'Category Summary'!G$2)+G24*-1</f>
        <v>468.47</v>
      </c>
      <c r="H10" s="7">
        <f>SUMIFS(dis_table[Amount],dis_table[Category_2],'Category Summary'!$B10,dis_table[Date],'Category Summary'!H$2) +SUMIFS(cc_table[Amount],cc_table[Category_2],'Category Summary'!$B10,cc_table[Date],'Category Summary'!H$2) + SUMIFS(bb_table[Amount],bb_table[Category_2],'Category Summary'!$B10,bb_table[Date],'Category Summary'!H$2) + SUMIFS(Table5[Amount],Table5[Category_2],'Category Summary'!$B10,Table5[Date],'Category Summary'!H$2)+H24*-1</f>
        <v>66.069999999999993</v>
      </c>
      <c r="I10" s="7">
        <f>SUMIFS(dis_table[Amount],dis_table[Category_2],'Category Summary'!$B10,dis_table[Date],'Category Summary'!I$2) +SUMIFS(cc_table[Amount],cc_table[Category_2],'Category Summary'!$B10,cc_table[Date],'Category Summary'!I$2) + SUMIFS(bb_table[Amount],bb_table[Category_2],'Category Summary'!$B10,bb_table[Date],'Category Summary'!I$2) + SUMIFS(Table5[Amount],Table5[Category_2],'Category Summary'!$B10,Table5[Date],'Category Summary'!I$2)+I24*-1</f>
        <v>51.5</v>
      </c>
      <c r="J10" s="7">
        <f>SUMIFS(dis_table[Amount],dis_table[Category_2],'Category Summary'!$B10,dis_table[Date],'Category Summary'!J$2) +SUMIFS(cc_table[Amount],cc_table[Category_2],'Category Summary'!$B10,cc_table[Date],'Category Summary'!J$2) + SUMIFS(bb_table[Amount],bb_table[Category_2],'Category Summary'!$B10,bb_table[Date],'Category Summary'!J$2) + SUMIFS(Table5[Amount],Table5[Category_2],'Category Summary'!$B10,Table5[Date],'Category Summary'!J$2)+J25*-1</f>
        <v>25.75</v>
      </c>
      <c r="K10" s="7">
        <f>SUMIFS(dis_table[Amount],dis_table[Category_2],'Category Summary'!$B10,dis_table[Date],'Category Summary'!K$2) +SUMIFS(cc_table[Amount],cc_table[Category_2],'Category Summary'!$B10,cc_table[Date],'Category Summary'!K$2) + SUMIFS(bb_table[Amount],bb_table[Category_2],'Category Summary'!$B10,bb_table[Date],'Category Summary'!K$2) + SUMIFS(Table5[Amount],Table5[Category_2],'Category Summary'!$B10,Table5[Date],'Category Summary'!K$2)+K25*-1</f>
        <v>0</v>
      </c>
      <c r="L10" s="7">
        <f>SUMIFS(dis_table[Amount],dis_table[Category_2],'Category Summary'!$B10,dis_table[Date],'Category Summary'!L$2) +SUMIFS(cc_table[Amount],cc_table[Category_2],'Category Summary'!$B10,cc_table[Date],'Category Summary'!L$2) + SUMIFS(bb_table[Amount],bb_table[Category_2],'Category Summary'!$B10,bb_table[Date],'Category Summary'!L$2) + SUMIFS(Table5[Amount],Table5[Category_2],'Category Summary'!$B10,Table5[Date],'Category Summary'!L$2)+L25*-1</f>
        <v>0</v>
      </c>
      <c r="M10" s="7">
        <f>SUMIFS(dis_table[Amount],dis_table[Category_2],'Category Summary'!$B10,dis_table[Date],'Category Summary'!M$2) +SUMIFS(cc_table[Amount],cc_table[Category_2],'Category Summary'!$B10,cc_table[Date],'Category Summary'!M$2) + SUMIFS(bb_table[Amount],bb_table[Category_2],'Category Summary'!$B10,bb_table[Date],'Category Summary'!M$2) + SUMIFS(Table5[Amount],Table5[Category_2],'Category Summary'!$B10,Table5[Date],'Category Summary'!M$2)+M25*-1</f>
        <v>103</v>
      </c>
      <c r="N10" s="7">
        <f>SUMIFS(dis_table[Category_2],dis_table[Amount],'Category Summary'!$B10,dis_table[Post Date],'Category Summary'!N$2) +SUMIFS(cc_table[Post Date],cc_table[Short_Desc],'Category Summary'!$B10,cc_table[Amount],'Category Summary'!N$2) + SUMIFS(bb_table[Category_2],bb_table[Short_Desc],'Category Summary'!$B10,bb_table[Category],'Category Summary'!N$2) + SUMIFS(Table5[Description],Table5[Split Amount],'Category Summary'!$B10,Table5[Individual Amount],'Category Summary'!N$2)+N24*-1</f>
        <v>0</v>
      </c>
      <c r="O10" s="12">
        <f t="shared" si="0"/>
        <v>5481.15</v>
      </c>
      <c r="P10" s="25">
        <f t="shared" si="1"/>
        <v>0.13976517746835859</v>
      </c>
    </row>
    <row r="11" spans="2:16" x14ac:dyDescent="0.25">
      <c r="B11" t="s">
        <v>156</v>
      </c>
      <c r="C11" s="7">
        <f>SUMIFS(dis_table[Amount],dis_table[Category_2],'Category Summary'!$B11,dis_table[Date],'Category Summary'!C$2) +SUMIFS(cc_table[Amount],cc_table[Category_2],'Category Summary'!$B11,cc_table[Date],'Category Summary'!C$2) + SUMIFS(bb_table[Amount],bb_table[Category_2],'Category Summary'!$B11,bb_table[Date],'Category Summary'!C$2) + SUMIFS(Table5[Amount],Table5[Category_2],'Category Summary'!$B11,Table5[Date],'Category Summary'!C$2)</f>
        <v>2286</v>
      </c>
      <c r="D11" s="7">
        <f>SUMIFS(dis_table[Amount],dis_table[Category_2],'Category Summary'!$B11,dis_table[Date],'Category Summary'!D$2) +SUMIFS(cc_table[Amount],cc_table[Category_2],'Category Summary'!$B11,cc_table[Date],'Category Summary'!D$2) + SUMIFS(bb_table[Amount],bb_table[Category_2],'Category Summary'!$B11,bb_table[Date],'Category Summary'!D$2) + SUMIFS(Table5[Amount],Table5[Category_2],'Category Summary'!$B11,Table5[Date],'Category Summary'!D$2)</f>
        <v>21.35</v>
      </c>
      <c r="E11" s="7">
        <f>SUMIFS(dis_table[Amount],dis_table[Category_2],'Category Summary'!$B11,dis_table[Date],'Category Summary'!E$2) +SUMIFS(cc_table[Amount],cc_table[Category_2],'Category Summary'!$B11,cc_table[Date],'Category Summary'!E$2) + SUMIFS(bb_table[Amount],bb_table[Category_2],'Category Summary'!$B11,bb_table[Date],'Category Summary'!E$2) + SUMIFS(Table5[Amount],Table5[Category_2],'Category Summary'!$B11,Table5[Date],'Category Summary'!E$2)</f>
        <v>2553.16</v>
      </c>
      <c r="F11" s="7">
        <f>SUMIFS(dis_table[Amount],dis_table[Category_2],'Category Summary'!$B11,dis_table[Date],'Category Summary'!F$2) +SUMIFS(cc_table[Amount],cc_table[Category_2],'Category Summary'!$B11,cc_table[Date],'Category Summary'!F$2) + SUMIFS(bb_table[Amount],bb_table[Category_2],'Category Summary'!$B11,bb_table[Date],'Category Summary'!F$2) + SUMIFS(Table5[Amount],Table5[Category_2],'Category Summary'!$B11,Table5[Date],'Category Summary'!F$2)</f>
        <v>0</v>
      </c>
      <c r="G11" s="7">
        <f>SUMIFS(dis_table[Amount],dis_table[Category_2],'Category Summary'!$B11,dis_table[Date],'Category Summary'!G$2) +SUMIFS(cc_table[Amount],cc_table[Category_2],'Category Summary'!$B11,cc_table[Date],'Category Summary'!G$2) + SUMIFS(bb_table[Amount],bb_table[Category_2],'Category Summary'!$B11,bb_table[Date],'Category Summary'!G$2) + SUMIFS(Table5[Amount],Table5[Category_2],'Category Summary'!$B11,Table5[Date],'Category Summary'!G$2)</f>
        <v>0</v>
      </c>
      <c r="H11" s="7">
        <f>SUMIFS(dis_table[Amount],dis_table[Category_2],'Category Summary'!$B11,dis_table[Date],'Category Summary'!H$2) +SUMIFS(cc_table[Amount],cc_table[Category_2],'Category Summary'!$B11,cc_table[Date],'Category Summary'!H$2) + SUMIFS(bb_table[Amount],bb_table[Category_2],'Category Summary'!$B11,bb_table[Date],'Category Summary'!H$2) + SUMIFS(Table5[Amount],Table5[Category_2],'Category Summary'!$B11,Table5[Date],'Category Summary'!H$2)</f>
        <v>0</v>
      </c>
      <c r="I11" s="7">
        <f>SUMIFS(dis_table[Amount],dis_table[Category_2],'Category Summary'!$B11,dis_table[Date],'Category Summary'!I$2) +SUMIFS(cc_table[Amount],cc_table[Category_2],'Category Summary'!$B11,cc_table[Date],'Category Summary'!I$2) + SUMIFS(bb_table[Amount],bb_table[Category_2],'Category Summary'!$B11,bb_table[Date],'Category Summary'!I$2) + SUMIFS(Table5[Amount],Table5[Category_2],'Category Summary'!$B11,Table5[Date],'Category Summary'!I$2)</f>
        <v>504.86</v>
      </c>
      <c r="J11" s="7">
        <f>SUMIFS(dis_table[Amount],dis_table[Category_2],'Category Summary'!$B11,dis_table[Date],'Category Summary'!J$2) +SUMIFS(cc_table[Amount],cc_table[Category_2],'Category Summary'!$B11,cc_table[Date],'Category Summary'!J$2) + SUMIFS(bb_table[Amount],bb_table[Category_2],'Category Summary'!$B11,bb_table[Date],'Category Summary'!J$2) + SUMIFS(Table5[Amount],Table5[Category_2],'Category Summary'!$B11,Table5[Date],'Category Summary'!J$2)+J26*-1</f>
        <v>0</v>
      </c>
      <c r="K11" s="7">
        <f>SUMIFS(dis_table[Amount],dis_table[Category_2],'Category Summary'!$B11,dis_table[Date],'Category Summary'!K$2) +SUMIFS(cc_table[Amount],cc_table[Category_2],'Category Summary'!$B11,cc_table[Date],'Category Summary'!K$2) + SUMIFS(bb_table[Amount],bb_table[Category_2],'Category Summary'!$B11,bb_table[Date],'Category Summary'!K$2) + SUMIFS(Table5[Amount],Table5[Category_2],'Category Summary'!$B11,Table5[Date],'Category Summary'!K$2)+K26*-1</f>
        <v>85.76</v>
      </c>
      <c r="L11" s="7">
        <f>SUMIFS(dis_table[Amount],dis_table[Category_2],'Category Summary'!$B11,dis_table[Date],'Category Summary'!L$2) +SUMIFS(cc_table[Amount],cc_table[Category_2],'Category Summary'!$B11,cc_table[Date],'Category Summary'!L$2) + SUMIFS(bb_table[Amount],bb_table[Category_2],'Category Summary'!$B11,bb_table[Date],'Category Summary'!L$2) + SUMIFS(Table5[Amount],Table5[Category_2],'Category Summary'!$B11,Table5[Date],'Category Summary'!L$2)+L26*-1</f>
        <v>0</v>
      </c>
      <c r="M11" s="7">
        <f>SUMIFS(dis_table[Amount],dis_table[Category_2],'Category Summary'!$B11,dis_table[Date],'Category Summary'!M$2) +SUMIFS(cc_table[Amount],cc_table[Category_2],'Category Summary'!$B11,cc_table[Date],'Category Summary'!M$2) + SUMIFS(bb_table[Amount],bb_table[Category_2],'Category Summary'!$B11,bb_table[Date],'Category Summary'!M$2) + SUMIFS(Table5[Amount],Table5[Category_2],'Category Summary'!$B11,Table5[Date],'Category Summary'!M$2)+M26*-1</f>
        <v>0</v>
      </c>
      <c r="N11" s="7">
        <f>SUMIFS(dis_table[Category_2],dis_table[Amount],'Category Summary'!$B11,dis_table[Post Date],'Category Summary'!N$2) +SUMIFS(cc_table[Post Date],cc_table[Short_Desc],'Category Summary'!$B11,cc_table[Amount],'Category Summary'!N$2) + SUMIFS(bb_table[Category_2],bb_table[Short_Desc],'Category Summary'!$B11,bb_table[Category],'Category Summary'!N$2) + SUMIFS(Table5[Description],Table5[Split Amount],'Category Summary'!$B11,Table5[Individual Amount],'Category Summary'!N$2)</f>
        <v>0</v>
      </c>
      <c r="O11" s="12">
        <f t="shared" si="0"/>
        <v>5451.13</v>
      </c>
      <c r="P11" s="25">
        <f t="shared" si="1"/>
        <v>0.13899969018419375</v>
      </c>
    </row>
    <row r="12" spans="2:16" x14ac:dyDescent="0.25">
      <c r="B12" t="s">
        <v>245</v>
      </c>
      <c r="C12" s="7">
        <f>SUMIFS(dis_table[Amount],dis_table[Category_2],'Category Summary'!$B12,dis_table[Date],'Category Summary'!C$2) +SUMIFS(cc_table[Amount],cc_table[Category_2],'Category Summary'!$B12,cc_table[Date],'Category Summary'!C$2) + SUMIFS(bb_table[Amount],bb_table[Category_2],'Category Summary'!$B12,bb_table[Date],'Category Summary'!C$2) + SUMIFS(Table5[Amount],Table5[Category_2],'Category Summary'!$B12,Table5[Date],'Category Summary'!C$2)+C25*-1</f>
        <v>933.34</v>
      </c>
      <c r="D12" s="7">
        <f>SUMIFS(dis_table[Amount],dis_table[Category_2],'Category Summary'!$B12,dis_table[Date],'Category Summary'!D$2) +SUMIFS(cc_table[Amount],cc_table[Category_2],'Category Summary'!$B12,cc_table[Date],'Category Summary'!D$2) + SUMIFS(bb_table[Amount],bb_table[Category_2],'Category Summary'!$B12,bb_table[Date],'Category Summary'!D$2) + SUMIFS(Table5[Amount],Table5[Category_2],'Category Summary'!$B12,Table5[Date],'Category Summary'!D$2)+D25*-1</f>
        <v>1204.29</v>
      </c>
      <c r="E12" s="7">
        <f>SUMIFS(dis_table[Amount],dis_table[Category_2],'Category Summary'!$B12,dis_table[Date],'Category Summary'!E$2) +SUMIFS(cc_table[Amount],cc_table[Category_2],'Category Summary'!$B12,cc_table[Date],'Category Summary'!E$2) + SUMIFS(bb_table[Amount],bb_table[Category_2],'Category Summary'!$B12,bb_table[Date],'Category Summary'!E$2) + SUMIFS(Table5[Amount],Table5[Category_2],'Category Summary'!$B12,Table5[Date],'Category Summary'!E$2)+E25*-1</f>
        <v>1400</v>
      </c>
      <c r="F12" s="7">
        <f>SUMIFS(dis_table[Amount],dis_table[Category_2],'Category Summary'!$B12,dis_table[Date],'Category Summary'!F$2) +SUMIFS(cc_table[Amount],cc_table[Category_2],'Category Summary'!$B12,cc_table[Date],'Category Summary'!F$2) + SUMIFS(bb_table[Amount],bb_table[Category_2],'Category Summary'!$B12,bb_table[Date],'Category Summary'!F$2) + SUMIFS(Table5[Amount],Table5[Category_2],'Category Summary'!$B12,Table5[Date],'Category Summary'!F$2)+F25*-1</f>
        <v>1463.66</v>
      </c>
      <c r="G12" s="7">
        <f>SUMIFS(dis_table[Amount],dis_table[Category_2],'Category Summary'!$B12,dis_table[Date],'Category Summary'!G$2) +SUMIFS(cc_table[Amount],cc_table[Category_2],'Category Summary'!$B12,cc_table[Date],'Category Summary'!G$2) + SUMIFS(bb_table[Amount],bb_table[Category_2],'Category Summary'!$B12,bb_table[Date],'Category Summary'!G$2) + SUMIFS(Table5[Amount],Table5[Category_2],'Category Summary'!$B12,Table5[Date],'Category Summary'!G$2)+G25*-1</f>
        <v>1400</v>
      </c>
      <c r="H12" s="7">
        <f>SUMIFS(dis_table[Amount],dis_table[Category_2],'Category Summary'!$B12,dis_table[Date],'Category Summary'!H$2) +SUMIFS(cc_table[Amount],cc_table[Category_2],'Category Summary'!$B12,cc_table[Date],'Category Summary'!H$2) + SUMIFS(bb_table[Amount],bb_table[Category_2],'Category Summary'!$B12,bb_table[Date],'Category Summary'!H$2) + SUMIFS(Table5[Amount],Table5[Category_2],'Category Summary'!$B12,Table5[Date],'Category Summary'!H$2)+H25*-1</f>
        <v>1400</v>
      </c>
      <c r="I12" s="7">
        <f>SUMIFS(dis_table[Amount],dis_table[Category_2],'Category Summary'!$B12,dis_table[Date],'Category Summary'!I$2) +SUMIFS(cc_table[Amount],cc_table[Category_2],'Category Summary'!$B12,cc_table[Date],'Category Summary'!I$2) + SUMIFS(bb_table[Amount],bb_table[Category_2],'Category Summary'!$B12,bb_table[Date],'Category Summary'!I$2) + SUMIFS(Table5[Amount],Table5[Category_2],'Category Summary'!$B12,Table5[Date],'Category Summary'!I$2)+I25*-1</f>
        <v>1449.46</v>
      </c>
      <c r="J12" s="7">
        <f>SUMIFS(dis_table[Amount],dis_table[Category_2],'Category Summary'!$B12,dis_table[Date],'Category Summary'!J$2) +SUMIFS(cc_table[Amount],cc_table[Category_2],'Category Summary'!$B12,cc_table[Date],'Category Summary'!J$2) + SUMIFS(bb_table[Amount],bb_table[Category_2],'Category Summary'!$B12,bb_table[Date],'Category Summary'!J$2) + SUMIFS(Table5[Amount],Table5[Category_2],'Category Summary'!$B12,Table5[Date],'Category Summary'!J$2)+J27*-1</f>
        <v>197.48000000000002</v>
      </c>
      <c r="K12" s="7">
        <f>SUMIFS(dis_table[Amount],dis_table[Category_2],'Category Summary'!$B12,dis_table[Date],'Category Summary'!K$2) +SUMIFS(cc_table[Amount],cc_table[Category_2],'Category Summary'!$B12,cc_table[Date],'Category Summary'!K$2) + SUMIFS(bb_table[Amount],bb_table[Category_2],'Category Summary'!$B12,bb_table[Date],'Category Summary'!K$2) + SUMIFS(Table5[Amount],Table5[Category_2],'Category Summary'!$B12,Table5[Date],'Category Summary'!K$2)+K27*-1</f>
        <v>0</v>
      </c>
      <c r="L12" s="7">
        <f>SUMIFS(dis_table[Amount],dis_table[Category_2],'Category Summary'!$B12,dis_table[Date],'Category Summary'!L$2) +SUMIFS(cc_table[Amount],cc_table[Category_2],'Category Summary'!$B12,cc_table[Date],'Category Summary'!L$2) + SUMIFS(bb_table[Amount],bb_table[Category_2],'Category Summary'!$B12,bb_table[Date],'Category Summary'!L$2) + SUMIFS(Table5[Amount],Table5[Category_2],'Category Summary'!$B12,Table5[Date],'Category Summary'!L$2)+L27*-1</f>
        <v>210.25</v>
      </c>
      <c r="M12" s="7">
        <f>SUMIFS(dis_table[Amount],dis_table[Category_2],'Category Summary'!$B12,dis_table[Date],'Category Summary'!M$2) +SUMIFS(cc_table[Amount],cc_table[Category_2],'Category Summary'!$B12,cc_table[Date],'Category Summary'!M$2) + SUMIFS(bb_table[Amount],bb_table[Category_2],'Category Summary'!$B12,bb_table[Date],'Category Summary'!M$2) + SUMIFS(Table5[Amount],Table5[Category_2],'Category Summary'!$B12,Table5[Date],'Category Summary'!M$2)+M27*-1</f>
        <v>37.119999999999997</v>
      </c>
      <c r="N12" s="7">
        <f>SUMIFS(dis_table[Category_2],dis_table[Amount],'Category Summary'!$B12,dis_table[Post Date],'Category Summary'!N$2) +SUMIFS(cc_table[Post Date],cc_table[Short_Desc],'Category Summary'!$B12,cc_table[Amount],'Category Summary'!N$2) + SUMIFS(bb_table[Category_2],bb_table[Short_Desc],'Category Summary'!$B12,bb_table[Category],'Category Summary'!N$2) + SUMIFS(Table5[Description],Table5[Split Amount],'Category Summary'!$B12,Table5[Individual Amount],'Category Summary'!N$2)+N25*-1</f>
        <v>0</v>
      </c>
      <c r="O12" s="12">
        <f t="shared" si="0"/>
        <v>9695.6</v>
      </c>
      <c r="P12" s="25">
        <f t="shared" si="1"/>
        <v>0.2472304634359975</v>
      </c>
    </row>
    <row r="13" spans="2:16" x14ac:dyDescent="0.25">
      <c r="B13" t="s">
        <v>487</v>
      </c>
      <c r="C13" s="12">
        <f t="shared" ref="C13:P13" si="2">SUM(C3:C12)</f>
        <v>6165.68</v>
      </c>
      <c r="D13" s="12">
        <f t="shared" si="2"/>
        <v>5271.65</v>
      </c>
      <c r="E13" s="12">
        <f t="shared" si="2"/>
        <v>9059.119999999999</v>
      </c>
      <c r="F13" s="12">
        <f t="shared" si="2"/>
        <v>4915.2400000000007</v>
      </c>
      <c r="G13" s="12">
        <f t="shared" si="2"/>
        <v>7250.39</v>
      </c>
      <c r="H13" s="12">
        <f t="shared" si="2"/>
        <v>7541.4650000000011</v>
      </c>
      <c r="I13" s="12">
        <f t="shared" si="2"/>
        <v>5930.835</v>
      </c>
      <c r="J13" s="12">
        <f t="shared" ref="J13:N13" si="3">SUM(J3:J12)</f>
        <v>1979.29</v>
      </c>
      <c r="K13" s="12">
        <f t="shared" si="3"/>
        <v>3571.83</v>
      </c>
      <c r="L13" s="12">
        <f>SUM(L3:L12)</f>
        <v>3469.43</v>
      </c>
      <c r="M13" s="12">
        <f t="shared" si="3"/>
        <v>1821.8999999999996</v>
      </c>
      <c r="N13" s="12">
        <f t="shared" si="3"/>
        <v>0</v>
      </c>
      <c r="O13" s="22">
        <f t="shared" si="2"/>
        <v>56976.83</v>
      </c>
      <c r="P13" s="24">
        <f t="shared" si="2"/>
        <v>1.4528660511999301</v>
      </c>
    </row>
    <row r="17" spans="2:15" x14ac:dyDescent="0.25">
      <c r="B17" s="21" t="s">
        <v>707</v>
      </c>
      <c r="C17" t="s">
        <v>14</v>
      </c>
      <c r="D17" t="s">
        <v>117</v>
      </c>
      <c r="E17" t="s">
        <v>145</v>
      </c>
      <c r="F17" t="s">
        <v>233</v>
      </c>
      <c r="G17" t="s">
        <v>290</v>
      </c>
      <c r="H17" t="s">
        <v>364</v>
      </c>
      <c r="I17" t="s">
        <v>420</v>
      </c>
      <c r="J17" s="71" t="s">
        <v>911</v>
      </c>
      <c r="K17" s="72" t="s">
        <v>1170</v>
      </c>
      <c r="L17" s="72" t="s">
        <v>1246</v>
      </c>
      <c r="M17" s="72" t="s">
        <v>1337</v>
      </c>
      <c r="N17" s="72" t="s">
        <v>1392</v>
      </c>
      <c r="O17" t="s">
        <v>487</v>
      </c>
    </row>
    <row r="18" spans="2:15" x14ac:dyDescent="0.25">
      <c r="B18" t="s">
        <v>16</v>
      </c>
      <c r="C18" s="7">
        <f>SUMIFS(wf_table[Debit_Amount],wf_table[Category_2],'Category Summary'!$B18,wf_table[Date],'Category Summary'!C$17)</f>
        <v>-40</v>
      </c>
      <c r="D18" s="7">
        <f>SUMIFS(wf_table[Debit_Amount],wf_table[Category_2],'Category Summary'!$B18,wf_table[Date],'Category Summary'!D$17)</f>
        <v>0</v>
      </c>
      <c r="E18" s="7">
        <f>SUMIFS(wf_table[Debit_Amount],wf_table[Category_2],'Category Summary'!$B18,wf_table[Date],'Category Summary'!E$17)</f>
        <v>33</v>
      </c>
      <c r="F18" s="7">
        <f>SUMIFS(wf_table[Debit_Amount],wf_table[Category_2],'Category Summary'!$B18,wf_table[Date],'Category Summary'!F$17)</f>
        <v>0</v>
      </c>
      <c r="G18" s="7">
        <f>SUMIFS(wf_table[Debit_Amount],wf_table[Category_2],'Category Summary'!$B18,wf_table[Date],'Category Summary'!G$17)</f>
        <v>0</v>
      </c>
      <c r="H18" s="7">
        <f>SUMIFS(wf_table[Debit_Amount],wf_table[Category_2],'Category Summary'!$B18,wf_table[Date],'Category Summary'!H$17)</f>
        <v>0</v>
      </c>
      <c r="I18" s="7">
        <f>SUMIFS(wf_table[Debit_Amount],wf_table[Category_2],'Category Summary'!$B18,wf_table[Date],'Category Summary'!I$17)</f>
        <v>0</v>
      </c>
      <c r="J18" s="7">
        <f>SUMIFS(wf_table[Amount],wf_table[Trans Date],'Category Summary'!$B18,wf_table[Category_2],'Category Summary'!J$17)</f>
        <v>0</v>
      </c>
      <c r="K18" s="7">
        <f>SUMIFS(wf_table[Description],wf_table[Debit_Amount],'Category Summary'!$B18,wf_table[Trans Date],'Category Summary'!K$17)</f>
        <v>0</v>
      </c>
      <c r="L18" s="7">
        <f>SUMIFS(wf_table[Short_Desc],wf_table[Amount],'Category Summary'!$B18,wf_table[Debit_Amount],'Category Summary'!L$17)</f>
        <v>0</v>
      </c>
      <c r="M18" s="7">
        <f>SUMIFS(wf_table[Date],wf_table[Description],'Category Summary'!$B18,wf_table[Amount],'Category Summary'!M$17)</f>
        <v>0</v>
      </c>
      <c r="N18" s="7">
        <f>SUMIFS(wf_table[Category_2],wf_table[Short_Desc],'Category Summary'!$B18,wf_table[Description],'Category Summary'!N$17)</f>
        <v>0</v>
      </c>
      <c r="O18" s="8">
        <f t="shared" ref="O18:O27" si="4">SUM(C18:I18)</f>
        <v>-7</v>
      </c>
    </row>
    <row r="19" spans="2:15" x14ac:dyDescent="0.25">
      <c r="B19" t="s">
        <v>23</v>
      </c>
      <c r="C19" s="7">
        <f>SUMIFS(wf_table[Debit_Amount],wf_table[Category_2],'Category Summary'!$B19,wf_table[Date],'Category Summary'!C$17)</f>
        <v>-623.34</v>
      </c>
      <c r="D19" s="7">
        <f>SUMIFS(wf_table[Debit_Amount],wf_table[Category_2],'Category Summary'!$B19,wf_table[Date],'Category Summary'!D$17)</f>
        <v>0</v>
      </c>
      <c r="E19" s="7">
        <f>SUMIFS(wf_table[Debit_Amount],wf_table[Category_2],'Category Summary'!$B19,wf_table[Date],'Category Summary'!E$17)</f>
        <v>-52</v>
      </c>
      <c r="F19" s="7">
        <f>SUMIFS(wf_table[Debit_Amount],wf_table[Category_2],'Category Summary'!$B19,wf_table[Date],'Category Summary'!F$17)</f>
        <v>-59</v>
      </c>
      <c r="G19" s="7">
        <f>SUMIFS(wf_table[Debit_Amount],wf_table[Category_2],'Category Summary'!$B19,wf_table[Date],'Category Summary'!G$17)</f>
        <v>-276.83</v>
      </c>
      <c r="H19" s="7">
        <f>SUMIFS(wf_table[Debit_Amount],wf_table[Category_2],'Category Summary'!$B19,wf_table[Date],'Category Summary'!H$17)</f>
        <v>0</v>
      </c>
      <c r="I19" s="7">
        <f>SUMIFS(wf_table[Debit_Amount],wf_table[Category_2],'Category Summary'!$B19,wf_table[Date],'Category Summary'!I$17)</f>
        <v>-25.48</v>
      </c>
      <c r="J19" s="7">
        <f>SUMIFS(wf_table[Amount],wf_table[Trans Date],'Category Summary'!$B19,wf_table[Category_2],'Category Summary'!J$17)</f>
        <v>0</v>
      </c>
      <c r="K19" s="7">
        <f>SUMIFS(wf_table[Description],wf_table[Debit_Amount],'Category Summary'!$B19,wf_table[Trans Date],'Category Summary'!K$17)</f>
        <v>0</v>
      </c>
      <c r="L19" s="7">
        <f>SUMIFS(wf_table[Short_Desc],wf_table[Amount],'Category Summary'!$B19,wf_table[Debit_Amount],'Category Summary'!L$17)</f>
        <v>0</v>
      </c>
      <c r="M19" s="7">
        <f>SUMIFS(wf_table[Date],wf_table[Description],'Category Summary'!$B19,wf_table[Amount],'Category Summary'!M$17)</f>
        <v>0</v>
      </c>
      <c r="N19" s="7">
        <f>SUMIFS(wf_table[Category_2],wf_table[Short_Desc],'Category Summary'!$B19,wf_table[Description],'Category Summary'!N$17)</f>
        <v>0</v>
      </c>
      <c r="O19" s="8">
        <f t="shared" si="4"/>
        <v>-1036.6500000000001</v>
      </c>
    </row>
    <row r="20" spans="2:15" x14ac:dyDescent="0.25">
      <c r="B20" t="s">
        <v>32</v>
      </c>
      <c r="C20" s="7">
        <f>SUMIFS(wf_table[Debit_Amount],wf_table[Category_2],'Category Summary'!$B20,wf_table[Date],'Category Summary'!C$17)</f>
        <v>-90</v>
      </c>
      <c r="D20" s="7">
        <f>SUMIFS(wf_table[Debit_Amount],wf_table[Category_2],'Category Summary'!$B20,wf_table[Date],'Category Summary'!D$17)</f>
        <v>-210</v>
      </c>
      <c r="E20" s="7">
        <f>SUMIFS(wf_table[Debit_Amount],wf_table[Category_2],'Category Summary'!$B20,wf_table[Date],'Category Summary'!E$17)</f>
        <v>0</v>
      </c>
      <c r="F20" s="7">
        <f>SUMIFS(wf_table[Debit_Amount],wf_table[Category_2],'Category Summary'!$B20,wf_table[Date],'Category Summary'!F$17)</f>
        <v>0</v>
      </c>
      <c r="G20" s="7">
        <f>SUMIFS(wf_table[Debit_Amount],wf_table[Category_2],'Category Summary'!$B20,wf_table[Date],'Category Summary'!G$17)</f>
        <v>0</v>
      </c>
      <c r="H20" s="7">
        <f>SUMIFS(wf_table[Debit_Amount],wf_table[Category_2],'Category Summary'!$B20,wf_table[Date],'Category Summary'!H$17)</f>
        <v>0</v>
      </c>
      <c r="I20" s="7">
        <f>SUMIFS(wf_table[Debit_Amount],wf_table[Category_2],'Category Summary'!$B20,wf_table[Date],'Category Summary'!I$17)</f>
        <v>0</v>
      </c>
      <c r="J20" s="7">
        <f>SUMIFS(wf_table[Amount],wf_table[Trans Date],'Category Summary'!$B20,wf_table[Category_2],'Category Summary'!J$17)</f>
        <v>0</v>
      </c>
      <c r="K20" s="7">
        <f>SUMIFS(wf_table[Description],wf_table[Debit_Amount],'Category Summary'!$B20,wf_table[Trans Date],'Category Summary'!K$17)</f>
        <v>0</v>
      </c>
      <c r="L20" s="7">
        <f>SUMIFS(wf_table[Short_Desc],wf_table[Amount],'Category Summary'!$B20,wf_table[Debit_Amount],'Category Summary'!L$17)</f>
        <v>0</v>
      </c>
      <c r="M20" s="7">
        <f>SUMIFS(wf_table[Date],wf_table[Description],'Category Summary'!$B20,wf_table[Amount],'Category Summary'!M$17)</f>
        <v>0</v>
      </c>
      <c r="N20" s="7">
        <f>SUMIFS(wf_table[Category_2],wf_table[Short_Desc],'Category Summary'!$B20,wf_table[Description],'Category Summary'!N$17)</f>
        <v>0</v>
      </c>
      <c r="O20" s="8">
        <f t="shared" si="4"/>
        <v>-300</v>
      </c>
    </row>
    <row r="21" spans="2:15" x14ac:dyDescent="0.25">
      <c r="B21" t="s">
        <v>42</v>
      </c>
      <c r="C21" s="7">
        <f>SUMIFS(wf_table[Debit_Amount],wf_table[Category_2],'Category Summary'!$B21,wf_table[Date],'Category Summary'!C$17)</f>
        <v>0</v>
      </c>
      <c r="D21" s="7">
        <f>SUMIFS(wf_table[Debit_Amount],wf_table[Category_2],'Category Summary'!$B21,wf_table[Date],'Category Summary'!D$17)</f>
        <v>0</v>
      </c>
      <c r="E21" s="7">
        <f>SUMIFS(wf_table[Debit_Amount],wf_table[Category_2],'Category Summary'!$B21,wf_table[Date],'Category Summary'!E$17)</f>
        <v>0</v>
      </c>
      <c r="F21" s="7">
        <f>SUMIFS(wf_table[Debit_Amount],wf_table[Category_2],'Category Summary'!$B21,wf_table[Date],'Category Summary'!F$17)</f>
        <v>0</v>
      </c>
      <c r="G21" s="7">
        <f>SUMIFS(wf_table[Debit_Amount],wf_table[Category_2],'Category Summary'!$B21,wf_table[Date],'Category Summary'!G$17)</f>
        <v>0</v>
      </c>
      <c r="H21" s="7">
        <f>SUMIFS(wf_table[Debit_Amount],wf_table[Category_2],'Category Summary'!$B21,wf_table[Date],'Category Summary'!H$17)</f>
        <v>0</v>
      </c>
      <c r="I21" s="7">
        <f>SUMIFS(wf_table[Debit_Amount],wf_table[Category_2],'Category Summary'!$B21,wf_table[Date],'Category Summary'!I$17)</f>
        <v>-64</v>
      </c>
      <c r="J21" s="7">
        <f>SUMIFS(wf_table[Amount],wf_table[Trans Date],'Category Summary'!$B21,wf_table[Category_2],'Category Summary'!J$17)</f>
        <v>0</v>
      </c>
      <c r="K21" s="7">
        <f>SUMIFS(wf_table[Description],wf_table[Debit_Amount],'Category Summary'!$B21,wf_table[Trans Date],'Category Summary'!K$17)</f>
        <v>0</v>
      </c>
      <c r="L21" s="7">
        <f>SUMIFS(wf_table[Short_Desc],wf_table[Amount],'Category Summary'!$B21,wf_table[Debit_Amount],'Category Summary'!L$17)</f>
        <v>0</v>
      </c>
      <c r="M21" s="7">
        <f>SUMIFS(wf_table[Date],wf_table[Description],'Category Summary'!$B21,wf_table[Amount],'Category Summary'!M$17)</f>
        <v>0</v>
      </c>
      <c r="N21" s="7">
        <f>SUMIFS(wf_table[Category_2],wf_table[Short_Desc],'Category Summary'!$B21,wf_table[Description],'Category Summary'!N$17)</f>
        <v>0</v>
      </c>
      <c r="O21" s="8">
        <f t="shared" si="4"/>
        <v>-64</v>
      </c>
    </row>
    <row r="22" spans="2:15" x14ac:dyDescent="0.25">
      <c r="B22" t="s">
        <v>60</v>
      </c>
      <c r="C22" s="7">
        <f>SUMIFS(wf_table[Debit_Amount],wf_table[Category_2],'Category Summary'!$B22,wf_table[Date],'Category Summary'!C$17)</f>
        <v>-10</v>
      </c>
      <c r="D22" s="7">
        <f>SUMIFS(wf_table[Debit_Amount],wf_table[Category_2],'Category Summary'!$B22,wf_table[Date],'Category Summary'!D$17)</f>
        <v>0</v>
      </c>
      <c r="E22" s="7">
        <f>SUMIFS(wf_table[Debit_Amount],wf_table[Category_2],'Category Summary'!$B22,wf_table[Date],'Category Summary'!E$17)</f>
        <v>0</v>
      </c>
      <c r="F22" s="7">
        <f>SUMIFS(wf_table[Debit_Amount],wf_table[Category_2],'Category Summary'!$B22,wf_table[Date],'Category Summary'!F$17)</f>
        <v>0</v>
      </c>
      <c r="G22" s="7">
        <f>SUMIFS(wf_table[Debit_Amount],wf_table[Category_2],'Category Summary'!$B22,wf_table[Date],'Category Summary'!G$17)</f>
        <v>0</v>
      </c>
      <c r="H22" s="7">
        <f>SUMIFS(wf_table[Debit_Amount],wf_table[Category_2],'Category Summary'!$B22,wf_table[Date],'Category Summary'!H$17)</f>
        <v>0</v>
      </c>
      <c r="I22" s="7">
        <f>SUMIFS(wf_table[Debit_Amount],wf_table[Category_2],'Category Summary'!$B22,wf_table[Date],'Category Summary'!I$17)</f>
        <v>0</v>
      </c>
      <c r="J22" s="7">
        <f>SUMIFS(wf_table[Amount],wf_table[Trans Date],'Category Summary'!$B22,wf_table[Category_2],'Category Summary'!J$17)</f>
        <v>0</v>
      </c>
      <c r="K22" s="7">
        <f>SUMIFS(wf_table[Description],wf_table[Debit_Amount],'Category Summary'!$B22,wf_table[Trans Date],'Category Summary'!K$17)</f>
        <v>0</v>
      </c>
      <c r="L22" s="7">
        <f>SUMIFS(wf_table[Short_Desc],wf_table[Amount],'Category Summary'!$B22,wf_table[Debit_Amount],'Category Summary'!L$17)</f>
        <v>0</v>
      </c>
      <c r="M22" s="7">
        <f>SUMIFS(wf_table[Date],wf_table[Description],'Category Summary'!$B22,wf_table[Amount],'Category Summary'!M$17)</f>
        <v>0</v>
      </c>
      <c r="N22" s="7">
        <f>SUMIFS(wf_table[Category_2],wf_table[Short_Desc],'Category Summary'!$B22,wf_table[Description],'Category Summary'!N$17)</f>
        <v>0</v>
      </c>
      <c r="O22" s="8">
        <f t="shared" si="4"/>
        <v>-10</v>
      </c>
    </row>
    <row r="23" spans="2:15" x14ac:dyDescent="0.25">
      <c r="B23" t="s">
        <v>66</v>
      </c>
      <c r="C23" s="7">
        <f>SUMIFS(wf_table[Debit_Amount],wf_table[Category_2],'Category Summary'!$B23,wf_table[Date],'Category Summary'!C$17)</f>
        <v>265.47000000000003</v>
      </c>
      <c r="D23" s="7">
        <f>SUMIFS(wf_table[Debit_Amount],wf_table[Category_2],'Category Summary'!$B23,wf_table[Date],'Category Summary'!D$17)</f>
        <v>-137.17000000000002</v>
      </c>
      <c r="E23" s="7">
        <f>SUMIFS(wf_table[Debit_Amount],wf_table[Category_2],'Category Summary'!$B23,wf_table[Date],'Category Summary'!E$17)</f>
        <v>-229.5</v>
      </c>
      <c r="F23" s="7">
        <f>SUMIFS(wf_table[Debit_Amount],wf_table[Category_2],'Category Summary'!$B23,wf_table[Date],'Category Summary'!F$17)</f>
        <v>-197.97</v>
      </c>
      <c r="G23" s="7">
        <f>SUMIFS(wf_table[Debit_Amount],wf_table[Category_2],'Category Summary'!$B23,wf_table[Date],'Category Summary'!G$17)</f>
        <v>-193.04</v>
      </c>
      <c r="H23" s="7">
        <f>SUMIFS(wf_table[Debit_Amount],wf_table[Category_2],'Category Summary'!$B23,wf_table[Date],'Category Summary'!H$17)</f>
        <v>-271.77</v>
      </c>
      <c r="I23" s="7">
        <f>SUMIFS(wf_table[Debit_Amount],wf_table[Category_2],'Category Summary'!$B23,wf_table[Date],'Category Summary'!I$17)</f>
        <v>-202.46</v>
      </c>
      <c r="J23" s="7">
        <f>SUMIFS(wf_table[Amount],wf_table[Trans Date],'Category Summary'!$B23,wf_table[Category_2],'Category Summary'!J$17)</f>
        <v>0</v>
      </c>
      <c r="K23" s="7">
        <f>SUMIFS(wf_table[Description],wf_table[Debit_Amount],'Category Summary'!$B23,wf_table[Trans Date],'Category Summary'!K$17)</f>
        <v>0</v>
      </c>
      <c r="L23" s="7">
        <f>SUMIFS(wf_table[Short_Desc],wf_table[Amount],'Category Summary'!$B23,wf_table[Debit_Amount],'Category Summary'!L$17)</f>
        <v>0</v>
      </c>
      <c r="M23" s="7">
        <f>SUMIFS(wf_table[Date],wf_table[Description],'Category Summary'!$B23,wf_table[Amount],'Category Summary'!M$17)</f>
        <v>0</v>
      </c>
      <c r="N23" s="7">
        <f>SUMIFS(wf_table[Category_2],wf_table[Short_Desc],'Category Summary'!$B23,wf_table[Description],'Category Summary'!N$17)</f>
        <v>0</v>
      </c>
      <c r="O23" s="8">
        <f t="shared" si="4"/>
        <v>-966.43999999999994</v>
      </c>
    </row>
    <row r="24" spans="2:15" x14ac:dyDescent="0.25">
      <c r="B24" t="s">
        <v>127</v>
      </c>
      <c r="C24" s="7">
        <f>SUMIFS(wf_table[Debit_Amount],wf_table[Category_2],'Category Summary'!$B24,wf_table[Date],'Category Summary'!C$17)</f>
        <v>-256.76</v>
      </c>
      <c r="D24" s="7">
        <f>SUMIFS(wf_table[Debit_Amount],wf_table[Category_2],'Category Summary'!$B24,wf_table[Date],'Category Summary'!D$17)</f>
        <v>-2240.31</v>
      </c>
      <c r="E24" s="7">
        <f>SUMIFS(wf_table[Debit_Amount],wf_table[Category_2],'Category Summary'!$B24,wf_table[Date],'Category Summary'!E$17)</f>
        <v>-1384.09</v>
      </c>
      <c r="F24" s="7">
        <f>SUMIFS(wf_table[Debit_Amount],wf_table[Category_2],'Category Summary'!$B24,wf_table[Date],'Category Summary'!F$17)</f>
        <v>-668</v>
      </c>
      <c r="G24" s="7">
        <f>SUMIFS(wf_table[Debit_Amount],wf_table[Category_2],'Category Summary'!$B24,wf_table[Date],'Category Summary'!G$17)</f>
        <v>-468.47</v>
      </c>
      <c r="H24" s="7">
        <f>SUMIFS(wf_table[Debit_Amount],wf_table[Category_2],'Category Summary'!$B24,wf_table[Date],'Category Summary'!H$17)</f>
        <v>-66.069999999999993</v>
      </c>
      <c r="I24" s="7">
        <f>SUMIFS(wf_table[Debit_Amount],wf_table[Category_2],'Category Summary'!$B24,wf_table[Date],'Category Summary'!I$17)</f>
        <v>0</v>
      </c>
      <c r="J24" s="7">
        <f>SUMIFS(wf_table[Amount],wf_table[Trans Date],'Category Summary'!$B24,wf_table[Category_2],'Category Summary'!J$17)</f>
        <v>0</v>
      </c>
      <c r="K24" s="7">
        <f>SUMIFS(wf_table[Description],wf_table[Debit_Amount],'Category Summary'!$B24,wf_table[Trans Date],'Category Summary'!K$17)</f>
        <v>0</v>
      </c>
      <c r="L24" s="7">
        <f>SUMIFS(wf_table[Short_Desc],wf_table[Amount],'Category Summary'!$B24,wf_table[Debit_Amount],'Category Summary'!L$17)</f>
        <v>0</v>
      </c>
      <c r="M24" s="7">
        <f>SUMIFS(wf_table[Date],wf_table[Description],'Category Summary'!$B24,wf_table[Amount],'Category Summary'!M$17)</f>
        <v>0</v>
      </c>
      <c r="N24" s="7">
        <f>SUMIFS(wf_table[Category_2],wf_table[Short_Desc],'Category Summary'!$B24,wf_table[Description],'Category Summary'!N$17)</f>
        <v>0</v>
      </c>
      <c r="O24" s="8">
        <f t="shared" si="4"/>
        <v>-5083.7</v>
      </c>
    </row>
    <row r="25" spans="2:15" x14ac:dyDescent="0.25">
      <c r="B25" t="s">
        <v>245</v>
      </c>
      <c r="C25" s="7">
        <f>SUMIFS(wf_table[Debit_Amount],wf_table[Category_2],'Category Summary'!$B25,wf_table[Date],'Category Summary'!C$17)</f>
        <v>-933.34</v>
      </c>
      <c r="D25" s="7">
        <f>SUMIFS(wf_table[Debit_Amount],wf_table[Category_2],'Category Summary'!$B25,wf_table[Date],'Category Summary'!D$17)</f>
        <v>-1204.29</v>
      </c>
      <c r="E25" s="7">
        <f>SUMIFS(wf_table[Debit_Amount],wf_table[Category_2],'Category Summary'!$B25,wf_table[Date],'Category Summary'!E$17)</f>
        <v>-1400</v>
      </c>
      <c r="F25" s="7">
        <f>SUMIFS(wf_table[Debit_Amount],wf_table[Category_2],'Category Summary'!$B25,wf_table[Date],'Category Summary'!F$17)</f>
        <v>-1400</v>
      </c>
      <c r="G25" s="7">
        <f>SUMIFS(wf_table[Debit_Amount],wf_table[Category_2],'Category Summary'!$B25,wf_table[Date],'Category Summary'!G$17)</f>
        <v>-1400</v>
      </c>
      <c r="H25" s="7">
        <f>SUMIFS(wf_table[Debit_Amount],wf_table[Category_2],'Category Summary'!$B25,wf_table[Date],'Category Summary'!H$17)</f>
        <v>-1400</v>
      </c>
      <c r="I25" s="7">
        <f>SUMIFS(wf_table[Debit_Amount],wf_table[Category_2],'Category Summary'!$B25,wf_table[Date],'Category Summary'!I$17)</f>
        <v>-1400</v>
      </c>
      <c r="J25" s="7">
        <f>SUMIFS(wf_table[Amount],wf_table[Trans Date],'Category Summary'!$B25,wf_table[Category_2],'Category Summary'!J$17)</f>
        <v>0</v>
      </c>
      <c r="K25" s="7">
        <f>SUMIFS(wf_table[Description],wf_table[Debit_Amount],'Category Summary'!$B25,wf_table[Trans Date],'Category Summary'!K$17)</f>
        <v>0</v>
      </c>
      <c r="L25" s="7">
        <f>SUMIFS(wf_table[Short_Desc],wf_table[Amount],'Category Summary'!$B25,wf_table[Debit_Amount],'Category Summary'!L$17)</f>
        <v>0</v>
      </c>
      <c r="M25" s="7">
        <f>SUMIFS(wf_table[Date],wf_table[Description],'Category Summary'!$B25,wf_table[Amount],'Category Summary'!M$17)</f>
        <v>0</v>
      </c>
      <c r="N25" s="7">
        <f>SUMIFS(wf_table[Category_2],wf_table[Short_Desc],'Category Summary'!$B25,wf_table[Description],'Category Summary'!N$17)</f>
        <v>0</v>
      </c>
      <c r="O25" s="8">
        <f t="shared" si="4"/>
        <v>-9137.630000000001</v>
      </c>
    </row>
    <row r="26" spans="2:15" x14ac:dyDescent="0.25">
      <c r="B26" t="s">
        <v>685</v>
      </c>
      <c r="C26" s="7">
        <f>SUMIFS(wf_table[Debit_Amount],wf_table[Category_2],'Category Summary'!$B26,wf_table[Date],'Category Summary'!C$17)</f>
        <v>-5236.91</v>
      </c>
      <c r="D26" s="7">
        <f>SUMIFS(wf_table[Debit_Amount],wf_table[Category_2],'Category Summary'!$B26,wf_table[Date],'Category Summary'!D$17)</f>
        <v>-1307.3499999999999</v>
      </c>
      <c r="E26" s="7">
        <f>SUMIFS(wf_table[Debit_Amount],wf_table[Category_2],'Category Summary'!$B26,wf_table[Date],'Category Summary'!E$17)</f>
        <v>-1969.1</v>
      </c>
      <c r="F26" s="7">
        <f>SUMIFS(wf_table[Debit_Amount],wf_table[Category_2],'Category Summary'!$B26,wf_table[Date],'Category Summary'!F$17)</f>
        <v>-2074.62</v>
      </c>
      <c r="G26" s="7">
        <f>SUMIFS(wf_table[Debit_Amount],wf_table[Category_2],'Category Summary'!$B26,wf_table[Date],'Category Summary'!G$17)</f>
        <v>-3000</v>
      </c>
      <c r="H26" s="7">
        <f>SUMIFS(wf_table[Debit_Amount],wf_table[Category_2],'Category Summary'!$B26,wf_table[Date],'Category Summary'!H$17)</f>
        <v>-4974.91</v>
      </c>
      <c r="I26" s="7">
        <f>SUMIFS(wf_table[Debit_Amount],wf_table[Category_2],'Category Summary'!$B26,wf_table[Date],'Category Summary'!I$17)</f>
        <v>-3600</v>
      </c>
      <c r="J26" s="7">
        <f>SUMIFS(wf_table[Amount],wf_table[Trans Date],'Category Summary'!$B26,wf_table[Category_2],'Category Summary'!J$17)</f>
        <v>0</v>
      </c>
      <c r="K26" s="7">
        <f>SUMIFS(wf_table[Description],wf_table[Debit_Amount],'Category Summary'!$B26,wf_table[Trans Date],'Category Summary'!K$17)</f>
        <v>0</v>
      </c>
      <c r="L26" s="7">
        <f>SUMIFS(wf_table[Short_Desc],wf_table[Amount],'Category Summary'!$B26,wf_table[Debit_Amount],'Category Summary'!L$17)</f>
        <v>0</v>
      </c>
      <c r="M26" s="7">
        <f>SUMIFS(wf_table[Date],wf_table[Description],'Category Summary'!$B26,wf_table[Amount],'Category Summary'!M$17)</f>
        <v>0</v>
      </c>
      <c r="N26" s="7">
        <f>SUMIFS(wf_table[Category_2],wf_table[Short_Desc],'Category Summary'!$B26,wf_table[Description],'Category Summary'!N$17)</f>
        <v>0</v>
      </c>
      <c r="O26" s="8">
        <f t="shared" si="4"/>
        <v>-22162.89</v>
      </c>
    </row>
    <row r="27" spans="2:15" x14ac:dyDescent="0.25">
      <c r="B27" t="s">
        <v>679</v>
      </c>
      <c r="C27" s="7">
        <f>SUMIFS(wf_table[Debit_Amount],wf_table[Category_2],'Category Summary'!$B27,wf_table[Date],'Category Summary'!C$17)</f>
        <v>5616.86</v>
      </c>
      <c r="D27" s="7">
        <f>SUMIFS(wf_table[Debit_Amount],wf_table[Category_2],'Category Summary'!$B27,wf_table[Date],'Category Summary'!D$17)</f>
        <v>7196.43</v>
      </c>
      <c r="E27" s="7">
        <f>SUMIFS(wf_table[Debit_Amount],wf_table[Category_2],'Category Summary'!$B27,wf_table[Date],'Category Summary'!E$17)</f>
        <v>4480.1400000000003</v>
      </c>
      <c r="F27" s="7">
        <f>SUMIFS(wf_table[Debit_Amount],wf_table[Category_2],'Category Summary'!$B27,wf_table[Date],'Category Summary'!F$17)</f>
        <v>4543.1499999999996</v>
      </c>
      <c r="G27" s="7">
        <f>SUMIFS(wf_table[Debit_Amount],wf_table[Category_2],'Category Summary'!$B27,wf_table[Date],'Category Summary'!G$17)</f>
        <v>4965.79</v>
      </c>
      <c r="H27" s="7">
        <f>SUMIFS(wf_table[Debit_Amount],wf_table[Category_2],'Category Summary'!$B27,wf_table[Date],'Category Summary'!H$17)</f>
        <v>7448.6900000000005</v>
      </c>
      <c r="I27" s="7">
        <f>SUMIFS(wf_table[Debit_Amount],wf_table[Category_2],'Category Summary'!$B27,wf_table[Date],'Category Summary'!I$17)</f>
        <v>4965.79</v>
      </c>
      <c r="J27" s="7">
        <f>SUMIFS(wf_table[Amount],wf_table[Trans Date],'Category Summary'!$B27,wf_table[Category_2],'Category Summary'!J$17)</f>
        <v>0</v>
      </c>
      <c r="K27" s="7">
        <f>SUMIFS(wf_table[Description],wf_table[Debit_Amount],'Category Summary'!$B27,wf_table[Trans Date],'Category Summary'!K$17)</f>
        <v>0</v>
      </c>
      <c r="L27" s="7">
        <f>SUMIFS(wf_table[Short_Desc],wf_table[Amount],'Category Summary'!$B27,wf_table[Debit_Amount],'Category Summary'!L$17)</f>
        <v>0</v>
      </c>
      <c r="M27" s="7">
        <f>SUMIFS(wf_table[Date],wf_table[Description],'Category Summary'!$B27,wf_table[Amount],'Category Summary'!M$17)</f>
        <v>0</v>
      </c>
      <c r="N27" s="7">
        <f>SUMIFS(wf_table[Category_2],wf_table[Short_Desc],'Category Summary'!$B27,wf_table[Description],'Category Summary'!N$17)</f>
        <v>0</v>
      </c>
      <c r="O27" s="22">
        <f t="shared" si="4"/>
        <v>39216.850000000006</v>
      </c>
    </row>
    <row r="28" spans="2:15" x14ac:dyDescent="0.25">
      <c r="C28" s="8">
        <f>SUM(C18:C27)</f>
        <v>-1308.0200000000004</v>
      </c>
      <c r="D28" s="8">
        <f t="shared" ref="D28:I28" si="5">SUM(D18:D27)</f>
        <v>2097.3100000000004</v>
      </c>
      <c r="E28" s="8">
        <f t="shared" si="5"/>
        <v>-521.55000000000018</v>
      </c>
      <c r="F28" s="8">
        <f t="shared" si="5"/>
        <v>143.55999999999949</v>
      </c>
      <c r="G28" s="8">
        <f t="shared" si="5"/>
        <v>-372.55000000000018</v>
      </c>
      <c r="H28" s="8">
        <f t="shared" si="5"/>
        <v>735.94000000000051</v>
      </c>
      <c r="I28" s="8">
        <f t="shared" si="5"/>
        <v>-326.15000000000055</v>
      </c>
      <c r="J28" s="8">
        <f t="shared" ref="J28:N28" si="6">SUM(J18:J27)</f>
        <v>0</v>
      </c>
      <c r="K28" s="8">
        <f t="shared" si="6"/>
        <v>0</v>
      </c>
      <c r="L28" s="8">
        <f t="shared" si="6"/>
        <v>0</v>
      </c>
      <c r="M28" s="8">
        <f t="shared" si="6"/>
        <v>0</v>
      </c>
      <c r="N28" s="8">
        <f t="shared" si="6"/>
        <v>0</v>
      </c>
      <c r="O28" s="8">
        <f>O27-O13</f>
        <v>-17759.979999999996</v>
      </c>
    </row>
  </sheetData>
  <phoneticPr fontId="8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2873-E207-4038-A27F-733067F28BAC}">
  <sheetPr>
    <tabColor rgb="FF0070C0"/>
  </sheetPr>
  <dimension ref="A3:M33"/>
  <sheetViews>
    <sheetView topLeftCell="A4" workbookViewId="0">
      <selection activeCell="H50" sqref="H50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9" width="11.28515625" bestFit="1" customWidth="1"/>
    <col min="10" max="10" width="12.28515625" bestFit="1" customWidth="1"/>
    <col min="11" max="12" width="8" bestFit="1" customWidth="1"/>
    <col min="13" max="13" width="11.28515625" bestFit="1" customWidth="1"/>
  </cols>
  <sheetData>
    <row r="3" spans="1:13" x14ac:dyDescent="0.25">
      <c r="A3" s="65" t="s">
        <v>941</v>
      </c>
      <c r="B3" s="65" t="s">
        <v>940</v>
      </c>
    </row>
    <row r="4" spans="1:13" x14ac:dyDescent="0.25">
      <c r="A4" s="65" t="s">
        <v>938</v>
      </c>
      <c r="B4" t="s">
        <v>14</v>
      </c>
      <c r="C4" t="s">
        <v>117</v>
      </c>
      <c r="D4" t="s">
        <v>145</v>
      </c>
      <c r="E4" t="s">
        <v>233</v>
      </c>
      <c r="F4" t="s">
        <v>290</v>
      </c>
      <c r="G4" t="s">
        <v>364</v>
      </c>
      <c r="H4" t="s">
        <v>420</v>
      </c>
      <c r="I4" t="s">
        <v>911</v>
      </c>
      <c r="J4" t="s">
        <v>1170</v>
      </c>
      <c r="K4" t="s">
        <v>1246</v>
      </c>
      <c r="L4" t="s">
        <v>1337</v>
      </c>
      <c r="M4" t="s">
        <v>939</v>
      </c>
    </row>
    <row r="5" spans="1:13" x14ac:dyDescent="0.25">
      <c r="A5" s="66" t="s">
        <v>16</v>
      </c>
      <c r="B5" s="8">
        <v>547.29</v>
      </c>
      <c r="C5" s="8">
        <v>248.29</v>
      </c>
      <c r="D5" s="8">
        <v>1264.2499999999998</v>
      </c>
      <c r="E5" s="8">
        <v>945.31000000000029</v>
      </c>
      <c r="F5" s="8">
        <v>721.44999999999993</v>
      </c>
      <c r="G5" s="8">
        <v>619.47000000000014</v>
      </c>
      <c r="H5" s="8">
        <v>1081.22</v>
      </c>
      <c r="I5" s="8">
        <v>795.70999999999992</v>
      </c>
      <c r="J5" s="8">
        <v>816.43000000000018</v>
      </c>
      <c r="K5" s="8">
        <v>756.42000000000007</v>
      </c>
      <c r="L5" s="8">
        <v>649.85000000000014</v>
      </c>
      <c r="M5" s="8">
        <v>8445.69</v>
      </c>
    </row>
    <row r="6" spans="1:13" x14ac:dyDescent="0.25">
      <c r="A6" s="66" t="s">
        <v>245</v>
      </c>
      <c r="B6" s="8"/>
      <c r="C6" s="8"/>
      <c r="D6" s="8"/>
      <c r="E6" s="8">
        <v>63.66</v>
      </c>
      <c r="F6" s="8"/>
      <c r="G6" s="8"/>
      <c r="H6" s="8">
        <v>49.46</v>
      </c>
      <c r="I6" s="8">
        <v>197.48000000000002</v>
      </c>
      <c r="J6" s="8"/>
      <c r="K6" s="8">
        <v>210.25</v>
      </c>
      <c r="L6" s="8">
        <v>37.119999999999997</v>
      </c>
      <c r="M6" s="8">
        <v>557.97</v>
      </c>
    </row>
    <row r="7" spans="1:13" x14ac:dyDescent="0.25">
      <c r="A7" s="66" t="s">
        <v>110</v>
      </c>
      <c r="B7" s="8">
        <v>79.38</v>
      </c>
      <c r="C7" s="8">
        <v>79.38</v>
      </c>
      <c r="D7" s="8">
        <v>79.38</v>
      </c>
      <c r="E7" s="8">
        <v>79.38</v>
      </c>
      <c r="F7" s="8">
        <v>79.38</v>
      </c>
      <c r="G7" s="8">
        <v>79.38</v>
      </c>
      <c r="H7" s="8">
        <v>79.66</v>
      </c>
      <c r="I7" s="8">
        <v>79.66</v>
      </c>
      <c r="J7" s="8">
        <v>80.08</v>
      </c>
      <c r="K7" s="8">
        <v>80.08</v>
      </c>
      <c r="L7" s="8">
        <v>80.08</v>
      </c>
      <c r="M7" s="8">
        <v>875.84</v>
      </c>
    </row>
    <row r="8" spans="1:13" x14ac:dyDescent="0.25">
      <c r="A8" s="66" t="s">
        <v>156</v>
      </c>
      <c r="B8" s="8"/>
      <c r="C8" s="8"/>
      <c r="D8" s="8">
        <v>432</v>
      </c>
      <c r="E8" s="8"/>
      <c r="F8" s="8"/>
      <c r="G8" s="8"/>
      <c r="H8" s="8"/>
      <c r="I8" s="8"/>
      <c r="J8" s="8">
        <v>85.76</v>
      </c>
      <c r="K8" s="8"/>
      <c r="L8" s="8"/>
      <c r="M8" s="8">
        <v>517.76</v>
      </c>
    </row>
    <row r="9" spans="1:13" x14ac:dyDescent="0.25">
      <c r="A9" s="66" t="s">
        <v>60</v>
      </c>
      <c r="B9" s="8">
        <v>26.49</v>
      </c>
      <c r="C9" s="8"/>
      <c r="D9" s="8"/>
      <c r="E9" s="8">
        <v>16</v>
      </c>
      <c r="F9" s="8">
        <v>9.75</v>
      </c>
      <c r="G9" s="8">
        <v>83</v>
      </c>
      <c r="H9" s="8">
        <v>5.0999999999999996</v>
      </c>
      <c r="I9" s="8">
        <v>39.79</v>
      </c>
      <c r="J9" s="8">
        <v>1203.4499999999998</v>
      </c>
      <c r="K9" s="8"/>
      <c r="L9" s="8">
        <v>51.109999999999992</v>
      </c>
      <c r="M9" s="8">
        <v>1434.6899999999998</v>
      </c>
    </row>
    <row r="10" spans="1:13" x14ac:dyDescent="0.25">
      <c r="A10" s="66" t="s">
        <v>127</v>
      </c>
      <c r="B10" s="8"/>
      <c r="C10" s="8">
        <v>49</v>
      </c>
      <c r="D10" s="8">
        <v>168.2</v>
      </c>
      <c r="E10" s="8"/>
      <c r="F10" s="8"/>
      <c r="G10" s="8"/>
      <c r="H10" s="8">
        <v>51.5</v>
      </c>
      <c r="I10" s="8">
        <v>25.75</v>
      </c>
      <c r="J10" s="8"/>
      <c r="K10" s="8"/>
      <c r="L10" s="8">
        <v>103</v>
      </c>
      <c r="M10" s="8">
        <v>397.45</v>
      </c>
    </row>
    <row r="11" spans="1:13" x14ac:dyDescent="0.25">
      <c r="A11" s="66" t="s">
        <v>32</v>
      </c>
      <c r="B11" s="8">
        <v>872.43999999999994</v>
      </c>
      <c r="C11" s="8">
        <v>150.01</v>
      </c>
      <c r="D11" s="8">
        <v>748.11</v>
      </c>
      <c r="E11" s="8">
        <v>463.83</v>
      </c>
      <c r="F11" s="8">
        <v>886.57999999999981</v>
      </c>
      <c r="G11" s="8">
        <v>703.27</v>
      </c>
      <c r="H11" s="8">
        <v>650.74000000000012</v>
      </c>
      <c r="I11" s="8">
        <v>516.82000000000005</v>
      </c>
      <c r="J11" s="8">
        <v>414.19</v>
      </c>
      <c r="K11" s="8">
        <v>728.90000000000009</v>
      </c>
      <c r="L11" s="8">
        <v>465.36</v>
      </c>
      <c r="M11" s="8">
        <v>6600.2499999999991</v>
      </c>
    </row>
    <row r="12" spans="1:13" x14ac:dyDescent="0.25">
      <c r="A12" s="66" t="s">
        <v>23</v>
      </c>
      <c r="B12" s="8">
        <v>225.75</v>
      </c>
      <c r="C12" s="8">
        <v>528.66</v>
      </c>
      <c r="D12" s="8">
        <v>835.46999999999991</v>
      </c>
      <c r="E12" s="8">
        <v>636.0200000000001</v>
      </c>
      <c r="F12" s="8">
        <v>1487.07</v>
      </c>
      <c r="G12" s="8">
        <v>1215.8600000000001</v>
      </c>
      <c r="H12" s="8">
        <v>854.4799999999999</v>
      </c>
      <c r="I12" s="8">
        <v>91.710000000000008</v>
      </c>
      <c r="J12" s="8">
        <v>310.69</v>
      </c>
      <c r="K12" s="8">
        <v>896.55</v>
      </c>
      <c r="L12" s="8">
        <v>205.88000000000002</v>
      </c>
      <c r="M12" s="8">
        <v>7288.1399999999994</v>
      </c>
    </row>
    <row r="13" spans="1:13" x14ac:dyDescent="0.25">
      <c r="A13" s="66" t="s">
        <v>42</v>
      </c>
      <c r="B13" s="8">
        <v>145.57</v>
      </c>
      <c r="C13" s="8">
        <v>333.19</v>
      </c>
      <c r="D13" s="8">
        <v>307.96000000000004</v>
      </c>
      <c r="E13" s="8">
        <v>316.07000000000005</v>
      </c>
      <c r="F13" s="8">
        <v>682.91000000000008</v>
      </c>
      <c r="G13" s="8">
        <v>455.83999999999992</v>
      </c>
      <c r="H13" s="8">
        <v>757.2</v>
      </c>
      <c r="I13" s="8">
        <v>32.040000000000006</v>
      </c>
      <c r="J13" s="8">
        <v>384.20000000000005</v>
      </c>
      <c r="K13" s="8">
        <v>565.63000000000011</v>
      </c>
      <c r="L13" s="8">
        <v>67.900000000000006</v>
      </c>
      <c r="M13" s="8">
        <v>4048.5099999999998</v>
      </c>
    </row>
    <row r="14" spans="1:13" x14ac:dyDescent="0.25">
      <c r="A14" s="66" t="s">
        <v>66</v>
      </c>
      <c r="B14" s="8">
        <v>294.78999999999996</v>
      </c>
      <c r="C14" s="8">
        <v>70</v>
      </c>
      <c r="D14" s="8">
        <v>70</v>
      </c>
      <c r="E14" s="8">
        <v>70</v>
      </c>
      <c r="F14" s="8">
        <v>70</v>
      </c>
      <c r="G14" s="8">
        <v>70</v>
      </c>
      <c r="H14" s="8">
        <v>91</v>
      </c>
      <c r="I14" s="8">
        <v>200.32999999999998</v>
      </c>
      <c r="J14" s="8">
        <v>277.02999999999997</v>
      </c>
      <c r="K14" s="8">
        <v>231.6</v>
      </c>
      <c r="L14" s="8">
        <v>161.6</v>
      </c>
      <c r="M14" s="8">
        <v>1606.3499999999997</v>
      </c>
    </row>
    <row r="15" spans="1:13" x14ac:dyDescent="0.25">
      <c r="A15" s="66" t="s">
        <v>939</v>
      </c>
      <c r="B15" s="8">
        <v>2191.71</v>
      </c>
      <c r="C15" s="8">
        <v>1458.53</v>
      </c>
      <c r="D15" s="8">
        <v>3905.3699999999994</v>
      </c>
      <c r="E15" s="8">
        <v>2590.2700000000004</v>
      </c>
      <c r="F15" s="8">
        <v>3937.1399999999994</v>
      </c>
      <c r="G15" s="8">
        <v>3226.8200000000006</v>
      </c>
      <c r="H15" s="8">
        <v>3620.3600000000006</v>
      </c>
      <c r="I15" s="8">
        <v>1979.29</v>
      </c>
      <c r="J15" s="8">
        <v>3571.83</v>
      </c>
      <c r="K15" s="8">
        <v>3469.43</v>
      </c>
      <c r="L15" s="8">
        <v>1821.9000000000003</v>
      </c>
      <c r="M15" s="8">
        <v>31772.649999999998</v>
      </c>
    </row>
    <row r="21" spans="1:10" x14ac:dyDescent="0.25">
      <c r="A21" s="65" t="s">
        <v>949</v>
      </c>
      <c r="B21" s="65" t="s">
        <v>940</v>
      </c>
    </row>
    <row r="22" spans="1:10" x14ac:dyDescent="0.25">
      <c r="A22" s="65" t="s">
        <v>938</v>
      </c>
      <c r="B22" t="s">
        <v>942</v>
      </c>
      <c r="C22" t="s">
        <v>943</v>
      </c>
      <c r="D22" t="s">
        <v>944</v>
      </c>
      <c r="E22" t="s">
        <v>945</v>
      </c>
      <c r="F22" t="s">
        <v>946</v>
      </c>
      <c r="G22" t="s">
        <v>947</v>
      </c>
      <c r="H22" t="s">
        <v>948</v>
      </c>
      <c r="I22" t="s">
        <v>970</v>
      </c>
      <c r="J22" t="s">
        <v>939</v>
      </c>
    </row>
    <row r="23" spans="1:10" x14ac:dyDescent="0.25">
      <c r="A23" s="66" t="s">
        <v>685</v>
      </c>
      <c r="B23" s="23">
        <v>-5236.91</v>
      </c>
      <c r="C23" s="23">
        <v>-1307.3499999999999</v>
      </c>
      <c r="D23" s="23">
        <v>-1969.1</v>
      </c>
      <c r="E23" s="23">
        <v>-2074.62</v>
      </c>
      <c r="F23" s="23">
        <v>-3000</v>
      </c>
      <c r="G23" s="23">
        <v>-4974.91</v>
      </c>
      <c r="H23" s="23">
        <v>-3600</v>
      </c>
      <c r="I23" s="23">
        <v>-1230.83</v>
      </c>
      <c r="J23" s="23">
        <v>-23393.72</v>
      </c>
    </row>
    <row r="24" spans="1:10" x14ac:dyDescent="0.25">
      <c r="A24" s="66" t="s">
        <v>16</v>
      </c>
      <c r="B24" s="23">
        <v>-40</v>
      </c>
      <c r="C24" s="23"/>
      <c r="D24" s="23">
        <v>33</v>
      </c>
      <c r="E24" s="23"/>
      <c r="F24" s="23"/>
      <c r="G24" s="23"/>
      <c r="H24" s="23"/>
      <c r="I24" s="23"/>
      <c r="J24" s="23">
        <v>-7</v>
      </c>
    </row>
    <row r="25" spans="1:10" x14ac:dyDescent="0.25">
      <c r="A25" s="66" t="s">
        <v>245</v>
      </c>
      <c r="B25" s="23">
        <v>-933.34</v>
      </c>
      <c r="C25" s="23">
        <v>-1204.29</v>
      </c>
      <c r="D25" s="23">
        <v>-1400</v>
      </c>
      <c r="E25" s="23">
        <v>-1400</v>
      </c>
      <c r="F25" s="23">
        <v>-1400</v>
      </c>
      <c r="G25" s="23">
        <v>-1400</v>
      </c>
      <c r="H25" s="23">
        <v>-1400</v>
      </c>
      <c r="I25" s="23">
        <v>-1073.3399999999999</v>
      </c>
      <c r="J25" s="23">
        <v>-10210.970000000001</v>
      </c>
    </row>
    <row r="26" spans="1:10" x14ac:dyDescent="0.25">
      <c r="A26" s="66" t="s">
        <v>679</v>
      </c>
      <c r="B26" s="23">
        <v>5616.86</v>
      </c>
      <c r="C26" s="23">
        <v>7196.43</v>
      </c>
      <c r="D26" s="23">
        <v>4480.1400000000003</v>
      </c>
      <c r="E26" s="23">
        <v>4543.1499999999996</v>
      </c>
      <c r="F26" s="23">
        <v>4965.79</v>
      </c>
      <c r="G26" s="23">
        <v>7448.6900000000005</v>
      </c>
      <c r="H26" s="23">
        <v>4965.79</v>
      </c>
      <c r="I26" s="23">
        <v>4435.0200000000004</v>
      </c>
      <c r="J26" s="23">
        <v>43651.87000000001</v>
      </c>
    </row>
    <row r="27" spans="1:10" x14ac:dyDescent="0.25">
      <c r="A27" s="66" t="s">
        <v>60</v>
      </c>
      <c r="B27" s="23">
        <v>-10</v>
      </c>
      <c r="C27" s="23"/>
      <c r="D27" s="23"/>
      <c r="E27" s="23"/>
      <c r="F27" s="23"/>
      <c r="G27" s="23"/>
      <c r="H27" s="23"/>
      <c r="I27" s="23"/>
      <c r="J27" s="23">
        <v>-10</v>
      </c>
    </row>
    <row r="28" spans="1:10" x14ac:dyDescent="0.25">
      <c r="A28" s="66" t="s">
        <v>127</v>
      </c>
      <c r="B28" s="23">
        <v>-256.76</v>
      </c>
      <c r="C28" s="23">
        <v>-2240.31</v>
      </c>
      <c r="D28" s="23">
        <v>-1384.09</v>
      </c>
      <c r="E28" s="23">
        <v>-668</v>
      </c>
      <c r="F28" s="23">
        <v>-468.47</v>
      </c>
      <c r="G28" s="23">
        <v>-66.069999999999993</v>
      </c>
      <c r="H28" s="23">
        <v>0</v>
      </c>
      <c r="I28" s="23">
        <v>-1000</v>
      </c>
      <c r="J28" s="23">
        <v>-6083.7</v>
      </c>
    </row>
    <row r="29" spans="1:10" x14ac:dyDescent="0.25">
      <c r="A29" s="66" t="s">
        <v>32</v>
      </c>
      <c r="B29" s="23">
        <v>-90</v>
      </c>
      <c r="C29" s="23">
        <v>-210</v>
      </c>
      <c r="D29" s="23"/>
      <c r="E29" s="23"/>
      <c r="F29" s="23"/>
      <c r="G29" s="23"/>
      <c r="H29" s="23"/>
      <c r="I29" s="23"/>
      <c r="J29" s="23">
        <v>-300</v>
      </c>
    </row>
    <row r="30" spans="1:10" x14ac:dyDescent="0.25">
      <c r="A30" s="66" t="s">
        <v>23</v>
      </c>
      <c r="B30" s="23">
        <v>-623.34</v>
      </c>
      <c r="C30" s="23"/>
      <c r="D30" s="23">
        <v>-52</v>
      </c>
      <c r="E30" s="23">
        <v>-59</v>
      </c>
      <c r="F30" s="23">
        <v>-276.83</v>
      </c>
      <c r="G30" s="23"/>
      <c r="H30" s="23">
        <v>-25.48</v>
      </c>
      <c r="I30" s="23">
        <v>-25.48</v>
      </c>
      <c r="J30" s="23">
        <v>-1062.1300000000001</v>
      </c>
    </row>
    <row r="31" spans="1:10" x14ac:dyDescent="0.25">
      <c r="A31" s="66" t="s">
        <v>42</v>
      </c>
      <c r="B31" s="23"/>
      <c r="C31" s="23"/>
      <c r="D31" s="23"/>
      <c r="E31" s="23"/>
      <c r="F31" s="23"/>
      <c r="G31" s="23"/>
      <c r="H31" s="23">
        <v>-64</v>
      </c>
      <c r="I31" s="23"/>
      <c r="J31" s="23">
        <v>-64</v>
      </c>
    </row>
    <row r="32" spans="1:10" x14ac:dyDescent="0.25">
      <c r="A32" s="66" t="s">
        <v>66</v>
      </c>
      <c r="B32" s="23">
        <v>265.47000000000003</v>
      </c>
      <c r="C32" s="23">
        <v>-137.17000000000002</v>
      </c>
      <c r="D32" s="23">
        <v>-229.5</v>
      </c>
      <c r="E32" s="23">
        <v>-197.97</v>
      </c>
      <c r="F32" s="23">
        <v>-193.04</v>
      </c>
      <c r="G32" s="23">
        <v>-271.77</v>
      </c>
      <c r="H32" s="23">
        <v>-202.46</v>
      </c>
      <c r="I32" s="23">
        <v>-278.58999999999997</v>
      </c>
      <c r="J32" s="23">
        <v>-1245.03</v>
      </c>
    </row>
    <row r="33" spans="1:10" x14ac:dyDescent="0.25">
      <c r="A33" s="66" t="s">
        <v>939</v>
      </c>
      <c r="B33" s="23">
        <v>-1308.0200000000002</v>
      </c>
      <c r="C33" s="23">
        <v>2097.3100000000009</v>
      </c>
      <c r="D33" s="23">
        <v>-521.5499999999995</v>
      </c>
      <c r="E33" s="23">
        <v>143.55999999999975</v>
      </c>
      <c r="F33" s="23">
        <v>-372.55000000000007</v>
      </c>
      <c r="G33" s="23">
        <v>735.94000000000074</v>
      </c>
      <c r="H33" s="23">
        <v>-326.15000000000003</v>
      </c>
      <c r="I33" s="23">
        <v>826.78000000000043</v>
      </c>
      <c r="J33" s="23">
        <v>1275.3200000000077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DDCA-5067-4581-ADA3-16447CA22DF5}">
  <sheetPr>
    <tabColor rgb="FF0070C0"/>
  </sheetPr>
  <dimension ref="A1:J33"/>
  <sheetViews>
    <sheetView workbookViewId="0">
      <selection activeCell="H37" sqref="H37"/>
    </sheetView>
  </sheetViews>
  <sheetFormatPr defaultRowHeight="15" x14ac:dyDescent="0.25"/>
  <cols>
    <col min="1" max="1" width="14.85546875" bestFit="1" customWidth="1"/>
    <col min="2" max="2" width="14" bestFit="1" customWidth="1"/>
    <col min="3" max="4" width="10.5703125" bestFit="1" customWidth="1"/>
    <col min="5" max="5" width="9" bestFit="1" customWidth="1"/>
    <col min="6" max="6" width="9.5703125" bestFit="1" customWidth="1"/>
    <col min="7" max="7" width="11.28515625" bestFit="1" customWidth="1"/>
    <col min="8" max="8" width="9" bestFit="1" customWidth="1"/>
    <col min="9" max="9" width="10.5703125" bestFit="1" customWidth="1"/>
    <col min="10" max="10" width="11.5703125" bestFit="1" customWidth="1"/>
  </cols>
  <sheetData>
    <row r="1" spans="1:7" x14ac:dyDescent="0.25">
      <c r="A1" s="65" t="s">
        <v>8</v>
      </c>
      <c r="B1" t="s">
        <v>127</v>
      </c>
    </row>
    <row r="3" spans="1:7" x14ac:dyDescent="0.25">
      <c r="A3" s="65" t="s">
        <v>941</v>
      </c>
      <c r="B3" s="65" t="s">
        <v>6</v>
      </c>
    </row>
    <row r="4" spans="1:7" x14ac:dyDescent="0.25">
      <c r="A4" s="65" t="s">
        <v>5</v>
      </c>
      <c r="B4" t="s">
        <v>117</v>
      </c>
      <c r="C4" t="s">
        <v>145</v>
      </c>
      <c r="D4" t="s">
        <v>420</v>
      </c>
      <c r="E4" t="s">
        <v>911</v>
      </c>
      <c r="F4" t="s">
        <v>1337</v>
      </c>
      <c r="G4" t="s">
        <v>939</v>
      </c>
    </row>
    <row r="5" spans="1:7" x14ac:dyDescent="0.25">
      <c r="A5" t="s">
        <v>126</v>
      </c>
      <c r="B5" s="23">
        <v>49</v>
      </c>
      <c r="C5" s="23">
        <v>42</v>
      </c>
      <c r="D5" s="23"/>
      <c r="E5" s="23"/>
      <c r="F5" s="23"/>
      <c r="G5" s="23">
        <v>91</v>
      </c>
    </row>
    <row r="6" spans="1:7" x14ac:dyDescent="0.25">
      <c r="A6" t="s">
        <v>485</v>
      </c>
      <c r="B6" s="23"/>
      <c r="C6" s="23"/>
      <c r="D6" s="23">
        <v>51.5</v>
      </c>
      <c r="E6" s="23"/>
      <c r="F6" s="23"/>
      <c r="G6" s="23">
        <v>51.5</v>
      </c>
    </row>
    <row r="7" spans="1:7" x14ac:dyDescent="0.25">
      <c r="A7" t="s">
        <v>688</v>
      </c>
      <c r="B7" s="23"/>
      <c r="C7" s="23"/>
      <c r="D7" s="23"/>
      <c r="E7" s="23">
        <v>25.75</v>
      </c>
      <c r="F7" s="23">
        <v>103</v>
      </c>
      <c r="G7" s="23">
        <v>128.75</v>
      </c>
    </row>
    <row r="8" spans="1:7" x14ac:dyDescent="0.25">
      <c r="A8" t="s">
        <v>189</v>
      </c>
      <c r="B8" s="23"/>
      <c r="C8" s="23">
        <v>126.2</v>
      </c>
      <c r="D8" s="23"/>
      <c r="E8" s="23"/>
      <c r="F8" s="23"/>
      <c r="G8" s="23">
        <v>126.2</v>
      </c>
    </row>
    <row r="9" spans="1:7" x14ac:dyDescent="0.25">
      <c r="A9" t="s">
        <v>939</v>
      </c>
      <c r="B9" s="23">
        <v>49</v>
      </c>
      <c r="C9" s="23">
        <v>168.2</v>
      </c>
      <c r="D9" s="23">
        <v>51.5</v>
      </c>
      <c r="E9" s="23">
        <v>25.75</v>
      </c>
      <c r="F9" s="23">
        <v>103</v>
      </c>
      <c r="G9" s="23">
        <v>397.45</v>
      </c>
    </row>
    <row r="15" spans="1:7" x14ac:dyDescent="0.25">
      <c r="A15" s="65" t="s">
        <v>8</v>
      </c>
      <c r="B15" t="s">
        <v>127</v>
      </c>
    </row>
    <row r="17" spans="1:10" x14ac:dyDescent="0.25">
      <c r="A17" s="65" t="s">
        <v>941</v>
      </c>
      <c r="B17" s="65" t="s">
        <v>940</v>
      </c>
    </row>
    <row r="18" spans="1:10" x14ac:dyDescent="0.25">
      <c r="A18" s="65" t="s">
        <v>938</v>
      </c>
      <c r="B18" t="s">
        <v>942</v>
      </c>
      <c r="C18" t="s">
        <v>943</v>
      </c>
      <c r="D18" t="s">
        <v>944</v>
      </c>
      <c r="E18" t="s">
        <v>945</v>
      </c>
      <c r="F18" t="s">
        <v>946</v>
      </c>
      <c r="G18" t="s">
        <v>947</v>
      </c>
      <c r="H18" t="s">
        <v>948</v>
      </c>
      <c r="I18" t="s">
        <v>970</v>
      </c>
      <c r="J18" t="s">
        <v>939</v>
      </c>
    </row>
    <row r="19" spans="1:10" x14ac:dyDescent="0.25">
      <c r="A19" s="66" t="s">
        <v>696</v>
      </c>
      <c r="B19" s="23"/>
      <c r="C19" s="23"/>
      <c r="D19" s="23"/>
      <c r="E19" s="23"/>
      <c r="F19" s="23">
        <v>77</v>
      </c>
      <c r="G19" s="23"/>
      <c r="H19" s="23"/>
      <c r="I19" s="23"/>
      <c r="J19" s="23">
        <v>77</v>
      </c>
    </row>
    <row r="20" spans="1:10" x14ac:dyDescent="0.25">
      <c r="A20" s="66" t="s">
        <v>703</v>
      </c>
      <c r="B20" s="23">
        <v>2.5</v>
      </c>
      <c r="C20" s="23"/>
      <c r="D20" s="23"/>
      <c r="E20" s="23"/>
      <c r="F20" s="23"/>
      <c r="G20" s="23"/>
      <c r="H20" s="23"/>
      <c r="I20" s="23"/>
      <c r="J20" s="23">
        <v>2.5</v>
      </c>
    </row>
    <row r="21" spans="1:10" x14ac:dyDescent="0.25">
      <c r="A21" s="66" t="s">
        <v>691</v>
      </c>
      <c r="B21" s="23"/>
      <c r="C21" s="23"/>
      <c r="D21" s="23"/>
      <c r="E21" s="23">
        <v>35</v>
      </c>
      <c r="F21" s="23"/>
      <c r="G21" s="23"/>
      <c r="H21" s="23"/>
      <c r="I21" s="23"/>
      <c r="J21" s="23">
        <v>35</v>
      </c>
    </row>
    <row r="22" spans="1:10" x14ac:dyDescent="0.25">
      <c r="A22" s="66" t="s">
        <v>676</v>
      </c>
      <c r="B22" s="23"/>
      <c r="C22" s="23">
        <v>771.1</v>
      </c>
      <c r="D22" s="23"/>
      <c r="E22" s="23"/>
      <c r="F22" s="23"/>
      <c r="G22" s="23"/>
      <c r="H22" s="23"/>
      <c r="I22" s="23"/>
      <c r="J22" s="23">
        <v>771.1</v>
      </c>
    </row>
    <row r="23" spans="1:10" x14ac:dyDescent="0.25">
      <c r="A23" s="66" t="s">
        <v>681</v>
      </c>
      <c r="B23" s="23">
        <v>120</v>
      </c>
      <c r="C23" s="23">
        <v>120</v>
      </c>
      <c r="D23" s="23"/>
      <c r="E23" s="23"/>
      <c r="F23" s="23"/>
      <c r="G23" s="23">
        <v>110</v>
      </c>
      <c r="H23" s="23"/>
      <c r="I23" s="23"/>
      <c r="J23" s="23">
        <v>350</v>
      </c>
    </row>
    <row r="24" spans="1:10" x14ac:dyDescent="0.25">
      <c r="A24" s="66" t="s">
        <v>682</v>
      </c>
      <c r="B24" s="23"/>
      <c r="C24" s="23"/>
      <c r="D24" s="23">
        <v>5</v>
      </c>
      <c r="E24" s="23">
        <v>110</v>
      </c>
      <c r="F24" s="23"/>
      <c r="G24" s="23">
        <v>120</v>
      </c>
      <c r="H24" s="23"/>
      <c r="I24" s="23"/>
      <c r="J24" s="23">
        <v>235</v>
      </c>
    </row>
    <row r="25" spans="1:10" x14ac:dyDescent="0.25">
      <c r="A25" s="66" t="s">
        <v>688</v>
      </c>
      <c r="B25" s="23">
        <v>100</v>
      </c>
      <c r="C25" s="23"/>
      <c r="D25" s="23">
        <v>110</v>
      </c>
      <c r="E25" s="23">
        <v>93</v>
      </c>
      <c r="F25" s="23">
        <v>40</v>
      </c>
      <c r="G25" s="23"/>
      <c r="H25" s="23"/>
      <c r="I25" s="23"/>
      <c r="J25" s="23">
        <v>343</v>
      </c>
    </row>
    <row r="26" spans="1:10" x14ac:dyDescent="0.25">
      <c r="A26" s="66" t="s">
        <v>677</v>
      </c>
      <c r="B26" s="23">
        <v>505</v>
      </c>
      <c r="C26" s="23">
        <v>485</v>
      </c>
      <c r="D26" s="23"/>
      <c r="E26" s="23">
        <v>430</v>
      </c>
      <c r="F26" s="23">
        <v>500</v>
      </c>
      <c r="G26" s="23">
        <v>800</v>
      </c>
      <c r="H26" s="23">
        <v>200</v>
      </c>
      <c r="I26" s="23"/>
      <c r="J26" s="23">
        <v>2920</v>
      </c>
    </row>
    <row r="27" spans="1:10" x14ac:dyDescent="0.25">
      <c r="A27" s="66" t="s">
        <v>514</v>
      </c>
      <c r="B27" s="23"/>
      <c r="C27" s="23"/>
      <c r="D27" s="23"/>
      <c r="E27" s="23"/>
      <c r="F27" s="23">
        <v>82.52</v>
      </c>
      <c r="G27" s="23"/>
      <c r="H27" s="23"/>
      <c r="I27" s="23"/>
      <c r="J27" s="23">
        <v>82.52</v>
      </c>
    </row>
    <row r="28" spans="1:10" x14ac:dyDescent="0.25">
      <c r="A28" s="66" t="s">
        <v>680</v>
      </c>
      <c r="B28" s="23"/>
      <c r="C28" s="23"/>
      <c r="D28" s="23">
        <v>60</v>
      </c>
      <c r="E28" s="23"/>
      <c r="F28" s="23"/>
      <c r="G28" s="23">
        <v>50</v>
      </c>
      <c r="H28" s="23"/>
      <c r="I28" s="23"/>
      <c r="J28" s="23">
        <v>110</v>
      </c>
    </row>
    <row r="29" spans="1:10" x14ac:dyDescent="0.25">
      <c r="A29" s="66" t="s">
        <v>683</v>
      </c>
      <c r="B29" s="23"/>
      <c r="C29" s="23"/>
      <c r="D29" s="23">
        <v>224.91</v>
      </c>
      <c r="E29" s="23"/>
      <c r="F29" s="23">
        <v>66.010000000000005</v>
      </c>
      <c r="G29" s="23"/>
      <c r="H29" s="23"/>
      <c r="I29" s="23"/>
      <c r="J29" s="23">
        <v>290.92</v>
      </c>
    </row>
    <row r="30" spans="1:10" x14ac:dyDescent="0.25">
      <c r="A30" s="66" t="s">
        <v>694</v>
      </c>
      <c r="B30" s="23">
        <v>477.73</v>
      </c>
      <c r="C30" s="23">
        <v>2074.21</v>
      </c>
      <c r="D30" s="23">
        <v>1566</v>
      </c>
      <c r="E30" s="23"/>
      <c r="F30" s="23"/>
      <c r="G30" s="23">
        <v>186.07</v>
      </c>
      <c r="H30" s="23"/>
      <c r="I30" s="23"/>
      <c r="J30" s="23">
        <v>4304.01</v>
      </c>
    </row>
    <row r="31" spans="1:10" x14ac:dyDescent="0.25">
      <c r="A31" s="66" t="s">
        <v>57</v>
      </c>
      <c r="B31" s="23">
        <v>6.99</v>
      </c>
      <c r="C31" s="23"/>
      <c r="D31" s="23"/>
      <c r="E31" s="23"/>
      <c r="F31" s="23"/>
      <c r="G31" s="23"/>
      <c r="H31" s="23"/>
      <c r="I31" s="23"/>
      <c r="J31" s="23">
        <v>6.99</v>
      </c>
    </row>
    <row r="32" spans="1:10" x14ac:dyDescent="0.25">
      <c r="A32" s="66" t="s">
        <v>189</v>
      </c>
      <c r="B32" s="23"/>
      <c r="C32" s="23"/>
      <c r="D32" s="23"/>
      <c r="E32" s="23"/>
      <c r="F32" s="23"/>
      <c r="G32" s="23"/>
      <c r="H32" s="23"/>
      <c r="I32" s="23">
        <v>1000</v>
      </c>
      <c r="J32" s="23">
        <v>1000</v>
      </c>
    </row>
    <row r="33" spans="1:10" x14ac:dyDescent="0.25">
      <c r="A33" s="66" t="s">
        <v>939</v>
      </c>
      <c r="B33" s="23">
        <v>1212.22</v>
      </c>
      <c r="C33" s="23">
        <v>3450.31</v>
      </c>
      <c r="D33" s="23">
        <v>1965.9099999999999</v>
      </c>
      <c r="E33" s="23">
        <v>668</v>
      </c>
      <c r="F33" s="23">
        <v>765.53</v>
      </c>
      <c r="G33" s="23">
        <v>1266.07</v>
      </c>
      <c r="H33" s="23">
        <v>200</v>
      </c>
      <c r="I33" s="23">
        <v>1000</v>
      </c>
      <c r="J33" s="23">
        <v>10528.04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626-E455-4BEE-8B75-003D91FB8ABE}">
  <sheetPr>
    <tabColor rgb="FF0070C0"/>
  </sheetPr>
  <dimension ref="A3:O136"/>
  <sheetViews>
    <sheetView workbookViewId="0">
      <selection activeCell="O10" sqref="B10:O10"/>
    </sheetView>
  </sheetViews>
  <sheetFormatPr defaultRowHeight="15" x14ac:dyDescent="0.25"/>
  <cols>
    <col min="1" max="1" width="27" bestFit="1" customWidth="1"/>
    <col min="2" max="3" width="18.42578125" bestFit="1" customWidth="1"/>
    <col min="4" max="12" width="10.5703125" style="5" bestFit="1" customWidth="1"/>
    <col min="13" max="14" width="10.5703125" bestFit="1" customWidth="1"/>
    <col min="15" max="16" width="11.5703125" bestFit="1" customWidth="1"/>
  </cols>
  <sheetData>
    <row r="3" spans="1:15" x14ac:dyDescent="0.25">
      <c r="A3" s="65" t="s">
        <v>941</v>
      </c>
      <c r="D3" s="69" t="s">
        <v>6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25">
      <c r="A4" s="65" t="s">
        <v>4</v>
      </c>
      <c r="B4" s="65" t="s">
        <v>5</v>
      </c>
      <c r="C4" s="65" t="s">
        <v>7</v>
      </c>
      <c r="D4" s="23" t="s">
        <v>14</v>
      </c>
      <c r="E4" s="23" t="s">
        <v>117</v>
      </c>
      <c r="F4" s="23" t="s">
        <v>145</v>
      </c>
      <c r="G4" s="23" t="s">
        <v>233</v>
      </c>
      <c r="H4" s="23" t="s">
        <v>290</v>
      </c>
      <c r="I4" s="23" t="s">
        <v>364</v>
      </c>
      <c r="J4" s="23" t="s">
        <v>420</v>
      </c>
      <c r="K4" s="23" t="s">
        <v>911</v>
      </c>
      <c r="L4" s="23" t="s">
        <v>1170</v>
      </c>
      <c r="M4" s="23" t="s">
        <v>1246</v>
      </c>
      <c r="N4" s="23" t="s">
        <v>1337</v>
      </c>
      <c r="O4" t="s">
        <v>939</v>
      </c>
    </row>
    <row r="5" spans="1:15" x14ac:dyDescent="0.25">
      <c r="A5" t="s">
        <v>106</v>
      </c>
      <c r="B5" t="s">
        <v>107</v>
      </c>
      <c r="C5" t="s">
        <v>15</v>
      </c>
      <c r="D5" s="23">
        <v>42.34</v>
      </c>
      <c r="E5" s="23"/>
      <c r="F5" s="23"/>
      <c r="G5" s="23"/>
      <c r="H5" s="23"/>
      <c r="I5" s="23"/>
      <c r="J5" s="23">
        <v>21</v>
      </c>
      <c r="K5" s="23">
        <v>130.32999999999998</v>
      </c>
      <c r="L5" s="23">
        <v>13.52</v>
      </c>
      <c r="M5" s="23"/>
      <c r="N5" s="23"/>
      <c r="O5" s="23">
        <v>207.19</v>
      </c>
    </row>
    <row r="6" spans="1:15" x14ac:dyDescent="0.25">
      <c r="A6" t="s">
        <v>248</v>
      </c>
      <c r="B6" t="s">
        <v>223</v>
      </c>
      <c r="C6" t="s">
        <v>15</v>
      </c>
      <c r="D6" s="23"/>
      <c r="E6" s="23"/>
      <c r="F6" s="23"/>
      <c r="G6" s="23"/>
      <c r="H6" s="23"/>
      <c r="I6" s="23"/>
      <c r="J6" s="23">
        <v>40</v>
      </c>
      <c r="K6" s="23"/>
      <c r="L6" s="23"/>
      <c r="M6" s="23"/>
      <c r="N6" s="23"/>
      <c r="O6" s="23">
        <v>40</v>
      </c>
    </row>
    <row r="7" spans="1:15" x14ac:dyDescent="0.25">
      <c r="A7" t="s">
        <v>248</v>
      </c>
      <c r="B7" t="s">
        <v>94</v>
      </c>
      <c r="C7" t="s">
        <v>15</v>
      </c>
      <c r="D7" s="23"/>
      <c r="E7" s="23"/>
      <c r="F7" s="23"/>
      <c r="G7" s="23">
        <v>21.71</v>
      </c>
      <c r="H7" s="23"/>
      <c r="I7" s="23">
        <v>298</v>
      </c>
      <c r="J7" s="23"/>
      <c r="K7" s="23">
        <v>33</v>
      </c>
      <c r="L7" s="23"/>
      <c r="M7" s="23"/>
      <c r="N7" s="23"/>
      <c r="O7" s="23">
        <v>352.71</v>
      </c>
    </row>
    <row r="8" spans="1:15" x14ac:dyDescent="0.25">
      <c r="A8" t="s">
        <v>248</v>
      </c>
      <c r="B8" t="s">
        <v>294</v>
      </c>
      <c r="C8" t="s">
        <v>15</v>
      </c>
      <c r="D8" s="23"/>
      <c r="E8" s="23"/>
      <c r="F8" s="23"/>
      <c r="G8" s="23"/>
      <c r="H8" s="23"/>
      <c r="I8" s="23"/>
      <c r="J8" s="23">
        <v>60.25</v>
      </c>
      <c r="K8" s="23"/>
      <c r="L8" s="23"/>
      <c r="M8" s="23"/>
      <c r="N8" s="23"/>
      <c r="O8" s="23">
        <v>60.25</v>
      </c>
    </row>
    <row r="9" spans="1:15" x14ac:dyDescent="0.25">
      <c r="A9" t="s">
        <v>40</v>
      </c>
      <c r="B9" t="s">
        <v>34</v>
      </c>
      <c r="C9" t="s">
        <v>15</v>
      </c>
      <c r="D9" s="23">
        <v>2.99</v>
      </c>
      <c r="E9" s="23"/>
      <c r="F9" s="23"/>
      <c r="G9" s="23"/>
      <c r="H9" s="23"/>
      <c r="I9" s="23">
        <v>11.8</v>
      </c>
      <c r="J9" s="23"/>
      <c r="K9" s="23"/>
      <c r="L9" s="23"/>
      <c r="M9" s="23"/>
      <c r="N9" s="23"/>
      <c r="O9" s="23">
        <v>14.790000000000001</v>
      </c>
    </row>
    <row r="10" spans="1:15" x14ac:dyDescent="0.25">
      <c r="A10" t="s">
        <v>40</v>
      </c>
      <c r="B10" t="s">
        <v>41</v>
      </c>
      <c r="C10" t="s">
        <v>15</v>
      </c>
      <c r="D10" s="23">
        <v>89.42</v>
      </c>
      <c r="E10" s="23"/>
      <c r="F10" s="23">
        <v>293.10000000000002</v>
      </c>
      <c r="G10" s="23">
        <v>3.59</v>
      </c>
      <c r="H10" s="23">
        <v>73.210000000000008</v>
      </c>
      <c r="I10" s="23"/>
      <c r="J10" s="23">
        <v>229.64</v>
      </c>
      <c r="K10" s="23"/>
      <c r="L10" s="23">
        <v>332.22</v>
      </c>
      <c r="M10" s="23">
        <v>111.99</v>
      </c>
      <c r="N10" s="23">
        <v>48.65</v>
      </c>
      <c r="O10" s="23">
        <v>1181.8200000000002</v>
      </c>
    </row>
    <row r="11" spans="1:15" x14ac:dyDescent="0.25">
      <c r="A11" t="s">
        <v>40</v>
      </c>
      <c r="B11" t="s">
        <v>18</v>
      </c>
      <c r="C11" t="s">
        <v>15</v>
      </c>
      <c r="D11" s="23"/>
      <c r="E11" s="23"/>
      <c r="F11" s="23">
        <v>49.43</v>
      </c>
      <c r="G11" s="23"/>
      <c r="H11" s="23"/>
      <c r="I11" s="23"/>
      <c r="J11" s="23"/>
      <c r="K11" s="23"/>
      <c r="L11" s="23"/>
      <c r="M11" s="23"/>
      <c r="N11" s="23"/>
      <c r="O11" s="23">
        <v>49.43</v>
      </c>
    </row>
    <row r="12" spans="1:15" x14ac:dyDescent="0.25">
      <c r="A12" t="s">
        <v>158</v>
      </c>
      <c r="B12" t="s">
        <v>916</v>
      </c>
      <c r="C12" t="s">
        <v>15</v>
      </c>
      <c r="D12" s="23"/>
      <c r="E12" s="23"/>
      <c r="F12" s="23"/>
      <c r="G12" s="23"/>
      <c r="H12" s="23"/>
      <c r="I12" s="23"/>
      <c r="J12" s="23"/>
      <c r="K12" s="23"/>
      <c r="L12" s="23">
        <v>1.1000000000000001</v>
      </c>
      <c r="M12" s="23"/>
      <c r="N12" s="23"/>
      <c r="O12" s="23">
        <v>1.1000000000000001</v>
      </c>
    </row>
    <row r="13" spans="1:15" x14ac:dyDescent="0.25">
      <c r="A13" t="s">
        <v>158</v>
      </c>
      <c r="B13" t="s">
        <v>159</v>
      </c>
      <c r="C13" t="s">
        <v>15</v>
      </c>
      <c r="D13" s="23"/>
      <c r="E13" s="23"/>
      <c r="F13" s="23">
        <v>35</v>
      </c>
      <c r="G13" s="23"/>
      <c r="H13" s="23"/>
      <c r="I13" s="23"/>
      <c r="J13" s="23"/>
      <c r="K13" s="23"/>
      <c r="L13" s="23"/>
      <c r="M13" s="23"/>
      <c r="N13" s="23"/>
      <c r="O13" s="23">
        <v>35</v>
      </c>
    </row>
    <row r="14" spans="1:15" x14ac:dyDescent="0.25">
      <c r="A14" t="s">
        <v>455</v>
      </c>
      <c r="B14" t="s">
        <v>456</v>
      </c>
      <c r="C14" t="s">
        <v>15</v>
      </c>
      <c r="D14" s="23"/>
      <c r="E14" s="23"/>
      <c r="F14" s="23"/>
      <c r="G14" s="23"/>
      <c r="H14" s="23"/>
      <c r="I14" s="23"/>
      <c r="J14" s="23">
        <v>49.46</v>
      </c>
      <c r="K14" s="23">
        <v>197.48000000000002</v>
      </c>
      <c r="L14" s="23"/>
      <c r="M14" s="23">
        <v>7.2</v>
      </c>
      <c r="N14" s="23"/>
      <c r="O14" s="23">
        <v>254.14000000000001</v>
      </c>
    </row>
    <row r="15" spans="1:15" x14ac:dyDescent="0.25">
      <c r="A15" t="s">
        <v>320</v>
      </c>
      <c r="B15" t="s">
        <v>321</v>
      </c>
      <c r="C15" t="s">
        <v>15</v>
      </c>
      <c r="D15" s="23"/>
      <c r="E15" s="23"/>
      <c r="F15" s="23"/>
      <c r="G15" s="23"/>
      <c r="H15" s="23">
        <v>50.48</v>
      </c>
      <c r="I15" s="23">
        <v>99.24</v>
      </c>
      <c r="J15" s="23">
        <v>99.19</v>
      </c>
      <c r="K15" s="23">
        <v>61.69</v>
      </c>
      <c r="L15" s="23"/>
      <c r="M15" s="23"/>
      <c r="N15" s="23"/>
      <c r="O15" s="23">
        <v>310.60000000000002</v>
      </c>
    </row>
    <row r="16" spans="1:15" x14ac:dyDescent="0.25">
      <c r="A16" t="s">
        <v>154</v>
      </c>
      <c r="B16" t="s">
        <v>155</v>
      </c>
      <c r="C16" t="s">
        <v>15</v>
      </c>
      <c r="D16" s="23"/>
      <c r="E16" s="23"/>
      <c r="F16" s="23">
        <v>432</v>
      </c>
      <c r="G16" s="23"/>
      <c r="H16" s="23"/>
      <c r="I16" s="23"/>
      <c r="J16" s="23"/>
      <c r="K16" s="23"/>
      <c r="L16" s="23">
        <v>85.76</v>
      </c>
      <c r="M16" s="23"/>
      <c r="N16" s="23"/>
      <c r="O16" s="23">
        <v>517.76</v>
      </c>
    </row>
    <row r="17" spans="1:15" x14ac:dyDescent="0.25">
      <c r="A17" t="s">
        <v>154</v>
      </c>
      <c r="B17" t="s">
        <v>316</v>
      </c>
      <c r="C17" t="s">
        <v>15</v>
      </c>
      <c r="D17" s="23"/>
      <c r="E17" s="23"/>
      <c r="F17" s="23"/>
      <c r="G17" s="23"/>
      <c r="H17" s="23">
        <v>37.5</v>
      </c>
      <c r="I17" s="23"/>
      <c r="J17" s="23"/>
      <c r="K17" s="23"/>
      <c r="L17" s="23"/>
      <c r="M17" s="23"/>
      <c r="N17" s="23"/>
      <c r="O17" s="23">
        <v>37.5</v>
      </c>
    </row>
    <row r="18" spans="1:15" x14ac:dyDescent="0.25">
      <c r="A18" t="s">
        <v>20</v>
      </c>
      <c r="B18" t="s">
        <v>382</v>
      </c>
      <c r="C18" t="s">
        <v>15</v>
      </c>
      <c r="D18" s="23"/>
      <c r="E18" s="23"/>
      <c r="F18" s="23"/>
      <c r="G18" s="23"/>
      <c r="H18" s="23"/>
      <c r="I18" s="23">
        <v>59.32</v>
      </c>
      <c r="J18" s="23">
        <v>13.959999999999999</v>
      </c>
      <c r="K18" s="23"/>
      <c r="L18" s="23"/>
      <c r="M18" s="23"/>
      <c r="N18" s="23">
        <v>8.35</v>
      </c>
      <c r="O18" s="23">
        <v>81.63</v>
      </c>
    </row>
    <row r="19" spans="1:15" x14ac:dyDescent="0.25">
      <c r="A19" t="s">
        <v>20</v>
      </c>
      <c r="B19" t="s">
        <v>27</v>
      </c>
      <c r="C19" t="s">
        <v>15</v>
      </c>
      <c r="D19" s="23">
        <v>135.73999999999998</v>
      </c>
      <c r="E19" s="23">
        <v>23.31</v>
      </c>
      <c r="F19" s="23">
        <v>21.22</v>
      </c>
      <c r="G19" s="23">
        <v>277.84999999999997</v>
      </c>
      <c r="H19" s="23">
        <v>458.28000000000003</v>
      </c>
      <c r="I19" s="23">
        <v>55.16</v>
      </c>
      <c r="J19" s="23">
        <v>94.57</v>
      </c>
      <c r="K19" s="23">
        <v>52.1</v>
      </c>
      <c r="L19" s="23">
        <v>189.81</v>
      </c>
      <c r="M19" s="23">
        <v>25.04</v>
      </c>
      <c r="N19" s="23">
        <v>146.85999999999999</v>
      </c>
      <c r="O19" s="23">
        <v>1479.9399999999996</v>
      </c>
    </row>
    <row r="20" spans="1:15" x14ac:dyDescent="0.25">
      <c r="A20" t="s">
        <v>20</v>
      </c>
      <c r="B20" t="s">
        <v>68</v>
      </c>
      <c r="C20" t="s">
        <v>22</v>
      </c>
      <c r="D20" s="23">
        <v>5.29</v>
      </c>
      <c r="E20" s="23">
        <v>5.29</v>
      </c>
      <c r="F20" s="23">
        <v>5.29</v>
      </c>
      <c r="G20" s="23">
        <v>5.29</v>
      </c>
      <c r="H20" s="23">
        <v>5.29</v>
      </c>
      <c r="I20" s="23">
        <v>5.29</v>
      </c>
      <c r="J20" s="23">
        <v>5.29</v>
      </c>
      <c r="K20" s="23">
        <v>5.29</v>
      </c>
      <c r="L20" s="23">
        <v>5.29</v>
      </c>
      <c r="M20" s="23">
        <v>5.29</v>
      </c>
      <c r="N20" s="23">
        <v>5.29</v>
      </c>
      <c r="O20" s="23">
        <v>58.19</v>
      </c>
    </row>
    <row r="21" spans="1:15" x14ac:dyDescent="0.25">
      <c r="A21" t="s">
        <v>20</v>
      </c>
      <c r="B21" t="s">
        <v>251</v>
      </c>
      <c r="C21" t="s">
        <v>22</v>
      </c>
      <c r="D21" s="23"/>
      <c r="E21" s="23"/>
      <c r="F21" s="23"/>
      <c r="G21" s="23">
        <v>31.79</v>
      </c>
      <c r="H21" s="23"/>
      <c r="I21" s="23"/>
      <c r="J21" s="23"/>
      <c r="K21" s="23"/>
      <c r="L21" s="23"/>
      <c r="M21" s="23"/>
      <c r="N21" s="23"/>
      <c r="O21" s="23">
        <v>31.79</v>
      </c>
    </row>
    <row r="22" spans="1:15" x14ac:dyDescent="0.25">
      <c r="A22" t="s">
        <v>20</v>
      </c>
      <c r="B22" t="s">
        <v>385</v>
      </c>
      <c r="C22" t="s">
        <v>15</v>
      </c>
      <c r="D22" s="23"/>
      <c r="E22" s="23"/>
      <c r="F22" s="23"/>
      <c r="G22" s="23"/>
      <c r="H22" s="23"/>
      <c r="I22" s="23">
        <v>132.62</v>
      </c>
      <c r="J22" s="23"/>
      <c r="K22" s="23"/>
      <c r="L22" s="23"/>
      <c r="M22" s="23"/>
      <c r="N22" s="23"/>
      <c r="O22" s="23">
        <v>132.62</v>
      </c>
    </row>
    <row r="23" spans="1:15" x14ac:dyDescent="0.25">
      <c r="A23" t="s">
        <v>20</v>
      </c>
      <c r="B23" t="s">
        <v>78</v>
      </c>
      <c r="C23" t="s">
        <v>22</v>
      </c>
      <c r="D23" s="23">
        <v>10</v>
      </c>
      <c r="E23" s="23">
        <v>10</v>
      </c>
      <c r="F23" s="23">
        <v>10</v>
      </c>
      <c r="G23" s="23">
        <v>10</v>
      </c>
      <c r="H23" s="23">
        <v>10</v>
      </c>
      <c r="I23" s="23">
        <v>10</v>
      </c>
      <c r="J23" s="23">
        <v>10</v>
      </c>
      <c r="K23" s="23">
        <v>10</v>
      </c>
      <c r="L23" s="23">
        <v>10</v>
      </c>
      <c r="M23" s="23">
        <v>10</v>
      </c>
      <c r="N23" s="23">
        <v>10</v>
      </c>
      <c r="O23" s="23">
        <v>110</v>
      </c>
    </row>
    <row r="24" spans="1:15" x14ac:dyDescent="0.25">
      <c r="A24" t="s">
        <v>20</v>
      </c>
      <c r="B24" t="s">
        <v>65</v>
      </c>
      <c r="C24" t="s">
        <v>15</v>
      </c>
      <c r="D24" s="23">
        <v>70</v>
      </c>
      <c r="E24" s="23">
        <v>70</v>
      </c>
      <c r="F24" s="23">
        <v>70</v>
      </c>
      <c r="G24" s="23">
        <v>70</v>
      </c>
      <c r="H24" s="23">
        <v>70</v>
      </c>
      <c r="I24" s="23">
        <v>70</v>
      </c>
      <c r="J24" s="23">
        <v>70</v>
      </c>
      <c r="K24" s="23">
        <v>70</v>
      </c>
      <c r="L24" s="23">
        <v>70</v>
      </c>
      <c r="M24" s="23">
        <v>70</v>
      </c>
      <c r="N24" s="23"/>
      <c r="O24" s="23">
        <v>700</v>
      </c>
    </row>
    <row r="25" spans="1:15" x14ac:dyDescent="0.25">
      <c r="A25" t="s">
        <v>20</v>
      </c>
      <c r="B25" t="s">
        <v>197</v>
      </c>
      <c r="C25" t="s">
        <v>15</v>
      </c>
      <c r="D25" s="23"/>
      <c r="E25" s="23"/>
      <c r="F25" s="23">
        <v>239.23</v>
      </c>
      <c r="G25" s="23"/>
      <c r="H25" s="23"/>
      <c r="I25" s="23"/>
      <c r="J25" s="23"/>
      <c r="K25" s="23"/>
      <c r="L25" s="23"/>
      <c r="M25" s="23"/>
      <c r="N25" s="23"/>
      <c r="O25" s="23">
        <v>239.23</v>
      </c>
    </row>
    <row r="26" spans="1:15" x14ac:dyDescent="0.25">
      <c r="A26" t="s">
        <v>20</v>
      </c>
      <c r="B26" t="s">
        <v>223</v>
      </c>
      <c r="C26" t="s">
        <v>15</v>
      </c>
      <c r="D26" s="23"/>
      <c r="E26" s="23"/>
      <c r="F26" s="23">
        <v>277.61</v>
      </c>
      <c r="G26" s="23"/>
      <c r="H26" s="23">
        <v>65.180000000000007</v>
      </c>
      <c r="I26" s="23">
        <v>30.87</v>
      </c>
      <c r="J26" s="23">
        <v>132.49</v>
      </c>
      <c r="K26" s="23">
        <v>106.07</v>
      </c>
      <c r="L26" s="23"/>
      <c r="M26" s="23">
        <v>164.1</v>
      </c>
      <c r="N26" s="23"/>
      <c r="O26" s="23">
        <v>776.32</v>
      </c>
    </row>
    <row r="27" spans="1:15" x14ac:dyDescent="0.25">
      <c r="A27" t="s">
        <v>20</v>
      </c>
      <c r="B27" t="s">
        <v>169</v>
      </c>
      <c r="C27" t="s">
        <v>15</v>
      </c>
      <c r="D27" s="23"/>
      <c r="E27" s="23"/>
      <c r="F27" s="23">
        <v>22</v>
      </c>
      <c r="G27" s="23"/>
      <c r="H27" s="23"/>
      <c r="I27" s="23">
        <v>44</v>
      </c>
      <c r="J27" s="23"/>
      <c r="K27" s="23"/>
      <c r="L27" s="23"/>
      <c r="M27" s="23"/>
      <c r="N27" s="23"/>
      <c r="O27" s="23">
        <v>66</v>
      </c>
    </row>
    <row r="28" spans="1:15" x14ac:dyDescent="0.25">
      <c r="A28" t="s">
        <v>20</v>
      </c>
      <c r="B28" t="s">
        <v>228</v>
      </c>
      <c r="C28" t="s">
        <v>15</v>
      </c>
      <c r="D28" s="23"/>
      <c r="E28" s="23"/>
      <c r="F28" s="23"/>
      <c r="G28" s="23">
        <v>110</v>
      </c>
      <c r="H28" s="23"/>
      <c r="I28" s="23"/>
      <c r="J28" s="23"/>
      <c r="K28" s="23"/>
      <c r="L28" s="23"/>
      <c r="M28" s="23"/>
      <c r="N28" s="23"/>
      <c r="O28" s="23">
        <v>110</v>
      </c>
    </row>
    <row r="29" spans="1:15" x14ac:dyDescent="0.25">
      <c r="A29" t="s">
        <v>20</v>
      </c>
      <c r="B29" t="s">
        <v>34</v>
      </c>
      <c r="C29" t="s">
        <v>15</v>
      </c>
      <c r="D29" s="23">
        <v>30.11</v>
      </c>
      <c r="E29" s="23"/>
      <c r="F29" s="23">
        <v>64.72999999999999</v>
      </c>
      <c r="G29" s="23">
        <v>24.020000000000003</v>
      </c>
      <c r="H29" s="23">
        <v>17.52</v>
      </c>
      <c r="I29" s="23">
        <v>125.56</v>
      </c>
      <c r="J29" s="23">
        <v>113.16000000000001</v>
      </c>
      <c r="K29" s="23">
        <v>129.1</v>
      </c>
      <c r="L29" s="23"/>
      <c r="M29" s="23">
        <v>27.17</v>
      </c>
      <c r="N29" s="23">
        <v>61.1</v>
      </c>
      <c r="O29" s="23">
        <v>592.47</v>
      </c>
    </row>
    <row r="30" spans="1:15" x14ac:dyDescent="0.25">
      <c r="A30" t="s">
        <v>20</v>
      </c>
      <c r="B30" t="s">
        <v>143</v>
      </c>
      <c r="C30" t="s">
        <v>22</v>
      </c>
      <c r="D30" s="23"/>
      <c r="E30" s="23">
        <v>10.59</v>
      </c>
      <c r="F30" s="23">
        <v>10.59</v>
      </c>
      <c r="G30" s="23">
        <v>10.59</v>
      </c>
      <c r="H30" s="23"/>
      <c r="I30" s="23"/>
      <c r="J30" s="23"/>
      <c r="K30" s="23"/>
      <c r="L30" s="23"/>
      <c r="M30" s="23"/>
      <c r="N30" s="23"/>
      <c r="O30" s="23">
        <v>31.77</v>
      </c>
    </row>
    <row r="31" spans="1:15" x14ac:dyDescent="0.25">
      <c r="A31" t="s">
        <v>20</v>
      </c>
      <c r="B31" t="s">
        <v>126</v>
      </c>
      <c r="C31" t="s">
        <v>15</v>
      </c>
      <c r="D31" s="23"/>
      <c r="E31" s="23"/>
      <c r="F31" s="23">
        <v>42</v>
      </c>
      <c r="G31" s="23"/>
      <c r="H31" s="23"/>
      <c r="I31" s="23"/>
      <c r="J31" s="23"/>
      <c r="K31" s="23"/>
      <c r="L31" s="23"/>
      <c r="M31" s="23"/>
      <c r="N31" s="23"/>
      <c r="O31" s="23">
        <v>42</v>
      </c>
    </row>
    <row r="32" spans="1:15" x14ac:dyDescent="0.25">
      <c r="A32" t="s">
        <v>20</v>
      </c>
      <c r="B32" t="s">
        <v>216</v>
      </c>
      <c r="C32" t="s">
        <v>22</v>
      </c>
      <c r="D32" s="23"/>
      <c r="E32" s="23"/>
      <c r="F32" s="23">
        <v>79.989999999999995</v>
      </c>
      <c r="G32" s="23"/>
      <c r="H32" s="23"/>
      <c r="I32" s="23"/>
      <c r="J32" s="23"/>
      <c r="K32" s="23"/>
      <c r="L32" s="23"/>
      <c r="M32" s="23"/>
      <c r="N32" s="23"/>
      <c r="O32" s="23">
        <v>79.989999999999995</v>
      </c>
    </row>
    <row r="33" spans="1:15" x14ac:dyDescent="0.25">
      <c r="A33" t="s">
        <v>20</v>
      </c>
      <c r="B33" t="s">
        <v>485</v>
      </c>
      <c r="C33" t="s">
        <v>15</v>
      </c>
      <c r="D33" s="23"/>
      <c r="E33" s="23"/>
      <c r="F33" s="23"/>
      <c r="G33" s="23"/>
      <c r="H33" s="23"/>
      <c r="I33" s="23"/>
      <c r="J33" s="23">
        <v>51.5</v>
      </c>
      <c r="K33" s="23"/>
      <c r="L33" s="23"/>
      <c r="M33" s="23"/>
      <c r="N33" s="23"/>
      <c r="O33" s="23">
        <v>51.5</v>
      </c>
    </row>
    <row r="34" spans="1:15" x14ac:dyDescent="0.25">
      <c r="A34" t="s">
        <v>20</v>
      </c>
      <c r="B34" t="s">
        <v>13</v>
      </c>
      <c r="C34" t="s">
        <v>15</v>
      </c>
      <c r="D34" s="23"/>
      <c r="E34" s="23"/>
      <c r="F34" s="23">
        <v>51.7</v>
      </c>
      <c r="G34" s="23"/>
      <c r="H34" s="23">
        <v>5.3</v>
      </c>
      <c r="I34" s="23">
        <v>18.8</v>
      </c>
      <c r="J34" s="23">
        <v>36.069999999999993</v>
      </c>
      <c r="K34" s="23"/>
      <c r="L34" s="23"/>
      <c r="M34" s="23"/>
      <c r="N34" s="23"/>
      <c r="O34" s="23">
        <v>111.86999999999999</v>
      </c>
    </row>
    <row r="35" spans="1:15" x14ac:dyDescent="0.25">
      <c r="A35" t="s">
        <v>20</v>
      </c>
      <c r="B35" t="s">
        <v>41</v>
      </c>
      <c r="C35" t="s">
        <v>15</v>
      </c>
      <c r="D35" s="23"/>
      <c r="E35" s="23"/>
      <c r="F35" s="23">
        <v>0.86</v>
      </c>
      <c r="G35" s="23"/>
      <c r="H35" s="23">
        <v>4.08</v>
      </c>
      <c r="I35" s="23"/>
      <c r="J35" s="23"/>
      <c r="K35" s="23"/>
      <c r="L35" s="23"/>
      <c r="M35" s="23"/>
      <c r="N35" s="23"/>
      <c r="O35" s="23">
        <v>4.9400000000000004</v>
      </c>
    </row>
    <row r="36" spans="1:15" x14ac:dyDescent="0.25">
      <c r="A36" t="s">
        <v>20</v>
      </c>
      <c r="B36" t="s">
        <v>88</v>
      </c>
      <c r="C36" t="s">
        <v>22</v>
      </c>
      <c r="D36" s="23">
        <v>30</v>
      </c>
      <c r="E36" s="23">
        <v>30</v>
      </c>
      <c r="F36" s="23"/>
      <c r="G36" s="23"/>
      <c r="H36" s="23"/>
      <c r="I36" s="23"/>
      <c r="J36" s="23"/>
      <c r="K36" s="23"/>
      <c r="L36" s="23"/>
      <c r="M36" s="23"/>
      <c r="N36" s="23"/>
      <c r="O36" s="23">
        <v>60</v>
      </c>
    </row>
    <row r="37" spans="1:15" x14ac:dyDescent="0.25">
      <c r="A37" t="s">
        <v>20</v>
      </c>
      <c r="B37" t="s">
        <v>225</v>
      </c>
      <c r="C37" t="s">
        <v>15</v>
      </c>
      <c r="D37" s="23"/>
      <c r="E37" s="23"/>
      <c r="F37" s="23">
        <v>47.51</v>
      </c>
      <c r="G37" s="23"/>
      <c r="H37" s="23"/>
      <c r="I37" s="23"/>
      <c r="J37" s="23"/>
      <c r="K37" s="23"/>
      <c r="L37" s="23"/>
      <c r="M37" s="23"/>
      <c r="N37" s="23"/>
      <c r="O37" s="23">
        <v>47.51</v>
      </c>
    </row>
    <row r="38" spans="1:15" x14ac:dyDescent="0.25">
      <c r="A38" t="s">
        <v>20</v>
      </c>
      <c r="B38" t="s">
        <v>49</v>
      </c>
      <c r="C38" t="s">
        <v>22</v>
      </c>
      <c r="D38" s="23">
        <v>15.89</v>
      </c>
      <c r="E38" s="23">
        <v>15.89</v>
      </c>
      <c r="F38" s="23">
        <v>15.89</v>
      </c>
      <c r="G38" s="23">
        <v>15.89</v>
      </c>
      <c r="H38" s="23">
        <v>15.89</v>
      </c>
      <c r="I38" s="23">
        <v>15.89</v>
      </c>
      <c r="J38" s="23">
        <v>15.89</v>
      </c>
      <c r="K38" s="23">
        <v>15.89</v>
      </c>
      <c r="L38" s="23">
        <v>15.89</v>
      </c>
      <c r="M38" s="23">
        <v>15.89</v>
      </c>
      <c r="N38" s="23">
        <v>15.89</v>
      </c>
      <c r="O38" s="23">
        <v>174.78999999999996</v>
      </c>
    </row>
    <row r="39" spans="1:15" x14ac:dyDescent="0.25">
      <c r="A39" t="s">
        <v>20</v>
      </c>
      <c r="B39" t="s">
        <v>244</v>
      </c>
      <c r="C39" t="s">
        <v>15</v>
      </c>
      <c r="D39" s="23"/>
      <c r="E39" s="23"/>
      <c r="F39" s="23"/>
      <c r="G39" s="23">
        <v>63.66</v>
      </c>
      <c r="H39" s="23"/>
      <c r="I39" s="23"/>
      <c r="J39" s="23"/>
      <c r="K39" s="23"/>
      <c r="L39" s="23"/>
      <c r="M39" s="23"/>
      <c r="N39" s="23"/>
      <c r="O39" s="23">
        <v>63.66</v>
      </c>
    </row>
    <row r="40" spans="1:15" x14ac:dyDescent="0.25">
      <c r="A40" t="s">
        <v>20</v>
      </c>
      <c r="B40" t="s">
        <v>456</v>
      </c>
      <c r="C40" t="s">
        <v>15</v>
      </c>
      <c r="D40" s="23"/>
      <c r="E40" s="23"/>
      <c r="F40" s="23"/>
      <c r="G40" s="23"/>
      <c r="H40" s="23"/>
      <c r="I40" s="23"/>
      <c r="J40" s="23"/>
      <c r="K40" s="23"/>
      <c r="L40" s="23"/>
      <c r="M40" s="23">
        <v>64.52</v>
      </c>
      <c r="N40" s="23">
        <v>37.119999999999997</v>
      </c>
      <c r="O40" s="23">
        <v>101.63999999999999</v>
      </c>
    </row>
    <row r="41" spans="1:15" x14ac:dyDescent="0.25">
      <c r="A41" t="s">
        <v>20</v>
      </c>
      <c r="B41" t="s">
        <v>688</v>
      </c>
      <c r="C41" t="s">
        <v>15</v>
      </c>
      <c r="D41" s="23"/>
      <c r="E41" s="23"/>
      <c r="F41" s="23"/>
      <c r="G41" s="23"/>
      <c r="H41" s="23"/>
      <c r="I41" s="23"/>
      <c r="J41" s="23"/>
      <c r="K41" s="23">
        <v>25.75</v>
      </c>
      <c r="L41" s="23"/>
      <c r="M41" s="23"/>
      <c r="N41" s="23">
        <v>103</v>
      </c>
      <c r="O41" s="23">
        <v>128.75</v>
      </c>
    </row>
    <row r="42" spans="1:15" x14ac:dyDescent="0.25">
      <c r="A42" t="s">
        <v>20</v>
      </c>
      <c r="B42" t="s">
        <v>94</v>
      </c>
      <c r="C42" t="s">
        <v>15</v>
      </c>
      <c r="D42" s="23"/>
      <c r="E42" s="23"/>
      <c r="F42" s="23"/>
      <c r="G42" s="23"/>
      <c r="H42" s="23"/>
      <c r="I42" s="23"/>
      <c r="J42" s="23"/>
      <c r="K42" s="23"/>
      <c r="L42" s="23">
        <v>10</v>
      </c>
      <c r="M42" s="23">
        <v>119</v>
      </c>
      <c r="N42" s="23">
        <v>10</v>
      </c>
      <c r="O42" s="23">
        <v>139</v>
      </c>
    </row>
    <row r="43" spans="1:15" x14ac:dyDescent="0.25">
      <c r="A43" t="s">
        <v>20</v>
      </c>
      <c r="B43" t="s">
        <v>270</v>
      </c>
      <c r="C43" t="s">
        <v>15</v>
      </c>
      <c r="D43" s="23"/>
      <c r="E43" s="23"/>
      <c r="F43" s="23"/>
      <c r="G43" s="23">
        <v>32.57</v>
      </c>
      <c r="H43" s="23"/>
      <c r="I43" s="23"/>
      <c r="J43" s="23"/>
      <c r="K43" s="23"/>
      <c r="L43" s="23"/>
      <c r="M43" s="23"/>
      <c r="N43" s="23"/>
      <c r="O43" s="23">
        <v>32.57</v>
      </c>
    </row>
    <row r="44" spans="1:15" x14ac:dyDescent="0.25">
      <c r="A44" t="s">
        <v>20</v>
      </c>
      <c r="B44" t="s">
        <v>218</v>
      </c>
      <c r="C44" t="s">
        <v>15</v>
      </c>
      <c r="D44" s="23"/>
      <c r="E44" s="23"/>
      <c r="F44" s="23">
        <v>11.94</v>
      </c>
      <c r="G44" s="23"/>
      <c r="H44" s="23"/>
      <c r="I44" s="23"/>
      <c r="J44" s="23"/>
      <c r="K44" s="23"/>
      <c r="L44" s="23"/>
      <c r="M44" s="23"/>
      <c r="N44" s="23"/>
      <c r="O44" s="23">
        <v>11.94</v>
      </c>
    </row>
    <row r="45" spans="1:15" x14ac:dyDescent="0.25">
      <c r="A45" t="s">
        <v>20</v>
      </c>
      <c r="B45" t="s">
        <v>337</v>
      </c>
      <c r="C45" t="s">
        <v>22</v>
      </c>
      <c r="D45" s="23"/>
      <c r="E45" s="23"/>
      <c r="F45" s="23"/>
      <c r="G45" s="23"/>
      <c r="H45" s="23">
        <v>3.17</v>
      </c>
      <c r="I45" s="23">
        <v>3.17</v>
      </c>
      <c r="J45" s="23">
        <v>3.17</v>
      </c>
      <c r="K45" s="23">
        <v>3.17</v>
      </c>
      <c r="L45" s="23">
        <v>3.17</v>
      </c>
      <c r="M45" s="23">
        <v>3.17</v>
      </c>
      <c r="N45" s="23"/>
      <c r="O45" s="23">
        <v>19.02</v>
      </c>
    </row>
    <row r="46" spans="1:15" x14ac:dyDescent="0.25">
      <c r="A46" t="s">
        <v>20</v>
      </c>
      <c r="B46" t="s">
        <v>916</v>
      </c>
      <c r="C46" t="s">
        <v>15</v>
      </c>
      <c r="D46" s="23"/>
      <c r="E46" s="23"/>
      <c r="F46" s="23"/>
      <c r="G46" s="23"/>
      <c r="H46" s="23"/>
      <c r="I46" s="23"/>
      <c r="J46" s="23"/>
      <c r="K46" s="23">
        <v>39.79</v>
      </c>
      <c r="L46" s="23"/>
      <c r="M46" s="23"/>
      <c r="N46" s="23"/>
      <c r="O46" s="23">
        <v>39.79</v>
      </c>
    </row>
    <row r="47" spans="1:15" x14ac:dyDescent="0.25">
      <c r="A47" t="s">
        <v>20</v>
      </c>
      <c r="B47" t="s">
        <v>159</v>
      </c>
      <c r="C47" t="s">
        <v>15</v>
      </c>
      <c r="D47" s="23"/>
      <c r="E47" s="23"/>
      <c r="F47" s="23"/>
      <c r="G47" s="23"/>
      <c r="H47" s="23"/>
      <c r="I47" s="23">
        <v>31.96</v>
      </c>
      <c r="J47" s="23"/>
      <c r="K47" s="23"/>
      <c r="L47" s="23"/>
      <c r="M47" s="23"/>
      <c r="N47" s="23"/>
      <c r="O47" s="23">
        <v>31.96</v>
      </c>
    </row>
    <row r="48" spans="1:15" x14ac:dyDescent="0.25">
      <c r="A48" t="s">
        <v>20</v>
      </c>
      <c r="B48" t="s">
        <v>135</v>
      </c>
      <c r="C48" t="s">
        <v>15</v>
      </c>
      <c r="D48" s="23"/>
      <c r="E48" s="23"/>
      <c r="F48" s="23"/>
      <c r="G48" s="23"/>
      <c r="H48" s="23"/>
      <c r="I48" s="23"/>
      <c r="J48" s="23"/>
      <c r="K48" s="23"/>
      <c r="L48" s="23">
        <v>43.72</v>
      </c>
      <c r="M48" s="23"/>
      <c r="N48" s="23"/>
      <c r="O48" s="23">
        <v>43.72</v>
      </c>
    </row>
    <row r="49" spans="1:15" x14ac:dyDescent="0.25">
      <c r="A49" t="s">
        <v>20</v>
      </c>
      <c r="B49" t="s">
        <v>124</v>
      </c>
      <c r="C49" t="s">
        <v>22</v>
      </c>
      <c r="D49" s="23"/>
      <c r="E49" s="23">
        <v>14.99</v>
      </c>
      <c r="F49" s="23">
        <v>14.99</v>
      </c>
      <c r="G49" s="23">
        <v>14.99</v>
      </c>
      <c r="H49" s="23"/>
      <c r="I49" s="23"/>
      <c r="J49" s="23"/>
      <c r="K49" s="23"/>
      <c r="L49" s="23"/>
      <c r="M49" s="23"/>
      <c r="N49" s="23"/>
      <c r="O49" s="23">
        <v>44.97</v>
      </c>
    </row>
    <row r="50" spans="1:15" x14ac:dyDescent="0.25">
      <c r="A50" t="s">
        <v>20</v>
      </c>
      <c r="B50" t="s">
        <v>21</v>
      </c>
      <c r="C50" t="s">
        <v>22</v>
      </c>
      <c r="D50" s="23">
        <v>14.83</v>
      </c>
      <c r="E50" s="23">
        <v>14.83</v>
      </c>
      <c r="F50" s="23">
        <v>16.420000000000002</v>
      </c>
      <c r="G50" s="23">
        <v>16.420000000000002</v>
      </c>
      <c r="H50" s="23">
        <v>10.59</v>
      </c>
      <c r="I50" s="23">
        <v>10.59</v>
      </c>
      <c r="J50" s="23">
        <v>10.59</v>
      </c>
      <c r="K50" s="23">
        <v>10.59</v>
      </c>
      <c r="L50" s="23">
        <v>10.59</v>
      </c>
      <c r="M50" s="23">
        <v>10.59</v>
      </c>
      <c r="N50" s="23">
        <v>10.59</v>
      </c>
      <c r="O50" s="23">
        <v>136.63000000000002</v>
      </c>
    </row>
    <row r="51" spans="1:15" x14ac:dyDescent="0.25">
      <c r="A51" t="s">
        <v>20</v>
      </c>
      <c r="B51" t="s">
        <v>113</v>
      </c>
      <c r="C51" t="s">
        <v>22</v>
      </c>
      <c r="D51" s="23">
        <v>4.99</v>
      </c>
      <c r="E51" s="23">
        <v>4.99</v>
      </c>
      <c r="F51" s="23">
        <v>4.99</v>
      </c>
      <c r="G51" s="23">
        <v>4.99</v>
      </c>
      <c r="H51" s="23"/>
      <c r="I51" s="23"/>
      <c r="J51" s="23"/>
      <c r="K51" s="23"/>
      <c r="L51" s="23"/>
      <c r="M51" s="23"/>
      <c r="N51" s="23"/>
      <c r="O51" s="23">
        <v>19.96</v>
      </c>
    </row>
    <row r="52" spans="1:15" x14ac:dyDescent="0.25">
      <c r="A52" t="s">
        <v>20</v>
      </c>
      <c r="B52" t="s">
        <v>316</v>
      </c>
      <c r="C52" t="s">
        <v>15</v>
      </c>
      <c r="D52" s="23"/>
      <c r="E52" s="23"/>
      <c r="F52" s="23"/>
      <c r="G52" s="23"/>
      <c r="H52" s="23">
        <v>284.70000000000005</v>
      </c>
      <c r="I52" s="23">
        <v>104.19</v>
      </c>
      <c r="J52" s="23"/>
      <c r="K52" s="23"/>
      <c r="L52" s="23"/>
      <c r="M52" s="23"/>
      <c r="N52" s="23"/>
      <c r="O52" s="23">
        <v>388.89000000000004</v>
      </c>
    </row>
    <row r="53" spans="1:15" x14ac:dyDescent="0.25">
      <c r="A53" t="s">
        <v>20</v>
      </c>
      <c r="B53" t="s">
        <v>80</v>
      </c>
      <c r="C53" t="s">
        <v>15</v>
      </c>
      <c r="D53" s="23">
        <v>28.98</v>
      </c>
      <c r="E53" s="23">
        <v>23</v>
      </c>
      <c r="F53" s="23">
        <v>17.990000000000002</v>
      </c>
      <c r="G53" s="23">
        <v>58.249999999999993</v>
      </c>
      <c r="H53" s="23">
        <v>37.169999999999995</v>
      </c>
      <c r="I53" s="23">
        <v>69.05</v>
      </c>
      <c r="J53" s="23">
        <v>185.3</v>
      </c>
      <c r="K53" s="23">
        <v>29.65</v>
      </c>
      <c r="L53" s="23">
        <v>7.13</v>
      </c>
      <c r="M53" s="23">
        <v>56.71</v>
      </c>
      <c r="N53" s="23"/>
      <c r="O53" s="23">
        <v>513.23</v>
      </c>
    </row>
    <row r="54" spans="1:15" x14ac:dyDescent="0.25">
      <c r="A54" t="s">
        <v>20</v>
      </c>
      <c r="B54" t="s">
        <v>203</v>
      </c>
      <c r="C54" t="s">
        <v>15</v>
      </c>
      <c r="D54" s="23"/>
      <c r="E54" s="23"/>
      <c r="F54" s="23"/>
      <c r="G54" s="23"/>
      <c r="H54" s="23"/>
      <c r="I54" s="23"/>
      <c r="J54" s="23">
        <v>415</v>
      </c>
      <c r="K54" s="23"/>
      <c r="L54" s="23"/>
      <c r="M54" s="23"/>
      <c r="N54" s="23"/>
      <c r="O54" s="23">
        <v>415</v>
      </c>
    </row>
    <row r="55" spans="1:15" x14ac:dyDescent="0.25">
      <c r="A55" t="s">
        <v>20</v>
      </c>
      <c r="B55" t="s">
        <v>115</v>
      </c>
      <c r="C55" t="s">
        <v>22</v>
      </c>
      <c r="D55" s="23">
        <v>20</v>
      </c>
      <c r="E55" s="23">
        <v>29.99</v>
      </c>
      <c r="F55" s="23"/>
      <c r="G55" s="23"/>
      <c r="H55" s="23"/>
      <c r="I55" s="23"/>
      <c r="J55" s="23"/>
      <c r="K55" s="23"/>
      <c r="L55" s="23"/>
      <c r="M55" s="23"/>
      <c r="N55" s="23"/>
      <c r="O55" s="23">
        <v>49.989999999999995</v>
      </c>
    </row>
    <row r="56" spans="1:15" x14ac:dyDescent="0.25">
      <c r="A56" t="s">
        <v>20</v>
      </c>
      <c r="B56" t="s">
        <v>277</v>
      </c>
      <c r="C56" t="s">
        <v>15</v>
      </c>
      <c r="D56" s="23"/>
      <c r="E56" s="23"/>
      <c r="F56" s="23"/>
      <c r="G56" s="23">
        <v>43.43</v>
      </c>
      <c r="H56" s="23">
        <v>43.43</v>
      </c>
      <c r="I56" s="23"/>
      <c r="J56" s="23">
        <v>37.1</v>
      </c>
      <c r="K56" s="23">
        <v>132.77000000000001</v>
      </c>
      <c r="L56" s="23"/>
      <c r="M56" s="23"/>
      <c r="N56" s="23"/>
      <c r="O56" s="23">
        <v>256.73</v>
      </c>
    </row>
    <row r="57" spans="1:15" x14ac:dyDescent="0.25">
      <c r="A57" t="s">
        <v>20</v>
      </c>
      <c r="B57" t="s">
        <v>18</v>
      </c>
      <c r="C57" t="s">
        <v>15</v>
      </c>
      <c r="D57" s="23"/>
      <c r="E57" s="23"/>
      <c r="F57" s="23">
        <v>77</v>
      </c>
      <c r="G57" s="23"/>
      <c r="H57" s="23"/>
      <c r="I57" s="23"/>
      <c r="J57" s="23"/>
      <c r="K57" s="23"/>
      <c r="L57" s="23"/>
      <c r="M57" s="23">
        <v>77.95</v>
      </c>
      <c r="N57" s="23"/>
      <c r="O57" s="23">
        <v>154.94999999999999</v>
      </c>
    </row>
    <row r="58" spans="1:15" x14ac:dyDescent="0.25">
      <c r="A58" t="s">
        <v>20</v>
      </c>
      <c r="B58" t="s">
        <v>76</v>
      </c>
      <c r="C58" t="s">
        <v>15</v>
      </c>
      <c r="D58" s="23">
        <v>56.15</v>
      </c>
      <c r="E58" s="23"/>
      <c r="F58" s="23"/>
      <c r="G58" s="23"/>
      <c r="H58" s="23">
        <v>27.99</v>
      </c>
      <c r="I58" s="23"/>
      <c r="J58" s="23"/>
      <c r="K58" s="23"/>
      <c r="L58" s="23"/>
      <c r="M58" s="23">
        <v>18.27</v>
      </c>
      <c r="N58" s="23">
        <v>10.9</v>
      </c>
      <c r="O58" s="23">
        <v>113.31</v>
      </c>
    </row>
    <row r="59" spans="1:15" x14ac:dyDescent="0.25">
      <c r="A59" t="s">
        <v>20</v>
      </c>
      <c r="B59" t="s">
        <v>99</v>
      </c>
      <c r="C59" t="s">
        <v>15</v>
      </c>
      <c r="D59" s="23">
        <v>10.79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>
        <v>10.79</v>
      </c>
    </row>
    <row r="60" spans="1:15" x14ac:dyDescent="0.25">
      <c r="A60" t="s">
        <v>20</v>
      </c>
      <c r="B60" t="s">
        <v>25</v>
      </c>
      <c r="C60" t="s">
        <v>22</v>
      </c>
      <c r="D60" s="23">
        <v>9.99</v>
      </c>
      <c r="E60" s="23">
        <v>9.99</v>
      </c>
      <c r="F60" s="23">
        <v>9.99</v>
      </c>
      <c r="G60" s="23">
        <v>9.99</v>
      </c>
      <c r="H60" s="23">
        <v>9.99</v>
      </c>
      <c r="I60" s="23">
        <v>9.99</v>
      </c>
      <c r="J60" s="23">
        <v>9.99</v>
      </c>
      <c r="K60" s="23">
        <v>9.99</v>
      </c>
      <c r="L60" s="23">
        <v>9.99</v>
      </c>
      <c r="M60" s="23">
        <v>14.98</v>
      </c>
      <c r="N60" s="23">
        <v>14.98</v>
      </c>
      <c r="O60" s="23">
        <v>119.87</v>
      </c>
    </row>
    <row r="61" spans="1:15" x14ac:dyDescent="0.25">
      <c r="A61" t="s">
        <v>20</v>
      </c>
      <c r="B61" t="s">
        <v>92</v>
      </c>
      <c r="C61" t="s">
        <v>15</v>
      </c>
      <c r="D61" s="23">
        <v>20.720000000000002</v>
      </c>
      <c r="E61" s="23"/>
      <c r="F61" s="23">
        <v>17.59</v>
      </c>
      <c r="G61" s="23"/>
      <c r="H61" s="23"/>
      <c r="I61" s="23"/>
      <c r="J61" s="23"/>
      <c r="K61" s="23"/>
      <c r="L61" s="23"/>
      <c r="M61" s="23"/>
      <c r="N61" s="23"/>
      <c r="O61" s="23">
        <v>38.31</v>
      </c>
    </row>
    <row r="62" spans="1:15" x14ac:dyDescent="0.25">
      <c r="A62" t="s">
        <v>20</v>
      </c>
      <c r="B62" t="s">
        <v>109</v>
      </c>
      <c r="C62" t="s">
        <v>22</v>
      </c>
      <c r="D62" s="23">
        <v>79.38</v>
      </c>
      <c r="E62" s="23">
        <v>79.38</v>
      </c>
      <c r="F62" s="23">
        <v>79.38</v>
      </c>
      <c r="G62" s="23">
        <v>79.38</v>
      </c>
      <c r="H62" s="23">
        <v>79.38</v>
      </c>
      <c r="I62" s="23">
        <v>79.38</v>
      </c>
      <c r="J62" s="23">
        <v>79.66</v>
      </c>
      <c r="K62" s="23">
        <v>79.66</v>
      </c>
      <c r="L62" s="23">
        <v>80.08</v>
      </c>
      <c r="M62" s="23">
        <v>80.08</v>
      </c>
      <c r="N62" s="23">
        <v>80.08</v>
      </c>
      <c r="O62" s="23">
        <v>875.84</v>
      </c>
    </row>
    <row r="63" spans="1:15" x14ac:dyDescent="0.25">
      <c r="A63" t="s">
        <v>20</v>
      </c>
      <c r="B63" t="s">
        <v>90</v>
      </c>
      <c r="C63" t="s">
        <v>15</v>
      </c>
      <c r="D63" s="23">
        <v>79</v>
      </c>
      <c r="E63" s="23">
        <v>5</v>
      </c>
      <c r="F63" s="23"/>
      <c r="G63" s="23"/>
      <c r="H63" s="23"/>
      <c r="I63" s="23"/>
      <c r="J63" s="23"/>
      <c r="K63" s="23"/>
      <c r="L63" s="23"/>
      <c r="M63" s="23"/>
      <c r="N63" s="23"/>
      <c r="O63" s="23">
        <v>84</v>
      </c>
    </row>
    <row r="64" spans="1:15" x14ac:dyDescent="0.25">
      <c r="A64" t="s">
        <v>20</v>
      </c>
      <c r="B64" t="s">
        <v>72</v>
      </c>
      <c r="C64" t="s">
        <v>15</v>
      </c>
      <c r="D64" s="23">
        <v>153.88</v>
      </c>
      <c r="E64" s="23"/>
      <c r="F64" s="23"/>
      <c r="G64" s="23">
        <v>47.34</v>
      </c>
      <c r="H64" s="23">
        <v>211.57</v>
      </c>
      <c r="I64" s="23"/>
      <c r="J64" s="23">
        <v>77.89</v>
      </c>
      <c r="K64" s="23">
        <v>55.34</v>
      </c>
      <c r="L64" s="23">
        <v>75.28</v>
      </c>
      <c r="M64" s="23"/>
      <c r="N64" s="23"/>
      <c r="O64" s="23">
        <v>621.29999999999995</v>
      </c>
    </row>
    <row r="65" spans="1:15" x14ac:dyDescent="0.25">
      <c r="A65" t="s">
        <v>20</v>
      </c>
      <c r="B65" t="s">
        <v>281</v>
      </c>
      <c r="C65" t="s">
        <v>15</v>
      </c>
      <c r="D65" s="23"/>
      <c r="E65" s="23"/>
      <c r="F65" s="23"/>
      <c r="G65" s="23">
        <v>44</v>
      </c>
      <c r="H65" s="23"/>
      <c r="I65" s="23"/>
      <c r="J65" s="23">
        <v>20</v>
      </c>
      <c r="K65" s="23"/>
      <c r="L65" s="23"/>
      <c r="M65" s="23"/>
      <c r="N65" s="23"/>
      <c r="O65" s="23">
        <v>64</v>
      </c>
    </row>
    <row r="66" spans="1:15" x14ac:dyDescent="0.25">
      <c r="A66" t="s">
        <v>20</v>
      </c>
      <c r="B66" t="s">
        <v>59</v>
      </c>
      <c r="C66" t="s">
        <v>15</v>
      </c>
      <c r="D66" s="23">
        <v>26.49</v>
      </c>
      <c r="E66" s="23"/>
      <c r="F66" s="23"/>
      <c r="G66" s="23"/>
      <c r="H66" s="23"/>
      <c r="I66" s="23"/>
      <c r="J66" s="23"/>
      <c r="K66" s="23"/>
      <c r="L66" s="23"/>
      <c r="M66" s="23"/>
      <c r="N66" s="23">
        <v>26.49</v>
      </c>
      <c r="O66" s="23">
        <v>52.98</v>
      </c>
    </row>
    <row r="67" spans="1:15" x14ac:dyDescent="0.25">
      <c r="A67" t="s">
        <v>20</v>
      </c>
      <c r="B67" t="s">
        <v>362</v>
      </c>
      <c r="C67" t="s">
        <v>15</v>
      </c>
      <c r="D67" s="23"/>
      <c r="E67" s="23"/>
      <c r="F67" s="23"/>
      <c r="G67" s="23"/>
      <c r="H67" s="23"/>
      <c r="I67" s="23"/>
      <c r="J67" s="23"/>
      <c r="K67" s="23"/>
      <c r="L67" s="23">
        <v>43.43</v>
      </c>
      <c r="M67" s="23"/>
      <c r="N67" s="23"/>
      <c r="O67" s="23">
        <v>43.43</v>
      </c>
    </row>
    <row r="68" spans="1:15" x14ac:dyDescent="0.25">
      <c r="A68" t="s">
        <v>20</v>
      </c>
      <c r="B68" t="s">
        <v>405</v>
      </c>
      <c r="C68" t="s">
        <v>15</v>
      </c>
      <c r="D68" s="23"/>
      <c r="E68" s="23"/>
      <c r="F68" s="23"/>
      <c r="G68" s="23"/>
      <c r="H68" s="23"/>
      <c r="I68" s="23">
        <v>24.26</v>
      </c>
      <c r="J68" s="23"/>
      <c r="K68" s="23"/>
      <c r="L68" s="23"/>
      <c r="M68" s="23"/>
      <c r="N68" s="23"/>
      <c r="O68" s="23">
        <v>24.26</v>
      </c>
    </row>
    <row r="69" spans="1:15" x14ac:dyDescent="0.25">
      <c r="A69" t="s">
        <v>20</v>
      </c>
      <c r="B69" t="s">
        <v>133</v>
      </c>
      <c r="C69" t="s">
        <v>15</v>
      </c>
      <c r="D69" s="23"/>
      <c r="E69" s="23">
        <v>126.7</v>
      </c>
      <c r="F69" s="23"/>
      <c r="G69" s="23"/>
      <c r="H69" s="23"/>
      <c r="I69" s="23"/>
      <c r="J69" s="23"/>
      <c r="K69" s="23"/>
      <c r="L69" s="23"/>
      <c r="M69" s="23"/>
      <c r="N69" s="23"/>
      <c r="O69" s="23">
        <v>126.7</v>
      </c>
    </row>
    <row r="70" spans="1:15" x14ac:dyDescent="0.25">
      <c r="A70" t="s">
        <v>20</v>
      </c>
      <c r="B70" t="s">
        <v>130</v>
      </c>
      <c r="C70" t="s">
        <v>22</v>
      </c>
      <c r="D70" s="23"/>
      <c r="E70" s="23"/>
      <c r="F70" s="23"/>
      <c r="G70" s="23">
        <v>70.58</v>
      </c>
      <c r="H70" s="23"/>
      <c r="I70" s="23"/>
      <c r="J70" s="23"/>
      <c r="K70" s="23"/>
      <c r="L70" s="23"/>
      <c r="M70" s="23"/>
      <c r="N70" s="23"/>
      <c r="O70" s="23">
        <v>70.58</v>
      </c>
    </row>
    <row r="71" spans="1:15" x14ac:dyDescent="0.25">
      <c r="A71" t="s">
        <v>37</v>
      </c>
      <c r="B71" t="s">
        <v>142</v>
      </c>
      <c r="C71" t="s">
        <v>15</v>
      </c>
      <c r="D71" s="23"/>
      <c r="E71" s="23"/>
      <c r="F71" s="23"/>
      <c r="G71" s="23"/>
      <c r="H71" s="23"/>
      <c r="I71" s="23">
        <v>-8</v>
      </c>
      <c r="J71" s="23"/>
      <c r="K71" s="23"/>
      <c r="L71" s="23"/>
      <c r="M71" s="23"/>
      <c r="N71" s="23"/>
      <c r="O71" s="23">
        <v>-8</v>
      </c>
    </row>
    <row r="72" spans="1:15" x14ac:dyDescent="0.25">
      <c r="A72" t="s">
        <v>37</v>
      </c>
      <c r="B72" t="s">
        <v>223</v>
      </c>
      <c r="C72" t="s">
        <v>15</v>
      </c>
      <c r="D72" s="23"/>
      <c r="E72" s="23"/>
      <c r="F72" s="23"/>
      <c r="G72" s="23"/>
      <c r="H72" s="23"/>
      <c r="I72" s="23"/>
      <c r="J72" s="23"/>
      <c r="K72" s="23">
        <v>-106.07</v>
      </c>
      <c r="L72" s="23"/>
      <c r="M72" s="23"/>
      <c r="N72" s="23"/>
      <c r="O72" s="23">
        <v>-106.07</v>
      </c>
    </row>
    <row r="73" spans="1:15" x14ac:dyDescent="0.25">
      <c r="A73" t="s">
        <v>37</v>
      </c>
      <c r="B73" t="s">
        <v>481</v>
      </c>
      <c r="C73" t="s">
        <v>22</v>
      </c>
      <c r="D73" s="23"/>
      <c r="E73" s="23"/>
      <c r="F73" s="23"/>
      <c r="G73" s="23"/>
      <c r="H73" s="23"/>
      <c r="I73" s="23"/>
      <c r="J73" s="23">
        <v>-1</v>
      </c>
      <c r="K73" s="23"/>
      <c r="L73" s="23"/>
      <c r="M73" s="23"/>
      <c r="N73" s="23"/>
      <c r="O73" s="23">
        <v>-1</v>
      </c>
    </row>
    <row r="74" spans="1:15" x14ac:dyDescent="0.25">
      <c r="A74" t="s">
        <v>37</v>
      </c>
      <c r="B74" t="s">
        <v>80</v>
      </c>
      <c r="C74" t="s">
        <v>15</v>
      </c>
      <c r="D74" s="23"/>
      <c r="E74" s="23"/>
      <c r="F74" s="23"/>
      <c r="G74" s="23"/>
      <c r="H74" s="23"/>
      <c r="I74" s="23"/>
      <c r="J74" s="23"/>
      <c r="K74" s="23">
        <v>-3.72</v>
      </c>
      <c r="L74" s="23"/>
      <c r="M74" s="23"/>
      <c r="N74" s="23"/>
      <c r="O74" s="23">
        <v>-3.72</v>
      </c>
    </row>
    <row r="75" spans="1:15" x14ac:dyDescent="0.25">
      <c r="A75" t="s">
        <v>37</v>
      </c>
      <c r="B75" t="s">
        <v>90</v>
      </c>
      <c r="C75" t="s">
        <v>15</v>
      </c>
      <c r="D75" s="23"/>
      <c r="E75" s="23">
        <v>-5</v>
      </c>
      <c r="F75" s="23"/>
      <c r="G75" s="23"/>
      <c r="H75" s="23"/>
      <c r="I75" s="23"/>
      <c r="J75" s="23"/>
      <c r="K75" s="23"/>
      <c r="L75" s="23"/>
      <c r="M75" s="23"/>
      <c r="N75" s="23"/>
      <c r="O75" s="23">
        <v>-5</v>
      </c>
    </row>
    <row r="76" spans="1:15" x14ac:dyDescent="0.25">
      <c r="A76" t="s">
        <v>12</v>
      </c>
      <c r="B76" t="s">
        <v>185</v>
      </c>
      <c r="C76" t="s">
        <v>15</v>
      </c>
      <c r="D76" s="23"/>
      <c r="E76" s="23"/>
      <c r="F76" s="23">
        <v>10</v>
      </c>
      <c r="G76" s="23"/>
      <c r="H76" s="23">
        <v>169.8</v>
      </c>
      <c r="I76" s="23">
        <v>22.06</v>
      </c>
      <c r="J76" s="23"/>
      <c r="K76" s="23">
        <v>16.13</v>
      </c>
      <c r="L76" s="23">
        <v>8.1999999999999993</v>
      </c>
      <c r="M76" s="23">
        <v>39.74</v>
      </c>
      <c r="N76" s="23"/>
      <c r="O76" s="23">
        <v>265.93</v>
      </c>
    </row>
    <row r="77" spans="1:15" x14ac:dyDescent="0.25">
      <c r="A77" t="s">
        <v>12</v>
      </c>
      <c r="B77" t="s">
        <v>169</v>
      </c>
      <c r="C77" t="s">
        <v>15</v>
      </c>
      <c r="D77" s="23"/>
      <c r="E77" s="23"/>
      <c r="F77" s="23"/>
      <c r="G77" s="23"/>
      <c r="H77" s="23"/>
      <c r="I77" s="23"/>
      <c r="J77" s="23">
        <v>97.259999999999991</v>
      </c>
      <c r="K77" s="23"/>
      <c r="L77" s="23"/>
      <c r="M77" s="23"/>
      <c r="N77" s="23"/>
      <c r="O77" s="23">
        <v>97.259999999999991</v>
      </c>
    </row>
    <row r="78" spans="1:15" x14ac:dyDescent="0.25">
      <c r="A78" t="s">
        <v>12</v>
      </c>
      <c r="B78" t="s">
        <v>13</v>
      </c>
      <c r="C78" t="s">
        <v>15</v>
      </c>
      <c r="D78" s="23">
        <v>173.63</v>
      </c>
      <c r="E78" s="23">
        <v>82.05</v>
      </c>
      <c r="F78" s="23">
        <v>380.99</v>
      </c>
      <c r="G78" s="23">
        <v>291.45999999999998</v>
      </c>
      <c r="H78" s="23">
        <v>184.81</v>
      </c>
      <c r="I78" s="23">
        <v>76.88000000000001</v>
      </c>
      <c r="J78" s="23">
        <v>208.81000000000003</v>
      </c>
      <c r="K78" s="23">
        <v>348.18</v>
      </c>
      <c r="L78" s="23">
        <v>109.29</v>
      </c>
      <c r="M78" s="23">
        <v>161.89000000000001</v>
      </c>
      <c r="N78" s="23">
        <v>38.64</v>
      </c>
      <c r="O78" s="23">
        <v>2056.63</v>
      </c>
    </row>
    <row r="79" spans="1:15" x14ac:dyDescent="0.25">
      <c r="A79" t="s">
        <v>12</v>
      </c>
      <c r="B79" t="s">
        <v>446</v>
      </c>
      <c r="C79" t="s">
        <v>15</v>
      </c>
      <c r="D79" s="23"/>
      <c r="E79" s="23"/>
      <c r="F79" s="23"/>
      <c r="G79" s="23"/>
      <c r="H79" s="23"/>
      <c r="I79" s="23"/>
      <c r="J79" s="23">
        <v>21.22</v>
      </c>
      <c r="K79" s="23"/>
      <c r="L79" s="23"/>
      <c r="M79" s="23"/>
      <c r="N79" s="23"/>
      <c r="O79" s="23">
        <v>21.22</v>
      </c>
    </row>
    <row r="80" spans="1:15" x14ac:dyDescent="0.25">
      <c r="A80" t="s">
        <v>12</v>
      </c>
      <c r="B80" t="s">
        <v>294</v>
      </c>
      <c r="C80" t="s">
        <v>15</v>
      </c>
      <c r="D80" s="23"/>
      <c r="E80" s="23"/>
      <c r="F80" s="23"/>
      <c r="G80" s="23"/>
      <c r="H80" s="23">
        <v>69.09</v>
      </c>
      <c r="I80" s="23"/>
      <c r="J80" s="23"/>
      <c r="K80" s="23"/>
      <c r="L80" s="23"/>
      <c r="M80" s="23"/>
      <c r="N80" s="23"/>
      <c r="O80" s="23">
        <v>69.09</v>
      </c>
    </row>
    <row r="81" spans="1:15" x14ac:dyDescent="0.25">
      <c r="A81" t="s">
        <v>12</v>
      </c>
      <c r="B81" t="s">
        <v>147</v>
      </c>
      <c r="C81" t="s">
        <v>15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>
        <v>31.79</v>
      </c>
      <c r="O81" s="23">
        <v>31.79</v>
      </c>
    </row>
    <row r="82" spans="1:15" x14ac:dyDescent="0.25">
      <c r="A82" t="s">
        <v>12</v>
      </c>
      <c r="B82" t="s">
        <v>18</v>
      </c>
      <c r="C82" t="s">
        <v>15</v>
      </c>
      <c r="D82" s="23">
        <v>202.41</v>
      </c>
      <c r="E82" s="23">
        <v>18</v>
      </c>
      <c r="F82" s="23">
        <v>669.69999999999993</v>
      </c>
      <c r="G82" s="23">
        <v>243.61</v>
      </c>
      <c r="H82" s="23">
        <v>324.04000000000002</v>
      </c>
      <c r="I82" s="23">
        <v>319.95999999999998</v>
      </c>
      <c r="J82" s="23">
        <v>443.9</v>
      </c>
      <c r="K82" s="23">
        <v>279.35000000000002</v>
      </c>
      <c r="L82" s="23">
        <v>524.62</v>
      </c>
      <c r="M82" s="23">
        <v>391.03</v>
      </c>
      <c r="N82" s="23">
        <v>436.61999999999995</v>
      </c>
      <c r="O82" s="23">
        <v>3853.24</v>
      </c>
    </row>
    <row r="83" spans="1:15" x14ac:dyDescent="0.25">
      <c r="A83" t="s">
        <v>12</v>
      </c>
      <c r="B83" t="s">
        <v>76</v>
      </c>
      <c r="C83" t="s">
        <v>15</v>
      </c>
      <c r="D83" s="23"/>
      <c r="E83" s="23"/>
      <c r="F83" s="23"/>
      <c r="G83" s="23">
        <v>40.47</v>
      </c>
      <c r="H83" s="23">
        <v>22.56</v>
      </c>
      <c r="I83" s="23">
        <v>59.339999999999996</v>
      </c>
      <c r="J83" s="23"/>
      <c r="K83" s="23"/>
      <c r="L83" s="23"/>
      <c r="M83" s="23"/>
      <c r="N83" s="23"/>
      <c r="O83" s="23">
        <v>122.37</v>
      </c>
    </row>
    <row r="84" spans="1:15" x14ac:dyDescent="0.25">
      <c r="A84" t="s">
        <v>12</v>
      </c>
      <c r="B84" t="s">
        <v>448</v>
      </c>
      <c r="C84" t="s">
        <v>15</v>
      </c>
      <c r="D84" s="23"/>
      <c r="E84" s="23"/>
      <c r="F84" s="23"/>
      <c r="G84" s="23"/>
      <c r="H84" s="23"/>
      <c r="I84" s="23"/>
      <c r="J84" s="23">
        <v>5.0999999999999996</v>
      </c>
      <c r="K84" s="23"/>
      <c r="L84" s="23"/>
      <c r="M84" s="23"/>
      <c r="N84" s="23"/>
      <c r="O84" s="23">
        <v>5.0999999999999996</v>
      </c>
    </row>
    <row r="85" spans="1:15" x14ac:dyDescent="0.25">
      <c r="A85" t="s">
        <v>12</v>
      </c>
      <c r="B85" t="s">
        <v>74</v>
      </c>
      <c r="C85" t="s">
        <v>15</v>
      </c>
      <c r="D85" s="23">
        <v>12.62</v>
      </c>
      <c r="E85" s="23">
        <v>15.780000000000001</v>
      </c>
      <c r="F85" s="23">
        <v>13.16</v>
      </c>
      <c r="G85" s="23"/>
      <c r="H85" s="23"/>
      <c r="I85" s="23"/>
      <c r="J85" s="23">
        <v>24.8</v>
      </c>
      <c r="K85" s="23"/>
      <c r="L85" s="23"/>
      <c r="M85" s="23"/>
      <c r="N85" s="23"/>
      <c r="O85" s="23">
        <v>66.36</v>
      </c>
    </row>
    <row r="86" spans="1:15" x14ac:dyDescent="0.25">
      <c r="A86" t="s">
        <v>56</v>
      </c>
      <c r="B86" t="s">
        <v>142</v>
      </c>
      <c r="C86" t="s">
        <v>15</v>
      </c>
      <c r="D86" s="23"/>
      <c r="E86" s="23"/>
      <c r="F86" s="23"/>
      <c r="G86" s="23"/>
      <c r="H86" s="23"/>
      <c r="I86" s="23">
        <v>16</v>
      </c>
      <c r="J86" s="23"/>
      <c r="K86" s="23"/>
      <c r="L86" s="23"/>
      <c r="M86" s="23">
        <v>21.88</v>
      </c>
      <c r="N86" s="23"/>
      <c r="O86" s="23">
        <v>37.879999999999995</v>
      </c>
    </row>
    <row r="87" spans="1:15" x14ac:dyDescent="0.25">
      <c r="A87" t="s">
        <v>56</v>
      </c>
      <c r="B87" t="s">
        <v>70</v>
      </c>
      <c r="C87" t="s">
        <v>15</v>
      </c>
      <c r="D87" s="23">
        <v>182.45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>
        <v>182.45</v>
      </c>
    </row>
    <row r="88" spans="1:15" x14ac:dyDescent="0.25">
      <c r="A88" t="s">
        <v>56</v>
      </c>
      <c r="B88" t="s">
        <v>212</v>
      </c>
      <c r="C88" t="s">
        <v>15</v>
      </c>
      <c r="D88" s="23"/>
      <c r="E88" s="23"/>
      <c r="F88" s="23">
        <v>80.22</v>
      </c>
      <c r="G88" s="23"/>
      <c r="H88" s="23">
        <v>80.599999999999994</v>
      </c>
      <c r="I88" s="23"/>
      <c r="J88" s="23"/>
      <c r="K88" s="23"/>
      <c r="L88" s="23"/>
      <c r="M88" s="23"/>
      <c r="N88" s="23"/>
      <c r="O88" s="23">
        <v>160.82</v>
      </c>
    </row>
    <row r="89" spans="1:15" x14ac:dyDescent="0.25">
      <c r="A89" t="s">
        <v>56</v>
      </c>
      <c r="B89" t="s">
        <v>126</v>
      </c>
      <c r="C89" t="s">
        <v>15</v>
      </c>
      <c r="D89" s="23"/>
      <c r="E89" s="23">
        <v>49</v>
      </c>
      <c r="F89" s="23"/>
      <c r="G89" s="23"/>
      <c r="H89" s="23"/>
      <c r="I89" s="23"/>
      <c r="J89" s="23"/>
      <c r="K89" s="23"/>
      <c r="L89" s="23"/>
      <c r="M89" s="23"/>
      <c r="N89" s="23"/>
      <c r="O89" s="23">
        <v>49</v>
      </c>
    </row>
    <row r="90" spans="1:15" x14ac:dyDescent="0.25">
      <c r="A90" t="s">
        <v>56</v>
      </c>
      <c r="B90" t="s">
        <v>13</v>
      </c>
      <c r="C90" t="s">
        <v>15</v>
      </c>
      <c r="D90" s="23"/>
      <c r="E90" s="23"/>
      <c r="F90" s="23"/>
      <c r="G90" s="23"/>
      <c r="H90" s="23">
        <v>37.5</v>
      </c>
      <c r="I90" s="23"/>
      <c r="J90" s="23"/>
      <c r="K90" s="23"/>
      <c r="L90" s="23"/>
      <c r="M90" s="23"/>
      <c r="N90" s="23"/>
      <c r="O90" s="23">
        <v>37.5</v>
      </c>
    </row>
    <row r="91" spans="1:15" x14ac:dyDescent="0.25">
      <c r="A91" t="s">
        <v>56</v>
      </c>
      <c r="B91" t="s">
        <v>481</v>
      </c>
      <c r="C91" t="s">
        <v>22</v>
      </c>
      <c r="D91" s="23"/>
      <c r="E91" s="23"/>
      <c r="F91" s="23"/>
      <c r="G91" s="23"/>
      <c r="H91" s="23"/>
      <c r="I91" s="23"/>
      <c r="J91" s="23">
        <v>1</v>
      </c>
      <c r="K91" s="23"/>
      <c r="L91" s="23"/>
      <c r="M91" s="23"/>
      <c r="N91" s="23"/>
      <c r="O91" s="23">
        <v>1</v>
      </c>
    </row>
    <row r="92" spans="1:15" x14ac:dyDescent="0.25">
      <c r="A92" t="s">
        <v>56</v>
      </c>
      <c r="B92" t="s">
        <v>101</v>
      </c>
      <c r="C92" t="s">
        <v>22</v>
      </c>
      <c r="D92" s="23">
        <v>12.99</v>
      </c>
      <c r="E92" s="23">
        <v>12.99</v>
      </c>
      <c r="F92" s="23">
        <v>12.99</v>
      </c>
      <c r="G92" s="23">
        <v>12.99</v>
      </c>
      <c r="H92" s="23"/>
      <c r="I92" s="23"/>
      <c r="J92" s="23"/>
      <c r="K92" s="23"/>
      <c r="L92" s="23"/>
      <c r="M92" s="23"/>
      <c r="N92" s="23"/>
      <c r="O92" s="23">
        <v>51.96</v>
      </c>
    </row>
    <row r="93" spans="1:15" x14ac:dyDescent="0.25">
      <c r="A93" t="s">
        <v>56</v>
      </c>
      <c r="B93" t="s">
        <v>94</v>
      </c>
      <c r="C93" t="s">
        <v>15</v>
      </c>
      <c r="D93" s="23">
        <v>240</v>
      </c>
      <c r="E93" s="23"/>
      <c r="F93" s="23"/>
      <c r="G93" s="23"/>
      <c r="H93" s="23">
        <v>10</v>
      </c>
      <c r="I93" s="23"/>
      <c r="J93" s="23">
        <v>109.58</v>
      </c>
      <c r="K93" s="23"/>
      <c r="L93" s="23"/>
      <c r="M93" s="23"/>
      <c r="N93" s="23">
        <v>119.4</v>
      </c>
      <c r="O93" s="23">
        <v>478.98</v>
      </c>
    </row>
    <row r="94" spans="1:15" x14ac:dyDescent="0.25">
      <c r="A94" t="s">
        <v>56</v>
      </c>
      <c r="B94" t="s">
        <v>294</v>
      </c>
      <c r="C94" t="s">
        <v>15</v>
      </c>
      <c r="D94" s="23"/>
      <c r="E94" s="23"/>
      <c r="F94" s="23"/>
      <c r="G94" s="23"/>
      <c r="H94" s="23"/>
      <c r="I94" s="23"/>
      <c r="J94" s="23">
        <v>79</v>
      </c>
      <c r="K94" s="23"/>
      <c r="L94" s="23"/>
      <c r="M94" s="23"/>
      <c r="N94" s="23"/>
      <c r="O94" s="23">
        <v>79</v>
      </c>
    </row>
    <row r="95" spans="1:15" x14ac:dyDescent="0.25">
      <c r="A95" t="s">
        <v>56</v>
      </c>
      <c r="B95" t="s">
        <v>284</v>
      </c>
      <c r="C95" t="s">
        <v>22</v>
      </c>
      <c r="D95" s="23"/>
      <c r="E95" s="23"/>
      <c r="F95" s="23"/>
      <c r="G95" s="23">
        <v>50</v>
      </c>
      <c r="H95" s="23"/>
      <c r="I95" s="23"/>
      <c r="J95" s="23"/>
      <c r="K95" s="23"/>
      <c r="L95" s="23"/>
      <c r="M95" s="23"/>
      <c r="N95" s="23"/>
      <c r="O95" s="23">
        <v>50</v>
      </c>
    </row>
    <row r="96" spans="1:15" x14ac:dyDescent="0.25">
      <c r="A96" t="s">
        <v>56</v>
      </c>
      <c r="B96" t="s">
        <v>916</v>
      </c>
      <c r="C96" t="s">
        <v>15</v>
      </c>
      <c r="D96" s="23"/>
      <c r="E96" s="23"/>
      <c r="F96" s="23"/>
      <c r="G96" s="23"/>
      <c r="H96" s="23"/>
      <c r="I96" s="23"/>
      <c r="J96" s="23"/>
      <c r="K96" s="23"/>
      <c r="L96" s="23">
        <v>226.84</v>
      </c>
      <c r="M96" s="23"/>
      <c r="N96" s="23"/>
      <c r="O96" s="23">
        <v>226.84</v>
      </c>
    </row>
    <row r="97" spans="1:15" x14ac:dyDescent="0.25">
      <c r="A97" t="s">
        <v>56</v>
      </c>
      <c r="B97" t="s">
        <v>159</v>
      </c>
      <c r="C97" t="s">
        <v>15</v>
      </c>
      <c r="D97" s="23"/>
      <c r="E97" s="23"/>
      <c r="F97" s="23">
        <v>145.4</v>
      </c>
      <c r="G97" s="23"/>
      <c r="H97" s="23"/>
      <c r="I97" s="23"/>
      <c r="J97" s="23"/>
      <c r="K97" s="23"/>
      <c r="L97" s="23"/>
      <c r="M97" s="23"/>
      <c r="N97" s="23"/>
      <c r="O97" s="23">
        <v>145.4</v>
      </c>
    </row>
    <row r="98" spans="1:15" x14ac:dyDescent="0.25">
      <c r="A98" t="s">
        <v>56</v>
      </c>
      <c r="B98" t="s">
        <v>203</v>
      </c>
      <c r="C98" t="s">
        <v>15</v>
      </c>
      <c r="D98" s="23"/>
      <c r="E98" s="23"/>
      <c r="F98" s="23">
        <v>14</v>
      </c>
      <c r="G98" s="23"/>
      <c r="H98" s="23"/>
      <c r="I98" s="23"/>
      <c r="J98" s="23">
        <v>21.35</v>
      </c>
      <c r="K98" s="23"/>
      <c r="L98" s="23">
        <v>8</v>
      </c>
      <c r="M98" s="23"/>
      <c r="N98" s="23"/>
      <c r="O98" s="23">
        <v>43.35</v>
      </c>
    </row>
    <row r="99" spans="1:15" x14ac:dyDescent="0.25">
      <c r="A99" t="s">
        <v>56</v>
      </c>
      <c r="B99" t="s">
        <v>409</v>
      </c>
      <c r="C99" t="s">
        <v>22</v>
      </c>
      <c r="D99" s="23"/>
      <c r="E99" s="23"/>
      <c r="F99" s="23"/>
      <c r="G99" s="23"/>
      <c r="H99" s="23"/>
      <c r="I99" s="23">
        <v>25</v>
      </c>
      <c r="J99" s="23">
        <v>25</v>
      </c>
      <c r="K99" s="23">
        <v>25</v>
      </c>
      <c r="L99" s="23">
        <v>25</v>
      </c>
      <c r="M99" s="23">
        <v>25</v>
      </c>
      <c r="N99" s="23">
        <v>25</v>
      </c>
      <c r="O99" s="23">
        <v>150</v>
      </c>
    </row>
    <row r="100" spans="1:15" x14ac:dyDescent="0.25">
      <c r="A100" t="s">
        <v>56</v>
      </c>
      <c r="B100" t="s">
        <v>277</v>
      </c>
      <c r="C100" t="s">
        <v>15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>
        <v>87</v>
      </c>
      <c r="N100" s="23">
        <v>68</v>
      </c>
      <c r="O100" s="23">
        <v>155</v>
      </c>
    </row>
    <row r="101" spans="1:15" x14ac:dyDescent="0.25">
      <c r="A101" t="s">
        <v>56</v>
      </c>
      <c r="B101" t="s">
        <v>18</v>
      </c>
      <c r="C101" t="s">
        <v>15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>
        <v>45</v>
      </c>
      <c r="N101" s="23"/>
      <c r="O101" s="23">
        <v>45</v>
      </c>
    </row>
    <row r="102" spans="1:15" x14ac:dyDescent="0.25">
      <c r="A102" t="s">
        <v>56</v>
      </c>
      <c r="B102" t="s">
        <v>189</v>
      </c>
      <c r="C102" t="s">
        <v>15</v>
      </c>
      <c r="D102" s="23"/>
      <c r="E102" s="23"/>
      <c r="F102" s="23">
        <v>126.2</v>
      </c>
      <c r="G102" s="23"/>
      <c r="H102" s="23"/>
      <c r="I102" s="23"/>
      <c r="J102" s="23"/>
      <c r="K102" s="23"/>
      <c r="L102" s="23"/>
      <c r="M102" s="23"/>
      <c r="N102" s="23"/>
      <c r="O102" s="23">
        <v>126.2</v>
      </c>
    </row>
    <row r="103" spans="1:15" x14ac:dyDescent="0.25">
      <c r="A103" t="s">
        <v>56</v>
      </c>
      <c r="B103" t="s">
        <v>59</v>
      </c>
      <c r="C103" t="s">
        <v>15</v>
      </c>
      <c r="D103" s="23"/>
      <c r="E103" s="23"/>
      <c r="F103" s="23"/>
      <c r="G103" s="23"/>
      <c r="H103" s="23"/>
      <c r="I103" s="23">
        <v>83</v>
      </c>
      <c r="J103" s="23"/>
      <c r="K103" s="23"/>
      <c r="L103" s="23"/>
      <c r="M103" s="23"/>
      <c r="N103" s="23"/>
      <c r="O103" s="23">
        <v>83</v>
      </c>
    </row>
    <row r="104" spans="1:15" x14ac:dyDescent="0.25">
      <c r="A104" t="s">
        <v>56</v>
      </c>
      <c r="B104" t="s">
        <v>305</v>
      </c>
      <c r="C104" t="s">
        <v>22</v>
      </c>
      <c r="D104" s="23"/>
      <c r="E104" s="23"/>
      <c r="F104" s="23"/>
      <c r="G104" s="23"/>
      <c r="H104" s="23">
        <v>10.85</v>
      </c>
      <c r="I104" s="23">
        <v>10.85</v>
      </c>
      <c r="J104" s="23">
        <v>10.85</v>
      </c>
      <c r="K104" s="23">
        <v>10.85</v>
      </c>
      <c r="L104" s="23"/>
      <c r="M104" s="23"/>
      <c r="N104" s="23"/>
      <c r="O104" s="23">
        <v>43.4</v>
      </c>
    </row>
    <row r="105" spans="1:15" x14ac:dyDescent="0.25">
      <c r="A105" t="s">
        <v>56</v>
      </c>
      <c r="B105" t="s">
        <v>130</v>
      </c>
      <c r="C105" t="s">
        <v>22</v>
      </c>
      <c r="D105" s="23"/>
      <c r="E105" s="23">
        <v>70.58</v>
      </c>
      <c r="F105" s="23"/>
      <c r="G105" s="23">
        <v>15.89</v>
      </c>
      <c r="H105" s="23"/>
      <c r="I105" s="23"/>
      <c r="J105" s="23"/>
      <c r="K105" s="23"/>
      <c r="L105" s="23">
        <v>64.989999999999995</v>
      </c>
      <c r="M105" s="23">
        <v>80.88</v>
      </c>
      <c r="N105" s="23">
        <v>64.989999999999995</v>
      </c>
      <c r="O105" s="23">
        <v>297.33</v>
      </c>
    </row>
    <row r="106" spans="1:15" x14ac:dyDescent="0.25">
      <c r="A106" t="s">
        <v>56</v>
      </c>
      <c r="B106" t="s">
        <v>57</v>
      </c>
      <c r="C106" t="s">
        <v>15</v>
      </c>
      <c r="D106" s="23">
        <v>62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>
        <v>62</v>
      </c>
    </row>
    <row r="107" spans="1:15" x14ac:dyDescent="0.25">
      <c r="A107" t="s">
        <v>53</v>
      </c>
      <c r="B107" t="s">
        <v>223</v>
      </c>
      <c r="C107" t="s">
        <v>15</v>
      </c>
      <c r="D107" s="23"/>
      <c r="E107" s="23"/>
      <c r="F107" s="23"/>
      <c r="G107" s="23">
        <v>49.48</v>
      </c>
      <c r="H107" s="23"/>
      <c r="I107" s="23"/>
      <c r="J107" s="23"/>
      <c r="K107" s="23"/>
      <c r="L107" s="23"/>
      <c r="M107" s="23"/>
      <c r="N107" s="23"/>
      <c r="O107" s="23">
        <v>49.48</v>
      </c>
    </row>
    <row r="108" spans="1:15" x14ac:dyDescent="0.25">
      <c r="A108" t="s">
        <v>53</v>
      </c>
      <c r="B108" t="s">
        <v>185</v>
      </c>
      <c r="C108" t="s">
        <v>15</v>
      </c>
      <c r="D108" s="23"/>
      <c r="E108" s="23"/>
      <c r="F108" s="23"/>
      <c r="G108" s="23"/>
      <c r="H108" s="23"/>
      <c r="I108" s="23">
        <v>8.36</v>
      </c>
      <c r="J108" s="23"/>
      <c r="K108" s="23"/>
      <c r="L108" s="23"/>
      <c r="M108" s="23"/>
      <c r="N108" s="23"/>
      <c r="O108" s="23">
        <v>8.36</v>
      </c>
    </row>
    <row r="109" spans="1:15" x14ac:dyDescent="0.25">
      <c r="A109" t="s">
        <v>53</v>
      </c>
      <c r="B109" t="s">
        <v>13</v>
      </c>
      <c r="C109" t="s">
        <v>15</v>
      </c>
      <c r="D109" s="23"/>
      <c r="E109" s="23"/>
      <c r="F109" s="23"/>
      <c r="G109" s="23"/>
      <c r="H109" s="23"/>
      <c r="I109" s="23">
        <v>6.5</v>
      </c>
      <c r="J109" s="23"/>
      <c r="K109" s="23"/>
      <c r="L109" s="23"/>
      <c r="M109" s="23"/>
      <c r="N109" s="23"/>
      <c r="O109" s="23">
        <v>6.5</v>
      </c>
    </row>
    <row r="110" spans="1:15" x14ac:dyDescent="0.25">
      <c r="A110" t="s">
        <v>53</v>
      </c>
      <c r="B110" t="s">
        <v>54</v>
      </c>
      <c r="C110" t="s">
        <v>15</v>
      </c>
      <c r="D110" s="23">
        <v>151.27000000000001</v>
      </c>
      <c r="E110" s="23">
        <v>132.46</v>
      </c>
      <c r="F110" s="23">
        <v>12.27</v>
      </c>
      <c r="G110" s="23">
        <v>410.24000000000007</v>
      </c>
      <c r="H110" s="23"/>
      <c r="I110" s="23">
        <v>166.91</v>
      </c>
      <c r="J110" s="23">
        <v>367.64</v>
      </c>
      <c r="K110" s="23">
        <v>152.05000000000001</v>
      </c>
      <c r="L110" s="23">
        <v>159.37</v>
      </c>
      <c r="M110" s="23">
        <v>40.81</v>
      </c>
      <c r="N110" s="23">
        <v>16.59</v>
      </c>
      <c r="O110" s="23">
        <v>1609.61</v>
      </c>
    </row>
    <row r="111" spans="1:15" x14ac:dyDescent="0.25">
      <c r="A111" t="s">
        <v>53</v>
      </c>
      <c r="B111" t="s">
        <v>18</v>
      </c>
      <c r="C111" t="s">
        <v>15</v>
      </c>
      <c r="D111" s="23"/>
      <c r="E111" s="23"/>
      <c r="F111" s="23"/>
      <c r="G111" s="23"/>
      <c r="H111" s="23"/>
      <c r="I111" s="23"/>
      <c r="J111" s="23"/>
      <c r="K111" s="23"/>
      <c r="L111" s="23">
        <v>14.95</v>
      </c>
      <c r="M111" s="23"/>
      <c r="N111" s="23"/>
      <c r="O111" s="23">
        <v>14.95</v>
      </c>
    </row>
    <row r="112" spans="1:15" x14ac:dyDescent="0.25">
      <c r="A112" t="s">
        <v>53</v>
      </c>
      <c r="B112" t="s">
        <v>76</v>
      </c>
      <c r="C112" t="s">
        <v>15</v>
      </c>
      <c r="D112" s="23"/>
      <c r="E112" s="23"/>
      <c r="F112" s="23"/>
      <c r="G112" s="23"/>
      <c r="H112" s="23">
        <v>46.36</v>
      </c>
      <c r="I112" s="23"/>
      <c r="J112" s="23"/>
      <c r="K112" s="23"/>
      <c r="L112" s="23"/>
      <c r="M112" s="23"/>
      <c r="N112" s="23"/>
      <c r="O112" s="23">
        <v>46.36</v>
      </c>
    </row>
    <row r="113" spans="1:15" x14ac:dyDescent="0.25">
      <c r="A113" t="s">
        <v>53</v>
      </c>
      <c r="B113" t="s">
        <v>72</v>
      </c>
      <c r="C113" t="s">
        <v>15</v>
      </c>
      <c r="D113" s="23"/>
      <c r="E113" s="23"/>
      <c r="F113" s="23"/>
      <c r="G113" s="23"/>
      <c r="H113" s="23"/>
      <c r="I113" s="23"/>
      <c r="J113" s="23">
        <v>5.18</v>
      </c>
      <c r="K113" s="23">
        <v>68.22</v>
      </c>
      <c r="L113" s="23">
        <v>114.1</v>
      </c>
      <c r="M113" s="23">
        <v>105.06</v>
      </c>
      <c r="N113" s="23"/>
      <c r="O113" s="23">
        <v>292.56</v>
      </c>
    </row>
    <row r="114" spans="1:15" x14ac:dyDescent="0.25">
      <c r="A114" t="s">
        <v>30</v>
      </c>
      <c r="B114" t="s">
        <v>142</v>
      </c>
      <c r="C114" t="s">
        <v>15</v>
      </c>
      <c r="D114" s="23"/>
      <c r="E114" s="23">
        <v>333.19</v>
      </c>
      <c r="F114" s="23"/>
      <c r="G114" s="23"/>
      <c r="H114" s="23">
        <v>149</v>
      </c>
      <c r="I114" s="23"/>
      <c r="J114" s="23">
        <v>30</v>
      </c>
      <c r="K114" s="23"/>
      <c r="L114" s="23"/>
      <c r="M114" s="23">
        <v>133.19999999999999</v>
      </c>
      <c r="N114" s="23"/>
      <c r="O114" s="23">
        <v>645.3900000000001</v>
      </c>
    </row>
    <row r="115" spans="1:15" x14ac:dyDescent="0.25">
      <c r="A115" t="s">
        <v>30</v>
      </c>
      <c r="B115" t="s">
        <v>394</v>
      </c>
      <c r="C115" t="s">
        <v>15</v>
      </c>
      <c r="D115" s="23"/>
      <c r="E115" s="23"/>
      <c r="F115" s="23"/>
      <c r="G115" s="23"/>
      <c r="H115" s="23"/>
      <c r="I115" s="23">
        <v>23</v>
      </c>
      <c r="J115" s="23"/>
      <c r="K115" s="23"/>
      <c r="L115" s="23"/>
      <c r="M115" s="23">
        <v>69</v>
      </c>
      <c r="N115" s="23"/>
      <c r="O115" s="23">
        <v>92</v>
      </c>
    </row>
    <row r="116" spans="1:15" x14ac:dyDescent="0.25">
      <c r="A116" t="s">
        <v>30</v>
      </c>
      <c r="B116" t="s">
        <v>187</v>
      </c>
      <c r="C116" t="s">
        <v>15</v>
      </c>
      <c r="D116" s="23"/>
      <c r="E116" s="23"/>
      <c r="F116" s="23">
        <v>157.9</v>
      </c>
      <c r="G116" s="23">
        <v>50.96</v>
      </c>
      <c r="H116" s="23"/>
      <c r="I116" s="23"/>
      <c r="J116" s="23"/>
      <c r="K116" s="23"/>
      <c r="L116" s="23"/>
      <c r="M116" s="23"/>
      <c r="N116" s="23"/>
      <c r="O116" s="23">
        <v>208.86</v>
      </c>
    </row>
    <row r="117" spans="1:15" x14ac:dyDescent="0.25">
      <c r="A117" t="s">
        <v>30</v>
      </c>
      <c r="B117" t="s">
        <v>169</v>
      </c>
      <c r="C117" t="s">
        <v>15</v>
      </c>
      <c r="D117" s="23"/>
      <c r="E117" s="23"/>
      <c r="F117" s="23">
        <v>80.64</v>
      </c>
      <c r="G117" s="23"/>
      <c r="H117" s="23">
        <v>20.7</v>
      </c>
      <c r="I117" s="23">
        <v>107.5</v>
      </c>
      <c r="J117" s="23">
        <v>184</v>
      </c>
      <c r="K117" s="23"/>
      <c r="L117" s="23"/>
      <c r="M117" s="23"/>
      <c r="N117" s="23"/>
      <c r="O117" s="23">
        <v>392.84000000000003</v>
      </c>
    </row>
    <row r="118" spans="1:15" x14ac:dyDescent="0.25">
      <c r="A118" t="s">
        <v>30</v>
      </c>
      <c r="B118" t="s">
        <v>228</v>
      </c>
      <c r="C118" t="s">
        <v>15</v>
      </c>
      <c r="D118" s="23"/>
      <c r="E118" s="23"/>
      <c r="F118" s="23">
        <v>77.66</v>
      </c>
      <c r="G118" s="23"/>
      <c r="H118" s="23"/>
      <c r="I118" s="23"/>
      <c r="J118" s="23"/>
      <c r="K118" s="23"/>
      <c r="L118" s="23"/>
      <c r="M118" s="23"/>
      <c r="N118" s="23"/>
      <c r="O118" s="23">
        <v>77.66</v>
      </c>
    </row>
    <row r="119" spans="1:15" x14ac:dyDescent="0.25">
      <c r="A119" t="s">
        <v>30</v>
      </c>
      <c r="B119" t="s">
        <v>13</v>
      </c>
      <c r="C119" t="s">
        <v>15</v>
      </c>
      <c r="D119" s="23">
        <v>7.36</v>
      </c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>
        <v>7.36</v>
      </c>
    </row>
    <row r="120" spans="1:15" x14ac:dyDescent="0.25">
      <c r="A120" t="s">
        <v>30</v>
      </c>
      <c r="B120" t="s">
        <v>41</v>
      </c>
      <c r="C120" t="s">
        <v>15</v>
      </c>
      <c r="D120" s="23"/>
      <c r="E120" s="23"/>
      <c r="F120" s="23"/>
      <c r="G120" s="23"/>
      <c r="H120" s="23"/>
      <c r="I120" s="23"/>
      <c r="J120" s="23"/>
      <c r="K120" s="23">
        <v>22.05</v>
      </c>
      <c r="L120" s="23"/>
      <c r="M120" s="23"/>
      <c r="N120" s="23"/>
      <c r="O120" s="23">
        <v>22.05</v>
      </c>
    </row>
    <row r="121" spans="1:15" x14ac:dyDescent="0.25">
      <c r="A121" t="s">
        <v>30</v>
      </c>
      <c r="B121" t="s">
        <v>31</v>
      </c>
      <c r="C121" t="s">
        <v>15</v>
      </c>
      <c r="D121" s="23">
        <v>210</v>
      </c>
      <c r="E121" s="23"/>
      <c r="F121" s="23"/>
      <c r="G121" s="23"/>
      <c r="H121" s="23"/>
      <c r="I121" s="23"/>
      <c r="J121" s="23">
        <v>15.77</v>
      </c>
      <c r="K121" s="23"/>
      <c r="L121" s="23"/>
      <c r="M121" s="23"/>
      <c r="N121" s="23"/>
      <c r="O121" s="23">
        <v>225.77</v>
      </c>
    </row>
    <row r="122" spans="1:15" x14ac:dyDescent="0.25">
      <c r="A122" t="s">
        <v>30</v>
      </c>
      <c r="B122" t="s">
        <v>446</v>
      </c>
      <c r="C122" t="s">
        <v>15</v>
      </c>
      <c r="D122" s="23"/>
      <c r="E122" s="23"/>
      <c r="F122" s="23"/>
      <c r="G122" s="23"/>
      <c r="H122" s="23"/>
      <c r="I122" s="23"/>
      <c r="J122" s="23">
        <v>40</v>
      </c>
      <c r="K122" s="23"/>
      <c r="L122" s="23"/>
      <c r="M122" s="23"/>
      <c r="N122" s="23"/>
      <c r="O122" s="23">
        <v>40</v>
      </c>
    </row>
    <row r="123" spans="1:15" x14ac:dyDescent="0.25">
      <c r="A123" t="s">
        <v>30</v>
      </c>
      <c r="B123" t="s">
        <v>270</v>
      </c>
      <c r="C123" t="s">
        <v>15</v>
      </c>
      <c r="D123" s="23"/>
      <c r="E123" s="23"/>
      <c r="F123" s="23"/>
      <c r="G123" s="23">
        <v>24</v>
      </c>
      <c r="H123" s="23"/>
      <c r="I123" s="23"/>
      <c r="J123" s="23">
        <v>87</v>
      </c>
      <c r="K123" s="23"/>
      <c r="L123" s="23"/>
      <c r="M123" s="23"/>
      <c r="N123" s="23"/>
      <c r="O123" s="23">
        <v>111</v>
      </c>
    </row>
    <row r="124" spans="1:15" x14ac:dyDescent="0.25">
      <c r="A124" t="s">
        <v>30</v>
      </c>
      <c r="B124" t="s">
        <v>294</v>
      </c>
      <c r="C124" t="s">
        <v>15</v>
      </c>
      <c r="D124" s="23"/>
      <c r="E124" s="23"/>
      <c r="F124" s="23"/>
      <c r="G124" s="23"/>
      <c r="H124" s="23">
        <v>778</v>
      </c>
      <c r="I124" s="23"/>
      <c r="J124" s="23"/>
      <c r="K124" s="23"/>
      <c r="L124" s="23"/>
      <c r="M124" s="23"/>
      <c r="N124" s="23"/>
      <c r="O124" s="23">
        <v>778</v>
      </c>
    </row>
    <row r="125" spans="1:15" x14ac:dyDescent="0.25">
      <c r="A125" t="s">
        <v>30</v>
      </c>
      <c r="B125" t="s">
        <v>147</v>
      </c>
      <c r="C125" t="s">
        <v>15</v>
      </c>
      <c r="D125" s="23"/>
      <c r="E125" s="23"/>
      <c r="F125" s="23">
        <v>51.510000000000005</v>
      </c>
      <c r="G125" s="23">
        <v>46.83</v>
      </c>
      <c r="H125" s="23">
        <v>13.15</v>
      </c>
      <c r="I125" s="23"/>
      <c r="J125" s="23">
        <v>14.67</v>
      </c>
      <c r="K125" s="23"/>
      <c r="L125" s="23"/>
      <c r="M125" s="23">
        <v>19.72</v>
      </c>
      <c r="N125" s="23"/>
      <c r="O125" s="23">
        <v>145.88</v>
      </c>
    </row>
    <row r="126" spans="1:15" x14ac:dyDescent="0.25">
      <c r="A126" t="s">
        <v>30</v>
      </c>
      <c r="B126" t="s">
        <v>916</v>
      </c>
      <c r="C126" t="s">
        <v>15</v>
      </c>
      <c r="D126" s="23"/>
      <c r="E126" s="23"/>
      <c r="F126" s="23"/>
      <c r="G126" s="23"/>
      <c r="H126" s="23"/>
      <c r="I126" s="23"/>
      <c r="J126" s="23"/>
      <c r="K126" s="23"/>
      <c r="L126" s="23">
        <v>975.51</v>
      </c>
      <c r="M126" s="23"/>
      <c r="N126" s="23"/>
      <c r="O126" s="23">
        <v>975.51</v>
      </c>
    </row>
    <row r="127" spans="1:15" x14ac:dyDescent="0.25">
      <c r="A127" t="s">
        <v>30</v>
      </c>
      <c r="B127" t="s">
        <v>159</v>
      </c>
      <c r="C127" t="s">
        <v>15</v>
      </c>
      <c r="D127" s="23"/>
      <c r="E127" s="23"/>
      <c r="F127" s="23"/>
      <c r="G127" s="23"/>
      <c r="H127" s="23"/>
      <c r="I127" s="23">
        <v>359.43</v>
      </c>
      <c r="J127" s="23"/>
      <c r="K127" s="23"/>
      <c r="L127" s="23"/>
      <c r="M127" s="23"/>
      <c r="N127" s="23"/>
      <c r="O127" s="23">
        <v>359.43</v>
      </c>
    </row>
    <row r="128" spans="1:15" x14ac:dyDescent="0.25">
      <c r="A128" t="s">
        <v>30</v>
      </c>
      <c r="B128" t="s">
        <v>135</v>
      </c>
      <c r="C128" t="s">
        <v>15</v>
      </c>
      <c r="D128" s="23"/>
      <c r="E128" s="23">
        <v>275.53000000000003</v>
      </c>
      <c r="F128" s="23"/>
      <c r="G128" s="23"/>
      <c r="H128" s="23"/>
      <c r="I128" s="23">
        <v>433.95</v>
      </c>
      <c r="J128" s="23"/>
      <c r="K128" s="23"/>
      <c r="L128" s="23">
        <v>36.5</v>
      </c>
      <c r="M128" s="23"/>
      <c r="N128" s="23"/>
      <c r="O128" s="23">
        <v>745.98</v>
      </c>
    </row>
    <row r="129" spans="1:15" x14ac:dyDescent="0.25">
      <c r="A129" t="s">
        <v>30</v>
      </c>
      <c r="B129" t="s">
        <v>18</v>
      </c>
      <c r="C129" t="s">
        <v>15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>
        <v>158</v>
      </c>
      <c r="O129" s="23">
        <v>158</v>
      </c>
    </row>
    <row r="130" spans="1:15" x14ac:dyDescent="0.25">
      <c r="A130" t="s">
        <v>30</v>
      </c>
      <c r="B130" t="s">
        <v>76</v>
      </c>
      <c r="C130" t="s">
        <v>15</v>
      </c>
      <c r="D130" s="23"/>
      <c r="E130" s="23"/>
      <c r="F130" s="23"/>
      <c r="G130" s="23">
        <v>272.01000000000005</v>
      </c>
      <c r="H130" s="23">
        <v>359.71</v>
      </c>
      <c r="I130" s="23">
        <v>306.18000000000006</v>
      </c>
      <c r="J130" s="23">
        <v>47.25</v>
      </c>
      <c r="K130" s="23">
        <v>9.99</v>
      </c>
      <c r="L130" s="23">
        <v>43.980000000000004</v>
      </c>
      <c r="M130" s="23">
        <v>211.29</v>
      </c>
      <c r="N130" s="23"/>
      <c r="O130" s="23">
        <v>1250.4100000000001</v>
      </c>
    </row>
    <row r="131" spans="1:15" x14ac:dyDescent="0.25">
      <c r="A131" t="s">
        <v>30</v>
      </c>
      <c r="B131" t="s">
        <v>59</v>
      </c>
      <c r="C131" t="s">
        <v>15</v>
      </c>
      <c r="D131" s="23"/>
      <c r="E131" s="23"/>
      <c r="F131" s="23"/>
      <c r="G131" s="23">
        <v>16</v>
      </c>
      <c r="H131" s="23">
        <v>9.75</v>
      </c>
      <c r="I131" s="23"/>
      <c r="J131" s="23"/>
      <c r="K131" s="23"/>
      <c r="L131" s="23"/>
      <c r="M131" s="23"/>
      <c r="N131" s="23"/>
      <c r="O131" s="23">
        <v>25.75</v>
      </c>
    </row>
    <row r="132" spans="1:15" x14ac:dyDescent="0.25">
      <c r="A132" t="s">
        <v>30</v>
      </c>
      <c r="B132" t="s">
        <v>362</v>
      </c>
      <c r="C132" t="s">
        <v>15</v>
      </c>
      <c r="D132" s="23"/>
      <c r="E132" s="23"/>
      <c r="F132" s="23"/>
      <c r="G132" s="23"/>
      <c r="H132" s="23">
        <v>64.73</v>
      </c>
      <c r="I132" s="23"/>
      <c r="J132" s="23"/>
      <c r="K132" s="23"/>
      <c r="L132" s="23">
        <v>59.99</v>
      </c>
      <c r="M132" s="23"/>
      <c r="N132" s="23"/>
      <c r="O132" s="23">
        <v>124.72</v>
      </c>
    </row>
    <row r="133" spans="1:15" x14ac:dyDescent="0.25">
      <c r="A133" t="s">
        <v>30</v>
      </c>
      <c r="B133" t="s">
        <v>289</v>
      </c>
      <c r="C133" t="s">
        <v>15</v>
      </c>
      <c r="D133" s="23"/>
      <c r="E133" s="23"/>
      <c r="F133" s="23"/>
      <c r="G133" s="23"/>
      <c r="H133" s="23">
        <v>45.67</v>
      </c>
      <c r="I133" s="23"/>
      <c r="J133" s="23"/>
      <c r="K133" s="23"/>
      <c r="L133" s="23"/>
      <c r="M133" s="23"/>
      <c r="N133" s="23"/>
      <c r="O133" s="23">
        <v>45.67</v>
      </c>
    </row>
    <row r="134" spans="1:15" x14ac:dyDescent="0.25">
      <c r="A134" t="s">
        <v>30</v>
      </c>
      <c r="B134" t="s">
        <v>130</v>
      </c>
      <c r="C134" t="s">
        <v>22</v>
      </c>
      <c r="D134" s="23"/>
      <c r="E134" s="23"/>
      <c r="F134" s="23">
        <v>54.29</v>
      </c>
      <c r="G134" s="23"/>
      <c r="H134" s="23">
        <v>70.58</v>
      </c>
      <c r="I134" s="23"/>
      <c r="J134" s="23"/>
      <c r="K134" s="23"/>
      <c r="L134" s="23"/>
      <c r="M134" s="23"/>
      <c r="N134" s="23"/>
      <c r="O134" s="23">
        <v>124.87</v>
      </c>
    </row>
    <row r="135" spans="1:15" x14ac:dyDescent="0.25">
      <c r="A135" t="s">
        <v>939</v>
      </c>
      <c r="D135" s="23">
        <v>2191.71</v>
      </c>
      <c r="E135" s="23">
        <v>1458.53</v>
      </c>
      <c r="F135" s="23">
        <v>3905.3699999999994</v>
      </c>
      <c r="G135" s="23">
        <v>2590.2700000000004</v>
      </c>
      <c r="H135" s="23">
        <v>3987.62</v>
      </c>
      <c r="I135" s="23">
        <v>3326.0599999999995</v>
      </c>
      <c r="J135" s="23">
        <v>3719.5499999999997</v>
      </c>
      <c r="K135" s="23">
        <v>2019.69</v>
      </c>
      <c r="L135" s="23">
        <v>3378.3199999999993</v>
      </c>
      <c r="M135" s="23">
        <v>2313.4500000000003</v>
      </c>
      <c r="N135" s="23">
        <v>1548.33</v>
      </c>
      <c r="O135" s="23">
        <v>30438.9</v>
      </c>
    </row>
    <row r="136" spans="1:15" x14ac:dyDescent="0.25">
      <c r="D136"/>
      <c r="E136"/>
      <c r="F136"/>
      <c r="G136"/>
      <c r="H136"/>
      <c r="I136"/>
      <c r="J136"/>
      <c r="K136"/>
      <c r="L1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2FB6-645E-45F6-BD75-8E2CA1FB94F5}">
  <sheetPr>
    <tabColor rgb="FF0070C0"/>
  </sheetPr>
  <dimension ref="A1:N25"/>
  <sheetViews>
    <sheetView tabSelected="1" topLeftCell="B4" workbookViewId="0">
      <selection activeCell="H6" sqref="H6:M6"/>
    </sheetView>
  </sheetViews>
  <sheetFormatPr defaultRowHeight="15" x14ac:dyDescent="0.25"/>
  <cols>
    <col min="1" max="1" width="26.7109375" bestFit="1" customWidth="1"/>
    <col min="2" max="2" width="16.28515625" bestFit="1" customWidth="1"/>
    <col min="3" max="13" width="9" bestFit="1" customWidth="1"/>
    <col min="14" max="14" width="11.28515625" bestFit="1" customWidth="1"/>
  </cols>
  <sheetData>
    <row r="1" spans="1:14" x14ac:dyDescent="0.25">
      <c r="A1" s="65" t="s">
        <v>7</v>
      </c>
      <c r="B1" t="s">
        <v>22</v>
      </c>
    </row>
    <row r="3" spans="1:14" x14ac:dyDescent="0.25">
      <c r="A3" s="65" t="s">
        <v>941</v>
      </c>
      <c r="C3" s="65" t="s">
        <v>6</v>
      </c>
    </row>
    <row r="4" spans="1:14" x14ac:dyDescent="0.25">
      <c r="A4" s="65" t="s">
        <v>8</v>
      </c>
      <c r="B4" s="65" t="s">
        <v>5</v>
      </c>
      <c r="C4" t="s">
        <v>14</v>
      </c>
      <c r="D4" t="s">
        <v>117</v>
      </c>
      <c r="E4" t="s">
        <v>145</v>
      </c>
      <c r="F4" t="s">
        <v>233</v>
      </c>
      <c r="G4" t="s">
        <v>290</v>
      </c>
      <c r="H4" t="s">
        <v>364</v>
      </c>
      <c r="I4" t="s">
        <v>420</v>
      </c>
      <c r="J4" t="s">
        <v>911</v>
      </c>
      <c r="K4" t="s">
        <v>1170</v>
      </c>
      <c r="L4" t="s">
        <v>1246</v>
      </c>
      <c r="M4" t="s">
        <v>1337</v>
      </c>
      <c r="N4" t="s">
        <v>939</v>
      </c>
    </row>
    <row r="5" spans="1:14" x14ac:dyDescent="0.25">
      <c r="A5" t="s">
        <v>110</v>
      </c>
      <c r="B5" t="s">
        <v>109</v>
      </c>
      <c r="C5" s="23">
        <v>79.38</v>
      </c>
      <c r="D5" s="23">
        <v>79.38</v>
      </c>
      <c r="E5" s="23">
        <v>79.38</v>
      </c>
      <c r="F5" s="23">
        <v>79.38</v>
      </c>
      <c r="G5" s="23">
        <v>79.38</v>
      </c>
      <c r="H5" s="23">
        <v>79.38</v>
      </c>
      <c r="I5" s="23">
        <v>79.66</v>
      </c>
      <c r="J5" s="23">
        <v>79.66</v>
      </c>
      <c r="K5" s="23">
        <v>80.08</v>
      </c>
      <c r="L5" s="23">
        <v>80.08</v>
      </c>
      <c r="M5" s="23">
        <v>80.08</v>
      </c>
      <c r="N5" s="23">
        <v>875.84</v>
      </c>
    </row>
    <row r="6" spans="1:14" x14ac:dyDescent="0.25">
      <c r="A6" t="s">
        <v>32</v>
      </c>
      <c r="B6" t="s">
        <v>409</v>
      </c>
      <c r="C6" s="23"/>
      <c r="D6" s="23"/>
      <c r="E6" s="23"/>
      <c r="F6" s="23"/>
      <c r="G6" s="23"/>
      <c r="H6" s="23">
        <v>25</v>
      </c>
      <c r="I6" s="23">
        <v>25</v>
      </c>
      <c r="J6" s="23">
        <v>25</v>
      </c>
      <c r="K6" s="23">
        <v>25</v>
      </c>
      <c r="L6" s="23">
        <v>25</v>
      </c>
      <c r="M6" s="23">
        <v>25</v>
      </c>
      <c r="N6" s="23">
        <v>150</v>
      </c>
    </row>
    <row r="7" spans="1:14" x14ac:dyDescent="0.25">
      <c r="A7" t="s">
        <v>23</v>
      </c>
      <c r="B7" t="s">
        <v>68</v>
      </c>
      <c r="C7" s="23">
        <v>5.29</v>
      </c>
      <c r="D7" s="23">
        <v>5.29</v>
      </c>
      <c r="E7" s="23">
        <v>5.29</v>
      </c>
      <c r="F7" s="23">
        <v>5.29</v>
      </c>
      <c r="G7" s="23">
        <v>5.29</v>
      </c>
      <c r="H7" s="23">
        <v>5.29</v>
      </c>
      <c r="I7" s="23">
        <v>5.29</v>
      </c>
      <c r="J7" s="23">
        <v>5.29</v>
      </c>
      <c r="K7" s="23">
        <v>5.29</v>
      </c>
      <c r="L7" s="23">
        <v>5.29</v>
      </c>
      <c r="M7" s="23">
        <v>5.29</v>
      </c>
      <c r="N7" s="23">
        <v>58.19</v>
      </c>
    </row>
    <row r="8" spans="1:14" x14ac:dyDescent="0.25">
      <c r="A8" t="s">
        <v>23</v>
      </c>
      <c r="B8" t="s">
        <v>251</v>
      </c>
      <c r="C8" s="23"/>
      <c r="D8" s="23"/>
      <c r="E8" s="23"/>
      <c r="F8" s="23">
        <v>31.79</v>
      </c>
      <c r="G8" s="23"/>
      <c r="H8" s="23"/>
      <c r="I8" s="23"/>
      <c r="J8" s="23"/>
      <c r="K8" s="23"/>
      <c r="L8" s="23"/>
      <c r="M8" s="23"/>
      <c r="N8" s="23">
        <v>31.79</v>
      </c>
    </row>
    <row r="9" spans="1:14" x14ac:dyDescent="0.25">
      <c r="A9" t="s">
        <v>23</v>
      </c>
      <c r="B9" t="s">
        <v>78</v>
      </c>
      <c r="C9" s="23">
        <v>10</v>
      </c>
      <c r="D9" s="23">
        <v>10</v>
      </c>
      <c r="E9" s="23">
        <v>10</v>
      </c>
      <c r="F9" s="23">
        <v>10</v>
      </c>
      <c r="G9" s="23">
        <v>10</v>
      </c>
      <c r="H9" s="23">
        <v>10</v>
      </c>
      <c r="I9" s="23">
        <v>10</v>
      </c>
      <c r="J9" s="23">
        <v>10</v>
      </c>
      <c r="K9" s="23">
        <v>10</v>
      </c>
      <c r="L9" s="23">
        <v>10</v>
      </c>
      <c r="M9" s="23">
        <v>10</v>
      </c>
      <c r="N9" s="23">
        <v>110</v>
      </c>
    </row>
    <row r="10" spans="1:14" x14ac:dyDescent="0.25">
      <c r="A10" t="s">
        <v>23</v>
      </c>
      <c r="B10" t="s">
        <v>143</v>
      </c>
      <c r="C10" s="23"/>
      <c r="D10" s="23">
        <v>10.59</v>
      </c>
      <c r="E10" s="23">
        <v>10.59</v>
      </c>
      <c r="F10" s="23">
        <v>10.59</v>
      </c>
      <c r="G10" s="23"/>
      <c r="H10" s="23"/>
      <c r="I10" s="23"/>
      <c r="J10" s="23"/>
      <c r="K10" s="23"/>
      <c r="L10" s="23"/>
      <c r="M10" s="23"/>
      <c r="N10" s="23">
        <v>31.77</v>
      </c>
    </row>
    <row r="11" spans="1:14" x14ac:dyDescent="0.25">
      <c r="A11" t="s">
        <v>23</v>
      </c>
      <c r="B11" t="s">
        <v>216</v>
      </c>
      <c r="C11" s="23"/>
      <c r="D11" s="23"/>
      <c r="E11" s="23">
        <v>79.989999999999995</v>
      </c>
      <c r="F11" s="23"/>
      <c r="G11" s="23"/>
      <c r="H11" s="23"/>
      <c r="I11" s="23"/>
      <c r="J11" s="23"/>
      <c r="K11" s="23"/>
      <c r="L11" s="23"/>
      <c r="M11" s="23"/>
      <c r="N11" s="23">
        <v>79.989999999999995</v>
      </c>
    </row>
    <row r="12" spans="1:14" x14ac:dyDescent="0.25">
      <c r="A12" t="s">
        <v>23</v>
      </c>
      <c r="B12" t="s">
        <v>481</v>
      </c>
      <c r="C12" s="23"/>
      <c r="D12" s="23"/>
      <c r="E12" s="23"/>
      <c r="F12" s="23"/>
      <c r="G12" s="23"/>
      <c r="H12" s="23"/>
      <c r="I12" s="23">
        <v>0</v>
      </c>
      <c r="J12" s="23"/>
      <c r="K12" s="23"/>
      <c r="L12" s="23"/>
      <c r="M12" s="23"/>
      <c r="N12" s="23">
        <v>0</v>
      </c>
    </row>
    <row r="13" spans="1:14" x14ac:dyDescent="0.25">
      <c r="A13" t="s">
        <v>23</v>
      </c>
      <c r="B13" t="s">
        <v>88</v>
      </c>
      <c r="C13" s="23">
        <v>30</v>
      </c>
      <c r="D13" s="23">
        <v>30</v>
      </c>
      <c r="E13" s="23"/>
      <c r="F13" s="23"/>
      <c r="G13" s="23"/>
      <c r="H13" s="23"/>
      <c r="I13" s="23"/>
      <c r="J13" s="23"/>
      <c r="K13" s="23"/>
      <c r="L13" s="23"/>
      <c r="M13" s="23"/>
      <c r="N13" s="23">
        <v>60</v>
      </c>
    </row>
    <row r="14" spans="1:14" x14ac:dyDescent="0.25">
      <c r="A14" t="s">
        <v>23</v>
      </c>
      <c r="B14" t="s">
        <v>49</v>
      </c>
      <c r="C14" s="23">
        <v>15.89</v>
      </c>
      <c r="D14" s="23">
        <v>15.89</v>
      </c>
      <c r="E14" s="23">
        <v>15.89</v>
      </c>
      <c r="F14" s="23">
        <v>15.89</v>
      </c>
      <c r="G14" s="23">
        <v>15.89</v>
      </c>
      <c r="H14" s="23">
        <v>15.89</v>
      </c>
      <c r="I14" s="23">
        <v>15.89</v>
      </c>
      <c r="J14" s="23">
        <v>15.89</v>
      </c>
      <c r="K14" s="23">
        <v>15.89</v>
      </c>
      <c r="L14" s="23">
        <v>15.89</v>
      </c>
      <c r="M14" s="23">
        <v>15.89</v>
      </c>
      <c r="N14" s="23">
        <v>174.78999999999996</v>
      </c>
    </row>
    <row r="15" spans="1:14" x14ac:dyDescent="0.25">
      <c r="A15" t="s">
        <v>23</v>
      </c>
      <c r="B15" t="s">
        <v>101</v>
      </c>
      <c r="C15" s="23">
        <v>12.99</v>
      </c>
      <c r="D15" s="23">
        <v>12.99</v>
      </c>
      <c r="E15" s="23">
        <v>12.99</v>
      </c>
      <c r="F15" s="23">
        <v>12.99</v>
      </c>
      <c r="G15" s="23"/>
      <c r="H15" s="23"/>
      <c r="I15" s="23"/>
      <c r="J15" s="23"/>
      <c r="K15" s="23"/>
      <c r="L15" s="23"/>
      <c r="M15" s="23"/>
      <c r="N15" s="23">
        <v>51.96</v>
      </c>
    </row>
    <row r="16" spans="1:14" x14ac:dyDescent="0.25">
      <c r="A16" t="s">
        <v>23</v>
      </c>
      <c r="B16" t="s">
        <v>337</v>
      </c>
      <c r="C16" s="23"/>
      <c r="D16" s="23"/>
      <c r="E16" s="23"/>
      <c r="F16" s="23"/>
      <c r="G16" s="23">
        <v>3.17</v>
      </c>
      <c r="H16" s="23">
        <v>3.17</v>
      </c>
      <c r="I16" s="23">
        <v>3.17</v>
      </c>
      <c r="J16" s="23">
        <v>3.17</v>
      </c>
      <c r="K16" s="23">
        <v>3.17</v>
      </c>
      <c r="L16" s="23">
        <v>3.17</v>
      </c>
      <c r="M16" s="23"/>
      <c r="N16" s="23">
        <v>19.02</v>
      </c>
    </row>
    <row r="17" spans="1:14" x14ac:dyDescent="0.25">
      <c r="A17" t="s">
        <v>23</v>
      </c>
      <c r="B17" t="s">
        <v>284</v>
      </c>
      <c r="C17" s="23"/>
      <c r="D17" s="23"/>
      <c r="E17" s="23"/>
      <c r="F17" s="23">
        <v>50</v>
      </c>
      <c r="G17" s="23"/>
      <c r="H17" s="23"/>
      <c r="I17" s="23"/>
      <c r="J17" s="23"/>
      <c r="K17" s="23"/>
      <c r="L17" s="23"/>
      <c r="M17" s="23"/>
      <c r="N17" s="23">
        <v>50</v>
      </c>
    </row>
    <row r="18" spans="1:14" x14ac:dyDescent="0.25">
      <c r="A18" t="s">
        <v>23</v>
      </c>
      <c r="B18" t="s">
        <v>124</v>
      </c>
      <c r="C18" s="23"/>
      <c r="D18" s="23">
        <v>14.99</v>
      </c>
      <c r="E18" s="23">
        <v>14.99</v>
      </c>
      <c r="F18" s="23">
        <v>14.99</v>
      </c>
      <c r="G18" s="23"/>
      <c r="H18" s="23"/>
      <c r="I18" s="23"/>
      <c r="J18" s="23"/>
      <c r="K18" s="23"/>
      <c r="L18" s="23"/>
      <c r="M18" s="23"/>
      <c r="N18" s="23">
        <v>44.97</v>
      </c>
    </row>
    <row r="19" spans="1:14" x14ac:dyDescent="0.25">
      <c r="A19" t="s">
        <v>23</v>
      </c>
      <c r="B19" t="s">
        <v>21</v>
      </c>
      <c r="C19" s="23">
        <v>14.83</v>
      </c>
      <c r="D19" s="23">
        <v>14.83</v>
      </c>
      <c r="E19" s="23">
        <v>16.420000000000002</v>
      </c>
      <c r="F19" s="23">
        <v>16.420000000000002</v>
      </c>
      <c r="G19" s="23">
        <v>10.59</v>
      </c>
      <c r="H19" s="23">
        <v>10.59</v>
      </c>
      <c r="I19" s="23">
        <v>10.59</v>
      </c>
      <c r="J19" s="23">
        <v>10.59</v>
      </c>
      <c r="K19" s="23">
        <v>10.59</v>
      </c>
      <c r="L19" s="23">
        <v>10.59</v>
      </c>
      <c r="M19" s="23">
        <v>10.59</v>
      </c>
      <c r="N19" s="23">
        <v>136.63000000000002</v>
      </c>
    </row>
    <row r="20" spans="1:14" x14ac:dyDescent="0.25">
      <c r="A20" t="s">
        <v>23</v>
      </c>
      <c r="B20" t="s">
        <v>113</v>
      </c>
      <c r="C20" s="23">
        <v>4.99</v>
      </c>
      <c r="D20" s="23">
        <v>4.99</v>
      </c>
      <c r="E20" s="23">
        <v>4.99</v>
      </c>
      <c r="F20" s="23">
        <v>4.99</v>
      </c>
      <c r="G20" s="23"/>
      <c r="H20" s="23"/>
      <c r="I20" s="23"/>
      <c r="J20" s="23"/>
      <c r="K20" s="23"/>
      <c r="L20" s="23"/>
      <c r="M20" s="23"/>
      <c r="N20" s="23">
        <v>19.96</v>
      </c>
    </row>
    <row r="21" spans="1:14" x14ac:dyDescent="0.25">
      <c r="A21" t="s">
        <v>23</v>
      </c>
      <c r="B21" t="s">
        <v>115</v>
      </c>
      <c r="C21" s="23">
        <v>20</v>
      </c>
      <c r="D21" s="23">
        <v>29.99</v>
      </c>
      <c r="E21" s="23"/>
      <c r="F21" s="23"/>
      <c r="G21" s="23"/>
      <c r="H21" s="23"/>
      <c r="I21" s="23"/>
      <c r="J21" s="23"/>
      <c r="K21" s="23"/>
      <c r="L21" s="23"/>
      <c r="M21" s="23"/>
      <c r="N21" s="23">
        <v>49.989999999999995</v>
      </c>
    </row>
    <row r="22" spans="1:14" x14ac:dyDescent="0.25">
      <c r="A22" t="s">
        <v>23</v>
      </c>
      <c r="B22" t="s">
        <v>25</v>
      </c>
      <c r="C22" s="23">
        <v>9.99</v>
      </c>
      <c r="D22" s="23">
        <v>9.99</v>
      </c>
      <c r="E22" s="23">
        <v>9.99</v>
      </c>
      <c r="F22" s="23">
        <v>9.99</v>
      </c>
      <c r="G22" s="23">
        <v>9.99</v>
      </c>
      <c r="H22" s="23">
        <v>9.99</v>
      </c>
      <c r="I22" s="23">
        <v>9.99</v>
      </c>
      <c r="J22" s="23">
        <v>9.99</v>
      </c>
      <c r="K22" s="23">
        <v>9.99</v>
      </c>
      <c r="L22" s="23">
        <v>14.98</v>
      </c>
      <c r="M22" s="23">
        <v>14.98</v>
      </c>
      <c r="N22" s="23">
        <v>119.87</v>
      </c>
    </row>
    <row r="23" spans="1:14" x14ac:dyDescent="0.25">
      <c r="A23" t="s">
        <v>23</v>
      </c>
      <c r="B23" t="s">
        <v>305</v>
      </c>
      <c r="C23" s="23"/>
      <c r="D23" s="23"/>
      <c r="E23" s="23"/>
      <c r="F23" s="23"/>
      <c r="G23" s="23">
        <v>10.85</v>
      </c>
      <c r="H23" s="23">
        <v>10.85</v>
      </c>
      <c r="I23" s="23">
        <v>10.85</v>
      </c>
      <c r="J23" s="23">
        <v>10.85</v>
      </c>
      <c r="K23" s="23"/>
      <c r="L23" s="23"/>
      <c r="M23" s="23"/>
      <c r="N23" s="23">
        <v>43.4</v>
      </c>
    </row>
    <row r="24" spans="1:14" x14ac:dyDescent="0.25">
      <c r="A24" t="s">
        <v>23</v>
      </c>
      <c r="B24" t="s">
        <v>130</v>
      </c>
      <c r="C24" s="23"/>
      <c r="D24" s="23">
        <v>70.58</v>
      </c>
      <c r="E24" s="23">
        <v>54.29</v>
      </c>
      <c r="F24" s="23">
        <v>86.47</v>
      </c>
      <c r="G24" s="23">
        <v>70.58</v>
      </c>
      <c r="H24" s="23"/>
      <c r="I24" s="23"/>
      <c r="J24" s="23"/>
      <c r="K24" s="23">
        <v>64.989999999999995</v>
      </c>
      <c r="L24" s="23">
        <v>80.88</v>
      </c>
      <c r="M24" s="23">
        <v>64.989999999999995</v>
      </c>
      <c r="N24" s="23">
        <v>492.78000000000003</v>
      </c>
    </row>
    <row r="25" spans="1:14" x14ac:dyDescent="0.25">
      <c r="A25" t="s">
        <v>939</v>
      </c>
      <c r="C25" s="23">
        <v>203.36000000000004</v>
      </c>
      <c r="D25" s="23">
        <v>309.51000000000005</v>
      </c>
      <c r="E25" s="23">
        <v>314.81000000000006</v>
      </c>
      <c r="F25" s="23">
        <v>348.79000000000008</v>
      </c>
      <c r="G25" s="23">
        <v>215.74</v>
      </c>
      <c r="H25" s="23">
        <v>170.16</v>
      </c>
      <c r="I25" s="23">
        <v>170.44</v>
      </c>
      <c r="J25" s="23">
        <v>170.44</v>
      </c>
      <c r="K25" s="23">
        <v>225</v>
      </c>
      <c r="L25" s="23">
        <v>245.87999999999997</v>
      </c>
      <c r="M25" s="23">
        <v>226.82</v>
      </c>
      <c r="N25" s="23">
        <v>2600.9500000000007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89A8-2085-4BC4-9BE7-ABE2449A9F6D}">
  <dimension ref="A1:R41"/>
  <sheetViews>
    <sheetView topLeftCell="B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13.7109375" customWidth="1"/>
    <col min="2" max="10" width="13.7109375" style="5" customWidth="1"/>
    <col min="11" max="14" width="13.7109375" customWidth="1"/>
    <col min="15" max="18" width="17" customWidth="1"/>
    <col min="19" max="19" width="13.7109375" customWidth="1"/>
  </cols>
  <sheetData>
    <row r="1" spans="1:18" x14ac:dyDescent="0.25">
      <c r="B1" s="55" t="s">
        <v>856</v>
      </c>
      <c r="C1" s="55" t="s">
        <v>877</v>
      </c>
      <c r="D1" s="55" t="s">
        <v>878</v>
      </c>
      <c r="E1" s="55" t="s">
        <v>879</v>
      </c>
      <c r="F1" s="55" t="s">
        <v>887</v>
      </c>
      <c r="G1" s="55" t="s">
        <v>883</v>
      </c>
      <c r="H1" s="55" t="s">
        <v>882</v>
      </c>
      <c r="I1" s="55" t="s">
        <v>881</v>
      </c>
      <c r="J1" s="55" t="s">
        <v>874</v>
      </c>
      <c r="K1" s="55" t="s">
        <v>888</v>
      </c>
      <c r="L1" s="55" t="s">
        <v>891</v>
      </c>
      <c r="M1" s="55" t="s">
        <v>890</v>
      </c>
      <c r="N1" s="55" t="s">
        <v>937</v>
      </c>
      <c r="O1" s="55" t="s">
        <v>884</v>
      </c>
      <c r="P1" s="55" t="s">
        <v>889</v>
      </c>
      <c r="Q1" s="55" t="s">
        <v>886</v>
      </c>
      <c r="R1" s="55" t="s">
        <v>885</v>
      </c>
    </row>
    <row r="2" spans="1:18" x14ac:dyDescent="0.25">
      <c r="A2" s="54" t="s">
        <v>880</v>
      </c>
      <c r="B2" s="5">
        <v>5340.1</v>
      </c>
      <c r="C2" s="5">
        <v>3749.93</v>
      </c>
      <c r="L2" s="58"/>
      <c r="M2" s="58"/>
      <c r="N2" s="58"/>
      <c r="O2" s="56"/>
      <c r="P2" s="56"/>
      <c r="Q2" s="56"/>
      <c r="R2" s="56"/>
    </row>
    <row r="3" spans="1:18" x14ac:dyDescent="0.25">
      <c r="A3" s="9">
        <v>44774</v>
      </c>
      <c r="B3" s="5">
        <v>0</v>
      </c>
      <c r="C3" s="5">
        <f>C2+B2-81.42</f>
        <v>9008.61</v>
      </c>
      <c r="D3" s="5">
        <v>500</v>
      </c>
      <c r="L3" s="61">
        <v>159.81</v>
      </c>
      <c r="M3" s="61">
        <v>711.33</v>
      </c>
      <c r="N3" s="61"/>
      <c r="O3" s="56"/>
      <c r="P3" s="56"/>
      <c r="Q3" s="56"/>
      <c r="R3" s="56"/>
    </row>
    <row r="4" spans="1:18" x14ac:dyDescent="0.25">
      <c r="A4" s="9">
        <v>44785</v>
      </c>
      <c r="B4" s="5">
        <f t="shared" ref="B4:B14" si="0">B3+D3-H4</f>
        <v>0</v>
      </c>
      <c r="C4" s="5">
        <f t="shared" ref="C4:C11" si="1">C3-I4</f>
        <v>9008.61</v>
      </c>
      <c r="D4" s="5">
        <v>500</v>
      </c>
      <c r="H4" s="5">
        <v>500</v>
      </c>
      <c r="I4" s="5">
        <v>0</v>
      </c>
      <c r="J4" s="5">
        <v>2000</v>
      </c>
      <c r="K4" s="23">
        <f>J4-I4-H4-G4-F4-E4</f>
        <v>1500</v>
      </c>
      <c r="L4" s="59">
        <v>962.04</v>
      </c>
      <c r="M4" s="59">
        <v>2936.29</v>
      </c>
      <c r="N4" s="59">
        <v>2482.9</v>
      </c>
      <c r="O4" s="56">
        <v>962.04</v>
      </c>
      <c r="P4" s="62">
        <f>M4-O4</f>
        <v>1974.25</v>
      </c>
      <c r="Q4" s="60">
        <v>961.3</v>
      </c>
      <c r="R4" s="56"/>
    </row>
    <row r="5" spans="1:18" x14ac:dyDescent="0.25">
      <c r="A5" s="9">
        <f>A4+14</f>
        <v>44799</v>
      </c>
      <c r="B5" s="5">
        <f t="shared" si="0"/>
        <v>0</v>
      </c>
      <c r="C5" s="5">
        <f t="shared" si="1"/>
        <v>9008.61</v>
      </c>
      <c r="D5" s="5">
        <v>1200</v>
      </c>
      <c r="G5" s="5">
        <v>1073.3399999999999</v>
      </c>
      <c r="H5" s="5">
        <v>500</v>
      </c>
      <c r="I5" s="5">
        <v>0</v>
      </c>
      <c r="J5" s="5">
        <f>J4</f>
        <v>2000</v>
      </c>
      <c r="K5" s="23">
        <f>J5-I5-H5-G5-F5-E5+K4</f>
        <v>1926.66</v>
      </c>
      <c r="L5" s="59">
        <v>451.88</v>
      </c>
      <c r="M5" s="59">
        <v>1909.18</v>
      </c>
      <c r="N5" s="59">
        <v>1952.12</v>
      </c>
      <c r="O5" s="62">
        <f>L5</f>
        <v>451.88</v>
      </c>
      <c r="P5" s="62">
        <f>M5-O5</f>
        <v>1457.3000000000002</v>
      </c>
      <c r="Q5" s="56"/>
      <c r="R5" s="56"/>
    </row>
    <row r="6" spans="1:18" x14ac:dyDescent="0.25">
      <c r="A6" s="9">
        <f t="shared" ref="A6:A40" si="2">A5+14</f>
        <v>44813</v>
      </c>
      <c r="B6" s="5">
        <f t="shared" si="0"/>
        <v>500</v>
      </c>
      <c r="C6" s="5">
        <f t="shared" si="1"/>
        <v>7708.6100000000006</v>
      </c>
      <c r="D6" s="5">
        <v>500</v>
      </c>
      <c r="H6" s="5">
        <v>700</v>
      </c>
      <c r="I6" s="5">
        <v>1300</v>
      </c>
      <c r="J6" s="5">
        <f t="shared" ref="J6:J40" si="3">J5</f>
        <v>2000</v>
      </c>
      <c r="K6" s="23">
        <f t="shared" ref="K6:K40" si="4">J6-I6-H6-G6-F6-E6+K5</f>
        <v>1926.66</v>
      </c>
      <c r="L6" s="59"/>
      <c r="M6" s="59"/>
      <c r="N6" s="59"/>
      <c r="O6" s="56"/>
      <c r="P6" s="56"/>
      <c r="Q6" s="56"/>
      <c r="R6" s="56"/>
    </row>
    <row r="7" spans="1:18" x14ac:dyDescent="0.25">
      <c r="A7" s="9">
        <f t="shared" si="2"/>
        <v>44827</v>
      </c>
      <c r="B7" s="5">
        <f t="shared" si="0"/>
        <v>0</v>
      </c>
      <c r="C7" s="5">
        <f t="shared" si="1"/>
        <v>7458.6100000000006</v>
      </c>
      <c r="D7" s="5">
        <v>500</v>
      </c>
      <c r="G7" s="5">
        <v>750</v>
      </c>
      <c r="H7" s="5">
        <v>1000</v>
      </c>
      <c r="I7" s="5">
        <v>250</v>
      </c>
      <c r="J7" s="5">
        <f t="shared" si="3"/>
        <v>2000</v>
      </c>
      <c r="K7" s="23">
        <f t="shared" si="4"/>
        <v>1926.66</v>
      </c>
      <c r="L7" s="59"/>
      <c r="M7" s="59"/>
      <c r="N7" s="59"/>
      <c r="O7" s="56"/>
      <c r="P7" s="56"/>
      <c r="Q7" s="56"/>
      <c r="R7" s="56"/>
    </row>
    <row r="8" spans="1:18" x14ac:dyDescent="0.25">
      <c r="A8" s="9">
        <f t="shared" si="2"/>
        <v>44841</v>
      </c>
      <c r="B8" s="5">
        <f t="shared" si="0"/>
        <v>0</v>
      </c>
      <c r="C8" s="5">
        <f t="shared" si="1"/>
        <v>5958.6100000000006</v>
      </c>
      <c r="D8" s="5">
        <v>500</v>
      </c>
      <c r="H8" s="5">
        <v>500</v>
      </c>
      <c r="I8" s="5">
        <v>1500</v>
      </c>
      <c r="J8" s="5">
        <f t="shared" si="3"/>
        <v>2000</v>
      </c>
      <c r="K8" s="23">
        <f t="shared" si="4"/>
        <v>1926.66</v>
      </c>
      <c r="L8" s="59"/>
      <c r="M8" s="59"/>
      <c r="N8" s="59"/>
      <c r="O8" s="56"/>
      <c r="P8" s="56"/>
      <c r="Q8" s="56"/>
      <c r="R8" s="56"/>
    </row>
    <row r="9" spans="1:18" x14ac:dyDescent="0.25">
      <c r="A9" s="9">
        <f t="shared" si="2"/>
        <v>44855</v>
      </c>
      <c r="B9" s="5">
        <f t="shared" si="0"/>
        <v>350</v>
      </c>
      <c r="C9" s="5">
        <f t="shared" si="1"/>
        <v>5208.6100000000006</v>
      </c>
      <c r="D9" s="5">
        <v>150</v>
      </c>
      <c r="F9" s="5">
        <v>348</v>
      </c>
      <c r="G9" s="5">
        <v>750</v>
      </c>
      <c r="H9" s="5">
        <v>150</v>
      </c>
      <c r="I9" s="5">
        <v>750</v>
      </c>
      <c r="J9" s="5">
        <f t="shared" si="3"/>
        <v>2000</v>
      </c>
      <c r="K9" s="23">
        <f t="shared" si="4"/>
        <v>1928.66</v>
      </c>
      <c r="L9" s="59"/>
      <c r="M9" s="59"/>
      <c r="N9" s="59"/>
      <c r="O9" s="56"/>
      <c r="P9" s="56"/>
      <c r="Q9" s="56"/>
      <c r="R9" s="56"/>
    </row>
    <row r="10" spans="1:18" x14ac:dyDescent="0.25">
      <c r="A10" s="9">
        <f t="shared" si="2"/>
        <v>44869</v>
      </c>
      <c r="B10" s="5">
        <f t="shared" si="0"/>
        <v>0</v>
      </c>
      <c r="C10" s="5">
        <f t="shared" si="1"/>
        <v>3708.6100000000006</v>
      </c>
      <c r="D10" s="5">
        <v>500</v>
      </c>
      <c r="H10" s="5">
        <v>500</v>
      </c>
      <c r="I10" s="5">
        <v>1500</v>
      </c>
      <c r="J10" s="5">
        <f t="shared" si="3"/>
        <v>2000</v>
      </c>
      <c r="K10" s="23">
        <f t="shared" si="4"/>
        <v>1928.66</v>
      </c>
      <c r="L10" s="59"/>
      <c r="M10" s="59"/>
      <c r="N10" s="59"/>
      <c r="O10" s="56"/>
      <c r="P10" s="56"/>
      <c r="Q10" s="56"/>
      <c r="R10" s="56"/>
    </row>
    <row r="11" spans="1:18" x14ac:dyDescent="0.25">
      <c r="A11" s="9">
        <f t="shared" si="2"/>
        <v>44883</v>
      </c>
      <c r="B11" s="5">
        <f t="shared" si="0"/>
        <v>350</v>
      </c>
      <c r="C11" s="5">
        <f t="shared" si="1"/>
        <v>2958.6100000000006</v>
      </c>
      <c r="D11" s="5">
        <v>150</v>
      </c>
      <c r="F11" s="5">
        <v>348</v>
      </c>
      <c r="G11" s="5">
        <v>750</v>
      </c>
      <c r="H11" s="5">
        <v>150</v>
      </c>
      <c r="I11" s="5">
        <v>750</v>
      </c>
      <c r="J11" s="5">
        <f t="shared" si="3"/>
        <v>2000</v>
      </c>
      <c r="K11" s="23">
        <f t="shared" si="4"/>
        <v>1930.66</v>
      </c>
      <c r="L11" s="59"/>
      <c r="M11" s="59"/>
      <c r="N11" s="59"/>
      <c r="O11" s="56"/>
      <c r="P11" s="56"/>
      <c r="Q11" s="56"/>
      <c r="R11" s="56"/>
    </row>
    <row r="12" spans="1:18" x14ac:dyDescent="0.25">
      <c r="A12" s="9">
        <f t="shared" si="2"/>
        <v>44897</v>
      </c>
      <c r="B12" s="5">
        <f t="shared" si="0"/>
        <v>0</v>
      </c>
      <c r="C12" s="5">
        <f t="shared" ref="C12:C40" si="5">C11-I12</f>
        <v>1500.0000000000007</v>
      </c>
      <c r="D12" s="5">
        <v>500</v>
      </c>
      <c r="H12" s="5">
        <v>500</v>
      </c>
      <c r="I12" s="5">
        <f>1500-41.39</f>
        <v>1458.61</v>
      </c>
      <c r="J12" s="5">
        <f t="shared" si="3"/>
        <v>2000</v>
      </c>
      <c r="K12" s="23">
        <f t="shared" si="4"/>
        <v>1972.0500000000002</v>
      </c>
      <c r="L12" s="59"/>
      <c r="M12" s="59"/>
      <c r="N12" s="59"/>
      <c r="O12" s="56"/>
      <c r="P12" s="56"/>
      <c r="Q12" s="56"/>
      <c r="R12" s="56"/>
    </row>
    <row r="13" spans="1:18" x14ac:dyDescent="0.25">
      <c r="A13" s="9">
        <f t="shared" si="2"/>
        <v>44911</v>
      </c>
      <c r="B13" s="5">
        <f t="shared" si="0"/>
        <v>350</v>
      </c>
      <c r="C13" s="5">
        <f t="shared" si="5"/>
        <v>1500.0000000000007</v>
      </c>
      <c r="D13" s="5">
        <v>150</v>
      </c>
      <c r="F13" s="5">
        <v>348</v>
      </c>
      <c r="H13" s="5">
        <v>150</v>
      </c>
      <c r="I13" s="5">
        <v>0</v>
      </c>
      <c r="J13" s="5">
        <f t="shared" si="3"/>
        <v>2000</v>
      </c>
      <c r="K13" s="23">
        <f t="shared" si="4"/>
        <v>3474.05</v>
      </c>
      <c r="L13" s="59"/>
      <c r="M13" s="59"/>
      <c r="N13" s="59"/>
      <c r="O13" s="56"/>
      <c r="P13" s="56"/>
      <c r="Q13" s="56"/>
      <c r="R13" s="56"/>
    </row>
    <row r="14" spans="1:18" x14ac:dyDescent="0.25">
      <c r="A14" s="9">
        <f t="shared" si="2"/>
        <v>44925</v>
      </c>
      <c r="B14" s="5">
        <f t="shared" si="0"/>
        <v>0</v>
      </c>
      <c r="C14" s="5">
        <f t="shared" si="5"/>
        <v>1500.0000000000007</v>
      </c>
      <c r="D14" s="5">
        <v>500</v>
      </c>
      <c r="G14" s="5">
        <v>750</v>
      </c>
      <c r="H14" s="5">
        <v>500</v>
      </c>
      <c r="I14" s="5">
        <v>0</v>
      </c>
      <c r="J14" s="5">
        <f t="shared" si="3"/>
        <v>2000</v>
      </c>
      <c r="K14" s="23">
        <f t="shared" si="4"/>
        <v>4224.05</v>
      </c>
      <c r="L14" s="59"/>
      <c r="M14" s="59"/>
      <c r="N14" s="59"/>
      <c r="O14" s="56"/>
      <c r="P14" s="56"/>
      <c r="Q14" s="56"/>
      <c r="R14" s="56"/>
    </row>
    <row r="15" spans="1:18" x14ac:dyDescent="0.25">
      <c r="A15" s="9">
        <f t="shared" si="2"/>
        <v>44939</v>
      </c>
      <c r="B15" s="5">
        <f t="shared" ref="B15:B40" si="6">B14+D14-H15</f>
        <v>0</v>
      </c>
      <c r="C15" s="57">
        <v>9462</v>
      </c>
      <c r="D15" s="5">
        <v>500</v>
      </c>
      <c r="F15" s="5">
        <v>348</v>
      </c>
      <c r="H15" s="5">
        <v>500</v>
      </c>
      <c r="I15" s="5">
        <v>0</v>
      </c>
      <c r="J15" s="5">
        <f t="shared" si="3"/>
        <v>2000</v>
      </c>
      <c r="K15" s="23">
        <f t="shared" si="4"/>
        <v>5376.05</v>
      </c>
      <c r="L15" s="59"/>
      <c r="M15" s="59"/>
      <c r="N15" s="59"/>
      <c r="O15" s="56"/>
      <c r="P15" s="56"/>
      <c r="Q15" s="56"/>
      <c r="R15" s="56"/>
    </row>
    <row r="16" spans="1:18" x14ac:dyDescent="0.25">
      <c r="A16" s="9">
        <f t="shared" si="2"/>
        <v>44953</v>
      </c>
      <c r="B16" s="5">
        <f t="shared" si="6"/>
        <v>0</v>
      </c>
      <c r="C16" s="5">
        <f t="shared" si="5"/>
        <v>7962</v>
      </c>
      <c r="D16" s="5">
        <v>500</v>
      </c>
      <c r="G16" s="5">
        <v>750</v>
      </c>
      <c r="H16" s="5">
        <v>500</v>
      </c>
      <c r="I16" s="5">
        <v>1500</v>
      </c>
      <c r="J16" s="5">
        <f t="shared" si="3"/>
        <v>2000</v>
      </c>
      <c r="K16" s="23">
        <f t="shared" si="4"/>
        <v>4626.05</v>
      </c>
      <c r="L16" s="59"/>
      <c r="M16" s="59"/>
      <c r="N16" s="59"/>
      <c r="O16" s="56"/>
      <c r="P16" s="56"/>
      <c r="Q16" s="56"/>
      <c r="R16" s="56"/>
    </row>
    <row r="17" spans="1:18" x14ac:dyDescent="0.25">
      <c r="A17" s="9">
        <f t="shared" si="2"/>
        <v>44967</v>
      </c>
      <c r="B17" s="5">
        <f t="shared" si="6"/>
        <v>0</v>
      </c>
      <c r="C17" s="5">
        <f t="shared" si="5"/>
        <v>6462</v>
      </c>
      <c r="D17" s="5">
        <v>500</v>
      </c>
      <c r="F17" s="5">
        <v>348</v>
      </c>
      <c r="H17" s="5">
        <v>500</v>
      </c>
      <c r="I17" s="5">
        <v>1500</v>
      </c>
      <c r="J17" s="5">
        <f t="shared" si="3"/>
        <v>2000</v>
      </c>
      <c r="K17" s="23">
        <f t="shared" si="4"/>
        <v>4278.05</v>
      </c>
      <c r="L17" s="59"/>
      <c r="M17" s="59"/>
      <c r="N17" s="59"/>
      <c r="O17" s="56"/>
      <c r="P17" s="56"/>
      <c r="Q17" s="56"/>
      <c r="R17" s="56"/>
    </row>
    <row r="18" spans="1:18" x14ac:dyDescent="0.25">
      <c r="A18" s="9">
        <f t="shared" si="2"/>
        <v>44981</v>
      </c>
      <c r="B18" s="5">
        <f t="shared" si="6"/>
        <v>0</v>
      </c>
      <c r="C18" s="5">
        <f t="shared" si="5"/>
        <v>4962</v>
      </c>
      <c r="D18" s="5">
        <v>500</v>
      </c>
      <c r="G18" s="5">
        <v>750</v>
      </c>
      <c r="H18" s="5">
        <v>500</v>
      </c>
      <c r="I18" s="5">
        <v>1500</v>
      </c>
      <c r="J18" s="5">
        <f t="shared" si="3"/>
        <v>2000</v>
      </c>
      <c r="K18" s="23">
        <f t="shared" si="4"/>
        <v>3528.05</v>
      </c>
      <c r="L18" s="59"/>
      <c r="M18" s="59"/>
      <c r="N18" s="59"/>
      <c r="O18" s="56"/>
      <c r="P18" s="56"/>
      <c r="Q18" s="56"/>
      <c r="R18" s="56"/>
    </row>
    <row r="19" spans="1:18" x14ac:dyDescent="0.25">
      <c r="A19" s="9">
        <f t="shared" si="2"/>
        <v>44995</v>
      </c>
      <c r="B19" s="5">
        <f t="shared" si="6"/>
        <v>0</v>
      </c>
      <c r="C19" s="5">
        <f t="shared" si="5"/>
        <v>3462</v>
      </c>
      <c r="D19" s="5">
        <v>500</v>
      </c>
      <c r="F19" s="5">
        <v>348</v>
      </c>
      <c r="H19" s="5">
        <v>500</v>
      </c>
      <c r="I19" s="5">
        <v>1500</v>
      </c>
      <c r="J19" s="5">
        <f t="shared" si="3"/>
        <v>2000</v>
      </c>
      <c r="K19" s="23">
        <f t="shared" si="4"/>
        <v>3180.05</v>
      </c>
      <c r="L19" s="59"/>
      <c r="M19" s="59"/>
      <c r="N19" s="59"/>
      <c r="O19" s="56"/>
      <c r="P19" s="56"/>
      <c r="Q19" s="56"/>
      <c r="R19" s="56"/>
    </row>
    <row r="20" spans="1:18" x14ac:dyDescent="0.25">
      <c r="A20" s="9">
        <f t="shared" si="2"/>
        <v>45009</v>
      </c>
      <c r="B20" s="5">
        <f t="shared" si="6"/>
        <v>0</v>
      </c>
      <c r="C20" s="5">
        <f t="shared" si="5"/>
        <v>1962</v>
      </c>
      <c r="D20" s="5">
        <v>500</v>
      </c>
      <c r="G20" s="5">
        <v>750</v>
      </c>
      <c r="H20" s="5">
        <v>500</v>
      </c>
      <c r="I20" s="5">
        <v>1500</v>
      </c>
      <c r="J20" s="5">
        <f t="shared" si="3"/>
        <v>2000</v>
      </c>
      <c r="K20" s="23">
        <f t="shared" si="4"/>
        <v>2430.0500000000002</v>
      </c>
      <c r="L20" s="59"/>
      <c r="M20" s="59"/>
      <c r="N20" s="59"/>
      <c r="O20" s="56"/>
      <c r="P20" s="56"/>
      <c r="Q20" s="56"/>
      <c r="R20" s="56"/>
    </row>
    <row r="21" spans="1:18" x14ac:dyDescent="0.25">
      <c r="A21" s="9">
        <f t="shared" si="2"/>
        <v>45023</v>
      </c>
      <c r="B21" s="5">
        <f t="shared" si="6"/>
        <v>0</v>
      </c>
      <c r="C21" s="5">
        <f t="shared" si="5"/>
        <v>462</v>
      </c>
      <c r="D21" s="5">
        <v>500</v>
      </c>
      <c r="F21" s="5">
        <v>348</v>
      </c>
      <c r="H21" s="5">
        <v>500</v>
      </c>
      <c r="I21" s="5">
        <v>1500</v>
      </c>
      <c r="J21" s="5">
        <f t="shared" si="3"/>
        <v>2000</v>
      </c>
      <c r="K21" s="23">
        <f t="shared" si="4"/>
        <v>2082.0500000000002</v>
      </c>
      <c r="L21" s="59"/>
      <c r="M21" s="59"/>
      <c r="N21" s="59"/>
      <c r="O21" s="56"/>
      <c r="P21" s="56"/>
      <c r="Q21" s="56"/>
      <c r="R21" s="56"/>
    </row>
    <row r="22" spans="1:18" x14ac:dyDescent="0.25">
      <c r="A22" s="9">
        <f t="shared" si="2"/>
        <v>45037</v>
      </c>
      <c r="B22" s="5">
        <f t="shared" si="6"/>
        <v>0</v>
      </c>
      <c r="C22" s="5">
        <f t="shared" si="5"/>
        <v>0</v>
      </c>
      <c r="D22" s="5">
        <v>500</v>
      </c>
      <c r="G22" s="5">
        <v>750</v>
      </c>
      <c r="H22" s="5">
        <v>500</v>
      </c>
      <c r="I22" s="5">
        <v>462</v>
      </c>
      <c r="J22" s="5">
        <f t="shared" si="3"/>
        <v>2000</v>
      </c>
      <c r="K22" s="23">
        <f t="shared" si="4"/>
        <v>2370.0500000000002</v>
      </c>
      <c r="L22" s="59"/>
      <c r="M22" s="59"/>
      <c r="N22" s="59"/>
      <c r="O22" s="56"/>
      <c r="P22" s="56"/>
      <c r="Q22" s="56"/>
      <c r="R22" s="56"/>
    </row>
    <row r="23" spans="1:18" x14ac:dyDescent="0.25">
      <c r="A23" s="9">
        <f t="shared" si="2"/>
        <v>45051</v>
      </c>
      <c r="B23" s="5">
        <f t="shared" si="6"/>
        <v>0</v>
      </c>
      <c r="C23" s="5">
        <f t="shared" si="5"/>
        <v>0</v>
      </c>
      <c r="D23" s="5">
        <v>500</v>
      </c>
      <c r="E23" s="5">
        <v>1500</v>
      </c>
      <c r="F23" s="5">
        <v>348</v>
      </c>
      <c r="H23" s="5">
        <v>500</v>
      </c>
      <c r="I23" s="5">
        <v>0</v>
      </c>
      <c r="J23" s="5">
        <f t="shared" si="3"/>
        <v>2000</v>
      </c>
      <c r="K23" s="23">
        <f t="shared" si="4"/>
        <v>2022.0500000000002</v>
      </c>
      <c r="L23" s="59"/>
      <c r="M23" s="59"/>
      <c r="N23" s="59"/>
      <c r="O23" s="56"/>
      <c r="P23" s="56"/>
      <c r="Q23" s="56"/>
      <c r="R23" s="56"/>
    </row>
    <row r="24" spans="1:18" x14ac:dyDescent="0.25">
      <c r="A24" s="9">
        <f t="shared" si="2"/>
        <v>45065</v>
      </c>
      <c r="B24" s="5">
        <f t="shared" si="6"/>
        <v>0</v>
      </c>
      <c r="C24" s="5">
        <f t="shared" si="5"/>
        <v>0</v>
      </c>
      <c r="D24" s="5">
        <v>500</v>
      </c>
      <c r="G24" s="5">
        <v>750</v>
      </c>
      <c r="H24" s="5">
        <v>500</v>
      </c>
      <c r="I24" s="5">
        <v>0</v>
      </c>
      <c r="J24" s="5">
        <f t="shared" si="3"/>
        <v>2000</v>
      </c>
      <c r="K24" s="23">
        <f t="shared" si="4"/>
        <v>2772.05</v>
      </c>
      <c r="L24" s="59"/>
      <c r="M24" s="59"/>
      <c r="N24" s="59"/>
      <c r="O24" s="56"/>
      <c r="P24" s="56"/>
      <c r="Q24" s="56"/>
      <c r="R24" s="56"/>
    </row>
    <row r="25" spans="1:18" x14ac:dyDescent="0.25">
      <c r="A25" s="9">
        <f t="shared" si="2"/>
        <v>45079</v>
      </c>
      <c r="B25" s="5">
        <f t="shared" si="6"/>
        <v>0</v>
      </c>
      <c r="C25" s="5">
        <f t="shared" si="5"/>
        <v>0</v>
      </c>
      <c r="D25" s="5">
        <v>500</v>
      </c>
      <c r="E25" s="5">
        <v>1500</v>
      </c>
      <c r="H25" s="5">
        <v>500</v>
      </c>
      <c r="I25" s="5">
        <v>0</v>
      </c>
      <c r="J25" s="5">
        <f t="shared" si="3"/>
        <v>2000</v>
      </c>
      <c r="K25" s="23">
        <f t="shared" si="4"/>
        <v>2772.05</v>
      </c>
      <c r="L25" s="59"/>
      <c r="M25" s="59"/>
      <c r="N25" s="59"/>
      <c r="O25" s="56"/>
      <c r="P25" s="56"/>
      <c r="Q25" s="56"/>
      <c r="R25" s="56"/>
    </row>
    <row r="26" spans="1:18" x14ac:dyDescent="0.25">
      <c r="A26" s="9">
        <f t="shared" si="2"/>
        <v>45093</v>
      </c>
      <c r="B26" s="5">
        <f t="shared" si="6"/>
        <v>0</v>
      </c>
      <c r="C26" s="5">
        <f t="shared" si="5"/>
        <v>0</v>
      </c>
      <c r="D26" s="5">
        <v>500</v>
      </c>
      <c r="F26" s="5">
        <v>348</v>
      </c>
      <c r="H26" s="5">
        <v>500</v>
      </c>
      <c r="I26" s="5">
        <v>0</v>
      </c>
      <c r="J26" s="5">
        <f t="shared" si="3"/>
        <v>2000</v>
      </c>
      <c r="K26" s="23">
        <f t="shared" si="4"/>
        <v>3924.05</v>
      </c>
      <c r="L26" s="59"/>
      <c r="M26" s="59"/>
      <c r="N26" s="59"/>
      <c r="O26" s="56"/>
      <c r="P26" s="56"/>
      <c r="Q26" s="56"/>
      <c r="R26" s="56"/>
    </row>
    <row r="27" spans="1:18" x14ac:dyDescent="0.25">
      <c r="A27" s="9">
        <f t="shared" si="2"/>
        <v>45107</v>
      </c>
      <c r="B27" s="5">
        <f t="shared" si="6"/>
        <v>0</v>
      </c>
      <c r="C27" s="5">
        <f t="shared" si="5"/>
        <v>0</v>
      </c>
      <c r="D27" s="5">
        <v>500</v>
      </c>
      <c r="E27" s="5">
        <v>1500</v>
      </c>
      <c r="G27" s="5">
        <v>750</v>
      </c>
      <c r="H27" s="5">
        <v>500</v>
      </c>
      <c r="I27" s="5">
        <v>0</v>
      </c>
      <c r="J27" s="5">
        <f t="shared" si="3"/>
        <v>2000</v>
      </c>
      <c r="K27" s="23">
        <f t="shared" si="4"/>
        <v>3174.05</v>
      </c>
      <c r="L27" s="59"/>
      <c r="M27" s="59"/>
      <c r="N27" s="59"/>
      <c r="O27" s="56"/>
      <c r="P27" s="56"/>
      <c r="Q27" s="56"/>
      <c r="R27" s="56"/>
    </row>
    <row r="28" spans="1:18" x14ac:dyDescent="0.25">
      <c r="A28" s="9">
        <f t="shared" si="2"/>
        <v>45121</v>
      </c>
      <c r="B28" s="5">
        <f t="shared" si="6"/>
        <v>0</v>
      </c>
      <c r="C28" s="5">
        <f t="shared" si="5"/>
        <v>0</v>
      </c>
      <c r="D28" s="5">
        <v>500</v>
      </c>
      <c r="F28" s="5">
        <v>348</v>
      </c>
      <c r="H28" s="5">
        <v>500</v>
      </c>
      <c r="I28" s="5">
        <v>0</v>
      </c>
      <c r="J28" s="5">
        <f t="shared" si="3"/>
        <v>2000</v>
      </c>
      <c r="K28" s="23">
        <f t="shared" si="4"/>
        <v>4326.05</v>
      </c>
      <c r="L28" s="59"/>
      <c r="M28" s="59"/>
      <c r="N28" s="59"/>
      <c r="O28" s="56"/>
      <c r="P28" s="56"/>
      <c r="Q28" s="56"/>
      <c r="R28" s="56"/>
    </row>
    <row r="29" spans="1:18" x14ac:dyDescent="0.25">
      <c r="A29" s="9">
        <f t="shared" si="2"/>
        <v>45135</v>
      </c>
      <c r="B29" s="5">
        <f t="shared" si="6"/>
        <v>0</v>
      </c>
      <c r="C29" s="5">
        <f t="shared" si="5"/>
        <v>0</v>
      </c>
      <c r="D29" s="5">
        <v>500</v>
      </c>
      <c r="E29" s="5">
        <v>1500</v>
      </c>
      <c r="G29" s="5">
        <v>750</v>
      </c>
      <c r="H29" s="5">
        <v>500</v>
      </c>
      <c r="I29" s="5">
        <v>0</v>
      </c>
      <c r="J29" s="5">
        <f t="shared" si="3"/>
        <v>2000</v>
      </c>
      <c r="K29" s="23">
        <f t="shared" si="4"/>
        <v>3576.05</v>
      </c>
      <c r="L29" s="59"/>
      <c r="M29" s="59"/>
      <c r="N29" s="59"/>
      <c r="O29" s="56"/>
      <c r="P29" s="56"/>
      <c r="Q29" s="56"/>
      <c r="R29" s="56"/>
    </row>
    <row r="30" spans="1:18" x14ac:dyDescent="0.25">
      <c r="A30" s="9">
        <f t="shared" si="2"/>
        <v>45149</v>
      </c>
      <c r="B30" s="5">
        <f t="shared" si="6"/>
        <v>0</v>
      </c>
      <c r="C30" s="5">
        <f t="shared" si="5"/>
        <v>0</v>
      </c>
      <c r="D30" s="5">
        <v>500</v>
      </c>
      <c r="F30" s="5">
        <v>348</v>
      </c>
      <c r="H30" s="5">
        <v>500</v>
      </c>
      <c r="I30" s="5">
        <v>0</v>
      </c>
      <c r="J30" s="5">
        <f t="shared" si="3"/>
        <v>2000</v>
      </c>
      <c r="K30" s="23">
        <f t="shared" si="4"/>
        <v>4728.05</v>
      </c>
      <c r="L30" s="59"/>
      <c r="M30" s="59"/>
      <c r="N30" s="59"/>
      <c r="O30" s="56"/>
      <c r="P30" s="56"/>
      <c r="Q30" s="56"/>
      <c r="R30" s="56"/>
    </row>
    <row r="31" spans="1:18" x14ac:dyDescent="0.25">
      <c r="A31" s="9">
        <f t="shared" si="2"/>
        <v>45163</v>
      </c>
      <c r="B31" s="5">
        <f t="shared" si="6"/>
        <v>0</v>
      </c>
      <c r="C31" s="5">
        <f t="shared" si="5"/>
        <v>0</v>
      </c>
      <c r="D31" s="5">
        <v>500</v>
      </c>
      <c r="E31" s="5">
        <v>1500</v>
      </c>
      <c r="G31" s="5">
        <v>750</v>
      </c>
      <c r="H31" s="5">
        <v>500</v>
      </c>
      <c r="I31" s="5">
        <v>0</v>
      </c>
      <c r="J31" s="5">
        <f t="shared" si="3"/>
        <v>2000</v>
      </c>
      <c r="K31" s="23">
        <f t="shared" si="4"/>
        <v>3978.05</v>
      </c>
      <c r="L31" s="59"/>
      <c r="M31" s="59"/>
      <c r="N31" s="59"/>
      <c r="O31" s="56"/>
      <c r="P31" s="56"/>
      <c r="Q31" s="56"/>
      <c r="R31" s="56"/>
    </row>
    <row r="32" spans="1:18" x14ac:dyDescent="0.25">
      <c r="A32" s="9">
        <f t="shared" si="2"/>
        <v>45177</v>
      </c>
      <c r="B32" s="5">
        <f t="shared" si="6"/>
        <v>0</v>
      </c>
      <c r="C32" s="5">
        <f t="shared" si="5"/>
        <v>0</v>
      </c>
      <c r="D32" s="5">
        <v>500</v>
      </c>
      <c r="F32" s="5">
        <v>348</v>
      </c>
      <c r="H32" s="5">
        <v>500</v>
      </c>
      <c r="I32" s="5">
        <v>0</v>
      </c>
      <c r="J32" s="5">
        <f t="shared" si="3"/>
        <v>2000</v>
      </c>
      <c r="K32" s="23">
        <f t="shared" si="4"/>
        <v>5130.05</v>
      </c>
      <c r="L32" s="59"/>
      <c r="M32" s="59"/>
      <c r="N32" s="59"/>
      <c r="O32" s="56"/>
      <c r="P32" s="56"/>
      <c r="Q32" s="56"/>
      <c r="R32" s="56"/>
    </row>
    <row r="33" spans="1:18" x14ac:dyDescent="0.25">
      <c r="A33" s="9">
        <f t="shared" si="2"/>
        <v>45191</v>
      </c>
      <c r="B33" s="5">
        <f t="shared" si="6"/>
        <v>0</v>
      </c>
      <c r="C33" s="5">
        <f t="shared" si="5"/>
        <v>0</v>
      </c>
      <c r="D33" s="5">
        <v>500</v>
      </c>
      <c r="E33" s="5">
        <v>1500</v>
      </c>
      <c r="G33" s="5">
        <v>750</v>
      </c>
      <c r="H33" s="5">
        <v>500</v>
      </c>
      <c r="I33" s="5">
        <v>0</v>
      </c>
      <c r="J33" s="5">
        <f t="shared" si="3"/>
        <v>2000</v>
      </c>
      <c r="K33" s="23">
        <f t="shared" si="4"/>
        <v>4380.05</v>
      </c>
      <c r="L33" s="59"/>
      <c r="M33" s="59"/>
      <c r="N33" s="59"/>
      <c r="O33" s="56"/>
      <c r="P33" s="56"/>
      <c r="Q33" s="56"/>
      <c r="R33" s="56"/>
    </row>
    <row r="34" spans="1:18" x14ac:dyDescent="0.25">
      <c r="A34" s="9">
        <f t="shared" si="2"/>
        <v>45205</v>
      </c>
      <c r="B34" s="5">
        <f t="shared" si="6"/>
        <v>0</v>
      </c>
      <c r="C34" s="5">
        <f t="shared" si="5"/>
        <v>0</v>
      </c>
      <c r="D34" s="5">
        <v>500</v>
      </c>
      <c r="F34" s="5">
        <v>348</v>
      </c>
      <c r="H34" s="5">
        <v>500</v>
      </c>
      <c r="I34" s="5">
        <v>0</v>
      </c>
      <c r="J34" s="5">
        <f t="shared" si="3"/>
        <v>2000</v>
      </c>
      <c r="K34" s="23">
        <f t="shared" si="4"/>
        <v>5532.05</v>
      </c>
      <c r="L34" s="59"/>
      <c r="M34" s="59"/>
      <c r="N34" s="59"/>
      <c r="O34" s="56"/>
      <c r="P34" s="56"/>
      <c r="Q34" s="56"/>
      <c r="R34" s="56"/>
    </row>
    <row r="35" spans="1:18" x14ac:dyDescent="0.25">
      <c r="A35" s="9">
        <f t="shared" si="2"/>
        <v>45219</v>
      </c>
      <c r="B35" s="5">
        <f t="shared" si="6"/>
        <v>0</v>
      </c>
      <c r="C35" s="5">
        <f t="shared" si="5"/>
        <v>0</v>
      </c>
      <c r="D35" s="5">
        <v>500</v>
      </c>
      <c r="E35" s="5">
        <v>1500</v>
      </c>
      <c r="G35" s="5">
        <v>750</v>
      </c>
      <c r="H35" s="5">
        <v>500</v>
      </c>
      <c r="I35" s="5">
        <v>0</v>
      </c>
      <c r="J35" s="5">
        <f t="shared" si="3"/>
        <v>2000</v>
      </c>
      <c r="K35" s="23">
        <f t="shared" si="4"/>
        <v>4782.05</v>
      </c>
      <c r="L35" s="59"/>
      <c r="M35" s="59"/>
      <c r="N35" s="59"/>
      <c r="O35" s="56"/>
      <c r="P35" s="56"/>
      <c r="Q35" s="56"/>
      <c r="R35" s="56"/>
    </row>
    <row r="36" spans="1:18" x14ac:dyDescent="0.25">
      <c r="A36" s="9">
        <f t="shared" si="2"/>
        <v>45233</v>
      </c>
      <c r="B36" s="5">
        <f t="shared" si="6"/>
        <v>0</v>
      </c>
      <c r="C36" s="5">
        <f t="shared" si="5"/>
        <v>0</v>
      </c>
      <c r="D36" s="5">
        <v>500</v>
      </c>
      <c r="F36" s="5">
        <v>348</v>
      </c>
      <c r="H36" s="5">
        <v>500</v>
      </c>
      <c r="I36" s="5">
        <v>0</v>
      </c>
      <c r="J36" s="5">
        <f t="shared" si="3"/>
        <v>2000</v>
      </c>
      <c r="K36" s="23">
        <f t="shared" si="4"/>
        <v>5934.05</v>
      </c>
      <c r="L36" s="59"/>
      <c r="M36" s="59"/>
      <c r="N36" s="59"/>
      <c r="O36" s="56"/>
      <c r="P36" s="56"/>
      <c r="Q36" s="56"/>
      <c r="R36" s="56"/>
    </row>
    <row r="37" spans="1:18" x14ac:dyDescent="0.25">
      <c r="A37" s="9">
        <f t="shared" si="2"/>
        <v>45247</v>
      </c>
      <c r="B37" s="5">
        <f t="shared" si="6"/>
        <v>0</v>
      </c>
      <c r="C37" s="5">
        <f t="shared" si="5"/>
        <v>0</v>
      </c>
      <c r="D37" s="5">
        <v>500</v>
      </c>
      <c r="E37" s="5">
        <v>1500</v>
      </c>
      <c r="G37" s="5">
        <v>750</v>
      </c>
      <c r="H37" s="5">
        <v>500</v>
      </c>
      <c r="I37" s="5">
        <v>0</v>
      </c>
      <c r="J37" s="5">
        <f t="shared" si="3"/>
        <v>2000</v>
      </c>
      <c r="K37" s="23">
        <f t="shared" si="4"/>
        <v>5184.05</v>
      </c>
      <c r="L37" s="59"/>
      <c r="M37" s="59"/>
      <c r="N37" s="59"/>
      <c r="O37" s="56"/>
      <c r="P37" s="56"/>
      <c r="Q37" s="56"/>
      <c r="R37" s="56"/>
    </row>
    <row r="38" spans="1:18" x14ac:dyDescent="0.25">
      <c r="A38" s="9">
        <f t="shared" si="2"/>
        <v>45261</v>
      </c>
      <c r="B38" s="5">
        <f t="shared" si="6"/>
        <v>0</v>
      </c>
      <c r="C38" s="5">
        <f t="shared" si="5"/>
        <v>0</v>
      </c>
      <c r="D38" s="5">
        <v>500</v>
      </c>
      <c r="H38" s="5">
        <v>500</v>
      </c>
      <c r="I38" s="5">
        <v>0</v>
      </c>
      <c r="J38" s="5">
        <f t="shared" si="3"/>
        <v>2000</v>
      </c>
      <c r="K38" s="23">
        <f t="shared" si="4"/>
        <v>6684.05</v>
      </c>
      <c r="L38" s="59"/>
      <c r="M38" s="59"/>
      <c r="N38" s="59"/>
      <c r="O38" s="56"/>
      <c r="P38" s="56"/>
      <c r="Q38" s="56"/>
      <c r="R38" s="56"/>
    </row>
    <row r="39" spans="1:18" x14ac:dyDescent="0.25">
      <c r="A39" s="9">
        <f t="shared" si="2"/>
        <v>45275</v>
      </c>
      <c r="B39" s="5">
        <f t="shared" si="6"/>
        <v>0</v>
      </c>
      <c r="C39" s="5">
        <f t="shared" si="5"/>
        <v>0</v>
      </c>
      <c r="D39" s="5">
        <v>500</v>
      </c>
      <c r="E39" s="5">
        <v>1500</v>
      </c>
      <c r="F39" s="5">
        <v>348</v>
      </c>
      <c r="H39" s="5">
        <v>500</v>
      </c>
      <c r="I39" s="5">
        <v>0</v>
      </c>
      <c r="J39" s="5">
        <f t="shared" si="3"/>
        <v>2000</v>
      </c>
      <c r="K39" s="23">
        <f t="shared" si="4"/>
        <v>6336.05</v>
      </c>
      <c r="L39" s="59"/>
      <c r="M39" s="59"/>
      <c r="N39" s="59"/>
      <c r="O39" s="56"/>
      <c r="P39" s="56"/>
      <c r="Q39" s="56"/>
      <c r="R39" s="56"/>
    </row>
    <row r="40" spans="1:18" x14ac:dyDescent="0.25">
      <c r="A40" s="9">
        <f t="shared" si="2"/>
        <v>45289</v>
      </c>
      <c r="B40" s="5">
        <f t="shared" si="6"/>
        <v>0</v>
      </c>
      <c r="C40" s="5">
        <f t="shared" si="5"/>
        <v>0</v>
      </c>
      <c r="D40" s="5">
        <v>500</v>
      </c>
      <c r="G40" s="5">
        <v>750</v>
      </c>
      <c r="H40" s="5">
        <v>500</v>
      </c>
      <c r="I40" s="5">
        <v>0</v>
      </c>
      <c r="J40" s="5">
        <f t="shared" si="3"/>
        <v>2000</v>
      </c>
      <c r="K40" s="23">
        <f t="shared" si="4"/>
        <v>7086.05</v>
      </c>
      <c r="L40" s="59"/>
      <c r="M40" s="59"/>
      <c r="N40" s="59"/>
      <c r="O40" s="56"/>
      <c r="P40" s="56"/>
      <c r="Q40" s="56"/>
      <c r="R40" s="56"/>
    </row>
    <row r="41" spans="1:18" x14ac:dyDescent="0.25">
      <c r="E41" s="5">
        <f>SUM(E2:E40)</f>
        <v>13500</v>
      </c>
      <c r="F41" s="5">
        <f t="shared" ref="F41:I41" si="7">SUM(F2:F40)</f>
        <v>5220</v>
      </c>
      <c r="G41" s="5">
        <f t="shared" si="7"/>
        <v>13073.34</v>
      </c>
      <c r="H41" s="5">
        <f t="shared" si="7"/>
        <v>18150</v>
      </c>
      <c r="I41" s="5">
        <f t="shared" si="7"/>
        <v>16970.61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Discover Data</vt:lpstr>
      <vt:lpstr>Discover Account</vt:lpstr>
      <vt:lpstr>Care Credit</vt:lpstr>
      <vt:lpstr>Best Buy</vt:lpstr>
      <vt:lpstr>Wells Fargo</vt:lpstr>
      <vt:lpstr>AMEX</vt:lpstr>
      <vt:lpstr>June Trips</vt:lpstr>
      <vt:lpstr>Accounts</vt:lpstr>
      <vt:lpstr>Category Summary</vt:lpstr>
      <vt:lpstr>Cat Sum</vt:lpstr>
      <vt:lpstr>People Summary</vt:lpstr>
      <vt:lpstr>Short Desc Summary</vt:lpstr>
      <vt:lpstr>Reoccuring</vt:lpstr>
      <vt:lpstr>The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Lewis</cp:lastModifiedBy>
  <dcterms:created xsi:type="dcterms:W3CDTF">2022-07-23T17:47:02Z</dcterms:created>
  <dcterms:modified xsi:type="dcterms:W3CDTF">2022-11-20T19:22:26Z</dcterms:modified>
</cp:coreProperties>
</file>