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n\Documents\Personal\Budget\"/>
    </mc:Choice>
  </mc:AlternateContent>
  <xr:revisionPtr revIDLastSave="0" documentId="13_ncr:1_{0A911E88-E79D-4657-B6BC-0B369CCD5467}" xr6:coauthVersionLast="47" xr6:coauthVersionMax="47" xr10:uidLastSave="{00000000-0000-0000-0000-000000000000}"/>
  <bookViews>
    <workbookView xWindow="-120" yWindow="-120" windowWidth="51840" windowHeight="21120" xr2:uid="{82C452B8-1BC9-4D5B-89CC-B664FB8E68ED}"/>
  </bookViews>
  <sheets>
    <sheet name="Pay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2" l="1"/>
  <c r="X6" i="2"/>
  <c r="X4" i="2"/>
  <c r="X3" i="2"/>
  <c r="X2" i="2"/>
  <c r="W6" i="2"/>
  <c r="Y6" i="2" s="1"/>
  <c r="V4" i="2"/>
  <c r="V6" i="2"/>
  <c r="V5" i="2"/>
  <c r="U6" i="2"/>
  <c r="L7" i="2"/>
  <c r="N6" i="2"/>
  <c r="M6" i="2"/>
  <c r="L6" i="2"/>
  <c r="O6" i="2" s="1"/>
  <c r="J7" i="2"/>
  <c r="I7" i="2"/>
  <c r="H7" i="2"/>
  <c r="G7" i="2"/>
  <c r="F7" i="2"/>
  <c r="E7" i="2"/>
  <c r="DM4" i="1"/>
  <c r="DN4" i="1"/>
  <c r="DO4" i="1"/>
  <c r="DM5" i="1"/>
  <c r="DN5" i="1"/>
  <c r="DO5" i="1"/>
  <c r="DB4" i="1"/>
  <c r="DC4" i="1"/>
  <c r="DD4" i="1"/>
  <c r="DE4" i="1"/>
  <c r="DF4" i="1"/>
  <c r="DG4" i="1"/>
  <c r="DH4" i="1"/>
  <c r="DI4" i="1"/>
  <c r="DJ4" i="1"/>
  <c r="DK4" i="1"/>
  <c r="DL4" i="1"/>
  <c r="DB5" i="1"/>
  <c r="DC5" i="1"/>
  <c r="DD5" i="1"/>
  <c r="DE5" i="1"/>
  <c r="DF5" i="1"/>
  <c r="DG5" i="1"/>
  <c r="DH5" i="1"/>
  <c r="DI5" i="1"/>
  <c r="DJ5" i="1"/>
  <c r="DK5" i="1"/>
  <c r="DL5" i="1"/>
  <c r="B6" i="2"/>
  <c r="K6" i="2" s="1"/>
  <c r="AH2" i="2"/>
  <c r="AG2" i="2"/>
  <c r="AG4" i="2"/>
  <c r="AG3" i="2"/>
  <c r="AD2" i="2"/>
  <c r="AD4" i="2"/>
  <c r="AD3" i="2"/>
  <c r="AD5" i="2"/>
  <c r="DP22" i="1"/>
  <c r="DP60" i="1"/>
  <c r="DQ60" i="1" s="1"/>
  <c r="DI42" i="1"/>
  <c r="CY44" i="1"/>
  <c r="DL52" i="1"/>
  <c r="DK58" i="1"/>
  <c r="DK56" i="1"/>
  <c r="DK55" i="1"/>
  <c r="DK53" i="1"/>
  <c r="DK52" i="1"/>
  <c r="DK51" i="1"/>
  <c r="DK48" i="1"/>
  <c r="DK47" i="1"/>
  <c r="DK46" i="1"/>
  <c r="DK45" i="1"/>
  <c r="DK44" i="1"/>
  <c r="DB58" i="1"/>
  <c r="DC58" i="1"/>
  <c r="DD58" i="1"/>
  <c r="DE58" i="1"/>
  <c r="DF58" i="1"/>
  <c r="DG58" i="1"/>
  <c r="DH58" i="1"/>
  <c r="DI58" i="1"/>
  <c r="DI23" i="1"/>
  <c r="DI48" i="1" s="1"/>
  <c r="DI44" i="1"/>
  <c r="DJ44" i="1"/>
  <c r="DI45" i="1"/>
  <c r="DJ45" i="1"/>
  <c r="DI46" i="1"/>
  <c r="DJ46" i="1"/>
  <c r="DJ47" i="1"/>
  <c r="DJ48" i="1"/>
  <c r="DB51" i="1"/>
  <c r="DB53" i="1" s="1"/>
  <c r="DC51" i="1"/>
  <c r="DD51" i="1"/>
  <c r="DE51" i="1"/>
  <c r="DF51" i="1"/>
  <c r="DG51" i="1"/>
  <c r="DH51" i="1"/>
  <c r="DI51" i="1"/>
  <c r="DJ51" i="1"/>
  <c r="DB52" i="1"/>
  <c r="DC52" i="1"/>
  <c r="DD52" i="1"/>
  <c r="DE52" i="1"/>
  <c r="DF52" i="1"/>
  <c r="DG52" i="1"/>
  <c r="DH52" i="1"/>
  <c r="DI52" i="1"/>
  <c r="DJ52" i="1"/>
  <c r="DC53" i="1"/>
  <c r="DD53" i="1"/>
  <c r="DE53" i="1"/>
  <c r="DF53" i="1"/>
  <c r="DG53" i="1"/>
  <c r="DH53" i="1"/>
  <c r="DI53" i="1"/>
  <c r="DJ53" i="1"/>
  <c r="CZ53" i="1"/>
  <c r="DA53" i="1"/>
  <c r="CZ47" i="1"/>
  <c r="DA47" i="1"/>
  <c r="CZ48" i="1"/>
  <c r="DA48" i="1"/>
  <c r="CZ51" i="1"/>
  <c r="DA51" i="1"/>
  <c r="CZ52" i="1"/>
  <c r="DA52" i="1"/>
  <c r="DJ56" i="1"/>
  <c r="DJ55" i="1"/>
  <c r="DJ58" i="1"/>
  <c r="DB23" i="1"/>
  <c r="DC23" i="1"/>
  <c r="DD23" i="1"/>
  <c r="DE23" i="1"/>
  <c r="DF23" i="1"/>
  <c r="DG23" i="1"/>
  <c r="DH23" i="1"/>
  <c r="DJ23" i="1"/>
  <c r="DK23" i="1"/>
  <c r="DK42" i="1" s="1"/>
  <c r="DM23" i="1"/>
  <c r="DM42" i="1" s="1"/>
  <c r="DN23" i="1"/>
  <c r="DN42" i="1" s="1"/>
  <c r="DO23" i="1"/>
  <c r="DO42" i="1" s="1"/>
  <c r="DJ42" i="1"/>
  <c r="DH1" i="1"/>
  <c r="DI1" i="1" s="1"/>
  <c r="DJ1" i="1" s="1"/>
  <c r="DK1" i="1" s="1"/>
  <c r="DL1" i="1" s="1"/>
  <c r="DM1" i="1" s="1"/>
  <c r="DN1" i="1" s="1"/>
  <c r="DO1" i="1" s="1"/>
  <c r="DH2" i="1"/>
  <c r="DI2" i="1"/>
  <c r="DH3" i="1"/>
  <c r="DA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23" i="1"/>
  <c r="CZ23" i="1"/>
  <c r="CU51" i="1"/>
  <c r="CY52" i="1"/>
  <c r="CX52" i="1"/>
  <c r="CU23" i="1"/>
  <c r="CU49" i="1" s="1"/>
  <c r="CR23" i="1"/>
  <c r="CR42" i="1" s="1"/>
  <c r="CP23" i="1"/>
  <c r="CP42" i="1" s="1"/>
  <c r="CP51" i="1"/>
  <c r="CP52" i="1"/>
  <c r="CW52" i="1"/>
  <c r="CW51" i="1"/>
  <c r="CW23" i="1"/>
  <c r="CW49" i="1" s="1"/>
  <c r="CV52" i="1"/>
  <c r="CV51" i="1"/>
  <c r="CV23" i="1"/>
  <c r="CV49" i="1" s="1"/>
  <c r="CU52" i="1"/>
  <c r="CT52" i="1"/>
  <c r="CT51" i="1"/>
  <c r="CT23" i="1"/>
  <c r="CT50" i="1" s="1"/>
  <c r="CS52" i="1"/>
  <c r="CS51" i="1"/>
  <c r="CS53" i="1" s="1"/>
  <c r="CS23" i="1"/>
  <c r="CS48" i="1" s="1"/>
  <c r="CR52" i="1"/>
  <c r="CR51" i="1"/>
  <c r="CR53" i="1" s="1"/>
  <c r="G6" i="2"/>
  <c r="H4" i="2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Q51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Q52" i="1"/>
  <c r="BA61" i="1"/>
  <c r="AZ61" i="1"/>
  <c r="AY61" i="1"/>
  <c r="AX61" i="1"/>
  <c r="AW61" i="1"/>
  <c r="AV61" i="1"/>
  <c r="AA61" i="1"/>
  <c r="AB61" i="1"/>
  <c r="Z61" i="1"/>
  <c r="Y61" i="1"/>
  <c r="X61" i="1"/>
  <c r="W61" i="1"/>
  <c r="V61" i="1"/>
  <c r="U61" i="1"/>
  <c r="T61" i="1"/>
  <c r="R7" i="2"/>
  <c r="P7" i="2"/>
  <c r="Q7" i="2"/>
  <c r="S7" i="2"/>
  <c r="AG61" i="1"/>
  <c r="S61" i="1"/>
  <c r="R61" i="1"/>
  <c r="Q51" i="1"/>
  <c r="R51" i="1"/>
  <c r="Q61" i="1"/>
  <c r="Q15" i="1"/>
  <c r="Q23" i="1" s="1"/>
  <c r="Q42" i="1" s="1"/>
  <c r="AD12" i="2"/>
  <c r="AG12" i="2" s="1"/>
  <c r="AB12" i="2"/>
  <c r="AD9" i="2"/>
  <c r="AG9" i="2" s="1"/>
  <c r="AB9" i="2"/>
  <c r="AD6" i="2"/>
  <c r="AG6" i="2" s="1"/>
  <c r="AE5" i="2"/>
  <c r="AG5" i="2"/>
  <c r="AE7" i="2"/>
  <c r="AE8" i="2" s="1"/>
  <c r="AE9" i="2" s="1"/>
  <c r="AD8" i="2"/>
  <c r="AG8" i="2" s="1"/>
  <c r="AD7" i="2"/>
  <c r="AG7" i="2" s="1"/>
  <c r="AE10" i="2"/>
  <c r="AE11" i="2" s="1"/>
  <c r="AE12" i="2" s="1"/>
  <c r="AD11" i="2"/>
  <c r="AG11" i="2" s="1"/>
  <c r="AD10" i="2"/>
  <c r="AG10" i="2" s="1"/>
  <c r="AD13" i="2"/>
  <c r="AG13" i="2" s="1"/>
  <c r="AD14" i="2"/>
  <c r="AG14" i="2" s="1"/>
  <c r="P61" i="1"/>
  <c r="O61" i="1"/>
  <c r="N61" i="1"/>
  <c r="M61" i="1"/>
  <c r="L61" i="1"/>
  <c r="K61" i="1"/>
  <c r="J61" i="1"/>
  <c r="B2" i="1"/>
  <c r="C2" i="1" s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U5" i="1" s="1"/>
  <c r="C1" i="1"/>
  <c r="A2" i="2"/>
  <c r="B4" i="1"/>
  <c r="CQ23" i="1"/>
  <c r="AC61" i="1"/>
  <c r="AD61" i="1"/>
  <c r="AE61" i="1"/>
  <c r="AF61" i="1"/>
  <c r="AH61" i="1"/>
  <c r="AI61" i="1"/>
  <c r="AJ61" i="1"/>
  <c r="AK61" i="1"/>
  <c r="AL61" i="1"/>
  <c r="AM61" i="1"/>
  <c r="AN61" i="1"/>
  <c r="AO61" i="1"/>
  <c r="AP61" i="1"/>
  <c r="AT61" i="1"/>
  <c r="BY23" i="1"/>
  <c r="BY42" i="1" s="1"/>
  <c r="BZ23" i="1"/>
  <c r="BZ42" i="1" s="1"/>
  <c r="CA23" i="1"/>
  <c r="CA42" i="1" s="1"/>
  <c r="CB23" i="1"/>
  <c r="CB42" i="1" s="1"/>
  <c r="CC23" i="1"/>
  <c r="CC42" i="1" s="1"/>
  <c r="CD23" i="1"/>
  <c r="CD42" i="1" s="1"/>
  <c r="CE23" i="1"/>
  <c r="CE42" i="1" s="1"/>
  <c r="CF23" i="1"/>
  <c r="CF42" i="1" s="1"/>
  <c r="CG23" i="1"/>
  <c r="CG42" i="1" s="1"/>
  <c r="CH23" i="1"/>
  <c r="CH42" i="1" s="1"/>
  <c r="CI23" i="1"/>
  <c r="CI42" i="1" s="1"/>
  <c r="CJ23" i="1"/>
  <c r="CJ42" i="1" s="1"/>
  <c r="CK23" i="1"/>
  <c r="CK42" i="1" s="1"/>
  <c r="CL23" i="1"/>
  <c r="CL42" i="1" s="1"/>
  <c r="CM23" i="1"/>
  <c r="CM42" i="1" s="1"/>
  <c r="CN23" i="1"/>
  <c r="CN42" i="1" s="1"/>
  <c r="CO23" i="1"/>
  <c r="CO42" i="1" s="1"/>
  <c r="BX23" i="1"/>
  <c r="BX42" i="1" s="1"/>
  <c r="BW23" i="1"/>
  <c r="BW42" i="1" s="1"/>
  <c r="BQ58" i="1"/>
  <c r="BP58" i="1"/>
  <c r="BM11" i="1"/>
  <c r="BL11" i="1"/>
  <c r="BK11" i="1"/>
  <c r="BJ11" i="1"/>
  <c r="BI11" i="1"/>
  <c r="AX51" i="1"/>
  <c r="AX52" i="1"/>
  <c r="AV51" i="1"/>
  <c r="AW51" i="1"/>
  <c r="AY51" i="1"/>
  <c r="AZ51" i="1"/>
  <c r="BA51" i="1"/>
  <c r="BB51" i="1"/>
  <c r="BC51" i="1"/>
  <c r="BD51" i="1"/>
  <c r="BE51" i="1"/>
  <c r="BF51" i="1"/>
  <c r="BG51" i="1"/>
  <c r="BH51" i="1"/>
  <c r="AV52" i="1"/>
  <c r="AW52" i="1"/>
  <c r="AY52" i="1"/>
  <c r="AZ52" i="1"/>
  <c r="BA52" i="1"/>
  <c r="BB52" i="1"/>
  <c r="BC52" i="1"/>
  <c r="BD52" i="1"/>
  <c r="BE52" i="1"/>
  <c r="BF52" i="1"/>
  <c r="BG52" i="1"/>
  <c r="BH52" i="1"/>
  <c r="AU51" i="1"/>
  <c r="AU52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AQ58" i="1"/>
  <c r="AS61" i="1"/>
  <c r="AR61" i="1"/>
  <c r="AQ61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BH23" i="1"/>
  <c r="BH44" i="1" s="1"/>
  <c r="BG23" i="1"/>
  <c r="BG42" i="1" s="1"/>
  <c r="BG55" i="1" s="1"/>
  <c r="BF23" i="1"/>
  <c r="BF48" i="1" s="1"/>
  <c r="BE23" i="1"/>
  <c r="BE47" i="1" s="1"/>
  <c r="BD23" i="1"/>
  <c r="BD42" i="1" s="1"/>
  <c r="BC23" i="1"/>
  <c r="BC45" i="1" s="1"/>
  <c r="BB23" i="1"/>
  <c r="BB47" i="1" s="1"/>
  <c r="BA23" i="1"/>
  <c r="BA46" i="1" s="1"/>
  <c r="AZ23" i="1"/>
  <c r="AZ50" i="1" s="1"/>
  <c r="AY23" i="1"/>
  <c r="AY46" i="1" s="1"/>
  <c r="AX23" i="1"/>
  <c r="AX44" i="1" s="1"/>
  <c r="AW23" i="1"/>
  <c r="AW45" i="1" s="1"/>
  <c r="AV23" i="1"/>
  <c r="AV50" i="1" s="1"/>
  <c r="AU23" i="1"/>
  <c r="AU46" i="1" s="1"/>
  <c r="AT23" i="1"/>
  <c r="AT42" i="1" s="1"/>
  <c r="AS23" i="1"/>
  <c r="AS44" i="1" s="1"/>
  <c r="AR23" i="1"/>
  <c r="AR44" i="1" s="1"/>
  <c r="AQ23" i="1"/>
  <c r="AQ50" i="1" s="1"/>
  <c r="AP23" i="1"/>
  <c r="AP50" i="1" s="1"/>
  <c r="AO23" i="1"/>
  <c r="AO50" i="1" s="1"/>
  <c r="AN23" i="1"/>
  <c r="AN49" i="1" s="1"/>
  <c r="AM23" i="1"/>
  <c r="AM49" i="1" s="1"/>
  <c r="AL23" i="1"/>
  <c r="AL49" i="1" s="1"/>
  <c r="AK23" i="1"/>
  <c r="AK48" i="1" s="1"/>
  <c r="AJ23" i="1"/>
  <c r="AJ48" i="1" s="1"/>
  <c r="AI23" i="1"/>
  <c r="AI47" i="1" s="1"/>
  <c r="AH23" i="1"/>
  <c r="AH47" i="1" s="1"/>
  <c r="AG23" i="1"/>
  <c r="AG46" i="1" s="1"/>
  <c r="AF23" i="1"/>
  <c r="AF46" i="1" s="1"/>
  <c r="AE23" i="1"/>
  <c r="AE45" i="1" s="1"/>
  <c r="AD23" i="1"/>
  <c r="AD42" i="1" s="1"/>
  <c r="AC23" i="1"/>
  <c r="AC44" i="1" s="1"/>
  <c r="AB23" i="1"/>
  <c r="AB44" i="1" s="1"/>
  <c r="AA23" i="1"/>
  <c r="AA44" i="1" s="1"/>
  <c r="Z23" i="1"/>
  <c r="Z44" i="1" s="1"/>
  <c r="Y23" i="1"/>
  <c r="Y44" i="1" s="1"/>
  <c r="X23" i="1"/>
  <c r="X42" i="1" s="1"/>
  <c r="W23" i="1"/>
  <c r="W44" i="1" s="1"/>
  <c r="V23" i="1"/>
  <c r="V44" i="1" s="1"/>
  <c r="U23" i="1"/>
  <c r="U48" i="1" s="1"/>
  <c r="T23" i="1"/>
  <c r="T48" i="1" s="1"/>
  <c r="S23" i="1"/>
  <c r="S47" i="1" s="1"/>
  <c r="R23" i="1"/>
  <c r="R47" i="1" s="1"/>
  <c r="P23" i="1"/>
  <c r="P46" i="1" s="1"/>
  <c r="O23" i="1"/>
  <c r="O45" i="1" s="1"/>
  <c r="N23" i="1"/>
  <c r="N42" i="1" s="1"/>
  <c r="M23" i="1"/>
  <c r="M44" i="1" s="1"/>
  <c r="L23" i="1"/>
  <c r="L42" i="1" s="1"/>
  <c r="K23" i="1"/>
  <c r="K44" i="1" s="1"/>
  <c r="J23" i="1"/>
  <c r="J44" i="1" s="1"/>
  <c r="I23" i="1"/>
  <c r="I44" i="1" s="1"/>
  <c r="H23" i="1"/>
  <c r="H42" i="1" s="1"/>
  <c r="G23" i="1"/>
  <c r="G44" i="1" s="1"/>
  <c r="F23" i="1"/>
  <c r="F44" i="1" s="1"/>
  <c r="E23" i="1"/>
  <c r="E48" i="1" s="1"/>
  <c r="D23" i="1"/>
  <c r="D48" i="1" s="1"/>
  <c r="C23" i="1"/>
  <c r="C47" i="1" s="1"/>
  <c r="B23" i="1"/>
  <c r="B47" i="1" s="1"/>
  <c r="AH13" i="2" l="1"/>
  <c r="AE6" i="2"/>
  <c r="B2" i="2" s="1"/>
  <c r="DB44" i="1"/>
  <c r="DB45" i="1"/>
  <c r="DB46" i="1"/>
  <c r="DB47" i="1"/>
  <c r="DB48" i="1"/>
  <c r="DB42" i="1"/>
  <c r="DC44" i="1"/>
  <c r="DC45" i="1"/>
  <c r="DC46" i="1"/>
  <c r="DC47" i="1"/>
  <c r="DC48" i="1"/>
  <c r="DC42" i="1"/>
  <c r="DD44" i="1"/>
  <c r="DD45" i="1"/>
  <c r="DD46" i="1"/>
  <c r="DD47" i="1"/>
  <c r="DD48" i="1"/>
  <c r="DD42" i="1"/>
  <c r="DE44" i="1"/>
  <c r="DE45" i="1"/>
  <c r="DE46" i="1"/>
  <c r="DE47" i="1"/>
  <c r="DE48" i="1"/>
  <c r="DE42" i="1"/>
  <c r="DF44" i="1"/>
  <c r="DF45" i="1"/>
  <c r="DF42" i="1"/>
  <c r="DF46" i="1"/>
  <c r="DF47" i="1"/>
  <c r="DF48" i="1"/>
  <c r="DG44" i="1"/>
  <c r="DG45" i="1"/>
  <c r="DG42" i="1"/>
  <c r="DG55" i="1" s="1"/>
  <c r="DG46" i="1"/>
  <c r="DG47" i="1"/>
  <c r="DG48" i="1"/>
  <c r="DG56" i="1"/>
  <c r="DH44" i="1"/>
  <c r="DH45" i="1"/>
  <c r="DH46" i="1"/>
  <c r="DH47" i="1"/>
  <c r="DH42" i="1"/>
  <c r="DH48" i="1"/>
  <c r="DI55" i="1"/>
  <c r="DI56" i="1"/>
  <c r="DI47" i="1"/>
  <c r="DJ2" i="1"/>
  <c r="DI3" i="1"/>
  <c r="CJ53" i="1"/>
  <c r="CI53" i="1"/>
  <c r="BX53" i="1"/>
  <c r="BY53" i="1"/>
  <c r="BZ53" i="1"/>
  <c r="CN53" i="1"/>
  <c r="CO53" i="1"/>
  <c r="BW53" i="1"/>
  <c r="CY23" i="1"/>
  <c r="CQ44" i="1"/>
  <c r="BT52" i="1"/>
  <c r="BT58" i="1"/>
  <c r="BS52" i="1"/>
  <c r="BS58" i="1"/>
  <c r="BR51" i="1"/>
  <c r="BR58" i="1"/>
  <c r="CY51" i="1"/>
  <c r="CY53" i="1" s="1"/>
  <c r="CX23" i="1"/>
  <c r="CX51" i="1"/>
  <c r="CX53" i="1" s="1"/>
  <c r="CO48" i="1"/>
  <c r="BX48" i="1"/>
  <c r="CN46" i="1"/>
  <c r="BX46" i="1"/>
  <c r="BW46" i="1"/>
  <c r="CO49" i="1"/>
  <c r="CO45" i="1"/>
  <c r="CN45" i="1"/>
  <c r="Q53" i="1"/>
  <c r="CF53" i="1"/>
  <c r="Q5" i="1"/>
  <c r="O5" i="1"/>
  <c r="CP53" i="1"/>
  <c r="K5" i="1"/>
  <c r="N5" i="1"/>
  <c r="L5" i="1"/>
  <c r="BN5" i="1"/>
  <c r="BX45" i="1"/>
  <c r="M5" i="1"/>
  <c r="BK5" i="1"/>
  <c r="BJ5" i="1"/>
  <c r="CA53" i="1"/>
  <c r="CR50" i="1"/>
  <c r="BZ46" i="1"/>
  <c r="BO5" i="1"/>
  <c r="AN53" i="1"/>
  <c r="BY46" i="1"/>
  <c r="BM5" i="1"/>
  <c r="P5" i="1"/>
  <c r="I5" i="1"/>
  <c r="BS51" i="1"/>
  <c r="BL5" i="1"/>
  <c r="N53" i="1"/>
  <c r="AQ5" i="1"/>
  <c r="AO5" i="1"/>
  <c r="AN5" i="1"/>
  <c r="AM5" i="1"/>
  <c r="CO50" i="1"/>
  <c r="AM53" i="1"/>
  <c r="BI5" i="1"/>
  <c r="P53" i="1"/>
  <c r="S5" i="1"/>
  <c r="BR52" i="1"/>
  <c r="CN50" i="1"/>
  <c r="BH5" i="1"/>
  <c r="O53" i="1"/>
  <c r="AP5" i="1"/>
  <c r="BT51" i="1"/>
  <c r="R5" i="1"/>
  <c r="BX50" i="1"/>
  <c r="AD53" i="1"/>
  <c r="BW50" i="1"/>
  <c r="BW45" i="1"/>
  <c r="AE53" i="1"/>
  <c r="BY45" i="1"/>
  <c r="CN49" i="1"/>
  <c r="CO44" i="1"/>
  <c r="CG53" i="1"/>
  <c r="BY49" i="1"/>
  <c r="CN44" i="1"/>
  <c r="BX49" i="1"/>
  <c r="BW44" i="1"/>
  <c r="CP46" i="1"/>
  <c r="BZ50" i="1"/>
  <c r="M53" i="1"/>
  <c r="AZ53" i="1"/>
  <c r="CE53" i="1"/>
  <c r="BW49" i="1"/>
  <c r="CP45" i="1"/>
  <c r="CN48" i="1"/>
  <c r="CA50" i="1"/>
  <c r="F53" i="1"/>
  <c r="AF53" i="1"/>
  <c r="BY50" i="1"/>
  <c r="AW53" i="1"/>
  <c r="AV53" i="1"/>
  <c r="AL5" i="1"/>
  <c r="BY47" i="1"/>
  <c r="CO47" i="1"/>
  <c r="CN47" i="1"/>
  <c r="AK5" i="1"/>
  <c r="BX47" i="1"/>
  <c r="AY53" i="1"/>
  <c r="AO53" i="1"/>
  <c r="BW48" i="1"/>
  <c r="AJ5" i="1"/>
  <c r="BW47" i="1"/>
  <c r="AI5" i="1"/>
  <c r="CO46" i="1"/>
  <c r="CT53" i="1"/>
  <c r="AX53" i="1"/>
  <c r="CQ48" i="1"/>
  <c r="CQ47" i="1"/>
  <c r="CQ45" i="1"/>
  <c r="T53" i="1"/>
  <c r="CQ46" i="1"/>
  <c r="CM44" i="1"/>
  <c r="BF5" i="1"/>
  <c r="AH5" i="1"/>
  <c r="J5" i="1"/>
  <c r="CQ53" i="1"/>
  <c r="CM48" i="1"/>
  <c r="CL44" i="1"/>
  <c r="CM49" i="1"/>
  <c r="CL48" i="1"/>
  <c r="CM47" i="1"/>
  <c r="CM45" i="1"/>
  <c r="CK44" i="1"/>
  <c r="W53" i="1"/>
  <c r="R53" i="1"/>
  <c r="BD5" i="1"/>
  <c r="AF5" i="1"/>
  <c r="H5" i="1"/>
  <c r="CL49" i="1"/>
  <c r="CK48" i="1"/>
  <c r="CL47" i="1"/>
  <c r="CM46" i="1"/>
  <c r="CL45" i="1"/>
  <c r="CJ44" i="1"/>
  <c r="Z53" i="1"/>
  <c r="AA53" i="1"/>
  <c r="BC5" i="1"/>
  <c r="AE5" i="1"/>
  <c r="G5" i="1"/>
  <c r="CM53" i="1"/>
  <c r="CM50" i="1"/>
  <c r="CK49" i="1"/>
  <c r="CJ48" i="1"/>
  <c r="CK47" i="1"/>
  <c r="CL46" i="1"/>
  <c r="CK45" i="1"/>
  <c r="CI44" i="1"/>
  <c r="AR53" i="1"/>
  <c r="AG5" i="1"/>
  <c r="B53" i="1"/>
  <c r="AB53" i="1"/>
  <c r="BB5" i="1"/>
  <c r="AD5" i="1"/>
  <c r="F5" i="1"/>
  <c r="CL53" i="1"/>
  <c r="CL50" i="1"/>
  <c r="CJ49" i="1"/>
  <c r="CI48" i="1"/>
  <c r="CJ47" i="1"/>
  <c r="CK46" i="1"/>
  <c r="CJ45" i="1"/>
  <c r="CH44" i="1"/>
  <c r="X53" i="1"/>
  <c r="Y53" i="1"/>
  <c r="C53" i="1"/>
  <c r="AC53" i="1"/>
  <c r="BA5" i="1"/>
  <c r="AC5" i="1"/>
  <c r="E5" i="1"/>
  <c r="CK53" i="1"/>
  <c r="CK50" i="1"/>
  <c r="CI49" i="1"/>
  <c r="CH48" i="1"/>
  <c r="CI47" i="1"/>
  <c r="CJ46" i="1"/>
  <c r="CI45" i="1"/>
  <c r="CG44" i="1"/>
  <c r="AZ5" i="1"/>
  <c r="AB5" i="1"/>
  <c r="D5" i="1"/>
  <c r="CJ50" i="1"/>
  <c r="CH49" i="1"/>
  <c r="CG48" i="1"/>
  <c r="CH47" i="1"/>
  <c r="CI46" i="1"/>
  <c r="CH45" i="1"/>
  <c r="CF44" i="1"/>
  <c r="AU53" i="1"/>
  <c r="AT53" i="1"/>
  <c r="AY5" i="1"/>
  <c r="AA5" i="1"/>
  <c r="C5" i="1"/>
  <c r="CI50" i="1"/>
  <c r="CG49" i="1"/>
  <c r="CF48" i="1"/>
  <c r="CG47" i="1"/>
  <c r="CH46" i="1"/>
  <c r="CG45" i="1"/>
  <c r="CE44" i="1"/>
  <c r="AS53" i="1"/>
  <c r="BG53" i="1"/>
  <c r="AX5" i="1"/>
  <c r="Z5" i="1"/>
  <c r="CH53" i="1"/>
  <c r="CH50" i="1"/>
  <c r="CF49" i="1"/>
  <c r="CE48" i="1"/>
  <c r="CF47" i="1"/>
  <c r="CG46" i="1"/>
  <c r="CF45" i="1"/>
  <c r="CD44" i="1"/>
  <c r="BF53" i="1"/>
  <c r="Y5" i="1"/>
  <c r="CG50" i="1"/>
  <c r="CE49" i="1"/>
  <c r="CD48" i="1"/>
  <c r="CE47" i="1"/>
  <c r="CF46" i="1"/>
  <c r="CE45" i="1"/>
  <c r="CC44" i="1"/>
  <c r="CF50" i="1"/>
  <c r="CD49" i="1"/>
  <c r="CC48" i="1"/>
  <c r="CD47" i="1"/>
  <c r="CE46" i="1"/>
  <c r="CD45" i="1"/>
  <c r="CB44" i="1"/>
  <c r="S53" i="1"/>
  <c r="U53" i="1"/>
  <c r="BG5" i="1"/>
  <c r="D53" i="1"/>
  <c r="BD53" i="1"/>
  <c r="CE50" i="1"/>
  <c r="CC49" i="1"/>
  <c r="CB48" i="1"/>
  <c r="CC47" i="1"/>
  <c r="CD46" i="1"/>
  <c r="CC45" i="1"/>
  <c r="CA44" i="1"/>
  <c r="AP53" i="1"/>
  <c r="AW5" i="1"/>
  <c r="BE53" i="1"/>
  <c r="BT5" i="1"/>
  <c r="X5" i="1"/>
  <c r="I53" i="1"/>
  <c r="BS5" i="1"/>
  <c r="J53" i="1"/>
  <c r="AJ53" i="1"/>
  <c r="BC53" i="1"/>
  <c r="BR5" i="1"/>
  <c r="AT5" i="1"/>
  <c r="V5" i="1"/>
  <c r="CD53" i="1"/>
  <c r="CD50" i="1"/>
  <c r="CB49" i="1"/>
  <c r="CA48" i="1"/>
  <c r="CB47" i="1"/>
  <c r="CC46" i="1"/>
  <c r="CB45" i="1"/>
  <c r="BZ44" i="1"/>
  <c r="V53" i="1"/>
  <c r="BH53" i="1"/>
  <c r="G53" i="1"/>
  <c r="H53" i="1"/>
  <c r="AI53" i="1"/>
  <c r="W5" i="1"/>
  <c r="K53" i="1"/>
  <c r="AK53" i="1"/>
  <c r="BB53" i="1"/>
  <c r="BQ5" i="1"/>
  <c r="AS5" i="1"/>
  <c r="U5" i="1"/>
  <c r="CC53" i="1"/>
  <c r="CC50" i="1"/>
  <c r="CA49" i="1"/>
  <c r="BZ48" i="1"/>
  <c r="CA47" i="1"/>
  <c r="CB46" i="1"/>
  <c r="CA45" i="1"/>
  <c r="BY44" i="1"/>
  <c r="AQ53" i="1"/>
  <c r="BE5" i="1"/>
  <c r="E53" i="1"/>
  <c r="AG53" i="1"/>
  <c r="AH53" i="1"/>
  <c r="B5" i="1"/>
  <c r="AV5" i="1"/>
  <c r="AU5" i="1"/>
  <c r="L53" i="1"/>
  <c r="AL53" i="1"/>
  <c r="BA53" i="1"/>
  <c r="BP5" i="1"/>
  <c r="AR5" i="1"/>
  <c r="T5" i="1"/>
  <c r="CB53" i="1"/>
  <c r="CB50" i="1"/>
  <c r="BZ49" i="1"/>
  <c r="BY48" i="1"/>
  <c r="BZ47" i="1"/>
  <c r="CA46" i="1"/>
  <c r="BZ45" i="1"/>
  <c r="BX44" i="1"/>
  <c r="CW53" i="1"/>
  <c r="CV53" i="1"/>
  <c r="CU53" i="1"/>
  <c r="CP56" i="1"/>
  <c r="CP55" i="1"/>
  <c r="CP50" i="1"/>
  <c r="CP49" i="1"/>
  <c r="CP48" i="1"/>
  <c r="CP47" i="1"/>
  <c r="CP44" i="1"/>
  <c r="CW42" i="1"/>
  <c r="CW44" i="1"/>
  <c r="CW45" i="1"/>
  <c r="CW48" i="1"/>
  <c r="CW50" i="1"/>
  <c r="CW46" i="1"/>
  <c r="CW47" i="1"/>
  <c r="CV42" i="1"/>
  <c r="CV44" i="1"/>
  <c r="CV46" i="1"/>
  <c r="CV45" i="1"/>
  <c r="CV48" i="1"/>
  <c r="CV50" i="1"/>
  <c r="CV47" i="1"/>
  <c r="CU42" i="1"/>
  <c r="CU44" i="1"/>
  <c r="CU46" i="1"/>
  <c r="CU50" i="1"/>
  <c r="CU45" i="1"/>
  <c r="CU47" i="1"/>
  <c r="CU48" i="1"/>
  <c r="CT44" i="1"/>
  <c r="CT45" i="1"/>
  <c r="CT42" i="1"/>
  <c r="CT49" i="1"/>
  <c r="CT46" i="1"/>
  <c r="CT47" i="1"/>
  <c r="CT48" i="1"/>
  <c r="CS42" i="1"/>
  <c r="CS44" i="1"/>
  <c r="CS45" i="1"/>
  <c r="CS46" i="1"/>
  <c r="CS47" i="1"/>
  <c r="CS50" i="1"/>
  <c r="CS49" i="1"/>
  <c r="CR44" i="1"/>
  <c r="CR45" i="1"/>
  <c r="CR46" i="1"/>
  <c r="CR47" i="1"/>
  <c r="CR48" i="1"/>
  <c r="CR49" i="1"/>
  <c r="CQ49" i="1"/>
  <c r="CQ50" i="1"/>
  <c r="AH5" i="2"/>
  <c r="AH10" i="2"/>
  <c r="AH7" i="2"/>
  <c r="B4" i="2" s="1"/>
  <c r="K4" i="2" s="1"/>
  <c r="D1" i="1"/>
  <c r="C4" i="1"/>
  <c r="CQ42" i="1"/>
  <c r="BS23" i="1"/>
  <c r="BR23" i="1"/>
  <c r="BP23" i="1"/>
  <c r="BO23" i="1"/>
  <c r="BM23" i="1"/>
  <c r="BL23" i="1"/>
  <c r="BK51" i="1"/>
  <c r="BI23" i="1"/>
  <c r="BX55" i="1"/>
  <c r="BX56" i="1"/>
  <c r="BY55" i="1"/>
  <c r="BY56" i="1"/>
  <c r="BZ55" i="1"/>
  <c r="BZ56" i="1"/>
  <c r="CA55" i="1"/>
  <c r="CA56" i="1"/>
  <c r="CB55" i="1"/>
  <c r="CB56" i="1"/>
  <c r="CC55" i="1"/>
  <c r="CC56" i="1"/>
  <c r="CD55" i="1"/>
  <c r="CD56" i="1"/>
  <c r="CE55" i="1"/>
  <c r="CE56" i="1"/>
  <c r="CF55" i="1"/>
  <c r="CF56" i="1"/>
  <c r="CG55" i="1"/>
  <c r="CG56" i="1"/>
  <c r="CH55" i="1"/>
  <c r="CH56" i="1"/>
  <c r="CI55" i="1"/>
  <c r="CI56" i="1"/>
  <c r="CJ55" i="1"/>
  <c r="CJ56" i="1"/>
  <c r="CK55" i="1"/>
  <c r="CK56" i="1"/>
  <c r="CL55" i="1"/>
  <c r="CL56" i="1"/>
  <c r="CM55" i="1"/>
  <c r="CM56" i="1"/>
  <c r="CN55" i="1"/>
  <c r="CN56" i="1"/>
  <c r="CO55" i="1"/>
  <c r="CO56" i="1"/>
  <c r="BW55" i="1"/>
  <c r="BW56" i="1"/>
  <c r="BN23" i="1"/>
  <c r="BN58" i="1"/>
  <c r="BU3" i="1"/>
  <c r="BV2" i="1"/>
  <c r="BV5" i="1" s="1"/>
  <c r="BL3" i="1"/>
  <c r="AV3" i="1"/>
  <c r="AF3" i="1"/>
  <c r="P3" i="1"/>
  <c r="BM3" i="1"/>
  <c r="BK3" i="1"/>
  <c r="AU3" i="1"/>
  <c r="AE3" i="1"/>
  <c r="O3" i="1"/>
  <c r="BT23" i="1"/>
  <c r="BJ3" i="1"/>
  <c r="AT3" i="1"/>
  <c r="AD3" i="1"/>
  <c r="N3" i="1"/>
  <c r="AG3" i="1"/>
  <c r="BI3" i="1"/>
  <c r="AS3" i="1"/>
  <c r="AC3" i="1"/>
  <c r="M3" i="1"/>
  <c r="BM51" i="1"/>
  <c r="BH3" i="1"/>
  <c r="AR3" i="1"/>
  <c r="AB3" i="1"/>
  <c r="L3" i="1"/>
  <c r="BM52" i="1"/>
  <c r="BG3" i="1"/>
  <c r="AQ3" i="1"/>
  <c r="AA3" i="1"/>
  <c r="K3" i="1"/>
  <c r="BF3" i="1"/>
  <c r="AP3" i="1"/>
  <c r="Z3" i="1"/>
  <c r="J3" i="1"/>
  <c r="BT3" i="1"/>
  <c r="BE3" i="1"/>
  <c r="AO3" i="1"/>
  <c r="Y3" i="1"/>
  <c r="I3" i="1"/>
  <c r="BD3" i="1"/>
  <c r="AN3" i="1"/>
  <c r="X3" i="1"/>
  <c r="H3" i="1"/>
  <c r="Q3" i="1"/>
  <c r="BO58" i="1"/>
  <c r="BS3" i="1"/>
  <c r="BC3" i="1"/>
  <c r="AM3" i="1"/>
  <c r="W3" i="1"/>
  <c r="G3" i="1"/>
  <c r="BR3" i="1"/>
  <c r="BB3" i="1"/>
  <c r="AL3" i="1"/>
  <c r="V3" i="1"/>
  <c r="F3" i="1"/>
  <c r="BQ3" i="1"/>
  <c r="BA3" i="1"/>
  <c r="AK3" i="1"/>
  <c r="U3" i="1"/>
  <c r="E3" i="1"/>
  <c r="AW3" i="1"/>
  <c r="BP3" i="1"/>
  <c r="AZ3" i="1"/>
  <c r="AJ3" i="1"/>
  <c r="T3" i="1"/>
  <c r="D3" i="1"/>
  <c r="BQ23" i="1"/>
  <c r="BO3" i="1"/>
  <c r="AY3" i="1"/>
  <c r="AI3" i="1"/>
  <c r="S3" i="1"/>
  <c r="C3" i="1"/>
  <c r="BQ51" i="1"/>
  <c r="BN3" i="1"/>
  <c r="AX3" i="1"/>
  <c r="AH3" i="1"/>
  <c r="R3" i="1"/>
  <c r="B3" i="1"/>
  <c r="BN51" i="1"/>
  <c r="BL58" i="1"/>
  <c r="BN52" i="1"/>
  <c r="BO51" i="1"/>
  <c r="BP51" i="1"/>
  <c r="BL52" i="1"/>
  <c r="BO52" i="1"/>
  <c r="BP52" i="1"/>
  <c r="BQ52" i="1"/>
  <c r="BL51" i="1"/>
  <c r="BI25" i="1"/>
  <c r="BM58" i="1"/>
  <c r="BJ23" i="1"/>
  <c r="AH45" i="1"/>
  <c r="G48" i="1"/>
  <c r="BK23" i="1"/>
  <c r="BK50" i="1" s="1"/>
  <c r="P48" i="1"/>
  <c r="AZ46" i="1"/>
  <c r="AF42" i="1"/>
  <c r="BI58" i="1"/>
  <c r="BJ52" i="1"/>
  <c r="AG45" i="1"/>
  <c r="BK58" i="1"/>
  <c r="BC50" i="1"/>
  <c r="BC47" i="1"/>
  <c r="O47" i="1"/>
  <c r="BJ58" i="1"/>
  <c r="P47" i="1"/>
  <c r="AF47" i="1"/>
  <c r="AU47" i="1"/>
  <c r="BK52" i="1"/>
  <c r="BG45" i="1"/>
  <c r="AW44" i="1"/>
  <c r="BH42" i="1"/>
  <c r="BH56" i="1" s="1"/>
  <c r="BE42" i="1"/>
  <c r="BE56" i="1" s="1"/>
  <c r="AW50" i="1"/>
  <c r="AZ42" i="1"/>
  <c r="AZ55" i="1" s="1"/>
  <c r="P42" i="1"/>
  <c r="BJ51" i="1"/>
  <c r="BE49" i="1"/>
  <c r="R42" i="1"/>
  <c r="AU50" i="1"/>
  <c r="BI51" i="1"/>
  <c r="AV49" i="1"/>
  <c r="BG48" i="1"/>
  <c r="AX50" i="1"/>
  <c r="AH42" i="1"/>
  <c r="BI52" i="1"/>
  <c r="BB48" i="1"/>
  <c r="AX48" i="1"/>
  <c r="R45" i="1"/>
  <c r="BH47" i="1"/>
  <c r="BI28" i="1" s="1"/>
  <c r="AX45" i="1"/>
  <c r="BF47" i="1"/>
  <c r="AW47" i="1"/>
  <c r="R46" i="1"/>
  <c r="AM46" i="1"/>
  <c r="BE46" i="1"/>
  <c r="G47" i="1"/>
  <c r="BC46" i="1"/>
  <c r="BD55" i="1"/>
  <c r="BD56" i="1"/>
  <c r="O44" i="1"/>
  <c r="C46" i="1"/>
  <c r="W47" i="1"/>
  <c r="AG48" i="1"/>
  <c r="AU45" i="1"/>
  <c r="BH49" i="1"/>
  <c r="BJ30" i="1" s="1"/>
  <c r="BE48" i="1"/>
  <c r="BA47" i="1"/>
  <c r="AW46" i="1"/>
  <c r="BG44" i="1"/>
  <c r="BC42" i="1"/>
  <c r="BC55" i="1" s="1"/>
  <c r="X48" i="1"/>
  <c r="P44" i="1"/>
  <c r="G46" i="1"/>
  <c r="X47" i="1"/>
  <c r="AH48" i="1"/>
  <c r="AU44" i="1"/>
  <c r="BG49" i="1"/>
  <c r="BD48" i="1"/>
  <c r="AZ47" i="1"/>
  <c r="AV46" i="1"/>
  <c r="BF44" i="1"/>
  <c r="BB42" i="1"/>
  <c r="BB56" i="1" s="1"/>
  <c r="B44" i="1"/>
  <c r="R44" i="1"/>
  <c r="O46" i="1"/>
  <c r="AE47" i="1"/>
  <c r="AM48" i="1"/>
  <c r="AU42" i="1"/>
  <c r="BF49" i="1"/>
  <c r="BC48" i="1"/>
  <c r="AY47" i="1"/>
  <c r="BH45" i="1"/>
  <c r="BJ26" i="1" s="1"/>
  <c r="BE44" i="1"/>
  <c r="BA42" i="1"/>
  <c r="BA56" i="1" s="1"/>
  <c r="AN48" i="1"/>
  <c r="BD44" i="1"/>
  <c r="AE44" i="1"/>
  <c r="S46" i="1"/>
  <c r="AG47" i="1"/>
  <c r="AM50" i="1"/>
  <c r="BH50" i="1"/>
  <c r="BJ31" i="1" s="1"/>
  <c r="BD49" i="1"/>
  <c r="BA48" i="1"/>
  <c r="AV47" i="1"/>
  <c r="BF45" i="1"/>
  <c r="BC44" i="1"/>
  <c r="AY42" i="1"/>
  <c r="AY56" i="1" s="1"/>
  <c r="AF44" i="1"/>
  <c r="W46" i="1"/>
  <c r="AK47" i="1"/>
  <c r="AN50" i="1"/>
  <c r="BG50" i="1"/>
  <c r="BC49" i="1"/>
  <c r="AZ48" i="1"/>
  <c r="BE45" i="1"/>
  <c r="BB44" i="1"/>
  <c r="AW42" i="1"/>
  <c r="B42" i="1"/>
  <c r="AG44" i="1"/>
  <c r="AE46" i="1"/>
  <c r="AM47" i="1"/>
  <c r="AS50" i="1"/>
  <c r="BF50" i="1"/>
  <c r="BB49" i="1"/>
  <c r="AY48" i="1"/>
  <c r="BH46" i="1"/>
  <c r="BJ27" i="1" s="1"/>
  <c r="BD45" i="1"/>
  <c r="BA44" i="1"/>
  <c r="AV42" i="1"/>
  <c r="B45" i="1"/>
  <c r="X44" i="1"/>
  <c r="O42" i="1"/>
  <c r="AH44" i="1"/>
  <c r="AH46" i="1"/>
  <c r="AN47" i="1"/>
  <c r="BE50" i="1"/>
  <c r="BA49" i="1"/>
  <c r="AW48" i="1"/>
  <c r="BG46" i="1"/>
  <c r="AZ44" i="1"/>
  <c r="AN44" i="1"/>
  <c r="AI46" i="1"/>
  <c r="B48" i="1"/>
  <c r="BD50" i="1"/>
  <c r="AZ49" i="1"/>
  <c r="AV48" i="1"/>
  <c r="BF46" i="1"/>
  <c r="BB45" i="1"/>
  <c r="AY44" i="1"/>
  <c r="BJ25" i="1"/>
  <c r="AY49" i="1"/>
  <c r="BA45" i="1"/>
  <c r="AE42" i="1"/>
  <c r="P45" i="1"/>
  <c r="E47" i="1"/>
  <c r="H48" i="1"/>
  <c r="BB50" i="1"/>
  <c r="AW49" i="1"/>
  <c r="BG47" i="1"/>
  <c r="BD46" i="1"/>
  <c r="AZ45" i="1"/>
  <c r="AV44" i="1"/>
  <c r="AX49" i="1"/>
  <c r="BA50" i="1"/>
  <c r="AY45" i="1"/>
  <c r="AG42" i="1"/>
  <c r="AF45" i="1"/>
  <c r="H47" i="1"/>
  <c r="R48" i="1"/>
  <c r="AU49" i="1"/>
  <c r="BB46" i="1"/>
  <c r="AX47" i="1"/>
  <c r="W48" i="1"/>
  <c r="AU48" i="1"/>
  <c r="AY50" i="1"/>
  <c r="BH48" i="1"/>
  <c r="BI29" i="1" s="1"/>
  <c r="BD47" i="1"/>
  <c r="AV45" i="1"/>
  <c r="BF42" i="1"/>
  <c r="BF56" i="1" s="1"/>
  <c r="AX46" i="1"/>
  <c r="H44" i="1"/>
  <c r="B46" i="1"/>
  <c r="U47" i="1"/>
  <c r="AF48" i="1"/>
  <c r="BG56" i="1"/>
  <c r="AX42" i="1"/>
  <c r="AT56" i="1"/>
  <c r="AT55" i="1"/>
  <c r="N44" i="1"/>
  <c r="AD44" i="1"/>
  <c r="AT44" i="1"/>
  <c r="D47" i="1"/>
  <c r="T47" i="1"/>
  <c r="AJ47" i="1"/>
  <c r="F48" i="1"/>
  <c r="V48" i="1"/>
  <c r="AL48" i="1"/>
  <c r="AO49" i="1"/>
  <c r="AR50" i="1"/>
  <c r="D46" i="1"/>
  <c r="T46" i="1"/>
  <c r="AJ46" i="1"/>
  <c r="F47" i="1"/>
  <c r="V47" i="1"/>
  <c r="AL47" i="1"/>
  <c r="AQ49" i="1"/>
  <c r="AT50" i="1"/>
  <c r="C45" i="1"/>
  <c r="S45" i="1"/>
  <c r="AI45" i="1"/>
  <c r="E46" i="1"/>
  <c r="U46" i="1"/>
  <c r="AK46" i="1"/>
  <c r="I48" i="1"/>
  <c r="Y48" i="1"/>
  <c r="AO48" i="1"/>
  <c r="AR49" i="1"/>
  <c r="C42" i="1"/>
  <c r="S42" i="1"/>
  <c r="AI42" i="1"/>
  <c r="D45" i="1"/>
  <c r="T45" i="1"/>
  <c r="AJ45" i="1"/>
  <c r="F46" i="1"/>
  <c r="V46" i="1"/>
  <c r="AL46" i="1"/>
  <c r="J48" i="1"/>
  <c r="Z48" i="1"/>
  <c r="AP48" i="1"/>
  <c r="AS49" i="1"/>
  <c r="D42" i="1"/>
  <c r="T42" i="1"/>
  <c r="S44" i="1"/>
  <c r="AI44" i="1"/>
  <c r="E45" i="1"/>
  <c r="U45" i="1"/>
  <c r="AK45" i="1"/>
  <c r="I47" i="1"/>
  <c r="Y47" i="1"/>
  <c r="AO47" i="1"/>
  <c r="K48" i="1"/>
  <c r="AA48" i="1"/>
  <c r="AQ48" i="1"/>
  <c r="AT49" i="1"/>
  <c r="C44" i="1"/>
  <c r="E42" i="1"/>
  <c r="U42" i="1"/>
  <c r="AK42" i="1"/>
  <c r="D44" i="1"/>
  <c r="T44" i="1"/>
  <c r="AJ44" i="1"/>
  <c r="F45" i="1"/>
  <c r="V45" i="1"/>
  <c r="AL45" i="1"/>
  <c r="H46" i="1"/>
  <c r="X46" i="1"/>
  <c r="AN46" i="1"/>
  <c r="J47" i="1"/>
  <c r="Z47" i="1"/>
  <c r="AP47" i="1"/>
  <c r="L48" i="1"/>
  <c r="AB48" i="1"/>
  <c r="AR48" i="1"/>
  <c r="AP49" i="1"/>
  <c r="AJ42" i="1"/>
  <c r="F42" i="1"/>
  <c r="V42" i="1"/>
  <c r="AL42" i="1"/>
  <c r="E44" i="1"/>
  <c r="U44" i="1"/>
  <c r="AK44" i="1"/>
  <c r="G45" i="1"/>
  <c r="W45" i="1"/>
  <c r="AM45" i="1"/>
  <c r="I46" i="1"/>
  <c r="Y46" i="1"/>
  <c r="AO46" i="1"/>
  <c r="K47" i="1"/>
  <c r="AA47" i="1"/>
  <c r="AQ47" i="1"/>
  <c r="M48" i="1"/>
  <c r="AC48" i="1"/>
  <c r="AS48" i="1"/>
  <c r="AI50" i="1"/>
  <c r="G42" i="1"/>
  <c r="W42" i="1"/>
  <c r="AM42" i="1"/>
  <c r="AL44" i="1"/>
  <c r="H45" i="1"/>
  <c r="X45" i="1"/>
  <c r="AN45" i="1"/>
  <c r="J46" i="1"/>
  <c r="Z46" i="1"/>
  <c r="AP46" i="1"/>
  <c r="L47" i="1"/>
  <c r="AB47" i="1"/>
  <c r="AR47" i="1"/>
  <c r="N48" i="1"/>
  <c r="AD48" i="1"/>
  <c r="AT48" i="1"/>
  <c r="AJ50" i="1"/>
  <c r="AN42" i="1"/>
  <c r="AM44" i="1"/>
  <c r="I45" i="1"/>
  <c r="Y45" i="1"/>
  <c r="AO45" i="1"/>
  <c r="K46" i="1"/>
  <c r="AA46" i="1"/>
  <c r="AQ46" i="1"/>
  <c r="M47" i="1"/>
  <c r="AC47" i="1"/>
  <c r="AS47" i="1"/>
  <c r="O48" i="1"/>
  <c r="AE48" i="1"/>
  <c r="AK50" i="1"/>
  <c r="I42" i="1"/>
  <c r="Y42" i="1"/>
  <c r="AO42" i="1"/>
  <c r="J45" i="1"/>
  <c r="Z45" i="1"/>
  <c r="AP45" i="1"/>
  <c r="L46" i="1"/>
  <c r="AB46" i="1"/>
  <c r="AR46" i="1"/>
  <c r="N47" i="1"/>
  <c r="AD47" i="1"/>
  <c r="AT47" i="1"/>
  <c r="AI49" i="1"/>
  <c r="AL50" i="1"/>
  <c r="J42" i="1"/>
  <c r="Z42" i="1"/>
  <c r="AP42" i="1"/>
  <c r="AO44" i="1"/>
  <c r="K45" i="1"/>
  <c r="AA45" i="1"/>
  <c r="AQ45" i="1"/>
  <c r="M46" i="1"/>
  <c r="AC46" i="1"/>
  <c r="AS46" i="1"/>
  <c r="AJ49" i="1"/>
  <c r="K42" i="1"/>
  <c r="AA42" i="1"/>
  <c r="AQ42" i="1"/>
  <c r="AP44" i="1"/>
  <c r="L45" i="1"/>
  <c r="AB45" i="1"/>
  <c r="AR45" i="1"/>
  <c r="N46" i="1"/>
  <c r="AD46" i="1"/>
  <c r="AT46" i="1"/>
  <c r="AK49" i="1"/>
  <c r="AR42" i="1"/>
  <c r="AQ44" i="1"/>
  <c r="M45" i="1"/>
  <c r="AC45" i="1"/>
  <c r="AS45" i="1"/>
  <c r="C48" i="1"/>
  <c r="S48" i="1"/>
  <c r="AI48" i="1"/>
  <c r="AB42" i="1"/>
  <c r="M42" i="1"/>
  <c r="AC42" i="1"/>
  <c r="AS42" i="1"/>
  <c r="L44" i="1"/>
  <c r="N45" i="1"/>
  <c r="AD45" i="1"/>
  <c r="AT45" i="1"/>
  <c r="B5" i="2" l="1"/>
  <c r="B3" i="2"/>
  <c r="DB55" i="1"/>
  <c r="DB56" i="1"/>
  <c r="DC55" i="1"/>
  <c r="DC56" i="1"/>
  <c r="DD56" i="1"/>
  <c r="DD55" i="1"/>
  <c r="DE55" i="1"/>
  <c r="DE56" i="1"/>
  <c r="DF55" i="1"/>
  <c r="DF56" i="1"/>
  <c r="DH56" i="1"/>
  <c r="DH55" i="1"/>
  <c r="DJ3" i="1"/>
  <c r="DK2" i="1"/>
  <c r="BR53" i="1"/>
  <c r="BS53" i="1"/>
  <c r="BT53" i="1"/>
  <c r="CY47" i="1"/>
  <c r="CY48" i="1"/>
  <c r="CX48" i="1"/>
  <c r="CX47" i="1"/>
  <c r="BQ53" i="1"/>
  <c r="CX45" i="1"/>
  <c r="CY45" i="1" s="1"/>
  <c r="CZ45" i="1" s="1"/>
  <c r="DA45" i="1" s="1"/>
  <c r="CX46" i="1"/>
  <c r="CY46" i="1" s="1"/>
  <c r="CZ46" i="1" s="1"/>
  <c r="BL53" i="1"/>
  <c r="BN53" i="1"/>
  <c r="BJ53" i="1"/>
  <c r="BK53" i="1"/>
  <c r="BM53" i="1"/>
  <c r="BR45" i="1"/>
  <c r="BR44" i="1"/>
  <c r="BR49" i="1"/>
  <c r="BR47" i="1"/>
  <c r="BR50" i="1"/>
  <c r="BR46" i="1"/>
  <c r="BR48" i="1"/>
  <c r="BS48" i="1"/>
  <c r="BS47" i="1"/>
  <c r="BS50" i="1"/>
  <c r="BS46" i="1"/>
  <c r="BS45" i="1"/>
  <c r="BS49" i="1"/>
  <c r="BS44" i="1"/>
  <c r="BP53" i="1"/>
  <c r="BO53" i="1"/>
  <c r="BT49" i="1"/>
  <c r="BT44" i="1"/>
  <c r="BT47" i="1"/>
  <c r="BT50" i="1"/>
  <c r="BT45" i="1"/>
  <c r="BT46" i="1"/>
  <c r="BT48" i="1"/>
  <c r="BI53" i="1"/>
  <c r="CW56" i="1"/>
  <c r="CW55" i="1"/>
  <c r="CV56" i="1"/>
  <c r="CV55" i="1"/>
  <c r="CU56" i="1"/>
  <c r="CU55" i="1"/>
  <c r="CT56" i="1"/>
  <c r="CT55" i="1"/>
  <c r="CS56" i="1"/>
  <c r="CS55" i="1"/>
  <c r="CR56" i="1"/>
  <c r="CR55" i="1"/>
  <c r="K2" i="2"/>
  <c r="W4" i="2"/>
  <c r="Y4" i="2" s="1"/>
  <c r="W2" i="2"/>
  <c r="D4" i="1"/>
  <c r="E1" i="1"/>
  <c r="BR42" i="1"/>
  <c r="BP50" i="1"/>
  <c r="BP45" i="1"/>
  <c r="BP49" i="1"/>
  <c r="BP48" i="1"/>
  <c r="BP47" i="1"/>
  <c r="BP42" i="1"/>
  <c r="BO44" i="1"/>
  <c r="BO48" i="1"/>
  <c r="BO45" i="1"/>
  <c r="BO47" i="1"/>
  <c r="BO46" i="1"/>
  <c r="BM45" i="1"/>
  <c r="BM44" i="1"/>
  <c r="BM46" i="1"/>
  <c r="BI44" i="1"/>
  <c r="BS42" i="1"/>
  <c r="BP46" i="1"/>
  <c r="BP44" i="1"/>
  <c r="BO42" i="1"/>
  <c r="BO50" i="1"/>
  <c r="BO49" i="1"/>
  <c r="BM42" i="1"/>
  <c r="BM47" i="1"/>
  <c r="BM48" i="1"/>
  <c r="BM49" i="1"/>
  <c r="BM50" i="1"/>
  <c r="BL42" i="1"/>
  <c r="BL44" i="1"/>
  <c r="BL45" i="1"/>
  <c r="BL46" i="1"/>
  <c r="BL47" i="1"/>
  <c r="BL48" i="1"/>
  <c r="BL49" i="1"/>
  <c r="BL50" i="1"/>
  <c r="BI47" i="1"/>
  <c r="BI48" i="1"/>
  <c r="CQ55" i="1"/>
  <c r="CQ56" i="1"/>
  <c r="BW2" i="1"/>
  <c r="BW5" i="1" s="1"/>
  <c r="BV3" i="1"/>
  <c r="BJ50" i="1"/>
  <c r="BN42" i="1"/>
  <c r="BN49" i="1"/>
  <c r="BN47" i="1"/>
  <c r="BN44" i="1"/>
  <c r="BN48" i="1"/>
  <c r="BN45" i="1"/>
  <c r="BN50" i="1"/>
  <c r="BN46" i="1"/>
  <c r="BT42" i="1"/>
  <c r="BQ42" i="1"/>
  <c r="BQ44" i="1"/>
  <c r="BQ50" i="1"/>
  <c r="BQ45" i="1"/>
  <c r="BQ49" i="1"/>
  <c r="BQ48" i="1"/>
  <c r="BQ47" i="1"/>
  <c r="BQ46" i="1"/>
  <c r="BJ46" i="1"/>
  <c r="BK49" i="1"/>
  <c r="BJ49" i="1"/>
  <c r="BJ45" i="1"/>
  <c r="BK44" i="1"/>
  <c r="BK42" i="1"/>
  <c r="BK55" i="1" s="1"/>
  <c r="AY55" i="1"/>
  <c r="BK46" i="1"/>
  <c r="BK45" i="1"/>
  <c r="BK47" i="1"/>
  <c r="BK48" i="1"/>
  <c r="BJ28" i="1"/>
  <c r="BJ47" i="1" s="1"/>
  <c r="BI26" i="1"/>
  <c r="BI45" i="1" s="1"/>
  <c r="BE55" i="1"/>
  <c r="AZ56" i="1"/>
  <c r="BJ29" i="1"/>
  <c r="BJ48" i="1" s="1"/>
  <c r="BH55" i="1"/>
  <c r="BB55" i="1"/>
  <c r="BI30" i="1"/>
  <c r="BI49" i="1" s="1"/>
  <c r="BA55" i="1"/>
  <c r="AV55" i="1"/>
  <c r="AV56" i="1"/>
  <c r="BI27" i="1"/>
  <c r="BF55" i="1"/>
  <c r="BI31" i="1"/>
  <c r="BI50" i="1" s="1"/>
  <c r="BJ44" i="1"/>
  <c r="BC56" i="1"/>
  <c r="AW55" i="1"/>
  <c r="AW56" i="1"/>
  <c r="AU55" i="1"/>
  <c r="AU56" i="1"/>
  <c r="AX56" i="1"/>
  <c r="AX55" i="1"/>
  <c r="AQ55" i="1"/>
  <c r="AQ56" i="1"/>
  <c r="Q46" i="1"/>
  <c r="Q47" i="1"/>
  <c r="Q48" i="1"/>
  <c r="Q45" i="1"/>
  <c r="Q44" i="1"/>
  <c r="AR56" i="1"/>
  <c r="AR55" i="1"/>
  <c r="AS55" i="1"/>
  <c r="AS56" i="1"/>
  <c r="W5" i="2" l="1"/>
  <c r="Y5" i="2" s="1"/>
  <c r="K5" i="2"/>
  <c r="K3" i="2"/>
  <c r="W3" i="2"/>
  <c r="Y3" i="2" s="1"/>
  <c r="B7" i="2"/>
  <c r="W7" i="2" s="1"/>
  <c r="DA46" i="1"/>
  <c r="DL2" i="1"/>
  <c r="DK3" i="1"/>
  <c r="CX44" i="1"/>
  <c r="CX42" i="1"/>
  <c r="Y2" i="2"/>
  <c r="E4" i="1"/>
  <c r="F1" i="1"/>
  <c r="BR56" i="1"/>
  <c r="BR55" i="1"/>
  <c r="BP56" i="1"/>
  <c r="BP55" i="1"/>
  <c r="BL55" i="1"/>
  <c r="BL56" i="1"/>
  <c r="BM55" i="1"/>
  <c r="BM56" i="1"/>
  <c r="BS55" i="1"/>
  <c r="BS56" i="1"/>
  <c r="BO56" i="1"/>
  <c r="BO55" i="1"/>
  <c r="BW3" i="1"/>
  <c r="BX2" i="1"/>
  <c r="BX5" i="1" s="1"/>
  <c r="BN55" i="1"/>
  <c r="BN56" i="1"/>
  <c r="BT56" i="1"/>
  <c r="BT55" i="1"/>
  <c r="BQ55" i="1"/>
  <c r="BQ56" i="1"/>
  <c r="BK56" i="1"/>
  <c r="BJ42" i="1"/>
  <c r="BJ55" i="1" s="1"/>
  <c r="BI42" i="1"/>
  <c r="BI46" i="1"/>
  <c r="DL3" i="1" l="1"/>
  <c r="DM2" i="1"/>
  <c r="CX55" i="1"/>
  <c r="CX56" i="1"/>
  <c r="CY42" i="1"/>
  <c r="CZ44" i="1"/>
  <c r="F4" i="1"/>
  <c r="G1" i="1"/>
  <c r="BX3" i="1"/>
  <c r="BY2" i="1"/>
  <c r="BY5" i="1" s="1"/>
  <c r="BJ56" i="1"/>
  <c r="BI56" i="1"/>
  <c r="BI55" i="1"/>
  <c r="DM3" i="1" l="1"/>
  <c r="DN2" i="1"/>
  <c r="CZ42" i="1"/>
  <c r="DA44" i="1"/>
  <c r="CY56" i="1"/>
  <c r="CY55" i="1"/>
  <c r="G4" i="1"/>
  <c r="H1" i="1"/>
  <c r="BY3" i="1"/>
  <c r="BZ2" i="1"/>
  <c r="BZ5" i="1" s="1"/>
  <c r="DN3" i="1" l="1"/>
  <c r="DO2" i="1"/>
  <c r="DO3" i="1" s="1"/>
  <c r="DA42" i="1"/>
  <c r="CZ56" i="1"/>
  <c r="CZ55" i="1"/>
  <c r="H4" i="1"/>
  <c r="I1" i="1"/>
  <c r="BZ3" i="1"/>
  <c r="CA2" i="1"/>
  <c r="CA5" i="1" s="1"/>
  <c r="DA55" i="1" l="1"/>
  <c r="DA56" i="1"/>
  <c r="I4" i="1"/>
  <c r="J1" i="1"/>
  <c r="CA3" i="1"/>
  <c r="CB2" i="1"/>
  <c r="CB5" i="1" s="1"/>
  <c r="J4" i="1" l="1"/>
  <c r="K1" i="1"/>
  <c r="CC2" i="1"/>
  <c r="CC5" i="1" s="1"/>
  <c r="CB3" i="1"/>
  <c r="K4" i="1" l="1"/>
  <c r="L1" i="1"/>
  <c r="CD2" i="1"/>
  <c r="CD5" i="1" s="1"/>
  <c r="CC3" i="1"/>
  <c r="L4" i="1" l="1"/>
  <c r="M1" i="1"/>
  <c r="CD3" i="1"/>
  <c r="CE2" i="1"/>
  <c r="CE5" i="1" s="1"/>
  <c r="M4" i="1" l="1"/>
  <c r="N1" i="1"/>
  <c r="CF2" i="1"/>
  <c r="CF5" i="1" s="1"/>
  <c r="CE3" i="1"/>
  <c r="N4" i="1" l="1"/>
  <c r="O1" i="1"/>
  <c r="CG2" i="1"/>
  <c r="CG5" i="1" s="1"/>
  <c r="CF3" i="1"/>
  <c r="O4" i="1" l="1"/>
  <c r="P1" i="1"/>
  <c r="CH2" i="1"/>
  <c r="CH5" i="1" s="1"/>
  <c r="CG3" i="1"/>
  <c r="P4" i="1" l="1"/>
  <c r="Q1" i="1"/>
  <c r="CH3" i="1"/>
  <c r="CI2" i="1"/>
  <c r="CI5" i="1" s="1"/>
  <c r="Q4" i="1" l="1"/>
  <c r="R1" i="1"/>
  <c r="CI3" i="1"/>
  <c r="CJ2" i="1"/>
  <c r="CJ5" i="1" s="1"/>
  <c r="R4" i="1" l="1"/>
  <c r="S1" i="1"/>
  <c r="CK2" i="1"/>
  <c r="CK5" i="1" s="1"/>
  <c r="CJ3" i="1"/>
  <c r="S4" i="1" l="1"/>
  <c r="T1" i="1"/>
  <c r="CK3" i="1"/>
  <c r="CL2" i="1"/>
  <c r="CL5" i="1" s="1"/>
  <c r="T4" i="1" l="1"/>
  <c r="U1" i="1"/>
  <c r="CM2" i="1"/>
  <c r="CM5" i="1" s="1"/>
  <c r="CL3" i="1"/>
  <c r="AU61" i="1"/>
  <c r="U4" i="1" l="1"/>
  <c r="V1" i="1"/>
  <c r="CM3" i="1"/>
  <c r="CN2" i="1"/>
  <c r="CN5" i="1" s="1"/>
  <c r="V4" i="1" l="1"/>
  <c r="W1" i="1"/>
  <c r="CN3" i="1"/>
  <c r="CO2" i="1"/>
  <c r="CO5" i="1" s="1"/>
  <c r="W4" i="1" l="1"/>
  <c r="X1" i="1"/>
  <c r="CO3" i="1"/>
  <c r="CP2" i="1"/>
  <c r="CP5" i="1" s="1"/>
  <c r="X4" i="1" l="1"/>
  <c r="Y1" i="1"/>
  <c r="CP3" i="1"/>
  <c r="CQ2" i="1"/>
  <c r="CQ3" i="1" l="1"/>
  <c r="CQ5" i="1"/>
  <c r="CR2" i="1"/>
  <c r="Y4" i="1"/>
  <c r="Z1" i="1"/>
  <c r="CR5" i="1" l="1"/>
  <c r="CS2" i="1"/>
  <c r="CR3" i="1"/>
  <c r="Z4" i="1"/>
  <c r="AA1" i="1"/>
  <c r="CS5" i="1" l="1"/>
  <c r="CT2" i="1"/>
  <c r="CS3" i="1"/>
  <c r="AA4" i="1"/>
  <c r="AB1" i="1"/>
  <c r="CT3" i="1" l="1"/>
  <c r="CU2" i="1"/>
  <c r="CT5" i="1"/>
  <c r="AB4" i="1"/>
  <c r="AC1" i="1"/>
  <c r="CU5" i="1" l="1"/>
  <c r="CV2" i="1"/>
  <c r="CU3" i="1"/>
  <c r="AC4" i="1"/>
  <c r="AD1" i="1"/>
  <c r="CV5" i="1" l="1"/>
  <c r="CW2" i="1"/>
  <c r="CX2" i="1" s="1"/>
  <c r="CY2" i="1" s="1"/>
  <c r="CZ2" i="1" s="1"/>
  <c r="CV3" i="1"/>
  <c r="AD4" i="1"/>
  <c r="AE1" i="1"/>
  <c r="CZ5" i="1" l="1"/>
  <c r="DA2" i="1"/>
  <c r="DB2" i="1" s="1"/>
  <c r="CZ3" i="1"/>
  <c r="CY5" i="1"/>
  <c r="CY3" i="1"/>
  <c r="CX3" i="1"/>
  <c r="CX5" i="1"/>
  <c r="CW3" i="1"/>
  <c r="CW5" i="1"/>
  <c r="AE4" i="1"/>
  <c r="AF1" i="1"/>
  <c r="DB3" i="1" l="1"/>
  <c r="DC2" i="1"/>
  <c r="DA5" i="1"/>
  <c r="DA3" i="1"/>
  <c r="N3" i="2"/>
  <c r="T2" i="2"/>
  <c r="Z2" i="2" s="1"/>
  <c r="T4" i="2"/>
  <c r="Z4" i="2" s="1"/>
  <c r="M3" i="2"/>
  <c r="L2" i="2"/>
  <c r="M4" i="2"/>
  <c r="N2" i="2"/>
  <c r="L3" i="2"/>
  <c r="T6" i="2"/>
  <c r="Z6" i="2" s="1"/>
  <c r="N4" i="2"/>
  <c r="L4" i="2"/>
  <c r="L5" i="2"/>
  <c r="AF4" i="1"/>
  <c r="AG1" i="1"/>
  <c r="DD2" i="1" l="1"/>
  <c r="DC3" i="1"/>
  <c r="T5" i="2"/>
  <c r="Z5" i="2" s="1"/>
  <c r="M2" i="2"/>
  <c r="N5" i="2"/>
  <c r="T3" i="2"/>
  <c r="Z3" i="2" s="1"/>
  <c r="O3" i="2"/>
  <c r="O4" i="2"/>
  <c r="U4" i="2" s="1"/>
  <c r="AG4" i="1"/>
  <c r="AH1" i="1"/>
  <c r="DE2" i="1" l="1"/>
  <c r="DD3" i="1"/>
  <c r="O2" i="2"/>
  <c r="U2" i="2" s="1"/>
  <c r="U3" i="2"/>
  <c r="AH4" i="1"/>
  <c r="AI1" i="1"/>
  <c r="DF2" i="1" l="1"/>
  <c r="DE3" i="1"/>
  <c r="AI4" i="1"/>
  <c r="AJ1" i="1"/>
  <c r="DG2" i="1" l="1"/>
  <c r="DF3" i="1"/>
  <c r="AJ4" i="1"/>
  <c r="AK1" i="1"/>
  <c r="DG3" i="1" l="1"/>
  <c r="AK4" i="1"/>
  <c r="AL1" i="1"/>
  <c r="AL4" i="1" l="1"/>
  <c r="AM1" i="1"/>
  <c r="AM4" i="1" l="1"/>
  <c r="AN1" i="1"/>
  <c r="AN4" i="1" l="1"/>
  <c r="AO1" i="1"/>
  <c r="AO4" i="1" l="1"/>
  <c r="AP1" i="1"/>
  <c r="AP4" i="1" l="1"/>
  <c r="AQ1" i="1"/>
  <c r="AQ4" i="1" l="1"/>
  <c r="AR1" i="1"/>
  <c r="AR4" i="1" l="1"/>
  <c r="AS1" i="1"/>
  <c r="AS4" i="1" l="1"/>
  <c r="AT1" i="1"/>
  <c r="AT4" i="1" l="1"/>
  <c r="AU1" i="1"/>
  <c r="AU4" i="1" l="1"/>
  <c r="AV1" i="1"/>
  <c r="AV4" i="1" l="1"/>
  <c r="AW1" i="1"/>
  <c r="AW4" i="1" l="1"/>
  <c r="AX1" i="1"/>
  <c r="AX4" i="1" l="1"/>
  <c r="AY1" i="1"/>
  <c r="AY4" i="1" l="1"/>
  <c r="AZ1" i="1"/>
  <c r="AZ4" i="1" l="1"/>
  <c r="BA1" i="1"/>
  <c r="BA4" i="1" l="1"/>
  <c r="BB1" i="1"/>
  <c r="BB4" i="1" l="1"/>
  <c r="BC1" i="1"/>
  <c r="BC4" i="1" l="1"/>
  <c r="BD1" i="1"/>
  <c r="BD4" i="1" l="1"/>
  <c r="BE1" i="1"/>
  <c r="BE4" i="1" l="1"/>
  <c r="BF1" i="1"/>
  <c r="BF4" i="1" l="1"/>
  <c r="BG1" i="1"/>
  <c r="BG4" i="1" l="1"/>
  <c r="BH1" i="1"/>
  <c r="BH4" i="1" l="1"/>
  <c r="BI1" i="1"/>
  <c r="BI4" i="1" l="1"/>
  <c r="BJ1" i="1"/>
  <c r="BJ4" i="1" l="1"/>
  <c r="BK1" i="1"/>
  <c r="BK4" i="1" l="1"/>
  <c r="BL1" i="1"/>
  <c r="BL4" i="1" l="1"/>
  <c r="BM1" i="1"/>
  <c r="BM4" i="1" l="1"/>
  <c r="BN1" i="1"/>
  <c r="BN4" i="1" l="1"/>
  <c r="BO1" i="1"/>
  <c r="BO4" i="1" l="1"/>
  <c r="BP1" i="1"/>
  <c r="BP4" i="1" l="1"/>
  <c r="BQ1" i="1"/>
  <c r="BQ4" i="1" l="1"/>
  <c r="BR1" i="1"/>
  <c r="BR4" i="1" l="1"/>
  <c r="BS1" i="1"/>
  <c r="BS4" i="1" l="1"/>
  <c r="BT1" i="1"/>
  <c r="BT4" i="1" l="1"/>
  <c r="BU1" i="1"/>
  <c r="BU4" i="1" l="1"/>
  <c r="BV1" i="1"/>
  <c r="BV4" i="1" l="1"/>
  <c r="BW1" i="1"/>
  <c r="BW4" i="1" l="1"/>
  <c r="BX1" i="1"/>
  <c r="BX4" i="1" l="1"/>
  <c r="BY1" i="1"/>
  <c r="BY4" i="1" l="1"/>
  <c r="BZ1" i="1"/>
  <c r="BZ4" i="1" l="1"/>
  <c r="CA1" i="1"/>
  <c r="CA4" i="1" l="1"/>
  <c r="CB1" i="1"/>
  <c r="CB4" i="1" l="1"/>
  <c r="CC1" i="1"/>
  <c r="CC4" i="1" l="1"/>
  <c r="CD1" i="1"/>
  <c r="CD4" i="1" l="1"/>
  <c r="CE1" i="1"/>
  <c r="CE4" i="1" l="1"/>
  <c r="CF1" i="1"/>
  <c r="CF4" i="1" l="1"/>
  <c r="CG1" i="1"/>
  <c r="CG4" i="1" l="1"/>
  <c r="CH1" i="1"/>
  <c r="CH4" i="1" l="1"/>
  <c r="CI1" i="1"/>
  <c r="CI4" i="1" l="1"/>
  <c r="CJ1" i="1"/>
  <c r="CJ4" i="1" l="1"/>
  <c r="CK1" i="1"/>
  <c r="CK4" i="1" l="1"/>
  <c r="CL1" i="1"/>
  <c r="CL4" i="1" l="1"/>
  <c r="CM1" i="1"/>
  <c r="CM4" i="1" l="1"/>
  <c r="CN1" i="1"/>
  <c r="CN4" i="1" l="1"/>
  <c r="CO1" i="1"/>
  <c r="CO4" i="1" l="1"/>
  <c r="CP1" i="1"/>
  <c r="CP4" i="1" l="1"/>
  <c r="CQ1" i="1"/>
  <c r="CQ4" i="1" l="1"/>
  <c r="CR1" i="1"/>
  <c r="CR4" i="1" l="1"/>
  <c r="CS1" i="1"/>
  <c r="N7" i="2"/>
  <c r="T7" i="2"/>
  <c r="V2" i="2"/>
  <c r="V3" i="2"/>
  <c r="CS4" i="1" l="1"/>
  <c r="CT1" i="1"/>
  <c r="V7" i="2"/>
  <c r="M5" i="2"/>
  <c r="O5" i="2" s="1"/>
  <c r="CT4" i="1" l="1"/>
  <c r="CU1" i="1"/>
  <c r="M7" i="2"/>
  <c r="X5" i="2"/>
  <c r="U5" i="2"/>
  <c r="CU4" i="1" l="1"/>
  <c r="CV1" i="1"/>
  <c r="CV4" i="1" l="1"/>
  <c r="CW1" i="1"/>
  <c r="CW4" i="1" l="1"/>
  <c r="CX1" i="1"/>
  <c r="CX4" i="1" l="1"/>
  <c r="CY1" i="1"/>
  <c r="CY4" i="1" l="1"/>
  <c r="CZ1" i="1"/>
  <c r="DA1" i="1" l="1"/>
  <c r="CZ4" i="1"/>
  <c r="DA4" i="1" l="1"/>
  <c r="DB1" i="1"/>
  <c r="DC1" i="1" s="1"/>
  <c r="DD1" i="1" s="1"/>
  <c r="DE1" i="1" s="1"/>
  <c r="DF1" i="1" s="1"/>
  <c r="DG1" i="1" s="1"/>
  <c r="D3" i="2"/>
  <c r="C6" i="2"/>
  <c r="D4" i="2"/>
  <c r="C2" i="2" l="1"/>
  <c r="C3" i="2"/>
  <c r="D6" i="2"/>
  <c r="C4" i="2"/>
  <c r="D2" i="2"/>
  <c r="BV58" i="1"/>
  <c r="BU58" i="1"/>
  <c r="BU23" i="1"/>
  <c r="C5" i="2"/>
  <c r="BU49" i="1"/>
  <c r="BV52" i="1"/>
  <c r="BU45" i="1"/>
  <c r="BV23" i="1"/>
  <c r="BV50" i="1"/>
  <c r="BU51" i="1"/>
  <c r="BU53" i="1" s="1"/>
  <c r="BU46" i="1"/>
  <c r="BV46" i="1"/>
  <c r="BU44" i="1"/>
  <c r="BU50" i="1"/>
  <c r="BU42" i="1"/>
  <c r="BV51" i="1"/>
  <c r="BV53" i="1" s="1"/>
  <c r="BU52" i="1"/>
  <c r="C7" i="2" l="1"/>
  <c r="BU47" i="1"/>
  <c r="BU48" i="1"/>
  <c r="BV49" i="1"/>
  <c r="BV45" i="1"/>
  <c r="BV42" i="1"/>
  <c r="BV47" i="1"/>
  <c r="BV44" i="1"/>
  <c r="BV48" i="1"/>
  <c r="BU55" i="1"/>
  <c r="BU56" i="1"/>
  <c r="D5" i="2" l="1"/>
  <c r="D7" i="2" s="1"/>
  <c r="Y7" i="2" s="1"/>
  <c r="Z7" i="2" s="1"/>
  <c r="BV56" i="1"/>
  <c r="BV55" i="1"/>
  <c r="DL51" i="1" l="1"/>
  <c r="DL53" i="1" s="1"/>
  <c r="DL23" i="1"/>
  <c r="DL47" i="1" l="1"/>
  <c r="DL44" i="1"/>
  <c r="DL48" i="1"/>
  <c r="DL46" i="1"/>
  <c r="DP23" i="1"/>
  <c r="DL42" i="1"/>
  <c r="DL45" i="1"/>
  <c r="DL55" i="1" l="1"/>
  <c r="DP55" i="1" s="1"/>
  <c r="DP42" i="1"/>
  <c r="DL56" i="1"/>
  <c r="DP56" i="1" s="1"/>
  <c r="U7" i="2" l="1"/>
</calcChain>
</file>

<file path=xl/sharedStrings.xml><?xml version="1.0" encoding="utf-8"?>
<sst xmlns="http://schemas.openxmlformats.org/spreadsheetml/2006/main" count="79" uniqueCount="68">
  <si>
    <t>Start</t>
  </si>
  <si>
    <t>End</t>
  </si>
  <si>
    <t>Earnings</t>
  </si>
  <si>
    <t>Bonus - Non Discretionary</t>
  </si>
  <si>
    <t>Grossed Up Earnings</t>
  </si>
  <si>
    <t>LTD Benefit Credit</t>
  </si>
  <si>
    <t>My Health Completion Credit</t>
  </si>
  <si>
    <t>Regular</t>
  </si>
  <si>
    <t>Job Related Education Reimb</t>
  </si>
  <si>
    <t>AIP</t>
  </si>
  <si>
    <t>Pre Tax Deductions</t>
  </si>
  <si>
    <t>Group Accident Coverage</t>
  </si>
  <si>
    <t>Health Savings Account</t>
  </si>
  <si>
    <t>Medical Coverage</t>
  </si>
  <si>
    <t>Supplemental Accident Coverage</t>
  </si>
  <si>
    <t>Vision Coverage</t>
  </si>
  <si>
    <t>Nationwide Savings Plan</t>
  </si>
  <si>
    <t>Federal and FICA Taxable Wages</t>
  </si>
  <si>
    <t>Taxes</t>
  </si>
  <si>
    <t>OASDI</t>
  </si>
  <si>
    <t>Medicare</t>
  </si>
  <si>
    <t>Federal</t>
  </si>
  <si>
    <t>State Tax (VA)</t>
  </si>
  <si>
    <t>State Tax (AZ)</t>
  </si>
  <si>
    <t>State Tax (CA)</t>
  </si>
  <si>
    <t>CA SDI - CASDI</t>
  </si>
  <si>
    <t>Post Tax Deductions</t>
  </si>
  <si>
    <t>Life Insurance Coverage</t>
  </si>
  <si>
    <t>Long Term Disability Coverage</t>
  </si>
  <si>
    <t>NSP AfterTax Deduction NonRoth</t>
  </si>
  <si>
    <t>Bravo Award - No Cash Net</t>
  </si>
  <si>
    <t>Charitable Giving</t>
  </si>
  <si>
    <t>Roth 401k Deduction - ROTH</t>
  </si>
  <si>
    <t>Net Income</t>
  </si>
  <si>
    <t xml:space="preserve">Roth </t>
  </si>
  <si>
    <t>SOFI</t>
  </si>
  <si>
    <t>WF</t>
  </si>
  <si>
    <t>Base</t>
  </si>
  <si>
    <t>Pay Date</t>
  </si>
  <si>
    <t>PIP</t>
  </si>
  <si>
    <t>Employer Match</t>
  </si>
  <si>
    <t>Gross</t>
  </si>
  <si>
    <t>Net</t>
  </si>
  <si>
    <t>401K (pre Tax)</t>
  </si>
  <si>
    <t>401k Roth</t>
  </si>
  <si>
    <t>401K After Tax</t>
  </si>
  <si>
    <t>Company Match</t>
  </si>
  <si>
    <t>Base Pay</t>
  </si>
  <si>
    <t>Date</t>
  </si>
  <si>
    <t>N Days</t>
  </si>
  <si>
    <t>Year</t>
  </si>
  <si>
    <t>Max Company Match Reference</t>
  </si>
  <si>
    <t>Actual Dollar Match Received</t>
  </si>
  <si>
    <t>Total</t>
  </si>
  <si>
    <t>Change in Market Value</t>
  </si>
  <si>
    <t>Fees</t>
  </si>
  <si>
    <t>Rollover</t>
  </si>
  <si>
    <t>Start Year</t>
  </si>
  <si>
    <t>End Year</t>
  </si>
  <si>
    <t>Withdrawals</t>
  </si>
  <si>
    <t>Account Balance</t>
  </si>
  <si>
    <t>Care Credit</t>
  </si>
  <si>
    <t>Vincent Loan 
Repayment</t>
  </si>
  <si>
    <t>Laptop</t>
  </si>
  <si>
    <t>Vincent 
Dental</t>
  </si>
  <si>
    <t>% Base</t>
  </si>
  <si>
    <t>Student 
Loans</t>
  </si>
  <si>
    <t>Traveling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</si>
</sst>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4.9989318521683403E-2"/>
      <name val="Segoe UI Black"/>
      <family val="2"/>
    </font>
    <font>
      <b/>
      <sz val="11"/>
      <color theme="1"/>
      <name val="Segoe UI Black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Sans Serif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14" fontId="0" fillId="0" borderId="0" xfId="0" applyNumberFormat="1"/>
    <xf numFmtId="14" fontId="0" fillId="5" borderId="0" xfId="0" applyNumberFormat="1" applyFill="1"/>
    <xf numFmtId="44" fontId="2" fillId="2" borderId="1" xfId="1" applyFont="1" applyFill="1" applyBorder="1"/>
    <xf numFmtId="44" fontId="2" fillId="4" borderId="1" xfId="1" applyFont="1" applyFill="1" applyBorder="1"/>
    <xf numFmtId="44" fontId="2" fillId="3" borderId="1" xfId="1" applyFont="1" applyFill="1" applyBorder="1"/>
    <xf numFmtId="0" fontId="3" fillId="2" borderId="1" xfId="0" applyFont="1" applyFill="1" applyBorder="1"/>
    <xf numFmtId="9" fontId="3" fillId="2" borderId="1" xfId="2" applyFont="1" applyFill="1" applyBorder="1"/>
    <xf numFmtId="44" fontId="3" fillId="2" borderId="1" xfId="1" applyFont="1" applyFill="1" applyBorder="1"/>
    <xf numFmtId="164" fontId="3" fillId="2" borderId="1" xfId="1" applyNumberFormat="1" applyFont="1" applyFill="1" applyBorder="1"/>
    <xf numFmtId="165" fontId="2" fillId="2" borderId="1" xfId="2" applyNumberFormat="1" applyFont="1" applyFill="1" applyBorder="1"/>
    <xf numFmtId="14" fontId="0" fillId="7" borderId="0" xfId="0" applyNumberFormat="1" applyFill="1"/>
    <xf numFmtId="44" fontId="0" fillId="0" borderId="0" xfId="0" applyNumberFormat="1"/>
    <xf numFmtId="9" fontId="0" fillId="0" borderId="0" xfId="2" applyFont="1"/>
    <xf numFmtId="10" fontId="3" fillId="2" borderId="1" xfId="2" applyNumberFormat="1" applyFont="1" applyFill="1" applyBorder="1"/>
    <xf numFmtId="44" fontId="0" fillId="0" borderId="0" xfId="1" applyFont="1"/>
    <xf numFmtId="1" fontId="0" fillId="0" borderId="0" xfId="0" applyNumberFormat="1"/>
    <xf numFmtId="44" fontId="0" fillId="0" borderId="1" xfId="1" applyFont="1" applyBorder="1"/>
    <xf numFmtId="44" fontId="5" fillId="9" borderId="1" xfId="3" applyNumberFormat="1" applyBorder="1"/>
    <xf numFmtId="9" fontId="0" fillId="0" borderId="0" xfId="0" applyNumberFormat="1"/>
    <xf numFmtId="9" fontId="6" fillId="8" borderId="2" xfId="2" applyFont="1" applyFill="1" applyBorder="1"/>
    <xf numFmtId="0" fontId="0" fillId="2" borderId="1" xfId="0" applyFill="1" applyBorder="1"/>
    <xf numFmtId="8" fontId="0" fillId="0" borderId="1" xfId="0" applyNumberFormat="1" applyBorder="1"/>
    <xf numFmtId="9" fontId="0" fillId="0" borderId="1" xfId="2" applyFont="1" applyBorder="1"/>
    <xf numFmtId="0" fontId="4" fillId="0" borderId="1" xfId="0" applyFont="1" applyBorder="1"/>
    <xf numFmtId="8" fontId="4" fillId="0" borderId="1" xfId="0" applyNumberFormat="1" applyFont="1" applyBorder="1"/>
    <xf numFmtId="9" fontId="4" fillId="0" borderId="1" xfId="0" applyNumberFormat="1" applyFont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166" fontId="2" fillId="2" borderId="1" xfId="2" applyNumberFormat="1" applyFont="1" applyFill="1" applyBorder="1"/>
    <xf numFmtId="43" fontId="0" fillId="0" borderId="0" xfId="4" applyFont="1"/>
    <xf numFmtId="43" fontId="0" fillId="0" borderId="0" xfId="4" applyFont="1" applyAlignment="1">
      <alignment horizontal="center"/>
    </xf>
    <xf numFmtId="0" fontId="7" fillId="0" borderId="0" xfId="0" applyFont="1"/>
    <xf numFmtId="14" fontId="7" fillId="0" borderId="0" xfId="0" applyNumberFormat="1" applyFont="1"/>
    <xf numFmtId="0" fontId="7" fillId="0" borderId="1" xfId="0" applyFont="1" applyBorder="1"/>
    <xf numFmtId="0" fontId="7" fillId="6" borderId="1" xfId="0" applyFont="1" applyFill="1" applyBorder="1"/>
    <xf numFmtId="44" fontId="7" fillId="0" borderId="1" xfId="1" applyFont="1" applyBorder="1"/>
    <xf numFmtId="164" fontId="0" fillId="0" borderId="0" xfId="0" applyNumberFormat="1"/>
    <xf numFmtId="164" fontId="0" fillId="5" borderId="0" xfId="0" applyNumberFormat="1" applyFill="1"/>
    <xf numFmtId="14" fontId="0" fillId="5" borderId="0" xfId="0" applyNumberFormat="1" applyFill="1" applyAlignment="1">
      <alignment horizontal="center"/>
    </xf>
    <xf numFmtId="0" fontId="0" fillId="5" borderId="0" xfId="0" applyFill="1"/>
    <xf numFmtId="9" fontId="0" fillId="5" borderId="0" xfId="0" applyNumberFormat="1" applyFill="1"/>
    <xf numFmtId="43" fontId="0" fillId="5" borderId="0" xfId="4" applyFont="1" applyFill="1"/>
    <xf numFmtId="0" fontId="0" fillId="5" borderId="0" xfId="0" applyFill="1" applyAlignment="1">
      <alignment horizontal="center"/>
    </xf>
    <xf numFmtId="43" fontId="0" fillId="5" borderId="0" xfId="4" applyFont="1" applyFill="1" applyAlignment="1">
      <alignment horizontal="center"/>
    </xf>
    <xf numFmtId="44" fontId="4" fillId="0" borderId="1" xfId="0" applyNumberFormat="1" applyFont="1" applyBorder="1"/>
  </cellXfs>
  <cellStyles count="5">
    <cellStyle name="Accent3" xfId="3" builtinId="37"/>
    <cellStyle name="Comma" xfId="4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22DE-B960-477F-8F12-BA161EF30528}">
  <dimension ref="A1:DR63"/>
  <sheetViews>
    <sheetView showGridLines="0" tabSelected="1" zoomScaleNormal="100" workbookViewId="0">
      <pane xSplit="1" ySplit="2" topLeftCell="CR3" activePane="bottomRight" state="frozen"/>
      <selection pane="topRight" activeCell="B1" sqref="B1"/>
      <selection pane="bottomLeft" activeCell="A3" sqref="A3"/>
      <selection pane="bottomRight" activeCell="DM1" sqref="DM1:DM2"/>
    </sheetView>
  </sheetViews>
  <sheetFormatPr defaultRowHeight="15"/>
  <cols>
    <col min="1" max="1" width="33.85546875" style="35" bestFit="1" customWidth="1"/>
    <col min="2" max="94" width="15.7109375" hidden="1" customWidth="1"/>
    <col min="95" max="95" width="15" hidden="1" customWidth="1"/>
    <col min="96" max="98" width="15" bestFit="1" customWidth="1"/>
    <col min="99" max="99" width="16" customWidth="1"/>
    <col min="100" max="101" width="15" bestFit="1" customWidth="1"/>
    <col min="102" max="119" width="15" customWidth="1"/>
    <col min="120" max="120" width="13.5703125" customWidth="1"/>
    <col min="121" max="122" width="13.5703125" bestFit="1" customWidth="1"/>
  </cols>
  <sheetData>
    <row r="1" spans="1:119">
      <c r="A1" s="35" t="s">
        <v>0</v>
      </c>
      <c r="B1" s="2">
        <v>44348</v>
      </c>
      <c r="C1" s="2">
        <f>B1+13</f>
        <v>44361</v>
      </c>
      <c r="D1" s="2">
        <f t="shared" ref="D1:BK2" si="0">C1+14</f>
        <v>44375</v>
      </c>
      <c r="E1" s="2">
        <f t="shared" si="0"/>
        <v>44389</v>
      </c>
      <c r="F1" s="2">
        <f t="shared" si="0"/>
        <v>44403</v>
      </c>
      <c r="G1" s="2">
        <f t="shared" si="0"/>
        <v>44417</v>
      </c>
      <c r="H1" s="2">
        <f t="shared" si="0"/>
        <v>44431</v>
      </c>
      <c r="I1" s="2">
        <f t="shared" si="0"/>
        <v>44445</v>
      </c>
      <c r="J1" s="2">
        <f t="shared" si="0"/>
        <v>44459</v>
      </c>
      <c r="K1" s="2">
        <f t="shared" si="0"/>
        <v>44473</v>
      </c>
      <c r="L1" s="2">
        <f t="shared" si="0"/>
        <v>44487</v>
      </c>
      <c r="M1" s="2">
        <f t="shared" si="0"/>
        <v>44501</v>
      </c>
      <c r="N1" s="2">
        <f t="shared" si="0"/>
        <v>44515</v>
      </c>
      <c r="O1" s="2">
        <f t="shared" si="0"/>
        <v>44529</v>
      </c>
      <c r="P1" s="2">
        <f t="shared" si="0"/>
        <v>44543</v>
      </c>
      <c r="Q1" s="2">
        <f t="shared" si="0"/>
        <v>44557</v>
      </c>
      <c r="R1" s="2">
        <f t="shared" si="0"/>
        <v>44571</v>
      </c>
      <c r="S1" s="2">
        <f t="shared" si="0"/>
        <v>44585</v>
      </c>
      <c r="T1" s="2">
        <f t="shared" si="0"/>
        <v>44599</v>
      </c>
      <c r="U1" s="2">
        <f t="shared" si="0"/>
        <v>44613</v>
      </c>
      <c r="V1" s="2">
        <f t="shared" si="0"/>
        <v>44627</v>
      </c>
      <c r="W1" s="2">
        <f t="shared" si="0"/>
        <v>44641</v>
      </c>
      <c r="X1" s="2">
        <f t="shared" si="0"/>
        <v>44655</v>
      </c>
      <c r="Y1" s="2">
        <f t="shared" si="0"/>
        <v>44669</v>
      </c>
      <c r="Z1" s="2">
        <f t="shared" si="0"/>
        <v>44683</v>
      </c>
      <c r="AA1" s="2">
        <f t="shared" si="0"/>
        <v>44697</v>
      </c>
      <c r="AB1" s="2">
        <f t="shared" si="0"/>
        <v>44711</v>
      </c>
      <c r="AC1" s="2">
        <f t="shared" si="0"/>
        <v>44725</v>
      </c>
      <c r="AD1" s="2">
        <f t="shared" si="0"/>
        <v>44739</v>
      </c>
      <c r="AE1" s="2">
        <f t="shared" si="0"/>
        <v>44753</v>
      </c>
      <c r="AF1" s="2">
        <f t="shared" si="0"/>
        <v>44767</v>
      </c>
      <c r="AG1" s="2">
        <f t="shared" si="0"/>
        <v>44781</v>
      </c>
      <c r="AH1" s="2">
        <f t="shared" si="0"/>
        <v>44795</v>
      </c>
      <c r="AI1" s="2">
        <f t="shared" si="0"/>
        <v>44809</v>
      </c>
      <c r="AJ1" s="2">
        <f t="shared" si="0"/>
        <v>44823</v>
      </c>
      <c r="AK1" s="2">
        <f t="shared" si="0"/>
        <v>44837</v>
      </c>
      <c r="AL1" s="2">
        <f t="shared" si="0"/>
        <v>44851</v>
      </c>
      <c r="AM1" s="2">
        <f t="shared" si="0"/>
        <v>44865</v>
      </c>
      <c r="AN1" s="2">
        <f t="shared" si="0"/>
        <v>44879</v>
      </c>
      <c r="AO1" s="2">
        <f t="shared" si="0"/>
        <v>44893</v>
      </c>
      <c r="AP1" s="2">
        <f t="shared" si="0"/>
        <v>44907</v>
      </c>
      <c r="AQ1" s="2">
        <f t="shared" si="0"/>
        <v>44921</v>
      </c>
      <c r="AR1" s="2">
        <f t="shared" si="0"/>
        <v>44935</v>
      </c>
      <c r="AS1" s="2">
        <f t="shared" si="0"/>
        <v>44949</v>
      </c>
      <c r="AT1" s="2">
        <f t="shared" si="0"/>
        <v>44963</v>
      </c>
      <c r="AU1" s="3">
        <f t="shared" si="0"/>
        <v>44977</v>
      </c>
      <c r="AV1" s="2">
        <f t="shared" si="0"/>
        <v>44991</v>
      </c>
      <c r="AW1" s="2">
        <f t="shared" si="0"/>
        <v>45005</v>
      </c>
      <c r="AX1" s="2">
        <f t="shared" si="0"/>
        <v>45019</v>
      </c>
      <c r="AY1" s="2">
        <f t="shared" si="0"/>
        <v>45033</v>
      </c>
      <c r="AZ1" s="2">
        <f t="shared" si="0"/>
        <v>45047</v>
      </c>
      <c r="BA1" s="2">
        <f t="shared" si="0"/>
        <v>45061</v>
      </c>
      <c r="BB1" s="2">
        <f t="shared" si="0"/>
        <v>45075</v>
      </c>
      <c r="BC1" s="2">
        <f t="shared" si="0"/>
        <v>45089</v>
      </c>
      <c r="BD1" s="2">
        <f t="shared" si="0"/>
        <v>45103</v>
      </c>
      <c r="BE1" s="2">
        <f t="shared" si="0"/>
        <v>45117</v>
      </c>
      <c r="BF1" s="2">
        <f t="shared" si="0"/>
        <v>45131</v>
      </c>
      <c r="BG1" s="2">
        <f t="shared" si="0"/>
        <v>45145</v>
      </c>
      <c r="BH1" s="2">
        <f t="shared" si="0"/>
        <v>45159</v>
      </c>
      <c r="BI1" s="3">
        <f t="shared" si="0"/>
        <v>45173</v>
      </c>
      <c r="BJ1" s="2">
        <f t="shared" si="0"/>
        <v>45187</v>
      </c>
      <c r="BK1" s="2">
        <f t="shared" si="0"/>
        <v>45201</v>
      </c>
      <c r="BL1" s="2">
        <f t="shared" ref="BL1:BS2" si="1">BK1+14</f>
        <v>45215</v>
      </c>
      <c r="BM1" s="2">
        <f t="shared" si="1"/>
        <v>45229</v>
      </c>
      <c r="BN1" s="2">
        <f t="shared" si="1"/>
        <v>45243</v>
      </c>
      <c r="BO1" s="2">
        <f t="shared" si="1"/>
        <v>45257</v>
      </c>
      <c r="BP1" s="2">
        <f t="shared" si="1"/>
        <v>45271</v>
      </c>
      <c r="BQ1" s="2">
        <f t="shared" si="1"/>
        <v>45285</v>
      </c>
      <c r="BR1" s="2">
        <f t="shared" si="1"/>
        <v>45299</v>
      </c>
      <c r="BS1" s="2">
        <f t="shared" si="1"/>
        <v>45313</v>
      </c>
      <c r="BT1" s="2">
        <f t="shared" ref="BT1:BV2" si="2">BS1+14</f>
        <v>45327</v>
      </c>
      <c r="BU1" s="2">
        <f t="shared" si="2"/>
        <v>45341</v>
      </c>
      <c r="BV1" s="2">
        <f t="shared" si="2"/>
        <v>45355</v>
      </c>
      <c r="BW1" s="2">
        <f t="shared" ref="BW1:CO1" si="3">BV1+14</f>
        <v>45369</v>
      </c>
      <c r="BX1" s="2">
        <f t="shared" si="3"/>
        <v>45383</v>
      </c>
      <c r="BY1" s="2">
        <f t="shared" si="3"/>
        <v>45397</v>
      </c>
      <c r="BZ1" s="2">
        <f t="shared" si="3"/>
        <v>45411</v>
      </c>
      <c r="CA1" s="2">
        <f t="shared" si="3"/>
        <v>45425</v>
      </c>
      <c r="CB1" s="2">
        <f t="shared" si="3"/>
        <v>45439</v>
      </c>
      <c r="CC1" s="2">
        <f t="shared" si="3"/>
        <v>45453</v>
      </c>
      <c r="CD1" s="2">
        <f t="shared" si="3"/>
        <v>45467</v>
      </c>
      <c r="CE1" s="2">
        <f t="shared" si="3"/>
        <v>45481</v>
      </c>
      <c r="CF1" s="2">
        <f t="shared" si="3"/>
        <v>45495</v>
      </c>
      <c r="CG1" s="2">
        <f t="shared" si="3"/>
        <v>45509</v>
      </c>
      <c r="CH1" s="2">
        <f t="shared" si="3"/>
        <v>45523</v>
      </c>
      <c r="CI1" s="2">
        <f t="shared" si="3"/>
        <v>45537</v>
      </c>
      <c r="CJ1" s="2">
        <f t="shared" si="3"/>
        <v>45551</v>
      </c>
      <c r="CK1" s="2">
        <f t="shared" si="3"/>
        <v>45565</v>
      </c>
      <c r="CL1" s="2">
        <f t="shared" si="3"/>
        <v>45579</v>
      </c>
      <c r="CM1" s="2">
        <f t="shared" si="3"/>
        <v>45593</v>
      </c>
      <c r="CN1" s="2">
        <f t="shared" si="3"/>
        <v>45607</v>
      </c>
      <c r="CO1" s="2">
        <f t="shared" si="3"/>
        <v>45621</v>
      </c>
      <c r="CP1" s="2">
        <f t="shared" ref="CP1:DA2" si="4">CO1+14</f>
        <v>45635</v>
      </c>
      <c r="CQ1" s="2">
        <f t="shared" si="4"/>
        <v>45649</v>
      </c>
      <c r="CR1" s="2">
        <f t="shared" si="4"/>
        <v>45663</v>
      </c>
      <c r="CS1" s="2">
        <f t="shared" si="4"/>
        <v>45677</v>
      </c>
      <c r="CT1" s="2">
        <f t="shared" si="4"/>
        <v>45691</v>
      </c>
      <c r="CU1" s="2">
        <f t="shared" si="4"/>
        <v>45705</v>
      </c>
      <c r="CV1" s="2">
        <f t="shared" si="4"/>
        <v>45719</v>
      </c>
      <c r="CW1" s="2">
        <f t="shared" si="4"/>
        <v>45733</v>
      </c>
      <c r="CX1" s="2">
        <f t="shared" si="4"/>
        <v>45747</v>
      </c>
      <c r="CY1" s="2">
        <f t="shared" si="4"/>
        <v>45761</v>
      </c>
      <c r="CZ1" s="2">
        <f t="shared" si="4"/>
        <v>45775</v>
      </c>
      <c r="DA1" s="2">
        <f t="shared" si="4"/>
        <v>45789</v>
      </c>
      <c r="DB1" s="2">
        <f t="shared" ref="DB1:DB2" si="5">DA1+14</f>
        <v>45803</v>
      </c>
      <c r="DC1" s="2">
        <f t="shared" ref="DC1:DC2" si="6">DB1+14</f>
        <v>45817</v>
      </c>
      <c r="DD1" s="2">
        <f t="shared" ref="DD1:DD2" si="7">DC1+14</f>
        <v>45831</v>
      </c>
      <c r="DE1" s="2">
        <f t="shared" ref="DE1:DE2" si="8">DD1+14</f>
        <v>45845</v>
      </c>
      <c r="DF1" s="2">
        <f t="shared" ref="DF1:DF2" si="9">DE1+14</f>
        <v>45859</v>
      </c>
      <c r="DG1" s="2">
        <f t="shared" ref="DG1:DG2" si="10">DF1+14</f>
        <v>45873</v>
      </c>
      <c r="DH1" s="2">
        <f t="shared" ref="DH1:DH2" si="11">DG1+14</f>
        <v>45887</v>
      </c>
      <c r="DI1" s="2">
        <f t="shared" ref="DI1:DI2" si="12">DH1+14</f>
        <v>45901</v>
      </c>
      <c r="DJ1" s="2">
        <f t="shared" ref="DJ1:DJ2" si="13">DI1+14</f>
        <v>45915</v>
      </c>
      <c r="DK1" s="2">
        <f t="shared" ref="DK1:DK2" si="14">DJ1+14</f>
        <v>45929</v>
      </c>
      <c r="DL1" s="2">
        <f t="shared" ref="DL1:DL2" si="15">DK1+14</f>
        <v>45943</v>
      </c>
      <c r="DM1" s="2">
        <f t="shared" ref="DM1:DM2" si="16">DL1+14</f>
        <v>45957</v>
      </c>
      <c r="DN1" s="2">
        <f t="shared" ref="DN1:DN2" si="17">DM1+14</f>
        <v>45971</v>
      </c>
      <c r="DO1" s="2">
        <f t="shared" ref="DO1:DO2" si="18">DN1+14</f>
        <v>45985</v>
      </c>
    </row>
    <row r="2" spans="1:119">
      <c r="A2" s="35" t="s">
        <v>1</v>
      </c>
      <c r="B2" s="2">
        <f>B1+12</f>
        <v>44360</v>
      </c>
      <c r="C2" s="2">
        <f>B2+14</f>
        <v>44374</v>
      </c>
      <c r="D2" s="2">
        <f t="shared" si="0"/>
        <v>44388</v>
      </c>
      <c r="E2" s="2">
        <f t="shared" si="0"/>
        <v>44402</v>
      </c>
      <c r="F2" s="2">
        <f t="shared" si="0"/>
        <v>44416</v>
      </c>
      <c r="G2" s="2">
        <f t="shared" si="0"/>
        <v>44430</v>
      </c>
      <c r="H2" s="2">
        <f t="shared" si="0"/>
        <v>44444</v>
      </c>
      <c r="I2" s="2">
        <f t="shared" si="0"/>
        <v>44458</v>
      </c>
      <c r="J2" s="2">
        <f t="shared" si="0"/>
        <v>44472</v>
      </c>
      <c r="K2" s="2">
        <f t="shared" si="0"/>
        <v>44486</v>
      </c>
      <c r="L2" s="2">
        <f t="shared" si="0"/>
        <v>44500</v>
      </c>
      <c r="M2" s="2">
        <f t="shared" si="0"/>
        <v>44514</v>
      </c>
      <c r="N2" s="2">
        <f t="shared" si="0"/>
        <v>44528</v>
      </c>
      <c r="O2" s="2">
        <f t="shared" si="0"/>
        <v>44542</v>
      </c>
      <c r="P2" s="2">
        <f t="shared" si="0"/>
        <v>44556</v>
      </c>
      <c r="Q2" s="2">
        <f t="shared" si="0"/>
        <v>44570</v>
      </c>
      <c r="R2" s="2">
        <f t="shared" si="0"/>
        <v>44584</v>
      </c>
      <c r="S2" s="2">
        <f t="shared" si="0"/>
        <v>44598</v>
      </c>
      <c r="T2" s="2">
        <f t="shared" si="0"/>
        <v>44612</v>
      </c>
      <c r="U2" s="2">
        <f t="shared" si="0"/>
        <v>44626</v>
      </c>
      <c r="V2" s="2">
        <f t="shared" si="0"/>
        <v>44640</v>
      </c>
      <c r="W2" s="2">
        <f t="shared" si="0"/>
        <v>44654</v>
      </c>
      <c r="X2" s="2">
        <f t="shared" si="0"/>
        <v>44668</v>
      </c>
      <c r="Y2" s="2">
        <f t="shared" si="0"/>
        <v>44682</v>
      </c>
      <c r="Z2" s="2">
        <f t="shared" si="0"/>
        <v>44696</v>
      </c>
      <c r="AA2" s="2">
        <f t="shared" si="0"/>
        <v>44710</v>
      </c>
      <c r="AB2" s="2">
        <f t="shared" si="0"/>
        <v>44724</v>
      </c>
      <c r="AC2" s="2">
        <f t="shared" si="0"/>
        <v>44738</v>
      </c>
      <c r="AD2" s="2">
        <f t="shared" si="0"/>
        <v>44752</v>
      </c>
      <c r="AE2" s="2">
        <f t="shared" si="0"/>
        <v>44766</v>
      </c>
      <c r="AF2" s="2">
        <f t="shared" si="0"/>
        <v>44780</v>
      </c>
      <c r="AG2" s="2">
        <f t="shared" si="0"/>
        <v>44794</v>
      </c>
      <c r="AH2" s="2">
        <f t="shared" si="0"/>
        <v>44808</v>
      </c>
      <c r="AI2" s="2">
        <f t="shared" si="0"/>
        <v>44822</v>
      </c>
      <c r="AJ2" s="2">
        <f t="shared" si="0"/>
        <v>44836</v>
      </c>
      <c r="AK2" s="2">
        <f t="shared" si="0"/>
        <v>44850</v>
      </c>
      <c r="AL2" s="2">
        <f t="shared" si="0"/>
        <v>44864</v>
      </c>
      <c r="AM2" s="2">
        <f t="shared" si="0"/>
        <v>44878</v>
      </c>
      <c r="AN2" s="2">
        <f t="shared" si="0"/>
        <v>44892</v>
      </c>
      <c r="AO2" s="2">
        <f t="shared" si="0"/>
        <v>44906</v>
      </c>
      <c r="AP2" s="2">
        <f t="shared" si="0"/>
        <v>44920</v>
      </c>
      <c r="AQ2" s="2">
        <f t="shared" si="0"/>
        <v>44934</v>
      </c>
      <c r="AR2" s="2">
        <f t="shared" si="0"/>
        <v>44948</v>
      </c>
      <c r="AS2" s="2">
        <f t="shared" si="0"/>
        <v>44962</v>
      </c>
      <c r="AT2" s="2">
        <f t="shared" si="0"/>
        <v>44976</v>
      </c>
      <c r="AU2" s="3">
        <f t="shared" si="0"/>
        <v>44990</v>
      </c>
      <c r="AV2" s="2">
        <f t="shared" si="0"/>
        <v>45004</v>
      </c>
      <c r="AW2" s="2">
        <f t="shared" si="0"/>
        <v>45018</v>
      </c>
      <c r="AX2" s="2">
        <f t="shared" si="0"/>
        <v>45032</v>
      </c>
      <c r="AY2" s="2">
        <f t="shared" si="0"/>
        <v>45046</v>
      </c>
      <c r="AZ2" s="2">
        <f t="shared" si="0"/>
        <v>45060</v>
      </c>
      <c r="BA2" s="2">
        <f t="shared" si="0"/>
        <v>45074</v>
      </c>
      <c r="BB2" s="2">
        <f t="shared" si="0"/>
        <v>45088</v>
      </c>
      <c r="BC2" s="2">
        <f t="shared" si="0"/>
        <v>45102</v>
      </c>
      <c r="BD2" s="2">
        <f t="shared" si="0"/>
        <v>45116</v>
      </c>
      <c r="BE2" s="2">
        <f t="shared" si="0"/>
        <v>45130</v>
      </c>
      <c r="BF2" s="2">
        <f t="shared" si="0"/>
        <v>45144</v>
      </c>
      <c r="BG2" s="2">
        <f t="shared" si="0"/>
        <v>45158</v>
      </c>
      <c r="BH2" s="2">
        <f t="shared" si="0"/>
        <v>45172</v>
      </c>
      <c r="BI2" s="3">
        <f t="shared" si="0"/>
        <v>45186</v>
      </c>
      <c r="BJ2" s="2">
        <f t="shared" si="0"/>
        <v>45200</v>
      </c>
      <c r="BK2" s="2">
        <f t="shared" si="0"/>
        <v>45214</v>
      </c>
      <c r="BL2" s="2">
        <f t="shared" si="1"/>
        <v>45228</v>
      </c>
      <c r="BM2" s="2">
        <f t="shared" si="1"/>
        <v>45242</v>
      </c>
      <c r="BN2" s="2">
        <f t="shared" si="1"/>
        <v>45256</v>
      </c>
      <c r="BO2" s="2">
        <f t="shared" si="1"/>
        <v>45270</v>
      </c>
      <c r="BP2" s="2">
        <f t="shared" si="1"/>
        <v>45284</v>
      </c>
      <c r="BQ2" s="2">
        <f t="shared" si="1"/>
        <v>45298</v>
      </c>
      <c r="BR2" s="2">
        <f t="shared" si="1"/>
        <v>45312</v>
      </c>
      <c r="BS2" s="2">
        <f t="shared" si="1"/>
        <v>45326</v>
      </c>
      <c r="BT2" s="2">
        <f t="shared" si="2"/>
        <v>45340</v>
      </c>
      <c r="BU2" s="2">
        <f t="shared" si="2"/>
        <v>45354</v>
      </c>
      <c r="BV2" s="2">
        <f t="shared" si="2"/>
        <v>45368</v>
      </c>
      <c r="BW2" s="2">
        <f t="shared" ref="BW2:CO2" si="19">BV2+14</f>
        <v>45382</v>
      </c>
      <c r="BX2" s="2">
        <f t="shared" si="19"/>
        <v>45396</v>
      </c>
      <c r="BY2" s="2">
        <f t="shared" si="19"/>
        <v>45410</v>
      </c>
      <c r="BZ2" s="2">
        <f t="shared" si="19"/>
        <v>45424</v>
      </c>
      <c r="CA2" s="2">
        <f t="shared" si="19"/>
        <v>45438</v>
      </c>
      <c r="CB2" s="2">
        <f t="shared" si="19"/>
        <v>45452</v>
      </c>
      <c r="CC2" s="2">
        <f t="shared" si="19"/>
        <v>45466</v>
      </c>
      <c r="CD2" s="2">
        <f t="shared" si="19"/>
        <v>45480</v>
      </c>
      <c r="CE2" s="2">
        <f t="shared" si="19"/>
        <v>45494</v>
      </c>
      <c r="CF2" s="2">
        <f t="shared" si="19"/>
        <v>45508</v>
      </c>
      <c r="CG2" s="2">
        <f t="shared" si="19"/>
        <v>45522</v>
      </c>
      <c r="CH2" s="2">
        <f t="shared" si="19"/>
        <v>45536</v>
      </c>
      <c r="CI2" s="2">
        <f t="shared" si="19"/>
        <v>45550</v>
      </c>
      <c r="CJ2" s="2">
        <f t="shared" si="19"/>
        <v>45564</v>
      </c>
      <c r="CK2" s="2">
        <f t="shared" si="19"/>
        <v>45578</v>
      </c>
      <c r="CL2" s="2">
        <f t="shared" si="19"/>
        <v>45592</v>
      </c>
      <c r="CM2" s="2">
        <f t="shared" si="19"/>
        <v>45606</v>
      </c>
      <c r="CN2" s="2">
        <f t="shared" si="19"/>
        <v>45620</v>
      </c>
      <c r="CO2" s="2">
        <f t="shared" si="19"/>
        <v>45634</v>
      </c>
      <c r="CP2" s="2">
        <f t="shared" si="4"/>
        <v>45648</v>
      </c>
      <c r="CQ2" s="2">
        <f t="shared" si="4"/>
        <v>45662</v>
      </c>
      <c r="CR2" s="2">
        <f t="shared" si="4"/>
        <v>45676</v>
      </c>
      <c r="CS2" s="2">
        <f t="shared" si="4"/>
        <v>45690</v>
      </c>
      <c r="CT2" s="2">
        <f t="shared" si="4"/>
        <v>45704</v>
      </c>
      <c r="CU2" s="2">
        <f t="shared" si="4"/>
        <v>45718</v>
      </c>
      <c r="CV2" s="2">
        <f t="shared" si="4"/>
        <v>45732</v>
      </c>
      <c r="CW2" s="2">
        <f t="shared" si="4"/>
        <v>45746</v>
      </c>
      <c r="CX2" s="2">
        <f t="shared" si="4"/>
        <v>45760</v>
      </c>
      <c r="CY2" s="2">
        <f t="shared" si="4"/>
        <v>45774</v>
      </c>
      <c r="CZ2" s="2">
        <f t="shared" si="4"/>
        <v>45788</v>
      </c>
      <c r="DA2" s="2">
        <f t="shared" si="4"/>
        <v>45802</v>
      </c>
      <c r="DB2" s="2">
        <f t="shared" si="5"/>
        <v>45816</v>
      </c>
      <c r="DC2" s="2">
        <f t="shared" si="6"/>
        <v>45830</v>
      </c>
      <c r="DD2" s="2">
        <f t="shared" si="7"/>
        <v>45844</v>
      </c>
      <c r="DE2" s="2">
        <f t="shared" si="8"/>
        <v>45858</v>
      </c>
      <c r="DF2" s="2">
        <f t="shared" si="9"/>
        <v>45872</v>
      </c>
      <c r="DG2" s="2">
        <f t="shared" si="10"/>
        <v>45886</v>
      </c>
      <c r="DH2" s="2">
        <f t="shared" si="11"/>
        <v>45900</v>
      </c>
      <c r="DI2" s="2">
        <f t="shared" si="12"/>
        <v>45914</v>
      </c>
      <c r="DJ2" s="2">
        <f t="shared" si="13"/>
        <v>45928</v>
      </c>
      <c r="DK2" s="2">
        <f t="shared" si="14"/>
        <v>45942</v>
      </c>
      <c r="DL2" s="2">
        <f t="shared" si="15"/>
        <v>45956</v>
      </c>
      <c r="DM2" s="2">
        <f t="shared" si="16"/>
        <v>45970</v>
      </c>
      <c r="DN2" s="2">
        <f t="shared" si="17"/>
        <v>45984</v>
      </c>
      <c r="DO2" s="2">
        <f t="shared" si="18"/>
        <v>45998</v>
      </c>
    </row>
    <row r="3" spans="1:119">
      <c r="A3" s="36" t="s">
        <v>38</v>
      </c>
      <c r="B3" s="2">
        <f t="shared" ref="B3:BL3" si="20">B2+5</f>
        <v>44365</v>
      </c>
      <c r="C3" s="2">
        <f t="shared" si="20"/>
        <v>44379</v>
      </c>
      <c r="D3" s="2">
        <f t="shared" si="20"/>
        <v>44393</v>
      </c>
      <c r="E3" s="2">
        <f t="shared" si="20"/>
        <v>44407</v>
      </c>
      <c r="F3" s="2">
        <f t="shared" si="20"/>
        <v>44421</v>
      </c>
      <c r="G3" s="2">
        <f t="shared" si="20"/>
        <v>44435</v>
      </c>
      <c r="H3" s="2">
        <f t="shared" si="20"/>
        <v>44449</v>
      </c>
      <c r="I3" s="2">
        <f t="shared" si="20"/>
        <v>44463</v>
      </c>
      <c r="J3" s="2">
        <f t="shared" si="20"/>
        <v>44477</v>
      </c>
      <c r="K3" s="2">
        <f t="shared" si="20"/>
        <v>44491</v>
      </c>
      <c r="L3" s="2">
        <f t="shared" si="20"/>
        <v>44505</v>
      </c>
      <c r="M3" s="2">
        <f t="shared" si="20"/>
        <v>44519</v>
      </c>
      <c r="N3" s="2">
        <f t="shared" si="20"/>
        <v>44533</v>
      </c>
      <c r="O3" s="2">
        <f t="shared" si="20"/>
        <v>44547</v>
      </c>
      <c r="P3" s="2">
        <f t="shared" si="20"/>
        <v>44561</v>
      </c>
      <c r="Q3" s="2">
        <f t="shared" si="20"/>
        <v>44575</v>
      </c>
      <c r="R3" s="2">
        <f t="shared" si="20"/>
        <v>44589</v>
      </c>
      <c r="S3" s="2">
        <f t="shared" si="20"/>
        <v>44603</v>
      </c>
      <c r="T3" s="2">
        <f t="shared" si="20"/>
        <v>44617</v>
      </c>
      <c r="U3" s="2">
        <f t="shared" si="20"/>
        <v>44631</v>
      </c>
      <c r="V3" s="2">
        <f t="shared" si="20"/>
        <v>44645</v>
      </c>
      <c r="W3" s="2">
        <f t="shared" si="20"/>
        <v>44659</v>
      </c>
      <c r="X3" s="2">
        <f t="shared" si="20"/>
        <v>44673</v>
      </c>
      <c r="Y3" s="2">
        <f t="shared" si="20"/>
        <v>44687</v>
      </c>
      <c r="Z3" s="2">
        <f t="shared" si="20"/>
        <v>44701</v>
      </c>
      <c r="AA3" s="2">
        <f t="shared" si="20"/>
        <v>44715</v>
      </c>
      <c r="AB3" s="2">
        <f t="shared" si="20"/>
        <v>44729</v>
      </c>
      <c r="AC3" s="2">
        <f t="shared" si="20"/>
        <v>44743</v>
      </c>
      <c r="AD3" s="2">
        <f t="shared" si="20"/>
        <v>44757</v>
      </c>
      <c r="AE3" s="2">
        <f t="shared" si="20"/>
        <v>44771</v>
      </c>
      <c r="AF3" s="2">
        <f t="shared" si="20"/>
        <v>44785</v>
      </c>
      <c r="AG3" s="2">
        <f t="shared" si="20"/>
        <v>44799</v>
      </c>
      <c r="AH3" s="2">
        <f t="shared" si="20"/>
        <v>44813</v>
      </c>
      <c r="AI3" s="2">
        <f t="shared" si="20"/>
        <v>44827</v>
      </c>
      <c r="AJ3" s="2">
        <f t="shared" si="20"/>
        <v>44841</v>
      </c>
      <c r="AK3" s="2">
        <f t="shared" si="20"/>
        <v>44855</v>
      </c>
      <c r="AL3" s="2">
        <f t="shared" si="20"/>
        <v>44869</v>
      </c>
      <c r="AM3" s="2">
        <f t="shared" si="20"/>
        <v>44883</v>
      </c>
      <c r="AN3" s="2">
        <f t="shared" si="20"/>
        <v>44897</v>
      </c>
      <c r="AO3" s="2">
        <f t="shared" si="20"/>
        <v>44911</v>
      </c>
      <c r="AP3" s="2">
        <f t="shared" si="20"/>
        <v>44925</v>
      </c>
      <c r="AQ3" s="2">
        <f t="shared" si="20"/>
        <v>44939</v>
      </c>
      <c r="AR3" s="2">
        <f t="shared" si="20"/>
        <v>44953</v>
      </c>
      <c r="AS3" s="2">
        <f t="shared" si="20"/>
        <v>44967</v>
      </c>
      <c r="AT3" s="2">
        <f t="shared" si="20"/>
        <v>44981</v>
      </c>
      <c r="AU3" s="2">
        <f t="shared" si="20"/>
        <v>44995</v>
      </c>
      <c r="AV3" s="2">
        <f t="shared" si="20"/>
        <v>45009</v>
      </c>
      <c r="AW3" s="2">
        <f t="shared" si="20"/>
        <v>45023</v>
      </c>
      <c r="AX3" s="2">
        <f t="shared" si="20"/>
        <v>45037</v>
      </c>
      <c r="AY3" s="2">
        <f t="shared" si="20"/>
        <v>45051</v>
      </c>
      <c r="AZ3" s="2">
        <f t="shared" si="20"/>
        <v>45065</v>
      </c>
      <c r="BA3" s="2">
        <f t="shared" si="20"/>
        <v>45079</v>
      </c>
      <c r="BB3" s="2">
        <f t="shared" si="20"/>
        <v>45093</v>
      </c>
      <c r="BC3" s="2">
        <f t="shared" si="20"/>
        <v>45107</v>
      </c>
      <c r="BD3" s="2">
        <f t="shared" si="20"/>
        <v>45121</v>
      </c>
      <c r="BE3" s="2">
        <f t="shared" si="20"/>
        <v>45135</v>
      </c>
      <c r="BF3" s="2">
        <f t="shared" si="20"/>
        <v>45149</v>
      </c>
      <c r="BG3" s="2">
        <f t="shared" si="20"/>
        <v>45163</v>
      </c>
      <c r="BH3" s="2">
        <f t="shared" si="20"/>
        <v>45177</v>
      </c>
      <c r="BI3" s="3">
        <f t="shared" si="20"/>
        <v>45191</v>
      </c>
      <c r="BJ3" s="2">
        <f t="shared" si="20"/>
        <v>45205</v>
      </c>
      <c r="BK3" s="2">
        <f t="shared" si="20"/>
        <v>45219</v>
      </c>
      <c r="BL3" s="2">
        <f t="shared" si="20"/>
        <v>45233</v>
      </c>
      <c r="BM3" s="2">
        <f t="shared" ref="BM3:BS3" si="21">BM2+5</f>
        <v>45247</v>
      </c>
      <c r="BN3" s="2">
        <f t="shared" si="21"/>
        <v>45261</v>
      </c>
      <c r="BO3" s="2">
        <f t="shared" si="21"/>
        <v>45275</v>
      </c>
      <c r="BP3" s="2">
        <f t="shared" si="21"/>
        <v>45289</v>
      </c>
      <c r="BQ3" s="2">
        <f t="shared" si="21"/>
        <v>45303</v>
      </c>
      <c r="BR3" s="2">
        <f t="shared" si="21"/>
        <v>45317</v>
      </c>
      <c r="BS3" s="3">
        <f t="shared" si="21"/>
        <v>45331</v>
      </c>
      <c r="BT3" s="2">
        <f>BT2+5</f>
        <v>45345</v>
      </c>
      <c r="BU3" s="12">
        <f>BU2+5</f>
        <v>45359</v>
      </c>
      <c r="BV3" s="12">
        <f>BV2+5</f>
        <v>45373</v>
      </c>
      <c r="BW3" s="12">
        <f t="shared" ref="BW3:CD3" si="22">BW2+5</f>
        <v>45387</v>
      </c>
      <c r="BX3" s="12">
        <f t="shared" si="22"/>
        <v>45401</v>
      </c>
      <c r="BY3" s="12">
        <f t="shared" si="22"/>
        <v>45415</v>
      </c>
      <c r="BZ3" s="12">
        <f t="shared" si="22"/>
        <v>45429</v>
      </c>
      <c r="CA3" s="12">
        <f t="shared" si="22"/>
        <v>45443</v>
      </c>
      <c r="CB3" s="12">
        <f t="shared" si="22"/>
        <v>45457</v>
      </c>
      <c r="CC3" s="12">
        <f t="shared" si="22"/>
        <v>45471</v>
      </c>
      <c r="CD3" s="12">
        <f t="shared" si="22"/>
        <v>45485</v>
      </c>
      <c r="CE3" s="12">
        <f t="shared" ref="CE3:CQ3" si="23">CE2+5</f>
        <v>45499</v>
      </c>
      <c r="CF3" s="12">
        <f t="shared" si="23"/>
        <v>45513</v>
      </c>
      <c r="CG3" s="12">
        <f t="shared" si="23"/>
        <v>45527</v>
      </c>
      <c r="CH3" s="12">
        <f t="shared" si="23"/>
        <v>45541</v>
      </c>
      <c r="CI3" s="12">
        <f t="shared" si="23"/>
        <v>45555</v>
      </c>
      <c r="CJ3" s="12">
        <f t="shared" si="23"/>
        <v>45569</v>
      </c>
      <c r="CK3" s="12">
        <f t="shared" si="23"/>
        <v>45583</v>
      </c>
      <c r="CL3" s="12">
        <f t="shared" si="23"/>
        <v>45597</v>
      </c>
      <c r="CM3" s="12">
        <f t="shared" si="23"/>
        <v>45611</v>
      </c>
      <c r="CN3" s="12">
        <f t="shared" si="23"/>
        <v>45625</v>
      </c>
      <c r="CO3" s="12">
        <f t="shared" si="23"/>
        <v>45639</v>
      </c>
      <c r="CP3" s="12">
        <f t="shared" si="23"/>
        <v>45653</v>
      </c>
      <c r="CQ3" s="12">
        <f t="shared" si="23"/>
        <v>45667</v>
      </c>
      <c r="CR3" s="12">
        <f t="shared" ref="CR3:CW3" si="24">CR2+5</f>
        <v>45681</v>
      </c>
      <c r="CS3" s="12">
        <f t="shared" si="24"/>
        <v>45695</v>
      </c>
      <c r="CT3" s="12">
        <f t="shared" si="24"/>
        <v>45709</v>
      </c>
      <c r="CU3" s="12">
        <f t="shared" si="24"/>
        <v>45723</v>
      </c>
      <c r="CV3" s="12">
        <f t="shared" si="24"/>
        <v>45737</v>
      </c>
      <c r="CW3" s="12">
        <f t="shared" si="24"/>
        <v>45751</v>
      </c>
      <c r="CX3" s="12">
        <f>CX2+5</f>
        <v>45765</v>
      </c>
      <c r="CY3" s="12">
        <f>CY2+5</f>
        <v>45779</v>
      </c>
      <c r="CZ3" s="12">
        <f>CZ2+5</f>
        <v>45793</v>
      </c>
      <c r="DA3" s="12">
        <f>DA2+5</f>
        <v>45807</v>
      </c>
      <c r="DB3" s="12">
        <f t="shared" ref="DB3:DG3" si="25">DB2+5</f>
        <v>45821</v>
      </c>
      <c r="DC3" s="12">
        <f t="shared" si="25"/>
        <v>45835</v>
      </c>
      <c r="DD3" s="12">
        <f t="shared" si="25"/>
        <v>45849</v>
      </c>
      <c r="DE3" s="12">
        <f t="shared" si="25"/>
        <v>45863</v>
      </c>
      <c r="DF3" s="12">
        <f t="shared" si="25"/>
        <v>45877</v>
      </c>
      <c r="DG3" s="12">
        <f t="shared" si="25"/>
        <v>45891</v>
      </c>
      <c r="DH3" s="12">
        <f t="shared" ref="DH3" si="26">DH2+5</f>
        <v>45905</v>
      </c>
      <c r="DI3" s="12">
        <f t="shared" ref="DI3" si="27">DI2+5</f>
        <v>45919</v>
      </c>
      <c r="DJ3" s="12">
        <f t="shared" ref="DJ3" si="28">DJ2+5</f>
        <v>45933</v>
      </c>
      <c r="DK3" s="12">
        <f t="shared" ref="DK3" si="29">DK2+5</f>
        <v>45947</v>
      </c>
      <c r="DL3" s="12">
        <f t="shared" ref="DL3" si="30">DL2+5</f>
        <v>45961</v>
      </c>
      <c r="DM3" s="12">
        <f t="shared" ref="DM3" si="31">DM2+5</f>
        <v>45975</v>
      </c>
      <c r="DN3" s="12">
        <f t="shared" ref="DN3" si="32">DN2+5</f>
        <v>45989</v>
      </c>
      <c r="DO3" s="12">
        <f t="shared" ref="DO3" si="33">DO2+5</f>
        <v>46003</v>
      </c>
    </row>
    <row r="4" spans="1:119">
      <c r="A4" s="36" t="s">
        <v>57</v>
      </c>
      <c r="B4" s="17">
        <f>YEAR(B1)</f>
        <v>2021</v>
      </c>
      <c r="C4" s="17">
        <f t="shared" ref="C4:BN4" si="34">YEAR(C1)</f>
        <v>2021</v>
      </c>
      <c r="D4" s="17">
        <f t="shared" si="34"/>
        <v>2021</v>
      </c>
      <c r="E4" s="17">
        <f t="shared" si="34"/>
        <v>2021</v>
      </c>
      <c r="F4" s="17">
        <f t="shared" si="34"/>
        <v>2021</v>
      </c>
      <c r="G4" s="17">
        <f t="shared" si="34"/>
        <v>2021</v>
      </c>
      <c r="H4" s="17">
        <f t="shared" si="34"/>
        <v>2021</v>
      </c>
      <c r="I4" s="17">
        <f t="shared" si="34"/>
        <v>2021</v>
      </c>
      <c r="J4" s="17">
        <f t="shared" si="34"/>
        <v>2021</v>
      </c>
      <c r="K4" s="17">
        <f t="shared" si="34"/>
        <v>2021</v>
      </c>
      <c r="L4" s="17">
        <f t="shared" si="34"/>
        <v>2021</v>
      </c>
      <c r="M4" s="17">
        <f t="shared" si="34"/>
        <v>2021</v>
      </c>
      <c r="N4" s="17">
        <f t="shared" si="34"/>
        <v>2021</v>
      </c>
      <c r="O4" s="17">
        <f t="shared" si="34"/>
        <v>2021</v>
      </c>
      <c r="P4" s="17">
        <f t="shared" si="34"/>
        <v>2021</v>
      </c>
      <c r="Q4" s="17">
        <f t="shared" si="34"/>
        <v>2021</v>
      </c>
      <c r="R4" s="17">
        <f t="shared" si="34"/>
        <v>2022</v>
      </c>
      <c r="S4" s="17">
        <f t="shared" si="34"/>
        <v>2022</v>
      </c>
      <c r="T4" s="17">
        <f t="shared" si="34"/>
        <v>2022</v>
      </c>
      <c r="U4" s="17">
        <f t="shared" si="34"/>
        <v>2022</v>
      </c>
      <c r="V4" s="17">
        <f t="shared" si="34"/>
        <v>2022</v>
      </c>
      <c r="W4" s="17">
        <f t="shared" si="34"/>
        <v>2022</v>
      </c>
      <c r="X4" s="17">
        <f t="shared" si="34"/>
        <v>2022</v>
      </c>
      <c r="Y4" s="17">
        <f t="shared" si="34"/>
        <v>2022</v>
      </c>
      <c r="Z4" s="17">
        <f t="shared" si="34"/>
        <v>2022</v>
      </c>
      <c r="AA4" s="17">
        <f t="shared" si="34"/>
        <v>2022</v>
      </c>
      <c r="AB4" s="17">
        <f t="shared" si="34"/>
        <v>2022</v>
      </c>
      <c r="AC4" s="17">
        <f t="shared" si="34"/>
        <v>2022</v>
      </c>
      <c r="AD4" s="17">
        <f t="shared" si="34"/>
        <v>2022</v>
      </c>
      <c r="AE4" s="17">
        <f t="shared" si="34"/>
        <v>2022</v>
      </c>
      <c r="AF4" s="17">
        <f t="shared" si="34"/>
        <v>2022</v>
      </c>
      <c r="AG4" s="17">
        <f t="shared" si="34"/>
        <v>2022</v>
      </c>
      <c r="AH4" s="17">
        <f t="shared" si="34"/>
        <v>2022</v>
      </c>
      <c r="AI4" s="17">
        <f t="shared" si="34"/>
        <v>2022</v>
      </c>
      <c r="AJ4" s="17">
        <f t="shared" si="34"/>
        <v>2022</v>
      </c>
      <c r="AK4" s="17">
        <f t="shared" si="34"/>
        <v>2022</v>
      </c>
      <c r="AL4" s="17">
        <f t="shared" si="34"/>
        <v>2022</v>
      </c>
      <c r="AM4" s="17">
        <f t="shared" si="34"/>
        <v>2022</v>
      </c>
      <c r="AN4" s="17">
        <f t="shared" si="34"/>
        <v>2022</v>
      </c>
      <c r="AO4" s="17">
        <f t="shared" si="34"/>
        <v>2022</v>
      </c>
      <c r="AP4" s="17">
        <f t="shared" si="34"/>
        <v>2022</v>
      </c>
      <c r="AQ4" s="17">
        <f t="shared" si="34"/>
        <v>2022</v>
      </c>
      <c r="AR4" s="17">
        <f t="shared" si="34"/>
        <v>2023</v>
      </c>
      <c r="AS4" s="17">
        <f t="shared" si="34"/>
        <v>2023</v>
      </c>
      <c r="AT4" s="17">
        <f t="shared" si="34"/>
        <v>2023</v>
      </c>
      <c r="AU4" s="17">
        <f t="shared" si="34"/>
        <v>2023</v>
      </c>
      <c r="AV4" s="17">
        <f t="shared" si="34"/>
        <v>2023</v>
      </c>
      <c r="AW4" s="17">
        <f t="shared" si="34"/>
        <v>2023</v>
      </c>
      <c r="AX4" s="17">
        <f t="shared" si="34"/>
        <v>2023</v>
      </c>
      <c r="AY4" s="17">
        <f t="shared" si="34"/>
        <v>2023</v>
      </c>
      <c r="AZ4" s="17">
        <f t="shared" si="34"/>
        <v>2023</v>
      </c>
      <c r="BA4" s="17">
        <f t="shared" si="34"/>
        <v>2023</v>
      </c>
      <c r="BB4" s="17">
        <f t="shared" si="34"/>
        <v>2023</v>
      </c>
      <c r="BC4" s="17">
        <f t="shared" si="34"/>
        <v>2023</v>
      </c>
      <c r="BD4" s="17">
        <f t="shared" si="34"/>
        <v>2023</v>
      </c>
      <c r="BE4" s="17">
        <f t="shared" si="34"/>
        <v>2023</v>
      </c>
      <c r="BF4" s="17">
        <f t="shared" si="34"/>
        <v>2023</v>
      </c>
      <c r="BG4" s="17">
        <f t="shared" si="34"/>
        <v>2023</v>
      </c>
      <c r="BH4" s="17">
        <f t="shared" si="34"/>
        <v>2023</v>
      </c>
      <c r="BI4" s="17">
        <f t="shared" si="34"/>
        <v>2023</v>
      </c>
      <c r="BJ4" s="17">
        <f t="shared" si="34"/>
        <v>2023</v>
      </c>
      <c r="BK4" s="17">
        <f t="shared" si="34"/>
        <v>2023</v>
      </c>
      <c r="BL4" s="17">
        <f t="shared" si="34"/>
        <v>2023</v>
      </c>
      <c r="BM4" s="17">
        <f t="shared" si="34"/>
        <v>2023</v>
      </c>
      <c r="BN4" s="17">
        <f t="shared" si="34"/>
        <v>2023</v>
      </c>
      <c r="BO4" s="17">
        <f t="shared" ref="BO4:CQ4" si="35">YEAR(BO1)</f>
        <v>2023</v>
      </c>
      <c r="BP4" s="17">
        <f t="shared" si="35"/>
        <v>2023</v>
      </c>
      <c r="BQ4" s="17">
        <f t="shared" si="35"/>
        <v>2023</v>
      </c>
      <c r="BR4" s="17">
        <f t="shared" si="35"/>
        <v>2024</v>
      </c>
      <c r="BS4" s="17">
        <f t="shared" si="35"/>
        <v>2024</v>
      </c>
      <c r="BT4" s="17">
        <f t="shared" si="35"/>
        <v>2024</v>
      </c>
      <c r="BU4" s="17">
        <f t="shared" si="35"/>
        <v>2024</v>
      </c>
      <c r="BV4" s="17">
        <f t="shared" si="35"/>
        <v>2024</v>
      </c>
      <c r="BW4" s="17">
        <f t="shared" si="35"/>
        <v>2024</v>
      </c>
      <c r="BX4" s="17">
        <f t="shared" si="35"/>
        <v>2024</v>
      </c>
      <c r="BY4" s="17">
        <f t="shared" si="35"/>
        <v>2024</v>
      </c>
      <c r="BZ4" s="17">
        <f t="shared" si="35"/>
        <v>2024</v>
      </c>
      <c r="CA4" s="17">
        <f t="shared" si="35"/>
        <v>2024</v>
      </c>
      <c r="CB4" s="17">
        <f t="shared" si="35"/>
        <v>2024</v>
      </c>
      <c r="CC4" s="17">
        <f t="shared" si="35"/>
        <v>2024</v>
      </c>
      <c r="CD4" s="17">
        <f t="shared" si="35"/>
        <v>2024</v>
      </c>
      <c r="CE4" s="17">
        <f t="shared" si="35"/>
        <v>2024</v>
      </c>
      <c r="CF4" s="17">
        <f t="shared" si="35"/>
        <v>2024</v>
      </c>
      <c r="CG4" s="17">
        <f t="shared" si="35"/>
        <v>2024</v>
      </c>
      <c r="CH4" s="17">
        <f t="shared" si="35"/>
        <v>2024</v>
      </c>
      <c r="CI4" s="17">
        <f t="shared" si="35"/>
        <v>2024</v>
      </c>
      <c r="CJ4" s="17">
        <f t="shared" si="35"/>
        <v>2024</v>
      </c>
      <c r="CK4" s="17">
        <f t="shared" si="35"/>
        <v>2024</v>
      </c>
      <c r="CL4" s="17">
        <f t="shared" si="35"/>
        <v>2024</v>
      </c>
      <c r="CM4" s="17">
        <f t="shared" si="35"/>
        <v>2024</v>
      </c>
      <c r="CN4" s="17">
        <f t="shared" si="35"/>
        <v>2024</v>
      </c>
      <c r="CO4" s="17">
        <f t="shared" si="35"/>
        <v>2024</v>
      </c>
      <c r="CP4" s="17">
        <f t="shared" si="35"/>
        <v>2024</v>
      </c>
      <c r="CQ4" s="17">
        <f t="shared" si="35"/>
        <v>2024</v>
      </c>
      <c r="CR4" s="17">
        <f t="shared" ref="CR4:CW4" si="36">YEAR(CR1)</f>
        <v>2025</v>
      </c>
      <c r="CS4" s="17">
        <f t="shared" si="36"/>
        <v>2025</v>
      </c>
      <c r="CT4" s="17">
        <f t="shared" si="36"/>
        <v>2025</v>
      </c>
      <c r="CU4" s="17">
        <f t="shared" si="36"/>
        <v>2025</v>
      </c>
      <c r="CV4" s="17">
        <f t="shared" si="36"/>
        <v>2025</v>
      </c>
      <c r="CW4" s="17">
        <f t="shared" si="36"/>
        <v>2025</v>
      </c>
      <c r="CX4" s="17">
        <f t="shared" ref="CX4:DA5" si="37">YEAR(CX1)</f>
        <v>2025</v>
      </c>
      <c r="CY4" s="17">
        <f t="shared" si="37"/>
        <v>2025</v>
      </c>
      <c r="CZ4" s="17">
        <f t="shared" si="37"/>
        <v>2025</v>
      </c>
      <c r="DA4" s="17">
        <f t="shared" si="37"/>
        <v>2025</v>
      </c>
      <c r="DB4" s="17">
        <f t="shared" ref="DB4:DM4" si="38">YEAR(DB1)</f>
        <v>2025</v>
      </c>
      <c r="DC4" s="17">
        <f t="shared" si="38"/>
        <v>2025</v>
      </c>
      <c r="DD4" s="17">
        <f t="shared" si="38"/>
        <v>2025</v>
      </c>
      <c r="DE4" s="17">
        <f t="shared" si="38"/>
        <v>2025</v>
      </c>
      <c r="DF4" s="17">
        <f t="shared" si="38"/>
        <v>2025</v>
      </c>
      <c r="DG4" s="17">
        <f t="shared" si="38"/>
        <v>2025</v>
      </c>
      <c r="DH4" s="17">
        <f t="shared" si="38"/>
        <v>2025</v>
      </c>
      <c r="DI4" s="17">
        <f t="shared" si="38"/>
        <v>2025</v>
      </c>
      <c r="DJ4" s="17">
        <f t="shared" si="38"/>
        <v>2025</v>
      </c>
      <c r="DK4" s="17">
        <f t="shared" si="38"/>
        <v>2025</v>
      </c>
      <c r="DL4" s="17">
        <f t="shared" si="38"/>
        <v>2025</v>
      </c>
      <c r="DM4" s="17">
        <f t="shared" si="38"/>
        <v>2025</v>
      </c>
      <c r="DN4" s="17">
        <f t="shared" ref="DN4:DO4" si="39">YEAR(DN1)</f>
        <v>2025</v>
      </c>
      <c r="DO4" s="17">
        <f t="shared" si="39"/>
        <v>2025</v>
      </c>
    </row>
    <row r="5" spans="1:119">
      <c r="A5" s="36" t="s">
        <v>58</v>
      </c>
      <c r="B5" s="17">
        <f>YEAR(B2)</f>
        <v>2021</v>
      </c>
      <c r="C5" s="17">
        <f t="shared" ref="C5:BN5" si="40">YEAR(C2)</f>
        <v>2021</v>
      </c>
      <c r="D5" s="17">
        <f t="shared" si="40"/>
        <v>2021</v>
      </c>
      <c r="E5" s="17">
        <f t="shared" si="40"/>
        <v>2021</v>
      </c>
      <c r="F5" s="17">
        <f t="shared" si="40"/>
        <v>2021</v>
      </c>
      <c r="G5" s="17">
        <f t="shared" si="40"/>
        <v>2021</v>
      </c>
      <c r="H5" s="17">
        <f t="shared" si="40"/>
        <v>2021</v>
      </c>
      <c r="I5" s="17">
        <f t="shared" si="40"/>
        <v>2021</v>
      </c>
      <c r="J5" s="17">
        <f t="shared" si="40"/>
        <v>2021</v>
      </c>
      <c r="K5" s="17">
        <f t="shared" si="40"/>
        <v>2021</v>
      </c>
      <c r="L5" s="17">
        <f t="shared" si="40"/>
        <v>2021</v>
      </c>
      <c r="M5" s="17">
        <f t="shared" si="40"/>
        <v>2021</v>
      </c>
      <c r="N5" s="17">
        <f t="shared" si="40"/>
        <v>2021</v>
      </c>
      <c r="O5" s="17">
        <f t="shared" si="40"/>
        <v>2021</v>
      </c>
      <c r="P5" s="17">
        <f t="shared" si="40"/>
        <v>2021</v>
      </c>
      <c r="Q5" s="17">
        <f t="shared" si="40"/>
        <v>2022</v>
      </c>
      <c r="R5" s="17">
        <f t="shared" si="40"/>
        <v>2022</v>
      </c>
      <c r="S5" s="17">
        <f t="shared" si="40"/>
        <v>2022</v>
      </c>
      <c r="T5" s="17">
        <f t="shared" si="40"/>
        <v>2022</v>
      </c>
      <c r="U5" s="17">
        <f t="shared" si="40"/>
        <v>2022</v>
      </c>
      <c r="V5" s="17">
        <f t="shared" si="40"/>
        <v>2022</v>
      </c>
      <c r="W5" s="17">
        <f t="shared" si="40"/>
        <v>2022</v>
      </c>
      <c r="X5" s="17">
        <f t="shared" si="40"/>
        <v>2022</v>
      </c>
      <c r="Y5" s="17">
        <f t="shared" si="40"/>
        <v>2022</v>
      </c>
      <c r="Z5" s="17">
        <f t="shared" si="40"/>
        <v>2022</v>
      </c>
      <c r="AA5" s="17">
        <f t="shared" si="40"/>
        <v>2022</v>
      </c>
      <c r="AB5" s="17">
        <f t="shared" si="40"/>
        <v>2022</v>
      </c>
      <c r="AC5" s="17">
        <f t="shared" si="40"/>
        <v>2022</v>
      </c>
      <c r="AD5" s="17">
        <f t="shared" si="40"/>
        <v>2022</v>
      </c>
      <c r="AE5" s="17">
        <f t="shared" si="40"/>
        <v>2022</v>
      </c>
      <c r="AF5" s="17">
        <f t="shared" si="40"/>
        <v>2022</v>
      </c>
      <c r="AG5" s="17">
        <f t="shared" si="40"/>
        <v>2022</v>
      </c>
      <c r="AH5" s="17">
        <f t="shared" si="40"/>
        <v>2022</v>
      </c>
      <c r="AI5" s="17">
        <f t="shared" si="40"/>
        <v>2022</v>
      </c>
      <c r="AJ5" s="17">
        <f t="shared" si="40"/>
        <v>2022</v>
      </c>
      <c r="AK5" s="17">
        <f t="shared" si="40"/>
        <v>2022</v>
      </c>
      <c r="AL5" s="17">
        <f t="shared" si="40"/>
        <v>2022</v>
      </c>
      <c r="AM5" s="17">
        <f t="shared" si="40"/>
        <v>2022</v>
      </c>
      <c r="AN5" s="17">
        <f t="shared" si="40"/>
        <v>2022</v>
      </c>
      <c r="AO5" s="17">
        <f t="shared" si="40"/>
        <v>2022</v>
      </c>
      <c r="AP5" s="17">
        <f t="shared" si="40"/>
        <v>2022</v>
      </c>
      <c r="AQ5" s="17">
        <f t="shared" si="40"/>
        <v>2023</v>
      </c>
      <c r="AR5" s="17">
        <f t="shared" si="40"/>
        <v>2023</v>
      </c>
      <c r="AS5" s="17">
        <f t="shared" si="40"/>
        <v>2023</v>
      </c>
      <c r="AT5" s="17">
        <f t="shared" si="40"/>
        <v>2023</v>
      </c>
      <c r="AU5" s="17">
        <f t="shared" si="40"/>
        <v>2023</v>
      </c>
      <c r="AV5" s="17">
        <f t="shared" si="40"/>
        <v>2023</v>
      </c>
      <c r="AW5" s="17">
        <f t="shared" si="40"/>
        <v>2023</v>
      </c>
      <c r="AX5" s="17">
        <f t="shared" si="40"/>
        <v>2023</v>
      </c>
      <c r="AY5" s="17">
        <f t="shared" si="40"/>
        <v>2023</v>
      </c>
      <c r="AZ5" s="17">
        <f t="shared" si="40"/>
        <v>2023</v>
      </c>
      <c r="BA5" s="17">
        <f t="shared" si="40"/>
        <v>2023</v>
      </c>
      <c r="BB5" s="17">
        <f t="shared" si="40"/>
        <v>2023</v>
      </c>
      <c r="BC5" s="17">
        <f t="shared" si="40"/>
        <v>2023</v>
      </c>
      <c r="BD5" s="17">
        <f t="shared" si="40"/>
        <v>2023</v>
      </c>
      <c r="BE5" s="17">
        <f t="shared" si="40"/>
        <v>2023</v>
      </c>
      <c r="BF5" s="17">
        <f t="shared" si="40"/>
        <v>2023</v>
      </c>
      <c r="BG5" s="17">
        <f t="shared" si="40"/>
        <v>2023</v>
      </c>
      <c r="BH5" s="17">
        <f t="shared" si="40"/>
        <v>2023</v>
      </c>
      <c r="BI5" s="17">
        <f t="shared" si="40"/>
        <v>2023</v>
      </c>
      <c r="BJ5" s="17">
        <f t="shared" si="40"/>
        <v>2023</v>
      </c>
      <c r="BK5" s="17">
        <f t="shared" si="40"/>
        <v>2023</v>
      </c>
      <c r="BL5" s="17">
        <f t="shared" si="40"/>
        <v>2023</v>
      </c>
      <c r="BM5" s="17">
        <f t="shared" si="40"/>
        <v>2023</v>
      </c>
      <c r="BN5" s="17">
        <f t="shared" si="40"/>
        <v>2023</v>
      </c>
      <c r="BO5" s="17">
        <f t="shared" ref="BO5:CQ5" si="41">YEAR(BO2)</f>
        <v>2023</v>
      </c>
      <c r="BP5" s="17">
        <f t="shared" si="41"/>
        <v>2023</v>
      </c>
      <c r="BQ5" s="17">
        <f t="shared" si="41"/>
        <v>2024</v>
      </c>
      <c r="BR5" s="17">
        <f t="shared" si="41"/>
        <v>2024</v>
      </c>
      <c r="BS5" s="17">
        <f t="shared" si="41"/>
        <v>2024</v>
      </c>
      <c r="BT5" s="17">
        <f t="shared" si="41"/>
        <v>2024</v>
      </c>
      <c r="BU5" s="17">
        <f t="shared" si="41"/>
        <v>2024</v>
      </c>
      <c r="BV5" s="17">
        <f t="shared" si="41"/>
        <v>2024</v>
      </c>
      <c r="BW5" s="17">
        <f t="shared" si="41"/>
        <v>2024</v>
      </c>
      <c r="BX5" s="17">
        <f t="shared" si="41"/>
        <v>2024</v>
      </c>
      <c r="BY5" s="17">
        <f t="shared" si="41"/>
        <v>2024</v>
      </c>
      <c r="BZ5" s="17">
        <f t="shared" si="41"/>
        <v>2024</v>
      </c>
      <c r="CA5" s="17">
        <f t="shared" si="41"/>
        <v>2024</v>
      </c>
      <c r="CB5" s="17">
        <f t="shared" si="41"/>
        <v>2024</v>
      </c>
      <c r="CC5" s="17">
        <f t="shared" si="41"/>
        <v>2024</v>
      </c>
      <c r="CD5" s="17">
        <f t="shared" si="41"/>
        <v>2024</v>
      </c>
      <c r="CE5" s="17">
        <f t="shared" si="41"/>
        <v>2024</v>
      </c>
      <c r="CF5" s="17">
        <f t="shared" si="41"/>
        <v>2024</v>
      </c>
      <c r="CG5" s="17">
        <f t="shared" si="41"/>
        <v>2024</v>
      </c>
      <c r="CH5" s="17">
        <f t="shared" si="41"/>
        <v>2024</v>
      </c>
      <c r="CI5" s="17">
        <f t="shared" si="41"/>
        <v>2024</v>
      </c>
      <c r="CJ5" s="17">
        <f t="shared" si="41"/>
        <v>2024</v>
      </c>
      <c r="CK5" s="17">
        <f t="shared" si="41"/>
        <v>2024</v>
      </c>
      <c r="CL5" s="17">
        <f t="shared" si="41"/>
        <v>2024</v>
      </c>
      <c r="CM5" s="17">
        <f t="shared" si="41"/>
        <v>2024</v>
      </c>
      <c r="CN5" s="17">
        <f t="shared" si="41"/>
        <v>2024</v>
      </c>
      <c r="CO5" s="17">
        <f t="shared" si="41"/>
        <v>2024</v>
      </c>
      <c r="CP5" s="17">
        <f t="shared" si="41"/>
        <v>2024</v>
      </c>
      <c r="CQ5" s="17">
        <f t="shared" si="41"/>
        <v>2025</v>
      </c>
      <c r="CR5" s="17">
        <f t="shared" ref="CR5:CW5" si="42">YEAR(CR2)</f>
        <v>2025</v>
      </c>
      <c r="CS5" s="17">
        <f t="shared" si="42"/>
        <v>2025</v>
      </c>
      <c r="CT5" s="17">
        <f t="shared" si="42"/>
        <v>2025</v>
      </c>
      <c r="CU5" s="17">
        <f t="shared" si="42"/>
        <v>2025</v>
      </c>
      <c r="CV5" s="17">
        <f t="shared" si="42"/>
        <v>2025</v>
      </c>
      <c r="CW5" s="17">
        <f t="shared" si="42"/>
        <v>2025</v>
      </c>
      <c r="CX5" s="17">
        <f t="shared" si="37"/>
        <v>2025</v>
      </c>
      <c r="CY5" s="17">
        <f t="shared" si="37"/>
        <v>2025</v>
      </c>
      <c r="CZ5" s="17">
        <f t="shared" si="37"/>
        <v>2025</v>
      </c>
      <c r="DA5" s="17">
        <f t="shared" si="37"/>
        <v>2025</v>
      </c>
      <c r="DB5" s="17">
        <f t="shared" ref="DB5:DM5" si="43">YEAR(DB2)</f>
        <v>2025</v>
      </c>
      <c r="DC5" s="17">
        <f t="shared" si="43"/>
        <v>2025</v>
      </c>
      <c r="DD5" s="17">
        <f t="shared" si="43"/>
        <v>2025</v>
      </c>
      <c r="DE5" s="17">
        <f t="shared" si="43"/>
        <v>2025</v>
      </c>
      <c r="DF5" s="17">
        <f t="shared" si="43"/>
        <v>2025</v>
      </c>
      <c r="DG5" s="17">
        <f t="shared" si="43"/>
        <v>2025</v>
      </c>
      <c r="DH5" s="17">
        <f t="shared" si="43"/>
        <v>2025</v>
      </c>
      <c r="DI5" s="17">
        <f t="shared" si="43"/>
        <v>2025</v>
      </c>
      <c r="DJ5" s="17">
        <f t="shared" si="43"/>
        <v>2025</v>
      </c>
      <c r="DK5" s="17">
        <f t="shared" si="43"/>
        <v>2025</v>
      </c>
      <c r="DL5" s="17">
        <f t="shared" si="43"/>
        <v>2025</v>
      </c>
      <c r="DM5" s="17">
        <f t="shared" si="43"/>
        <v>2025</v>
      </c>
      <c r="DN5" s="17">
        <f t="shared" ref="DN5:DO5" si="44">YEAR(DN2)</f>
        <v>2025</v>
      </c>
      <c r="DO5" s="17">
        <f t="shared" si="44"/>
        <v>2025</v>
      </c>
    </row>
    <row r="6" spans="1:119" ht="16.5">
      <c r="A6" s="37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119" ht="16.5">
      <c r="A7" s="37" t="s">
        <v>3</v>
      </c>
      <c r="B7" s="4"/>
      <c r="C7" s="4"/>
      <c r="D7" s="4"/>
      <c r="E7" s="4"/>
      <c r="F7" s="4"/>
      <c r="G7" s="4"/>
      <c r="H7" s="4"/>
      <c r="I7" s="4"/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1200</v>
      </c>
      <c r="Q7" s="4">
        <v>3134.39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>
        <v>14823.77</v>
      </c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119" ht="16.5">
      <c r="A8" s="37" t="s">
        <v>4</v>
      </c>
      <c r="B8" s="4">
        <v>4098.37</v>
      </c>
      <c r="C8" s="4"/>
      <c r="D8" s="4"/>
      <c r="E8" s="4"/>
      <c r="F8" s="4"/>
      <c r="G8" s="4"/>
      <c r="H8" s="4"/>
      <c r="I8" s="4"/>
      <c r="J8" s="4"/>
      <c r="K8" s="4">
        <v>224.74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>
        <v>101.3</v>
      </c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119" ht="16.5">
      <c r="A9" s="37" t="s">
        <v>5</v>
      </c>
      <c r="B9" s="4">
        <v>0</v>
      </c>
      <c r="C9" s="4">
        <v>4.8600000000000003</v>
      </c>
      <c r="D9" s="4">
        <v>4.8600000000000003</v>
      </c>
      <c r="E9" s="4">
        <v>4.8600000000000003</v>
      </c>
      <c r="F9" s="4">
        <v>4.8600000000000003</v>
      </c>
      <c r="G9" s="4">
        <v>4.8600000000000003</v>
      </c>
      <c r="H9" s="4">
        <v>4.8600000000000003</v>
      </c>
      <c r="I9" s="4">
        <v>4.8600000000000003</v>
      </c>
      <c r="J9" s="4">
        <v>4.8600000000000003</v>
      </c>
      <c r="K9" s="4">
        <v>4.8600000000000003</v>
      </c>
      <c r="L9" s="4">
        <v>4.8600000000000003</v>
      </c>
      <c r="M9" s="4">
        <v>4.8600000000000003</v>
      </c>
      <c r="N9" s="4">
        <v>4.8600000000000003</v>
      </c>
      <c r="O9" s="4">
        <v>4.8600000000000003</v>
      </c>
      <c r="P9" s="4">
        <v>4.8600000000000003</v>
      </c>
      <c r="Q9" s="4">
        <v>4.8600000000000003</v>
      </c>
      <c r="R9" s="4">
        <v>4.9800000000000004</v>
      </c>
      <c r="S9" s="4">
        <v>4.9800000000000004</v>
      </c>
      <c r="T9" s="4">
        <v>4.9800000000000004</v>
      </c>
      <c r="U9" s="4">
        <v>5.14</v>
      </c>
      <c r="V9" s="4">
        <v>5.14</v>
      </c>
      <c r="W9" s="4">
        <v>5.14</v>
      </c>
      <c r="X9" s="4">
        <v>5.14</v>
      </c>
      <c r="Y9" s="4">
        <v>5.73</v>
      </c>
      <c r="Z9" s="4">
        <v>5.73</v>
      </c>
      <c r="AA9" s="4">
        <v>5.73</v>
      </c>
      <c r="AB9" s="4">
        <v>5.73</v>
      </c>
      <c r="AC9" s="4">
        <v>5.73</v>
      </c>
      <c r="AD9" s="4">
        <v>5.73</v>
      </c>
      <c r="AE9" s="4">
        <v>5.73</v>
      </c>
      <c r="AF9" s="4">
        <v>5.73</v>
      </c>
      <c r="AG9" s="4">
        <v>5.73</v>
      </c>
      <c r="AH9" s="4">
        <v>5.73</v>
      </c>
      <c r="AI9" s="4">
        <v>5.73</v>
      </c>
      <c r="AJ9" s="4">
        <v>5.73</v>
      </c>
      <c r="AK9" s="4">
        <v>5.73</v>
      </c>
      <c r="AL9" s="4">
        <v>5.73</v>
      </c>
      <c r="AM9" s="4">
        <v>5.73</v>
      </c>
      <c r="AN9" s="4">
        <v>5.73</v>
      </c>
      <c r="AO9" s="4">
        <v>5.73</v>
      </c>
      <c r="AP9" s="4">
        <v>5.73</v>
      </c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119" ht="16.5">
      <c r="A10" s="37" t="s">
        <v>6</v>
      </c>
      <c r="B10" s="4">
        <v>0</v>
      </c>
      <c r="C10" s="4">
        <v>20</v>
      </c>
      <c r="D10" s="4">
        <v>20</v>
      </c>
      <c r="E10" s="4">
        <v>20</v>
      </c>
      <c r="F10" s="4">
        <v>20</v>
      </c>
      <c r="G10" s="4">
        <v>20</v>
      </c>
      <c r="H10" s="4">
        <v>20</v>
      </c>
      <c r="I10" s="4">
        <v>20</v>
      </c>
      <c r="J10" s="4">
        <v>20</v>
      </c>
      <c r="K10" s="4">
        <v>20</v>
      </c>
      <c r="L10" s="4">
        <v>20</v>
      </c>
      <c r="M10" s="4">
        <v>20</v>
      </c>
      <c r="N10" s="4">
        <v>20</v>
      </c>
      <c r="O10" s="4">
        <v>20</v>
      </c>
      <c r="P10" s="4">
        <v>20</v>
      </c>
      <c r="Q10" s="4">
        <v>20</v>
      </c>
      <c r="R10" s="4">
        <v>20</v>
      </c>
      <c r="S10" s="4">
        <v>20</v>
      </c>
      <c r="T10" s="4">
        <v>20</v>
      </c>
      <c r="U10" s="4">
        <v>20</v>
      </c>
      <c r="V10" s="4">
        <v>20</v>
      </c>
      <c r="W10" s="4">
        <v>20</v>
      </c>
      <c r="X10" s="4">
        <v>20</v>
      </c>
      <c r="Y10" s="4">
        <v>20</v>
      </c>
      <c r="Z10" s="4">
        <v>20</v>
      </c>
      <c r="AA10" s="4">
        <v>20</v>
      </c>
      <c r="AB10" s="4">
        <v>20</v>
      </c>
      <c r="AC10" s="4">
        <v>20</v>
      </c>
      <c r="AD10" s="4">
        <v>20</v>
      </c>
      <c r="AE10" s="4">
        <v>20</v>
      </c>
      <c r="AF10" s="4">
        <v>20</v>
      </c>
      <c r="AG10" s="4">
        <v>20</v>
      </c>
      <c r="AH10" s="4">
        <v>20</v>
      </c>
      <c r="AI10" s="4">
        <v>20</v>
      </c>
      <c r="AJ10" s="4">
        <v>20</v>
      </c>
      <c r="AK10" s="4">
        <v>20</v>
      </c>
      <c r="AL10" s="4">
        <v>20</v>
      </c>
      <c r="AM10" s="4">
        <v>20</v>
      </c>
      <c r="AN10" s="4">
        <v>20</v>
      </c>
      <c r="AO10" s="4">
        <v>20</v>
      </c>
      <c r="AP10" s="4">
        <v>20</v>
      </c>
      <c r="AQ10" s="4">
        <v>20</v>
      </c>
      <c r="AR10" s="4">
        <v>20</v>
      </c>
      <c r="AS10" s="4">
        <v>20</v>
      </c>
      <c r="AT10" s="4">
        <v>20</v>
      </c>
      <c r="AU10" s="4">
        <v>20</v>
      </c>
      <c r="AV10" s="4">
        <v>20</v>
      </c>
      <c r="AW10" s="4">
        <v>20</v>
      </c>
      <c r="AX10" s="4">
        <v>20</v>
      </c>
      <c r="AY10" s="4">
        <v>20</v>
      </c>
      <c r="AZ10" s="4">
        <v>20</v>
      </c>
      <c r="BA10" s="4">
        <v>20</v>
      </c>
      <c r="BB10" s="4">
        <v>20</v>
      </c>
      <c r="BC10" s="4">
        <v>20</v>
      </c>
      <c r="BD10" s="4">
        <v>20</v>
      </c>
      <c r="BE10" s="4">
        <v>20</v>
      </c>
      <c r="BF10" s="4">
        <v>20</v>
      </c>
      <c r="BG10" s="4">
        <v>20</v>
      </c>
      <c r="BH10" s="4">
        <v>20</v>
      </c>
      <c r="BI10" s="4">
        <v>20</v>
      </c>
      <c r="BJ10" s="4">
        <v>20</v>
      </c>
      <c r="BK10" s="4">
        <v>20</v>
      </c>
      <c r="BL10" s="4">
        <v>20</v>
      </c>
      <c r="BM10" s="4">
        <v>20</v>
      </c>
      <c r="BN10" s="4">
        <v>20</v>
      </c>
      <c r="BO10" s="4">
        <v>20</v>
      </c>
      <c r="BP10" s="4">
        <v>20</v>
      </c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119" ht="16.5">
      <c r="A11" s="37" t="s">
        <v>7</v>
      </c>
      <c r="B11" s="4">
        <v>2700</v>
      </c>
      <c r="C11" s="4">
        <v>3000</v>
      </c>
      <c r="D11" s="4">
        <v>3000</v>
      </c>
      <c r="E11" s="4">
        <v>3000</v>
      </c>
      <c r="F11" s="4">
        <v>3000</v>
      </c>
      <c r="G11" s="4">
        <v>3000</v>
      </c>
      <c r="H11" s="4">
        <v>3000</v>
      </c>
      <c r="I11" s="4">
        <v>3000</v>
      </c>
      <c r="J11" s="4">
        <v>3000</v>
      </c>
      <c r="K11" s="4">
        <v>3000</v>
      </c>
      <c r="L11" s="4">
        <v>3000</v>
      </c>
      <c r="M11" s="4">
        <v>3000</v>
      </c>
      <c r="N11" s="4">
        <v>3000</v>
      </c>
      <c r="O11" s="4">
        <v>3000</v>
      </c>
      <c r="P11" s="4">
        <v>3076.93</v>
      </c>
      <c r="Q11" s="4">
        <v>3076.93</v>
      </c>
      <c r="R11" s="4">
        <v>3076.93</v>
      </c>
      <c r="S11" s="4">
        <v>3076.93</v>
      </c>
      <c r="T11" s="4">
        <v>3076.93</v>
      </c>
      <c r="U11" s="4">
        <v>3173.08</v>
      </c>
      <c r="V11" s="4">
        <v>3173.08</v>
      </c>
      <c r="W11" s="4">
        <v>3173.08</v>
      </c>
      <c r="X11" s="4">
        <v>3173.08</v>
      </c>
      <c r="Y11" s="4">
        <v>3538.47</v>
      </c>
      <c r="Z11" s="4">
        <v>3538.47</v>
      </c>
      <c r="AA11" s="4">
        <v>3538.47</v>
      </c>
      <c r="AB11" s="4">
        <v>3538.47</v>
      </c>
      <c r="AC11" s="4">
        <v>3538.47</v>
      </c>
      <c r="AD11" s="4">
        <v>3538.47</v>
      </c>
      <c r="AE11" s="4">
        <v>3538.47</v>
      </c>
      <c r="AF11" s="4">
        <v>3538.47</v>
      </c>
      <c r="AG11" s="4">
        <v>3538.47</v>
      </c>
      <c r="AH11" s="4">
        <v>3538.47</v>
      </c>
      <c r="AI11" s="4">
        <v>3538.47</v>
      </c>
      <c r="AJ11" s="4">
        <v>3538.47</v>
      </c>
      <c r="AK11" s="4">
        <v>3538.47</v>
      </c>
      <c r="AL11" s="4">
        <v>3538.47</v>
      </c>
      <c r="AM11" s="4">
        <v>3538.47</v>
      </c>
      <c r="AN11" s="4">
        <v>3538.47</v>
      </c>
      <c r="AO11" s="4">
        <v>3538.47</v>
      </c>
      <c r="AP11" s="4">
        <v>3538.47</v>
      </c>
      <c r="AQ11" s="4">
        <v>3538.47</v>
      </c>
      <c r="AR11" s="4">
        <v>3538.47</v>
      </c>
      <c r="AS11" s="4">
        <v>3538.47</v>
      </c>
      <c r="AT11" s="4">
        <v>3538.47</v>
      </c>
      <c r="AU11" s="4">
        <v>4000</v>
      </c>
      <c r="AV11" s="4">
        <v>4000</v>
      </c>
      <c r="AW11" s="4">
        <v>4000</v>
      </c>
      <c r="AX11" s="4">
        <v>4000</v>
      </c>
      <c r="AY11" s="4">
        <v>4000</v>
      </c>
      <c r="AZ11" s="4">
        <v>4000</v>
      </c>
      <c r="BA11" s="4">
        <v>4000</v>
      </c>
      <c r="BB11" s="4">
        <v>4000</v>
      </c>
      <c r="BC11" s="4">
        <v>4000</v>
      </c>
      <c r="BD11" s="4">
        <v>4000</v>
      </c>
      <c r="BE11" s="4">
        <v>4000</v>
      </c>
      <c r="BF11" s="4">
        <v>4000</v>
      </c>
      <c r="BG11" s="4">
        <v>4000</v>
      </c>
      <c r="BH11" s="4">
        <v>4000</v>
      </c>
      <c r="BI11" s="4">
        <f t="shared" ref="BI11:BT11" si="45">129000/26</f>
        <v>4961.5384615384619</v>
      </c>
      <c r="BJ11" s="4">
        <f t="shared" si="45"/>
        <v>4961.5384615384619</v>
      </c>
      <c r="BK11" s="4">
        <f t="shared" si="45"/>
        <v>4961.5384615384619</v>
      </c>
      <c r="BL11" s="4">
        <f t="shared" si="45"/>
        <v>4961.5384615384619</v>
      </c>
      <c r="BM11" s="4">
        <f t="shared" si="45"/>
        <v>4961.5384615384619</v>
      </c>
      <c r="BN11" s="4">
        <v>4961.5384615384619</v>
      </c>
      <c r="BO11" s="4">
        <v>4961.5384615384619</v>
      </c>
      <c r="BP11" s="4">
        <v>4961.5384615384619</v>
      </c>
      <c r="BQ11" s="4">
        <v>4961.5384615384619</v>
      </c>
      <c r="BR11" s="4">
        <v>4961.5384615384619</v>
      </c>
      <c r="BS11" s="4">
        <v>4961.5384615384619</v>
      </c>
      <c r="BT11" s="4">
        <v>4961.5384615384619</v>
      </c>
      <c r="BU11" s="4">
        <v>5259.2307692307695</v>
      </c>
      <c r="BV11" s="4">
        <v>5259.2307692307695</v>
      </c>
      <c r="BW11" s="4">
        <v>5259.24</v>
      </c>
      <c r="BX11" s="4">
        <v>5259.24</v>
      </c>
      <c r="BY11" s="4">
        <v>5259.24</v>
      </c>
      <c r="BZ11" s="4">
        <v>5259.24</v>
      </c>
      <c r="CA11" s="4">
        <v>5259.24</v>
      </c>
      <c r="CB11" s="4">
        <v>5259.24</v>
      </c>
      <c r="CC11" s="4">
        <v>6191.24</v>
      </c>
      <c r="CD11" s="4">
        <v>5259.24</v>
      </c>
      <c r="CE11" s="4">
        <v>5259.24</v>
      </c>
      <c r="CF11" s="4">
        <v>5259.24</v>
      </c>
      <c r="CG11" s="4">
        <v>5259.24</v>
      </c>
      <c r="CH11" s="4">
        <v>5259.24</v>
      </c>
      <c r="CI11" s="4">
        <v>5259.24</v>
      </c>
      <c r="CJ11" s="4">
        <v>5259.24</v>
      </c>
      <c r="CK11" s="4">
        <v>5259.24</v>
      </c>
      <c r="CL11" s="4">
        <v>5259.24</v>
      </c>
      <c r="CM11" s="4">
        <v>5259.24</v>
      </c>
      <c r="CN11" s="4">
        <v>5259.24</v>
      </c>
      <c r="CO11" s="4">
        <v>5259.24</v>
      </c>
      <c r="CP11" s="4">
        <v>5259.24</v>
      </c>
      <c r="CQ11" s="4">
        <v>5259.24</v>
      </c>
      <c r="CR11" s="4">
        <v>5259.24</v>
      </c>
      <c r="CS11" s="4">
        <v>5259.24</v>
      </c>
      <c r="CT11" s="4">
        <v>5259.24</v>
      </c>
      <c r="CU11" s="4">
        <v>5553.75</v>
      </c>
      <c r="CV11" s="4">
        <v>5553.75</v>
      </c>
      <c r="CW11" s="4">
        <v>5553.75</v>
      </c>
      <c r="CX11" s="4">
        <v>5553.75</v>
      </c>
      <c r="CY11" s="4">
        <v>5553.75</v>
      </c>
      <c r="CZ11" s="4">
        <v>5553.75</v>
      </c>
      <c r="DA11" s="4">
        <v>5553.75</v>
      </c>
      <c r="DB11" s="4">
        <v>5553.75</v>
      </c>
      <c r="DC11" s="4">
        <v>5553.75</v>
      </c>
      <c r="DD11" s="4">
        <v>5553.75</v>
      </c>
      <c r="DE11" s="4">
        <v>5553.75</v>
      </c>
      <c r="DF11" s="4">
        <v>5553.75</v>
      </c>
      <c r="DG11" s="4">
        <v>5553.75</v>
      </c>
      <c r="DH11" s="4">
        <v>5553.75</v>
      </c>
      <c r="DI11" s="4">
        <v>6551.75</v>
      </c>
      <c r="DJ11" s="4">
        <v>5553.75</v>
      </c>
      <c r="DK11" s="4">
        <v>5553.75</v>
      </c>
      <c r="DL11" s="4">
        <v>6893.0769230769229</v>
      </c>
      <c r="DM11" s="4"/>
      <c r="DN11" s="4"/>
      <c r="DO11" s="4"/>
    </row>
    <row r="12" spans="1:119" ht="16.5">
      <c r="A12" s="37" t="s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>
        <v>1757</v>
      </c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>
        <v>932</v>
      </c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>
        <v>1889</v>
      </c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>
        <v>998</v>
      </c>
      <c r="DJ12" s="4"/>
      <c r="DK12" s="4"/>
      <c r="DL12" s="4"/>
      <c r="DM12" s="4"/>
      <c r="DN12" s="4"/>
      <c r="DO12" s="4"/>
    </row>
    <row r="13" spans="1:119" ht="16.5">
      <c r="A13" s="37" t="s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>
        <v>3011.11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>
        <v>2381.7199999999998</v>
      </c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</row>
    <row r="14" spans="1:119" ht="16.5">
      <c r="A14" s="37" t="s">
        <v>39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>
        <v>2396.6</v>
      </c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</row>
    <row r="15" spans="1:119" ht="16.5">
      <c r="A15" s="37" t="s">
        <v>10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>
        <f>4.98-4.86</f>
        <v>0.12000000000000011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</row>
    <row r="16" spans="1:119" ht="16.5">
      <c r="A16" s="38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</row>
    <row r="17" spans="1:122" ht="16.5">
      <c r="A17" s="37" t="s">
        <v>11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>
        <v>0.82</v>
      </c>
      <c r="R17" s="4">
        <v>0.82</v>
      </c>
      <c r="S17" s="4">
        <v>0.82</v>
      </c>
      <c r="T17" s="4">
        <v>0.82</v>
      </c>
      <c r="U17" s="4">
        <v>0.84</v>
      </c>
      <c r="V17" s="4">
        <v>0.84</v>
      </c>
      <c r="W17" s="4">
        <v>0.84</v>
      </c>
      <c r="X17" s="4">
        <v>0.84</v>
      </c>
      <c r="Y17" s="4">
        <v>0.94</v>
      </c>
      <c r="Z17" s="4">
        <v>0.94</v>
      </c>
      <c r="AA17" s="4">
        <v>0.94</v>
      </c>
      <c r="AB17" s="4">
        <v>0.94</v>
      </c>
      <c r="AC17" s="4">
        <v>0.94</v>
      </c>
      <c r="AD17" s="4">
        <v>0.94</v>
      </c>
      <c r="AE17" s="4">
        <v>0.94</v>
      </c>
      <c r="AF17" s="4">
        <v>0.94</v>
      </c>
      <c r="AG17" s="4">
        <v>0.94</v>
      </c>
      <c r="AH17" s="4">
        <v>0.94</v>
      </c>
      <c r="AI17" s="4">
        <v>0.94</v>
      </c>
      <c r="AJ17" s="4">
        <v>0.94</v>
      </c>
      <c r="AK17" s="4">
        <v>0.94</v>
      </c>
      <c r="AL17" s="4">
        <v>0.94</v>
      </c>
      <c r="AM17" s="4">
        <v>0.94</v>
      </c>
      <c r="AN17" s="4">
        <v>0.94</v>
      </c>
      <c r="AO17" s="4">
        <v>0.94</v>
      </c>
      <c r="AP17" s="4">
        <v>0.94</v>
      </c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</row>
    <row r="18" spans="1:122" ht="16.5">
      <c r="A18" s="37" t="s">
        <v>12</v>
      </c>
      <c r="B18" s="4">
        <v>0</v>
      </c>
      <c r="C18" s="4">
        <v>54.77</v>
      </c>
      <c r="D18" s="4">
        <v>54.77</v>
      </c>
      <c r="E18" s="4">
        <v>54.77</v>
      </c>
      <c r="F18" s="4">
        <v>54.77</v>
      </c>
      <c r="G18" s="4">
        <v>54.77</v>
      </c>
      <c r="H18" s="4">
        <v>54.77</v>
      </c>
      <c r="I18" s="4">
        <v>54.77</v>
      </c>
      <c r="J18" s="4">
        <v>54.77</v>
      </c>
      <c r="K18" s="4">
        <v>54.77</v>
      </c>
      <c r="L18" s="4">
        <v>54.77</v>
      </c>
      <c r="M18" s="4">
        <v>54.77</v>
      </c>
      <c r="N18" s="4">
        <v>54.77</v>
      </c>
      <c r="O18" s="4">
        <v>54.77</v>
      </c>
      <c r="P18" s="4">
        <v>54.77</v>
      </c>
      <c r="Q18" s="4">
        <v>111.15</v>
      </c>
      <c r="R18" s="4">
        <v>111.15</v>
      </c>
      <c r="S18" s="4">
        <v>111.15</v>
      </c>
      <c r="T18" s="4">
        <v>111.15</v>
      </c>
      <c r="U18" s="4">
        <v>111.15</v>
      </c>
      <c r="V18" s="4">
        <v>111.15</v>
      </c>
      <c r="W18" s="4">
        <v>111.15</v>
      </c>
      <c r="X18" s="4">
        <v>111.15</v>
      </c>
      <c r="Y18" s="4">
        <v>111.15</v>
      </c>
      <c r="Z18" s="4">
        <v>111.15</v>
      </c>
      <c r="AA18" s="4">
        <v>111.15</v>
      </c>
      <c r="AB18" s="4">
        <v>111.15</v>
      </c>
      <c r="AC18" s="4">
        <v>111.15</v>
      </c>
      <c r="AD18" s="4">
        <v>111.15</v>
      </c>
      <c r="AE18" s="4">
        <v>111.15</v>
      </c>
      <c r="AF18" s="4">
        <v>111.15</v>
      </c>
      <c r="AG18" s="4">
        <v>111.15</v>
      </c>
      <c r="AH18" s="4">
        <v>111.15</v>
      </c>
      <c r="AI18" s="4">
        <v>111.15</v>
      </c>
      <c r="AJ18" s="4">
        <v>111.15</v>
      </c>
      <c r="AK18" s="4">
        <v>111.15</v>
      </c>
      <c r="AL18" s="4">
        <v>111.15</v>
      </c>
      <c r="AM18" s="4">
        <v>111.15</v>
      </c>
      <c r="AN18" s="4">
        <v>111.15</v>
      </c>
      <c r="AO18" s="4">
        <v>111.15</v>
      </c>
      <c r="AP18" s="4">
        <v>111.15</v>
      </c>
      <c r="AQ18" s="4">
        <v>118.85</v>
      </c>
      <c r="AR18" s="4">
        <v>118.85</v>
      </c>
      <c r="AS18" s="4">
        <v>118.85</v>
      </c>
      <c r="AT18" s="4">
        <v>118.85</v>
      </c>
      <c r="AU18" s="4">
        <v>118.85</v>
      </c>
      <c r="AV18" s="4">
        <v>118.85</v>
      </c>
      <c r="AW18" s="4">
        <v>118.85</v>
      </c>
      <c r="AX18" s="4">
        <v>118.85</v>
      </c>
      <c r="AY18" s="4">
        <v>118.85</v>
      </c>
      <c r="AZ18" s="4">
        <v>118.85</v>
      </c>
      <c r="BA18" s="4">
        <v>118.85</v>
      </c>
      <c r="BB18" s="4">
        <v>118.85</v>
      </c>
      <c r="BC18" s="4">
        <v>118.85</v>
      </c>
      <c r="BD18" s="4">
        <v>118.85</v>
      </c>
      <c r="BE18" s="4">
        <v>118.85</v>
      </c>
      <c r="BF18" s="4">
        <v>118.85</v>
      </c>
      <c r="BG18" s="4">
        <v>118.85</v>
      </c>
      <c r="BH18" s="4">
        <v>118.85</v>
      </c>
      <c r="BI18" s="4">
        <v>118.85</v>
      </c>
      <c r="BJ18" s="4">
        <v>118.85</v>
      </c>
      <c r="BK18" s="4">
        <v>118.85</v>
      </c>
      <c r="BL18" s="4">
        <v>118.85</v>
      </c>
      <c r="BM18" s="4">
        <v>118.85</v>
      </c>
      <c r="BN18" s="4">
        <v>118.85</v>
      </c>
      <c r="BO18" s="4">
        <v>118.85</v>
      </c>
      <c r="BP18" s="4">
        <v>118.75</v>
      </c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</row>
    <row r="19" spans="1:122" ht="16.5">
      <c r="A19" s="37" t="s">
        <v>13</v>
      </c>
      <c r="B19" s="4">
        <v>0</v>
      </c>
      <c r="C19" s="4">
        <v>87</v>
      </c>
      <c r="D19" s="4">
        <v>87</v>
      </c>
      <c r="E19" s="4">
        <v>87</v>
      </c>
      <c r="F19" s="4">
        <v>87</v>
      </c>
      <c r="G19" s="4">
        <v>87</v>
      </c>
      <c r="H19" s="4">
        <v>87</v>
      </c>
      <c r="I19" s="4">
        <v>87</v>
      </c>
      <c r="J19" s="4">
        <v>87</v>
      </c>
      <c r="K19" s="4">
        <v>87</v>
      </c>
      <c r="L19" s="4">
        <v>87</v>
      </c>
      <c r="M19" s="4">
        <v>87</v>
      </c>
      <c r="N19" s="4">
        <v>87</v>
      </c>
      <c r="O19" s="4">
        <v>87</v>
      </c>
      <c r="P19" s="4">
        <v>87</v>
      </c>
      <c r="Q19" s="4">
        <v>66</v>
      </c>
      <c r="R19" s="4">
        <v>66</v>
      </c>
      <c r="S19" s="4">
        <v>66</v>
      </c>
      <c r="T19" s="4">
        <v>66</v>
      </c>
      <c r="U19" s="4">
        <v>66</v>
      </c>
      <c r="V19" s="4">
        <v>66</v>
      </c>
      <c r="W19" s="4">
        <v>66</v>
      </c>
      <c r="X19" s="4">
        <v>66</v>
      </c>
      <c r="Y19" s="4">
        <v>66</v>
      </c>
      <c r="Z19" s="4">
        <v>66</v>
      </c>
      <c r="AA19" s="4">
        <v>66</v>
      </c>
      <c r="AB19" s="4">
        <v>66</v>
      </c>
      <c r="AC19" s="4">
        <v>66</v>
      </c>
      <c r="AD19" s="4">
        <v>66</v>
      </c>
      <c r="AE19" s="4">
        <v>66</v>
      </c>
      <c r="AF19" s="4">
        <v>66</v>
      </c>
      <c r="AG19" s="4">
        <v>66</v>
      </c>
      <c r="AH19" s="4">
        <v>66</v>
      </c>
      <c r="AI19" s="4">
        <v>66</v>
      </c>
      <c r="AJ19" s="4">
        <v>89</v>
      </c>
      <c r="AK19" s="4">
        <v>89</v>
      </c>
      <c r="AL19" s="4">
        <v>89</v>
      </c>
      <c r="AM19" s="4">
        <v>89</v>
      </c>
      <c r="AN19" s="4">
        <v>89</v>
      </c>
      <c r="AO19" s="4">
        <v>89</v>
      </c>
      <c r="AP19" s="4">
        <v>89</v>
      </c>
      <c r="AQ19" s="4">
        <v>89</v>
      </c>
      <c r="AR19" s="4">
        <v>89</v>
      </c>
      <c r="AS19" s="4">
        <v>89</v>
      </c>
      <c r="AT19" s="4">
        <v>89</v>
      </c>
      <c r="AU19" s="4">
        <v>89</v>
      </c>
      <c r="AV19" s="4">
        <v>89</v>
      </c>
      <c r="AW19" s="4">
        <v>89</v>
      </c>
      <c r="AX19" s="4">
        <v>89</v>
      </c>
      <c r="AY19" s="4">
        <v>89</v>
      </c>
      <c r="AZ19" s="4">
        <v>89</v>
      </c>
      <c r="BA19" s="4">
        <v>89</v>
      </c>
      <c r="BB19" s="4">
        <v>89</v>
      </c>
      <c r="BC19" s="4">
        <v>89</v>
      </c>
      <c r="BD19" s="4">
        <v>89</v>
      </c>
      <c r="BE19" s="4">
        <v>89</v>
      </c>
      <c r="BF19" s="4">
        <v>89</v>
      </c>
      <c r="BG19" s="4">
        <v>89</v>
      </c>
      <c r="BH19" s="4">
        <v>89</v>
      </c>
      <c r="BI19" s="4">
        <v>89</v>
      </c>
      <c r="BJ19" s="4">
        <v>89</v>
      </c>
      <c r="BK19" s="4">
        <v>89</v>
      </c>
      <c r="BL19" s="4">
        <v>89</v>
      </c>
      <c r="BM19" s="4">
        <v>89</v>
      </c>
      <c r="BN19" s="4">
        <v>89</v>
      </c>
      <c r="BO19" s="4">
        <v>89</v>
      </c>
      <c r="BP19" s="4">
        <v>89</v>
      </c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</row>
    <row r="20" spans="1:122" ht="16.5">
      <c r="A20" s="37" t="s">
        <v>14</v>
      </c>
      <c r="B20" s="4">
        <v>0</v>
      </c>
      <c r="C20" s="4">
        <v>1.6</v>
      </c>
      <c r="D20" s="4">
        <v>1.6</v>
      </c>
      <c r="E20" s="4">
        <v>1.6</v>
      </c>
      <c r="F20" s="4">
        <v>1.6</v>
      </c>
      <c r="G20" s="4">
        <v>1.6</v>
      </c>
      <c r="H20" s="4">
        <v>1.6</v>
      </c>
      <c r="I20" s="4">
        <v>1.6</v>
      </c>
      <c r="J20" s="4">
        <v>1.6</v>
      </c>
      <c r="K20" s="4">
        <v>1.6</v>
      </c>
      <c r="L20" s="4">
        <v>1.6</v>
      </c>
      <c r="M20" s="4">
        <v>1.6</v>
      </c>
      <c r="N20" s="4">
        <v>1.6</v>
      </c>
      <c r="O20" s="4">
        <v>1.6</v>
      </c>
      <c r="P20" s="4">
        <v>1.6</v>
      </c>
      <c r="Q20" s="4">
        <v>1.7</v>
      </c>
      <c r="R20" s="4">
        <v>1.7</v>
      </c>
      <c r="S20" s="4">
        <v>1.7</v>
      </c>
      <c r="T20" s="4">
        <v>1.7</v>
      </c>
      <c r="U20" s="4">
        <v>1.7</v>
      </c>
      <c r="V20" s="4">
        <v>1.7</v>
      </c>
      <c r="W20" s="4">
        <v>1.7</v>
      </c>
      <c r="X20" s="4">
        <v>1.7</v>
      </c>
      <c r="Y20" s="4">
        <v>1.7</v>
      </c>
      <c r="Z20" s="4">
        <v>1.7</v>
      </c>
      <c r="AA20" s="4">
        <v>1.7</v>
      </c>
      <c r="AB20" s="4">
        <v>1.7</v>
      </c>
      <c r="AC20" s="4">
        <v>1.7</v>
      </c>
      <c r="AD20" s="4">
        <v>1.7</v>
      </c>
      <c r="AE20" s="4">
        <v>1.7</v>
      </c>
      <c r="AF20" s="4">
        <v>1.7</v>
      </c>
      <c r="AG20" s="4">
        <v>1.7</v>
      </c>
      <c r="AH20" s="4">
        <v>1.7</v>
      </c>
      <c r="AI20" s="4">
        <v>1.7</v>
      </c>
      <c r="AJ20" s="4">
        <v>1.7</v>
      </c>
      <c r="AK20" s="4">
        <v>1.7</v>
      </c>
      <c r="AL20" s="4">
        <v>1.7</v>
      </c>
      <c r="AM20" s="4">
        <v>1.7</v>
      </c>
      <c r="AN20" s="4">
        <v>1.7</v>
      </c>
      <c r="AO20" s="4">
        <v>1.7</v>
      </c>
      <c r="AP20" s="4">
        <v>1.7</v>
      </c>
      <c r="AQ20" s="4">
        <v>1.7</v>
      </c>
      <c r="AR20" s="4">
        <v>1.7</v>
      </c>
      <c r="AS20" s="4">
        <v>1.7</v>
      </c>
      <c r="AT20" s="4">
        <v>1.7</v>
      </c>
      <c r="AU20" s="4">
        <v>1.7</v>
      </c>
      <c r="AV20" s="4">
        <v>1.7</v>
      </c>
      <c r="AW20" s="4">
        <v>1.7</v>
      </c>
      <c r="AX20" s="4">
        <v>1.7</v>
      </c>
      <c r="AY20" s="4">
        <v>1.7</v>
      </c>
      <c r="AZ20" s="4">
        <v>1.7</v>
      </c>
      <c r="BA20" s="4">
        <v>1.7</v>
      </c>
      <c r="BB20" s="4">
        <v>1.7</v>
      </c>
      <c r="BC20" s="4">
        <v>1.7</v>
      </c>
      <c r="BD20" s="4">
        <v>1.7</v>
      </c>
      <c r="BE20" s="4">
        <v>1.7</v>
      </c>
      <c r="BF20" s="4">
        <v>1.7</v>
      </c>
      <c r="BG20" s="4">
        <v>1.7</v>
      </c>
      <c r="BH20" s="4">
        <v>1.7</v>
      </c>
      <c r="BI20" s="4">
        <v>1.7</v>
      </c>
      <c r="BJ20" s="4">
        <v>1.7</v>
      </c>
      <c r="BK20" s="4">
        <v>1.7</v>
      </c>
      <c r="BL20" s="4">
        <v>1.7</v>
      </c>
      <c r="BM20" s="4">
        <v>1.7</v>
      </c>
      <c r="BN20" s="4">
        <v>1.7</v>
      </c>
      <c r="BO20" s="4">
        <v>1.7</v>
      </c>
      <c r="BP20" s="4">
        <v>1.7</v>
      </c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</row>
    <row r="21" spans="1:122" ht="16.5">
      <c r="A21" s="37" t="s">
        <v>15</v>
      </c>
      <c r="B21" s="4">
        <v>0</v>
      </c>
      <c r="C21" s="4">
        <v>3.79</v>
      </c>
      <c r="D21" s="4">
        <v>3.79</v>
      </c>
      <c r="E21" s="4">
        <v>3.79</v>
      </c>
      <c r="F21" s="4">
        <v>3.79</v>
      </c>
      <c r="G21" s="4">
        <v>3.79</v>
      </c>
      <c r="H21" s="4">
        <v>3.79</v>
      </c>
      <c r="I21" s="4">
        <v>3.79</v>
      </c>
      <c r="J21" s="4">
        <v>3.79</v>
      </c>
      <c r="K21" s="4">
        <v>3.79</v>
      </c>
      <c r="L21" s="4">
        <v>3.79</v>
      </c>
      <c r="M21" s="4">
        <v>3.79</v>
      </c>
      <c r="N21" s="4">
        <v>3.79</v>
      </c>
      <c r="O21" s="4">
        <v>3.79</v>
      </c>
      <c r="P21" s="4">
        <v>3.79</v>
      </c>
      <c r="Q21" s="4">
        <v>3.79</v>
      </c>
      <c r="R21" s="4">
        <v>3.79</v>
      </c>
      <c r="S21" s="4">
        <v>3.79</v>
      </c>
      <c r="T21" s="4">
        <v>3.79</v>
      </c>
      <c r="U21" s="4">
        <v>3.79</v>
      </c>
      <c r="V21" s="4">
        <v>3.79</v>
      </c>
      <c r="W21" s="4">
        <v>3.79</v>
      </c>
      <c r="X21" s="4">
        <v>3.79</v>
      </c>
      <c r="Y21" s="4">
        <v>3.79</v>
      </c>
      <c r="Z21" s="4">
        <v>3.79</v>
      </c>
      <c r="AA21" s="4">
        <v>3.79</v>
      </c>
      <c r="AB21" s="4">
        <v>3.79</v>
      </c>
      <c r="AC21" s="4">
        <v>3.79</v>
      </c>
      <c r="AD21" s="4">
        <v>3.79</v>
      </c>
      <c r="AE21" s="4">
        <v>3.79</v>
      </c>
      <c r="AF21" s="4">
        <v>3.79</v>
      </c>
      <c r="AG21" s="4">
        <v>3.79</v>
      </c>
      <c r="AH21" s="4">
        <v>3.79</v>
      </c>
      <c r="AI21" s="4">
        <v>3.79</v>
      </c>
      <c r="AJ21" s="4">
        <v>3.79</v>
      </c>
      <c r="AK21" s="4">
        <v>3.79</v>
      </c>
      <c r="AL21" s="4">
        <v>3.79</v>
      </c>
      <c r="AM21" s="4">
        <v>3.79</v>
      </c>
      <c r="AN21" s="4">
        <v>3.79</v>
      </c>
      <c r="AO21" s="4">
        <v>3.79</v>
      </c>
      <c r="AP21" s="4">
        <v>3.79</v>
      </c>
      <c r="AQ21" s="4">
        <v>4.5</v>
      </c>
      <c r="AR21" s="4">
        <v>4.5</v>
      </c>
      <c r="AS21" s="4">
        <v>4.5</v>
      </c>
      <c r="AT21" s="4">
        <v>4.5</v>
      </c>
      <c r="AU21" s="4">
        <v>4.5</v>
      </c>
      <c r="AV21" s="4">
        <v>4.5</v>
      </c>
      <c r="AW21" s="4">
        <v>4.5</v>
      </c>
      <c r="AX21" s="4">
        <v>4.5</v>
      </c>
      <c r="AY21" s="4">
        <v>4.5</v>
      </c>
      <c r="AZ21" s="4">
        <v>4.5</v>
      </c>
      <c r="BA21" s="4">
        <v>4.5</v>
      </c>
      <c r="BB21" s="4">
        <v>4.5</v>
      </c>
      <c r="BC21" s="4">
        <v>4.5</v>
      </c>
      <c r="BD21" s="4">
        <v>4.5</v>
      </c>
      <c r="BE21" s="4">
        <v>4.5</v>
      </c>
      <c r="BF21" s="4">
        <v>4.5</v>
      </c>
      <c r="BG21" s="4">
        <v>4.5</v>
      </c>
      <c r="BH21" s="4">
        <v>4.5</v>
      </c>
      <c r="BI21" s="4">
        <v>4.5</v>
      </c>
      <c r="BJ21" s="4">
        <v>4.5</v>
      </c>
      <c r="BK21" s="4">
        <v>4.5</v>
      </c>
      <c r="BL21" s="4">
        <v>4.5</v>
      </c>
      <c r="BM21" s="4">
        <v>4.5</v>
      </c>
      <c r="BN21" s="4">
        <v>4.5</v>
      </c>
      <c r="BO21" s="4">
        <v>4.5</v>
      </c>
      <c r="BP21" s="4">
        <v>4.5</v>
      </c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</row>
    <row r="22" spans="1:122">
      <c r="A22" s="37" t="s">
        <v>16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240</v>
      </c>
      <c r="O22" s="19">
        <v>240</v>
      </c>
      <c r="P22" s="19">
        <v>342.15</v>
      </c>
      <c r="Q22" s="19">
        <v>496.91</v>
      </c>
      <c r="R22" s="19">
        <v>615.39</v>
      </c>
      <c r="S22" s="19">
        <v>615.39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>
        <v>1577.77</v>
      </c>
      <c r="CR22" s="19">
        <v>1577.77</v>
      </c>
      <c r="CS22" s="19">
        <v>1577.77</v>
      </c>
      <c r="CT22" s="19">
        <v>1577.77</v>
      </c>
      <c r="CU22" s="19">
        <v>6113.26</v>
      </c>
      <c r="CV22" s="19">
        <v>1666.13</v>
      </c>
      <c r="CW22" s="19">
        <v>1666.13</v>
      </c>
      <c r="CX22" s="19">
        <v>1666.13</v>
      </c>
      <c r="CY22" s="19">
        <v>3887.63</v>
      </c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>
        <v>2189.6399999999958</v>
      </c>
      <c r="DM22" s="19"/>
      <c r="DN22" s="19"/>
      <c r="DO22" s="19"/>
      <c r="DP22" s="13">
        <f>SUM(CQ22:DO22)</f>
        <v>23500</v>
      </c>
      <c r="DQ22" s="13"/>
      <c r="DR22" s="13"/>
    </row>
    <row r="23" spans="1:122" ht="16.5">
      <c r="A23" s="37" t="s">
        <v>17</v>
      </c>
      <c r="B23" s="6">
        <f t="shared" ref="B23:M23" si="46">SUM(B8:B11)-SUM(B18:B21)</f>
        <v>6798.37</v>
      </c>
      <c r="C23" s="6">
        <f t="shared" si="46"/>
        <v>2877.7000000000003</v>
      </c>
      <c r="D23" s="6">
        <f t="shared" si="46"/>
        <v>2877.7000000000003</v>
      </c>
      <c r="E23" s="6">
        <f t="shared" si="46"/>
        <v>2877.7000000000003</v>
      </c>
      <c r="F23" s="6">
        <f t="shared" si="46"/>
        <v>2877.7000000000003</v>
      </c>
      <c r="G23" s="6">
        <f t="shared" si="46"/>
        <v>2877.7000000000003</v>
      </c>
      <c r="H23" s="6">
        <f t="shared" si="46"/>
        <v>2877.7000000000003</v>
      </c>
      <c r="I23" s="6">
        <f t="shared" si="46"/>
        <v>2877.7000000000003</v>
      </c>
      <c r="J23" s="6">
        <f t="shared" si="46"/>
        <v>2877.7000000000003</v>
      </c>
      <c r="K23" s="6">
        <f t="shared" si="46"/>
        <v>3102.44</v>
      </c>
      <c r="L23" s="6">
        <f t="shared" si="46"/>
        <v>2877.7000000000003</v>
      </c>
      <c r="M23" s="6">
        <f t="shared" si="46"/>
        <v>2877.7000000000003</v>
      </c>
      <c r="N23" s="6">
        <f>SUM(N7:N11)-SUM(N18:N22)</f>
        <v>2637.7000000000003</v>
      </c>
      <c r="O23" s="6">
        <f>SUM(O7:O11)-SUM(O18:O22)</f>
        <v>2637.7000000000003</v>
      </c>
      <c r="P23" s="6">
        <f>SUM(P7:P11)-SUM(P18:P22)</f>
        <v>3812.48</v>
      </c>
      <c r="Q23" s="6">
        <f>SUM(Q7:Q15)-SUM(Q18:Q22)</f>
        <v>5556.75</v>
      </c>
      <c r="R23" s="6">
        <f>SUM(R7:R11)-SUM(R17:R21)+1.42</f>
        <v>2919.87</v>
      </c>
      <c r="S23" s="6">
        <f>SUM(S7:S11)-SUM(S17:S21)+1.42</f>
        <v>2919.87</v>
      </c>
      <c r="T23" s="6">
        <f>SUM(T7:T11)-SUM(T17:T22)+1.42</f>
        <v>2919.87</v>
      </c>
      <c r="U23" s="6">
        <f>SUM(U7:U11)-SUM(U17:U22)+1.55</f>
        <v>3016.29</v>
      </c>
      <c r="V23" s="6">
        <f>SUM(V7:V11)-SUM(V17:V22)+1.55</f>
        <v>3016.29</v>
      </c>
      <c r="W23" s="6">
        <f>SUM(W7:W11)-SUM(W17:W22)+1.55</f>
        <v>3016.29</v>
      </c>
      <c r="X23" s="6">
        <f>SUM(X7:X11)-SUM(X17:X22)+1.55</f>
        <v>3016.29</v>
      </c>
      <c r="Y23" s="6">
        <f t="shared" ref="Y23:AQ23" si="47">SUM(Y7:Y11)-SUM(Y17:Y22)+1.92</f>
        <v>3382.54</v>
      </c>
      <c r="Z23" s="6">
        <f t="shared" si="47"/>
        <v>3382.54</v>
      </c>
      <c r="AA23" s="6">
        <f t="shared" si="47"/>
        <v>3382.54</v>
      </c>
      <c r="AB23" s="6">
        <f t="shared" si="47"/>
        <v>3382.54</v>
      </c>
      <c r="AC23" s="6">
        <f t="shared" si="47"/>
        <v>3382.54</v>
      </c>
      <c r="AD23" s="6">
        <f t="shared" si="47"/>
        <v>3382.54</v>
      </c>
      <c r="AE23" s="6">
        <f t="shared" si="47"/>
        <v>3382.54</v>
      </c>
      <c r="AF23" s="6">
        <f t="shared" si="47"/>
        <v>3382.54</v>
      </c>
      <c r="AG23" s="6">
        <f t="shared" si="47"/>
        <v>3382.54</v>
      </c>
      <c r="AH23" s="6">
        <f t="shared" si="47"/>
        <v>3382.54</v>
      </c>
      <c r="AI23" s="6">
        <f t="shared" si="47"/>
        <v>3382.54</v>
      </c>
      <c r="AJ23" s="6">
        <f t="shared" si="47"/>
        <v>3359.54</v>
      </c>
      <c r="AK23" s="6">
        <f t="shared" si="47"/>
        <v>3359.54</v>
      </c>
      <c r="AL23" s="6">
        <f t="shared" si="47"/>
        <v>3359.54</v>
      </c>
      <c r="AM23" s="6">
        <f t="shared" si="47"/>
        <v>3359.54</v>
      </c>
      <c r="AN23" s="6">
        <f t="shared" si="47"/>
        <v>3359.54</v>
      </c>
      <c r="AO23" s="6">
        <f t="shared" si="47"/>
        <v>3359.54</v>
      </c>
      <c r="AP23" s="6">
        <f t="shared" si="47"/>
        <v>3359.54</v>
      </c>
      <c r="AQ23" s="6">
        <f t="shared" si="47"/>
        <v>3346.3399999999997</v>
      </c>
      <c r="AR23" s="6">
        <f t="shared" ref="AR23:BJ23" si="48">SUM(AR7:AR13)-SUM(AR17:AR22)+1.92</f>
        <v>6357.45</v>
      </c>
      <c r="AS23" s="6">
        <f t="shared" si="48"/>
        <v>3346.3399999999997</v>
      </c>
      <c r="AT23" s="6">
        <f t="shared" si="48"/>
        <v>3346.3399999999997</v>
      </c>
      <c r="AU23" s="6">
        <f t="shared" si="48"/>
        <v>3807.87</v>
      </c>
      <c r="AV23" s="6">
        <f t="shared" si="48"/>
        <v>3807.87</v>
      </c>
      <c r="AW23" s="6">
        <f t="shared" si="48"/>
        <v>3807.87</v>
      </c>
      <c r="AX23" s="6">
        <f t="shared" si="48"/>
        <v>3909.17</v>
      </c>
      <c r="AY23" s="6">
        <f t="shared" si="48"/>
        <v>3807.87</v>
      </c>
      <c r="AZ23" s="6">
        <f t="shared" si="48"/>
        <v>3807.87</v>
      </c>
      <c r="BA23" s="6">
        <f t="shared" si="48"/>
        <v>3807.87</v>
      </c>
      <c r="BB23" s="6">
        <f t="shared" si="48"/>
        <v>3807.87</v>
      </c>
      <c r="BC23" s="6">
        <f t="shared" si="48"/>
        <v>3807.87</v>
      </c>
      <c r="BD23" s="6">
        <f t="shared" si="48"/>
        <v>3807.87</v>
      </c>
      <c r="BE23" s="6">
        <f t="shared" si="48"/>
        <v>3807.87</v>
      </c>
      <c r="BF23" s="6">
        <f t="shared" si="48"/>
        <v>3807.87</v>
      </c>
      <c r="BG23" s="6">
        <f t="shared" si="48"/>
        <v>3807.87</v>
      </c>
      <c r="BH23" s="6">
        <f t="shared" si="48"/>
        <v>3807.87</v>
      </c>
      <c r="BI23" s="6">
        <f t="shared" si="48"/>
        <v>4769.4084615384618</v>
      </c>
      <c r="BJ23" s="6">
        <f t="shared" si="48"/>
        <v>4769.4084615384618</v>
      </c>
      <c r="BK23" s="6">
        <f t="shared" ref="BK23:BR23" si="49">SUM(BK7:BK13)-SUM(BK17:BK22)</f>
        <v>4767.4884615384617</v>
      </c>
      <c r="BL23" s="6">
        <f t="shared" si="49"/>
        <v>4767.4884615384617</v>
      </c>
      <c r="BM23" s="6">
        <f t="shared" si="49"/>
        <v>4767.4884615384617</v>
      </c>
      <c r="BN23" s="6">
        <f t="shared" si="49"/>
        <v>4767.4884615384617</v>
      </c>
      <c r="BO23" s="6">
        <f t="shared" si="49"/>
        <v>4767.4884615384617</v>
      </c>
      <c r="BP23" s="6">
        <f t="shared" si="49"/>
        <v>4767.5884615384621</v>
      </c>
      <c r="BQ23" s="6">
        <f t="shared" si="49"/>
        <v>4961.5384615384619</v>
      </c>
      <c r="BR23" s="6">
        <f t="shared" si="49"/>
        <v>4961.5384615384619</v>
      </c>
      <c r="BS23" s="6">
        <f>SUM(BS7:BS13)-SUM(BS17:BS22)-932</f>
        <v>7343.2584615384621</v>
      </c>
      <c r="BT23" s="6">
        <f>SUM(BT7:BT13)-SUM(BT17:BT22)</f>
        <v>4961.5384615384619</v>
      </c>
      <c r="BU23" s="6">
        <f t="shared" ref="BU23:CQ23" si="50">SUM(BU6:BU14)-SUM(BU17:BU22)</f>
        <v>7655.8307692307699</v>
      </c>
      <c r="BV23" s="6">
        <f t="shared" si="50"/>
        <v>5259.2307692307695</v>
      </c>
      <c r="BW23" s="6">
        <f t="shared" si="50"/>
        <v>5259.24</v>
      </c>
      <c r="BX23" s="6">
        <f t="shared" si="50"/>
        <v>5259.24</v>
      </c>
      <c r="BY23" s="6">
        <f t="shared" si="50"/>
        <v>5259.24</v>
      </c>
      <c r="BZ23" s="6">
        <f t="shared" si="50"/>
        <v>5259.24</v>
      </c>
      <c r="CA23" s="6">
        <f t="shared" si="50"/>
        <v>5259.24</v>
      </c>
      <c r="CB23" s="6">
        <f t="shared" si="50"/>
        <v>5259.24</v>
      </c>
      <c r="CC23" s="6">
        <f t="shared" si="50"/>
        <v>6191.24</v>
      </c>
      <c r="CD23" s="6">
        <f t="shared" si="50"/>
        <v>5259.24</v>
      </c>
      <c r="CE23" s="6">
        <f t="shared" si="50"/>
        <v>5259.24</v>
      </c>
      <c r="CF23" s="6">
        <f t="shared" si="50"/>
        <v>5259.24</v>
      </c>
      <c r="CG23" s="6">
        <f t="shared" si="50"/>
        <v>5259.24</v>
      </c>
      <c r="CH23" s="6">
        <f t="shared" si="50"/>
        <v>5259.24</v>
      </c>
      <c r="CI23" s="6">
        <f t="shared" si="50"/>
        <v>5259.24</v>
      </c>
      <c r="CJ23" s="6">
        <f t="shared" si="50"/>
        <v>5259.24</v>
      </c>
      <c r="CK23" s="6">
        <f t="shared" si="50"/>
        <v>5259.24</v>
      </c>
      <c r="CL23" s="6">
        <f t="shared" si="50"/>
        <v>5259.24</v>
      </c>
      <c r="CM23" s="6">
        <f t="shared" si="50"/>
        <v>5259.24</v>
      </c>
      <c r="CN23" s="6">
        <f t="shared" si="50"/>
        <v>5259.24</v>
      </c>
      <c r="CO23" s="6">
        <f t="shared" si="50"/>
        <v>5259.24</v>
      </c>
      <c r="CP23" s="6">
        <f t="shared" si="50"/>
        <v>5259.24</v>
      </c>
      <c r="CQ23" s="6">
        <f t="shared" si="50"/>
        <v>3681.47</v>
      </c>
      <c r="CR23" s="6">
        <f>SUM(CR6:CR15)-SUM(CR17:CR22)</f>
        <v>5570.4699999999993</v>
      </c>
      <c r="CS23" s="6">
        <f t="shared" ref="CS23:DO23" si="51">SUM(CS6:CS14)-SUM(CS17:CS22)</f>
        <v>3681.47</v>
      </c>
      <c r="CT23" s="6">
        <f t="shared" si="51"/>
        <v>3681.47</v>
      </c>
      <c r="CU23" s="6">
        <f t="shared" si="51"/>
        <v>14264.26</v>
      </c>
      <c r="CV23" s="6">
        <f t="shared" si="51"/>
        <v>3887.62</v>
      </c>
      <c r="CW23" s="6">
        <f t="shared" si="51"/>
        <v>3887.62</v>
      </c>
      <c r="CX23" s="6">
        <f t="shared" si="51"/>
        <v>3887.62</v>
      </c>
      <c r="CY23" s="6">
        <f t="shared" si="51"/>
        <v>1666.12</v>
      </c>
      <c r="CZ23" s="6">
        <f t="shared" si="51"/>
        <v>5553.75</v>
      </c>
      <c r="DA23" s="6">
        <f t="shared" si="51"/>
        <v>5553.75</v>
      </c>
      <c r="DB23" s="6">
        <f t="shared" si="51"/>
        <v>5553.75</v>
      </c>
      <c r="DC23" s="6">
        <f t="shared" si="51"/>
        <v>5553.75</v>
      </c>
      <c r="DD23" s="6">
        <f t="shared" si="51"/>
        <v>5553.75</v>
      </c>
      <c r="DE23" s="6">
        <f t="shared" si="51"/>
        <v>5553.75</v>
      </c>
      <c r="DF23" s="6">
        <f t="shared" si="51"/>
        <v>5553.75</v>
      </c>
      <c r="DG23" s="6">
        <f t="shared" si="51"/>
        <v>5553.75</v>
      </c>
      <c r="DH23" s="6">
        <f t="shared" si="51"/>
        <v>5553.75</v>
      </c>
      <c r="DI23" s="6">
        <f t="shared" si="51"/>
        <v>7549.75</v>
      </c>
      <c r="DJ23" s="6">
        <f t="shared" si="51"/>
        <v>5553.75</v>
      </c>
      <c r="DK23" s="6">
        <f t="shared" si="51"/>
        <v>5553.75</v>
      </c>
      <c r="DL23" s="6">
        <f t="shared" si="51"/>
        <v>4703.4369230769271</v>
      </c>
      <c r="DM23" s="6">
        <f t="shared" si="51"/>
        <v>0</v>
      </c>
      <c r="DN23" s="6">
        <f t="shared" si="51"/>
        <v>0</v>
      </c>
      <c r="DO23" s="6">
        <f t="shared" si="51"/>
        <v>0</v>
      </c>
      <c r="DP23" s="13">
        <f>SUM(CQ23:DO23)</f>
        <v>117552.55692307693</v>
      </c>
    </row>
    <row r="24" spans="1:122" ht="16.5">
      <c r="A24" s="38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</row>
    <row r="25" spans="1:122" ht="16.5">
      <c r="A25" s="37" t="s">
        <v>19</v>
      </c>
      <c r="B25" s="4">
        <v>421.5</v>
      </c>
      <c r="C25" s="4">
        <v>178.5</v>
      </c>
      <c r="D25" s="4">
        <v>178.5</v>
      </c>
      <c r="E25" s="4">
        <v>178.5</v>
      </c>
      <c r="F25" s="4">
        <v>178.5</v>
      </c>
      <c r="G25" s="4">
        <v>178.5</v>
      </c>
      <c r="H25" s="4">
        <v>178.5</v>
      </c>
      <c r="I25" s="4">
        <v>178.5</v>
      </c>
      <c r="J25" s="4">
        <v>178.5</v>
      </c>
      <c r="K25" s="4">
        <v>192.44</v>
      </c>
      <c r="L25" s="4">
        <v>178.5</v>
      </c>
      <c r="M25" s="4">
        <v>178.5</v>
      </c>
      <c r="N25" s="4">
        <v>178.5</v>
      </c>
      <c r="O25" s="4">
        <v>178.5</v>
      </c>
      <c r="P25" s="4">
        <v>257.67</v>
      </c>
      <c r="Q25" s="4">
        <v>375.97432033658833</v>
      </c>
      <c r="R25" s="4">
        <v>181.03</v>
      </c>
      <c r="S25" s="4">
        <v>181.03</v>
      </c>
      <c r="T25" s="4">
        <v>181.03</v>
      </c>
      <c r="U25" s="4">
        <v>187.01</v>
      </c>
      <c r="V25" s="4">
        <v>187.01</v>
      </c>
      <c r="W25" s="4">
        <v>187.01</v>
      </c>
      <c r="X25" s="4">
        <v>187.01</v>
      </c>
      <c r="Y25" s="4">
        <v>209.72</v>
      </c>
      <c r="Z25" s="4">
        <v>209.72</v>
      </c>
      <c r="AA25" s="4">
        <v>209.72</v>
      </c>
      <c r="AB25" s="4">
        <v>209.72</v>
      </c>
      <c r="AC25" s="4">
        <v>209.72</v>
      </c>
      <c r="AD25" s="4">
        <v>209.72</v>
      </c>
      <c r="AE25" s="4">
        <v>209.72</v>
      </c>
      <c r="AF25" s="4">
        <v>209.72</v>
      </c>
      <c r="AG25" s="4">
        <v>209.72</v>
      </c>
      <c r="AH25" s="4">
        <v>209.72</v>
      </c>
      <c r="AI25" s="4">
        <v>208.3</v>
      </c>
      <c r="AJ25" s="4">
        <v>208.29</v>
      </c>
      <c r="AK25" s="4">
        <v>208.29</v>
      </c>
      <c r="AL25" s="4">
        <v>208.29</v>
      </c>
      <c r="AM25" s="4">
        <v>208.29</v>
      </c>
      <c r="AN25" s="4">
        <v>208.29</v>
      </c>
      <c r="AO25" s="4">
        <v>208.29</v>
      </c>
      <c r="AP25" s="4">
        <v>208.29</v>
      </c>
      <c r="AQ25" s="4">
        <v>207.45</v>
      </c>
      <c r="AR25" s="4">
        <v>394.14</v>
      </c>
      <c r="AS25" s="4">
        <v>207.45</v>
      </c>
      <c r="AT25" s="4">
        <v>207.45</v>
      </c>
      <c r="AU25" s="4">
        <v>236.12</v>
      </c>
      <c r="AV25" s="4">
        <v>236.09</v>
      </c>
      <c r="AW25" s="4">
        <v>236.09</v>
      </c>
      <c r="AX25" s="4">
        <v>242.38</v>
      </c>
      <c r="AY25" s="4">
        <v>236.09</v>
      </c>
      <c r="AZ25" s="4">
        <v>236.09</v>
      </c>
      <c r="BA25" s="4">
        <v>236.09</v>
      </c>
      <c r="BB25" s="4">
        <v>236.1</v>
      </c>
      <c r="BC25" s="4">
        <v>236.09</v>
      </c>
      <c r="BD25" s="4">
        <v>236.09</v>
      </c>
      <c r="BE25" s="4">
        <v>236.09</v>
      </c>
      <c r="BF25" s="4">
        <v>236.09</v>
      </c>
      <c r="BG25" s="4">
        <v>236.1</v>
      </c>
      <c r="BH25" s="4">
        <v>236.09</v>
      </c>
      <c r="BI25" s="4">
        <f>$BI$11*(BH44)</f>
        <v>307.61806873255006</v>
      </c>
      <c r="BJ25" s="4">
        <f>$BI$11*(BH44)</f>
        <v>307.61806873255006</v>
      </c>
      <c r="BK25" s="4">
        <v>295.77</v>
      </c>
      <c r="BL25" s="4">
        <v>295.76</v>
      </c>
      <c r="BM25" s="4">
        <v>295.77</v>
      </c>
      <c r="BN25" s="4">
        <v>295.76</v>
      </c>
      <c r="BO25" s="4">
        <v>295.77</v>
      </c>
      <c r="BP25" s="4">
        <v>295.77</v>
      </c>
      <c r="BQ25" s="4">
        <v>307.86</v>
      </c>
      <c r="BR25" s="4">
        <v>307.86</v>
      </c>
      <c r="BS25" s="4">
        <v>455.53</v>
      </c>
      <c r="BT25" s="4">
        <v>307.86</v>
      </c>
      <c r="BU25" s="4">
        <v>475.04</v>
      </c>
      <c r="BV25" s="4">
        <v>326.33</v>
      </c>
      <c r="BW25" s="4">
        <v>326.33999999999997</v>
      </c>
      <c r="BX25" s="4">
        <v>326.33999999999997</v>
      </c>
      <c r="BY25" s="4">
        <v>326.33999999999997</v>
      </c>
      <c r="BZ25" s="4">
        <v>326.33999999999997</v>
      </c>
      <c r="CA25" s="4">
        <v>326.33999999999997</v>
      </c>
      <c r="CB25" s="4">
        <v>326.33999999999997</v>
      </c>
      <c r="CC25" s="4">
        <v>326.33999999999997</v>
      </c>
      <c r="CD25" s="4">
        <v>326.33999999999997</v>
      </c>
      <c r="CE25" s="4">
        <v>326.33999999999997</v>
      </c>
      <c r="CF25" s="4">
        <v>326.33999999999997</v>
      </c>
      <c r="CG25" s="4">
        <v>326.33999999999997</v>
      </c>
      <c r="CH25" s="4">
        <v>326.33999999999997</v>
      </c>
      <c r="CI25" s="4">
        <v>326.33999999999997</v>
      </c>
      <c r="CJ25" s="4">
        <v>326.33999999999997</v>
      </c>
      <c r="CK25" s="4">
        <v>326.33999999999997</v>
      </c>
      <c r="CL25" s="4">
        <v>326.33999999999997</v>
      </c>
      <c r="CM25" s="4">
        <v>326.33999999999997</v>
      </c>
      <c r="CN25" s="4">
        <v>326.33</v>
      </c>
      <c r="CO25" s="4">
        <v>326.33</v>
      </c>
      <c r="CP25" s="4">
        <v>326.33</v>
      </c>
      <c r="CQ25" s="4">
        <v>326.42</v>
      </c>
      <c r="CR25" s="4">
        <v>326.41000000000003</v>
      </c>
      <c r="CS25" s="4">
        <v>326.42</v>
      </c>
      <c r="CT25" s="4">
        <v>326.42</v>
      </c>
      <c r="CU25" s="4">
        <v>1263.76</v>
      </c>
      <c r="CV25" s="4">
        <v>344.69</v>
      </c>
      <c r="CW25" s="4">
        <v>344.69</v>
      </c>
      <c r="CX25" s="4">
        <v>344.69</v>
      </c>
      <c r="CY25" s="4">
        <v>344.69</v>
      </c>
      <c r="CZ25" s="4">
        <v>344.69</v>
      </c>
      <c r="DA25" s="4">
        <v>344.69</v>
      </c>
      <c r="DB25" s="4">
        <v>344.69</v>
      </c>
      <c r="DC25" s="4">
        <v>344.69</v>
      </c>
      <c r="DD25" s="4">
        <v>344.69</v>
      </c>
      <c r="DE25" s="4">
        <v>344.69</v>
      </c>
      <c r="DF25" s="4">
        <v>344.69</v>
      </c>
      <c r="DG25" s="4">
        <v>344.69</v>
      </c>
      <c r="DH25" s="4">
        <v>344.69</v>
      </c>
      <c r="DI25" s="4">
        <v>344.69</v>
      </c>
      <c r="DJ25" s="4">
        <v>344.69</v>
      </c>
      <c r="DK25" s="4">
        <v>344.69</v>
      </c>
      <c r="DL25" s="4">
        <v>427.84</v>
      </c>
      <c r="DM25" s="4"/>
      <c r="DN25" s="4"/>
      <c r="DO25" s="4"/>
    </row>
    <row r="26" spans="1:122" ht="16.5">
      <c r="A26" s="37" t="s">
        <v>20</v>
      </c>
      <c r="B26" s="4">
        <v>98.58</v>
      </c>
      <c r="C26" s="4">
        <v>41.74</v>
      </c>
      <c r="D26" s="4">
        <v>41.75</v>
      </c>
      <c r="E26" s="4">
        <v>41.74</v>
      </c>
      <c r="F26" s="4">
        <v>41.75</v>
      </c>
      <c r="G26" s="4">
        <v>41.75</v>
      </c>
      <c r="H26" s="4">
        <v>41.74</v>
      </c>
      <c r="I26" s="4">
        <v>41.75</v>
      </c>
      <c r="J26" s="4">
        <v>41.75</v>
      </c>
      <c r="K26" s="4">
        <v>45</v>
      </c>
      <c r="L26" s="4">
        <v>41.75</v>
      </c>
      <c r="M26" s="4">
        <v>41.74</v>
      </c>
      <c r="N26" s="4">
        <v>41.75</v>
      </c>
      <c r="O26" s="4">
        <v>41.74</v>
      </c>
      <c r="P26" s="4">
        <v>60.27</v>
      </c>
      <c r="Q26" s="4">
        <v>87.79</v>
      </c>
      <c r="R26" s="4">
        <v>42.34</v>
      </c>
      <c r="S26" s="4">
        <v>42.34</v>
      </c>
      <c r="T26" s="4">
        <v>42.33</v>
      </c>
      <c r="U26" s="4">
        <v>43.74</v>
      </c>
      <c r="V26" s="4">
        <v>43.74</v>
      </c>
      <c r="W26" s="4">
        <v>43.73</v>
      </c>
      <c r="X26" s="4">
        <v>43.74</v>
      </c>
      <c r="Y26" s="4">
        <v>49.05</v>
      </c>
      <c r="Z26" s="4">
        <v>49.04</v>
      </c>
      <c r="AA26" s="4">
        <v>49.04</v>
      </c>
      <c r="AB26" s="4">
        <v>49.05</v>
      </c>
      <c r="AC26" s="4">
        <v>49.04</v>
      </c>
      <c r="AD26" s="4">
        <v>49.05</v>
      </c>
      <c r="AE26" s="4">
        <v>49.04</v>
      </c>
      <c r="AF26" s="4">
        <v>49.04</v>
      </c>
      <c r="AG26" s="4">
        <v>49.05</v>
      </c>
      <c r="AH26" s="4">
        <v>49.05</v>
      </c>
      <c r="AI26" s="4">
        <v>48.72</v>
      </c>
      <c r="AJ26" s="4">
        <v>48.71</v>
      </c>
      <c r="AK26" s="4">
        <v>48.71</v>
      </c>
      <c r="AL26" s="4">
        <v>48.71</v>
      </c>
      <c r="AM26" s="4">
        <v>48.72</v>
      </c>
      <c r="AN26" s="4">
        <v>48.71</v>
      </c>
      <c r="AO26" s="4">
        <v>48.71</v>
      </c>
      <c r="AP26" s="4">
        <v>48.71</v>
      </c>
      <c r="AQ26" s="4">
        <v>48.52</v>
      </c>
      <c r="AR26" s="4">
        <v>92.17</v>
      </c>
      <c r="AS26" s="4">
        <v>48.52</v>
      </c>
      <c r="AT26" s="4">
        <v>48.52</v>
      </c>
      <c r="AU26" s="4">
        <v>55.22</v>
      </c>
      <c r="AV26" s="4">
        <v>55.21</v>
      </c>
      <c r="AW26" s="4">
        <v>55.22</v>
      </c>
      <c r="AX26" s="4">
        <v>56.68</v>
      </c>
      <c r="AY26" s="4">
        <v>55.22</v>
      </c>
      <c r="AZ26" s="4">
        <v>55.21</v>
      </c>
      <c r="BA26" s="4">
        <v>55.22</v>
      </c>
      <c r="BB26" s="4">
        <v>55.21</v>
      </c>
      <c r="BC26" s="4">
        <v>55.22</v>
      </c>
      <c r="BD26" s="4">
        <v>55.22</v>
      </c>
      <c r="BE26" s="4">
        <v>55.22</v>
      </c>
      <c r="BF26" s="4">
        <v>55.21</v>
      </c>
      <c r="BG26" s="4">
        <v>55.22</v>
      </c>
      <c r="BH26" s="4">
        <v>55.21</v>
      </c>
      <c r="BI26" s="4">
        <f t="shared" ref="BI26:BI31" si="52">$BI$11*(BH45)</f>
        <v>71.936945972824304</v>
      </c>
      <c r="BJ26" s="4">
        <f t="shared" ref="BJ26:BJ31" si="53">$BI$11*(BH45)</f>
        <v>71.936945972824304</v>
      </c>
      <c r="BK26" s="4">
        <v>69.17</v>
      </c>
      <c r="BL26" s="4">
        <v>69.17</v>
      </c>
      <c r="BM26" s="4">
        <v>69.17</v>
      </c>
      <c r="BN26" s="4">
        <v>69.17</v>
      </c>
      <c r="BO26" s="4">
        <v>69.17</v>
      </c>
      <c r="BP26" s="4">
        <v>69.17</v>
      </c>
      <c r="BQ26" s="4">
        <v>72</v>
      </c>
      <c r="BR26" s="4">
        <v>72</v>
      </c>
      <c r="BS26" s="4">
        <v>106.53</v>
      </c>
      <c r="BT26" s="4">
        <v>72</v>
      </c>
      <c r="BU26" s="4">
        <v>11.1</v>
      </c>
      <c r="BV26" s="4">
        <v>76.319999999999993</v>
      </c>
      <c r="BW26" s="4">
        <v>76.33</v>
      </c>
      <c r="BX26" s="4">
        <v>76.319999999999993</v>
      </c>
      <c r="BY26" s="4">
        <v>76.319999999999993</v>
      </c>
      <c r="BZ26" s="4">
        <v>76.319999999999993</v>
      </c>
      <c r="CA26" s="4">
        <v>76.319999999999993</v>
      </c>
      <c r="CB26" s="4">
        <v>76.319999999999993</v>
      </c>
      <c r="CC26" s="4">
        <v>76.33</v>
      </c>
      <c r="CD26" s="4">
        <v>76.319999999999993</v>
      </c>
      <c r="CE26" s="4">
        <v>76.319999999999993</v>
      </c>
      <c r="CF26" s="4">
        <v>76.319999999999993</v>
      </c>
      <c r="CG26" s="4">
        <v>76.319999999999993</v>
      </c>
      <c r="CH26" s="4">
        <v>76.319999999999993</v>
      </c>
      <c r="CI26" s="4">
        <v>76.319999999999993</v>
      </c>
      <c r="CJ26" s="4">
        <v>76.319999999999993</v>
      </c>
      <c r="CK26" s="4">
        <v>76.33</v>
      </c>
      <c r="CL26" s="4">
        <v>76.319999999999993</v>
      </c>
      <c r="CM26" s="4">
        <v>76.319999999999993</v>
      </c>
      <c r="CN26" s="4">
        <v>76.319999999999993</v>
      </c>
      <c r="CO26" s="4">
        <v>76.319999999999993</v>
      </c>
      <c r="CP26" s="4">
        <v>76.319999999999993</v>
      </c>
      <c r="CQ26" s="4">
        <v>76.34</v>
      </c>
      <c r="CR26" s="4">
        <v>76.34</v>
      </c>
      <c r="CS26" s="4">
        <v>76.34</v>
      </c>
      <c r="CT26" s="4">
        <v>76.34</v>
      </c>
      <c r="CU26" s="4">
        <v>295.56</v>
      </c>
      <c r="CV26" s="4">
        <v>80.61</v>
      </c>
      <c r="CW26" s="4">
        <v>80.61</v>
      </c>
      <c r="CX26" s="4">
        <v>80.61</v>
      </c>
      <c r="CY26" s="4">
        <v>80.62</v>
      </c>
      <c r="CZ26" s="4">
        <v>80.61</v>
      </c>
      <c r="DA26" s="4">
        <v>80.61</v>
      </c>
      <c r="DB26" s="4">
        <v>80.62</v>
      </c>
      <c r="DC26" s="4">
        <v>80.61</v>
      </c>
      <c r="DD26" s="4">
        <v>80.61</v>
      </c>
      <c r="DE26" s="4">
        <v>80.61</v>
      </c>
      <c r="DF26" s="4">
        <v>80.62</v>
      </c>
      <c r="DG26" s="4">
        <v>80.61</v>
      </c>
      <c r="DH26" s="4">
        <v>80.61</v>
      </c>
      <c r="DI26" s="4">
        <v>80.62</v>
      </c>
      <c r="DJ26" s="4">
        <v>80.610000000000014</v>
      </c>
      <c r="DK26" s="4">
        <v>80.610000000000014</v>
      </c>
      <c r="DL26" s="4">
        <v>100.06</v>
      </c>
      <c r="DM26" s="4"/>
      <c r="DN26" s="4"/>
      <c r="DO26" s="4"/>
    </row>
    <row r="27" spans="1:122" ht="16.5">
      <c r="A27" s="37" t="s">
        <v>21</v>
      </c>
      <c r="B27" s="4">
        <v>1225.93</v>
      </c>
      <c r="C27" s="4">
        <v>363.68</v>
      </c>
      <c r="D27" s="4">
        <v>363.68</v>
      </c>
      <c r="E27" s="4">
        <v>363.64</v>
      </c>
      <c r="F27" s="4">
        <v>363.64</v>
      </c>
      <c r="G27" s="4">
        <v>363.64</v>
      </c>
      <c r="H27" s="4">
        <v>363.64</v>
      </c>
      <c r="I27" s="4">
        <v>363.64</v>
      </c>
      <c r="J27" s="4">
        <v>363.64</v>
      </c>
      <c r="K27" s="4">
        <v>413.09</v>
      </c>
      <c r="L27" s="4">
        <v>363.64</v>
      </c>
      <c r="M27" s="4">
        <v>363.64</v>
      </c>
      <c r="N27" s="4">
        <v>310.83999999999997</v>
      </c>
      <c r="O27" s="4">
        <v>310.83999999999997</v>
      </c>
      <c r="P27" s="4">
        <v>569.29</v>
      </c>
      <c r="Q27" s="4">
        <v>944.46</v>
      </c>
      <c r="R27" s="4">
        <v>228.8</v>
      </c>
      <c r="S27" s="4">
        <v>228.8</v>
      </c>
      <c r="T27" s="4">
        <v>364.18</v>
      </c>
      <c r="U27" s="4">
        <v>385.39</v>
      </c>
      <c r="V27" s="4">
        <v>385.39</v>
      </c>
      <c r="W27" s="4">
        <v>385.39</v>
      </c>
      <c r="X27" s="4">
        <v>385.39</v>
      </c>
      <c r="Y27" s="4">
        <v>465.96</v>
      </c>
      <c r="Z27" s="4">
        <v>465.96</v>
      </c>
      <c r="AA27" s="4">
        <v>465.96</v>
      </c>
      <c r="AB27" s="4">
        <v>465.96</v>
      </c>
      <c r="AC27" s="4">
        <v>465.96</v>
      </c>
      <c r="AD27" s="4">
        <v>465.96</v>
      </c>
      <c r="AE27" s="4">
        <v>465.96</v>
      </c>
      <c r="AF27" s="4">
        <v>465.96</v>
      </c>
      <c r="AG27" s="4">
        <v>465.96</v>
      </c>
      <c r="AH27" s="4">
        <v>465.96</v>
      </c>
      <c r="AI27" s="4">
        <v>460.91</v>
      </c>
      <c r="AJ27" s="4">
        <v>460.91</v>
      </c>
      <c r="AK27" s="4">
        <v>460.91</v>
      </c>
      <c r="AL27" s="4">
        <v>460.91</v>
      </c>
      <c r="AM27" s="4">
        <v>460.91</v>
      </c>
      <c r="AN27" s="4">
        <v>460.91</v>
      </c>
      <c r="AO27" s="4">
        <v>460.91</v>
      </c>
      <c r="AP27" s="4">
        <v>460.91</v>
      </c>
      <c r="AQ27" s="4">
        <v>438.41</v>
      </c>
      <c r="AR27" s="4">
        <v>1100.8399999999999</v>
      </c>
      <c r="AS27" s="4">
        <v>438.41</v>
      </c>
      <c r="AT27" s="4">
        <v>438.41</v>
      </c>
      <c r="AU27" s="4">
        <v>540.12</v>
      </c>
      <c r="AV27" s="4">
        <v>540.04</v>
      </c>
      <c r="AW27" s="4">
        <v>540.04</v>
      </c>
      <c r="AX27" s="4">
        <v>562.32000000000005</v>
      </c>
      <c r="AY27" s="4">
        <v>540.04</v>
      </c>
      <c r="AZ27" s="4">
        <v>540.04</v>
      </c>
      <c r="BA27" s="4">
        <v>540.04</v>
      </c>
      <c r="BB27" s="4">
        <v>540.04</v>
      </c>
      <c r="BC27" s="4">
        <v>540.04</v>
      </c>
      <c r="BD27" s="4">
        <v>540.04</v>
      </c>
      <c r="BE27" s="4">
        <v>540.04</v>
      </c>
      <c r="BF27" s="4">
        <v>540.04</v>
      </c>
      <c r="BG27" s="4">
        <v>540.04</v>
      </c>
      <c r="BH27" s="4">
        <v>540.04</v>
      </c>
      <c r="BI27" s="4">
        <f t="shared" si="52"/>
        <v>703.65564758493099</v>
      </c>
      <c r="BJ27" s="4">
        <f t="shared" si="53"/>
        <v>703.65564758493099</v>
      </c>
      <c r="BK27" s="4">
        <v>762.78</v>
      </c>
      <c r="BL27" s="4">
        <v>762.78</v>
      </c>
      <c r="BM27" s="4">
        <v>762.78</v>
      </c>
      <c r="BN27" s="4">
        <v>762.78</v>
      </c>
      <c r="BO27" s="4">
        <v>762.78</v>
      </c>
      <c r="BP27" s="4">
        <v>762.81</v>
      </c>
      <c r="BQ27" s="4">
        <v>789.31</v>
      </c>
      <c r="BR27" s="4">
        <v>789.31</v>
      </c>
      <c r="BS27" s="4">
        <v>1313.29</v>
      </c>
      <c r="BT27" s="4">
        <v>789.31</v>
      </c>
      <c r="BU27" s="4">
        <v>1217.93</v>
      </c>
      <c r="BV27" s="4">
        <v>836.67</v>
      </c>
      <c r="BW27" s="4">
        <v>860.85</v>
      </c>
      <c r="BX27" s="4">
        <v>860.85</v>
      </c>
      <c r="BY27" s="4">
        <v>860.85</v>
      </c>
      <c r="BZ27" s="4">
        <v>860.85</v>
      </c>
      <c r="CA27" s="4">
        <v>860.85</v>
      </c>
      <c r="CB27" s="4">
        <v>860.85</v>
      </c>
      <c r="CC27" s="4">
        <v>860.85</v>
      </c>
      <c r="CD27" s="4">
        <v>860.85</v>
      </c>
      <c r="CE27" s="4">
        <v>860.85</v>
      </c>
      <c r="CF27" s="4">
        <v>860.85</v>
      </c>
      <c r="CG27" s="4">
        <v>860.85</v>
      </c>
      <c r="CH27" s="4">
        <v>860.85</v>
      </c>
      <c r="CI27" s="4">
        <v>860.85</v>
      </c>
      <c r="CJ27" s="4">
        <v>860.85</v>
      </c>
      <c r="CK27" s="4">
        <v>860.85</v>
      </c>
      <c r="CL27" s="4">
        <v>860.85</v>
      </c>
      <c r="CM27" s="4">
        <v>860.85</v>
      </c>
      <c r="CN27" s="4">
        <v>860.85</v>
      </c>
      <c r="CO27" s="4">
        <v>860.85</v>
      </c>
      <c r="CP27" s="4">
        <v>860.85</v>
      </c>
      <c r="CQ27" s="4">
        <v>488.57</v>
      </c>
      <c r="CR27" s="4">
        <v>488.57</v>
      </c>
      <c r="CS27" s="4">
        <v>488.57</v>
      </c>
      <c r="CT27" s="4">
        <v>488.57</v>
      </c>
      <c r="CU27" s="4">
        <v>2816.83</v>
      </c>
      <c r="CV27" s="4">
        <v>533.97</v>
      </c>
      <c r="CW27" s="4">
        <v>533.97</v>
      </c>
      <c r="CX27" s="4">
        <v>533.97</v>
      </c>
      <c r="CY27" s="4">
        <v>122.18</v>
      </c>
      <c r="CZ27" s="4">
        <v>920.67</v>
      </c>
      <c r="DA27" s="4">
        <v>920.67</v>
      </c>
      <c r="DB27" s="4">
        <v>920.67</v>
      </c>
      <c r="DC27" s="4">
        <v>920.67</v>
      </c>
      <c r="DD27" s="4">
        <v>920.67</v>
      </c>
      <c r="DE27" s="4">
        <v>920.67</v>
      </c>
      <c r="DF27" s="4">
        <v>920.67</v>
      </c>
      <c r="DG27" s="4">
        <v>920.67</v>
      </c>
      <c r="DH27" s="4">
        <v>920.67</v>
      </c>
      <c r="DI27" s="4">
        <v>920.67</v>
      </c>
      <c r="DJ27" s="4">
        <v>920.67</v>
      </c>
      <c r="DK27" s="4">
        <v>920.67</v>
      </c>
      <c r="DL27" s="4">
        <v>717.05</v>
      </c>
      <c r="DM27" s="4"/>
      <c r="DN27" s="4"/>
      <c r="DO27" s="4"/>
    </row>
    <row r="28" spans="1:122" ht="16.5">
      <c r="A28" s="37" t="s">
        <v>22</v>
      </c>
      <c r="B28" s="4">
        <v>371.05</v>
      </c>
      <c r="C28" s="4">
        <v>145.69</v>
      </c>
      <c r="D28" s="4">
        <v>145.69</v>
      </c>
      <c r="E28" s="4">
        <v>145.69</v>
      </c>
      <c r="F28" s="4">
        <v>145.69</v>
      </c>
      <c r="G28" s="4">
        <v>145.69</v>
      </c>
      <c r="H28" s="4">
        <v>145.69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>
        <f t="shared" si="52"/>
        <v>0</v>
      </c>
      <c r="BJ28" s="4">
        <f t="shared" si="53"/>
        <v>0</v>
      </c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</row>
    <row r="29" spans="1:122" ht="16.5">
      <c r="A29" s="37" t="s">
        <v>23</v>
      </c>
      <c r="B29" s="4">
        <v>244.74</v>
      </c>
      <c r="C29" s="4">
        <v>103.65</v>
      </c>
      <c r="D29" s="4">
        <v>103.65</v>
      </c>
      <c r="E29" s="4">
        <v>103.65</v>
      </c>
      <c r="F29" s="4">
        <v>103.65</v>
      </c>
      <c r="G29" s="4">
        <v>103.65</v>
      </c>
      <c r="H29" s="4">
        <v>103.65</v>
      </c>
      <c r="I29" s="4">
        <v>103.65</v>
      </c>
      <c r="J29" s="4">
        <v>103.65</v>
      </c>
      <c r="K29" s="4">
        <v>111.74</v>
      </c>
      <c r="L29" s="4">
        <v>103.65</v>
      </c>
      <c r="M29" s="4">
        <v>103.65</v>
      </c>
      <c r="N29" s="4">
        <v>95.01</v>
      </c>
      <c r="O29" s="4">
        <v>95.01</v>
      </c>
      <c r="P29" s="4">
        <v>137.30000000000001</v>
      </c>
      <c r="Q29" s="4">
        <v>200.07</v>
      </c>
      <c r="R29" s="4">
        <v>82.96</v>
      </c>
      <c r="S29" s="4">
        <v>82.96</v>
      </c>
      <c r="T29" s="4">
        <v>105.12</v>
      </c>
      <c r="U29" s="4">
        <v>108.59</v>
      </c>
      <c r="V29" s="4">
        <v>108.59</v>
      </c>
      <c r="W29" s="4">
        <v>108.59</v>
      </c>
      <c r="X29" s="4">
        <v>108.59</v>
      </c>
      <c r="Y29" s="4">
        <v>121.77</v>
      </c>
      <c r="Z29" s="4">
        <v>121.77</v>
      </c>
      <c r="AA29" s="4">
        <v>121.77</v>
      </c>
      <c r="AB29" s="4">
        <v>121.77</v>
      </c>
      <c r="AC29" s="4">
        <v>121.77</v>
      </c>
      <c r="AD29" s="4">
        <v>121.77</v>
      </c>
      <c r="AE29" s="4">
        <v>121.77</v>
      </c>
      <c r="AF29" s="4">
        <v>121.77</v>
      </c>
      <c r="AG29" s="4">
        <v>121.77</v>
      </c>
      <c r="AH29" s="4">
        <v>121.77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>
        <f t="shared" si="52"/>
        <v>0</v>
      </c>
      <c r="BJ29" s="4">
        <f t="shared" si="53"/>
        <v>0</v>
      </c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</row>
    <row r="30" spans="1:122" ht="16.5">
      <c r="A30" s="37" t="s">
        <v>24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>
        <v>209.33</v>
      </c>
      <c r="AJ30" s="4">
        <v>209.33</v>
      </c>
      <c r="AK30" s="4">
        <v>209.33</v>
      </c>
      <c r="AL30" s="4">
        <v>209.33</v>
      </c>
      <c r="AM30" s="4">
        <v>209.33</v>
      </c>
      <c r="AN30" s="4">
        <v>209.33</v>
      </c>
      <c r="AO30" s="4">
        <v>209.33</v>
      </c>
      <c r="AP30" s="4">
        <v>209.33</v>
      </c>
      <c r="AQ30" s="4">
        <v>196.63</v>
      </c>
      <c r="AR30" s="4">
        <v>504.67</v>
      </c>
      <c r="AS30" s="4">
        <v>196.63</v>
      </c>
      <c r="AT30" s="4">
        <v>196.63</v>
      </c>
      <c r="AU30" s="4">
        <v>243.93</v>
      </c>
      <c r="AV30" s="4">
        <v>243.89</v>
      </c>
      <c r="AW30" s="4">
        <v>243.89</v>
      </c>
      <c r="AX30" s="4">
        <v>254.25</v>
      </c>
      <c r="AY30" s="4">
        <v>243.89</v>
      </c>
      <c r="AZ30" s="4">
        <v>243.89</v>
      </c>
      <c r="BA30" s="4">
        <v>243.89</v>
      </c>
      <c r="BB30" s="4">
        <v>243.89</v>
      </c>
      <c r="BC30" s="4">
        <v>243.89</v>
      </c>
      <c r="BD30" s="4">
        <v>243.89</v>
      </c>
      <c r="BE30" s="4">
        <v>243.89</v>
      </c>
      <c r="BF30" s="4">
        <v>243.89</v>
      </c>
      <c r="BG30" s="4">
        <v>243.89</v>
      </c>
      <c r="BH30" s="4">
        <v>243.89</v>
      </c>
      <c r="BI30" s="4">
        <f t="shared" si="52"/>
        <v>317.78123081528923</v>
      </c>
      <c r="BJ30" s="4">
        <f t="shared" si="53"/>
        <v>317.78123081528923</v>
      </c>
      <c r="BK30" s="4">
        <v>342.35</v>
      </c>
      <c r="BL30" s="4">
        <v>342.35</v>
      </c>
      <c r="BM30" s="4">
        <v>342.35</v>
      </c>
      <c r="BN30" s="4">
        <v>342.35</v>
      </c>
      <c r="BO30" s="4">
        <v>342.35</v>
      </c>
      <c r="BP30" s="4">
        <v>342.35</v>
      </c>
      <c r="BQ30" s="4">
        <v>345.26</v>
      </c>
      <c r="BR30" s="4">
        <v>345.26</v>
      </c>
      <c r="BS30" s="4">
        <v>588.91</v>
      </c>
      <c r="BT30" s="4">
        <v>345.26</v>
      </c>
      <c r="BU30" s="4">
        <v>532.75</v>
      </c>
      <c r="BV30" s="4">
        <v>365.98</v>
      </c>
      <c r="BW30" s="4">
        <v>375.75</v>
      </c>
      <c r="BX30" s="4">
        <v>375.75</v>
      </c>
      <c r="BY30" s="4">
        <v>375.75</v>
      </c>
      <c r="BZ30" s="4">
        <v>375.75</v>
      </c>
      <c r="CA30" s="4">
        <v>375.75</v>
      </c>
      <c r="CB30" s="4">
        <v>375.75</v>
      </c>
      <c r="CC30" s="4">
        <v>375.75</v>
      </c>
      <c r="CD30" s="4">
        <v>375.75</v>
      </c>
      <c r="CE30" s="4">
        <v>375.75</v>
      </c>
      <c r="CF30" s="4">
        <v>375.75</v>
      </c>
      <c r="CG30" s="4">
        <v>375.75</v>
      </c>
      <c r="CH30" s="4">
        <v>375.75</v>
      </c>
      <c r="CI30" s="4">
        <v>375.75</v>
      </c>
      <c r="CJ30" s="4">
        <v>375.75</v>
      </c>
      <c r="CK30" s="4">
        <v>375.75</v>
      </c>
      <c r="CL30" s="4">
        <v>375.75</v>
      </c>
      <c r="CM30" s="4">
        <v>375.75</v>
      </c>
      <c r="CN30" s="4">
        <v>375.75</v>
      </c>
      <c r="CO30" s="4">
        <v>375.75</v>
      </c>
      <c r="CP30" s="4">
        <v>375.75</v>
      </c>
      <c r="CQ30" s="4">
        <v>209.1</v>
      </c>
      <c r="CR30" s="4">
        <v>209.1</v>
      </c>
      <c r="CS30" s="4">
        <v>209.1</v>
      </c>
      <c r="CT30" s="4">
        <v>209.1</v>
      </c>
      <c r="CU30" s="4">
        <v>1293.78</v>
      </c>
      <c r="CV30" s="4">
        <v>230.21</v>
      </c>
      <c r="CW30" s="4">
        <v>230.21</v>
      </c>
      <c r="CX30" s="4">
        <v>230.21</v>
      </c>
      <c r="CY30" s="4">
        <v>38.06</v>
      </c>
      <c r="CZ30" s="4">
        <v>400.66</v>
      </c>
      <c r="DA30" s="4">
        <v>400.66</v>
      </c>
      <c r="DB30" s="4">
        <v>400.66</v>
      </c>
      <c r="DC30" s="4">
        <v>400.66</v>
      </c>
      <c r="DD30" s="4">
        <v>400.66</v>
      </c>
      <c r="DE30" s="4">
        <v>400.66</v>
      </c>
      <c r="DF30" s="4">
        <v>400.66</v>
      </c>
      <c r="DG30" s="4">
        <v>400.66</v>
      </c>
      <c r="DH30" s="4">
        <v>400.66</v>
      </c>
      <c r="DI30" s="4">
        <v>400.66</v>
      </c>
      <c r="DJ30" s="4">
        <v>400.66</v>
      </c>
      <c r="DK30" s="4">
        <v>400.66</v>
      </c>
      <c r="DL30" s="4">
        <v>313.86</v>
      </c>
      <c r="DM30" s="4"/>
      <c r="DN30" s="4"/>
      <c r="DO30" s="4"/>
    </row>
    <row r="31" spans="1:122" ht="16.5">
      <c r="A31" s="37" t="s">
        <v>25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>
        <v>38.18</v>
      </c>
      <c r="AJ31" s="4">
        <v>38.18</v>
      </c>
      <c r="AK31" s="4">
        <v>38.18</v>
      </c>
      <c r="AL31" s="4">
        <v>38.17</v>
      </c>
      <c r="AM31" s="4">
        <v>38.18</v>
      </c>
      <c r="AN31" s="4">
        <v>38.18</v>
      </c>
      <c r="AO31" s="4">
        <v>38.18</v>
      </c>
      <c r="AP31" s="4">
        <v>38.18</v>
      </c>
      <c r="AQ31" s="4">
        <v>33.43</v>
      </c>
      <c r="AR31" s="4">
        <v>59.36</v>
      </c>
      <c r="AS31" s="4">
        <v>32.25</v>
      </c>
      <c r="AT31" s="4">
        <v>31.29</v>
      </c>
      <c r="AU31" s="4">
        <v>35.35</v>
      </c>
      <c r="AV31" s="4">
        <v>35.340000000000003</v>
      </c>
      <c r="AW31" s="4">
        <v>35.340000000000003</v>
      </c>
      <c r="AX31" s="4">
        <v>36.25</v>
      </c>
      <c r="AY31" s="4">
        <v>35.340000000000003</v>
      </c>
      <c r="AZ31" s="4">
        <v>35.35</v>
      </c>
      <c r="BA31" s="4">
        <v>35.340000000000003</v>
      </c>
      <c r="BB31" s="4">
        <v>35.340000000000003</v>
      </c>
      <c r="BC31" s="4">
        <v>35.340000000000003</v>
      </c>
      <c r="BD31" s="4">
        <v>35.340000000000003</v>
      </c>
      <c r="BE31" s="4">
        <v>35.340000000000003</v>
      </c>
      <c r="BF31" s="4">
        <v>35.340000000000003</v>
      </c>
      <c r="BG31" s="4">
        <v>35.340000000000003</v>
      </c>
      <c r="BH31" s="4">
        <v>35.340000000000003</v>
      </c>
      <c r="BI31" s="4">
        <f t="shared" si="52"/>
        <v>46.04694205179517</v>
      </c>
      <c r="BJ31" s="4">
        <f t="shared" si="53"/>
        <v>46.04694205179517</v>
      </c>
      <c r="BK31" s="4">
        <v>44</v>
      </c>
      <c r="BL31" s="4">
        <v>44.01</v>
      </c>
      <c r="BM31" s="4">
        <v>44</v>
      </c>
      <c r="BN31" s="4">
        <v>44</v>
      </c>
      <c r="BO31" s="4">
        <v>44.01</v>
      </c>
      <c r="BP31" s="4">
        <v>44</v>
      </c>
      <c r="BQ31" s="4">
        <v>54.62</v>
      </c>
      <c r="BR31" s="4">
        <v>54.62</v>
      </c>
      <c r="BS31" s="4">
        <v>80.819999999999993</v>
      </c>
      <c r="BT31" s="4">
        <v>54.62</v>
      </c>
      <c r="BU31" s="4">
        <v>84.28</v>
      </c>
      <c r="BV31" s="4">
        <v>57.9</v>
      </c>
      <c r="BW31" s="4">
        <v>57.9</v>
      </c>
      <c r="BX31" s="4">
        <v>57.9</v>
      </c>
      <c r="BY31" s="4">
        <v>57.9</v>
      </c>
      <c r="BZ31" s="4">
        <v>57.9</v>
      </c>
      <c r="CA31" s="4">
        <v>57.9</v>
      </c>
      <c r="CB31" s="4">
        <v>57.89</v>
      </c>
      <c r="CC31" s="4">
        <v>57.9</v>
      </c>
      <c r="CD31" s="4">
        <v>57.9</v>
      </c>
      <c r="CE31" s="4">
        <v>57.9</v>
      </c>
      <c r="CF31" s="4">
        <v>57.9</v>
      </c>
      <c r="CG31" s="4">
        <v>57.9</v>
      </c>
      <c r="CH31" s="4">
        <v>57.9</v>
      </c>
      <c r="CI31" s="4">
        <v>57.9</v>
      </c>
      <c r="CJ31" s="4">
        <v>57.9</v>
      </c>
      <c r="CK31" s="4">
        <v>57.89</v>
      </c>
      <c r="CL31" s="4">
        <v>57.9</v>
      </c>
      <c r="CM31" s="4">
        <v>57.9</v>
      </c>
      <c r="CN31" s="4">
        <v>57.9</v>
      </c>
      <c r="CO31" s="4">
        <v>57.9</v>
      </c>
      <c r="CP31" s="4">
        <v>57.9</v>
      </c>
      <c r="CQ31" s="4">
        <v>63.18</v>
      </c>
      <c r="CR31" s="4">
        <v>63.17</v>
      </c>
      <c r="CS31" s="4">
        <v>63.18</v>
      </c>
      <c r="CT31" s="4">
        <v>63.18</v>
      </c>
      <c r="CU31" s="4">
        <v>244.6</v>
      </c>
      <c r="CV31" s="4">
        <v>66.709999999999994</v>
      </c>
      <c r="CW31" s="4">
        <v>66.72</v>
      </c>
      <c r="CX31" s="4">
        <v>66.709999999999994</v>
      </c>
      <c r="CY31" s="4">
        <v>66.72</v>
      </c>
      <c r="CZ31" s="4">
        <v>66.709999999999994</v>
      </c>
      <c r="DA31" s="4">
        <v>66.709999999999994</v>
      </c>
      <c r="DB31" s="4">
        <v>66.72</v>
      </c>
      <c r="DC31" s="4">
        <v>66.709999999999994</v>
      </c>
      <c r="DD31" s="4">
        <v>66.72</v>
      </c>
      <c r="DE31" s="4">
        <v>66.709999999999994</v>
      </c>
      <c r="DF31" s="4">
        <v>66.709999999999994</v>
      </c>
      <c r="DG31" s="4">
        <v>66.72</v>
      </c>
      <c r="DH31" s="4">
        <v>66.709999999999994</v>
      </c>
      <c r="DI31" s="4">
        <v>66.72</v>
      </c>
      <c r="DJ31" s="4">
        <v>66.709999999999994</v>
      </c>
      <c r="DK31" s="4">
        <v>66.709999999999994</v>
      </c>
      <c r="DL31" s="4">
        <v>82.8</v>
      </c>
      <c r="DM31" s="4"/>
      <c r="DN31" s="4"/>
      <c r="DO31" s="4"/>
    </row>
    <row r="32" spans="1:122" ht="16.5">
      <c r="A32" s="38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</row>
    <row r="33" spans="1:120" ht="16.5">
      <c r="A33" s="37" t="s">
        <v>27</v>
      </c>
      <c r="B33" s="4">
        <v>0</v>
      </c>
      <c r="C33" s="4">
        <v>1.1299999999999999</v>
      </c>
      <c r="D33" s="4">
        <v>1.1299999999999999</v>
      </c>
      <c r="E33" s="4">
        <v>1.1299999999999999</v>
      </c>
      <c r="F33" s="4">
        <v>1.1299999999999999</v>
      </c>
      <c r="G33" s="4">
        <v>1.1299999999999999</v>
      </c>
      <c r="H33" s="4">
        <v>1.1299999999999999</v>
      </c>
      <c r="I33" s="4">
        <v>1.1299999999999999</v>
      </c>
      <c r="J33" s="4">
        <v>1.1299999999999999</v>
      </c>
      <c r="K33" s="4">
        <v>1.1299999999999999</v>
      </c>
      <c r="L33" s="4">
        <v>1.1299999999999999</v>
      </c>
      <c r="M33" s="4">
        <v>1.1299999999999999</v>
      </c>
      <c r="N33" s="4">
        <v>1.1299999999999999</v>
      </c>
      <c r="O33" s="4">
        <v>1.1299999999999999</v>
      </c>
      <c r="P33" s="4">
        <v>1.1299999999999999</v>
      </c>
      <c r="Q33" s="4">
        <v>1.1599999999999999</v>
      </c>
      <c r="R33" s="4">
        <v>1.1599999999999999</v>
      </c>
      <c r="S33" s="4">
        <v>1.1599999999999999</v>
      </c>
      <c r="T33" s="4">
        <v>1.1599999999999999</v>
      </c>
      <c r="U33" s="4">
        <v>1.22</v>
      </c>
      <c r="V33" s="4">
        <v>1.22</v>
      </c>
      <c r="W33" s="4">
        <v>1.22</v>
      </c>
      <c r="X33" s="4">
        <v>1.22</v>
      </c>
      <c r="Y33" s="4">
        <v>1.33</v>
      </c>
      <c r="Z33" s="4">
        <v>1.33</v>
      </c>
      <c r="AA33" s="4">
        <v>1.33</v>
      </c>
      <c r="AB33" s="4">
        <v>1.33</v>
      </c>
      <c r="AC33" s="4">
        <v>1.33</v>
      </c>
      <c r="AD33" s="4">
        <v>1.33</v>
      </c>
      <c r="AE33" s="4">
        <v>1.33</v>
      </c>
      <c r="AF33" s="4">
        <v>1.33</v>
      </c>
      <c r="AG33" s="4">
        <v>1.33</v>
      </c>
      <c r="AH33" s="4">
        <v>1.33</v>
      </c>
      <c r="AI33" s="4">
        <v>1.33</v>
      </c>
      <c r="AJ33" s="4">
        <v>1.33</v>
      </c>
      <c r="AK33" s="4">
        <v>1.33</v>
      </c>
      <c r="AL33" s="4">
        <v>1.33</v>
      </c>
      <c r="AM33" s="4">
        <v>1.33</v>
      </c>
      <c r="AN33" s="4">
        <v>1.33</v>
      </c>
      <c r="AO33" s="4">
        <v>1.33</v>
      </c>
      <c r="AP33" s="4">
        <v>1.33</v>
      </c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>
        <v>3.74</v>
      </c>
      <c r="BR33" s="4">
        <v>3.74</v>
      </c>
      <c r="BS33" s="4">
        <v>3.74</v>
      </c>
      <c r="BT33" s="4">
        <v>3.74</v>
      </c>
      <c r="BU33" s="4">
        <v>3.74</v>
      </c>
      <c r="BV33" s="4">
        <v>3.74</v>
      </c>
      <c r="BW33" s="4">
        <v>3.97</v>
      </c>
      <c r="BX33" s="4">
        <v>3.97</v>
      </c>
      <c r="BY33" s="4">
        <v>3.97</v>
      </c>
      <c r="BZ33" s="4">
        <v>3.97</v>
      </c>
      <c r="CA33" s="4">
        <v>3.97</v>
      </c>
      <c r="CB33" s="4">
        <v>3.97</v>
      </c>
      <c r="CC33" s="4">
        <v>3.97</v>
      </c>
      <c r="CD33" s="4">
        <v>3.97</v>
      </c>
      <c r="CE33" s="4">
        <v>3.97</v>
      </c>
      <c r="CF33" s="4">
        <v>3.97</v>
      </c>
      <c r="CG33" s="4">
        <v>3.97</v>
      </c>
      <c r="CH33" s="4">
        <v>3.97</v>
      </c>
      <c r="CI33" s="4">
        <v>3.97</v>
      </c>
      <c r="CJ33" s="4">
        <v>3.97</v>
      </c>
      <c r="CK33" s="4">
        <v>3.97</v>
      </c>
      <c r="CL33" s="4">
        <v>3.97</v>
      </c>
      <c r="CM33" s="4">
        <v>3.97</v>
      </c>
      <c r="CN33" s="4">
        <v>3.97</v>
      </c>
      <c r="CO33" s="4">
        <v>3.97</v>
      </c>
      <c r="CP33" s="4">
        <v>3.97</v>
      </c>
      <c r="CQ33" s="4">
        <v>4.09</v>
      </c>
      <c r="CR33" s="4">
        <v>4.09</v>
      </c>
      <c r="CS33" s="4">
        <v>4.09</v>
      </c>
      <c r="CT33" s="4">
        <v>4.09</v>
      </c>
      <c r="CU33" s="4">
        <v>4.21</v>
      </c>
      <c r="CV33" s="4">
        <v>4.21</v>
      </c>
      <c r="CW33" s="4">
        <v>4.21</v>
      </c>
      <c r="CX33" s="4">
        <v>4.21</v>
      </c>
      <c r="CY33" s="4">
        <v>4.21</v>
      </c>
      <c r="CZ33" s="4">
        <v>4.21</v>
      </c>
      <c r="DA33" s="4">
        <v>4.21</v>
      </c>
      <c r="DB33" s="4">
        <v>4.21</v>
      </c>
      <c r="DC33" s="4">
        <v>4.21</v>
      </c>
      <c r="DD33" s="4">
        <v>4.21</v>
      </c>
      <c r="DE33" s="4">
        <v>4.21</v>
      </c>
      <c r="DF33" s="4">
        <v>4.21</v>
      </c>
      <c r="DG33" s="4">
        <v>4.21</v>
      </c>
      <c r="DH33" s="4">
        <v>4.21</v>
      </c>
      <c r="DI33" s="4">
        <v>4.21</v>
      </c>
      <c r="DJ33" s="4">
        <v>4.21</v>
      </c>
      <c r="DK33" s="4">
        <v>4.21</v>
      </c>
      <c r="DL33" s="4">
        <v>5.22</v>
      </c>
      <c r="DM33" s="4"/>
      <c r="DN33" s="4"/>
      <c r="DO33" s="4"/>
    </row>
    <row r="34" spans="1:120" ht="16.5">
      <c r="A34" s="37" t="s">
        <v>28</v>
      </c>
      <c r="B34" s="4">
        <v>0</v>
      </c>
      <c r="C34" s="4">
        <v>9.69</v>
      </c>
      <c r="D34" s="4">
        <v>9.69</v>
      </c>
      <c r="E34" s="4">
        <v>9.69</v>
      </c>
      <c r="F34" s="4">
        <v>9.69</v>
      </c>
      <c r="G34" s="4">
        <v>9.69</v>
      </c>
      <c r="H34" s="4">
        <v>9.69</v>
      </c>
      <c r="I34" s="4">
        <v>9.69</v>
      </c>
      <c r="J34" s="4">
        <v>9.69</v>
      </c>
      <c r="K34" s="4">
        <v>9.69</v>
      </c>
      <c r="L34" s="4">
        <v>9.69</v>
      </c>
      <c r="M34" s="4">
        <v>9.69</v>
      </c>
      <c r="N34" s="4">
        <v>9.69</v>
      </c>
      <c r="O34" s="4">
        <v>9.69</v>
      </c>
      <c r="P34" s="4">
        <v>9.69</v>
      </c>
      <c r="Q34" s="4">
        <v>9.94</v>
      </c>
      <c r="R34" s="4">
        <v>9.94</v>
      </c>
      <c r="S34" s="4">
        <v>9.94</v>
      </c>
      <c r="T34" s="4">
        <v>9.94</v>
      </c>
      <c r="U34" s="4">
        <v>10.25</v>
      </c>
      <c r="V34" s="4">
        <v>10.25</v>
      </c>
      <c r="W34" s="4">
        <v>10.25</v>
      </c>
      <c r="X34" s="4">
        <v>10.25</v>
      </c>
      <c r="Y34" s="4">
        <v>11.43</v>
      </c>
      <c r="Z34" s="4">
        <v>11.43</v>
      </c>
      <c r="AA34" s="4">
        <v>11.43</v>
      </c>
      <c r="AB34" s="4">
        <v>11.43</v>
      </c>
      <c r="AC34" s="4">
        <v>11.43</v>
      </c>
      <c r="AD34" s="4">
        <v>11.43</v>
      </c>
      <c r="AE34" s="4">
        <v>11.43</v>
      </c>
      <c r="AF34" s="4">
        <v>11.43</v>
      </c>
      <c r="AG34" s="4">
        <v>11.43</v>
      </c>
      <c r="AH34" s="4">
        <v>11.43</v>
      </c>
      <c r="AI34" s="4">
        <v>11.43</v>
      </c>
      <c r="AJ34" s="4">
        <v>11.43</v>
      </c>
      <c r="AK34" s="4">
        <v>11.43</v>
      </c>
      <c r="AL34" s="4">
        <v>11.43</v>
      </c>
      <c r="AM34" s="4">
        <v>11.43</v>
      </c>
      <c r="AN34" s="4">
        <v>11.43</v>
      </c>
      <c r="AO34" s="4">
        <v>11.43</v>
      </c>
      <c r="AP34" s="4">
        <v>11.43</v>
      </c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</row>
    <row r="35" spans="1:120">
      <c r="A35" s="37" t="s">
        <v>29</v>
      </c>
      <c r="B35" s="19"/>
      <c r="C35" s="19">
        <v>450</v>
      </c>
      <c r="D35" s="19">
        <v>450</v>
      </c>
      <c r="E35" s="19">
        <v>300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</row>
    <row r="36" spans="1:120" ht="16.5">
      <c r="A36" s="37" t="s">
        <v>30</v>
      </c>
      <c r="B36" s="4"/>
      <c r="C36" s="4"/>
      <c r="D36" s="4"/>
      <c r="E36" s="4"/>
      <c r="F36" s="4"/>
      <c r="G36" s="4"/>
      <c r="H36" s="4"/>
      <c r="I36" s="4"/>
      <c r="J36" s="4"/>
      <c r="K36" s="4">
        <v>150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>
        <v>60</v>
      </c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</row>
    <row r="37" spans="1:120" ht="16.5">
      <c r="A37" s="37" t="s">
        <v>31</v>
      </c>
      <c r="B37" s="4"/>
      <c r="C37" s="4"/>
      <c r="D37" s="4"/>
      <c r="E37" s="4"/>
      <c r="F37" s="4"/>
      <c r="G37" s="4"/>
      <c r="H37" s="4"/>
      <c r="I37" s="4"/>
      <c r="J37" s="4"/>
      <c r="K37" s="4">
        <v>38.47</v>
      </c>
      <c r="L37" s="4">
        <v>38.47</v>
      </c>
      <c r="M37" s="4">
        <v>38.47</v>
      </c>
      <c r="N37" s="4">
        <v>38.47</v>
      </c>
      <c r="O37" s="4">
        <v>38.47</v>
      </c>
      <c r="P37" s="4">
        <v>38.47</v>
      </c>
      <c r="Q37" s="4">
        <v>38.47</v>
      </c>
      <c r="R37" s="4">
        <v>38.47</v>
      </c>
      <c r="S37" s="4">
        <v>38.47</v>
      </c>
      <c r="T37" s="4">
        <v>38.47</v>
      </c>
      <c r="U37" s="4">
        <v>38.47</v>
      </c>
      <c r="V37" s="4">
        <v>38.47</v>
      </c>
      <c r="W37" s="4">
        <v>38.47</v>
      </c>
      <c r="X37" s="4">
        <v>38.47</v>
      </c>
      <c r="Y37" s="4">
        <v>38.47</v>
      </c>
      <c r="Z37" s="4">
        <v>38.47</v>
      </c>
      <c r="AA37" s="4">
        <v>38.47</v>
      </c>
      <c r="AB37" s="4">
        <v>38.47</v>
      </c>
      <c r="AC37" s="4">
        <v>38.47</v>
      </c>
      <c r="AD37" s="4">
        <v>38.47</v>
      </c>
      <c r="AE37" s="4">
        <v>38.47</v>
      </c>
      <c r="AF37" s="4">
        <v>38.47</v>
      </c>
      <c r="AG37" s="4">
        <v>38.47</v>
      </c>
      <c r="AH37" s="4">
        <v>38.47</v>
      </c>
      <c r="AI37" s="4">
        <v>38.47</v>
      </c>
      <c r="AJ37" s="4">
        <v>38.47</v>
      </c>
      <c r="AK37" s="4">
        <v>38.47</v>
      </c>
      <c r="AL37" s="4">
        <v>38.47</v>
      </c>
      <c r="AM37" s="4">
        <v>38.47</v>
      </c>
      <c r="AN37" s="4">
        <v>38.47</v>
      </c>
      <c r="AO37" s="4">
        <v>38.47</v>
      </c>
      <c r="AP37" s="4">
        <v>38.47</v>
      </c>
      <c r="AQ37" s="4">
        <v>38.47</v>
      </c>
      <c r="AR37" s="4">
        <v>38.47</v>
      </c>
      <c r="AS37" s="4">
        <v>38.47</v>
      </c>
      <c r="AT37" s="4">
        <v>38.47</v>
      </c>
      <c r="AU37" s="4">
        <v>38.47</v>
      </c>
      <c r="AV37" s="4">
        <v>38.47</v>
      </c>
      <c r="AW37" s="4">
        <v>38.47</v>
      </c>
      <c r="AX37" s="4">
        <v>38.47</v>
      </c>
      <c r="AY37" s="4">
        <v>38.47</v>
      </c>
      <c r="AZ37" s="4">
        <v>38.47</v>
      </c>
      <c r="BA37" s="4">
        <v>38.47</v>
      </c>
      <c r="BB37" s="4">
        <v>38.47</v>
      </c>
      <c r="BC37" s="4">
        <v>38.47</v>
      </c>
      <c r="BD37" s="4">
        <v>38.47</v>
      </c>
      <c r="BE37" s="4">
        <v>38.47</v>
      </c>
      <c r="BF37" s="4">
        <v>38.47</v>
      </c>
      <c r="BG37" s="4">
        <v>38.47</v>
      </c>
      <c r="BH37" s="4">
        <v>38.47</v>
      </c>
      <c r="BI37" s="4">
        <v>38.47</v>
      </c>
      <c r="BJ37" s="4">
        <v>38.47</v>
      </c>
      <c r="BK37" s="4">
        <v>38.47</v>
      </c>
      <c r="BL37" s="4">
        <v>38.47</v>
      </c>
      <c r="BM37" s="4">
        <v>38.47</v>
      </c>
      <c r="BN37" s="4">
        <v>38.47</v>
      </c>
      <c r="BO37" s="4">
        <v>38.47</v>
      </c>
      <c r="BP37" s="4">
        <v>38.47</v>
      </c>
      <c r="BQ37" s="4">
        <v>38.47</v>
      </c>
      <c r="BR37" s="4">
        <v>38.47</v>
      </c>
      <c r="BS37" s="4">
        <v>38.47</v>
      </c>
      <c r="BT37" s="4">
        <v>38.47</v>
      </c>
      <c r="BU37" s="4">
        <v>38.47</v>
      </c>
      <c r="BV37" s="4">
        <v>38.47</v>
      </c>
      <c r="BW37" s="4">
        <v>38.47</v>
      </c>
      <c r="BX37" s="4">
        <v>38.47</v>
      </c>
      <c r="BY37" s="4">
        <v>38.47</v>
      </c>
      <c r="BZ37" s="4">
        <v>38.47</v>
      </c>
      <c r="CA37" s="4">
        <v>38.47</v>
      </c>
      <c r="CB37" s="4">
        <v>38.47</v>
      </c>
      <c r="CC37" s="4">
        <v>38.47</v>
      </c>
      <c r="CD37" s="4">
        <v>38.47</v>
      </c>
      <c r="CE37" s="4">
        <v>38.47</v>
      </c>
      <c r="CF37" s="4">
        <v>38.47</v>
      </c>
      <c r="CG37" s="4">
        <v>38.47</v>
      </c>
      <c r="CH37" s="4">
        <v>38.47</v>
      </c>
      <c r="CI37" s="4">
        <v>38.47</v>
      </c>
      <c r="CJ37" s="4">
        <v>38.47</v>
      </c>
      <c r="CK37" s="4">
        <v>38.47</v>
      </c>
      <c r="CL37" s="4">
        <v>38.47</v>
      </c>
      <c r="CM37" s="4">
        <v>38.47</v>
      </c>
      <c r="CN37" s="4">
        <v>38.47</v>
      </c>
      <c r="CO37" s="4">
        <v>38.47</v>
      </c>
      <c r="CP37" s="4">
        <v>38.47</v>
      </c>
      <c r="CQ37" s="4">
        <v>38.47</v>
      </c>
      <c r="CR37" s="4">
        <v>38.47</v>
      </c>
      <c r="CS37" s="4">
        <v>38.47</v>
      </c>
      <c r="CT37" s="4">
        <v>38.47</v>
      </c>
      <c r="CU37" s="4">
        <v>38.47</v>
      </c>
      <c r="CV37" s="4">
        <v>38.47</v>
      </c>
      <c r="CW37" s="4">
        <v>38.47</v>
      </c>
      <c r="CX37" s="4">
        <v>38.47</v>
      </c>
      <c r="CY37" s="4">
        <v>38.47</v>
      </c>
      <c r="CZ37" s="4">
        <v>38.47</v>
      </c>
      <c r="DA37" s="4">
        <v>38.47</v>
      </c>
      <c r="DB37" s="4">
        <v>38.47</v>
      </c>
      <c r="DC37" s="4">
        <v>38.47</v>
      </c>
      <c r="DD37" s="4">
        <v>38.47</v>
      </c>
      <c r="DE37" s="4">
        <v>38.47</v>
      </c>
      <c r="DF37" s="4">
        <v>38.47</v>
      </c>
      <c r="DG37" s="4">
        <v>38.47</v>
      </c>
      <c r="DH37" s="4">
        <v>38.47</v>
      </c>
      <c r="DI37" s="4">
        <v>38.47</v>
      </c>
      <c r="DJ37" s="4">
        <v>38.47</v>
      </c>
      <c r="DK37" s="4">
        <v>38.47</v>
      </c>
      <c r="DL37" s="4">
        <v>38.47</v>
      </c>
      <c r="DM37" s="4"/>
      <c r="DN37" s="4"/>
      <c r="DO37" s="4"/>
    </row>
    <row r="38" spans="1:120">
      <c r="A38" s="37" t="s">
        <v>32</v>
      </c>
      <c r="B38" s="19"/>
      <c r="C38" s="19"/>
      <c r="D38" s="19"/>
      <c r="E38" s="19"/>
      <c r="F38" s="19"/>
      <c r="G38" s="19"/>
      <c r="H38" s="19"/>
      <c r="I38" s="19"/>
      <c r="J38" s="19">
        <v>150</v>
      </c>
      <c r="K38" s="19">
        <v>240</v>
      </c>
      <c r="L38" s="19">
        <v>240</v>
      </c>
      <c r="M38" s="19">
        <v>240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>
        <v>530.77</v>
      </c>
      <c r="AH38" s="19">
        <v>530.77</v>
      </c>
      <c r="AI38" s="19">
        <v>530.77</v>
      </c>
      <c r="AJ38" s="19">
        <v>530.77</v>
      </c>
      <c r="AK38" s="19">
        <v>530.77</v>
      </c>
      <c r="AL38" s="19">
        <v>530.77</v>
      </c>
      <c r="AM38" s="19">
        <v>530.77</v>
      </c>
      <c r="AN38" s="19">
        <v>530.77</v>
      </c>
      <c r="AO38" s="19">
        <v>530.77</v>
      </c>
      <c r="AP38" s="19">
        <v>530.77</v>
      </c>
      <c r="AQ38" s="19">
        <v>530.77</v>
      </c>
      <c r="AR38" s="19">
        <v>982.44</v>
      </c>
      <c r="AS38" s="19">
        <v>601.54</v>
      </c>
      <c r="AT38" s="19">
        <v>601.54</v>
      </c>
      <c r="AU38" s="19">
        <v>720</v>
      </c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</row>
    <row r="39" spans="1:120" ht="16.5">
      <c r="A39" s="37" t="s">
        <v>14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>
        <v>2.6</v>
      </c>
      <c r="BR39" s="4">
        <v>2.6</v>
      </c>
      <c r="BS39" s="4">
        <v>2.6</v>
      </c>
      <c r="BT39" s="4">
        <v>2.6</v>
      </c>
      <c r="BU39" s="4">
        <v>2.6</v>
      </c>
      <c r="BV39" s="4">
        <v>2.6</v>
      </c>
      <c r="BW39" s="4">
        <v>2.6</v>
      </c>
      <c r="BX39" s="4">
        <v>2.6</v>
      </c>
      <c r="BY39" s="4">
        <v>2.6</v>
      </c>
      <c r="BZ39" s="4">
        <v>2.6</v>
      </c>
      <c r="CA39" s="4">
        <v>2.6</v>
      </c>
      <c r="CB39" s="4">
        <v>2.6</v>
      </c>
      <c r="CC39" s="4">
        <v>2.6</v>
      </c>
      <c r="CD39" s="4">
        <v>2.6</v>
      </c>
      <c r="CE39" s="4">
        <v>2.6</v>
      </c>
      <c r="CF39" s="4">
        <v>2.6</v>
      </c>
      <c r="CG39" s="4">
        <v>2.6</v>
      </c>
      <c r="CH39" s="4">
        <v>2.6</v>
      </c>
      <c r="CI39" s="4">
        <v>2.6</v>
      </c>
      <c r="CJ39" s="4">
        <v>2.6</v>
      </c>
      <c r="CK39" s="4">
        <v>2.6</v>
      </c>
      <c r="CL39" s="4">
        <v>2.6</v>
      </c>
      <c r="CM39" s="4">
        <v>2.6</v>
      </c>
      <c r="CN39" s="4">
        <v>2.6</v>
      </c>
      <c r="CO39" s="4">
        <v>2.6</v>
      </c>
      <c r="CP39" s="4">
        <v>2.6</v>
      </c>
      <c r="CQ39" s="4">
        <v>2.73</v>
      </c>
      <c r="CR39" s="4">
        <v>2.73</v>
      </c>
      <c r="CS39" s="4">
        <v>2.73</v>
      </c>
      <c r="CT39" s="4">
        <v>2.73</v>
      </c>
      <c r="CU39" s="4">
        <v>2.73</v>
      </c>
      <c r="CV39" s="4">
        <v>2.73</v>
      </c>
      <c r="CW39" s="4">
        <v>2.73</v>
      </c>
      <c r="CX39" s="4">
        <v>2.73</v>
      </c>
      <c r="CY39" s="4">
        <v>2.73</v>
      </c>
      <c r="CZ39" s="4">
        <v>2.73</v>
      </c>
      <c r="DA39" s="4">
        <v>2.73</v>
      </c>
      <c r="DB39" s="4">
        <v>2.73</v>
      </c>
      <c r="DC39" s="4">
        <v>2.73</v>
      </c>
      <c r="DD39" s="4">
        <v>2.73</v>
      </c>
      <c r="DE39" s="4">
        <v>2.73</v>
      </c>
      <c r="DF39" s="4">
        <v>2.73</v>
      </c>
      <c r="DG39" s="4">
        <v>2.73</v>
      </c>
      <c r="DH39" s="4">
        <v>2.73</v>
      </c>
      <c r="DI39" s="4">
        <v>2.73</v>
      </c>
      <c r="DJ39" s="4">
        <v>2.73</v>
      </c>
      <c r="DK39" s="4">
        <v>2.73</v>
      </c>
      <c r="DL39" s="4">
        <v>2.73</v>
      </c>
      <c r="DM39" s="4"/>
      <c r="DN39" s="4"/>
      <c r="DO39" s="4"/>
    </row>
    <row r="40" spans="1:120" ht="16.5">
      <c r="A40" s="3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>
        <v>0.03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</row>
    <row r="41" spans="1:120" ht="16.5">
      <c r="A41" s="37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>
        <v>0.25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</row>
    <row r="42" spans="1:120" ht="16.5">
      <c r="A42" s="37" t="s">
        <v>33</v>
      </c>
      <c r="B42" s="6">
        <f>B23-SUM(B25:B29)-SUM(B33:B38)</f>
        <v>4436.57</v>
      </c>
      <c r="C42" s="6">
        <f t="shared" ref="C42:P42" si="54">C23-SUM(C25:C29)-SUM(C33:C38)</f>
        <v>1583.6200000000001</v>
      </c>
      <c r="D42" s="6">
        <f t="shared" si="54"/>
        <v>1583.6100000000004</v>
      </c>
      <c r="E42" s="6">
        <f t="shared" si="54"/>
        <v>1733.6600000000005</v>
      </c>
      <c r="F42" s="6">
        <f t="shared" si="54"/>
        <v>2033.6500000000003</v>
      </c>
      <c r="G42" s="6">
        <f t="shared" si="54"/>
        <v>2033.6500000000003</v>
      </c>
      <c r="H42" s="6">
        <f t="shared" si="54"/>
        <v>2033.6600000000005</v>
      </c>
      <c r="I42" s="6">
        <f t="shared" si="54"/>
        <v>2179.34</v>
      </c>
      <c r="J42" s="6">
        <f t="shared" si="54"/>
        <v>2029.3400000000004</v>
      </c>
      <c r="K42" s="6">
        <f t="shared" si="54"/>
        <v>1900.88</v>
      </c>
      <c r="L42" s="6">
        <f t="shared" si="54"/>
        <v>1900.8700000000003</v>
      </c>
      <c r="M42" s="6">
        <f t="shared" si="54"/>
        <v>1900.88</v>
      </c>
      <c r="N42" s="6">
        <f t="shared" si="54"/>
        <v>1962.3100000000004</v>
      </c>
      <c r="O42" s="6">
        <f t="shared" si="54"/>
        <v>1962.3200000000004</v>
      </c>
      <c r="P42" s="6">
        <f t="shared" si="54"/>
        <v>2738.66</v>
      </c>
      <c r="Q42" s="6">
        <f>Q23-SUM(Q25:Q29)-SUM(Q33:Q41)</f>
        <v>3898.6056796634116</v>
      </c>
      <c r="R42" s="6">
        <f>R23-SUM(R25:R29)-SUM(R33:R38)-R22-1.55</f>
        <v>1718.2299999999998</v>
      </c>
      <c r="S42" s="6">
        <f>S23-SUM(S25:S29)-SUM(S33:S38)-S22-1.55</f>
        <v>1718.2299999999998</v>
      </c>
      <c r="T42" s="6">
        <f>T23-SUM(T25:T29)-SUM(T33:T38)-1.42</f>
        <v>2176.2199999999998</v>
      </c>
      <c r="U42" s="6">
        <f>U23-SUM(U25:U29)-SUM(U33:U38)-1.55</f>
        <v>2240.0699999999997</v>
      </c>
      <c r="V42" s="6">
        <f>V23-SUM(V25:V29)-SUM(V33:V38)-1.55</f>
        <v>2240.0699999999997</v>
      </c>
      <c r="W42" s="6">
        <f>W23-SUM(W25:W29)-SUM(W33:W38)-1.55</f>
        <v>2240.0799999999995</v>
      </c>
      <c r="X42" s="6">
        <f>X23-SUM(X25:X29)-SUM(X33:X38)-1.55</f>
        <v>2240.0699999999997</v>
      </c>
      <c r="Y42" s="6">
        <f t="shared" ref="Y42:AF42" si="55">Y23-SUM(Y25:Y29)-SUM(Y33:Y38)-1.92</f>
        <v>2482.89</v>
      </c>
      <c r="Z42" s="6">
        <f t="shared" si="55"/>
        <v>2482.9</v>
      </c>
      <c r="AA42" s="6">
        <f t="shared" si="55"/>
        <v>2482.9</v>
      </c>
      <c r="AB42" s="6">
        <f t="shared" si="55"/>
        <v>2482.89</v>
      </c>
      <c r="AC42" s="6">
        <f t="shared" si="55"/>
        <v>2482.9</v>
      </c>
      <c r="AD42" s="6">
        <f t="shared" si="55"/>
        <v>2482.89</v>
      </c>
      <c r="AE42" s="6">
        <f t="shared" si="55"/>
        <v>2482.9</v>
      </c>
      <c r="AF42" s="6">
        <f t="shared" si="55"/>
        <v>2482.9</v>
      </c>
      <c r="AG42" s="6">
        <f>AG23-SUM(AG25:AG29)-SUM(AG33:AG38)-1.92</f>
        <v>1952.12</v>
      </c>
      <c r="AH42" s="6">
        <f>AH23-SUM(AH25:AH29)-SUM(AH33:AH38)-1.92</f>
        <v>1952.12</v>
      </c>
      <c r="AI42" s="6">
        <f t="shared" ref="AI42:AP42" si="56">AI23-SUM(AI25:AI31)-SUM(AI33:AI38)-1.92</f>
        <v>1833.1799999999998</v>
      </c>
      <c r="AJ42" s="6">
        <f t="shared" si="56"/>
        <v>1810.1999999999998</v>
      </c>
      <c r="AK42" s="6">
        <f t="shared" si="56"/>
        <v>1810.1999999999998</v>
      </c>
      <c r="AL42" s="6">
        <f t="shared" si="56"/>
        <v>1810.21</v>
      </c>
      <c r="AM42" s="6">
        <f t="shared" si="56"/>
        <v>1810.1899999999996</v>
      </c>
      <c r="AN42" s="6">
        <f t="shared" si="56"/>
        <v>1810.1999999999998</v>
      </c>
      <c r="AO42" s="6">
        <f t="shared" si="56"/>
        <v>1810.1999999999998</v>
      </c>
      <c r="AP42" s="6">
        <f t="shared" si="56"/>
        <v>1810.1999999999998</v>
      </c>
      <c r="AQ42" s="6">
        <f t="shared" ref="AQ42:BJ42" si="57">AQ23-SUM(AQ25:AQ31)-SUM(AQ33:AQ38)-1.92+AQ12</f>
        <v>3607.74</v>
      </c>
      <c r="AR42" s="6">
        <f t="shared" si="57"/>
        <v>3183.4400000000005</v>
      </c>
      <c r="AS42" s="6">
        <f t="shared" si="57"/>
        <v>1781.1499999999999</v>
      </c>
      <c r="AT42" s="6">
        <f t="shared" si="57"/>
        <v>1782.11</v>
      </c>
      <c r="AU42" s="6">
        <f t="shared" si="57"/>
        <v>1936.74</v>
      </c>
      <c r="AV42" s="6">
        <f t="shared" si="57"/>
        <v>2656.9100000000003</v>
      </c>
      <c r="AW42" s="6">
        <f t="shared" si="57"/>
        <v>2656.9</v>
      </c>
      <c r="AX42" s="6">
        <f t="shared" si="57"/>
        <v>2656.9</v>
      </c>
      <c r="AY42" s="6">
        <f t="shared" si="57"/>
        <v>2656.9</v>
      </c>
      <c r="AZ42" s="6">
        <f t="shared" si="57"/>
        <v>2656.9</v>
      </c>
      <c r="BA42" s="6">
        <f t="shared" si="57"/>
        <v>2656.9</v>
      </c>
      <c r="BB42" s="6">
        <f t="shared" si="57"/>
        <v>2656.9</v>
      </c>
      <c r="BC42" s="6">
        <f t="shared" si="57"/>
        <v>2656.9</v>
      </c>
      <c r="BD42" s="6">
        <f t="shared" si="57"/>
        <v>2656.9</v>
      </c>
      <c r="BE42" s="6">
        <f t="shared" si="57"/>
        <v>2656.9</v>
      </c>
      <c r="BF42" s="6">
        <f t="shared" si="57"/>
        <v>2656.9100000000003</v>
      </c>
      <c r="BG42" s="6">
        <f t="shared" si="57"/>
        <v>2656.89</v>
      </c>
      <c r="BH42" s="6">
        <f t="shared" si="57"/>
        <v>2656.9100000000003</v>
      </c>
      <c r="BI42" s="6">
        <f t="shared" si="57"/>
        <v>3281.9796263810722</v>
      </c>
      <c r="BJ42" s="6">
        <f t="shared" si="57"/>
        <v>3281.9796263810722</v>
      </c>
      <c r="BK42" s="6">
        <f t="shared" ref="BK42:BP42" si="58">BK23-SUM(BK25:BK31)-SUM(BK33:BK38)+BK12</f>
        <v>3214.9484615384617</v>
      </c>
      <c r="BL42" s="6">
        <f t="shared" si="58"/>
        <v>3214.9484615384622</v>
      </c>
      <c r="BM42" s="6">
        <f t="shared" si="58"/>
        <v>3214.9484615384617</v>
      </c>
      <c r="BN42" s="6">
        <f t="shared" si="58"/>
        <v>3214.958461538462</v>
      </c>
      <c r="BO42" s="6">
        <f t="shared" si="58"/>
        <v>3214.938461538462</v>
      </c>
      <c r="BP42" s="6">
        <f t="shared" si="58"/>
        <v>3215.0184615384624</v>
      </c>
      <c r="BQ42" s="6">
        <f t="shared" ref="BQ42:CQ42" si="59">BQ23-SUM(BQ25:BQ31)-SUM(BQ33:BQ39)+BQ12</f>
        <v>3347.6784615384618</v>
      </c>
      <c r="BR42" s="6">
        <f t="shared" si="59"/>
        <v>3347.6784615384618</v>
      </c>
      <c r="BS42" s="6">
        <f t="shared" si="59"/>
        <v>5685.3684615384618</v>
      </c>
      <c r="BT42" s="6">
        <f t="shared" si="59"/>
        <v>3347.6784615384618</v>
      </c>
      <c r="BU42" s="6">
        <f t="shared" si="59"/>
        <v>5289.9207692307691</v>
      </c>
      <c r="BV42" s="6">
        <f t="shared" si="59"/>
        <v>3551.2207692307697</v>
      </c>
      <c r="BW42" s="6">
        <f t="shared" si="59"/>
        <v>3517.0299999999997</v>
      </c>
      <c r="BX42" s="6">
        <f t="shared" si="59"/>
        <v>3517.04</v>
      </c>
      <c r="BY42" s="6">
        <f t="shared" si="59"/>
        <v>3517.04</v>
      </c>
      <c r="BZ42" s="6">
        <f t="shared" si="59"/>
        <v>3517.04</v>
      </c>
      <c r="CA42" s="6">
        <f t="shared" si="59"/>
        <v>3517.04</v>
      </c>
      <c r="CB42" s="6">
        <f t="shared" si="59"/>
        <v>3517.0499999999997</v>
      </c>
      <c r="CC42" s="6">
        <f t="shared" si="59"/>
        <v>4449.03</v>
      </c>
      <c r="CD42" s="6">
        <f t="shared" si="59"/>
        <v>3517.04</v>
      </c>
      <c r="CE42" s="6">
        <f t="shared" si="59"/>
        <v>3517.04</v>
      </c>
      <c r="CF42" s="6">
        <f t="shared" si="59"/>
        <v>3517.04</v>
      </c>
      <c r="CG42" s="6">
        <f t="shared" si="59"/>
        <v>3517.04</v>
      </c>
      <c r="CH42" s="6">
        <f t="shared" si="59"/>
        <v>3517.04</v>
      </c>
      <c r="CI42" s="6">
        <f t="shared" si="59"/>
        <v>3517.04</v>
      </c>
      <c r="CJ42" s="6">
        <f t="shared" si="59"/>
        <v>3517.04</v>
      </c>
      <c r="CK42" s="6">
        <f t="shared" si="59"/>
        <v>3517.04</v>
      </c>
      <c r="CL42" s="6">
        <f t="shared" si="59"/>
        <v>3517.04</v>
      </c>
      <c r="CM42" s="6">
        <f t="shared" si="59"/>
        <v>3517.04</v>
      </c>
      <c r="CN42" s="6">
        <f t="shared" si="59"/>
        <v>3517.0499999999997</v>
      </c>
      <c r="CO42" s="6">
        <f t="shared" si="59"/>
        <v>3517.0499999999997</v>
      </c>
      <c r="CP42" s="6">
        <f t="shared" si="59"/>
        <v>3517.0499999999997</v>
      </c>
      <c r="CQ42" s="6">
        <f t="shared" si="59"/>
        <v>2472.5699999999997</v>
      </c>
      <c r="CR42" s="6">
        <f>CR23-SUM(CR25:CR31)-SUM(CR33:CR39)</f>
        <v>4361.5899999999992</v>
      </c>
      <c r="CS42" s="6">
        <f t="shared" ref="CS42:DO42" si="60">CS23-SUM(CS25:CS31)-SUM(CS33:CS39)+CS12</f>
        <v>2472.5699999999997</v>
      </c>
      <c r="CT42" s="6">
        <f t="shared" si="60"/>
        <v>2472.5699999999997</v>
      </c>
      <c r="CU42" s="6">
        <f t="shared" si="60"/>
        <v>8304.32</v>
      </c>
      <c r="CV42" s="6">
        <f t="shared" si="60"/>
        <v>2586.02</v>
      </c>
      <c r="CW42" s="6">
        <f t="shared" si="60"/>
        <v>2586.0100000000002</v>
      </c>
      <c r="CX42" s="6">
        <f t="shared" si="60"/>
        <v>2586.02</v>
      </c>
      <c r="CY42" s="6">
        <f t="shared" si="60"/>
        <v>968.43999999999994</v>
      </c>
      <c r="CZ42" s="6">
        <f t="shared" si="60"/>
        <v>3695</v>
      </c>
      <c r="DA42" s="6">
        <f t="shared" si="60"/>
        <v>3695</v>
      </c>
      <c r="DB42" s="6">
        <f t="shared" si="60"/>
        <v>3694.98</v>
      </c>
      <c r="DC42" s="6">
        <f t="shared" si="60"/>
        <v>3695</v>
      </c>
      <c r="DD42" s="6">
        <f t="shared" si="60"/>
        <v>3694.99</v>
      </c>
      <c r="DE42" s="6">
        <f t="shared" si="60"/>
        <v>3695</v>
      </c>
      <c r="DF42" s="6">
        <f t="shared" si="60"/>
        <v>3694.99</v>
      </c>
      <c r="DG42" s="6">
        <f t="shared" si="60"/>
        <v>3694.99</v>
      </c>
      <c r="DH42" s="6">
        <f t="shared" si="60"/>
        <v>3695</v>
      </c>
      <c r="DI42" s="6">
        <f>DI23-SUM(DI25:DI31)-SUM(DI33:DI39)-DI12</f>
        <v>4692.9799999999996</v>
      </c>
      <c r="DJ42" s="6">
        <f t="shared" si="60"/>
        <v>3695</v>
      </c>
      <c r="DK42" s="6">
        <f t="shared" si="60"/>
        <v>3695</v>
      </c>
      <c r="DL42" s="6">
        <f t="shared" si="60"/>
        <v>3015.4069230769273</v>
      </c>
      <c r="DM42" s="6">
        <f t="shared" si="60"/>
        <v>0</v>
      </c>
      <c r="DN42" s="6">
        <f t="shared" si="60"/>
        <v>0</v>
      </c>
      <c r="DO42" s="6">
        <f t="shared" si="60"/>
        <v>0</v>
      </c>
      <c r="DP42" s="13">
        <f>SUM(CQ42:DO42)</f>
        <v>77163.446923076917</v>
      </c>
    </row>
    <row r="43" spans="1:120" ht="16.5">
      <c r="A43" s="38" t="s">
        <v>18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</row>
    <row r="44" spans="1:120" ht="16.5">
      <c r="A44" s="37" t="s">
        <v>19</v>
      </c>
      <c r="B44" s="11">
        <f t="shared" ref="B44:AG44" si="61">B25/B$23</f>
        <v>6.2000155919727816E-2</v>
      </c>
      <c r="C44" s="11">
        <f t="shared" si="61"/>
        <v>6.2028703478472384E-2</v>
      </c>
      <c r="D44" s="11">
        <f t="shared" si="61"/>
        <v>6.2028703478472384E-2</v>
      </c>
      <c r="E44" s="11">
        <f t="shared" si="61"/>
        <v>6.2028703478472384E-2</v>
      </c>
      <c r="F44" s="11">
        <f t="shared" si="61"/>
        <v>6.2028703478472384E-2</v>
      </c>
      <c r="G44" s="11">
        <f t="shared" si="61"/>
        <v>6.2028703478472384E-2</v>
      </c>
      <c r="H44" s="11">
        <f t="shared" si="61"/>
        <v>6.2028703478472384E-2</v>
      </c>
      <c r="I44" s="11">
        <f t="shared" si="61"/>
        <v>6.2028703478472384E-2</v>
      </c>
      <c r="J44" s="11">
        <f t="shared" si="61"/>
        <v>6.2028703478472384E-2</v>
      </c>
      <c r="K44" s="11">
        <f t="shared" si="61"/>
        <v>6.2028596846353194E-2</v>
      </c>
      <c r="L44" s="11">
        <f t="shared" si="61"/>
        <v>6.2028703478472384E-2</v>
      </c>
      <c r="M44" s="11">
        <f t="shared" si="61"/>
        <v>6.2028703478472384E-2</v>
      </c>
      <c r="N44" s="11">
        <f t="shared" si="61"/>
        <v>6.7672593547408719E-2</v>
      </c>
      <c r="O44" s="11">
        <f t="shared" si="61"/>
        <v>6.7672593547408719E-2</v>
      </c>
      <c r="P44" s="11">
        <f t="shared" si="61"/>
        <v>6.758592831962397E-2</v>
      </c>
      <c r="Q44" s="11">
        <f t="shared" si="61"/>
        <v>6.7660830582010764E-2</v>
      </c>
      <c r="R44" s="11">
        <f t="shared" si="61"/>
        <v>6.1999335586858322E-2</v>
      </c>
      <c r="S44" s="11">
        <f t="shared" si="61"/>
        <v>6.1999335586858322E-2</v>
      </c>
      <c r="T44" s="11">
        <f t="shared" si="61"/>
        <v>6.1999335586858322E-2</v>
      </c>
      <c r="U44" s="11">
        <f t="shared" si="61"/>
        <v>6.2000006630662172E-2</v>
      </c>
      <c r="V44" s="11">
        <f t="shared" si="61"/>
        <v>6.2000006630662172E-2</v>
      </c>
      <c r="W44" s="11">
        <f t="shared" si="61"/>
        <v>6.2000006630662172E-2</v>
      </c>
      <c r="X44" s="11">
        <f t="shared" si="61"/>
        <v>6.2000006630662172E-2</v>
      </c>
      <c r="Y44" s="11">
        <f t="shared" si="61"/>
        <v>6.2000745002276397E-2</v>
      </c>
      <c r="Z44" s="11">
        <f t="shared" si="61"/>
        <v>6.2000745002276397E-2</v>
      </c>
      <c r="AA44" s="11">
        <f t="shared" si="61"/>
        <v>6.2000745002276397E-2</v>
      </c>
      <c r="AB44" s="11">
        <f t="shared" si="61"/>
        <v>6.2000745002276397E-2</v>
      </c>
      <c r="AC44" s="11">
        <f t="shared" si="61"/>
        <v>6.2000745002276397E-2</v>
      </c>
      <c r="AD44" s="11">
        <f t="shared" si="61"/>
        <v>6.2000745002276397E-2</v>
      </c>
      <c r="AE44" s="11">
        <f t="shared" si="61"/>
        <v>6.2000745002276397E-2</v>
      </c>
      <c r="AF44" s="11">
        <f t="shared" si="61"/>
        <v>6.2000745002276397E-2</v>
      </c>
      <c r="AG44" s="11">
        <f t="shared" si="61"/>
        <v>6.2000745002276397E-2</v>
      </c>
      <c r="AH44" s="11">
        <f t="shared" ref="AH44:BM44" si="62">AH25/AH$23</f>
        <v>6.2000745002276397E-2</v>
      </c>
      <c r="AI44" s="11">
        <f t="shared" si="62"/>
        <v>6.158094213224382E-2</v>
      </c>
      <c r="AJ44" s="11">
        <f t="shared" si="62"/>
        <v>6.1999559463497979E-2</v>
      </c>
      <c r="AK44" s="11">
        <f t="shared" si="62"/>
        <v>6.1999559463497979E-2</v>
      </c>
      <c r="AL44" s="11">
        <f t="shared" si="62"/>
        <v>6.1999559463497979E-2</v>
      </c>
      <c r="AM44" s="11">
        <f t="shared" si="62"/>
        <v>6.1999559463497979E-2</v>
      </c>
      <c r="AN44" s="11">
        <f t="shared" si="62"/>
        <v>6.1999559463497979E-2</v>
      </c>
      <c r="AO44" s="11">
        <f t="shared" si="62"/>
        <v>6.1999559463497979E-2</v>
      </c>
      <c r="AP44" s="11">
        <f t="shared" si="62"/>
        <v>6.1999559463497979E-2</v>
      </c>
      <c r="AQ44" s="11">
        <f t="shared" si="62"/>
        <v>6.1993102912435677E-2</v>
      </c>
      <c r="AR44" s="11">
        <f t="shared" si="62"/>
        <v>6.199655522261284E-2</v>
      </c>
      <c r="AS44" s="11">
        <f t="shared" si="62"/>
        <v>6.1993102912435677E-2</v>
      </c>
      <c r="AT44" s="11">
        <f t="shared" si="62"/>
        <v>6.1993102912435677E-2</v>
      </c>
      <c r="AU44" s="11">
        <f t="shared" si="62"/>
        <v>6.2008419405074233E-2</v>
      </c>
      <c r="AV44" s="11">
        <f t="shared" si="62"/>
        <v>6.2000540984855051E-2</v>
      </c>
      <c r="AW44" s="11">
        <f t="shared" si="62"/>
        <v>6.2000540984855051E-2</v>
      </c>
      <c r="AX44" s="11">
        <f t="shared" si="62"/>
        <v>6.2002931568593843E-2</v>
      </c>
      <c r="AY44" s="11">
        <f t="shared" si="62"/>
        <v>6.2000540984855051E-2</v>
      </c>
      <c r="AZ44" s="11">
        <f t="shared" si="62"/>
        <v>6.2000540984855051E-2</v>
      </c>
      <c r="BA44" s="11">
        <f t="shared" si="62"/>
        <v>6.2000540984855051E-2</v>
      </c>
      <c r="BB44" s="11">
        <f t="shared" si="62"/>
        <v>6.2003167124928107E-2</v>
      </c>
      <c r="BC44" s="11">
        <f t="shared" si="62"/>
        <v>6.2000540984855051E-2</v>
      </c>
      <c r="BD44" s="11">
        <f t="shared" si="62"/>
        <v>6.2000540984855051E-2</v>
      </c>
      <c r="BE44" s="11">
        <f t="shared" si="62"/>
        <v>6.2000540984855051E-2</v>
      </c>
      <c r="BF44" s="11">
        <f t="shared" si="62"/>
        <v>6.2000540984855051E-2</v>
      </c>
      <c r="BG44" s="11">
        <f t="shared" si="62"/>
        <v>6.2003167124928107E-2</v>
      </c>
      <c r="BH44" s="11">
        <f t="shared" si="62"/>
        <v>6.2000540984855051E-2</v>
      </c>
      <c r="BI44" s="11">
        <f t="shared" si="62"/>
        <v>6.4498159722164397E-2</v>
      </c>
      <c r="BJ44" s="11">
        <f t="shared" si="62"/>
        <v>6.4498159722164397E-2</v>
      </c>
      <c r="BK44" s="11">
        <f t="shared" si="62"/>
        <v>6.2038954553558671E-2</v>
      </c>
      <c r="BL44" s="11">
        <f t="shared" si="62"/>
        <v>6.2036857013086227E-2</v>
      </c>
      <c r="BM44" s="11">
        <f t="shared" si="62"/>
        <v>6.2038954553558671E-2</v>
      </c>
      <c r="BN44" s="11">
        <f t="shared" ref="BN44:BQ47" si="63">BN25/BN$23</f>
        <v>6.2036857013086227E-2</v>
      </c>
      <c r="BO44" s="11">
        <f t="shared" si="63"/>
        <v>6.2038954553558671E-2</v>
      </c>
      <c r="BP44" s="11">
        <f t="shared" si="63"/>
        <v>6.2037653288672785E-2</v>
      </c>
      <c r="BQ44" s="11">
        <f t="shared" si="63"/>
        <v>6.2049302325581396E-2</v>
      </c>
      <c r="BR44" s="11">
        <f t="shared" ref="BR44:CQ44" si="64">BR25/BR$23</f>
        <v>6.2049302325581396E-2</v>
      </c>
      <c r="BS44" s="11">
        <f t="shared" si="64"/>
        <v>6.2033769121148892E-2</v>
      </c>
      <c r="BT44" s="11">
        <f t="shared" si="64"/>
        <v>6.2049302325581396E-2</v>
      </c>
      <c r="BU44" s="11">
        <f t="shared" si="64"/>
        <v>6.2049438437068574E-2</v>
      </c>
      <c r="BV44" s="11">
        <f t="shared" si="64"/>
        <v>6.2048998098581241E-2</v>
      </c>
      <c r="BW44" s="11">
        <f t="shared" si="64"/>
        <v>6.2050790608528986E-2</v>
      </c>
      <c r="BX44" s="11">
        <f t="shared" si="64"/>
        <v>6.2050790608528986E-2</v>
      </c>
      <c r="BY44" s="11">
        <f t="shared" si="64"/>
        <v>6.2050790608528986E-2</v>
      </c>
      <c r="BZ44" s="11">
        <f t="shared" si="64"/>
        <v>6.2050790608528986E-2</v>
      </c>
      <c r="CA44" s="11">
        <f t="shared" si="64"/>
        <v>6.2050790608528986E-2</v>
      </c>
      <c r="CB44" s="11">
        <f t="shared" si="64"/>
        <v>6.2050790608528986E-2</v>
      </c>
      <c r="CC44" s="11">
        <f t="shared" si="64"/>
        <v>5.2709957940574099E-2</v>
      </c>
      <c r="CD44" s="11">
        <f t="shared" si="64"/>
        <v>6.2050790608528986E-2</v>
      </c>
      <c r="CE44" s="11">
        <f t="shared" si="64"/>
        <v>6.2050790608528986E-2</v>
      </c>
      <c r="CF44" s="11">
        <f t="shared" si="64"/>
        <v>6.2050790608528986E-2</v>
      </c>
      <c r="CG44" s="11">
        <f t="shared" si="64"/>
        <v>6.2050790608528986E-2</v>
      </c>
      <c r="CH44" s="11">
        <f t="shared" si="64"/>
        <v>6.2050790608528986E-2</v>
      </c>
      <c r="CI44" s="11">
        <f t="shared" si="64"/>
        <v>6.2050790608528986E-2</v>
      </c>
      <c r="CJ44" s="11">
        <f t="shared" si="64"/>
        <v>6.2050790608528986E-2</v>
      </c>
      <c r="CK44" s="11">
        <f t="shared" si="64"/>
        <v>6.2050790608528986E-2</v>
      </c>
      <c r="CL44" s="11">
        <f t="shared" si="64"/>
        <v>6.2050790608528986E-2</v>
      </c>
      <c r="CM44" s="11">
        <f t="shared" si="64"/>
        <v>6.2050790608528986E-2</v>
      </c>
      <c r="CN44" s="11">
        <f t="shared" si="64"/>
        <v>6.2048889193115353E-2</v>
      </c>
      <c r="CO44" s="11">
        <f t="shared" si="64"/>
        <v>6.2048889193115353E-2</v>
      </c>
      <c r="CP44" s="11">
        <f t="shared" si="64"/>
        <v>6.2048889193115353E-2</v>
      </c>
      <c r="CQ44" s="11">
        <f t="shared" si="64"/>
        <v>8.8665668876834539E-2</v>
      </c>
      <c r="CR44" s="11">
        <f t="shared" ref="CR44:CW44" si="65">CR25/CR$23</f>
        <v>5.8596491857958136E-2</v>
      </c>
      <c r="CS44" s="11">
        <f t="shared" si="65"/>
        <v>8.8665668876834539E-2</v>
      </c>
      <c r="CT44" s="11">
        <f t="shared" si="65"/>
        <v>8.8665668876834539E-2</v>
      </c>
      <c r="CU44" s="11">
        <f t="shared" si="65"/>
        <v>8.8596253854037993E-2</v>
      </c>
      <c r="CV44" s="11">
        <f t="shared" si="65"/>
        <v>8.8663501062346634E-2</v>
      </c>
      <c r="CW44" s="11">
        <f t="shared" si="65"/>
        <v>8.8663501062346634E-2</v>
      </c>
      <c r="CX44" s="11">
        <f t="shared" ref="CX44:CY47" si="66">CX25/CX$23</f>
        <v>8.8663501062346634E-2</v>
      </c>
      <c r="CY44" s="11">
        <f>CY25/CY$23</f>
        <v>0.20688185724917774</v>
      </c>
      <c r="CZ44" s="11">
        <f t="shared" ref="CZ44:DA44" si="67">CZ25/CZ$23</f>
        <v>6.2064370920549179E-2</v>
      </c>
      <c r="DA44" s="11">
        <f t="shared" si="67"/>
        <v>6.2064370920549179E-2</v>
      </c>
      <c r="DB44" s="11">
        <f t="shared" ref="DB44:DJ44" si="68">DB25/DB$23</f>
        <v>6.2064370920549179E-2</v>
      </c>
      <c r="DC44" s="11">
        <f t="shared" si="68"/>
        <v>6.2064370920549179E-2</v>
      </c>
      <c r="DD44" s="11">
        <f t="shared" si="68"/>
        <v>6.2064370920549179E-2</v>
      </c>
      <c r="DE44" s="11">
        <f t="shared" si="68"/>
        <v>6.2064370920549179E-2</v>
      </c>
      <c r="DF44" s="11">
        <f t="shared" si="68"/>
        <v>6.2064370920549179E-2</v>
      </c>
      <c r="DG44" s="11">
        <f t="shared" si="68"/>
        <v>6.2064370920549179E-2</v>
      </c>
      <c r="DH44" s="11">
        <f t="shared" si="68"/>
        <v>6.2064370920549179E-2</v>
      </c>
      <c r="DI44" s="11">
        <f t="shared" si="68"/>
        <v>4.5655816417762174E-2</v>
      </c>
      <c r="DJ44" s="11">
        <f t="shared" si="68"/>
        <v>6.2064370920549179E-2</v>
      </c>
      <c r="DK44" s="11">
        <f t="shared" ref="DK44:DL44" si="69">DK25/DK$23</f>
        <v>6.2064370920549179E-2</v>
      </c>
      <c r="DL44" s="11">
        <f t="shared" si="69"/>
        <v>9.0963269412809009E-2</v>
      </c>
      <c r="DM44" s="11"/>
      <c r="DN44" s="11"/>
      <c r="DO44" s="11"/>
    </row>
    <row r="45" spans="1:120" ht="16.5">
      <c r="A45" s="37" t="s">
        <v>20</v>
      </c>
      <c r="B45" s="11">
        <f t="shared" ref="B45:AG45" si="70">B26/B$23</f>
        <v>1.4500534686991147E-2</v>
      </c>
      <c r="C45" s="11">
        <f t="shared" si="70"/>
        <v>1.4504639121520658E-2</v>
      </c>
      <c r="D45" s="11">
        <f t="shared" si="70"/>
        <v>1.4508114118914409E-2</v>
      </c>
      <c r="E45" s="11">
        <f t="shared" si="70"/>
        <v>1.4504639121520658E-2</v>
      </c>
      <c r="F45" s="11">
        <f t="shared" si="70"/>
        <v>1.4508114118914409E-2</v>
      </c>
      <c r="G45" s="11">
        <f t="shared" si="70"/>
        <v>1.4508114118914409E-2</v>
      </c>
      <c r="H45" s="11">
        <f t="shared" si="70"/>
        <v>1.4504639121520658E-2</v>
      </c>
      <c r="I45" s="11">
        <f t="shared" si="70"/>
        <v>1.4508114118914409E-2</v>
      </c>
      <c r="J45" s="11">
        <f t="shared" si="70"/>
        <v>1.4508114118914409E-2</v>
      </c>
      <c r="K45" s="11">
        <f t="shared" si="70"/>
        <v>1.4504712419901755E-2</v>
      </c>
      <c r="L45" s="11">
        <f t="shared" si="70"/>
        <v>1.4508114118914409E-2</v>
      </c>
      <c r="M45" s="11">
        <f t="shared" si="70"/>
        <v>1.4504639121520658E-2</v>
      </c>
      <c r="N45" s="11">
        <f t="shared" si="70"/>
        <v>1.5828183644842096E-2</v>
      </c>
      <c r="O45" s="11">
        <f t="shared" si="70"/>
        <v>1.5824392463130756E-2</v>
      </c>
      <c r="P45" s="11">
        <f t="shared" si="70"/>
        <v>1.5808607520564042E-2</v>
      </c>
      <c r="Q45" s="11">
        <f t="shared" si="70"/>
        <v>1.5798803257299682E-2</v>
      </c>
      <c r="R45" s="11">
        <f t="shared" si="70"/>
        <v>1.4500645576686635E-2</v>
      </c>
      <c r="S45" s="11">
        <f t="shared" si="70"/>
        <v>1.4500645576686635E-2</v>
      </c>
      <c r="T45" s="11">
        <f t="shared" si="70"/>
        <v>1.4497220766677969E-2</v>
      </c>
      <c r="U45" s="11">
        <f t="shared" si="70"/>
        <v>1.4501258168146963E-2</v>
      </c>
      <c r="V45" s="11">
        <f t="shared" si="70"/>
        <v>1.4501258168146963E-2</v>
      </c>
      <c r="W45" s="11">
        <f t="shared" si="70"/>
        <v>1.4497942837061422E-2</v>
      </c>
      <c r="X45" s="11">
        <f t="shared" si="70"/>
        <v>1.4501258168146963E-2</v>
      </c>
      <c r="Y45" s="11">
        <f t="shared" si="70"/>
        <v>1.4500937165561974E-2</v>
      </c>
      <c r="Z45" s="11">
        <f t="shared" si="70"/>
        <v>1.4497980807322309E-2</v>
      </c>
      <c r="AA45" s="11">
        <f t="shared" si="70"/>
        <v>1.4497980807322309E-2</v>
      </c>
      <c r="AB45" s="11">
        <f t="shared" si="70"/>
        <v>1.4500937165561974E-2</v>
      </c>
      <c r="AC45" s="11">
        <f t="shared" si="70"/>
        <v>1.4497980807322309E-2</v>
      </c>
      <c r="AD45" s="11">
        <f t="shared" si="70"/>
        <v>1.4500937165561974E-2</v>
      </c>
      <c r="AE45" s="11">
        <f t="shared" si="70"/>
        <v>1.4497980807322309E-2</v>
      </c>
      <c r="AF45" s="11">
        <f t="shared" si="70"/>
        <v>1.4497980807322309E-2</v>
      </c>
      <c r="AG45" s="11">
        <f t="shared" si="70"/>
        <v>1.4500937165561974E-2</v>
      </c>
      <c r="AH45" s="11">
        <f t="shared" ref="AH45:BM45" si="71">AH26/AH$23</f>
        <v>1.4500937165561974E-2</v>
      </c>
      <c r="AI45" s="11">
        <f t="shared" si="71"/>
        <v>1.4403377343652995E-2</v>
      </c>
      <c r="AJ45" s="11">
        <f t="shared" si="71"/>
        <v>1.4499008792870452E-2</v>
      </c>
      <c r="AK45" s="11">
        <f t="shared" si="71"/>
        <v>1.4499008792870452E-2</v>
      </c>
      <c r="AL45" s="11">
        <f t="shared" si="71"/>
        <v>1.4499008792870452E-2</v>
      </c>
      <c r="AM45" s="11">
        <f t="shared" si="71"/>
        <v>1.4501985390857081E-2</v>
      </c>
      <c r="AN45" s="11">
        <f t="shared" si="71"/>
        <v>1.4499008792870452E-2</v>
      </c>
      <c r="AO45" s="11">
        <f t="shared" si="71"/>
        <v>1.4499008792870452E-2</v>
      </c>
      <c r="AP45" s="11">
        <f t="shared" si="71"/>
        <v>1.4499008792870452E-2</v>
      </c>
      <c r="AQ45" s="11">
        <f t="shared" si="71"/>
        <v>1.4499423250476642E-2</v>
      </c>
      <c r="AR45" s="11">
        <f t="shared" si="71"/>
        <v>1.4497951222581382E-2</v>
      </c>
      <c r="AS45" s="11">
        <f t="shared" si="71"/>
        <v>1.4499423250476642E-2</v>
      </c>
      <c r="AT45" s="11">
        <f t="shared" si="71"/>
        <v>1.4499423250476642E-2</v>
      </c>
      <c r="AU45" s="11">
        <f t="shared" si="71"/>
        <v>1.4501545483432996E-2</v>
      </c>
      <c r="AV45" s="11">
        <f t="shared" si="71"/>
        <v>1.4498919343359937E-2</v>
      </c>
      <c r="AW45" s="11">
        <f t="shared" si="71"/>
        <v>1.4501545483432996E-2</v>
      </c>
      <c r="AX45" s="11">
        <f t="shared" si="71"/>
        <v>1.4499241526973756E-2</v>
      </c>
      <c r="AY45" s="11">
        <f t="shared" si="71"/>
        <v>1.4501545483432996E-2</v>
      </c>
      <c r="AZ45" s="11">
        <f t="shared" si="71"/>
        <v>1.4498919343359937E-2</v>
      </c>
      <c r="BA45" s="11">
        <f t="shared" si="71"/>
        <v>1.4501545483432996E-2</v>
      </c>
      <c r="BB45" s="11">
        <f t="shared" si="71"/>
        <v>1.4498919343359937E-2</v>
      </c>
      <c r="BC45" s="11">
        <f t="shared" si="71"/>
        <v>1.4501545483432996E-2</v>
      </c>
      <c r="BD45" s="11">
        <f t="shared" si="71"/>
        <v>1.4501545483432996E-2</v>
      </c>
      <c r="BE45" s="11">
        <f t="shared" si="71"/>
        <v>1.4501545483432996E-2</v>
      </c>
      <c r="BF45" s="11">
        <f t="shared" si="71"/>
        <v>1.4498919343359937E-2</v>
      </c>
      <c r="BG45" s="11">
        <f t="shared" si="71"/>
        <v>1.4501545483432996E-2</v>
      </c>
      <c r="BH45" s="11">
        <f t="shared" si="71"/>
        <v>1.4498919343359937E-2</v>
      </c>
      <c r="BI45" s="11">
        <f t="shared" si="71"/>
        <v>1.5082991224790107E-2</v>
      </c>
      <c r="BJ45" s="11">
        <f t="shared" si="71"/>
        <v>1.5082991224790107E-2</v>
      </c>
      <c r="BK45" s="11">
        <f t="shared" si="71"/>
        <v>1.4508687447914439E-2</v>
      </c>
      <c r="BL45" s="11">
        <f t="shared" si="71"/>
        <v>1.4508687447914439E-2</v>
      </c>
      <c r="BM45" s="11">
        <f t="shared" si="71"/>
        <v>1.4508687447914439E-2</v>
      </c>
      <c r="BN45" s="11">
        <f t="shared" si="63"/>
        <v>1.4508687447914439E-2</v>
      </c>
      <c r="BO45" s="11">
        <f t="shared" si="63"/>
        <v>1.4508687447914439E-2</v>
      </c>
      <c r="BP45" s="11">
        <f t="shared" si="63"/>
        <v>1.4508383128706417E-2</v>
      </c>
      <c r="BQ45" s="11">
        <f t="shared" si="63"/>
        <v>1.4511627906976743E-2</v>
      </c>
      <c r="BR45" s="11">
        <f t="shared" ref="BR45:CQ45" si="72">BR26/BR$23</f>
        <v>1.4511627906976743E-2</v>
      </c>
      <c r="BS45" s="11">
        <f t="shared" si="72"/>
        <v>1.4507183773793146E-2</v>
      </c>
      <c r="BT45" s="11">
        <f t="shared" si="72"/>
        <v>1.4511627906976743E-2</v>
      </c>
      <c r="BU45" s="11">
        <f t="shared" si="72"/>
        <v>1.4498753087139212E-3</v>
      </c>
      <c r="BV45" s="11">
        <f t="shared" si="72"/>
        <v>1.4511627906976743E-2</v>
      </c>
      <c r="BW45" s="11">
        <f t="shared" si="72"/>
        <v>1.4513503852267629E-2</v>
      </c>
      <c r="BX45" s="11">
        <f t="shared" si="72"/>
        <v>1.4511602436853994E-2</v>
      </c>
      <c r="BY45" s="11">
        <f t="shared" si="72"/>
        <v>1.4511602436853994E-2</v>
      </c>
      <c r="BZ45" s="11">
        <f t="shared" si="72"/>
        <v>1.4511602436853994E-2</v>
      </c>
      <c r="CA45" s="11">
        <f t="shared" si="72"/>
        <v>1.4511602436853994E-2</v>
      </c>
      <c r="CB45" s="11">
        <f t="shared" si="72"/>
        <v>1.4511602436853994E-2</v>
      </c>
      <c r="CC45" s="11">
        <f t="shared" si="72"/>
        <v>1.2328709596139062E-2</v>
      </c>
      <c r="CD45" s="11">
        <f t="shared" si="72"/>
        <v>1.4511602436853994E-2</v>
      </c>
      <c r="CE45" s="11">
        <f t="shared" si="72"/>
        <v>1.4511602436853994E-2</v>
      </c>
      <c r="CF45" s="11">
        <f t="shared" si="72"/>
        <v>1.4511602436853994E-2</v>
      </c>
      <c r="CG45" s="11">
        <f t="shared" si="72"/>
        <v>1.4511602436853994E-2</v>
      </c>
      <c r="CH45" s="11">
        <f t="shared" si="72"/>
        <v>1.4511602436853994E-2</v>
      </c>
      <c r="CI45" s="11">
        <f t="shared" si="72"/>
        <v>1.4511602436853994E-2</v>
      </c>
      <c r="CJ45" s="11">
        <f t="shared" si="72"/>
        <v>1.4511602436853994E-2</v>
      </c>
      <c r="CK45" s="11">
        <f t="shared" si="72"/>
        <v>1.4513503852267629E-2</v>
      </c>
      <c r="CL45" s="11">
        <f t="shared" si="72"/>
        <v>1.4511602436853994E-2</v>
      </c>
      <c r="CM45" s="11">
        <f t="shared" si="72"/>
        <v>1.4511602436853994E-2</v>
      </c>
      <c r="CN45" s="11">
        <f t="shared" si="72"/>
        <v>1.4511602436853994E-2</v>
      </c>
      <c r="CO45" s="11">
        <f t="shared" si="72"/>
        <v>1.4511602436853994E-2</v>
      </c>
      <c r="CP45" s="11">
        <f t="shared" si="72"/>
        <v>1.4511602436853994E-2</v>
      </c>
      <c r="CQ45" s="11">
        <f t="shared" si="72"/>
        <v>2.0736281974320044E-2</v>
      </c>
      <c r="CR45" s="11">
        <f t="shared" ref="CR45:CW45" si="73">CR26/CR$23</f>
        <v>1.3704409143214129E-2</v>
      </c>
      <c r="CS45" s="11">
        <f t="shared" si="73"/>
        <v>2.0736281974320044E-2</v>
      </c>
      <c r="CT45" s="11">
        <f t="shared" si="73"/>
        <v>2.0736281974320044E-2</v>
      </c>
      <c r="CU45" s="11">
        <f t="shared" si="73"/>
        <v>2.0720317773231838E-2</v>
      </c>
      <c r="CV45" s="11">
        <f t="shared" si="73"/>
        <v>2.0735051265298565E-2</v>
      </c>
      <c r="CW45" s="11">
        <f t="shared" si="73"/>
        <v>2.0735051265298565E-2</v>
      </c>
      <c r="CX45" s="11">
        <f t="shared" si="66"/>
        <v>2.0735051265298565E-2</v>
      </c>
      <c r="CY45" s="11">
        <f t="shared" si="66"/>
        <v>4.8387871221760741E-2</v>
      </c>
      <c r="CZ45" s="11">
        <f t="shared" ref="CZ45:DA45" si="74">CZ26/CZ$23</f>
        <v>1.4514517218095881E-2</v>
      </c>
      <c r="DA45" s="11">
        <f t="shared" si="74"/>
        <v>1.4514517218095881E-2</v>
      </c>
      <c r="DB45" s="11">
        <f t="shared" ref="DB45:DJ45" si="75">DB26/DB$23</f>
        <v>1.4516317803286069E-2</v>
      </c>
      <c r="DC45" s="11">
        <f t="shared" si="75"/>
        <v>1.4514517218095881E-2</v>
      </c>
      <c r="DD45" s="11">
        <f t="shared" si="75"/>
        <v>1.4514517218095881E-2</v>
      </c>
      <c r="DE45" s="11">
        <f t="shared" si="75"/>
        <v>1.4514517218095881E-2</v>
      </c>
      <c r="DF45" s="11">
        <f t="shared" si="75"/>
        <v>1.4516317803286069E-2</v>
      </c>
      <c r="DG45" s="11">
        <f t="shared" si="75"/>
        <v>1.4514517218095881E-2</v>
      </c>
      <c r="DH45" s="11">
        <f t="shared" si="75"/>
        <v>1.4514517218095881E-2</v>
      </c>
      <c r="DI45" s="11">
        <f t="shared" si="75"/>
        <v>1.0678499288055896E-2</v>
      </c>
      <c r="DJ45" s="11">
        <f t="shared" si="75"/>
        <v>1.4514517218095884E-2</v>
      </c>
      <c r="DK45" s="11">
        <f t="shared" ref="DK45:DL45" si="76">DK26/DK$23</f>
        <v>1.4514517218095884E-2</v>
      </c>
      <c r="DL45" s="11">
        <f t="shared" si="76"/>
        <v>2.1273805014598145E-2</v>
      </c>
      <c r="DM45" s="11"/>
      <c r="DN45" s="11"/>
      <c r="DO45" s="11"/>
    </row>
    <row r="46" spans="1:120" ht="16.5">
      <c r="A46" s="37" t="s">
        <v>21</v>
      </c>
      <c r="B46" s="11">
        <f t="shared" ref="B46:AG46" si="77">B27/B$23</f>
        <v>0.18032704898380053</v>
      </c>
      <c r="C46" s="11">
        <f t="shared" si="77"/>
        <v>0.12637870521597108</v>
      </c>
      <c r="D46" s="11">
        <f t="shared" si="77"/>
        <v>0.12637870521597108</v>
      </c>
      <c r="E46" s="11">
        <f t="shared" si="77"/>
        <v>0.12636480522639607</v>
      </c>
      <c r="F46" s="11">
        <f t="shared" si="77"/>
        <v>0.12636480522639607</v>
      </c>
      <c r="G46" s="11">
        <f t="shared" si="77"/>
        <v>0.12636480522639607</v>
      </c>
      <c r="H46" s="11">
        <f t="shared" si="77"/>
        <v>0.12636480522639607</v>
      </c>
      <c r="I46" s="11">
        <f t="shared" si="77"/>
        <v>0.12636480522639607</v>
      </c>
      <c r="J46" s="11">
        <f t="shared" si="77"/>
        <v>0.12636480522639607</v>
      </c>
      <c r="K46" s="11">
        <f t="shared" si="77"/>
        <v>0.13315003674527146</v>
      </c>
      <c r="L46" s="11">
        <f t="shared" si="77"/>
        <v>0.12636480522639607</v>
      </c>
      <c r="M46" s="11">
        <f t="shared" si="77"/>
        <v>0.12636480522639607</v>
      </c>
      <c r="N46" s="11">
        <f t="shared" si="77"/>
        <v>0.11784509231527465</v>
      </c>
      <c r="O46" s="11">
        <f t="shared" si="77"/>
        <v>0.11784509231527465</v>
      </c>
      <c r="P46" s="11">
        <f t="shared" si="77"/>
        <v>0.14932275054557662</v>
      </c>
      <c r="Q46" s="11">
        <f t="shared" si="77"/>
        <v>0.16996625725469025</v>
      </c>
      <c r="R46" s="11">
        <f t="shared" si="77"/>
        <v>7.8359652998249929E-2</v>
      </c>
      <c r="S46" s="11">
        <f t="shared" si="77"/>
        <v>7.8359652998249929E-2</v>
      </c>
      <c r="T46" s="11">
        <f t="shared" si="77"/>
        <v>0.12472473089555358</v>
      </c>
      <c r="U46" s="11">
        <f t="shared" si="77"/>
        <v>0.12776954470558202</v>
      </c>
      <c r="V46" s="11">
        <f t="shared" si="77"/>
        <v>0.12776954470558202</v>
      </c>
      <c r="W46" s="11">
        <f t="shared" si="77"/>
        <v>0.12776954470558202</v>
      </c>
      <c r="X46" s="11">
        <f t="shared" si="77"/>
        <v>0.12776954470558202</v>
      </c>
      <c r="Y46" s="11">
        <f t="shared" si="77"/>
        <v>0.13775446853547926</v>
      </c>
      <c r="Z46" s="11">
        <f t="shared" si="77"/>
        <v>0.13775446853547926</v>
      </c>
      <c r="AA46" s="11">
        <f t="shared" si="77"/>
        <v>0.13775446853547926</v>
      </c>
      <c r="AB46" s="11">
        <f t="shared" si="77"/>
        <v>0.13775446853547926</v>
      </c>
      <c r="AC46" s="11">
        <f t="shared" si="77"/>
        <v>0.13775446853547926</v>
      </c>
      <c r="AD46" s="11">
        <f t="shared" si="77"/>
        <v>0.13775446853547926</v>
      </c>
      <c r="AE46" s="11">
        <f t="shared" si="77"/>
        <v>0.13775446853547926</v>
      </c>
      <c r="AF46" s="11">
        <f t="shared" si="77"/>
        <v>0.13775446853547926</v>
      </c>
      <c r="AG46" s="11">
        <f t="shared" si="77"/>
        <v>0.13775446853547926</v>
      </c>
      <c r="AH46" s="11">
        <f t="shared" ref="AH46:BM46" si="78">AH27/AH$23</f>
        <v>0.13775446853547926</v>
      </c>
      <c r="AI46" s="11">
        <f t="shared" si="78"/>
        <v>0.13626150762444791</v>
      </c>
      <c r="AJ46" s="11">
        <f t="shared" si="78"/>
        <v>0.13719437780172286</v>
      </c>
      <c r="AK46" s="11">
        <f t="shared" si="78"/>
        <v>0.13719437780172286</v>
      </c>
      <c r="AL46" s="11">
        <f t="shared" si="78"/>
        <v>0.13719437780172286</v>
      </c>
      <c r="AM46" s="11">
        <f t="shared" si="78"/>
        <v>0.13719437780172286</v>
      </c>
      <c r="AN46" s="11">
        <f t="shared" si="78"/>
        <v>0.13719437780172286</v>
      </c>
      <c r="AO46" s="11">
        <f t="shared" si="78"/>
        <v>0.13719437780172286</v>
      </c>
      <c r="AP46" s="11">
        <f t="shared" si="78"/>
        <v>0.13719437780172286</v>
      </c>
      <c r="AQ46" s="11">
        <f t="shared" si="78"/>
        <v>0.13101179198766416</v>
      </c>
      <c r="AR46" s="11">
        <f t="shared" si="78"/>
        <v>0.17315747666123996</v>
      </c>
      <c r="AS46" s="11">
        <f t="shared" si="78"/>
        <v>0.13101179198766416</v>
      </c>
      <c r="AT46" s="11">
        <f t="shared" si="78"/>
        <v>0.13101179198766416</v>
      </c>
      <c r="AU46" s="11">
        <f t="shared" si="78"/>
        <v>0.14184307762607443</v>
      </c>
      <c r="AV46" s="11">
        <f t="shared" si="78"/>
        <v>0.14182206850548995</v>
      </c>
      <c r="AW46" s="11">
        <f t="shared" si="78"/>
        <v>0.14182206850548995</v>
      </c>
      <c r="AX46" s="11">
        <f t="shared" si="78"/>
        <v>0.14384639194509322</v>
      </c>
      <c r="AY46" s="11">
        <f t="shared" si="78"/>
        <v>0.14182206850548995</v>
      </c>
      <c r="AZ46" s="11">
        <f t="shared" si="78"/>
        <v>0.14182206850548995</v>
      </c>
      <c r="BA46" s="11">
        <f t="shared" si="78"/>
        <v>0.14182206850548995</v>
      </c>
      <c r="BB46" s="11">
        <f t="shared" si="78"/>
        <v>0.14182206850548995</v>
      </c>
      <c r="BC46" s="11">
        <f t="shared" si="78"/>
        <v>0.14182206850548995</v>
      </c>
      <c r="BD46" s="11">
        <f t="shared" si="78"/>
        <v>0.14182206850548995</v>
      </c>
      <c r="BE46" s="11">
        <f t="shared" si="78"/>
        <v>0.14182206850548995</v>
      </c>
      <c r="BF46" s="11">
        <f t="shared" si="78"/>
        <v>0.14182206850548995</v>
      </c>
      <c r="BG46" s="11">
        <f t="shared" si="78"/>
        <v>0.14182206850548995</v>
      </c>
      <c r="BH46" s="11">
        <f t="shared" si="78"/>
        <v>0.14182206850548995</v>
      </c>
      <c r="BI46" s="11">
        <f t="shared" si="78"/>
        <v>0.14753520342393861</v>
      </c>
      <c r="BJ46" s="11">
        <f t="shared" si="78"/>
        <v>0.14753520342393861</v>
      </c>
      <c r="BK46" s="11">
        <f t="shared" si="78"/>
        <v>0.15999619215729616</v>
      </c>
      <c r="BL46" s="11">
        <f t="shared" si="78"/>
        <v>0.15999619215729616</v>
      </c>
      <c r="BM46" s="11">
        <f t="shared" si="78"/>
        <v>0.15999619215729616</v>
      </c>
      <c r="BN46" s="11">
        <f t="shared" si="63"/>
        <v>0.15999619215729616</v>
      </c>
      <c r="BO46" s="11">
        <f t="shared" si="63"/>
        <v>0.15999619215729616</v>
      </c>
      <c r="BP46" s="11">
        <f t="shared" si="63"/>
        <v>0.15999912873223276</v>
      </c>
      <c r="BQ46" s="11">
        <f t="shared" si="63"/>
        <v>0.1590857364341085</v>
      </c>
      <c r="BR46" s="11">
        <f t="shared" ref="BR46:CQ46" si="79">BR27/BR$23</f>
        <v>0.1590857364341085</v>
      </c>
      <c r="BS46" s="11">
        <f t="shared" si="79"/>
        <v>0.17884294920008262</v>
      </c>
      <c r="BT46" s="11">
        <f t="shared" si="79"/>
        <v>0.1590857364341085</v>
      </c>
      <c r="BU46" s="11">
        <f t="shared" si="79"/>
        <v>0.15908528240918435</v>
      </c>
      <c r="BV46" s="11">
        <f t="shared" si="79"/>
        <v>0.15908600263273365</v>
      </c>
      <c r="BW46" s="11">
        <f t="shared" si="79"/>
        <v>0.16368334588267508</v>
      </c>
      <c r="BX46" s="11">
        <f t="shared" si="79"/>
        <v>0.16368334588267508</v>
      </c>
      <c r="BY46" s="11">
        <f t="shared" si="79"/>
        <v>0.16368334588267508</v>
      </c>
      <c r="BZ46" s="11">
        <f t="shared" si="79"/>
        <v>0.16368334588267508</v>
      </c>
      <c r="CA46" s="11">
        <f t="shared" si="79"/>
        <v>0.16368334588267508</v>
      </c>
      <c r="CB46" s="11">
        <f t="shared" si="79"/>
        <v>0.16368334588267508</v>
      </c>
      <c r="CC46" s="11">
        <f t="shared" si="79"/>
        <v>0.13904322882007483</v>
      </c>
      <c r="CD46" s="11">
        <f t="shared" si="79"/>
        <v>0.16368334588267508</v>
      </c>
      <c r="CE46" s="11">
        <f t="shared" si="79"/>
        <v>0.16368334588267508</v>
      </c>
      <c r="CF46" s="11">
        <f t="shared" si="79"/>
        <v>0.16368334588267508</v>
      </c>
      <c r="CG46" s="11">
        <f t="shared" si="79"/>
        <v>0.16368334588267508</v>
      </c>
      <c r="CH46" s="11">
        <f t="shared" si="79"/>
        <v>0.16368334588267508</v>
      </c>
      <c r="CI46" s="11">
        <f t="shared" si="79"/>
        <v>0.16368334588267508</v>
      </c>
      <c r="CJ46" s="11">
        <f t="shared" si="79"/>
        <v>0.16368334588267508</v>
      </c>
      <c r="CK46" s="11">
        <f t="shared" si="79"/>
        <v>0.16368334588267508</v>
      </c>
      <c r="CL46" s="11">
        <f t="shared" si="79"/>
        <v>0.16368334588267508</v>
      </c>
      <c r="CM46" s="11">
        <f t="shared" si="79"/>
        <v>0.16368334588267508</v>
      </c>
      <c r="CN46" s="11">
        <f t="shared" si="79"/>
        <v>0.16368334588267508</v>
      </c>
      <c r="CO46" s="11">
        <f t="shared" si="79"/>
        <v>0.16368334588267508</v>
      </c>
      <c r="CP46" s="11">
        <f t="shared" si="79"/>
        <v>0.16368334588267508</v>
      </c>
      <c r="CQ46" s="11">
        <f t="shared" si="79"/>
        <v>0.13271057485189341</v>
      </c>
      <c r="CR46" s="11">
        <f t="shared" ref="CR46:CW46" si="80">CR27/CR$23</f>
        <v>8.7707141408175621E-2</v>
      </c>
      <c r="CS46" s="11">
        <f t="shared" si="80"/>
        <v>0.13271057485189341</v>
      </c>
      <c r="CT46" s="11">
        <f t="shared" si="80"/>
        <v>0.13271057485189341</v>
      </c>
      <c r="CU46" s="11">
        <f t="shared" si="80"/>
        <v>0.19747466745558478</v>
      </c>
      <c r="CV46" s="11">
        <f t="shared" si="80"/>
        <v>0.13735138722405998</v>
      </c>
      <c r="CW46" s="11">
        <f t="shared" si="80"/>
        <v>0.13735138722405998</v>
      </c>
      <c r="CX46" s="11">
        <f t="shared" si="66"/>
        <v>0.13735138722405998</v>
      </c>
      <c r="CY46" s="11">
        <f t="shared" si="66"/>
        <v>7.3332052913355594E-2</v>
      </c>
      <c r="CZ46" s="11">
        <f t="shared" ref="CZ46:DA46" si="81">CZ27/CZ$23</f>
        <v>0.16577447670492909</v>
      </c>
      <c r="DA46" s="11">
        <f t="shared" si="81"/>
        <v>0.16577447670492909</v>
      </c>
      <c r="DB46" s="11">
        <f t="shared" ref="DB46:DJ46" si="82">DB27/DB$23</f>
        <v>0.16577447670492909</v>
      </c>
      <c r="DC46" s="11">
        <f t="shared" si="82"/>
        <v>0.16577447670492909</v>
      </c>
      <c r="DD46" s="11">
        <f t="shared" si="82"/>
        <v>0.16577447670492909</v>
      </c>
      <c r="DE46" s="11">
        <f t="shared" si="82"/>
        <v>0.16577447670492909</v>
      </c>
      <c r="DF46" s="11">
        <f t="shared" si="82"/>
        <v>0.16577447670492909</v>
      </c>
      <c r="DG46" s="11">
        <f t="shared" si="82"/>
        <v>0.16577447670492909</v>
      </c>
      <c r="DH46" s="11">
        <f t="shared" si="82"/>
        <v>0.16577447670492909</v>
      </c>
      <c r="DI46" s="11">
        <f t="shared" si="82"/>
        <v>0.12194708434054108</v>
      </c>
      <c r="DJ46" s="11">
        <f t="shared" si="82"/>
        <v>0.16577447670492909</v>
      </c>
      <c r="DK46" s="11">
        <f t="shared" ref="DK46:DL46" si="83">DK27/DK$23</f>
        <v>0.16577447670492909</v>
      </c>
      <c r="DL46" s="11">
        <f t="shared" si="83"/>
        <v>0.15245234744870675</v>
      </c>
      <c r="DM46" s="11"/>
      <c r="DN46" s="11"/>
      <c r="DO46" s="11"/>
    </row>
    <row r="47" spans="1:120" ht="16.5">
      <c r="A47" s="37" t="s">
        <v>22</v>
      </c>
      <c r="B47" s="11">
        <f t="shared" ref="B47:AG47" si="84">B28/B$23</f>
        <v>5.4579259440130506E-2</v>
      </c>
      <c r="C47" s="11">
        <f t="shared" si="84"/>
        <v>5.0627237029572225E-2</v>
      </c>
      <c r="D47" s="11">
        <f t="shared" si="84"/>
        <v>5.0627237029572225E-2</v>
      </c>
      <c r="E47" s="11">
        <f t="shared" si="84"/>
        <v>5.0627237029572225E-2</v>
      </c>
      <c r="F47" s="11">
        <f t="shared" si="84"/>
        <v>5.0627237029572225E-2</v>
      </c>
      <c r="G47" s="11">
        <f t="shared" si="84"/>
        <v>5.0627237029572225E-2</v>
      </c>
      <c r="H47" s="11">
        <f t="shared" si="84"/>
        <v>5.0627237029572225E-2</v>
      </c>
      <c r="I47" s="11">
        <f t="shared" si="84"/>
        <v>0</v>
      </c>
      <c r="J47" s="11">
        <f t="shared" si="84"/>
        <v>0</v>
      </c>
      <c r="K47" s="11">
        <f t="shared" si="84"/>
        <v>0</v>
      </c>
      <c r="L47" s="11">
        <f t="shared" si="84"/>
        <v>0</v>
      </c>
      <c r="M47" s="11">
        <f t="shared" si="84"/>
        <v>0</v>
      </c>
      <c r="N47" s="11">
        <f t="shared" si="84"/>
        <v>0</v>
      </c>
      <c r="O47" s="11">
        <f t="shared" si="84"/>
        <v>0</v>
      </c>
      <c r="P47" s="11">
        <f t="shared" si="84"/>
        <v>0</v>
      </c>
      <c r="Q47" s="11">
        <f t="shared" si="84"/>
        <v>0</v>
      </c>
      <c r="R47" s="11">
        <f t="shared" si="84"/>
        <v>0</v>
      </c>
      <c r="S47" s="11">
        <f t="shared" si="84"/>
        <v>0</v>
      </c>
      <c r="T47" s="11">
        <f t="shared" si="84"/>
        <v>0</v>
      </c>
      <c r="U47" s="11">
        <f t="shared" si="84"/>
        <v>0</v>
      </c>
      <c r="V47" s="11">
        <f t="shared" si="84"/>
        <v>0</v>
      </c>
      <c r="W47" s="11">
        <f t="shared" si="84"/>
        <v>0</v>
      </c>
      <c r="X47" s="11">
        <f t="shared" si="84"/>
        <v>0</v>
      </c>
      <c r="Y47" s="11">
        <f t="shared" si="84"/>
        <v>0</v>
      </c>
      <c r="Z47" s="11">
        <f t="shared" si="84"/>
        <v>0</v>
      </c>
      <c r="AA47" s="11">
        <f t="shared" si="84"/>
        <v>0</v>
      </c>
      <c r="AB47" s="11">
        <f t="shared" si="84"/>
        <v>0</v>
      </c>
      <c r="AC47" s="11">
        <f t="shared" si="84"/>
        <v>0</v>
      </c>
      <c r="AD47" s="11">
        <f t="shared" si="84"/>
        <v>0</v>
      </c>
      <c r="AE47" s="11">
        <f t="shared" si="84"/>
        <v>0</v>
      </c>
      <c r="AF47" s="11">
        <f t="shared" si="84"/>
        <v>0</v>
      </c>
      <c r="AG47" s="11">
        <f t="shared" si="84"/>
        <v>0</v>
      </c>
      <c r="AH47" s="11">
        <f t="shared" ref="AH47:BM47" si="85">AH28/AH$23</f>
        <v>0</v>
      </c>
      <c r="AI47" s="11">
        <f t="shared" si="85"/>
        <v>0</v>
      </c>
      <c r="AJ47" s="11">
        <f t="shared" si="85"/>
        <v>0</v>
      </c>
      <c r="AK47" s="11">
        <f t="shared" si="85"/>
        <v>0</v>
      </c>
      <c r="AL47" s="11">
        <f t="shared" si="85"/>
        <v>0</v>
      </c>
      <c r="AM47" s="11">
        <f t="shared" si="85"/>
        <v>0</v>
      </c>
      <c r="AN47" s="11">
        <f t="shared" si="85"/>
        <v>0</v>
      </c>
      <c r="AO47" s="11">
        <f t="shared" si="85"/>
        <v>0</v>
      </c>
      <c r="AP47" s="11">
        <f t="shared" si="85"/>
        <v>0</v>
      </c>
      <c r="AQ47" s="11">
        <f t="shared" si="85"/>
        <v>0</v>
      </c>
      <c r="AR47" s="11">
        <f t="shared" si="85"/>
        <v>0</v>
      </c>
      <c r="AS47" s="11">
        <f t="shared" si="85"/>
        <v>0</v>
      </c>
      <c r="AT47" s="11">
        <f t="shared" si="85"/>
        <v>0</v>
      </c>
      <c r="AU47" s="11">
        <f t="shared" si="85"/>
        <v>0</v>
      </c>
      <c r="AV47" s="11">
        <f t="shared" si="85"/>
        <v>0</v>
      </c>
      <c r="AW47" s="11">
        <f t="shared" si="85"/>
        <v>0</v>
      </c>
      <c r="AX47" s="11">
        <f t="shared" si="85"/>
        <v>0</v>
      </c>
      <c r="AY47" s="11">
        <f t="shared" si="85"/>
        <v>0</v>
      </c>
      <c r="AZ47" s="11">
        <f t="shared" si="85"/>
        <v>0</v>
      </c>
      <c r="BA47" s="11">
        <f t="shared" si="85"/>
        <v>0</v>
      </c>
      <c r="BB47" s="11">
        <f t="shared" si="85"/>
        <v>0</v>
      </c>
      <c r="BC47" s="11">
        <f t="shared" si="85"/>
        <v>0</v>
      </c>
      <c r="BD47" s="11">
        <f t="shared" si="85"/>
        <v>0</v>
      </c>
      <c r="BE47" s="11">
        <f t="shared" si="85"/>
        <v>0</v>
      </c>
      <c r="BF47" s="11">
        <f t="shared" si="85"/>
        <v>0</v>
      </c>
      <c r="BG47" s="11">
        <f t="shared" si="85"/>
        <v>0</v>
      </c>
      <c r="BH47" s="11">
        <f t="shared" si="85"/>
        <v>0</v>
      </c>
      <c r="BI47" s="11">
        <f t="shared" si="85"/>
        <v>0</v>
      </c>
      <c r="BJ47" s="11">
        <f t="shared" si="85"/>
        <v>0</v>
      </c>
      <c r="BK47" s="11">
        <f t="shared" si="85"/>
        <v>0</v>
      </c>
      <c r="BL47" s="11">
        <f t="shared" si="85"/>
        <v>0</v>
      </c>
      <c r="BM47" s="11">
        <f t="shared" si="85"/>
        <v>0</v>
      </c>
      <c r="BN47" s="11">
        <f t="shared" si="63"/>
        <v>0</v>
      </c>
      <c r="BO47" s="11">
        <f t="shared" si="63"/>
        <v>0</v>
      </c>
      <c r="BP47" s="11">
        <f t="shared" si="63"/>
        <v>0</v>
      </c>
      <c r="BQ47" s="11">
        <f t="shared" si="63"/>
        <v>0</v>
      </c>
      <c r="BR47" s="11">
        <f t="shared" ref="BR47:CQ47" si="86">BR28/BR$23</f>
        <v>0</v>
      </c>
      <c r="BS47" s="11">
        <f t="shared" si="86"/>
        <v>0</v>
      </c>
      <c r="BT47" s="11">
        <f t="shared" si="86"/>
        <v>0</v>
      </c>
      <c r="BU47" s="11">
        <f t="shared" si="86"/>
        <v>0</v>
      </c>
      <c r="BV47" s="11">
        <f t="shared" si="86"/>
        <v>0</v>
      </c>
      <c r="BW47" s="11">
        <f t="shared" si="86"/>
        <v>0</v>
      </c>
      <c r="BX47" s="11">
        <f t="shared" si="86"/>
        <v>0</v>
      </c>
      <c r="BY47" s="11">
        <f t="shared" si="86"/>
        <v>0</v>
      </c>
      <c r="BZ47" s="11">
        <f t="shared" si="86"/>
        <v>0</v>
      </c>
      <c r="CA47" s="11">
        <f t="shared" si="86"/>
        <v>0</v>
      </c>
      <c r="CB47" s="11">
        <f t="shared" si="86"/>
        <v>0</v>
      </c>
      <c r="CC47" s="11">
        <f t="shared" si="86"/>
        <v>0</v>
      </c>
      <c r="CD47" s="11">
        <f t="shared" si="86"/>
        <v>0</v>
      </c>
      <c r="CE47" s="11">
        <f t="shared" si="86"/>
        <v>0</v>
      </c>
      <c r="CF47" s="11">
        <f t="shared" si="86"/>
        <v>0</v>
      </c>
      <c r="CG47" s="11">
        <f t="shared" si="86"/>
        <v>0</v>
      </c>
      <c r="CH47" s="11">
        <f t="shared" si="86"/>
        <v>0</v>
      </c>
      <c r="CI47" s="11">
        <f t="shared" si="86"/>
        <v>0</v>
      </c>
      <c r="CJ47" s="11">
        <f t="shared" si="86"/>
        <v>0</v>
      </c>
      <c r="CK47" s="11">
        <f t="shared" si="86"/>
        <v>0</v>
      </c>
      <c r="CL47" s="11">
        <f t="shared" si="86"/>
        <v>0</v>
      </c>
      <c r="CM47" s="11">
        <f t="shared" si="86"/>
        <v>0</v>
      </c>
      <c r="CN47" s="11">
        <f t="shared" si="86"/>
        <v>0</v>
      </c>
      <c r="CO47" s="11">
        <f t="shared" si="86"/>
        <v>0</v>
      </c>
      <c r="CP47" s="11">
        <f t="shared" si="86"/>
        <v>0</v>
      </c>
      <c r="CQ47" s="11">
        <f t="shared" si="86"/>
        <v>0</v>
      </c>
      <c r="CR47" s="11">
        <f t="shared" ref="CR47:CW47" si="87">CR28/CR$23</f>
        <v>0</v>
      </c>
      <c r="CS47" s="11">
        <f t="shared" si="87"/>
        <v>0</v>
      </c>
      <c r="CT47" s="11">
        <f t="shared" si="87"/>
        <v>0</v>
      </c>
      <c r="CU47" s="11">
        <f t="shared" si="87"/>
        <v>0</v>
      </c>
      <c r="CV47" s="11">
        <f t="shared" si="87"/>
        <v>0</v>
      </c>
      <c r="CW47" s="11">
        <f t="shared" si="87"/>
        <v>0</v>
      </c>
      <c r="CX47" s="11">
        <f t="shared" si="66"/>
        <v>0</v>
      </c>
      <c r="CY47" s="11">
        <f t="shared" si="66"/>
        <v>0</v>
      </c>
      <c r="CZ47" s="11">
        <f t="shared" ref="CZ47:DA47" si="88">CZ28/CZ$23</f>
        <v>0</v>
      </c>
      <c r="DA47" s="11">
        <f t="shared" si="88"/>
        <v>0</v>
      </c>
      <c r="DB47" s="11">
        <f t="shared" ref="DB47:DJ47" si="89">DB28/DB$23</f>
        <v>0</v>
      </c>
      <c r="DC47" s="11">
        <f t="shared" si="89"/>
        <v>0</v>
      </c>
      <c r="DD47" s="11">
        <f t="shared" si="89"/>
        <v>0</v>
      </c>
      <c r="DE47" s="11">
        <f t="shared" si="89"/>
        <v>0</v>
      </c>
      <c r="DF47" s="11">
        <f t="shared" si="89"/>
        <v>0</v>
      </c>
      <c r="DG47" s="11">
        <f t="shared" si="89"/>
        <v>0</v>
      </c>
      <c r="DH47" s="11">
        <f t="shared" si="89"/>
        <v>0</v>
      </c>
      <c r="DI47" s="11">
        <f t="shared" si="89"/>
        <v>0</v>
      </c>
      <c r="DJ47" s="11">
        <f t="shared" si="89"/>
        <v>0</v>
      </c>
      <c r="DK47" s="11">
        <f t="shared" ref="DK47:DL47" si="90">DK28/DK$23</f>
        <v>0</v>
      </c>
      <c r="DL47" s="11">
        <f t="shared" si="90"/>
        <v>0</v>
      </c>
      <c r="DM47" s="11"/>
      <c r="DN47" s="11"/>
      <c r="DO47" s="11"/>
    </row>
    <row r="48" spans="1:120" ht="16.5">
      <c r="A48" s="37" t="s">
        <v>23</v>
      </c>
      <c r="B48" s="11">
        <f t="shared" ref="B48:AG48" si="91">B29/(B$23-B22)</f>
        <v>3.5999805835810646E-2</v>
      </c>
      <c r="C48" s="11">
        <f t="shared" si="91"/>
        <v>3.6018347986239006E-2</v>
      </c>
      <c r="D48" s="11">
        <f t="shared" si="91"/>
        <v>3.6018347986239006E-2</v>
      </c>
      <c r="E48" s="11">
        <f t="shared" si="91"/>
        <v>3.6018347986239006E-2</v>
      </c>
      <c r="F48" s="11">
        <f t="shared" si="91"/>
        <v>3.6018347986239006E-2</v>
      </c>
      <c r="G48" s="11">
        <f t="shared" si="91"/>
        <v>3.6018347986239006E-2</v>
      </c>
      <c r="H48" s="11">
        <f t="shared" si="91"/>
        <v>3.6018347986239006E-2</v>
      </c>
      <c r="I48" s="11">
        <f t="shared" si="91"/>
        <v>3.6018347986239006E-2</v>
      </c>
      <c r="J48" s="11">
        <f t="shared" si="91"/>
        <v>3.6018347986239006E-2</v>
      </c>
      <c r="K48" s="11">
        <f t="shared" si="91"/>
        <v>3.6016812573329379E-2</v>
      </c>
      <c r="L48" s="11">
        <f t="shared" si="91"/>
        <v>3.6018347986239006E-2</v>
      </c>
      <c r="M48" s="11">
        <f t="shared" si="91"/>
        <v>3.6018347986239006E-2</v>
      </c>
      <c r="N48" s="11">
        <f t="shared" si="91"/>
        <v>3.9625474412979103E-2</v>
      </c>
      <c r="O48" s="11">
        <f t="shared" si="91"/>
        <v>3.9625474412979103E-2</v>
      </c>
      <c r="P48" s="11">
        <f t="shared" si="91"/>
        <v>3.9563960776064527E-2</v>
      </c>
      <c r="Q48" s="11">
        <f t="shared" si="91"/>
        <v>3.954077599291677E-2</v>
      </c>
      <c r="R48" s="11">
        <f t="shared" si="91"/>
        <v>3.5999444560161076E-2</v>
      </c>
      <c r="S48" s="11">
        <f t="shared" si="91"/>
        <v>3.5999444560161076E-2</v>
      </c>
      <c r="T48" s="11">
        <f t="shared" si="91"/>
        <v>3.6001602811084055E-2</v>
      </c>
      <c r="U48" s="11">
        <f t="shared" si="91"/>
        <v>3.6001180257866451E-2</v>
      </c>
      <c r="V48" s="11">
        <f t="shared" si="91"/>
        <v>3.6001180257866451E-2</v>
      </c>
      <c r="W48" s="11">
        <f t="shared" si="91"/>
        <v>3.6001180257866451E-2</v>
      </c>
      <c r="X48" s="11">
        <f t="shared" si="91"/>
        <v>3.6001180257866451E-2</v>
      </c>
      <c r="Y48" s="11">
        <f t="shared" si="91"/>
        <v>3.5999574284413485E-2</v>
      </c>
      <c r="Z48" s="11">
        <f t="shared" si="91"/>
        <v>3.5999574284413485E-2</v>
      </c>
      <c r="AA48" s="11">
        <f t="shared" si="91"/>
        <v>3.5999574284413485E-2</v>
      </c>
      <c r="AB48" s="11">
        <f t="shared" si="91"/>
        <v>3.5999574284413485E-2</v>
      </c>
      <c r="AC48" s="11">
        <f t="shared" si="91"/>
        <v>3.5999574284413485E-2</v>
      </c>
      <c r="AD48" s="11">
        <f t="shared" si="91"/>
        <v>3.5999574284413485E-2</v>
      </c>
      <c r="AE48" s="11">
        <f t="shared" si="91"/>
        <v>3.5999574284413485E-2</v>
      </c>
      <c r="AF48" s="11">
        <f t="shared" si="91"/>
        <v>3.5999574284413485E-2</v>
      </c>
      <c r="AG48" s="11">
        <f t="shared" si="91"/>
        <v>3.5999574284413485E-2</v>
      </c>
      <c r="AH48" s="11">
        <f t="shared" ref="AH48:BM48" si="92">AH29/(AH$23-AH22)</f>
        <v>3.5999574284413485E-2</v>
      </c>
      <c r="AI48" s="11">
        <f t="shared" si="92"/>
        <v>0</v>
      </c>
      <c r="AJ48" s="11">
        <f t="shared" si="92"/>
        <v>0</v>
      </c>
      <c r="AK48" s="11">
        <f t="shared" si="92"/>
        <v>0</v>
      </c>
      <c r="AL48" s="11">
        <f t="shared" si="92"/>
        <v>0</v>
      </c>
      <c r="AM48" s="11">
        <f t="shared" si="92"/>
        <v>0</v>
      </c>
      <c r="AN48" s="11">
        <f t="shared" si="92"/>
        <v>0</v>
      </c>
      <c r="AO48" s="11">
        <f t="shared" si="92"/>
        <v>0</v>
      </c>
      <c r="AP48" s="11">
        <f t="shared" si="92"/>
        <v>0</v>
      </c>
      <c r="AQ48" s="11">
        <f t="shared" si="92"/>
        <v>0</v>
      </c>
      <c r="AR48" s="11">
        <f t="shared" si="92"/>
        <v>0</v>
      </c>
      <c r="AS48" s="11">
        <f t="shared" si="92"/>
        <v>0</v>
      </c>
      <c r="AT48" s="11">
        <f t="shared" si="92"/>
        <v>0</v>
      </c>
      <c r="AU48" s="11">
        <f t="shared" si="92"/>
        <v>0</v>
      </c>
      <c r="AV48" s="11">
        <f t="shared" si="92"/>
        <v>0</v>
      </c>
      <c r="AW48" s="11">
        <f t="shared" si="92"/>
        <v>0</v>
      </c>
      <c r="AX48" s="11">
        <f t="shared" si="92"/>
        <v>0</v>
      </c>
      <c r="AY48" s="11">
        <f t="shared" si="92"/>
        <v>0</v>
      </c>
      <c r="AZ48" s="11">
        <f t="shared" si="92"/>
        <v>0</v>
      </c>
      <c r="BA48" s="11">
        <f t="shared" si="92"/>
        <v>0</v>
      </c>
      <c r="BB48" s="11">
        <f t="shared" si="92"/>
        <v>0</v>
      </c>
      <c r="BC48" s="11">
        <f t="shared" si="92"/>
        <v>0</v>
      </c>
      <c r="BD48" s="11">
        <f t="shared" si="92"/>
        <v>0</v>
      </c>
      <c r="BE48" s="11">
        <f t="shared" si="92"/>
        <v>0</v>
      </c>
      <c r="BF48" s="11">
        <f t="shared" si="92"/>
        <v>0</v>
      </c>
      <c r="BG48" s="11">
        <f t="shared" si="92"/>
        <v>0</v>
      </c>
      <c r="BH48" s="11">
        <f t="shared" si="92"/>
        <v>0</v>
      </c>
      <c r="BI48" s="11">
        <f t="shared" si="92"/>
        <v>0</v>
      </c>
      <c r="BJ48" s="11">
        <f t="shared" si="92"/>
        <v>0</v>
      </c>
      <c r="BK48" s="11">
        <f t="shared" si="92"/>
        <v>0</v>
      </c>
      <c r="BL48" s="11">
        <f t="shared" si="92"/>
        <v>0</v>
      </c>
      <c r="BM48" s="11">
        <f t="shared" si="92"/>
        <v>0</v>
      </c>
      <c r="BN48" s="11">
        <f>BN29/(BN$23-BN22)</f>
        <v>0</v>
      </c>
      <c r="BO48" s="11">
        <f>BO29/(BO$23-BO22)</f>
        <v>0</v>
      </c>
      <c r="BP48" s="11">
        <f>BP29/(BP$23-BP22)</f>
        <v>0</v>
      </c>
      <c r="BQ48" s="11">
        <f>BQ29/(BQ$23-BQ22)</f>
        <v>0</v>
      </c>
      <c r="BR48" s="11">
        <f t="shared" ref="BR48:CQ48" si="93">BR29/(BR$23-BR22)</f>
        <v>0</v>
      </c>
      <c r="BS48" s="11">
        <f t="shared" si="93"/>
        <v>0</v>
      </c>
      <c r="BT48" s="11">
        <f t="shared" si="93"/>
        <v>0</v>
      </c>
      <c r="BU48" s="11">
        <f t="shared" si="93"/>
        <v>0</v>
      </c>
      <c r="BV48" s="11">
        <f t="shared" si="93"/>
        <v>0</v>
      </c>
      <c r="BW48" s="11">
        <f t="shared" si="93"/>
        <v>0</v>
      </c>
      <c r="BX48" s="11">
        <f t="shared" si="93"/>
        <v>0</v>
      </c>
      <c r="BY48" s="11">
        <f t="shared" si="93"/>
        <v>0</v>
      </c>
      <c r="BZ48" s="11">
        <f t="shared" si="93"/>
        <v>0</v>
      </c>
      <c r="CA48" s="11">
        <f t="shared" si="93"/>
        <v>0</v>
      </c>
      <c r="CB48" s="11">
        <f t="shared" si="93"/>
        <v>0</v>
      </c>
      <c r="CC48" s="11">
        <f t="shared" si="93"/>
        <v>0</v>
      </c>
      <c r="CD48" s="11">
        <f t="shared" si="93"/>
        <v>0</v>
      </c>
      <c r="CE48" s="11">
        <f t="shared" si="93"/>
        <v>0</v>
      </c>
      <c r="CF48" s="11">
        <f t="shared" si="93"/>
        <v>0</v>
      </c>
      <c r="CG48" s="11">
        <f t="shared" si="93"/>
        <v>0</v>
      </c>
      <c r="CH48" s="11">
        <f t="shared" si="93"/>
        <v>0</v>
      </c>
      <c r="CI48" s="11">
        <f t="shared" si="93"/>
        <v>0</v>
      </c>
      <c r="CJ48" s="11">
        <f t="shared" si="93"/>
        <v>0</v>
      </c>
      <c r="CK48" s="11">
        <f t="shared" si="93"/>
        <v>0</v>
      </c>
      <c r="CL48" s="11">
        <f t="shared" si="93"/>
        <v>0</v>
      </c>
      <c r="CM48" s="11">
        <f t="shared" si="93"/>
        <v>0</v>
      </c>
      <c r="CN48" s="11">
        <f t="shared" si="93"/>
        <v>0</v>
      </c>
      <c r="CO48" s="11">
        <f t="shared" si="93"/>
        <v>0</v>
      </c>
      <c r="CP48" s="11">
        <f t="shared" si="93"/>
        <v>0</v>
      </c>
      <c r="CQ48" s="11">
        <f t="shared" si="93"/>
        <v>0</v>
      </c>
      <c r="CR48" s="11">
        <f t="shared" ref="CR48:CW48" si="94">CR29/(CR$23-CR22)</f>
        <v>0</v>
      </c>
      <c r="CS48" s="11">
        <f t="shared" si="94"/>
        <v>0</v>
      </c>
      <c r="CT48" s="11">
        <f t="shared" si="94"/>
        <v>0</v>
      </c>
      <c r="CU48" s="11">
        <f t="shared" si="94"/>
        <v>0</v>
      </c>
      <c r="CV48" s="11">
        <f t="shared" si="94"/>
        <v>0</v>
      </c>
      <c r="CW48" s="11">
        <f t="shared" si="94"/>
        <v>0</v>
      </c>
      <c r="CX48" s="11">
        <f>CX29/(CX$23-CX22)</f>
        <v>0</v>
      </c>
      <c r="CY48" s="11">
        <f>CY29/(CY$23-CY22)</f>
        <v>0</v>
      </c>
      <c r="CZ48" s="11">
        <f t="shared" ref="CZ48:DA48" si="95">CZ29/(CZ$23-CZ22)</f>
        <v>0</v>
      </c>
      <c r="DA48" s="11">
        <f t="shared" si="95"/>
        <v>0</v>
      </c>
      <c r="DB48" s="11">
        <f t="shared" ref="DB48:DJ48" si="96">DB29/(DB$23-DB22)</f>
        <v>0</v>
      </c>
      <c r="DC48" s="11">
        <f t="shared" si="96"/>
        <v>0</v>
      </c>
      <c r="DD48" s="11">
        <f t="shared" si="96"/>
        <v>0</v>
      </c>
      <c r="DE48" s="11">
        <f t="shared" si="96"/>
        <v>0</v>
      </c>
      <c r="DF48" s="11">
        <f t="shared" si="96"/>
        <v>0</v>
      </c>
      <c r="DG48" s="11">
        <f t="shared" si="96"/>
        <v>0</v>
      </c>
      <c r="DH48" s="11">
        <f t="shared" si="96"/>
        <v>0</v>
      </c>
      <c r="DI48" s="11">
        <f t="shared" si="96"/>
        <v>0</v>
      </c>
      <c r="DJ48" s="11">
        <f t="shared" si="96"/>
        <v>0</v>
      </c>
      <c r="DK48" s="11">
        <f t="shared" ref="DK48:DL48" si="97">DK29/(DK$23-DK22)</f>
        <v>0</v>
      </c>
      <c r="DL48" s="11">
        <f t="shared" si="97"/>
        <v>0</v>
      </c>
      <c r="DM48" s="11"/>
      <c r="DN48" s="11"/>
      <c r="DO48" s="11"/>
    </row>
    <row r="49" spans="1:121" ht="16.5">
      <c r="A49" s="37" t="s">
        <v>24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>
        <f t="shared" ref="AI49:BQ49" si="98">AI30/(AI$23-AI22)</f>
        <v>6.1885447030929422E-2</v>
      </c>
      <c r="AJ49" s="11">
        <f t="shared" si="98"/>
        <v>6.2309125654107414E-2</v>
      </c>
      <c r="AK49" s="11">
        <f t="shared" si="98"/>
        <v>6.2309125654107414E-2</v>
      </c>
      <c r="AL49" s="11">
        <f t="shared" si="98"/>
        <v>6.2309125654107414E-2</v>
      </c>
      <c r="AM49" s="11">
        <f t="shared" si="98"/>
        <v>6.2309125654107414E-2</v>
      </c>
      <c r="AN49" s="11">
        <f t="shared" si="98"/>
        <v>6.2309125654107414E-2</v>
      </c>
      <c r="AO49" s="11">
        <f t="shared" si="98"/>
        <v>6.2309125654107414E-2</v>
      </c>
      <c r="AP49" s="11">
        <f t="shared" si="98"/>
        <v>6.2309125654107414E-2</v>
      </c>
      <c r="AQ49" s="11">
        <f t="shared" si="98"/>
        <v>5.8759719574221395E-2</v>
      </c>
      <c r="AR49" s="11">
        <f t="shared" si="98"/>
        <v>7.9382456802648868E-2</v>
      </c>
      <c r="AS49" s="11">
        <f t="shared" si="98"/>
        <v>5.8759719574221395E-2</v>
      </c>
      <c r="AT49" s="11">
        <f t="shared" si="98"/>
        <v>5.8759719574221395E-2</v>
      </c>
      <c r="AU49" s="11">
        <f t="shared" si="98"/>
        <v>6.4059434802133483E-2</v>
      </c>
      <c r="AV49" s="11">
        <f t="shared" si="98"/>
        <v>6.4048930241841232E-2</v>
      </c>
      <c r="AW49" s="11">
        <f t="shared" si="98"/>
        <v>6.4048930241841232E-2</v>
      </c>
      <c r="AX49" s="11">
        <f t="shared" si="98"/>
        <v>6.5039381761345758E-2</v>
      </c>
      <c r="AY49" s="11">
        <f t="shared" si="98"/>
        <v>6.4048930241841232E-2</v>
      </c>
      <c r="AZ49" s="11">
        <f t="shared" si="98"/>
        <v>6.4048930241841232E-2</v>
      </c>
      <c r="BA49" s="11">
        <f t="shared" si="98"/>
        <v>6.4048930241841232E-2</v>
      </c>
      <c r="BB49" s="11">
        <f t="shared" si="98"/>
        <v>6.4048930241841232E-2</v>
      </c>
      <c r="BC49" s="11">
        <f t="shared" si="98"/>
        <v>6.4048930241841232E-2</v>
      </c>
      <c r="BD49" s="11">
        <f t="shared" si="98"/>
        <v>6.4048930241841232E-2</v>
      </c>
      <c r="BE49" s="11">
        <f t="shared" si="98"/>
        <v>6.4048930241841232E-2</v>
      </c>
      <c r="BF49" s="11">
        <f t="shared" si="98"/>
        <v>6.4048930241841232E-2</v>
      </c>
      <c r="BG49" s="11">
        <f t="shared" si="98"/>
        <v>6.4048930241841232E-2</v>
      </c>
      <c r="BH49" s="11">
        <f t="shared" si="98"/>
        <v>6.4048930241841232E-2</v>
      </c>
      <c r="BI49" s="11">
        <f t="shared" si="98"/>
        <v>6.6629065926717246E-2</v>
      </c>
      <c r="BJ49" s="11">
        <f t="shared" si="98"/>
        <v>6.6629065926717246E-2</v>
      </c>
      <c r="BK49" s="11">
        <f t="shared" si="98"/>
        <v>7.1809298074215822E-2</v>
      </c>
      <c r="BL49" s="11">
        <f t="shared" si="98"/>
        <v>7.1809298074215822E-2</v>
      </c>
      <c r="BM49" s="11">
        <f t="shared" si="98"/>
        <v>7.1809298074215822E-2</v>
      </c>
      <c r="BN49" s="11">
        <f t="shared" si="98"/>
        <v>7.1809298074215822E-2</v>
      </c>
      <c r="BO49" s="11">
        <f t="shared" si="98"/>
        <v>7.1809298074215822E-2</v>
      </c>
      <c r="BP49" s="11">
        <f t="shared" si="98"/>
        <v>7.1807791876718832E-2</v>
      </c>
      <c r="BQ49" s="11">
        <f t="shared" si="98"/>
        <v>6.9587286821705424E-2</v>
      </c>
      <c r="BR49" s="11">
        <f t="shared" ref="BR49:CQ49" si="99">BR30/(BR$23-BR22)</f>
        <v>6.9587286821705424E-2</v>
      </c>
      <c r="BS49" s="11">
        <f t="shared" si="99"/>
        <v>8.0197367842152645E-2</v>
      </c>
      <c r="BT49" s="11">
        <f t="shared" si="99"/>
        <v>6.9587286821705424E-2</v>
      </c>
      <c r="BU49" s="11">
        <f t="shared" si="99"/>
        <v>6.9587483848409154E-2</v>
      </c>
      <c r="BV49" s="11">
        <f t="shared" si="99"/>
        <v>6.958812344595583E-2</v>
      </c>
      <c r="BW49" s="11">
        <f t="shared" si="99"/>
        <v>7.1445684167294132E-2</v>
      </c>
      <c r="BX49" s="11">
        <f t="shared" si="99"/>
        <v>7.1445684167294132E-2</v>
      </c>
      <c r="BY49" s="11">
        <f t="shared" si="99"/>
        <v>7.1445684167294132E-2</v>
      </c>
      <c r="BZ49" s="11">
        <f t="shared" si="99"/>
        <v>7.1445684167294132E-2</v>
      </c>
      <c r="CA49" s="11">
        <f t="shared" si="99"/>
        <v>7.1445684167294132E-2</v>
      </c>
      <c r="CB49" s="11">
        <f t="shared" si="99"/>
        <v>7.1445684167294132E-2</v>
      </c>
      <c r="CC49" s="11">
        <f t="shared" si="99"/>
        <v>6.0690588638140343E-2</v>
      </c>
      <c r="CD49" s="11">
        <f t="shared" si="99"/>
        <v>7.1445684167294132E-2</v>
      </c>
      <c r="CE49" s="11">
        <f t="shared" si="99"/>
        <v>7.1445684167294132E-2</v>
      </c>
      <c r="CF49" s="11">
        <f t="shared" si="99"/>
        <v>7.1445684167294132E-2</v>
      </c>
      <c r="CG49" s="11">
        <f t="shared" si="99"/>
        <v>7.1445684167294132E-2</v>
      </c>
      <c r="CH49" s="11">
        <f t="shared" si="99"/>
        <v>7.1445684167294132E-2</v>
      </c>
      <c r="CI49" s="11">
        <f t="shared" si="99"/>
        <v>7.1445684167294132E-2</v>
      </c>
      <c r="CJ49" s="11">
        <f t="shared" si="99"/>
        <v>7.1445684167294132E-2</v>
      </c>
      <c r="CK49" s="11">
        <f t="shared" si="99"/>
        <v>7.1445684167294132E-2</v>
      </c>
      <c r="CL49" s="11">
        <f t="shared" si="99"/>
        <v>7.1445684167294132E-2</v>
      </c>
      <c r="CM49" s="11">
        <f t="shared" si="99"/>
        <v>7.1445684167294132E-2</v>
      </c>
      <c r="CN49" s="11">
        <f t="shared" si="99"/>
        <v>7.1445684167294132E-2</v>
      </c>
      <c r="CO49" s="11">
        <f t="shared" si="99"/>
        <v>7.1445684167294132E-2</v>
      </c>
      <c r="CP49" s="11">
        <f t="shared" si="99"/>
        <v>7.1445684167294132E-2</v>
      </c>
      <c r="CQ49" s="11">
        <f t="shared" si="99"/>
        <v>9.9396301754052396E-2</v>
      </c>
      <c r="CR49" s="11">
        <f t="shared" ref="CR49:CW49" si="100">CR30/(CR$23-CR22)</f>
        <v>5.2370576301750703E-2</v>
      </c>
      <c r="CS49" s="11">
        <f t="shared" si="100"/>
        <v>9.9396301754052396E-2</v>
      </c>
      <c r="CT49" s="11">
        <f t="shared" si="100"/>
        <v>9.9396301754052396E-2</v>
      </c>
      <c r="CU49" s="11">
        <f t="shared" si="100"/>
        <v>0.15872653662127345</v>
      </c>
      <c r="CV49" s="11">
        <f t="shared" si="100"/>
        <v>0.10362864563873798</v>
      </c>
      <c r="CW49" s="11">
        <f t="shared" si="100"/>
        <v>0.10362864563873798</v>
      </c>
      <c r="CX49" s="11">
        <v>0.10362864563873798</v>
      </c>
      <c r="CY49" s="11">
        <v>0.10362864563873798</v>
      </c>
      <c r="CZ49" s="11">
        <v>0.10362864563873798</v>
      </c>
      <c r="DA49" s="11">
        <v>0.10362864563873798</v>
      </c>
      <c r="DB49" s="11">
        <v>0.10362864563873798</v>
      </c>
      <c r="DC49" s="11">
        <v>0.10362864563873798</v>
      </c>
      <c r="DD49" s="11">
        <v>0.10362864563873798</v>
      </c>
      <c r="DE49" s="11">
        <v>0.10362864563873798</v>
      </c>
      <c r="DF49" s="11">
        <v>0.10362864563873798</v>
      </c>
      <c r="DG49" s="11">
        <v>0.10362864563873798</v>
      </c>
      <c r="DH49" s="11">
        <v>0.10362864563873798</v>
      </c>
      <c r="DI49" s="11">
        <v>0.10362864563873798</v>
      </c>
      <c r="DJ49" s="11">
        <v>0.10362864563873798</v>
      </c>
      <c r="DK49" s="11">
        <v>0.10362864563873798</v>
      </c>
      <c r="DL49" s="11">
        <v>0.10362864563873798</v>
      </c>
      <c r="DM49" s="11"/>
      <c r="DN49" s="11"/>
      <c r="DO49" s="11"/>
    </row>
    <row r="50" spans="1:121" ht="16.5">
      <c r="A50" s="37" t="s">
        <v>25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>
        <f t="shared" ref="AI50:BQ50" si="101">AI31/(AI$23-AI22)</f>
        <v>1.1287375759044978E-2</v>
      </c>
      <c r="AJ50" s="11">
        <f t="shared" si="101"/>
        <v>1.1364651112949988E-2</v>
      </c>
      <c r="AK50" s="11">
        <f t="shared" si="101"/>
        <v>1.1364651112949988E-2</v>
      </c>
      <c r="AL50" s="11">
        <f t="shared" si="101"/>
        <v>1.1361674514963359E-2</v>
      </c>
      <c r="AM50" s="11">
        <f t="shared" si="101"/>
        <v>1.1364651112949988E-2</v>
      </c>
      <c r="AN50" s="11">
        <f t="shared" si="101"/>
        <v>1.1364651112949988E-2</v>
      </c>
      <c r="AO50" s="11">
        <f t="shared" si="101"/>
        <v>1.1364651112949988E-2</v>
      </c>
      <c r="AP50" s="11">
        <f t="shared" si="101"/>
        <v>1.1364651112949988E-2</v>
      </c>
      <c r="AQ50" s="11">
        <f t="shared" si="101"/>
        <v>9.9900189460724268E-3</v>
      </c>
      <c r="AR50" s="11">
        <f t="shared" si="101"/>
        <v>9.3370769726855898E-3</v>
      </c>
      <c r="AS50" s="11">
        <f t="shared" si="101"/>
        <v>9.637394885158114E-3</v>
      </c>
      <c r="AT50" s="11">
        <f t="shared" si="101"/>
        <v>9.3505142932278264E-3</v>
      </c>
      <c r="AU50" s="11">
        <f t="shared" si="101"/>
        <v>9.283405158264332E-3</v>
      </c>
      <c r="AV50" s="11">
        <f t="shared" si="101"/>
        <v>9.2807790181912743E-3</v>
      </c>
      <c r="AW50" s="11">
        <f t="shared" si="101"/>
        <v>9.2807790181912743E-3</v>
      </c>
      <c r="AX50" s="11">
        <f t="shared" si="101"/>
        <v>9.2730681960620787E-3</v>
      </c>
      <c r="AY50" s="11">
        <f t="shared" si="101"/>
        <v>9.2807790181912743E-3</v>
      </c>
      <c r="AZ50" s="11">
        <f t="shared" si="101"/>
        <v>9.283405158264332E-3</v>
      </c>
      <c r="BA50" s="11">
        <f t="shared" si="101"/>
        <v>9.2807790181912743E-3</v>
      </c>
      <c r="BB50" s="11">
        <f t="shared" si="101"/>
        <v>9.2807790181912743E-3</v>
      </c>
      <c r="BC50" s="11">
        <f t="shared" si="101"/>
        <v>9.2807790181912743E-3</v>
      </c>
      <c r="BD50" s="11">
        <f t="shared" si="101"/>
        <v>9.2807790181912743E-3</v>
      </c>
      <c r="BE50" s="11">
        <f t="shared" si="101"/>
        <v>9.2807790181912743E-3</v>
      </c>
      <c r="BF50" s="11">
        <f t="shared" si="101"/>
        <v>9.2807790181912743E-3</v>
      </c>
      <c r="BG50" s="11">
        <f t="shared" si="101"/>
        <v>9.2807790181912743E-3</v>
      </c>
      <c r="BH50" s="11">
        <f t="shared" si="101"/>
        <v>9.2807790181912743E-3</v>
      </c>
      <c r="BI50" s="11">
        <f t="shared" si="101"/>
        <v>9.6546442652432982E-3</v>
      </c>
      <c r="BJ50" s="11">
        <f t="shared" si="101"/>
        <v>9.6546442652432982E-3</v>
      </c>
      <c r="BK50" s="11">
        <f t="shared" si="101"/>
        <v>9.2291780787658716E-3</v>
      </c>
      <c r="BL50" s="11">
        <f t="shared" si="101"/>
        <v>9.2312756192383175E-3</v>
      </c>
      <c r="BM50" s="11">
        <f t="shared" si="101"/>
        <v>9.2291780787658716E-3</v>
      </c>
      <c r="BN50" s="11">
        <f t="shared" si="101"/>
        <v>9.2291780787658716E-3</v>
      </c>
      <c r="BO50" s="11">
        <f t="shared" si="101"/>
        <v>9.2312756192383175E-3</v>
      </c>
      <c r="BP50" s="11">
        <f t="shared" si="101"/>
        <v>9.2289844970808478E-3</v>
      </c>
      <c r="BQ50" s="11">
        <f t="shared" si="101"/>
        <v>1.1008682170542634E-2</v>
      </c>
      <c r="BR50" s="11">
        <f t="shared" ref="BR50:CQ50" si="102">BR31/(BR$23-BR22)</f>
        <v>1.1008682170542634E-2</v>
      </c>
      <c r="BS50" s="11">
        <f t="shared" si="102"/>
        <v>1.100601326009539E-2</v>
      </c>
      <c r="BT50" s="11">
        <f t="shared" si="102"/>
        <v>1.1008682170542634E-2</v>
      </c>
      <c r="BU50" s="11">
        <f t="shared" si="102"/>
        <v>1.1008602794451287E-2</v>
      </c>
      <c r="BV50" s="11">
        <f t="shared" si="102"/>
        <v>1.1009214567792891E-2</v>
      </c>
      <c r="BW50" s="11">
        <f t="shared" si="102"/>
        <v>1.1009195244940333E-2</v>
      </c>
      <c r="BX50" s="11">
        <f t="shared" si="102"/>
        <v>1.1009195244940333E-2</v>
      </c>
      <c r="BY50" s="11">
        <f t="shared" si="102"/>
        <v>1.1009195244940333E-2</v>
      </c>
      <c r="BZ50" s="11">
        <f t="shared" si="102"/>
        <v>1.1009195244940333E-2</v>
      </c>
      <c r="CA50" s="11">
        <f t="shared" si="102"/>
        <v>1.1009195244940333E-2</v>
      </c>
      <c r="CB50" s="11">
        <f t="shared" si="102"/>
        <v>1.10072938295267E-2</v>
      </c>
      <c r="CC50" s="11">
        <f t="shared" si="102"/>
        <v>9.3519230396495699E-3</v>
      </c>
      <c r="CD50" s="11">
        <f t="shared" si="102"/>
        <v>1.1009195244940333E-2</v>
      </c>
      <c r="CE50" s="11">
        <f t="shared" si="102"/>
        <v>1.1009195244940333E-2</v>
      </c>
      <c r="CF50" s="11">
        <f t="shared" si="102"/>
        <v>1.1009195244940333E-2</v>
      </c>
      <c r="CG50" s="11">
        <f t="shared" si="102"/>
        <v>1.1009195244940333E-2</v>
      </c>
      <c r="CH50" s="11">
        <f t="shared" si="102"/>
        <v>1.1009195244940333E-2</v>
      </c>
      <c r="CI50" s="11">
        <f t="shared" si="102"/>
        <v>1.1009195244940333E-2</v>
      </c>
      <c r="CJ50" s="11">
        <f t="shared" si="102"/>
        <v>1.1009195244940333E-2</v>
      </c>
      <c r="CK50" s="11">
        <f t="shared" si="102"/>
        <v>1.10072938295267E-2</v>
      </c>
      <c r="CL50" s="11">
        <f t="shared" si="102"/>
        <v>1.1009195244940333E-2</v>
      </c>
      <c r="CM50" s="11">
        <f t="shared" si="102"/>
        <v>1.1009195244940333E-2</v>
      </c>
      <c r="CN50" s="11">
        <f t="shared" si="102"/>
        <v>1.1009195244940333E-2</v>
      </c>
      <c r="CO50" s="11">
        <f t="shared" si="102"/>
        <v>1.1009195244940333E-2</v>
      </c>
      <c r="CP50" s="11">
        <f t="shared" si="102"/>
        <v>1.1009195244940333E-2</v>
      </c>
      <c r="CQ50" s="11">
        <f t="shared" si="102"/>
        <v>3.003279935351999E-2</v>
      </c>
      <c r="CR50" s="11">
        <f t="shared" ref="CR50:CW50" si="103">CR31/(CR$23-CR22)</f>
        <v>1.5821374007563806E-2</v>
      </c>
      <c r="CS50" s="11">
        <f t="shared" si="103"/>
        <v>3.003279935351999E-2</v>
      </c>
      <c r="CT50" s="11">
        <f t="shared" si="103"/>
        <v>3.003279935351999E-2</v>
      </c>
      <c r="CU50" s="11">
        <f t="shared" si="103"/>
        <v>3.0008587903324745E-2</v>
      </c>
      <c r="CV50" s="11">
        <f t="shared" si="103"/>
        <v>3.0029394685548889E-2</v>
      </c>
      <c r="CW50" s="11">
        <f t="shared" si="103"/>
        <v>3.0033896168787617E-2</v>
      </c>
      <c r="CX50" s="11">
        <v>3.0033896168787617E-2</v>
      </c>
      <c r="CY50" s="11">
        <v>3.0033896168787617E-2</v>
      </c>
      <c r="CZ50" s="11">
        <v>3.0033896168787617E-2</v>
      </c>
      <c r="DA50" s="11">
        <v>3.0033896168787617E-2</v>
      </c>
      <c r="DB50" s="11">
        <v>3.0033896168787617E-2</v>
      </c>
      <c r="DC50" s="11">
        <v>3.0033896168787617E-2</v>
      </c>
      <c r="DD50" s="11">
        <v>3.0033896168787617E-2</v>
      </c>
      <c r="DE50" s="11">
        <v>3.0033896168787617E-2</v>
      </c>
      <c r="DF50" s="11">
        <v>3.0033896168787617E-2</v>
      </c>
      <c r="DG50" s="11">
        <v>3.0033896168787617E-2</v>
      </c>
      <c r="DH50" s="11">
        <v>3.0033896168787617E-2</v>
      </c>
      <c r="DI50" s="11">
        <v>3.0033896168787617E-2</v>
      </c>
      <c r="DJ50" s="11">
        <v>3.0033896168787617E-2</v>
      </c>
      <c r="DK50" s="11">
        <v>3.0033896168787617E-2</v>
      </c>
      <c r="DL50" s="11">
        <v>3.0033896168787617E-2</v>
      </c>
      <c r="DM50" s="11"/>
      <c r="DN50" s="11"/>
      <c r="DO50" s="11"/>
    </row>
    <row r="51" spans="1:121" ht="16.5">
      <c r="A51" s="37" t="s">
        <v>16</v>
      </c>
      <c r="B51" s="11">
        <f t="shared" ref="B51:AG51" si="104">B22/B11</f>
        <v>0</v>
      </c>
      <c r="C51" s="11">
        <f t="shared" si="104"/>
        <v>0</v>
      </c>
      <c r="D51" s="11">
        <f t="shared" si="104"/>
        <v>0</v>
      </c>
      <c r="E51" s="11">
        <f t="shared" si="104"/>
        <v>0</v>
      </c>
      <c r="F51" s="11">
        <f t="shared" si="104"/>
        <v>0</v>
      </c>
      <c r="G51" s="11">
        <f t="shared" si="104"/>
        <v>0</v>
      </c>
      <c r="H51" s="11">
        <f t="shared" si="104"/>
        <v>0</v>
      </c>
      <c r="I51" s="11">
        <f t="shared" si="104"/>
        <v>0</v>
      </c>
      <c r="J51" s="11">
        <f t="shared" si="104"/>
        <v>0</v>
      </c>
      <c r="K51" s="11">
        <f t="shared" si="104"/>
        <v>0</v>
      </c>
      <c r="L51" s="11">
        <f t="shared" si="104"/>
        <v>0</v>
      </c>
      <c r="M51" s="11">
        <f t="shared" si="104"/>
        <v>0</v>
      </c>
      <c r="N51" s="11">
        <f t="shared" si="104"/>
        <v>0.08</v>
      </c>
      <c r="O51" s="11">
        <f t="shared" si="104"/>
        <v>0.08</v>
      </c>
      <c r="P51" s="11">
        <f t="shared" si="104"/>
        <v>0.11119849980337544</v>
      </c>
      <c r="Q51" s="11">
        <f t="shared" si="104"/>
        <v>0.1614953866353801</v>
      </c>
      <c r="R51" s="11">
        <f t="shared" si="104"/>
        <v>0.200001299997075</v>
      </c>
      <c r="S51" s="11">
        <f t="shared" si="104"/>
        <v>0.200001299997075</v>
      </c>
      <c r="T51" s="11">
        <f t="shared" si="104"/>
        <v>0</v>
      </c>
      <c r="U51" s="11">
        <f t="shared" si="104"/>
        <v>0</v>
      </c>
      <c r="V51" s="11">
        <f t="shared" si="104"/>
        <v>0</v>
      </c>
      <c r="W51" s="11">
        <f t="shared" si="104"/>
        <v>0</v>
      </c>
      <c r="X51" s="11">
        <f t="shared" si="104"/>
        <v>0</v>
      </c>
      <c r="Y51" s="11">
        <f t="shared" si="104"/>
        <v>0</v>
      </c>
      <c r="Z51" s="11">
        <f t="shared" si="104"/>
        <v>0</v>
      </c>
      <c r="AA51" s="11">
        <f t="shared" si="104"/>
        <v>0</v>
      </c>
      <c r="AB51" s="11">
        <f t="shared" si="104"/>
        <v>0</v>
      </c>
      <c r="AC51" s="11">
        <f t="shared" si="104"/>
        <v>0</v>
      </c>
      <c r="AD51" s="11">
        <f t="shared" si="104"/>
        <v>0</v>
      </c>
      <c r="AE51" s="11">
        <f t="shared" si="104"/>
        <v>0</v>
      </c>
      <c r="AF51" s="11">
        <f t="shared" si="104"/>
        <v>0</v>
      </c>
      <c r="AG51" s="11">
        <f t="shared" si="104"/>
        <v>0</v>
      </c>
      <c r="AH51" s="11">
        <f t="shared" ref="AH51:BQ51" si="105">AH22/AH11</f>
        <v>0</v>
      </c>
      <c r="AI51" s="11">
        <f t="shared" si="105"/>
        <v>0</v>
      </c>
      <c r="AJ51" s="11">
        <f t="shared" si="105"/>
        <v>0</v>
      </c>
      <c r="AK51" s="11">
        <f t="shared" si="105"/>
        <v>0</v>
      </c>
      <c r="AL51" s="11">
        <f t="shared" si="105"/>
        <v>0</v>
      </c>
      <c r="AM51" s="11">
        <f t="shared" si="105"/>
        <v>0</v>
      </c>
      <c r="AN51" s="11">
        <f t="shared" si="105"/>
        <v>0</v>
      </c>
      <c r="AO51" s="11">
        <f t="shared" si="105"/>
        <v>0</v>
      </c>
      <c r="AP51" s="11">
        <f t="shared" si="105"/>
        <v>0</v>
      </c>
      <c r="AQ51" s="11">
        <f t="shared" si="105"/>
        <v>0</v>
      </c>
      <c r="AR51" s="11">
        <f t="shared" si="105"/>
        <v>0</v>
      </c>
      <c r="AS51" s="11">
        <f t="shared" si="105"/>
        <v>0</v>
      </c>
      <c r="AT51" s="11">
        <f t="shared" si="105"/>
        <v>0</v>
      </c>
      <c r="AU51" s="11">
        <f t="shared" si="105"/>
        <v>0</v>
      </c>
      <c r="AV51" s="11">
        <f t="shared" si="105"/>
        <v>0</v>
      </c>
      <c r="AW51" s="11">
        <f t="shared" si="105"/>
        <v>0</v>
      </c>
      <c r="AX51" s="11">
        <f t="shared" si="105"/>
        <v>0</v>
      </c>
      <c r="AY51" s="11">
        <f t="shared" si="105"/>
        <v>0</v>
      </c>
      <c r="AZ51" s="11">
        <f t="shared" si="105"/>
        <v>0</v>
      </c>
      <c r="BA51" s="11">
        <f t="shared" si="105"/>
        <v>0</v>
      </c>
      <c r="BB51" s="11">
        <f t="shared" si="105"/>
        <v>0</v>
      </c>
      <c r="BC51" s="11">
        <f t="shared" si="105"/>
        <v>0</v>
      </c>
      <c r="BD51" s="11">
        <f t="shared" si="105"/>
        <v>0</v>
      </c>
      <c r="BE51" s="11">
        <f t="shared" si="105"/>
        <v>0</v>
      </c>
      <c r="BF51" s="11">
        <f t="shared" si="105"/>
        <v>0</v>
      </c>
      <c r="BG51" s="11">
        <f t="shared" si="105"/>
        <v>0</v>
      </c>
      <c r="BH51" s="11">
        <f t="shared" si="105"/>
        <v>0</v>
      </c>
      <c r="BI51" s="11">
        <f t="shared" si="105"/>
        <v>0</v>
      </c>
      <c r="BJ51" s="11">
        <f t="shared" si="105"/>
        <v>0</v>
      </c>
      <c r="BK51" s="11">
        <f t="shared" si="105"/>
        <v>0</v>
      </c>
      <c r="BL51" s="11">
        <f t="shared" si="105"/>
        <v>0</v>
      </c>
      <c r="BM51" s="11">
        <f t="shared" si="105"/>
        <v>0</v>
      </c>
      <c r="BN51" s="11">
        <f t="shared" si="105"/>
        <v>0</v>
      </c>
      <c r="BO51" s="11">
        <f t="shared" si="105"/>
        <v>0</v>
      </c>
      <c r="BP51" s="11">
        <f t="shared" si="105"/>
        <v>0</v>
      </c>
      <c r="BQ51" s="11">
        <f t="shared" si="105"/>
        <v>0</v>
      </c>
      <c r="BR51" s="11">
        <f t="shared" ref="BR51:CQ51" si="106">BR22/BR11</f>
        <v>0</v>
      </c>
      <c r="BS51" s="11">
        <f t="shared" si="106"/>
        <v>0</v>
      </c>
      <c r="BT51" s="11">
        <f t="shared" si="106"/>
        <v>0</v>
      </c>
      <c r="BU51" s="11">
        <f t="shared" si="106"/>
        <v>0</v>
      </c>
      <c r="BV51" s="11">
        <f t="shared" si="106"/>
        <v>0</v>
      </c>
      <c r="BW51" s="11">
        <f t="shared" si="106"/>
        <v>0</v>
      </c>
      <c r="BX51" s="11">
        <f t="shared" si="106"/>
        <v>0</v>
      </c>
      <c r="BY51" s="11">
        <f t="shared" si="106"/>
        <v>0</v>
      </c>
      <c r="BZ51" s="11">
        <f t="shared" si="106"/>
        <v>0</v>
      </c>
      <c r="CA51" s="11">
        <f t="shared" si="106"/>
        <v>0</v>
      </c>
      <c r="CB51" s="11">
        <f t="shared" si="106"/>
        <v>0</v>
      </c>
      <c r="CC51" s="11">
        <f t="shared" si="106"/>
        <v>0</v>
      </c>
      <c r="CD51" s="11">
        <f t="shared" si="106"/>
        <v>0</v>
      </c>
      <c r="CE51" s="11">
        <f t="shared" si="106"/>
        <v>0</v>
      </c>
      <c r="CF51" s="11">
        <f t="shared" si="106"/>
        <v>0</v>
      </c>
      <c r="CG51" s="11">
        <f t="shared" si="106"/>
        <v>0</v>
      </c>
      <c r="CH51" s="11">
        <f t="shared" si="106"/>
        <v>0</v>
      </c>
      <c r="CI51" s="11">
        <f t="shared" si="106"/>
        <v>0</v>
      </c>
      <c r="CJ51" s="11">
        <f t="shared" si="106"/>
        <v>0</v>
      </c>
      <c r="CK51" s="11">
        <f t="shared" si="106"/>
        <v>0</v>
      </c>
      <c r="CL51" s="11">
        <f t="shared" si="106"/>
        <v>0</v>
      </c>
      <c r="CM51" s="11">
        <f t="shared" si="106"/>
        <v>0</v>
      </c>
      <c r="CN51" s="11">
        <f t="shared" si="106"/>
        <v>0</v>
      </c>
      <c r="CO51" s="11">
        <f t="shared" si="106"/>
        <v>0</v>
      </c>
      <c r="CP51" s="11">
        <f t="shared" si="106"/>
        <v>0</v>
      </c>
      <c r="CQ51" s="11">
        <f t="shared" si="106"/>
        <v>0.2999996197169173</v>
      </c>
      <c r="CR51" s="11">
        <f t="shared" ref="CR51:CW51" si="107">CR22/CR11</f>
        <v>0.2999996197169173</v>
      </c>
      <c r="CS51" s="11">
        <f t="shared" si="107"/>
        <v>0.2999996197169173</v>
      </c>
      <c r="CT51" s="11">
        <f t="shared" si="107"/>
        <v>0.2999996197169173</v>
      </c>
      <c r="CU51" s="11">
        <f>CU22/(CU11+CU7)</f>
        <v>0.30000019629474051</v>
      </c>
      <c r="CV51" s="11">
        <f t="shared" si="107"/>
        <v>0.30000090029259513</v>
      </c>
      <c r="CW51" s="11">
        <f t="shared" si="107"/>
        <v>0.30000090029259513</v>
      </c>
      <c r="CX51" s="11">
        <f>CX22/CX11</f>
        <v>0.30000090029259513</v>
      </c>
      <c r="CY51" s="11">
        <f>CY22/CY11</f>
        <v>0.7000009002925951</v>
      </c>
      <c r="CZ51" s="11">
        <f t="shared" ref="CZ51:DA51" si="108">CZ22/CZ11</f>
        <v>0</v>
      </c>
      <c r="DA51" s="11">
        <f t="shared" si="108"/>
        <v>0</v>
      </c>
      <c r="DB51" s="11">
        <f t="shared" ref="DB51:DJ51" si="109">DB22/DB11</f>
        <v>0</v>
      </c>
      <c r="DC51" s="11">
        <f t="shared" si="109"/>
        <v>0</v>
      </c>
      <c r="DD51" s="11">
        <f t="shared" si="109"/>
        <v>0</v>
      </c>
      <c r="DE51" s="11">
        <f t="shared" si="109"/>
        <v>0</v>
      </c>
      <c r="DF51" s="11">
        <f t="shared" si="109"/>
        <v>0</v>
      </c>
      <c r="DG51" s="11">
        <f t="shared" si="109"/>
        <v>0</v>
      </c>
      <c r="DH51" s="11">
        <f t="shared" si="109"/>
        <v>0</v>
      </c>
      <c r="DI51" s="11">
        <f t="shared" si="109"/>
        <v>0</v>
      </c>
      <c r="DJ51" s="11">
        <f t="shared" si="109"/>
        <v>0</v>
      </c>
      <c r="DK51" s="11">
        <f t="shared" ref="DK51:DL51" si="110">DK22/DK11</f>
        <v>0</v>
      </c>
      <c r="DL51" s="11">
        <f t="shared" si="110"/>
        <v>0.31765785068630675</v>
      </c>
      <c r="DM51" s="32"/>
      <c r="DN51" s="32"/>
      <c r="DO51" s="32"/>
    </row>
    <row r="52" spans="1:121" ht="16.5">
      <c r="A52" s="37" t="s">
        <v>34</v>
      </c>
      <c r="B52" s="11">
        <f t="shared" ref="B52:AQ52" si="111">B38/B11</f>
        <v>0</v>
      </c>
      <c r="C52" s="11">
        <f t="shared" si="111"/>
        <v>0</v>
      </c>
      <c r="D52" s="11">
        <f t="shared" si="111"/>
        <v>0</v>
      </c>
      <c r="E52" s="11">
        <f t="shared" si="111"/>
        <v>0</v>
      </c>
      <c r="F52" s="11">
        <f t="shared" si="111"/>
        <v>0</v>
      </c>
      <c r="G52" s="11">
        <f t="shared" si="111"/>
        <v>0</v>
      </c>
      <c r="H52" s="11">
        <f t="shared" si="111"/>
        <v>0</v>
      </c>
      <c r="I52" s="11">
        <f t="shared" si="111"/>
        <v>0</v>
      </c>
      <c r="J52" s="11">
        <f t="shared" si="111"/>
        <v>0.05</v>
      </c>
      <c r="K52" s="11">
        <f t="shared" si="111"/>
        <v>0.08</v>
      </c>
      <c r="L52" s="11">
        <f t="shared" si="111"/>
        <v>0.08</v>
      </c>
      <c r="M52" s="11">
        <f t="shared" si="111"/>
        <v>0.08</v>
      </c>
      <c r="N52" s="11">
        <f t="shared" si="111"/>
        <v>0</v>
      </c>
      <c r="O52" s="11">
        <f t="shared" si="111"/>
        <v>0</v>
      </c>
      <c r="P52" s="11">
        <f t="shared" si="111"/>
        <v>0</v>
      </c>
      <c r="Q52" s="11">
        <f t="shared" si="111"/>
        <v>0</v>
      </c>
      <c r="R52" s="11">
        <f t="shared" si="111"/>
        <v>0</v>
      </c>
      <c r="S52" s="11">
        <f t="shared" si="111"/>
        <v>0</v>
      </c>
      <c r="T52" s="11">
        <f t="shared" si="111"/>
        <v>0</v>
      </c>
      <c r="U52" s="11">
        <f t="shared" si="111"/>
        <v>0</v>
      </c>
      <c r="V52" s="11">
        <f t="shared" si="111"/>
        <v>0</v>
      </c>
      <c r="W52" s="11">
        <f t="shared" si="111"/>
        <v>0</v>
      </c>
      <c r="X52" s="11">
        <f t="shared" si="111"/>
        <v>0</v>
      </c>
      <c r="Y52" s="11">
        <f t="shared" si="111"/>
        <v>0</v>
      </c>
      <c r="Z52" s="11">
        <f t="shared" si="111"/>
        <v>0</v>
      </c>
      <c r="AA52" s="11">
        <f t="shared" si="111"/>
        <v>0</v>
      </c>
      <c r="AB52" s="11">
        <f t="shared" si="111"/>
        <v>0</v>
      </c>
      <c r="AC52" s="11">
        <f t="shared" si="111"/>
        <v>0</v>
      </c>
      <c r="AD52" s="11">
        <f t="shared" si="111"/>
        <v>0</v>
      </c>
      <c r="AE52" s="11">
        <f t="shared" si="111"/>
        <v>0</v>
      </c>
      <c r="AF52" s="11">
        <f t="shared" si="111"/>
        <v>0</v>
      </c>
      <c r="AG52" s="11">
        <f t="shared" si="111"/>
        <v>0.14999985869599008</v>
      </c>
      <c r="AH52" s="11">
        <f t="shared" si="111"/>
        <v>0.14999985869599008</v>
      </c>
      <c r="AI52" s="11">
        <f t="shared" si="111"/>
        <v>0.14999985869599008</v>
      </c>
      <c r="AJ52" s="11">
        <f t="shared" si="111"/>
        <v>0.14999985869599008</v>
      </c>
      <c r="AK52" s="11">
        <f t="shared" si="111"/>
        <v>0.14999985869599008</v>
      </c>
      <c r="AL52" s="11">
        <f t="shared" si="111"/>
        <v>0.14999985869599008</v>
      </c>
      <c r="AM52" s="11">
        <f t="shared" si="111"/>
        <v>0.14999985869599008</v>
      </c>
      <c r="AN52" s="11">
        <f t="shared" si="111"/>
        <v>0.14999985869599008</v>
      </c>
      <c r="AO52" s="11">
        <f t="shared" si="111"/>
        <v>0.14999985869599008</v>
      </c>
      <c r="AP52" s="11">
        <f t="shared" si="111"/>
        <v>0.14999985869599008</v>
      </c>
      <c r="AQ52" s="11">
        <f t="shared" si="111"/>
        <v>0.14999985869599008</v>
      </c>
      <c r="AR52" s="11">
        <f t="shared" ref="AR52:BQ52" si="112">AR38/(AR11+AR13)</f>
        <v>0.15000045804463799</v>
      </c>
      <c r="AS52" s="11">
        <f t="shared" si="112"/>
        <v>0.17000002826080199</v>
      </c>
      <c r="AT52" s="11">
        <f t="shared" si="112"/>
        <v>0.17000002826080199</v>
      </c>
      <c r="AU52" s="11">
        <f t="shared" si="112"/>
        <v>0.18</v>
      </c>
      <c r="AV52" s="11">
        <f t="shared" si="112"/>
        <v>0</v>
      </c>
      <c r="AW52" s="11">
        <f t="shared" si="112"/>
        <v>0</v>
      </c>
      <c r="AX52" s="11">
        <f t="shared" si="112"/>
        <v>0</v>
      </c>
      <c r="AY52" s="11">
        <f t="shared" si="112"/>
        <v>0</v>
      </c>
      <c r="AZ52" s="11">
        <f t="shared" si="112"/>
        <v>0</v>
      </c>
      <c r="BA52" s="11">
        <f t="shared" si="112"/>
        <v>0</v>
      </c>
      <c r="BB52" s="11">
        <f t="shared" si="112"/>
        <v>0</v>
      </c>
      <c r="BC52" s="11">
        <f t="shared" si="112"/>
        <v>0</v>
      </c>
      <c r="BD52" s="11">
        <f t="shared" si="112"/>
        <v>0</v>
      </c>
      <c r="BE52" s="11">
        <f t="shared" si="112"/>
        <v>0</v>
      </c>
      <c r="BF52" s="11">
        <f t="shared" si="112"/>
        <v>0</v>
      </c>
      <c r="BG52" s="11">
        <f t="shared" si="112"/>
        <v>0</v>
      </c>
      <c r="BH52" s="11">
        <f t="shared" si="112"/>
        <v>0</v>
      </c>
      <c r="BI52" s="11">
        <f t="shared" si="112"/>
        <v>0</v>
      </c>
      <c r="BJ52" s="11">
        <f t="shared" si="112"/>
        <v>0</v>
      </c>
      <c r="BK52" s="11">
        <f t="shared" si="112"/>
        <v>0</v>
      </c>
      <c r="BL52" s="11">
        <f t="shared" si="112"/>
        <v>0</v>
      </c>
      <c r="BM52" s="11">
        <f t="shared" si="112"/>
        <v>0</v>
      </c>
      <c r="BN52" s="11">
        <f t="shared" si="112"/>
        <v>0</v>
      </c>
      <c r="BO52" s="11">
        <f t="shared" si="112"/>
        <v>0</v>
      </c>
      <c r="BP52" s="11">
        <f t="shared" si="112"/>
        <v>0</v>
      </c>
      <c r="BQ52" s="11">
        <f t="shared" si="112"/>
        <v>0</v>
      </c>
      <c r="BR52" s="11">
        <f t="shared" ref="BR52:CQ52" si="113">BR38/(BR11+BR13)</f>
        <v>0</v>
      </c>
      <c r="BS52" s="11">
        <f t="shared" si="113"/>
        <v>0</v>
      </c>
      <c r="BT52" s="11">
        <f t="shared" si="113"/>
        <v>0</v>
      </c>
      <c r="BU52" s="11">
        <f t="shared" si="113"/>
        <v>0</v>
      </c>
      <c r="BV52" s="11">
        <f t="shared" si="113"/>
        <v>0</v>
      </c>
      <c r="BW52" s="11">
        <f t="shared" si="113"/>
        <v>0</v>
      </c>
      <c r="BX52" s="11">
        <f t="shared" si="113"/>
        <v>0</v>
      </c>
      <c r="BY52" s="11">
        <f t="shared" si="113"/>
        <v>0</v>
      </c>
      <c r="BZ52" s="11">
        <f t="shared" si="113"/>
        <v>0</v>
      </c>
      <c r="CA52" s="11">
        <f t="shared" si="113"/>
        <v>0</v>
      </c>
      <c r="CB52" s="11">
        <f t="shared" si="113"/>
        <v>0</v>
      </c>
      <c r="CC52" s="11">
        <f t="shared" si="113"/>
        <v>0</v>
      </c>
      <c r="CD52" s="11">
        <f t="shared" si="113"/>
        <v>0</v>
      </c>
      <c r="CE52" s="11">
        <f t="shared" si="113"/>
        <v>0</v>
      </c>
      <c r="CF52" s="11">
        <f t="shared" si="113"/>
        <v>0</v>
      </c>
      <c r="CG52" s="11">
        <f t="shared" si="113"/>
        <v>0</v>
      </c>
      <c r="CH52" s="11">
        <f t="shared" si="113"/>
        <v>0</v>
      </c>
      <c r="CI52" s="11">
        <f t="shared" si="113"/>
        <v>0</v>
      </c>
      <c r="CJ52" s="11">
        <f t="shared" si="113"/>
        <v>0</v>
      </c>
      <c r="CK52" s="11">
        <f t="shared" si="113"/>
        <v>0</v>
      </c>
      <c r="CL52" s="11">
        <f t="shared" si="113"/>
        <v>0</v>
      </c>
      <c r="CM52" s="11">
        <f t="shared" si="113"/>
        <v>0</v>
      </c>
      <c r="CN52" s="11">
        <f t="shared" si="113"/>
        <v>0</v>
      </c>
      <c r="CO52" s="11">
        <f t="shared" si="113"/>
        <v>0</v>
      </c>
      <c r="CP52" s="11">
        <f t="shared" si="113"/>
        <v>0</v>
      </c>
      <c r="CQ52" s="11">
        <f t="shared" si="113"/>
        <v>0</v>
      </c>
      <c r="CR52" s="11">
        <f t="shared" ref="CR52:CW52" si="114">CR38/(CR11+CR13)</f>
        <v>0</v>
      </c>
      <c r="CS52" s="11">
        <f t="shared" si="114"/>
        <v>0</v>
      </c>
      <c r="CT52" s="11">
        <f t="shared" si="114"/>
        <v>0</v>
      </c>
      <c r="CU52" s="11">
        <f t="shared" si="114"/>
        <v>0</v>
      </c>
      <c r="CV52" s="11">
        <f t="shared" si="114"/>
        <v>0</v>
      </c>
      <c r="CW52" s="11">
        <f t="shared" si="114"/>
        <v>0</v>
      </c>
      <c r="CX52" s="11">
        <f>CX38/(CX11+CX13)</f>
        <v>0</v>
      </c>
      <c r="CY52" s="11">
        <f>CY38/(CY11+CY13)</f>
        <v>0</v>
      </c>
      <c r="CZ52" s="11">
        <f t="shared" ref="CZ52:DA52" si="115">CZ38/(CZ11+CZ13)</f>
        <v>0</v>
      </c>
      <c r="DA52" s="11">
        <f t="shared" si="115"/>
        <v>0</v>
      </c>
      <c r="DB52" s="11">
        <f t="shared" ref="DB52:DJ52" si="116">DB38/(DB11+DB13)</f>
        <v>0</v>
      </c>
      <c r="DC52" s="11">
        <f t="shared" si="116"/>
        <v>0</v>
      </c>
      <c r="DD52" s="11">
        <f t="shared" si="116"/>
        <v>0</v>
      </c>
      <c r="DE52" s="11">
        <f t="shared" si="116"/>
        <v>0</v>
      </c>
      <c r="DF52" s="11">
        <f t="shared" si="116"/>
        <v>0</v>
      </c>
      <c r="DG52" s="11">
        <f t="shared" si="116"/>
        <v>0</v>
      </c>
      <c r="DH52" s="11">
        <f t="shared" si="116"/>
        <v>0</v>
      </c>
      <c r="DI52" s="11">
        <f t="shared" si="116"/>
        <v>0</v>
      </c>
      <c r="DJ52" s="11">
        <f t="shared" si="116"/>
        <v>0</v>
      </c>
      <c r="DK52" s="11">
        <f t="shared" ref="DK52:DL52" si="117">DK38/(DK11+DK13)</f>
        <v>0</v>
      </c>
      <c r="DL52" s="11">
        <f t="shared" si="117"/>
        <v>0</v>
      </c>
      <c r="DM52" s="11"/>
      <c r="DN52" s="11"/>
      <c r="DO52" s="11"/>
    </row>
    <row r="53" spans="1:121">
      <c r="A53" s="37"/>
      <c r="B53" s="21">
        <f>SUM(B51:B52)</f>
        <v>0</v>
      </c>
      <c r="C53" s="21">
        <f t="shared" ref="C53:BN53" si="118">SUM(C51:C52)</f>
        <v>0</v>
      </c>
      <c r="D53" s="21">
        <f t="shared" si="118"/>
        <v>0</v>
      </c>
      <c r="E53" s="21">
        <f t="shared" si="118"/>
        <v>0</v>
      </c>
      <c r="F53" s="21">
        <f t="shared" si="118"/>
        <v>0</v>
      </c>
      <c r="G53" s="21">
        <f t="shared" si="118"/>
        <v>0</v>
      </c>
      <c r="H53" s="21">
        <f t="shared" si="118"/>
        <v>0</v>
      </c>
      <c r="I53" s="21">
        <f t="shared" si="118"/>
        <v>0</v>
      </c>
      <c r="J53" s="21">
        <f t="shared" si="118"/>
        <v>0.05</v>
      </c>
      <c r="K53" s="21">
        <f t="shared" si="118"/>
        <v>0.08</v>
      </c>
      <c r="L53" s="21">
        <f t="shared" si="118"/>
        <v>0.08</v>
      </c>
      <c r="M53" s="21">
        <f t="shared" si="118"/>
        <v>0.08</v>
      </c>
      <c r="N53" s="21">
        <f t="shared" si="118"/>
        <v>0.08</v>
      </c>
      <c r="O53" s="21">
        <f t="shared" si="118"/>
        <v>0.08</v>
      </c>
      <c r="P53" s="21">
        <f t="shared" si="118"/>
        <v>0.11119849980337544</v>
      </c>
      <c r="Q53" s="21">
        <f t="shared" si="118"/>
        <v>0.1614953866353801</v>
      </c>
      <c r="R53" s="21">
        <f t="shared" si="118"/>
        <v>0.200001299997075</v>
      </c>
      <c r="S53" s="21">
        <f t="shared" si="118"/>
        <v>0.200001299997075</v>
      </c>
      <c r="T53" s="21">
        <f t="shared" si="118"/>
        <v>0</v>
      </c>
      <c r="U53" s="21">
        <f t="shared" si="118"/>
        <v>0</v>
      </c>
      <c r="V53" s="21">
        <f t="shared" si="118"/>
        <v>0</v>
      </c>
      <c r="W53" s="21">
        <f t="shared" si="118"/>
        <v>0</v>
      </c>
      <c r="X53" s="21">
        <f t="shared" si="118"/>
        <v>0</v>
      </c>
      <c r="Y53" s="21">
        <f t="shared" si="118"/>
        <v>0</v>
      </c>
      <c r="Z53" s="21">
        <f t="shared" si="118"/>
        <v>0</v>
      </c>
      <c r="AA53" s="21">
        <f t="shared" si="118"/>
        <v>0</v>
      </c>
      <c r="AB53" s="21">
        <f t="shared" si="118"/>
        <v>0</v>
      </c>
      <c r="AC53" s="21">
        <f t="shared" si="118"/>
        <v>0</v>
      </c>
      <c r="AD53" s="21">
        <f t="shared" si="118"/>
        <v>0</v>
      </c>
      <c r="AE53" s="21">
        <f t="shared" si="118"/>
        <v>0</v>
      </c>
      <c r="AF53" s="21">
        <f t="shared" si="118"/>
        <v>0</v>
      </c>
      <c r="AG53" s="21">
        <f t="shared" si="118"/>
        <v>0.14999985869599008</v>
      </c>
      <c r="AH53" s="21">
        <f t="shared" si="118"/>
        <v>0.14999985869599008</v>
      </c>
      <c r="AI53" s="21">
        <f t="shared" si="118"/>
        <v>0.14999985869599008</v>
      </c>
      <c r="AJ53" s="21">
        <f t="shared" si="118"/>
        <v>0.14999985869599008</v>
      </c>
      <c r="AK53" s="21">
        <f t="shared" si="118"/>
        <v>0.14999985869599008</v>
      </c>
      <c r="AL53" s="21">
        <f t="shared" si="118"/>
        <v>0.14999985869599008</v>
      </c>
      <c r="AM53" s="21">
        <f t="shared" si="118"/>
        <v>0.14999985869599008</v>
      </c>
      <c r="AN53" s="21">
        <f t="shared" si="118"/>
        <v>0.14999985869599008</v>
      </c>
      <c r="AO53" s="21">
        <f t="shared" si="118"/>
        <v>0.14999985869599008</v>
      </c>
      <c r="AP53" s="21">
        <f t="shared" si="118"/>
        <v>0.14999985869599008</v>
      </c>
      <c r="AQ53" s="21">
        <f t="shared" si="118"/>
        <v>0.14999985869599008</v>
      </c>
      <c r="AR53" s="21">
        <f t="shared" si="118"/>
        <v>0.15000045804463799</v>
      </c>
      <c r="AS53" s="21">
        <f t="shared" si="118"/>
        <v>0.17000002826080199</v>
      </c>
      <c r="AT53" s="21">
        <f t="shared" si="118"/>
        <v>0.17000002826080199</v>
      </c>
      <c r="AU53" s="21">
        <f t="shared" si="118"/>
        <v>0.18</v>
      </c>
      <c r="AV53" s="21">
        <f t="shared" si="118"/>
        <v>0</v>
      </c>
      <c r="AW53" s="21">
        <f t="shared" si="118"/>
        <v>0</v>
      </c>
      <c r="AX53" s="21">
        <f t="shared" si="118"/>
        <v>0</v>
      </c>
      <c r="AY53" s="21">
        <f t="shared" si="118"/>
        <v>0</v>
      </c>
      <c r="AZ53" s="21">
        <f t="shared" si="118"/>
        <v>0</v>
      </c>
      <c r="BA53" s="21">
        <f t="shared" si="118"/>
        <v>0</v>
      </c>
      <c r="BB53" s="21">
        <f t="shared" si="118"/>
        <v>0</v>
      </c>
      <c r="BC53" s="21">
        <f t="shared" si="118"/>
        <v>0</v>
      </c>
      <c r="BD53" s="21">
        <f t="shared" si="118"/>
        <v>0</v>
      </c>
      <c r="BE53" s="21">
        <f t="shared" si="118"/>
        <v>0</v>
      </c>
      <c r="BF53" s="21">
        <f t="shared" si="118"/>
        <v>0</v>
      </c>
      <c r="BG53" s="21">
        <f t="shared" si="118"/>
        <v>0</v>
      </c>
      <c r="BH53" s="21">
        <f t="shared" si="118"/>
        <v>0</v>
      </c>
      <c r="BI53" s="21">
        <f t="shared" si="118"/>
        <v>0</v>
      </c>
      <c r="BJ53" s="21">
        <f t="shared" si="118"/>
        <v>0</v>
      </c>
      <c r="BK53" s="21">
        <f t="shared" si="118"/>
        <v>0</v>
      </c>
      <c r="BL53" s="21">
        <f t="shared" si="118"/>
        <v>0</v>
      </c>
      <c r="BM53" s="21">
        <f t="shared" si="118"/>
        <v>0</v>
      </c>
      <c r="BN53" s="21">
        <f t="shared" si="118"/>
        <v>0</v>
      </c>
      <c r="BO53" s="21">
        <f t="shared" ref="BO53:CQ53" si="119">SUM(BO51:BO52)</f>
        <v>0</v>
      </c>
      <c r="BP53" s="21">
        <f t="shared" si="119"/>
        <v>0</v>
      </c>
      <c r="BQ53" s="21">
        <f t="shared" si="119"/>
        <v>0</v>
      </c>
      <c r="BR53" s="21">
        <f t="shared" si="119"/>
        <v>0</v>
      </c>
      <c r="BS53" s="21">
        <f t="shared" si="119"/>
        <v>0</v>
      </c>
      <c r="BT53" s="21">
        <f t="shared" si="119"/>
        <v>0</v>
      </c>
      <c r="BU53" s="21">
        <f t="shared" si="119"/>
        <v>0</v>
      </c>
      <c r="BV53" s="21">
        <f t="shared" si="119"/>
        <v>0</v>
      </c>
      <c r="BW53" s="21">
        <f t="shared" si="119"/>
        <v>0</v>
      </c>
      <c r="BX53" s="21">
        <f t="shared" si="119"/>
        <v>0</v>
      </c>
      <c r="BY53" s="21">
        <f t="shared" si="119"/>
        <v>0</v>
      </c>
      <c r="BZ53" s="21">
        <f t="shared" si="119"/>
        <v>0</v>
      </c>
      <c r="CA53" s="21">
        <f t="shared" si="119"/>
        <v>0</v>
      </c>
      <c r="CB53" s="21">
        <f t="shared" si="119"/>
        <v>0</v>
      </c>
      <c r="CC53" s="21">
        <f t="shared" si="119"/>
        <v>0</v>
      </c>
      <c r="CD53" s="21">
        <f t="shared" si="119"/>
        <v>0</v>
      </c>
      <c r="CE53" s="21">
        <f t="shared" si="119"/>
        <v>0</v>
      </c>
      <c r="CF53" s="21">
        <f t="shared" si="119"/>
        <v>0</v>
      </c>
      <c r="CG53" s="21">
        <f t="shared" si="119"/>
        <v>0</v>
      </c>
      <c r="CH53" s="21">
        <f t="shared" si="119"/>
        <v>0</v>
      </c>
      <c r="CI53" s="21">
        <f t="shared" si="119"/>
        <v>0</v>
      </c>
      <c r="CJ53" s="21">
        <f t="shared" si="119"/>
        <v>0</v>
      </c>
      <c r="CK53" s="21">
        <f t="shared" si="119"/>
        <v>0</v>
      </c>
      <c r="CL53" s="21">
        <f t="shared" si="119"/>
        <v>0</v>
      </c>
      <c r="CM53" s="21">
        <f t="shared" si="119"/>
        <v>0</v>
      </c>
      <c r="CN53" s="21">
        <f t="shared" si="119"/>
        <v>0</v>
      </c>
      <c r="CO53" s="21">
        <f t="shared" si="119"/>
        <v>0</v>
      </c>
      <c r="CP53" s="21">
        <f t="shared" si="119"/>
        <v>0</v>
      </c>
      <c r="CQ53" s="21">
        <f t="shared" si="119"/>
        <v>0.2999996197169173</v>
      </c>
      <c r="CR53" s="21">
        <f t="shared" ref="CR53:CW53" si="120">SUM(CR51:CR52)</f>
        <v>0.2999996197169173</v>
      </c>
      <c r="CS53" s="21">
        <f t="shared" si="120"/>
        <v>0.2999996197169173</v>
      </c>
      <c r="CT53" s="21">
        <f t="shared" si="120"/>
        <v>0.2999996197169173</v>
      </c>
      <c r="CU53" s="21">
        <f t="shared" si="120"/>
        <v>0.30000019629474051</v>
      </c>
      <c r="CV53" s="21">
        <f t="shared" si="120"/>
        <v>0.30000090029259513</v>
      </c>
      <c r="CW53" s="21">
        <f t="shared" si="120"/>
        <v>0.30000090029259513</v>
      </c>
      <c r="CX53" s="21">
        <f>SUM(CX51:CX52)</f>
        <v>0.30000090029259513</v>
      </c>
      <c r="CY53" s="21">
        <f>SUM(CY51:CY52)</f>
        <v>0.7000009002925951</v>
      </c>
      <c r="CZ53" s="21">
        <f t="shared" ref="CZ53:DA53" si="121">SUM(CZ51:CZ52)</f>
        <v>0</v>
      </c>
      <c r="DA53" s="21">
        <f t="shared" si="121"/>
        <v>0</v>
      </c>
      <c r="DB53" s="21">
        <f t="shared" ref="DB53" si="122">SUM(DB51:DB52)</f>
        <v>0</v>
      </c>
      <c r="DC53" s="21">
        <f t="shared" ref="DC53" si="123">SUM(DC51:DC52)</f>
        <v>0</v>
      </c>
      <c r="DD53" s="21">
        <f t="shared" ref="DD53" si="124">SUM(DD51:DD52)</f>
        <v>0</v>
      </c>
      <c r="DE53" s="21">
        <f t="shared" ref="DE53" si="125">SUM(DE51:DE52)</f>
        <v>0</v>
      </c>
      <c r="DF53" s="21">
        <f t="shared" ref="DF53" si="126">SUM(DF51:DF52)</f>
        <v>0</v>
      </c>
      <c r="DG53" s="21">
        <f t="shared" ref="DG53" si="127">SUM(DG51:DG52)</f>
        <v>0</v>
      </c>
      <c r="DH53" s="21">
        <f t="shared" ref="DH53" si="128">SUM(DH51:DH52)</f>
        <v>0</v>
      </c>
      <c r="DI53" s="21">
        <f t="shared" ref="DI53" si="129">SUM(DI51:DI52)</f>
        <v>0</v>
      </c>
      <c r="DJ53" s="21">
        <f t="shared" ref="DJ53:DL53" si="130">SUM(DJ51:DJ52)</f>
        <v>0</v>
      </c>
      <c r="DK53" s="21">
        <f t="shared" si="130"/>
        <v>0</v>
      </c>
      <c r="DL53" s="21">
        <f t="shared" si="130"/>
        <v>0.31765785068630675</v>
      </c>
      <c r="DM53" s="21"/>
      <c r="DN53" s="21"/>
      <c r="DO53" s="21"/>
    </row>
    <row r="54" spans="1:121" ht="16.5">
      <c r="A54" s="3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8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9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</row>
    <row r="55" spans="1:121" ht="16.5">
      <c r="A55" s="37" t="s">
        <v>35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9">
        <f t="shared" ref="AQ55:BV55" si="131">AQ42*0.85</f>
        <v>3066.5789999999997</v>
      </c>
      <c r="AR55" s="9">
        <f t="shared" si="131"/>
        <v>2705.9240000000004</v>
      </c>
      <c r="AS55" s="9">
        <f t="shared" si="131"/>
        <v>1513.9774999999997</v>
      </c>
      <c r="AT55" s="9">
        <f t="shared" si="131"/>
        <v>1514.7934999999998</v>
      </c>
      <c r="AU55" s="9">
        <f t="shared" si="131"/>
        <v>1646.229</v>
      </c>
      <c r="AV55" s="9">
        <f t="shared" si="131"/>
        <v>2258.3735000000001</v>
      </c>
      <c r="AW55" s="9">
        <f t="shared" si="131"/>
        <v>2258.3650000000002</v>
      </c>
      <c r="AX55" s="9">
        <f t="shared" si="131"/>
        <v>2258.3650000000002</v>
      </c>
      <c r="AY55" s="9">
        <f t="shared" si="131"/>
        <v>2258.3650000000002</v>
      </c>
      <c r="AZ55" s="9">
        <f t="shared" si="131"/>
        <v>2258.3650000000002</v>
      </c>
      <c r="BA55" s="9">
        <f t="shared" si="131"/>
        <v>2258.3650000000002</v>
      </c>
      <c r="BB55" s="9">
        <f t="shared" si="131"/>
        <v>2258.3650000000002</v>
      </c>
      <c r="BC55" s="9">
        <f t="shared" si="131"/>
        <v>2258.3650000000002</v>
      </c>
      <c r="BD55" s="9">
        <f t="shared" si="131"/>
        <v>2258.3650000000002</v>
      </c>
      <c r="BE55" s="9">
        <f t="shared" si="131"/>
        <v>2258.3650000000002</v>
      </c>
      <c r="BF55" s="9">
        <f t="shared" si="131"/>
        <v>2258.3735000000001</v>
      </c>
      <c r="BG55" s="9">
        <f t="shared" si="131"/>
        <v>2258.3564999999999</v>
      </c>
      <c r="BH55" s="9">
        <f t="shared" si="131"/>
        <v>2258.3735000000001</v>
      </c>
      <c r="BI55" s="9">
        <f t="shared" si="131"/>
        <v>2789.6826824239115</v>
      </c>
      <c r="BJ55" s="9">
        <f t="shared" si="131"/>
        <v>2789.6826824239115</v>
      </c>
      <c r="BK55" s="9">
        <f t="shared" si="131"/>
        <v>2732.7061923076926</v>
      </c>
      <c r="BL55" s="9">
        <f t="shared" si="131"/>
        <v>2732.7061923076926</v>
      </c>
      <c r="BM55" s="9">
        <f t="shared" si="131"/>
        <v>2732.7061923076926</v>
      </c>
      <c r="BN55" s="9">
        <f t="shared" si="131"/>
        <v>2732.7146923076925</v>
      </c>
      <c r="BO55" s="9">
        <f t="shared" si="131"/>
        <v>2732.6976923076927</v>
      </c>
      <c r="BP55" s="9">
        <f t="shared" si="131"/>
        <v>2732.7656923076929</v>
      </c>
      <c r="BQ55" s="9">
        <f t="shared" si="131"/>
        <v>2845.5266923076924</v>
      </c>
      <c r="BR55" s="9">
        <f t="shared" si="131"/>
        <v>2845.5266923076924</v>
      </c>
      <c r="BS55" s="9">
        <f t="shared" si="131"/>
        <v>4832.5631923076926</v>
      </c>
      <c r="BT55" s="9">
        <f t="shared" si="131"/>
        <v>2845.5266923076924</v>
      </c>
      <c r="BU55" s="9">
        <f t="shared" si="131"/>
        <v>4496.4326538461537</v>
      </c>
      <c r="BV55" s="9">
        <f t="shared" si="131"/>
        <v>3018.5376538461542</v>
      </c>
      <c r="BW55" s="9">
        <f t="shared" ref="BW55:CP55" si="132">BW42*0.85</f>
        <v>2989.4754999999996</v>
      </c>
      <c r="BX55" s="9">
        <f t="shared" si="132"/>
        <v>2989.4839999999999</v>
      </c>
      <c r="BY55" s="9">
        <f t="shared" si="132"/>
        <v>2989.4839999999999</v>
      </c>
      <c r="BZ55" s="9">
        <f t="shared" si="132"/>
        <v>2989.4839999999999</v>
      </c>
      <c r="CA55" s="9">
        <f t="shared" si="132"/>
        <v>2989.4839999999999</v>
      </c>
      <c r="CB55" s="9">
        <f t="shared" si="132"/>
        <v>2989.4924999999998</v>
      </c>
      <c r="CC55" s="9">
        <f t="shared" si="132"/>
        <v>3781.6754999999998</v>
      </c>
      <c r="CD55" s="9">
        <f t="shared" si="132"/>
        <v>2989.4839999999999</v>
      </c>
      <c r="CE55" s="9">
        <f t="shared" si="132"/>
        <v>2989.4839999999999</v>
      </c>
      <c r="CF55" s="9">
        <f t="shared" si="132"/>
        <v>2989.4839999999999</v>
      </c>
      <c r="CG55" s="9">
        <f t="shared" si="132"/>
        <v>2989.4839999999999</v>
      </c>
      <c r="CH55" s="9">
        <f t="shared" si="132"/>
        <v>2989.4839999999999</v>
      </c>
      <c r="CI55" s="9">
        <f t="shared" si="132"/>
        <v>2989.4839999999999</v>
      </c>
      <c r="CJ55" s="9">
        <f t="shared" si="132"/>
        <v>2989.4839999999999</v>
      </c>
      <c r="CK55" s="9">
        <f t="shared" si="132"/>
        <v>2989.4839999999999</v>
      </c>
      <c r="CL55" s="9">
        <f t="shared" si="132"/>
        <v>2989.4839999999999</v>
      </c>
      <c r="CM55" s="9">
        <f t="shared" si="132"/>
        <v>2989.4839999999999</v>
      </c>
      <c r="CN55" s="9">
        <f t="shared" si="132"/>
        <v>2989.4924999999998</v>
      </c>
      <c r="CO55" s="9">
        <f t="shared" si="132"/>
        <v>2989.4924999999998</v>
      </c>
      <c r="CP55" s="9">
        <f t="shared" si="132"/>
        <v>2989.4924999999998</v>
      </c>
      <c r="CQ55" s="9">
        <f t="shared" ref="CQ55:DI55" si="133">CQ42*0.85</f>
        <v>2101.6844999999998</v>
      </c>
      <c r="CR55" s="9">
        <f t="shared" si="133"/>
        <v>3707.3514999999993</v>
      </c>
      <c r="CS55" s="9">
        <f t="shared" si="133"/>
        <v>2101.6844999999998</v>
      </c>
      <c r="CT55" s="9">
        <f t="shared" si="133"/>
        <v>2101.6844999999998</v>
      </c>
      <c r="CU55" s="9">
        <f t="shared" si="133"/>
        <v>7058.6719999999996</v>
      </c>
      <c r="CV55" s="9">
        <f t="shared" si="133"/>
        <v>2198.1169999999997</v>
      </c>
      <c r="CW55" s="9">
        <f t="shared" si="133"/>
        <v>2198.1085000000003</v>
      </c>
      <c r="CX55" s="9">
        <f t="shared" si="133"/>
        <v>2198.1169999999997</v>
      </c>
      <c r="CY55" s="9">
        <f t="shared" si="133"/>
        <v>823.17399999999998</v>
      </c>
      <c r="CZ55" s="9">
        <f t="shared" si="133"/>
        <v>3140.75</v>
      </c>
      <c r="DA55" s="9">
        <f t="shared" si="133"/>
        <v>3140.75</v>
      </c>
      <c r="DB55" s="9">
        <f t="shared" si="133"/>
        <v>3140.7329999999997</v>
      </c>
      <c r="DC55" s="9">
        <f t="shared" si="133"/>
        <v>3140.75</v>
      </c>
      <c r="DD55" s="9">
        <f t="shared" si="133"/>
        <v>3140.7414999999996</v>
      </c>
      <c r="DE55" s="9">
        <f t="shared" si="133"/>
        <v>3140.75</v>
      </c>
      <c r="DF55" s="9">
        <f t="shared" si="133"/>
        <v>3140.7414999999996</v>
      </c>
      <c r="DG55" s="9">
        <f t="shared" si="133"/>
        <v>3140.7414999999996</v>
      </c>
      <c r="DH55" s="9">
        <f t="shared" si="133"/>
        <v>3140.75</v>
      </c>
      <c r="DI55" s="9">
        <f t="shared" si="133"/>
        <v>3989.0329999999994</v>
      </c>
      <c r="DJ55" s="9">
        <f t="shared" ref="DJ55:DK55" si="134">DJ42*0.85</f>
        <v>3140.75</v>
      </c>
      <c r="DK55" s="9">
        <f t="shared" si="134"/>
        <v>3140.75</v>
      </c>
      <c r="DL55" s="9">
        <f t="shared" ref="DL55" si="135">DL42*0.85</f>
        <v>2563.0958846153881</v>
      </c>
      <c r="DM55" s="9"/>
      <c r="DN55" s="9"/>
      <c r="DO55" s="9"/>
      <c r="DP55" s="13">
        <f>SUM(CQ55:DO55)</f>
        <v>65588.929884615383</v>
      </c>
    </row>
    <row r="56" spans="1:121" ht="16.5">
      <c r="A56" s="37" t="s">
        <v>36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9">
        <f t="shared" ref="AQ56:BV56" si="136">AQ42*0.15</f>
        <v>541.16099999999994</v>
      </c>
      <c r="AR56" s="9">
        <f t="shared" si="136"/>
        <v>477.51600000000008</v>
      </c>
      <c r="AS56" s="9">
        <f t="shared" si="136"/>
        <v>267.17249999999996</v>
      </c>
      <c r="AT56" s="9">
        <f t="shared" si="136"/>
        <v>267.31649999999996</v>
      </c>
      <c r="AU56" s="9">
        <f t="shared" si="136"/>
        <v>290.51099999999997</v>
      </c>
      <c r="AV56" s="9">
        <f t="shared" si="136"/>
        <v>398.53650000000005</v>
      </c>
      <c r="AW56" s="9">
        <f t="shared" si="136"/>
        <v>398.53500000000003</v>
      </c>
      <c r="AX56" s="9">
        <f t="shared" si="136"/>
        <v>398.53500000000003</v>
      </c>
      <c r="AY56" s="9">
        <f t="shared" si="136"/>
        <v>398.53500000000003</v>
      </c>
      <c r="AZ56" s="9">
        <f t="shared" si="136"/>
        <v>398.53500000000003</v>
      </c>
      <c r="BA56" s="9">
        <f t="shared" si="136"/>
        <v>398.53500000000003</v>
      </c>
      <c r="BB56" s="9">
        <f t="shared" si="136"/>
        <v>398.53500000000003</v>
      </c>
      <c r="BC56" s="9">
        <f t="shared" si="136"/>
        <v>398.53500000000003</v>
      </c>
      <c r="BD56" s="9">
        <f t="shared" si="136"/>
        <v>398.53500000000003</v>
      </c>
      <c r="BE56" s="9">
        <f t="shared" si="136"/>
        <v>398.53500000000003</v>
      </c>
      <c r="BF56" s="9">
        <f t="shared" si="136"/>
        <v>398.53650000000005</v>
      </c>
      <c r="BG56" s="9">
        <f t="shared" si="136"/>
        <v>398.53349999999995</v>
      </c>
      <c r="BH56" s="9">
        <f t="shared" si="136"/>
        <v>398.53650000000005</v>
      </c>
      <c r="BI56" s="9">
        <f t="shared" si="136"/>
        <v>492.29694395716081</v>
      </c>
      <c r="BJ56" s="9">
        <f t="shared" si="136"/>
        <v>492.29694395716081</v>
      </c>
      <c r="BK56" s="9">
        <f t="shared" si="136"/>
        <v>482.24226923076924</v>
      </c>
      <c r="BL56" s="9">
        <f t="shared" si="136"/>
        <v>482.2422692307693</v>
      </c>
      <c r="BM56" s="9">
        <f t="shared" si="136"/>
        <v>482.24226923076924</v>
      </c>
      <c r="BN56" s="9">
        <f t="shared" si="136"/>
        <v>482.24376923076926</v>
      </c>
      <c r="BO56" s="9">
        <f t="shared" si="136"/>
        <v>482.24076923076927</v>
      </c>
      <c r="BP56" s="9">
        <f t="shared" si="136"/>
        <v>482.25276923076933</v>
      </c>
      <c r="BQ56" s="9">
        <f t="shared" si="136"/>
        <v>502.15176923076922</v>
      </c>
      <c r="BR56" s="9">
        <f t="shared" si="136"/>
        <v>502.15176923076922</v>
      </c>
      <c r="BS56" s="9">
        <f t="shared" si="136"/>
        <v>852.80526923076923</v>
      </c>
      <c r="BT56" s="9">
        <f t="shared" si="136"/>
        <v>502.15176923076922</v>
      </c>
      <c r="BU56" s="9">
        <f t="shared" si="136"/>
        <v>793.4881153846153</v>
      </c>
      <c r="BV56" s="9">
        <f t="shared" si="136"/>
        <v>532.68311538461546</v>
      </c>
      <c r="BW56" s="9">
        <f t="shared" ref="BW56:CP56" si="137">BW42*0.15</f>
        <v>527.55449999999996</v>
      </c>
      <c r="BX56" s="9">
        <f t="shared" si="137"/>
        <v>527.55599999999993</v>
      </c>
      <c r="BY56" s="9">
        <f t="shared" si="137"/>
        <v>527.55599999999993</v>
      </c>
      <c r="BZ56" s="9">
        <f t="shared" si="137"/>
        <v>527.55599999999993</v>
      </c>
      <c r="CA56" s="9">
        <f t="shared" si="137"/>
        <v>527.55599999999993</v>
      </c>
      <c r="CB56" s="9">
        <f t="shared" si="137"/>
        <v>527.55749999999989</v>
      </c>
      <c r="CC56" s="9">
        <f t="shared" si="137"/>
        <v>667.35449999999992</v>
      </c>
      <c r="CD56" s="9">
        <f t="shared" si="137"/>
        <v>527.55599999999993</v>
      </c>
      <c r="CE56" s="9">
        <f t="shared" si="137"/>
        <v>527.55599999999993</v>
      </c>
      <c r="CF56" s="9">
        <f t="shared" si="137"/>
        <v>527.55599999999993</v>
      </c>
      <c r="CG56" s="9">
        <f t="shared" si="137"/>
        <v>527.55599999999993</v>
      </c>
      <c r="CH56" s="9">
        <f t="shared" si="137"/>
        <v>527.55599999999993</v>
      </c>
      <c r="CI56" s="9">
        <f t="shared" si="137"/>
        <v>527.55599999999993</v>
      </c>
      <c r="CJ56" s="9">
        <f t="shared" si="137"/>
        <v>527.55599999999993</v>
      </c>
      <c r="CK56" s="9">
        <f t="shared" si="137"/>
        <v>527.55599999999993</v>
      </c>
      <c r="CL56" s="9">
        <f t="shared" si="137"/>
        <v>527.55599999999993</v>
      </c>
      <c r="CM56" s="9">
        <f t="shared" si="137"/>
        <v>527.55599999999993</v>
      </c>
      <c r="CN56" s="9">
        <f t="shared" si="137"/>
        <v>527.55749999999989</v>
      </c>
      <c r="CO56" s="9">
        <f t="shared" si="137"/>
        <v>527.55749999999989</v>
      </c>
      <c r="CP56" s="9">
        <f t="shared" si="137"/>
        <v>527.55749999999989</v>
      </c>
      <c r="CQ56" s="9">
        <f t="shared" ref="CQ56:DI56" si="138">CQ42*0.15</f>
        <v>370.88549999999992</v>
      </c>
      <c r="CR56" s="9">
        <f t="shared" si="138"/>
        <v>654.23849999999982</v>
      </c>
      <c r="CS56" s="9">
        <f t="shared" si="138"/>
        <v>370.88549999999992</v>
      </c>
      <c r="CT56" s="9">
        <f t="shared" si="138"/>
        <v>370.88549999999992</v>
      </c>
      <c r="CU56" s="9">
        <f t="shared" si="138"/>
        <v>1245.6479999999999</v>
      </c>
      <c r="CV56" s="9">
        <f t="shared" si="138"/>
        <v>387.90299999999996</v>
      </c>
      <c r="CW56" s="9">
        <f t="shared" si="138"/>
        <v>387.9015</v>
      </c>
      <c r="CX56" s="9">
        <f t="shared" si="138"/>
        <v>387.90299999999996</v>
      </c>
      <c r="CY56" s="9">
        <f t="shared" si="138"/>
        <v>145.26599999999999</v>
      </c>
      <c r="CZ56" s="9">
        <f t="shared" si="138"/>
        <v>554.25</v>
      </c>
      <c r="DA56" s="9">
        <f t="shared" si="138"/>
        <v>554.25</v>
      </c>
      <c r="DB56" s="9">
        <f t="shared" si="138"/>
        <v>554.24699999999996</v>
      </c>
      <c r="DC56" s="9">
        <f t="shared" si="138"/>
        <v>554.25</v>
      </c>
      <c r="DD56" s="9">
        <f t="shared" si="138"/>
        <v>554.24849999999992</v>
      </c>
      <c r="DE56" s="9">
        <f t="shared" si="138"/>
        <v>554.25</v>
      </c>
      <c r="DF56" s="9">
        <f t="shared" si="138"/>
        <v>554.24849999999992</v>
      </c>
      <c r="DG56" s="9">
        <f t="shared" si="138"/>
        <v>554.24849999999992</v>
      </c>
      <c r="DH56" s="9">
        <f t="shared" si="138"/>
        <v>554.25</v>
      </c>
      <c r="DI56" s="9">
        <f t="shared" si="138"/>
        <v>703.94699999999989</v>
      </c>
      <c r="DJ56" s="9">
        <f t="shared" ref="DJ56:DK56" si="139">DJ42*0.15</f>
        <v>554.25</v>
      </c>
      <c r="DK56" s="9">
        <f t="shared" si="139"/>
        <v>554.25</v>
      </c>
      <c r="DL56" s="9">
        <f t="shared" ref="DL56" si="140">DL42*0.15</f>
        <v>452.31103846153911</v>
      </c>
      <c r="DM56" s="9"/>
      <c r="DN56" s="9"/>
      <c r="DO56" s="9"/>
      <c r="DP56" s="13">
        <f>SUM(CQ56:DO56)</f>
        <v>11574.517038461538</v>
      </c>
    </row>
    <row r="57" spans="1:121" ht="16.5">
      <c r="A57" s="3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</row>
    <row r="58" spans="1:121" ht="16.5">
      <c r="A58" s="37" t="s">
        <v>37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0">
        <f t="shared" ref="AQ58:DB58" si="141">AQ11*26</f>
        <v>92000.22</v>
      </c>
      <c r="AR58" s="10">
        <f t="shared" si="141"/>
        <v>92000.22</v>
      </c>
      <c r="AS58" s="10">
        <f t="shared" si="141"/>
        <v>92000.22</v>
      </c>
      <c r="AT58" s="10">
        <f t="shared" si="141"/>
        <v>92000.22</v>
      </c>
      <c r="AU58" s="10">
        <f t="shared" si="141"/>
        <v>104000</v>
      </c>
      <c r="AV58" s="10">
        <f t="shared" si="141"/>
        <v>104000</v>
      </c>
      <c r="AW58" s="10">
        <f t="shared" si="141"/>
        <v>104000</v>
      </c>
      <c r="AX58" s="10">
        <f t="shared" si="141"/>
        <v>104000</v>
      </c>
      <c r="AY58" s="10">
        <f t="shared" si="141"/>
        <v>104000</v>
      </c>
      <c r="AZ58" s="10">
        <f t="shared" si="141"/>
        <v>104000</v>
      </c>
      <c r="BA58" s="10">
        <f t="shared" si="141"/>
        <v>104000</v>
      </c>
      <c r="BB58" s="10">
        <f t="shared" si="141"/>
        <v>104000</v>
      </c>
      <c r="BC58" s="10">
        <f t="shared" si="141"/>
        <v>104000</v>
      </c>
      <c r="BD58" s="10">
        <f t="shared" si="141"/>
        <v>104000</v>
      </c>
      <c r="BE58" s="10">
        <f t="shared" si="141"/>
        <v>104000</v>
      </c>
      <c r="BF58" s="10">
        <f t="shared" si="141"/>
        <v>104000</v>
      </c>
      <c r="BG58" s="10">
        <f t="shared" si="141"/>
        <v>104000</v>
      </c>
      <c r="BH58" s="10">
        <f t="shared" si="141"/>
        <v>104000</v>
      </c>
      <c r="BI58" s="10">
        <f t="shared" si="141"/>
        <v>129000.00000000001</v>
      </c>
      <c r="BJ58" s="10">
        <f t="shared" si="141"/>
        <v>129000.00000000001</v>
      </c>
      <c r="BK58" s="10">
        <f t="shared" si="141"/>
        <v>129000.00000000001</v>
      </c>
      <c r="BL58" s="10">
        <f t="shared" si="141"/>
        <v>129000.00000000001</v>
      </c>
      <c r="BM58" s="10">
        <f t="shared" si="141"/>
        <v>129000.00000000001</v>
      </c>
      <c r="BN58" s="10">
        <f t="shared" si="141"/>
        <v>129000.00000000001</v>
      </c>
      <c r="BO58" s="10">
        <f t="shared" si="141"/>
        <v>129000.00000000001</v>
      </c>
      <c r="BP58" s="10">
        <f t="shared" si="141"/>
        <v>129000.00000000001</v>
      </c>
      <c r="BQ58" s="10">
        <f t="shared" si="141"/>
        <v>129000.00000000001</v>
      </c>
      <c r="BR58" s="10">
        <f t="shared" si="141"/>
        <v>129000.00000000001</v>
      </c>
      <c r="BS58" s="10">
        <f t="shared" si="141"/>
        <v>129000.00000000001</v>
      </c>
      <c r="BT58" s="10">
        <f t="shared" si="141"/>
        <v>129000.00000000001</v>
      </c>
      <c r="BU58" s="10">
        <f t="shared" si="141"/>
        <v>136740</v>
      </c>
      <c r="BV58" s="10">
        <f t="shared" si="141"/>
        <v>136740</v>
      </c>
      <c r="BW58" s="10">
        <f t="shared" si="141"/>
        <v>136740.24</v>
      </c>
      <c r="BX58" s="10">
        <f t="shared" si="141"/>
        <v>136740.24</v>
      </c>
      <c r="BY58" s="10">
        <f t="shared" si="141"/>
        <v>136740.24</v>
      </c>
      <c r="BZ58" s="10">
        <f t="shared" si="141"/>
        <v>136740.24</v>
      </c>
      <c r="CA58" s="10">
        <f t="shared" si="141"/>
        <v>136740.24</v>
      </c>
      <c r="CB58" s="10">
        <f t="shared" si="141"/>
        <v>136740.24</v>
      </c>
      <c r="CC58" s="10">
        <f t="shared" si="141"/>
        <v>160972.24</v>
      </c>
      <c r="CD58" s="10">
        <f t="shared" si="141"/>
        <v>136740.24</v>
      </c>
      <c r="CE58" s="10">
        <f t="shared" si="141"/>
        <v>136740.24</v>
      </c>
      <c r="CF58" s="10">
        <f t="shared" si="141"/>
        <v>136740.24</v>
      </c>
      <c r="CG58" s="10">
        <f t="shared" si="141"/>
        <v>136740.24</v>
      </c>
      <c r="CH58" s="10">
        <f t="shared" si="141"/>
        <v>136740.24</v>
      </c>
      <c r="CI58" s="10">
        <f t="shared" si="141"/>
        <v>136740.24</v>
      </c>
      <c r="CJ58" s="10">
        <f t="shared" si="141"/>
        <v>136740.24</v>
      </c>
      <c r="CK58" s="10">
        <f t="shared" si="141"/>
        <v>136740.24</v>
      </c>
      <c r="CL58" s="10">
        <f t="shared" si="141"/>
        <v>136740.24</v>
      </c>
      <c r="CM58" s="10">
        <f t="shared" si="141"/>
        <v>136740.24</v>
      </c>
      <c r="CN58" s="10">
        <f t="shared" si="141"/>
        <v>136740.24</v>
      </c>
      <c r="CO58" s="10">
        <f t="shared" si="141"/>
        <v>136740.24</v>
      </c>
      <c r="CP58" s="10">
        <f t="shared" si="141"/>
        <v>136740.24</v>
      </c>
      <c r="CQ58" s="10">
        <f t="shared" si="141"/>
        <v>136740.24</v>
      </c>
      <c r="CR58" s="10">
        <f t="shared" si="141"/>
        <v>136740.24</v>
      </c>
      <c r="CS58" s="10">
        <f t="shared" si="141"/>
        <v>136740.24</v>
      </c>
      <c r="CT58" s="10">
        <f t="shared" si="141"/>
        <v>136740.24</v>
      </c>
      <c r="CU58" s="10">
        <f t="shared" si="141"/>
        <v>144397.5</v>
      </c>
      <c r="CV58" s="10">
        <f t="shared" si="141"/>
        <v>144397.5</v>
      </c>
      <c r="CW58" s="10">
        <f t="shared" si="141"/>
        <v>144397.5</v>
      </c>
      <c r="CX58" s="10">
        <f t="shared" si="141"/>
        <v>144397.5</v>
      </c>
      <c r="CY58" s="10">
        <f t="shared" si="141"/>
        <v>144397.5</v>
      </c>
      <c r="CZ58" s="10">
        <f t="shared" si="141"/>
        <v>144397.5</v>
      </c>
      <c r="DA58" s="10">
        <f t="shared" si="141"/>
        <v>144397.5</v>
      </c>
      <c r="DB58" s="10">
        <f t="shared" si="141"/>
        <v>144397.5</v>
      </c>
      <c r="DC58" s="10">
        <f t="shared" ref="DC58:DI58" si="142">DC11*26</f>
        <v>144397.5</v>
      </c>
      <c r="DD58" s="10">
        <f t="shared" si="142"/>
        <v>144397.5</v>
      </c>
      <c r="DE58" s="10">
        <f t="shared" si="142"/>
        <v>144397.5</v>
      </c>
      <c r="DF58" s="10">
        <f t="shared" si="142"/>
        <v>144397.5</v>
      </c>
      <c r="DG58" s="10">
        <f t="shared" si="142"/>
        <v>144397.5</v>
      </c>
      <c r="DH58" s="10">
        <f t="shared" si="142"/>
        <v>144397.5</v>
      </c>
      <c r="DI58" s="10">
        <f t="shared" si="142"/>
        <v>170345.5</v>
      </c>
      <c r="DJ58" s="10">
        <f t="shared" ref="DJ58:DK58" si="143">DJ11*26</f>
        <v>144397.5</v>
      </c>
      <c r="DK58" s="10">
        <f t="shared" si="143"/>
        <v>144397.5</v>
      </c>
      <c r="DL58" s="10">
        <v>179220</v>
      </c>
      <c r="DM58" s="10"/>
      <c r="DN58" s="10"/>
      <c r="DO58" s="10"/>
    </row>
    <row r="59" spans="1:121" ht="16.5">
      <c r="A59" s="3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0"/>
      <c r="AR59" s="10"/>
      <c r="AS59" s="10"/>
      <c r="AT59" s="10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</row>
    <row r="60" spans="1:121" s="16" customFormat="1" ht="16.5">
      <c r="A60" s="39" t="s">
        <v>40</v>
      </c>
      <c r="B60" s="9"/>
      <c r="C60" s="9"/>
      <c r="D60" s="9"/>
      <c r="E60" s="9"/>
      <c r="F60" s="9"/>
      <c r="G60" s="9"/>
      <c r="H60" s="9"/>
      <c r="I60" s="9"/>
      <c r="J60" s="9">
        <v>75</v>
      </c>
      <c r="K60" s="9">
        <v>120.01</v>
      </c>
      <c r="L60" s="9">
        <v>119.99</v>
      </c>
      <c r="M60" s="9">
        <v>120</v>
      </c>
      <c r="N60" s="9">
        <v>120</v>
      </c>
      <c r="O60" s="9">
        <v>120</v>
      </c>
      <c r="P60" s="9">
        <v>171.07</v>
      </c>
      <c r="Q60" s="9">
        <v>248.45</v>
      </c>
      <c r="R60" s="9">
        <v>123.08</v>
      </c>
      <c r="S60" s="9">
        <v>123.08</v>
      </c>
      <c r="T60" s="9">
        <v>123.07</v>
      </c>
      <c r="U60" s="9">
        <v>126.93</v>
      </c>
      <c r="V60" s="9">
        <v>119.25</v>
      </c>
      <c r="W60" s="9">
        <v>-0.02</v>
      </c>
      <c r="X60" s="9">
        <v>0.01</v>
      </c>
      <c r="Y60" s="9">
        <v>-0.01</v>
      </c>
      <c r="Z60" s="9">
        <v>-0.01</v>
      </c>
      <c r="AA60" s="9">
        <v>0.01</v>
      </c>
      <c r="AB60" s="9">
        <v>0.02</v>
      </c>
      <c r="AC60" s="9">
        <v>-0.04</v>
      </c>
      <c r="AD60" s="9">
        <v>0.01</v>
      </c>
      <c r="AE60" s="9">
        <v>0.02</v>
      </c>
      <c r="AF60" s="9">
        <v>-0.01</v>
      </c>
      <c r="AG60" s="9">
        <v>265.41000000000003</v>
      </c>
      <c r="AH60" s="9">
        <v>265.37</v>
      </c>
      <c r="AI60" s="9">
        <v>265.38</v>
      </c>
      <c r="AJ60" s="9">
        <v>265.43</v>
      </c>
      <c r="AK60" s="9">
        <v>265.38</v>
      </c>
      <c r="AL60" s="9">
        <v>265.36</v>
      </c>
      <c r="AM60" s="9">
        <v>265.38</v>
      </c>
      <c r="AN60" s="9">
        <v>265.37</v>
      </c>
      <c r="AO60" s="9">
        <v>265.44</v>
      </c>
      <c r="AP60" s="9">
        <v>265.33</v>
      </c>
      <c r="AQ60" s="9">
        <v>141.54</v>
      </c>
      <c r="AR60" s="9">
        <v>261.98</v>
      </c>
      <c r="AS60" s="9">
        <v>141.54</v>
      </c>
      <c r="AT60" s="9">
        <v>141.54</v>
      </c>
      <c r="AU60" s="9">
        <v>160</v>
      </c>
      <c r="AV60" s="9">
        <v>160</v>
      </c>
      <c r="AW60" s="9">
        <v>160</v>
      </c>
      <c r="AX60" s="9">
        <v>160</v>
      </c>
      <c r="AY60" s="9">
        <v>160</v>
      </c>
      <c r="AZ60" s="9">
        <v>160</v>
      </c>
      <c r="BA60" s="9">
        <v>71.569999999999993</v>
      </c>
      <c r="BB60" s="9"/>
      <c r="BC60" s="9">
        <v>-0.04</v>
      </c>
      <c r="BD60" s="9">
        <v>0.02</v>
      </c>
      <c r="BE60" s="9">
        <v>0.04</v>
      </c>
      <c r="BF60" s="9">
        <v>-0.05</v>
      </c>
      <c r="BG60" s="9">
        <v>0.06</v>
      </c>
      <c r="BH60" s="9">
        <v>-7.0000000000000007E-2</v>
      </c>
      <c r="BI60" s="9">
        <v>0.03</v>
      </c>
      <c r="BJ60" s="9">
        <v>0.02</v>
      </c>
      <c r="BK60" s="9">
        <v>0.02</v>
      </c>
      <c r="BL60" s="9">
        <v>-0.01</v>
      </c>
      <c r="BM60" s="9">
        <v>-0.04</v>
      </c>
      <c r="BN60" s="9">
        <v>0.03</v>
      </c>
      <c r="BO60" s="9">
        <v>-0.05</v>
      </c>
      <c r="BP60" s="9">
        <v>0.01</v>
      </c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>
        <v>210.37</v>
      </c>
      <c r="CR60" s="9">
        <v>210.37</v>
      </c>
      <c r="CS60" s="9">
        <v>210.37</v>
      </c>
      <c r="CT60" s="9">
        <v>210.37</v>
      </c>
      <c r="CU60" s="9">
        <v>815.1</v>
      </c>
      <c r="CV60" s="9">
        <v>222.15</v>
      </c>
      <c r="CW60" s="9">
        <v>222.15</v>
      </c>
      <c r="CX60" s="9">
        <v>222.15</v>
      </c>
      <c r="CY60" s="9">
        <v>222.15</v>
      </c>
      <c r="CZ60" s="9">
        <v>222.15</v>
      </c>
      <c r="DA60" s="9">
        <v>222.15</v>
      </c>
      <c r="DB60" s="9">
        <v>222.15</v>
      </c>
      <c r="DC60" s="9">
        <v>222.15</v>
      </c>
      <c r="DD60" s="9">
        <v>222.15</v>
      </c>
      <c r="DE60" s="9">
        <v>222.15</v>
      </c>
      <c r="DF60" s="9">
        <v>222.15</v>
      </c>
      <c r="DG60" s="9">
        <v>222.15</v>
      </c>
      <c r="DH60" s="9">
        <v>222.15</v>
      </c>
      <c r="DI60" s="9">
        <v>222.15</v>
      </c>
      <c r="DJ60" s="9">
        <v>222.15</v>
      </c>
      <c r="DK60" s="9">
        <v>222.15</v>
      </c>
      <c r="DL60" s="9">
        <v>275.72000000000003</v>
      </c>
      <c r="DM60" s="9"/>
      <c r="DN60" s="9"/>
      <c r="DO60" s="9"/>
      <c r="DP60" s="13">
        <f>SUM(CQ60:DL60)</f>
        <v>5486.6999999999989</v>
      </c>
      <c r="DQ60" s="14">
        <f>DP60/144398</f>
        <v>3.7997063671241976E-2</v>
      </c>
    </row>
    <row r="61" spans="1:121" ht="16.5">
      <c r="A61" s="37"/>
      <c r="B61" s="7"/>
      <c r="C61" s="7"/>
      <c r="D61" s="7"/>
      <c r="E61" s="7"/>
      <c r="F61" s="7"/>
      <c r="G61" s="7"/>
      <c r="H61" s="7"/>
      <c r="I61" s="7"/>
      <c r="J61" s="15">
        <f t="shared" ref="J61:O61" si="144">J60/J11</f>
        <v>2.5000000000000001E-2</v>
      </c>
      <c r="K61" s="15">
        <f t="shared" si="144"/>
        <v>4.0003333333333335E-2</v>
      </c>
      <c r="L61" s="15">
        <f t="shared" si="144"/>
        <v>3.9996666666666666E-2</v>
      </c>
      <c r="M61" s="15">
        <f t="shared" si="144"/>
        <v>0.04</v>
      </c>
      <c r="N61" s="15">
        <f t="shared" si="144"/>
        <v>0.04</v>
      </c>
      <c r="O61" s="15">
        <f t="shared" si="144"/>
        <v>0.04</v>
      </c>
      <c r="P61" s="15">
        <f t="shared" ref="P61:Z61" si="145">P60/SUM(P11,P7)</f>
        <v>3.9998316549487593E-2</v>
      </c>
      <c r="Q61" s="15">
        <f t="shared" si="145"/>
        <v>3.9999549210151787E-2</v>
      </c>
      <c r="R61" s="15">
        <f t="shared" si="145"/>
        <v>4.0000909997952507E-2</v>
      </c>
      <c r="S61" s="15">
        <f t="shared" si="145"/>
        <v>4.0000909997952507E-2</v>
      </c>
      <c r="T61" s="15">
        <f t="shared" si="145"/>
        <v>3.9997660005264987E-2</v>
      </c>
      <c r="U61" s="15">
        <f t="shared" si="145"/>
        <v>4.0002143028224947E-2</v>
      </c>
      <c r="V61" s="15">
        <f t="shared" si="145"/>
        <v>3.7581781738878314E-2</v>
      </c>
      <c r="W61" s="15">
        <f t="shared" si="145"/>
        <v>-6.3030241910068455E-6</v>
      </c>
      <c r="X61" s="15">
        <f t="shared" si="145"/>
        <v>3.1515120955034228E-6</v>
      </c>
      <c r="Y61" s="15">
        <f t="shared" si="145"/>
        <v>-2.8260801985038735E-6</v>
      </c>
      <c r="Z61" s="15">
        <f t="shared" si="145"/>
        <v>-2.8260801985038735E-6</v>
      </c>
      <c r="AA61" s="15">
        <f>AA60/SUM(AA11,AA7)</f>
        <v>2.8260801985038735E-6</v>
      </c>
      <c r="AB61" s="15">
        <f>AB60/SUM(AB11,AB7)</f>
        <v>5.6521603970077471E-6</v>
      </c>
      <c r="AC61" s="15">
        <f t="shared" ref="AC61:AQ61" si="146">AC60/AC11</f>
        <v>-1.1304320794015494E-5</v>
      </c>
      <c r="AD61" s="15">
        <f t="shared" si="146"/>
        <v>2.8260801985038735E-6</v>
      </c>
      <c r="AE61" s="15">
        <f t="shared" si="146"/>
        <v>5.6521603970077471E-6</v>
      </c>
      <c r="AF61" s="15">
        <f t="shared" si="146"/>
        <v>-2.8260801985038735E-6</v>
      </c>
      <c r="AG61" s="15">
        <f t="shared" si="146"/>
        <v>7.5006994548491315E-2</v>
      </c>
      <c r="AH61" s="15">
        <f t="shared" si="146"/>
        <v>7.4995690227697281E-2</v>
      </c>
      <c r="AI61" s="15">
        <f t="shared" si="146"/>
        <v>7.4998516307895793E-2</v>
      </c>
      <c r="AJ61" s="15">
        <f t="shared" si="146"/>
        <v>7.5012646708888311E-2</v>
      </c>
      <c r="AK61" s="15">
        <f t="shared" si="146"/>
        <v>7.4998516307895793E-2</v>
      </c>
      <c r="AL61" s="15">
        <f t="shared" si="146"/>
        <v>7.4992864147498783E-2</v>
      </c>
      <c r="AM61" s="15">
        <f t="shared" si="146"/>
        <v>7.4998516307895793E-2</v>
      </c>
      <c r="AN61" s="15">
        <f t="shared" si="146"/>
        <v>7.4995690227697281E-2</v>
      </c>
      <c r="AO61" s="15">
        <f t="shared" si="146"/>
        <v>7.5015472789086809E-2</v>
      </c>
      <c r="AP61" s="15">
        <f t="shared" si="146"/>
        <v>7.4984385906903261E-2</v>
      </c>
      <c r="AQ61" s="15">
        <f t="shared" si="146"/>
        <v>4.0000339129623821E-2</v>
      </c>
      <c r="AR61" s="15">
        <f>AR60/(AR11+AR13)</f>
        <v>3.9999511419052829E-2</v>
      </c>
      <c r="AS61" s="15">
        <f t="shared" ref="AS61:BA61" si="147">AS60/AS11</f>
        <v>4.0000339129623821E-2</v>
      </c>
      <c r="AT61" s="15">
        <f t="shared" si="147"/>
        <v>4.0000339129623821E-2</v>
      </c>
      <c r="AU61" s="15">
        <f t="shared" si="147"/>
        <v>0.04</v>
      </c>
      <c r="AV61" s="15">
        <f t="shared" si="147"/>
        <v>0.04</v>
      </c>
      <c r="AW61" s="15">
        <f t="shared" si="147"/>
        <v>0.04</v>
      </c>
      <c r="AX61" s="15">
        <f t="shared" si="147"/>
        <v>0.04</v>
      </c>
      <c r="AY61" s="15">
        <f t="shared" si="147"/>
        <v>0.04</v>
      </c>
      <c r="AZ61" s="15">
        <f t="shared" si="147"/>
        <v>0.04</v>
      </c>
      <c r="BA61" s="15">
        <f t="shared" si="147"/>
        <v>1.7892499999999999E-2</v>
      </c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</row>
    <row r="63" spans="1:121">
      <c r="AU63" s="14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0666-BC3C-4615-A652-6552A08A1CDD}">
  <dimension ref="A1:AH14"/>
  <sheetViews>
    <sheetView showGridLines="0" workbookViewId="0">
      <selection activeCell="Y7" sqref="Y7"/>
    </sheetView>
  </sheetViews>
  <sheetFormatPr defaultRowHeight="15"/>
  <cols>
    <col min="2" max="2" width="11.85546875" bestFit="1" customWidth="1"/>
    <col min="3" max="3" width="12.5703125" bestFit="1" customWidth="1"/>
    <col min="4" max="4" width="11.5703125" bestFit="1" customWidth="1"/>
    <col min="5" max="5" width="12.42578125" bestFit="1" customWidth="1"/>
    <col min="6" max="6" width="10.5703125" bestFit="1" customWidth="1"/>
    <col min="7" max="7" width="9" bestFit="1" customWidth="1"/>
    <col min="8" max="8" width="10.5703125" bestFit="1" customWidth="1"/>
    <col min="9" max="9" width="10.85546875" bestFit="1" customWidth="1"/>
    <col min="10" max="10" width="10.5703125" bestFit="1" customWidth="1"/>
    <col min="11" max="11" width="7.140625" bestFit="1" customWidth="1"/>
    <col min="12" max="16" width="17.7109375" customWidth="1"/>
    <col min="17" max="17" width="22.42578125" bestFit="1" customWidth="1"/>
    <col min="18" max="18" width="22.42578125" customWidth="1"/>
    <col min="19" max="19" width="13.7109375" customWidth="1"/>
    <col min="20" max="20" width="15.28515625" bestFit="1" customWidth="1"/>
    <col min="21" max="21" width="15.28515625" customWidth="1"/>
    <col min="22" max="22" width="7.7109375" bestFit="1" customWidth="1"/>
    <col min="23" max="23" width="29.42578125" bestFit="1" customWidth="1"/>
    <col min="24" max="24" width="8.42578125" customWidth="1"/>
    <col min="25" max="25" width="27.28515625" bestFit="1" customWidth="1"/>
    <col min="26" max="26" width="4.5703125" bestFit="1" customWidth="1"/>
    <col min="28" max="28" width="10.140625" bestFit="1" customWidth="1"/>
    <col min="29" max="29" width="10.7109375" bestFit="1" customWidth="1"/>
    <col min="32" max="32" width="10.7109375" bestFit="1" customWidth="1"/>
    <col min="34" max="34" width="11.5703125" style="33" bestFit="1" customWidth="1"/>
  </cols>
  <sheetData>
    <row r="1" spans="1:34" ht="30">
      <c r="A1" s="22"/>
      <c r="B1" s="28" t="s">
        <v>47</v>
      </c>
      <c r="C1" s="28" t="s">
        <v>41</v>
      </c>
      <c r="D1" s="28" t="s">
        <v>42</v>
      </c>
      <c r="E1" s="30" t="s">
        <v>62</v>
      </c>
      <c r="F1" s="30" t="s">
        <v>67</v>
      </c>
      <c r="G1" s="30" t="s">
        <v>64</v>
      </c>
      <c r="H1" s="30" t="s">
        <v>66</v>
      </c>
      <c r="I1" s="31" t="s">
        <v>61</v>
      </c>
      <c r="J1" s="31" t="s">
        <v>63</v>
      </c>
      <c r="K1" s="28" t="s">
        <v>65</v>
      </c>
      <c r="L1" s="28" t="s">
        <v>43</v>
      </c>
      <c r="M1" s="28" t="s">
        <v>44</v>
      </c>
      <c r="N1" s="28" t="s">
        <v>45</v>
      </c>
      <c r="O1" s="28"/>
      <c r="P1" s="28" t="s">
        <v>56</v>
      </c>
      <c r="Q1" s="28" t="s">
        <v>54</v>
      </c>
      <c r="R1" s="28" t="s">
        <v>59</v>
      </c>
      <c r="S1" s="28" t="s">
        <v>55</v>
      </c>
      <c r="T1" s="28" t="s">
        <v>46</v>
      </c>
      <c r="U1" s="28" t="s">
        <v>60</v>
      </c>
      <c r="V1" s="28"/>
      <c r="W1" s="28" t="s">
        <v>51</v>
      </c>
      <c r="X1" s="28"/>
      <c r="Y1" s="28" t="s">
        <v>52</v>
      </c>
      <c r="Z1" s="28"/>
      <c r="AC1" s="29" t="s">
        <v>48</v>
      </c>
      <c r="AD1" s="29" t="s">
        <v>49</v>
      </c>
      <c r="AE1" s="29" t="s">
        <v>50</v>
      </c>
      <c r="AF1" s="29"/>
      <c r="AG1" s="29"/>
      <c r="AH1" s="34"/>
    </row>
    <row r="2" spans="1:34">
      <c r="A2" s="22">
        <f>2021</f>
        <v>2021</v>
      </c>
      <c r="B2" s="23">
        <f>SUMIFS(AH:AH,AE:AE,A2)</f>
        <v>45616.438356164384</v>
      </c>
      <c r="C2" s="18">
        <f>SUMIFS(Pay!$23:$23,Pay!$4:$4,Summary!$A2)</f>
        <v>53322.439999999995</v>
      </c>
      <c r="D2" s="18">
        <f>SUMIFS(Pay!$42:$42,Pay!$4:$4,Summary!$A2)</f>
        <v>35911.625679663419</v>
      </c>
      <c r="E2" s="18"/>
      <c r="F2" s="18"/>
      <c r="G2" s="18"/>
      <c r="H2" s="18"/>
      <c r="I2" s="18"/>
      <c r="J2" s="18"/>
      <c r="K2" s="24">
        <f>SUM(E2:I2)/B2</f>
        <v>0</v>
      </c>
      <c r="L2" s="18">
        <f>SUMIFS(Pay!$22:$22,Pay!$5:$5,Summary!$A2)</f>
        <v>822.15</v>
      </c>
      <c r="M2" s="18">
        <f>SUMIFS(Pay!$38:$38,Pay!$5:$5,Summary!$A2)</f>
        <v>870</v>
      </c>
      <c r="N2" s="18">
        <f>SUMIFS(Pay!$35:$35,Pay!$5:$5,Summary!$A2)</f>
        <v>1200</v>
      </c>
      <c r="O2" s="24">
        <f>SUM(L2:N2)/B2</f>
        <v>6.3401486486486483E-2</v>
      </c>
      <c r="P2" s="1"/>
      <c r="Q2" s="18">
        <v>39.479999999999997</v>
      </c>
      <c r="R2" s="18">
        <v>-1202</v>
      </c>
      <c r="S2" s="18"/>
      <c r="T2" s="18">
        <f>SUMIFS(Pay!$60:$60,Pay!$5:$5,Summary!$A2)</f>
        <v>846.06999999999994</v>
      </c>
      <c r="U2" s="18">
        <f t="shared" ref="U2:U7" si="0">SUM(L2:T2)</f>
        <v>2575.7634014864861</v>
      </c>
      <c r="V2" s="24">
        <f>T2/SUM(L2:M2)</f>
        <v>0.49999704517920984</v>
      </c>
      <c r="W2" s="23">
        <f>0.08*B2</f>
        <v>3649.3150684931506</v>
      </c>
      <c r="X2" s="24">
        <f t="shared" ref="X2:X7" si="1">IFERROR(SUM(L2:M2)/W2,"")</f>
        <v>0.46368975225225229</v>
      </c>
      <c r="Y2" s="23">
        <f>W2/2</f>
        <v>1824.6575342465753</v>
      </c>
      <c r="Z2" s="24">
        <f t="shared" ref="Z2:Z7" si="2">IFERROR(T2/Y2,"")</f>
        <v>0.46368701201201196</v>
      </c>
      <c r="AB2" s="41">
        <v>179220</v>
      </c>
      <c r="AC2" s="42">
        <v>45943</v>
      </c>
      <c r="AD2" s="43">
        <f>AF2-AC2</f>
        <v>18</v>
      </c>
      <c r="AE2" s="43">
        <v>2025</v>
      </c>
      <c r="AF2" s="42">
        <v>45961</v>
      </c>
      <c r="AG2" s="44">
        <f>AD2/303</f>
        <v>5.9405940594059403E-2</v>
      </c>
      <c r="AH2" s="45">
        <f>SUMPRODUCT(AG2:AG4,AB2:AB4)</f>
        <v>145278.36633663366</v>
      </c>
    </row>
    <row r="3" spans="1:34">
      <c r="A3" s="22">
        <v>2022</v>
      </c>
      <c r="B3" s="23">
        <f>SUMIFS(AH:AH,AE:AE,A3)</f>
        <v>88613.698630136991</v>
      </c>
      <c r="C3" s="18">
        <f>SUMIFS(Pay!$23:$23,Pay!$4:$4,Summary!$A3)</f>
        <v>84895.829999999987</v>
      </c>
      <c r="D3" s="18">
        <f>SUMIFS(Pay!$42:$42,Pay!$4:$4,Summary!$A3)</f>
        <v>56452.7</v>
      </c>
      <c r="E3" s="18"/>
      <c r="F3" s="18"/>
      <c r="G3" s="18"/>
      <c r="H3" s="18"/>
      <c r="I3" s="18"/>
      <c r="J3" s="18"/>
      <c r="K3" s="24">
        <f>SUM(E3:I3)/B3</f>
        <v>0</v>
      </c>
      <c r="L3" s="18">
        <f>SUMIFS(Pay!$22:$22,Pay!$5:$5,Summary!$A3)</f>
        <v>1727.69</v>
      </c>
      <c r="M3" s="18">
        <f>SUMIFS(Pay!$38:$38,Pay!$5:$5,Summary!$A3)</f>
        <v>5307.7000000000007</v>
      </c>
      <c r="N3" s="18">
        <f>SUMIFS(Pay!$35:$35,Pay!$5:$5,Summary!$A3)</f>
        <v>0</v>
      </c>
      <c r="O3" s="24">
        <f>SUM(L3:N3)/B3</f>
        <v>7.939393241404899E-2</v>
      </c>
      <c r="P3" s="18">
        <v>305.52999999999997</v>
      </c>
      <c r="Q3" s="18">
        <v>-609</v>
      </c>
      <c r="R3" s="18"/>
      <c r="S3" s="18">
        <v>-32</v>
      </c>
      <c r="T3" s="18">
        <f>SUMIFS(Pay!$60:$60,Pay!$5:$5,Summary!$A3)</f>
        <v>3517.69</v>
      </c>
      <c r="U3" s="18">
        <f t="shared" si="0"/>
        <v>10217.689393932415</v>
      </c>
      <c r="V3" s="24">
        <f>T3/SUM(L3:M3)</f>
        <v>0.49999928930734466</v>
      </c>
      <c r="W3" s="23">
        <f>0.08*B3</f>
        <v>7089.0958904109593</v>
      </c>
      <c r="X3" s="24">
        <f t="shared" si="1"/>
        <v>0.99242415517561233</v>
      </c>
      <c r="Y3" s="23">
        <f>W3/2</f>
        <v>3544.5479452054797</v>
      </c>
      <c r="Z3" s="24">
        <f t="shared" si="2"/>
        <v>0.99242274455849611</v>
      </c>
      <c r="AB3" s="41">
        <v>144397.5</v>
      </c>
      <c r="AC3" s="42">
        <v>45705</v>
      </c>
      <c r="AD3" s="43">
        <f>AF3-AC3</f>
        <v>238</v>
      </c>
      <c r="AE3" s="43">
        <v>2025</v>
      </c>
      <c r="AF3" s="42">
        <v>45943</v>
      </c>
      <c r="AG3" s="44">
        <f>AD3/303</f>
        <v>0.78547854785478544</v>
      </c>
      <c r="AH3" s="45"/>
    </row>
    <row r="4" spans="1:34">
      <c r="A4" s="22">
        <v>2023</v>
      </c>
      <c r="B4" s="23">
        <f>SUMIFS(AH:AH,AE:AE,A4)</f>
        <v>110153.42465753424</v>
      </c>
      <c r="C4" s="18">
        <f>SUMIFS(Pay!$23:$23,Pay!$4:$4,Summary!$A4)</f>
        <v>109566.99615384619</v>
      </c>
      <c r="D4" s="18">
        <f>SUMIFS(Pay!$42:$42,Pay!$4:$4,Summary!$A4)</f>
        <v>72424.558483531408</v>
      </c>
      <c r="E4" s="18">
        <v>12174</v>
      </c>
      <c r="F4" s="18"/>
      <c r="G4" s="18"/>
      <c r="H4" s="18">
        <f>447.1+426.16</f>
        <v>873.26</v>
      </c>
      <c r="I4" s="18">
        <v>2347.0300000000002</v>
      </c>
      <c r="J4" s="18"/>
      <c r="K4" s="24">
        <f>SUM(E4:I4)/B4</f>
        <v>0.13975316743769589</v>
      </c>
      <c r="L4" s="18">
        <f>SUMIFS(Pay!$22:$22,Pay!$5:$5,Summary!$A4)</f>
        <v>0</v>
      </c>
      <c r="M4" s="18">
        <f>SUMIFS(Pay!$38:$38,Pay!$5:$5,Summary!$A4)</f>
        <v>3436.29</v>
      </c>
      <c r="N4" s="18">
        <f>SUMIFS(Pay!$35:$35,Pay!$5:$5,Summary!$A4)</f>
        <v>0</v>
      </c>
      <c r="O4" s="24">
        <f>SUM(L4:N4)/B4</f>
        <v>3.1195489479182215E-2</v>
      </c>
      <c r="P4" s="18"/>
      <c r="Q4" s="18">
        <v>3351.85</v>
      </c>
      <c r="R4" s="18"/>
      <c r="S4" s="1">
        <v>-14.88</v>
      </c>
      <c r="T4" s="18">
        <f>SUMIFS(Pay!$60:$60,Pay!$5:$5,Summary!$A4)</f>
        <v>1718.1399999999999</v>
      </c>
      <c r="U4" s="18">
        <f t="shared" si="0"/>
        <v>8491.4311954894783</v>
      </c>
      <c r="V4" s="24">
        <f>T4/SUM(L4:M4)</f>
        <v>0.49999854494236512</v>
      </c>
      <c r="W4" s="23">
        <f>0.08*B4</f>
        <v>8812.2739726027394</v>
      </c>
      <c r="X4" s="24">
        <f t="shared" si="1"/>
        <v>0.38994361848977765</v>
      </c>
      <c r="Y4" s="23">
        <f>W4/2</f>
        <v>4406.1369863013697</v>
      </c>
      <c r="Z4" s="24">
        <f t="shared" si="2"/>
        <v>0.38994248370889917</v>
      </c>
      <c r="AB4" s="41">
        <v>136740</v>
      </c>
      <c r="AC4" s="42">
        <v>45658</v>
      </c>
      <c r="AD4" s="43">
        <f>AC3-AC4</f>
        <v>47</v>
      </c>
      <c r="AE4" s="43"/>
      <c r="AF4" s="46"/>
      <c r="AG4" s="44">
        <f>AD4/303</f>
        <v>0.15511551155115511</v>
      </c>
      <c r="AH4" s="47"/>
    </row>
    <row r="5" spans="1:34">
      <c r="A5" s="22">
        <v>2024</v>
      </c>
      <c r="B5" s="23">
        <f>SUMIFS(AH:AH,AE:AE,A5)</f>
        <v>135700.9315068493</v>
      </c>
      <c r="C5" s="18">
        <f>SUMIFS(Pay!$23:$23,Pay!$4:$4,Summary!$A5)</f>
        <v>139979.66692307699</v>
      </c>
      <c r="D5" s="18">
        <f>SUMIFS(Pay!$42:$42,Pay!$4:$4,Summary!$A5)</f>
        <v>94967.2569230769</v>
      </c>
      <c r="E5" s="18">
        <v>8687.32</v>
      </c>
      <c r="F5" s="18">
        <v>3000</v>
      </c>
      <c r="G5" s="18"/>
      <c r="H5" s="18">
        <v>6169.45</v>
      </c>
      <c r="I5" s="18">
        <v>8924.44</v>
      </c>
      <c r="J5" s="18">
        <v>1409.69</v>
      </c>
      <c r="K5" s="24">
        <f>SUM(E5:J5)/B5</f>
        <v>0.20774286283051127</v>
      </c>
      <c r="L5" s="18">
        <f>SUMIFS(Pay!$22:$22,Pay!$5:$5,Summary!$A5)</f>
        <v>0</v>
      </c>
      <c r="M5" s="18">
        <f>SUMIFS(Pay!$38:$38,Pay!$5:$5,Summary!$A5)</f>
        <v>0</v>
      </c>
      <c r="N5" s="18">
        <f>SUMIFS(Pay!$35:$35,Pay!$5:$5,Summary!$A5)</f>
        <v>0</v>
      </c>
      <c r="O5" s="24">
        <f>SUM(L5:N5)/B5</f>
        <v>0</v>
      </c>
      <c r="P5" s="18"/>
      <c r="Q5" s="18">
        <v>2774.81</v>
      </c>
      <c r="R5" s="18"/>
      <c r="S5" s="18">
        <v>-10.88</v>
      </c>
      <c r="T5" s="18">
        <f>SUMIFS(Pay!$60:$60,Pay!$5:$5,Summary!$A5)</f>
        <v>0</v>
      </c>
      <c r="U5" s="18">
        <f t="shared" si="0"/>
        <v>2763.93</v>
      </c>
      <c r="V5" s="24">
        <f>IFERROR(T5/SUM(L5:M5),0)</f>
        <v>0</v>
      </c>
      <c r="W5" s="23">
        <f>0.08*B5</f>
        <v>10856.074520547945</v>
      </c>
      <c r="X5" s="24">
        <f t="shared" si="1"/>
        <v>0</v>
      </c>
      <c r="Y5" s="23">
        <f>W5/2</f>
        <v>5428.0372602739726</v>
      </c>
      <c r="Z5" s="24">
        <f t="shared" si="2"/>
        <v>0</v>
      </c>
      <c r="AB5" s="40">
        <v>136740</v>
      </c>
      <c r="AC5" s="2">
        <v>45341</v>
      </c>
      <c r="AD5">
        <f>AF5-AC5</f>
        <v>316</v>
      </c>
      <c r="AE5">
        <f>YEAR(AF5)</f>
        <v>2024</v>
      </c>
      <c r="AF5" s="2">
        <v>45657</v>
      </c>
      <c r="AG5" s="20">
        <f>AD5/365</f>
        <v>0.86575342465753424</v>
      </c>
      <c r="AH5" s="33">
        <f>SUMPRODUCT(AG5:AG6,AB5:AB6)</f>
        <v>135700.9315068493</v>
      </c>
    </row>
    <row r="6" spans="1:34">
      <c r="A6" s="22">
        <v>2025</v>
      </c>
      <c r="B6" s="23">
        <f>SUMIFS(AH:AH,AE:AE,A6)</f>
        <v>145278.36633663366</v>
      </c>
      <c r="C6" s="18">
        <f>SUMIFS(Pay!$23:$23,Pay!$4:$4,Summary!$A6)</f>
        <v>113871.08692307692</v>
      </c>
      <c r="D6" s="18">
        <f>SUMIFS(Pay!$42:$42,Pay!$4:$4,Summary!$A6)</f>
        <v>74690.876923076925</v>
      </c>
      <c r="E6" s="18"/>
      <c r="F6" s="18">
        <v>5724.66</v>
      </c>
      <c r="G6" s="18">
        <f>3000-2160</f>
        <v>840</v>
      </c>
      <c r="H6" s="18"/>
      <c r="I6" s="18">
        <v>3364.89</v>
      </c>
      <c r="J6" s="18"/>
      <c r="K6" s="24">
        <f>SUM(E6:J6)/B6</f>
        <v>6.8348442031565898E-2</v>
      </c>
      <c r="L6" s="18">
        <f>SUMIFS(Pay!$22:$22,Pay!$5:$5,Summary!$A6)</f>
        <v>23500</v>
      </c>
      <c r="M6" s="18">
        <f>SUMIFS(Pay!$38:$38,Pay!$5:$5,Summary!$A6)</f>
        <v>0</v>
      </c>
      <c r="N6" s="18">
        <f>SUMIFS(Pay!$35:$35,Pay!$5:$5,Summary!$A6)</f>
        <v>0</v>
      </c>
      <c r="O6" s="24">
        <f>SUM(L6:N6)/B6</f>
        <v>0.16175842689163142</v>
      </c>
      <c r="P6" s="18"/>
      <c r="Q6" s="18">
        <v>5487.04</v>
      </c>
      <c r="R6" s="18"/>
      <c r="S6" s="18">
        <v>-7.04</v>
      </c>
      <c r="T6" s="18">
        <f>SUMIFS(Pay!$60:$60,Pay!$5:$5,Summary!$A6)</f>
        <v>5486.6999999999989</v>
      </c>
      <c r="U6" s="18">
        <f>SUM(L6:T6)</f>
        <v>34466.861758426894</v>
      </c>
      <c r="V6" s="24">
        <f>T6/SUM(L6:M6)</f>
        <v>0.2334765957446808</v>
      </c>
      <c r="W6" s="23">
        <f>0.08*B6</f>
        <v>11622.269306930693</v>
      </c>
      <c r="X6" s="24">
        <f t="shared" si="1"/>
        <v>2.0219803361453925</v>
      </c>
      <c r="Y6" s="23">
        <f>W6/2</f>
        <v>5811.1346534653467</v>
      </c>
      <c r="Z6" s="24">
        <f t="shared" si="2"/>
        <v>0.94417017109182322</v>
      </c>
      <c r="AB6" s="40">
        <v>129000</v>
      </c>
      <c r="AC6" s="2">
        <v>45292</v>
      </c>
      <c r="AD6">
        <f>AC5-AC6</f>
        <v>49</v>
      </c>
      <c r="AE6">
        <f>AE5</f>
        <v>2024</v>
      </c>
      <c r="AG6" s="20">
        <f t="shared" ref="AG6:AG14" si="3">AD6/365</f>
        <v>0.13424657534246576</v>
      </c>
    </row>
    <row r="7" spans="1:34">
      <c r="A7" s="25" t="s">
        <v>53</v>
      </c>
      <c r="B7" s="26">
        <f>SUM(B2:B6)</f>
        <v>525362.85948731855</v>
      </c>
      <c r="C7" s="26">
        <f>SUM(C2:C6)</f>
        <v>501636.02</v>
      </c>
      <c r="D7" s="26">
        <f>SUM(D2:D6)</f>
        <v>334447.01800934866</v>
      </c>
      <c r="E7" s="26">
        <f t="shared" ref="E7:J7" si="4">SUM(E2:E6)</f>
        <v>20861.32</v>
      </c>
      <c r="F7" s="26">
        <f t="shared" si="4"/>
        <v>8724.66</v>
      </c>
      <c r="G7" s="26">
        <f t="shared" si="4"/>
        <v>840</v>
      </c>
      <c r="H7" s="26">
        <f t="shared" si="4"/>
        <v>7042.71</v>
      </c>
      <c r="I7" s="26">
        <f t="shared" si="4"/>
        <v>14636.36</v>
      </c>
      <c r="J7" s="26">
        <f t="shared" si="4"/>
        <v>1409.69</v>
      </c>
      <c r="K7" s="26"/>
      <c r="L7" s="48">
        <f>SUM(L2:L6)</f>
        <v>26049.84</v>
      </c>
      <c r="M7" s="26">
        <f>SUM(M2:M6)</f>
        <v>9613.9900000000016</v>
      </c>
      <c r="N7" s="26">
        <f>SUM(N2:N6)</f>
        <v>1200</v>
      </c>
      <c r="O7" s="26"/>
      <c r="P7" s="26">
        <f>SUM(P3:P6)</f>
        <v>305.52999999999997</v>
      </c>
      <c r="Q7" s="26">
        <f>SUM(Q2:Q6)</f>
        <v>11044.18</v>
      </c>
      <c r="R7" s="26">
        <f>SUM(R2:R6)</f>
        <v>-1202</v>
      </c>
      <c r="S7" s="26">
        <f>SUM(S2:S6)</f>
        <v>-64.800000000000011</v>
      </c>
      <c r="T7" s="26">
        <f>SUM(T2:T6)</f>
        <v>11568.599999999999</v>
      </c>
      <c r="U7" s="18">
        <f t="shared" si="0"/>
        <v>58515.34</v>
      </c>
      <c r="V7" s="27">
        <f>AVERAGE(V2:V6)</f>
        <v>0.3466942950347201</v>
      </c>
      <c r="W7" s="23">
        <f>0.08*B7</f>
        <v>42029.028758985485</v>
      </c>
      <c r="X7" s="24">
        <f t="shared" si="1"/>
        <v>0.84855232331238084</v>
      </c>
      <c r="Y7" s="23">
        <f>0.08*D7</f>
        <v>26755.761440747894</v>
      </c>
      <c r="Z7" s="24">
        <f t="shared" si="2"/>
        <v>0.4323779020686554</v>
      </c>
      <c r="AB7" s="40">
        <v>129000</v>
      </c>
      <c r="AC7" s="2">
        <v>45173</v>
      </c>
      <c r="AD7">
        <f>AF7-AC7</f>
        <v>118</v>
      </c>
      <c r="AE7">
        <f>YEAR(AF7)</f>
        <v>2023</v>
      </c>
      <c r="AF7" s="2">
        <v>45291</v>
      </c>
      <c r="AG7" s="20">
        <f t="shared" si="3"/>
        <v>0.32328767123287672</v>
      </c>
      <c r="AH7" s="33">
        <f>SUMPRODUCT(AG7:AG9,AB7:AB9)</f>
        <v>110153.42465753424</v>
      </c>
    </row>
    <row r="8" spans="1:34">
      <c r="AB8" s="40">
        <v>104000</v>
      </c>
      <c r="AC8" s="2">
        <v>44977</v>
      </c>
      <c r="AD8">
        <f>AC7-AC8</f>
        <v>196</v>
      </c>
      <c r="AE8">
        <f>AE7</f>
        <v>2023</v>
      </c>
      <c r="AG8" s="20">
        <f t="shared" si="3"/>
        <v>0.53698630136986303</v>
      </c>
    </row>
    <row r="9" spans="1:34">
      <c r="AB9" s="40">
        <f>AB10</f>
        <v>92000</v>
      </c>
      <c r="AC9" s="2">
        <v>44927</v>
      </c>
      <c r="AD9">
        <f>AC8-AC9</f>
        <v>50</v>
      </c>
      <c r="AE9">
        <f>AE8</f>
        <v>2023</v>
      </c>
      <c r="AG9" s="20">
        <f t="shared" si="3"/>
        <v>0.13698630136986301</v>
      </c>
    </row>
    <row r="10" spans="1:34">
      <c r="AB10" s="40">
        <v>92000</v>
      </c>
      <c r="AC10" s="2">
        <v>44669</v>
      </c>
      <c r="AD10">
        <f>AF10-AC10</f>
        <v>257</v>
      </c>
      <c r="AE10">
        <f>YEAR(AF10)</f>
        <v>2022</v>
      </c>
      <c r="AF10" s="2">
        <v>44926</v>
      </c>
      <c r="AG10" s="20">
        <f t="shared" si="3"/>
        <v>0.70410958904109588</v>
      </c>
      <c r="AH10" s="33">
        <f>SUMPRODUCT(AG10:AG12,AB10:AB12)</f>
        <v>88613.698630136991</v>
      </c>
    </row>
    <row r="11" spans="1:34">
      <c r="H11" s="13"/>
      <c r="L11" s="13"/>
      <c r="AB11" s="40">
        <v>82500</v>
      </c>
      <c r="AC11" s="2">
        <v>44613</v>
      </c>
      <c r="AD11">
        <f>AC10-AC11</f>
        <v>56</v>
      </c>
      <c r="AE11">
        <f>AE10</f>
        <v>2022</v>
      </c>
      <c r="AG11" s="20">
        <f t="shared" si="3"/>
        <v>0.15342465753424658</v>
      </c>
    </row>
    <row r="12" spans="1:34">
      <c r="AB12" s="40">
        <f>AB13</f>
        <v>80000</v>
      </c>
      <c r="AC12" s="2">
        <v>44562</v>
      </c>
      <c r="AD12">
        <f>AC11-AC12</f>
        <v>51</v>
      </c>
      <c r="AE12">
        <f>AE11</f>
        <v>2022</v>
      </c>
      <c r="AG12" s="20">
        <f t="shared" si="3"/>
        <v>0.13972602739726028</v>
      </c>
    </row>
    <row r="13" spans="1:34">
      <c r="AB13" s="40">
        <v>80000</v>
      </c>
      <c r="AC13" s="2">
        <v>44543</v>
      </c>
      <c r="AD13">
        <f>AF13-AC13</f>
        <v>18</v>
      </c>
      <c r="AE13">
        <v>2021</v>
      </c>
      <c r="AF13" s="2">
        <v>44561</v>
      </c>
      <c r="AG13" s="20">
        <f t="shared" si="3"/>
        <v>4.9315068493150684E-2</v>
      </c>
      <c r="AH13" s="33">
        <f>SUMPRODUCT(AG13:AG14,AB13:AB14)</f>
        <v>45616.438356164384</v>
      </c>
    </row>
    <row r="14" spans="1:34">
      <c r="AB14" s="40">
        <v>78000</v>
      </c>
      <c r="AC14" s="2">
        <v>44348</v>
      </c>
      <c r="AD14">
        <f>AC13-AC14</f>
        <v>195</v>
      </c>
      <c r="AE14">
        <v>2021</v>
      </c>
      <c r="AG14" s="20">
        <f t="shared" si="3"/>
        <v>0.53424657534246578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Lewis</dc:creator>
  <cp:lastModifiedBy>Lewis, Sean</cp:lastModifiedBy>
  <dcterms:created xsi:type="dcterms:W3CDTF">2023-09-07T00:17:35Z</dcterms:created>
  <dcterms:modified xsi:type="dcterms:W3CDTF">2025-10-28T16:39:13Z</dcterms:modified>
</cp:coreProperties>
</file>